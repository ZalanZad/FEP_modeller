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Inputs!$E$71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Inputs!$E$58</definedName>
    <definedName function="false" hidden="false" name="Bid_Sec_Rate" vbProcedure="false">Inputs!$E$9</definedName>
    <definedName function="false" hidden="false" name="Capex_Civil" vbProcedure="false">Inputs!$E$51</definedName>
    <definedName function="false" hidden="false" name="Capex_Cont" vbProcedure="false">Inputs!$E$57</definedName>
    <definedName function="false" hidden="false" name="Capex_Elec" vbProcedure="false">Inputs!$E$52</definedName>
    <definedName function="false" hidden="false" name="Capex_Fdn" vbProcedure="false">Inputs!$E$50</definedName>
    <definedName function="false" hidden="false" name="Capex_Install" vbProcedure="false">Inputs!$E$49</definedName>
    <definedName function="false" hidden="false" name="Capex_Land" vbProcedure="false">Inputs!$E$54</definedName>
    <definedName function="false" hidden="false" name="Capex_Owner" vbProcedure="false">Inputs!$E$53</definedName>
    <definedName function="false" hidden="false" name="Case_CN" vbProcedure="false">Dashboard!$H$27</definedName>
    <definedName function="false" hidden="false" name="Case_EU" vbProcedure="false">Dashboard!$H$26</definedName>
    <definedName function="false" hidden="false" name="Case_OM" vbProcedure="false">Dashboard!$H$30</definedName>
    <definedName function="false" hidden="false" name="Case_P50" vbProcedure="false">Dashboard!$H$29</definedName>
    <definedName function="false" hidden="false" name="Case_PPA" vbProcedure="false">Dashboard!$H$28</definedName>
    <definedName function="false" hidden="false" name="CIT_Rate" vbProcedure="false">Inputs!$E$39</definedName>
    <definedName function="false" hidden="false" name="Clipping" vbProcedure="false">Inputs!$E$61</definedName>
    <definedName function="false" hidden="false" name="Curtailment" vbProcedure="false">Inputs!$E$60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Dashboard!$H$25</definedName>
    <definedName function="false" hidden="false" name="Dash_Case_CN" vbProcedure="false">Dashboard!$E$27:$G$27</definedName>
    <definedName function="false" hidden="false" name="Dash_Case_EU" vbProcedure="false">Dashboard!$E$26:$G$26</definedName>
    <definedName function="false" hidden="false" name="Dash_Case_OM" vbProcedure="false">Dashboard!$E$30:$G$30</definedName>
    <definedName function="false" hidden="false" name="Dash_Case_P50" vbProcedure="false">Dashboard!$E$29:$G$29</definedName>
    <definedName function="false" hidden="false" name="Dash_Case_PPA" vbProcedure="false">Dashboard!$E$28:$G$28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JV" vbProcedure="false">Dashboard!$E$21:$G$21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50" vbProcedure="false">Dashboard!$E$22:$G$22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Inputs!$E$82</definedName>
    <definedName function="false" hidden="false" name="Debt_Fee" vbProcedure="false">Inputs!$E$46</definedName>
    <definedName function="false" hidden="false" name="Debt_Rate" vbProcedure="false">Inputs!$E$44</definedName>
    <definedName function="false" hidden="false" name="Debt_Tenor" vbProcedure="false">Inputs!$E$45</definedName>
    <definedName function="false" hidden="false" name="Degradation" vbProcedure="false">Inputs!$E$62</definedName>
    <definedName function="false" hidden="false" name="Devex_Class" vbProcedure="false">Inputs!$G$87:$G$119</definedName>
    <definedName function="false" hidden="false" name="Devex_Date" vbProcedure="false">Inputs!$F$87:$F$119</definedName>
    <definedName function="false" hidden="false" name="Devex_Floor" vbProcedure="false">Inputs!$E$32</definedName>
    <definedName function="false" hidden="false" name="Devex_HUF" vbProcedure="false">Inputs!$E$87:$E$119</definedName>
    <definedName function="false" hidden="false" name="Discount_Rate" vbProcedure="false">Inputs!$E$79</definedName>
    <definedName function="false" hidden="false" name="DSA_Cap" vbProcedure="false">Inputs!$E$38</definedName>
    <definedName function="false" hidden="false" name="DSA_Rate" vbProcedure="false">Inputs!$E$37</definedName>
    <definedName function="false" hidden="false" name="First_Year" vbProcedure="false">Inputs!$E$80</definedName>
    <definedName function="false" hidden="false" name="Freeze_Date" vbProcedure="false">Inputs!$E$33</definedName>
    <definedName function="false" hidden="false" name="FX" vbProcedure="false">Inputs!$E$6</definedName>
    <definedName function="false" hidden="false" name="Gearing" vbProcedure="false">Inputs!$E$43</definedName>
    <definedName function="false" hidden="false" name="Grid_Charges" vbProcedure="false">Inputs!$E$72</definedName>
    <definedName function="false" hidden="false" name="HIPA_Rate" vbProcedure="false">Inputs!$E$74</definedName>
    <definedName function="false" hidden="false" name="IDC_Draw_Share" vbProcedure="false">Inputs!$E$47</definedName>
    <definedName function="false" hidden="false" name="Life" vbProcedure="false">Inputs!$E$78</definedName>
    <definedName function="false" hidden="false" name="Lump_Basis" vbProcedure="false">Inputs!$E$56</definedName>
    <definedName function="false" hidden="false" name="Master_Check" vbProcedure="false">Dashboard!$H$555</definedName>
    <definedName function="false" hidden="false" name="MEKH_Fee" vbProcedure="false">Inputs!$E$73</definedName>
    <definedName function="false" hidden="false" name="Months_In_Year" vbProcedure="false">Inputs!$E$83</definedName>
    <definedName function="false" hidden="false" name="Opex_Admin" vbProcedure="false">Inputs!$E$70</definedName>
    <definedName function="false" hidden="false" name="Opex_Cont" vbProcedure="false">Inputs!$E$75</definedName>
    <definedName function="false" hidden="false" name="Opex_Esc" vbProcedure="false">Inputs!$E$76</definedName>
    <definedName function="false" hidden="false" name="Opex_Per_MW" vbProcedure="false">Inputs!$E$65:$E$69</definedName>
    <definedName function="false" hidden="false" name="Osz1_Incl" vbProcedure="false">Inputs!$E$123:$M$123</definedName>
    <definedName function="false" hidden="false" name="Osz1_LB" vbProcedure="false">Inputs!$E$122:$M$122</definedName>
    <definedName function="false" hidden="false" name="Osz1_Pts" vbProcedure="false">Inputs!$E$124:$N$124</definedName>
    <definedName function="false" hidden="false" name="Osz1_W" vbProcedure="false">Inputs!$E$142</definedName>
    <definedName function="false" hidden="false" name="Osz2_Incl" vbProcedure="false">Inputs!$E$126:$O$126</definedName>
    <definedName function="false" hidden="false" name="Osz2_LB" vbProcedure="false">Inputs!$E$125:$O$125</definedName>
    <definedName function="false" hidden="false" name="Osz2_Pts" vbProcedure="false">Inputs!$E$127:$P$127</definedName>
    <definedName function="false" hidden="false" name="Osz2_W" vbProcedure="false">Inputs!$E$143</definedName>
    <definedName function="false" hidden="false" name="Osz3_Incl" vbProcedure="false">Inputs!$E$129:$N$129</definedName>
    <definedName function="false" hidden="false" name="Osz3_LB" vbProcedure="false">Inputs!$E$128:$N$128</definedName>
    <definedName function="false" hidden="false" name="Osz3_Pts" vbProcedure="false">Inputs!$E$130:$O$130</definedName>
    <definedName function="false" hidden="false" name="Osz3_W" vbProcedure="false">Inputs!$E$144</definedName>
    <definedName function="false" hidden="false" name="Osz4_Incl" vbProcedure="false">Inputs!$E$132:$N$132</definedName>
    <definedName function="false" hidden="false" name="Osz4_LB" vbProcedure="false">Inputs!$E$131:$N$131</definedName>
    <definedName function="false" hidden="false" name="Osz4_Pts" vbProcedure="false">Inputs!$E$133:$O$133</definedName>
    <definedName function="false" hidden="false" name="Osz4_W" vbProcedure="false">Inputs!$E$145</definedName>
    <definedName function="false" hidden="false" name="Osz5_Pts" vbProcedure="false">Inputs!$E$137</definedName>
    <definedName function="false" hidden="false" name="Osz5_W" vbProcedure="false">Inputs!$E$146</definedName>
    <definedName function="false" hidden="false" name="Osz6_Incl" vbProcedure="false">Inputs!$E$135:$N$135</definedName>
    <definedName function="false" hidden="false" name="Osz6_LB" vbProcedure="false">Inputs!$E$134:$N$134</definedName>
    <definedName function="false" hidden="false" name="Osz6_Pts" vbProcedure="false">Inputs!$E$136:$O$136</definedName>
    <definedName function="false" hidden="false" name="Osz6_W" vbProcedure="false">Inputs!$E$147</definedName>
    <definedName function="false" hidden="false" name="Osz7_Pts" vbProcedure="false">Inputs!$E$138</definedName>
    <definedName function="false" hidden="false" name="Osz7_W" vbProcedure="false">Inputs!$E$148</definedName>
    <definedName function="false" hidden="false" name="Osz8_Pts" vbProcedure="false">Inputs!$E$139</definedName>
    <definedName function="false" hidden="false" name="Osz8_W" vbProcedure="false">Inputs!$E$149</definedName>
    <definedName function="false" hidden="false" name="Osz9a_Pts" vbProcedure="false">Inputs!$E$140</definedName>
    <definedName function="false" hidden="false" name="Osz9b_Pts" vbProcedure="false">Inputs!$E$141</definedName>
    <definedName function="false" hidden="false" name="Osz9_W" vbProcedure="false">Inputs!$E$150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Inputs!$E$63</definedName>
    <definedName function="false" hidden="false" name="Rate_Cash" vbProcedure="false">Inputs!$E$30</definedName>
    <definedName function="false" hidden="false" name="Rate_Devex" vbProcedure="false">Inputs!$E$31</definedName>
    <definedName function="false" hidden="false" name="Sale_Costs" vbProcedure="false">Inputs!$E$36</definedName>
    <definedName function="false" hidden="false" name="Sale_Date" vbProcedure="false">Inputs!$E$34</definedName>
    <definedName function="false" hidden="false" name="Sale_Date_A" vbProcedure="false">Inputs!$E$35</definedName>
    <definedName function="false" hidden="false" name="Share_Exempt" vbProcedure="false">Inputs!$E$40</definedName>
    <definedName function="false" hidden="false" name="Subs_Lump" vbProcedure="false">Inputs!$E$55</definedName>
    <definedName function="false" hidden="false" name="Tax_Dep_Life" vbProcedure="false">Inputs!$E$42</definedName>
    <definedName function="false" hidden="false" name="Thousand" vbProcedure="false">Inputs!$E$81</definedName>
    <definedName function="false" hidden="false" name="Tolerance" vbProcedure="false">Inputs!$E$84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<sst xmlns="http://schemas.openxmlformats.org/spreadsheetml/2006/main" count="1547" uniqueCount="620">
  <si>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</si>
  <si>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</si>
  <si>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</si>
  <si>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</si>
  <si>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</si>
  <si>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</si>
  <si>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</si>
  <si>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</si>
  <si>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</si>
  <si>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</si>
  <si>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</si>
  <si>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</si>
  <si>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</si>
  <si>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</si>
  <si>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</si>
  <si>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</si>
  <si>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</si>
  <si>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</si>
  <si>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</si>
  <si>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</si>
  <si>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</si>
  <si>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</si>
  <si>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</si>
  <si>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</si>
  <si>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</si>
  <si>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</si>
  <si>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</si>
  <si>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</si>
  <si>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</si>
  <si>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</si>
  <si>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</si>
  <si>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JV with a developer (1 = yes; shareholder-loan claims apply)</t>
  </si>
  <si>
    <t xml:space="preserve">Net P50 hours (project wind study)</t>
  </si>
  <si>
    <t xml:space="preserve">h/yr</t>
  </si>
  <si>
    <t xml:space="preserve">Case: turbine price, PPA,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</si>
  <si>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</si>
  <si>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</si>
  <si>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</si>
  <si>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</si>
  <si>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</si>
  <si>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</si>
  <si>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</si>
  <si>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</si>
  <si>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</si>
  <si>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</si>
  <si>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</si>
  <si>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</si>
  <si>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</si>
  <si>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 (not used: project P50 in row 22)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</si>
  <si>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</si>
  <si>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</si>
  <si>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</si>
  <si>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</si>
  <si>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</si>
  <si>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</si>
  <si>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</si>
  <si>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</si>
  <si>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</si>
  <si>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</si>
  <si>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</si>
  <si>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</si>
  <si>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</si>
  <si>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</si>
  <si>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</si>
  <si>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</si>
  <si>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</si>
  <si>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</si>
  <si>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</si>
  <si>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</si>
  <si>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</si>
  <si>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</si>
  <si>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</si>
  <si>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</si>
  <si>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</si>
  <si>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</si>
  <si>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</si>
  <si>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</si>
  <si>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</si>
  <si>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</si>
  <si>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</si>
  <si>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 – development (devex items excl. land)</t>
  </si>
  <si>
    <t xml:space="preserve">DEVEX – land (reservation and purchase)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</si>
  <si>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</si>
  <si>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</si>
  <si>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</si>
  <si>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</si>
  <si>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</si>
  <si>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</si>
  <si>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development devex)</t>
  </si>
  <si>
    <t xml:space="preserve">FEP – sunk; recovered only via the claims at the sale</t>
  </si>
  <si>
    <t xml:space="preserve">Securities and land, returned or reimbursed at cost (bid, performance, TSO; land)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</si>
  <si>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</si>
  <si>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</si>
  <si>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</si>
  <si>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</si>
  <si>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B: FEP pre-funds everything</t>
  </si>
  <si>
    <t xml:space="preserve">Grid connection fees, share of the total</t>
  </si>
  <si>
    <t xml:space="preserve">FEP exposure if the buyer pays the grid connection fees</t>
  </si>
  <si>
    <t xml:space="preserve">Case A: FEP funds sunk fees, devex and securities only; the Case A detail counts the devex paid by sale A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</si>
  <si>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</si>
  <si>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</si>
  <si>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</si>
  <si>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</si>
  <si>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</si>
  <si>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</si>
  <si>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</si>
  <si>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</si>
  <si>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</si>
  <si>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</si>
  <si>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energy; points only, no BESS revenue or opex modelled)</t>
  </si>
  <si>
    <t xml:space="preserve">Construction capex</t>
  </si>
  <si>
    <t xml:space="preserve">Connection fees (TSO security, direct, indirect)</t>
  </si>
  <si>
    <t xml:space="preserve">TSO connection-request security (returned)</t>
  </si>
  <si>
    <t xml:space="preserve">Bid security (returned)</t>
  </si>
  <si>
    <t xml:space="preserve">Performance security: 0 (returned)</t>
  </si>
  <si>
    <t xml:space="preserve">Municipal one-off</t>
  </si>
  <si>
    <t xml:space="preserve">Land</t>
  </si>
  <si>
    <t xml:space="preserve">Developer premium paid for the RtB project (150 k€/MVA × MVA; replaces FEP's devex, which the buyer does not bear)</t>
  </si>
  <si>
    <t xml:space="preserve">All-in cost to COD for a buyer (securities excluded: returned)</t>
  </si>
  <si>
    <t xml:space="preserve">All-in cost per MW built</t>
  </si>
  <si>
    <t xml:space="preserve">All-in cost per MVA</t>
  </si>
  <si>
    <t xml:space="preserve">Devex breakdown (BORA_Devex 02-Oct-26 items × the scale; tender fee and securities above)</t>
  </si>
  <si>
    <t xml:space="preserve">Development devex (incl. contingency)</t>
  </si>
  <si>
    <t xml:space="preserve">Devex total (= DEVEX lines above; devex items × scale)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</si>
  <si>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</si>
  <si>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</si>
  <si>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</si>
  <si>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</si>
  <si>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</si>
  <si>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post-tax</t>
  </si>
  <si>
    <t xml:space="preserve">MOIC, pre-tax</t>
  </si>
  <si>
    <t xml:space="preserve">IRR, pre-tax</t>
  </si>
  <si>
    <t xml:space="preserve">MOIC, post-tax</t>
  </si>
  <si>
    <t xml:space="preserve">IRR, post-tax</t>
  </si>
  <si>
    <t xml:space="preserve">RTB exit, Case B: FEP pre-funds the grid connection fees, buyer reimburses them at the sale</t>
  </si>
  <si>
    <t xml:space="preserve">COD exit (as the RtB buyer: pays the RtB price, securities and fees at the Case B sale, builds, sells at COD)</t>
  </si>
  <si>
    <t xml:space="preserve">Connection fees (direct, indirect; the TSO security is credited against the indirect fee)</t>
  </si>
  <si>
    <t xml:space="preserve">Development devex: 0 (FEP's cost, replaced by the RtB premium paid at the sale)</t>
  </si>
  <si>
    <t xml:space="preserve">RtB premium paid to FEP at the sale (150 k€/MVA × MVA)</t>
  </si>
  <si>
    <t xml:space="preserve">Total costs to COD (= all-in cost to COD for a buyer)</t>
  </si>
  <si>
    <t xml:space="preserve">Sale price at COD (PV of unlevered post-tax cash flow)</t>
  </si>
  <si>
    <t xml:space="preserve">Buyer profit (sale price at COD less the costs above)</t>
  </si>
  <si>
    <t xml:space="preserve">Hold to maturity (as the RtB buyer; EBITDA, CIT, optional debt)</t>
  </si>
  <si>
    <t xml:space="preserve">Total capex and costs to COD (= all-in cost to COD for a buyer)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</si>
  <si>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</si>
  <si>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</si>
  <si>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</si>
  <si>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</si>
  <si>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</si>
  <si>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life, unlevered</t>
  </si>
  <si>
    <t xml:space="preserve">Project IRR, post-tax</t>
  </si>
  <si>
    <t xml:space="preserve">Debt at COD (draws + capitalised interest)</t>
  </si>
  <si>
    <t xml:space="preserve">Equity IRR, post-tax (geared)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</si>
  <si>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</si>
  <si>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</si>
  <si>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</si>
  <si>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</si>
  <si>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(RtB purchase, capex, fees, securities), net</t>
  </si>
  <si>
    <t xml:space="preserve">Revenue</t>
  </si>
  <si>
    <t xml:space="preserve">Opex</t>
  </si>
  <si>
    <t xml:space="preserve">EBITDA</t>
  </si>
  <si>
    <t xml:space="preserve">Net cash flow</t>
  </si>
  <si>
    <t xml:space="preserve">Net cash flow, post-tax</t>
  </si>
  <si>
    <t xml:space="preserve">Equity cash flow, post-tax (geared)</t>
  </si>
  <si>
    <t xml:space="preserve">Cumulative net cash flow</t>
  </si>
  <si>
    <t xml:space="preserve">Detailed calculations: claims, waterfall, dated flows, timelines, checks – expand the group</t>
  </si>
  <si>
    <t xml:space="preserve">RtB exit, Case B: FEP claims at the sale (interest to the freeze, act/365, capitalised 31-Dec)</t>
  </si>
  <si>
    <t xml:space="preserve">Interest accrual end (earlier of freeze and sale)</t>
  </si>
  <si>
    <t xml:space="preserve">date</t>
  </si>
  <si>
    <t xml:space="preserve">Case B: start of the accrual end year</t>
  </si>
  <si>
    <t xml:space="preserve">Case B, from bid submission: factor in the payment year (if before the end year)</t>
  </si>
  <si>
    <t xml:space="preserve">Case B, from bid submission: factor in the end year (to the accrual end)</t>
  </si>
  <si>
    <t xml:space="preserve">Case B, from bid submission: accrual factor</t>
  </si>
  <si>
    <t xml:space="preserve">Case B, from performance security posting: factor in the payment year (if before the end year)</t>
  </si>
  <si>
    <t xml:space="preserve">Case B, from performance security posting: factor in the end year (to the accrual end)</t>
  </si>
  <si>
    <t xml:space="preserve">Case B, from performance security posting: accrual factor</t>
  </si>
  <si>
    <t xml:space="preserve">Case B, from TSO security payment: factor in the payment year (if before the end year)</t>
  </si>
  <si>
    <t xml:space="preserve">Case B, from TSO security payment: factor in the end year (to the accrual end)</t>
  </si>
  <si>
    <t xml:space="preserve">Case B, from TSO security payment: accrual factor</t>
  </si>
  <si>
    <t xml:space="preserve">Case B, from connection agreement (HCSSZ): factor in the payment year (if before the end year)</t>
  </si>
  <si>
    <t xml:space="preserve">Case B, from connection agreement (HCSSZ): factor in the end year (to the accrual end)</t>
  </si>
  <si>
    <t xml:space="preserve">Case B, from connection agreement (HCSSZ): accrual factor</t>
  </si>
  <si>
    <t xml:space="preserve">Case B, from land payment (amount-weighted): factor in the payment year (if before the end year)</t>
  </si>
  <si>
    <t xml:space="preserve">Case B, from land payment (amount-weighted): factor in the end year (to the accrual end)</t>
  </si>
  <si>
    <t xml:space="preserve">Case B, from land payment (amount-weighted): accrual factor</t>
  </si>
  <si>
    <t xml:space="preserve">Case B, from development devex payment (amount-weighted): factor in the payment year (if before the end year)</t>
  </si>
  <si>
    <t xml:space="preserve">Case B, from development devex payment (amount-weighted): factor in the end year (to the accrual end)</t>
  </si>
  <si>
    <t xml:space="preserve">Case B, from development devex payment (amount-weighted): accrual factor</t>
  </si>
  <si>
    <t xml:space="preserve">Claim on FEP's shareholder loan (JV only): participation fee (not reimbursed)</t>
  </si>
  <si>
    <t xml:space="preserve">Claim on FEP's shareholder loan (JV only): bid security (cash)</t>
  </si>
  <si>
    <t xml:space="preserve">Claim on FEP's shareholder loan (JV only): performance security payable (cash)</t>
  </si>
  <si>
    <t xml:space="preserve">Claim on FEP's shareholder loan (JV only): TSO connection-request security</t>
  </si>
  <si>
    <t xml:space="preserve">Claim on FEP's shareholder loan (JV only): direct connection fee</t>
  </si>
  <si>
    <t xml:space="preserve">Claim on FEP's shareholder loan (JV only): indirect connection fee, payable</t>
  </si>
  <si>
    <t xml:space="preserve">Claim on FEP's shareholder loan (JV only): land, MAX(20 % accrued, 1× principal)</t>
  </si>
  <si>
    <t xml:space="preserve">Claim on FEP's shareholder loan (JV only): development devex, MAX(20 % accrued, 1× principal)</t>
  </si>
  <si>
    <t xml:space="preserve">Total FEP claims on its shareholder loans (JV only)</t>
  </si>
  <si>
    <t xml:space="preserve">Developer success fee due (DSA, capped)</t>
  </si>
  <si>
    <t xml:space="preserve">RtB exit, Case A: buyer pays the grid connection fees directly (FEP does not pre-fund them)</t>
  </si>
  <si>
    <t xml:space="preserve">Grid connection fees paid by the buyer at HCSSZ (direct + indirect, payable)</t>
  </si>
  <si>
    <t xml:space="preserve">Case A devex – land: items paid by sale A (devex file, unscaled)</t>
  </si>
  <si>
    <t xml:space="preserve">Case A devex – land: amount-weighted payment date</t>
  </si>
  <si>
    <t xml:space="preserve">Case A devex – land (× scale)</t>
  </si>
  <si>
    <t xml:space="preserve">Case A devex – development: items paid by sale A (devex file, unscaled)</t>
  </si>
  <si>
    <t xml:space="preserve">Case A devex – development: amount-weighted payment date</t>
  </si>
  <si>
    <t xml:space="preserve">Case A devex – development (× scale)</t>
  </si>
  <si>
    <t xml:space="preserve">FEP cash out to RtB, Case A (peak exposure)</t>
  </si>
  <si>
    <t xml:space="preserve">Case A: interest accrual end (earlier of freeze and sale A)</t>
  </si>
  <si>
    <t xml:space="preserve">Case A: start of the accrual end year</t>
  </si>
  <si>
    <t xml:space="preserve">Case A, from bid submission: factor in the payment year (if before the end year)</t>
  </si>
  <si>
    <t xml:space="preserve">Case A, from bid submission: factor in the end year (to the accrual end)</t>
  </si>
  <si>
    <t xml:space="preserve">Case A, from bid submission: accrual factor</t>
  </si>
  <si>
    <t xml:space="preserve">Case A, from performance security posting: factor in the payment year (if before the end year)</t>
  </si>
  <si>
    <t xml:space="preserve">Case A, from performance security posting: factor in the end year (to the accrual end)</t>
  </si>
  <si>
    <t xml:space="preserve">Case A, from performance security posting: accrual factor</t>
  </si>
  <si>
    <t xml:space="preserve">Case A, from TSO security payment: factor in the payment year (if before the end year)</t>
  </si>
  <si>
    <t xml:space="preserve">Case A, from TSO security payment: factor in the end year (to the accrual end)</t>
  </si>
  <si>
    <t xml:space="preserve">Case A, from TSO security payment: accrual factor</t>
  </si>
  <si>
    <t xml:space="preserve">Case A, from land payment (amount-weighted): factor in the payment year (if before the end year)</t>
  </si>
  <si>
    <t xml:space="preserve">Case A, from land payment (amount-weighted): factor in the end year (to the accrual end)</t>
  </si>
  <si>
    <t xml:space="preserve">Case A, from land payment (amount-weighted): accrual factor</t>
  </si>
  <si>
    <t xml:space="preserve">Case A, from development devex payment (amount-weighted): factor in the payment year (if before the end year)</t>
  </si>
  <si>
    <t xml:space="preserve">Case A, from development devex payment (amount-weighted): factor in the end year (to the accrual end)</t>
  </si>
  <si>
    <t xml:space="preserve">Case A, from development devex payment (amount-weighted): accrual factor</t>
  </si>
  <si>
    <t xml:space="preserve">Case A: claim on FEP's shareholder loan (JV only): participation fee (not reimbursed)</t>
  </si>
  <si>
    <t xml:space="preserve">Case A: claim on FEP's shareholder loan (JV only): bid security (cash)</t>
  </si>
  <si>
    <t xml:space="preserve">Case A: claim on FEP's shareholder loan (JV only): performance security payable (cash)</t>
  </si>
  <si>
    <t xml:space="preserve">Case A: claim on FEP's shareholder loan (JV only): TSO connection-request security</t>
  </si>
  <si>
    <t xml:space="preserve">Case A: claim on FEP's shareholder loan (JV only): land, MAX(20 % accrued, 1× principal)</t>
  </si>
  <si>
    <t xml:space="preserve">Case A: claim on FEP's shareholder loan (JV only): development devex, MAX(20 % accrued, 1× principal)</t>
  </si>
  <si>
    <t xml:space="preserve">Total FEP claims on its shareholder loans, Case A (JV only; no connection-fee claims)</t>
  </si>
  <si>
    <t xml:space="preserve">Case A: developer success fee due (DSA to sale A, capped)</t>
  </si>
  <si>
    <t xml:space="preserve">Waterfall at the sale, Case A</t>
  </si>
  <si>
    <t xml:space="preserve">Buyer reimburses securities at cost (no connection fees to reimburse)</t>
  </si>
  <si>
    <t xml:space="preserve">Buyer pays the land at cost (on top of the premium)</t>
  </si>
  <si>
    <t xml:space="preserve">Total proceeds</t>
  </si>
  <si>
    <t xml:space="preserve">Less sale costs</t>
  </si>
  <si>
    <t xml:space="preserve">Less securities repaid to FEP</t>
  </si>
  <si>
    <t xml:space="preserve">Less land repaid to FEP at cost</t>
  </si>
  <si>
    <t xml:space="preserve">Less FEP claims at 12 % on FEP's shareholder loan (JV only)</t>
  </si>
  <si>
    <t xml:space="preserve">Less FEP land and devex return on FEP's shareholder loan (JV only)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</si>
  <si>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</si>
  <si>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</si>
  <si>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</si>
  <si>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</si>
  <si>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profit, Case A (at sale A): what the buyer pays, less deductions</t>
  </si>
  <si>
    <t xml:space="preserve">Date: Bora</t>
  </si>
  <si>
    <t xml:space="preserve">RtB premium paid by the buyer (150 k EUR/MVA × MVA)</t>
  </si>
  <si>
    <t xml:space="preserve">Land: 0 (bought by the RtB buyer at cost; FEP's land outlay is repaid, not deducted)</t>
  </si>
  <si>
    <t xml:space="preserve">Bid security: 0 (paid back to FEP at the sale)</t>
  </si>
  <si>
    <t xml:space="preserve">Performance security: 0 (paid back to FEP at the sale)</t>
  </si>
  <si>
    <t xml:space="preserve">Less: sale costs</t>
  </si>
  <si>
    <t xml:space="preserve">Less: developer success fee (DSA)</t>
  </si>
  <si>
    <t xml:space="preserve">Less: developer share of distributable proceeds</t>
  </si>
  <si>
    <t xml:space="preserve">FEP claims at 12 % on FEP's shareholder loan (interest, JV only)</t>
  </si>
  <si>
    <t xml:space="preserve">FEP land and devex return on FEP's shareholder loan (JV only)</t>
  </si>
  <si>
    <t xml:space="preserve">FEP receipts at sale A (claims + return + FEP share)</t>
  </si>
  <si>
    <t xml:space="preserve">Less: signing fee and DD</t>
  </si>
  <si>
    <t xml:space="preserve">Less: participation fee (not reimbursed)</t>
  </si>
  <si>
    <t xml:space="preserve">Less: development devex</t>
  </si>
  <si>
    <t xml:space="preserve">FEP profit, pre-tax</t>
  </si>
  <si>
    <t xml:space="preserve">CIT on the exit gain (0 while the participation exemption flag is on)</t>
  </si>
  <si>
    <t xml:space="preserve">CIT on the interest of FEP's shareholder loans (JV only; paid yearly as capitalised)</t>
  </si>
  <si>
    <t xml:space="preserve">MOIC, pre-tax (dated cash flows below)</t>
  </si>
  <si>
    <t xml:space="preserve">IRR, pre-tax (dated cash flows below)</t>
  </si>
  <si>
    <t xml:space="preserve">Memo: pre-tax profit vs Case B (connection-fee claims no longer earned, FEP share)</t>
  </si>
  <si>
    <t xml:space="preserve">Memo: FEP dated cash flows, Case A, for MOIC and IRR (securities are paid and repaid at cost: net zero, excluded from the profit above)</t>
  </si>
  <si>
    <t xml:space="preserve">Factor to the first 31-Dec: Bora</t>
  </si>
  <si>
    <t xml:space="preserve">Factor to the first 31-Dec: Iváncsa</t>
  </si>
  <si>
    <t xml:space="preserve">Factor to the first 31-Dec: Dunaújváros</t>
  </si>
  <si>
    <t xml:space="preserve">Performance security payable</t>
  </si>
  <si>
    <t xml:space="preserve">Development devex</t>
  </si>
  <si>
    <t xml:space="preserve">FEP receipts at sale A (receipts above + securities and land repaid)</t>
  </si>
  <si>
    <t xml:space="preserve">CIT on the interest capitalised at 31-Dec-2026</t>
  </si>
  <si>
    <t xml:space="preserve">CIT on the interest capitalised at 31-Dec-2027</t>
  </si>
  <si>
    <t xml:space="preserve">CIT on the interest capitalised at 31-Dec-2028</t>
  </si>
  <si>
    <t xml:space="preserve">CIT on the rest at the sale (stub to the accrual end, devex floor top-up)</t>
  </si>
  <si>
    <t xml:space="preserve">MOIC, post-tax (dated cash flows incl. the CIT rows)</t>
  </si>
  <si>
    <t xml:space="preserve">IRR, post-tax (dated cash flows incl. the CIT rows)</t>
  </si>
  <si>
    <t xml:space="preserve">RtB exit, Case B: waterfall at the sale</t>
  </si>
  <si>
    <t xml:space="preserve">Buyer reimburses securities and connection fees at cost</t>
  </si>
  <si>
    <t xml:space="preserve">Less securities and fees repaid to FEP</t>
  </si>
  <si>
    <t xml:space="preserve">FEP profit, Case B (at the sale): what the buyer pays, less deductions</t>
  </si>
  <si>
    <t xml:space="preserve">FEP receipts at the sale (claims + return + FEP share)</t>
  </si>
  <si>
    <t xml:space="preserve">Memo: FEP dated cash flows, Case B, for MOIC and IRR (securities and connection fees are paid and repaid at cost: net zero, excluded from the profit above)</t>
  </si>
  <si>
    <t xml:space="preserve">Direct connection fee</t>
  </si>
  <si>
    <t xml:space="preserve">Indirect connection fee, payable</t>
  </si>
  <si>
    <t xml:space="preserve">FEP receipts at the sale (receipts above + securities, fees and land repaid)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</si>
  <si>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</si>
  <si>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</si>
  <si>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</si>
  <si>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</si>
  <si>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</si>
  <si>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</si>
  <si>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</si>
  <si>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</si>
  <si>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</si>
  <si>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</si>
  <si>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</si>
  <si>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</si>
  <si>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Buyer pays at the Case B sale: RtB premium, land at cost, securities and connection fees reimbursed to FEP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</si>
  <si>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</si>
  <si>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</si>
  <si>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</si>
  <si>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</si>
  <si>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</si>
  <si>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</si>
  <si>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</si>
  <si>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</si>
  <si>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</si>
  <si>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</si>
  <si>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</si>
  <si>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</si>
  <si>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</si>
  <si>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</si>
  <si>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</si>
  <si>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</si>
  <si>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</si>
  <si>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</si>
  <si>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share of the year (Tax_Dep_Life years from COD)</t>
  </si>
  <si>
    <t xml:space="preserve">Depreciable base, unlevered (construction capex, connection fees, municipal)</t>
  </si>
  <si>
    <t xml:space="preserve">Tax depreciation, unlevered</t>
  </si>
  <si>
    <t xml:space="preserve">CIT, unlevered</t>
  </si>
  <si>
    <t xml:space="preserve">Unlevered post-tax cash flow</t>
  </si>
  <si>
    <t xml:space="preserve">Debt size (gearing × all-in cost to COD)</t>
  </si>
  <si>
    <t xml:space="preserve">Debt drawn (pro rata with construction)</t>
  </si>
  <si>
    <t xml:space="preserve">Interest during construction, capitalised (on draws and IDC to date, mid-year draws)</t>
  </si>
  <si>
    <t xml:space="preserve">Debt upfront fee at the first draw (equity-paid; deductible in the year paid, no loss carry-forward)</t>
  </si>
  <si>
    <t xml:space="preserve">Interest paid</t>
  </si>
  <si>
    <t xml:space="preserve">Debt service (interest in the COD year; annuity from the first full operating year)</t>
  </si>
  <si>
    <t xml:space="preserve">Principal repaid</t>
  </si>
  <si>
    <t xml:space="preserve">Debt balance, closing</t>
  </si>
  <si>
    <t xml:space="preserve">Tax depreciation of the capitalised interest</t>
  </si>
  <si>
    <t xml:space="preserve">CIT, levered (interest deductible)</t>
  </si>
  <si>
    <t xml:space="preserve">DSCR (EBITDA + CIT) ÷ debt service</t>
  </si>
  <si>
    <t xml:space="preserve">Discount factor to COD (buyer's rate)</t>
  </si>
  <si>
    <t xml:space="preserve">Unlevered post-tax cash flow valued at COD (total = COD price)</t>
  </si>
  <si>
    <t xml:space="preserve">COD exit: buyer's cash flow (to COD, price and securities at COD)</t>
  </si>
  <si>
    <t xml:space="preserve">FEP shareholder loans to the JV (RtB cases): balance at 31-Dec and interest capitalised, taxed yearly</t>
  </si>
  <si>
    <t xml:space="preserve">Case B: loan balance at 31-Dec, cash lines</t>
  </si>
  <si>
    <t xml:space="preserve">Case B: loan balance at 31-Dec, land and devex</t>
  </si>
  <si>
    <t xml:space="preserve">Case B: loans drawn in the year</t>
  </si>
  <si>
    <t xml:space="preserve">Case B: interest capitalised in the year (taxable at FEP)</t>
  </si>
  <si>
    <t xml:space="preserve">Case A: loan balance at 31-Dec, cash lines</t>
  </si>
  <si>
    <t xml:space="preserve">Case A: loan balance at 31-Dec, land and devex</t>
  </si>
  <si>
    <t xml:space="preserve">Case A: loans drawn in the year</t>
  </si>
  <si>
    <t xml:space="preserve">Case A: interest capitalised in the year (taxable at FEP)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</si>
  <si>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</si>
  <si>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</si>
  <si>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</si>
  <si>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Buyer profit, post-tax</t>
  </si>
  <si>
    <t xml:space="preserve">Checks (0 = OK)</t>
  </si>
  <si>
    <t xml:space="preserve">Case B dated cash flows tie to the post-tax profit</t>
  </si>
  <si>
    <t xml:space="preserve">Turbine route is EU or CN</t>
  </si>
  <si>
    <t xml:space="preserve">Devex items × scale = project devex (land + development)</t>
  </si>
  <si>
    <t xml:space="preserve">Construction capex spread in full (timeline = capex)</t>
  </si>
  <si>
    <t xml:space="preserve">Investment cash flows = all-in cost to COD for a buyer (RtB price, capex, fees, municipal, land)</t>
  </si>
  <si>
    <t xml:space="preserve">Operating life inside the timeline</t>
  </si>
  <si>
    <t xml:space="preserve">Sale date A before the HCSSZ date (Case A exits before the connection fees)</t>
  </si>
  <si>
    <t xml:space="preserve">COD cost stack = timeline investment flows</t>
  </si>
  <si>
    <t xml:space="preserve">Case A dated cash flows tie to the post-tax profit</t>
  </si>
  <si>
    <t xml:space="preserve">Debt repaid by the end of the tenor (closing balance in the last timeline year = 0)</t>
  </si>
  <si>
    <t xml:space="preserve">RtB loan CIT: the rest taxed at the sale is ≤ 0 (yearly schedule does not over-accrue), Case B + Case A</t>
  </si>
  <si>
    <t xml:space="preserve">No errors in the summary block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</si>
  <si>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</si>
  <si>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</si>
  <si>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</si>
  <si>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</si>
  <si>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</si>
  <si>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</si>
  <si>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</si>
  <si>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</si>
  <si>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</si>
  <si>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</si>
  <si>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</si>
  <si>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</si>
  <si>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</si>
  <si>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</si>
  <si>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</si>
  <si>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</si>
  <si>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</si>
  <si>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</si>
  <si>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</si>
  <si>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</si>
  <si>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</si>
  <si>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</si>
  <si>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</si>
  <si>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</si>
  <si>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</si>
  <si>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</si>
  <si>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</si>
  <si>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</si>
  <si>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</si>
  <si>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</si>
  <si>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</si>
  <si>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user, 29-Oct-2026</t>
  </si>
  <si>
    <t xml:space="preserve">Devex scale (bid MVA ÷ 200 MVA of the devex file)</t>
  </si>
  <si>
    <t xml:space="preserve">SPEC §26.2: 50/200; 1 = the full devex file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</si>
  <si>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</si>
  <si>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</si>
  <si>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</si>
  <si>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</si>
  <si>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</si>
  <si>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</si>
  <si>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</si>
  <si>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</si>
  <si>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</si>
  <si>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</si>
  <si>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</si>
  <si>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</si>
  <si>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</si>
  <si>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</si>
  <si>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</si>
  <si>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</si>
  <si>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</si>
  <si>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</si>
  <si>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</si>
  <si>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</si>
  <si>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</si>
  <si>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</si>
  <si>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</si>
  <si>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</si>
  <si>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</si>
  <si>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</si>
  <si>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</si>
  <si>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</si>
  <si>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</si>
  <si>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date, Case B (RtB exit after HCSSZ)</t>
  </si>
  <si>
    <t xml:space="preserve">Bora Inputs E58; SPEC §21.1</t>
  </si>
  <si>
    <t xml:space="preserve">Sale date, Case A (before HCSSZ)</t>
  </si>
  <si>
    <t xml:space="preserve">SPEC §25.2 (user, 28-Oct-2026)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</si>
  <si>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</si>
  <si>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</si>
  <si>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</si>
  <si>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</si>
  <si>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</si>
  <si>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</si>
  <si>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(operating profit; exit gains)</t>
  </si>
  <si>
    <t xml:space="preserve">SPEC §27 (exits exempt by the flag below)</t>
  </si>
  <si>
    <t xml:space="preserve">Share deal, participation exemption on the share gain (1 = on); claims taxed as interest</t>
  </si>
  <si>
    <t xml:space="preserve">user, 27-Oct-2026 (share deal)</t>
  </si>
  <si>
    <t xml:space="preserve">Tax and debt (hold case)</t>
  </si>
  <si>
    <t xml:space="preserve">Tax depreciation life (straight line on the depreciable base, from COD)</t>
  </si>
  <si>
    <t xml:space="preserve">HU CIT Act Annex 2, 5 % p.a. power plants – to confirm</t>
  </si>
  <si>
    <t xml:space="preserve">Gearing (debt ÷ all-in cost to COD)</t>
  </si>
  <si>
    <t xml:space="preserve">user, 27-Oct-2026</t>
  </si>
  <si>
    <t xml:space="preserve">Debt interest rate</t>
  </si>
  <si>
    <t xml:space="preserve">Bora model Inputs G220</t>
  </si>
  <si>
    <t xml:space="preserve">Debt tenor (annuity from the first full operating year)</t>
  </si>
  <si>
    <t xml:space="preserve">Bora model Inputs G222</t>
  </si>
  <si>
    <t xml:space="preserve">Debt upfront fee (on the debt size, at the first draw)</t>
  </si>
  <si>
    <t xml:space="preserve">Bora model Inputs E85 / HTM E85</t>
  </si>
  <si>
    <t xml:space="preserve">Share of the year's draw bearing interest in that year (mid-year draws)</t>
  </si>
  <si>
    <t xml:space="preserve">Bora model HTM (IDC on half the year's draw)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</si>
  <si>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</si>
  <si>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</si>
  <si>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</si>
  <si>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</si>
  <si>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</si>
  <si>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</si>
  <si>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</si>
  <si>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Land is in the devex (Inputs rows 87, 88, 118) and bought by the RtB buyer at cost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</si>
  <si>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</si>
  <si>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</si>
  <si>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</si>
  <si>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</si>
  <si>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</si>
  <si>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</si>
  <si>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</si>
  <si>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</si>
  <si>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</si>
  <si>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</si>
  <si>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</si>
  <si>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</si>
  <si>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</si>
  <si>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</si>
  <si>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</si>
  <si>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</si>
  <si>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</si>
  <si>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</si>
  <si>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</si>
  <si>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</si>
  <si>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</si>
  <si>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</si>
  <si>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</si>
  <si>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</si>
  <si>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</si>
  <si>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</si>
  <si>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</si>
  <si>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</si>
  <si>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</si>
  <si>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</si>
  <si>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</si>
  <si>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</si>
  <si>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</si>
  <si>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</si>
  <si>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</si>
  <si>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</si>
  <si>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</si>
  <si>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</si>
  <si>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</si>
  <si>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</si>
  <si>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</si>
  <si>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</si>
  <si>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</si>
  <si>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</si>
  <si>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</si>
  <si>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</si>
  <si>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</si>
  <si>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unlevered post-tax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</si>
  <si>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</si>
  <si>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</si>
  <si>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</si>
  <si>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</si>
  <si>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</si>
  <si>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</si>
  <si>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days</t>
  </si>
  <si>
    <t xml:space="preserve">Months in a year</t>
  </si>
  <si>
    <t xml:space="preserve">Check tolerance</t>
  </si>
  <si>
    <t xml:space="preserve">Devex items (BORA_Devex 02-Oct-26; all projects × the scale): HUF | date | class</t>
  </si>
  <si>
    <t xml:space="preserve">Capacity allocation process - Awarding – Land reservation fee</t>
  </si>
  <si>
    <t xml:space="preserve">BORA_Devex 02-Oct-26 row 14</t>
  </si>
  <si>
    <t xml:space="preserve">Capacity allocation process - Awarding – Land purchase price</t>
  </si>
  <si>
    <t xml:space="preserve">BORA_Devex 02-Oct-26 row 15</t>
  </si>
  <si>
    <t xml:space="preserve">Grid connection plan – Design fee</t>
  </si>
  <si>
    <t xml:space="preserve">Devex</t>
  </si>
  <si>
    <t xml:space="preserve">BORA_Devex 02-Oct-26 row 16</t>
  </si>
  <si>
    <t xml:space="preserve">Grid connection plan – Administrative fee</t>
  </si>
  <si>
    <t xml:space="preserve">BORA_Devex 02-Oct-26 row 17</t>
  </si>
  <si>
    <t xml:space="preserve">Land contracting (additional land) – Legal fee, agent fee</t>
  </si>
  <si>
    <t xml:space="preserve">BORA_Devex 02-Oct-26 row 20</t>
  </si>
  <si>
    <t xml:space="preserve">Wind measurement – Met Masts</t>
  </si>
  <si>
    <t xml:space="preserve">BORA_Devex 02-Oct-26 row 21</t>
  </si>
  <si>
    <t xml:space="preserve">Wind measurement – Design fee</t>
  </si>
  <si>
    <t xml:space="preserve">BORA_Devex 02-Oct-26 row 22</t>
  </si>
  <si>
    <t xml:space="preserve">Wind measurement – EYA</t>
  </si>
  <si>
    <t xml:space="preserve">BORA_Devex 02-Oct-26 row 23</t>
  </si>
  <si>
    <t xml:space="preserve">Land reclassification – Administrative fee</t>
  </si>
  <si>
    <t xml:space="preserve">BORA_Devex 02-Oct-26 row 24</t>
  </si>
  <si>
    <t xml:space="preserve">Land reclassification – Report fee</t>
  </si>
  <si>
    <t xml:space="preserve">BORA_Devex 02-Oct-26 row 25</t>
  </si>
  <si>
    <t xml:space="preserve">Zoning plan modification – Design fee</t>
  </si>
  <si>
    <t xml:space="preserve">BORA_Devex 02-Oct-26 row 26</t>
  </si>
  <si>
    <t xml:space="preserve">Municipality donation – Donation</t>
  </si>
  <si>
    <t xml:space="preserve">BORA_Devex 02-Oct-26 row 27</t>
  </si>
  <si>
    <t xml:space="preserve">Environmental assessment – Bird-bat monitoring</t>
  </si>
  <si>
    <t xml:space="preserve">BORA_Devex 02-Oct-26 row 28</t>
  </si>
  <si>
    <t xml:space="preserve">Environmental assessment – Administrative fee</t>
  </si>
  <si>
    <t xml:space="preserve">BORA_Devex 02-Oct-26 row 29</t>
  </si>
  <si>
    <t xml:space="preserve">Environmental assessment – Assessment fee</t>
  </si>
  <si>
    <t xml:space="preserve">BORA_Devex 02-Oct-26 row 30</t>
  </si>
  <si>
    <t xml:space="preserve">Other project development – Geotechnical assessment fee</t>
  </si>
  <si>
    <t xml:space="preserve">BORA_Devex 02-Oct-26 row 31</t>
  </si>
  <si>
    <t xml:space="preserve">Other project development – Archaeological</t>
  </si>
  <si>
    <t xml:space="preserve">BORA_Devex 02-Oct-26 row 32</t>
  </si>
  <si>
    <t xml:space="preserve">Other project development – Topography</t>
  </si>
  <si>
    <t xml:space="preserve">BORA_Devex 02-Oct-26 row 33</t>
  </si>
  <si>
    <t xml:space="preserve">Building permit - Turbines – Administrative fee</t>
  </si>
  <si>
    <t xml:space="preserve">BORA_Devex 02-Oct-26 row 34</t>
  </si>
  <si>
    <t xml:space="preserve">Building permit - Turbines – Design fee</t>
  </si>
  <si>
    <t xml:space="preserve">BORA_Devex 02-Oct-26 row 35</t>
  </si>
  <si>
    <t xml:space="preserve">Cable right – Administrative fee</t>
  </si>
  <si>
    <t xml:space="preserve">BORA_Devex 02-Oct-26 row 36</t>
  </si>
  <si>
    <t xml:space="preserve">Cable right – Design fee</t>
  </si>
  <si>
    <t xml:space="preserve">BORA_Devex 02-Oct-26 row 37</t>
  </si>
  <si>
    <t xml:space="preserve">Cable right – Compensation</t>
  </si>
  <si>
    <t xml:space="preserve">BORA_Devex 02-Oct-26 row 38</t>
  </si>
  <si>
    <t xml:space="preserve">Building permit - Substation, switching station – Administrative fee</t>
  </si>
  <si>
    <t xml:space="preserve">BORA_Devex 02-Oct-26 row 39</t>
  </si>
  <si>
    <t xml:space="preserve">Building permit - Substation, switching station – Design fee</t>
  </si>
  <si>
    <t xml:space="preserve">BORA_Devex 02-Oct-26 row 40</t>
  </si>
  <si>
    <t xml:space="preserve">Building permit - BESS – Administrative fee</t>
  </si>
  <si>
    <t xml:space="preserve">BORA_Devex 02-Oct-26 row 41</t>
  </si>
  <si>
    <t xml:space="preserve">Building permit - BESS – Design fee</t>
  </si>
  <si>
    <t xml:space="preserve">BORA_Devex 02-Oct-26 row 42</t>
  </si>
  <si>
    <t xml:space="preserve">HEPURA permit – Administrative fee</t>
  </si>
  <si>
    <t xml:space="preserve">BORA_Devex 02-Oct-26 row 43</t>
  </si>
  <si>
    <t xml:space="preserve">HEPURA permit – Report fee</t>
  </si>
  <si>
    <t xml:space="preserve">BORA_Devex 02-Oct-26 row 44</t>
  </si>
  <si>
    <t xml:space="preserve">Legal costs – Legal costs</t>
  </si>
  <si>
    <t xml:space="preserve">BORA_Devex 02-Oct-26 row 45; continuous: 31-Dec-27</t>
  </si>
  <si>
    <t xml:space="preserve">Financial costs – Financial costs</t>
  </si>
  <si>
    <t xml:space="preserve">BORA_Devex 02-Oct-26 row 46; continuous: 31-Dec-27</t>
  </si>
  <si>
    <t xml:space="preserve">RtB – Land purchase price</t>
  </si>
  <si>
    <t xml:space="preserve">BORA_Devex 02-Oct-26 row 47</t>
  </si>
  <si>
    <t xml:space="preserve">Contingency – Contingency</t>
  </si>
  <si>
    <t xml:space="preserve">BORA_Devex 02-Oct-26 row 48; continuous: 31-Dec-27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</si>
  <si>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</si>
  <si>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</si>
  <si>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</si>
  <si>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</si>
  <si>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</si>
  <si>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</si>
  <si>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</si>
  <si>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</si>
  <si>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</si>
  <si>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</si>
  <si>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</si>
  <si>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Osz4_LB</t>
  </si>
  <si>
    <t xml:space="preserve">Osz4_Incl</t>
  </si>
  <si>
    <t xml:space="preserve">Osz4_Pts</t>
  </si>
  <si>
    <t xml:space="preserve">Kiírás Annex 4, ÖSZ-4: 2&lt;x&lt;5:10 … 40≤x&lt;50:90, 50&lt;x:100 (x = 50 % not defined; scored 90)</t>
  </si>
  <si>
    <t xml:space="preserve">Osz6_LB</t>
  </si>
  <si>
    <t xml:space="preserve">Osz6_Incl</t>
  </si>
  <si>
    <t xml:space="preserve">Kiírás Annex 4, ÖSZ-6: 100 pts only if x &gt; 200 % (strict); 190≤x&lt;200: 90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</si>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</sst>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#,##0"/>
    <numFmt numFmtId="172" formatCode="d\-mmm\-yy"/>
    <numFmt numFmtId="173" formatCode="0.0%"/>
    <numFmt numFmtId="174" formatCode="0.0000"/>
    <numFmt numFmtId="175" formatCode="_(* #,##0.00_);_(* \(#,##0.00\);_(* \-??_);_(@_)"/>
    <numFmt numFmtId="176" formatCode="_-* #,##0.00_-;\-* #,##0.00_-;_-* \-??_-;_-@_-"/>
    <numFmt numFmtId="177" formatCode="#,##0.00;\(#,##0.00\);\–"/>
    <numFmt numFmtId="178" formatCode="0;\-0;\–"/>
    <numFmt numFmtId="179" formatCode="0.000;\(0.000\);\–"/>
    <numFmt numFmtId="180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b val="true"/>
      <i val="true"/>
      <sz val="10"/>
      <color rgb="FF808080"/>
      <name val="Aptos Narrow"/>
      <family val="0"/>
      <charset val="1"/>
    </font>
    <font>
      <sz val="10"/>
      <color rgb="FF808080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sz val="10"/>
      <name val="Arial"/>
      <family val="0"/>
      <charset val="1"/>
    </font>
    <font>
      <b val="true"/>
      <sz val="10"/>
      <color rgb="FF808080"/>
      <name val="Aptos Narro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rgb="FFE6F4EC"/>
        <bgColor rgb="FFF2F2F2"/>
      </patternFill>
    </fill>
    <fill>
      <patternFill patternType="solid">
        <fgColor theme="0" tint="-0.05"/>
        <bgColor rgb="FFE6F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ADA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W55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E128" activeCellId="0" sqref="E128"/>
    </sheetView>
  </sheetViews>
  <sheetFormatPr defaultColWidth="8.6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9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fals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0.2</v>
      </c>
      <c r="F7" s="9" t="n">
        <v>0.4</v>
      </c>
      <c r="G7" s="9" t="n">
        <v>0.4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0.1</v>
      </c>
      <c r="F8" s="9" t="n">
        <v>0.2</v>
      </c>
      <c r="G8" s="9" t="n">
        <v>0.2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0.1</v>
      </c>
      <c r="F10" s="9" t="n">
        <v>0.1</v>
      </c>
      <c r="G10" s="9" t="n">
        <v>0.1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1" customFormat="false" ht="14.25" hidden="false" customHeight="false" outlineLevel="0" collapsed="false">
      <c r="C21" s="6" t="s">
        <v>31</v>
      </c>
      <c r="D21" s="2" t="s">
        <v>2</v>
      </c>
      <c r="E21" s="11" t="n">
        <v>1</v>
      </c>
      <c r="F21" s="11" t="n">
        <v>0</v>
      </c>
      <c r="G21" s="11" t="n">
        <v>0</v>
      </c>
    </row>
    <row r="22" customFormat="false" ht="14.25" hidden="false" customHeight="false" outlineLevel="0" collapsed="false">
      <c r="C22" s="6" t="s">
        <v>32</v>
      </c>
      <c r="D22" s="2" t="s">
        <v>33</v>
      </c>
      <c r="E22" s="14" t="n">
        <v>2500</v>
      </c>
      <c r="F22" s="14" t="n">
        <v>2500</v>
      </c>
      <c r="G22" s="14" t="n">
        <v>2500</v>
      </c>
    </row>
    <row r="24" customFormat="false" ht="14.25" hidden="false" customHeight="false" outlineLevel="0" collapsed="false">
      <c r="B24" s="4" t="s">
        <v>3</v>
      </c>
      <c r="C24" s="4" t="s">
        <v>34</v>
      </c>
      <c r="D24" s="4"/>
      <c r="E24" s="5" t="s">
        <v>35</v>
      </c>
      <c r="F24" s="5" t="s">
        <v>36</v>
      </c>
      <c r="G24" s="5" t="s">
        <v>37</v>
      </c>
      <c r="H24" s="5" t="s">
        <v>38</v>
      </c>
    </row>
    <row r="25" customFormat="false" ht="14.25" hidden="false" customHeight="false" outlineLevel="0" collapsed="false">
      <c r="C25" s="1" t="s">
        <v>39</v>
      </c>
      <c r="D25" s="2" t="s">
        <v>40</v>
      </c>
      <c r="H25" s="13" t="s">
        <v>35</v>
      </c>
    </row>
    <row r="26" customFormat="false" ht="14.25" hidden="false" customHeight="false" outlineLevel="0" collapsed="false">
      <c r="C26" s="6" t="s">
        <v>41</v>
      </c>
      <c r="D26" s="2" t="s">
        <v>42</v>
      </c>
      <c r="E26" s="7" t="n">
        <v>850</v>
      </c>
      <c r="F26" s="7" t="n">
        <v>950</v>
      </c>
      <c r="G26" s="7" t="n">
        <v>800</v>
      </c>
      <c r="H26" s="15" t="n">
        <f aca="false">INDEX(E26:G26,MATCH(Dash_Case,$E$24:$G$24,0))</f>
        <v>850</v>
      </c>
      <c r="J26" s="2" t="s">
        <v>43</v>
      </c>
    </row>
    <row r="27" customFormat="false" ht="14.25" hidden="false" customHeight="false" outlineLevel="0" collapsed="false">
      <c r="C27" s="6" t="s">
        <v>44</v>
      </c>
      <c r="D27" s="2" t="s">
        <v>42</v>
      </c>
      <c r="E27" s="7" t="n">
        <v>500</v>
      </c>
      <c r="F27" s="7" t="n">
        <v>600</v>
      </c>
      <c r="G27" s="7" t="n">
        <v>480</v>
      </c>
      <c r="H27" s="15" t="n">
        <f aca="false">INDEX(E27:G27,MATCH(Dash_Case,$E$24:$G$24,0))</f>
        <v>500</v>
      </c>
      <c r="J27" s="2" t="s">
        <v>45</v>
      </c>
    </row>
    <row r="28" customFormat="false" ht="14.25" hidden="false" customHeight="false" outlineLevel="0" collapsed="false">
      <c r="C28" s="6" t="s">
        <v>46</v>
      </c>
      <c r="D28" s="2" t="s">
        <v>20</v>
      </c>
      <c r="E28" s="10" t="n">
        <v>90</v>
      </c>
      <c r="F28" s="10" t="n">
        <v>90</v>
      </c>
      <c r="G28" s="10" t="n">
        <v>100</v>
      </c>
      <c r="H28" s="16" t="n">
        <f aca="false">INDEX(E28:G28,MATCH(Dash_Case,$E$24:$G$24,0))</f>
        <v>90</v>
      </c>
      <c r="J28" s="2" t="s">
        <v>47</v>
      </c>
    </row>
    <row r="29" customFormat="false" ht="14.25" hidden="false" customHeight="false" outlineLevel="0" collapsed="false">
      <c r="C29" s="6" t="s">
        <v>48</v>
      </c>
      <c r="D29" s="2" t="s">
        <v>33</v>
      </c>
      <c r="E29" s="7" t="n">
        <v>2400</v>
      </c>
      <c r="F29" s="7" t="n">
        <v>2350</v>
      </c>
      <c r="G29" s="7" t="n">
        <v>2500</v>
      </c>
      <c r="H29" s="15" t="n">
        <f aca="false">INDEX(E29:G29,MATCH(Dash_Case,$E$24:$G$24,0))</f>
        <v>2400</v>
      </c>
      <c r="J29" s="2" t="s">
        <v>49</v>
      </c>
    </row>
    <row r="30" customFormat="false" ht="14.25" hidden="false" customHeight="false" outlineLevel="0" collapsed="false">
      <c r="C30" s="6" t="s">
        <v>50</v>
      </c>
      <c r="D30" s="2" t="s">
        <v>51</v>
      </c>
      <c r="E30" s="10" t="n">
        <v>12</v>
      </c>
      <c r="F30" s="10" t="n">
        <v>12</v>
      </c>
      <c r="G30" s="10" t="n">
        <v>10</v>
      </c>
      <c r="H30" s="16" t="n">
        <f aca="false">INDEX(E30:G30,MATCH(Dash_Case,$E$24:$G$24,0))</f>
        <v>12</v>
      </c>
      <c r="J30" s="2" t="s">
        <v>52</v>
      </c>
    </row>
    <row r="32" customFormat="false" ht="14.25" hidden="false" customHeight="false" outlineLevel="0" collapsed="false">
      <c r="B32" s="4" t="s">
        <v>3</v>
      </c>
      <c r="C32" s="4" t="s">
        <v>53</v>
      </c>
      <c r="D32" s="4"/>
      <c r="E32" s="5" t="s">
        <v>5</v>
      </c>
      <c r="F32" s="5" t="s">
        <v>6</v>
      </c>
      <c r="G32" s="5" t="s">
        <v>7</v>
      </c>
      <c r="H32" s="5" t="s">
        <v>8</v>
      </c>
    </row>
    <row r="33" customFormat="false" ht="14.25" hidden="false" customHeight="false" outlineLevel="0" collapsed="false">
      <c r="C33" s="6" t="s">
        <v>54</v>
      </c>
      <c r="D33" s="2" t="s">
        <v>55</v>
      </c>
      <c r="E33" s="17" t="n">
        <f aca="false">INDEX(Osz1_Pts,1+SUMPRODUCT((Osz1_LB&lt;E11)+(Osz1_LB=E11)*Osz1_Incl))*Osz1_W</f>
        <v>4</v>
      </c>
      <c r="F33" s="17" t="n">
        <f aca="false">INDEX(Osz1_Pts,1+SUMPRODUCT((Osz1_LB&lt;F11)+(Osz1_LB=F11)*Osz1_Incl))*Osz1_W</f>
        <v>20</v>
      </c>
      <c r="G33" s="17" t="n">
        <f aca="false">INDEX(Osz1_Pts,1+SUMPRODUCT((Osz1_LB&lt;G11)+(Osz1_LB=G11)*Osz1_Incl))*Osz1_W</f>
        <v>20</v>
      </c>
    </row>
    <row r="34" customFormat="false" ht="14.25" hidden="false" customHeight="false" outlineLevel="0" collapsed="false">
      <c r="C34" s="6" t="s">
        <v>56</v>
      </c>
      <c r="D34" s="2" t="s">
        <v>55</v>
      </c>
      <c r="E34" s="17" t="n">
        <f aca="false">INDEX(Osz2_Pts,1+SUMPRODUCT((Osz2_LB&lt;E12)+(Osz2_LB=E12)*Osz2_Incl))*Osz2_W</f>
        <v>0</v>
      </c>
      <c r="F34" s="17" t="n">
        <f aca="false">INDEX(Osz2_Pts,1+SUMPRODUCT((Osz2_LB&lt;F12)+(Osz2_LB=F12)*Osz2_Incl))*Osz2_W</f>
        <v>15</v>
      </c>
      <c r="G34" s="17" t="n">
        <f aca="false">INDEX(Osz2_Pts,1+SUMPRODUCT((Osz2_LB&lt;G12)+(Osz2_LB=G12)*Osz2_Incl))*Osz2_W</f>
        <v>15</v>
      </c>
    </row>
    <row r="35" customFormat="false" ht="14.25" hidden="false" customHeight="false" outlineLevel="0" collapsed="false">
      <c r="C35" s="6" t="s">
        <v>57</v>
      </c>
      <c r="D35" s="2" t="s">
        <v>55</v>
      </c>
      <c r="E35" s="17" t="n">
        <f aca="false">INDEX(Osz3_Pts,1+SUMPRODUCT((Osz3_LB&lt;E7)+(Osz3_LB=E7)*Osz3_Incl))*Osz3_W</f>
        <v>5</v>
      </c>
      <c r="F35" s="17" t="n">
        <f aca="false">INDEX(Osz3_Pts,1+SUMPRODUCT((Osz3_LB&lt;F7)+(Osz3_LB=F7)*Osz3_Incl))*Osz3_W</f>
        <v>9</v>
      </c>
      <c r="G35" s="17" t="n">
        <f aca="false">INDEX(Osz3_Pts,1+SUMPRODUCT((Osz3_LB&lt;G7)+(Osz3_LB=G7)*Osz3_Incl))*Osz3_W</f>
        <v>9</v>
      </c>
    </row>
    <row r="36" customFormat="false" ht="14.25" hidden="false" customHeight="false" outlineLevel="0" collapsed="false">
      <c r="C36" s="6" t="s">
        <v>58</v>
      </c>
      <c r="D36" s="2" t="s">
        <v>55</v>
      </c>
      <c r="E36" s="17" t="n">
        <f aca="false" t="array" ref="E36:E36">INDEX(Osz4_Pts,1+SUMPRODUCT((Osz4_LB&lt;E8)+(Osz4_LB=E8)*Osz4_Incl))*Osz4_W</f>
        <v>4.5</v>
      </c>
      <c r="F36" s="17" t="n">
        <f aca="false" t="array" ref="F36:F36">INDEX(Osz4_Pts,1+SUMPRODUCT((Osz4_LB&lt;F8)+(Osz4_LB=F8)*Osz4_Incl))*Osz4_W</f>
        <v>7.5</v>
      </c>
      <c r="G36" s="17" t="n">
        <f aca="false" t="array" ref="G36:G36">INDEX(Osz4_Pts,1+SUMPRODUCT((Osz4_LB&lt;G8)+(Osz4_LB=G8)*Osz4_Incl))*Osz4_W</f>
        <v>7.5</v>
      </c>
    </row>
    <row r="37" customFormat="false" ht="14.25" hidden="false" customHeight="false" outlineLevel="0" collapsed="false">
      <c r="C37" s="6" t="s">
        <v>59</v>
      </c>
      <c r="D37" s="2" t="s">
        <v>55</v>
      </c>
      <c r="E37" s="17" t="n">
        <f aca="false">E13*Osz5_Pts*Osz5_W</f>
        <v>5</v>
      </c>
      <c r="F37" s="17" t="n">
        <f aca="false">F13*Osz5_Pts*Osz5_W</f>
        <v>5</v>
      </c>
      <c r="G37" s="17" t="n">
        <f aca="false">G13*Osz5_Pts*Osz5_W</f>
        <v>5</v>
      </c>
    </row>
    <row r="38" customFormat="false" ht="14.25" hidden="false" customHeight="false" outlineLevel="0" collapsed="false">
      <c r="C38" s="6" t="s">
        <v>60</v>
      </c>
      <c r="D38" s="2" t="s">
        <v>55</v>
      </c>
      <c r="E38" s="17" t="n">
        <f aca="false">INDEX(Osz6_Pts,1+SUMPRODUCT((Osz6_LB&lt;E14)+(Osz6_LB=E14)*Osz6_Incl))*Osz6_W</f>
        <v>0</v>
      </c>
      <c r="F38" s="17" t="n">
        <f aca="false">INDEX(Osz6_Pts,1+SUMPRODUCT((Osz6_LB&lt;F14)+(Osz6_LB=F14)*Osz6_Incl))*Osz6_W</f>
        <v>0</v>
      </c>
      <c r="G38" s="17" t="n">
        <f aca="false">INDEX(Osz6_Pts,1+SUMPRODUCT((Osz6_LB&lt;G14)+(Osz6_LB=G14)*Osz6_Incl))*Osz6_W</f>
        <v>0</v>
      </c>
    </row>
    <row r="39" customFormat="false" ht="14.25" hidden="false" customHeight="false" outlineLevel="0" collapsed="false">
      <c r="C39" s="6" t="s">
        <v>61</v>
      </c>
      <c r="D39" s="2" t="s">
        <v>55</v>
      </c>
      <c r="E39" s="17" t="n">
        <f aca="false">E15*Osz7_Pts*Osz7_W</f>
        <v>0</v>
      </c>
      <c r="F39" s="17" t="n">
        <f aca="false">F15*Osz7_Pts*Osz7_W</f>
        <v>0</v>
      </c>
      <c r="G39" s="17" t="n">
        <f aca="false">G15*Osz7_Pts*Osz7_W</f>
        <v>0</v>
      </c>
    </row>
    <row r="40" customFormat="false" ht="14.25" hidden="false" customHeight="false" outlineLevel="0" collapsed="false">
      <c r="C40" s="6" t="s">
        <v>62</v>
      </c>
      <c r="D40" s="2" t="s">
        <v>55</v>
      </c>
      <c r="E40" s="17" t="n">
        <f aca="false">E16*Osz8_Pts*Osz8_W</f>
        <v>5</v>
      </c>
      <c r="F40" s="17" t="n">
        <f aca="false">F16*Osz8_Pts*Osz8_W</f>
        <v>5</v>
      </c>
      <c r="G40" s="17" t="n">
        <f aca="false">G16*Osz8_Pts*Osz8_W</f>
        <v>5</v>
      </c>
    </row>
    <row r="41" customFormat="false" ht="14.25" hidden="false" customHeight="false" outlineLevel="0" collapsed="false">
      <c r="C41" s="6" t="s">
        <v>63</v>
      </c>
      <c r="D41" s="2" t="s">
        <v>55</v>
      </c>
      <c r="E41" s="17" t="n">
        <f aca="false">N(E17="EU")*Osz9a_Pts*Osz9_W</f>
        <v>0</v>
      </c>
      <c r="F41" s="17" t="n">
        <f aca="false">N(F17="EU")*Osz9a_Pts*Osz9_W</f>
        <v>0</v>
      </c>
      <c r="G41" s="17" t="n">
        <f aca="false">N(G17="EU")*Osz9a_Pts*Osz9_W</f>
        <v>0</v>
      </c>
    </row>
    <row r="42" customFormat="false" ht="14.25" hidden="false" customHeight="false" outlineLevel="0" collapsed="false">
      <c r="C42" s="6" t="s">
        <v>64</v>
      </c>
      <c r="D42" s="2" t="s">
        <v>55</v>
      </c>
      <c r="E42" s="17" t="n">
        <f aca="false">Inputs!E$19*Osz9b_Pts*Osz9_W</f>
        <v>0</v>
      </c>
      <c r="F42" s="17" t="n">
        <f aca="false">Inputs!F$19*Osz9b_Pts*Osz9_W</f>
        <v>0</v>
      </c>
      <c r="G42" s="17" t="n">
        <f aca="false">Inputs!G$19*Osz9b_Pts*Osz9_W</f>
        <v>0</v>
      </c>
    </row>
    <row r="43" customFormat="false" ht="14.25" hidden="false" customHeight="false" outlineLevel="0" collapsed="false">
      <c r="C43" s="1" t="s">
        <v>65</v>
      </c>
      <c r="D43" s="2" t="s">
        <v>55</v>
      </c>
      <c r="E43" s="18" t="n">
        <f aca="false">SUM(E33:E42)</f>
        <v>23.5</v>
      </c>
      <c r="F43" s="18" t="n">
        <f aca="false">SUM(F33:F42)</f>
        <v>61.5</v>
      </c>
      <c r="G43" s="18" t="n">
        <f aca="false">SUM(G33:G42)</f>
        <v>61.5</v>
      </c>
    </row>
    <row r="44" customFormat="false" ht="14.25" hidden="false" customHeight="false" outlineLevel="0" collapsed="false">
      <c r="C44" s="6" t="s">
        <v>66</v>
      </c>
      <c r="D44" s="2" t="s">
        <v>67</v>
      </c>
      <c r="E44" s="17" t="n">
        <f aca="false">E6*(1+E7)</f>
        <v>60</v>
      </c>
      <c r="F44" s="17" t="n">
        <f aca="false">F6*(1+F7)</f>
        <v>70</v>
      </c>
      <c r="G44" s="17" t="n">
        <f aca="false">G6*(1+G7)</f>
        <v>70</v>
      </c>
      <c r="H44" s="17" t="n">
        <f aca="false">SUM(E44:G44)</f>
        <v>200</v>
      </c>
    </row>
    <row r="45" customFormat="false" ht="14.25" hidden="false" customHeight="false" outlineLevel="0" collapsed="false">
      <c r="C45" s="6" t="s">
        <v>68</v>
      </c>
      <c r="D45" s="2" t="s">
        <v>69</v>
      </c>
      <c r="E45" s="17" t="n">
        <f aca="false">E6*E8*E9</f>
        <v>20</v>
      </c>
      <c r="F45" s="17" t="n">
        <f aca="false">F6*F8*F9</f>
        <v>40</v>
      </c>
      <c r="G45" s="17" t="n">
        <f aca="false">G6*G8*G9</f>
        <v>40</v>
      </c>
      <c r="H45" s="17" t="n">
        <f aca="false">SUM(E45:G45)</f>
        <v>100</v>
      </c>
    </row>
    <row r="46" customFormat="false" ht="14.25" hidden="false" customHeight="false" outlineLevel="0" collapsed="false">
      <c r="C46" s="6" t="s">
        <v>70</v>
      </c>
      <c r="D46" s="2" t="s">
        <v>67</v>
      </c>
      <c r="E46" s="17" t="n">
        <f aca="false">E44*(1-E10)</f>
        <v>54</v>
      </c>
      <c r="F46" s="17" t="n">
        <f aca="false">F44*(1-F10)</f>
        <v>63</v>
      </c>
      <c r="G46" s="17" t="n">
        <f aca="false">G44*(1-G10)</f>
        <v>63</v>
      </c>
      <c r="H46" s="17" t="n">
        <f aca="false">SUM(E46:G46)</f>
        <v>180</v>
      </c>
    </row>
    <row r="47" customFormat="false" ht="14.25" hidden="false" customHeight="false" outlineLevel="0" collapsed="false">
      <c r="K47" s="19"/>
      <c r="L47" s="19"/>
      <c r="M47" s="19"/>
    </row>
    <row r="48" customFormat="false" ht="14.25" hidden="false" customHeight="false" outlineLevel="0" collapsed="false">
      <c r="B48" s="4" t="s">
        <v>3</v>
      </c>
      <c r="C48" s="4" t="s">
        <v>71</v>
      </c>
      <c r="D48" s="4"/>
      <c r="E48" s="5" t="s">
        <v>5</v>
      </c>
      <c r="F48" s="5" t="s">
        <v>6</v>
      </c>
      <c r="G48" s="5" t="s">
        <v>7</v>
      </c>
      <c r="H48" s="5" t="s">
        <v>8</v>
      </c>
      <c r="J48" s="5" t="s">
        <v>72</v>
      </c>
      <c r="K48" s="20"/>
      <c r="L48" s="20"/>
      <c r="M48" s="19"/>
    </row>
    <row r="49" customFormat="false" ht="14.25" hidden="false" customHeight="false" outlineLevel="0" collapsed="false">
      <c r="C49" s="21" t="s">
        <v>73</v>
      </c>
      <c r="D49" s="22" t="s">
        <v>74</v>
      </c>
      <c r="E49" s="23" t="n">
        <f aca="false">Part_Fee</f>
        <v>3000000</v>
      </c>
      <c r="F49" s="23" t="n">
        <f aca="false">Part_Fee</f>
        <v>3000000</v>
      </c>
      <c r="G49" s="23" t="n">
        <f aca="false">Part_Fee</f>
        <v>3000000</v>
      </c>
      <c r="H49" s="23" t="n">
        <f aca="false">SUM(E49:G49)</f>
        <v>9000000</v>
      </c>
      <c r="J49" s="24" t="n">
        <f aca="false">Inputs!E$21</f>
        <v>46325</v>
      </c>
      <c r="K49" s="25"/>
      <c r="L49" s="25"/>
      <c r="M49" s="19"/>
    </row>
    <row r="50" customFormat="false" ht="14.25" hidden="false" customHeight="false" outlineLevel="0" collapsed="false">
      <c r="C50" s="21" t="s">
        <v>75</v>
      </c>
      <c r="D50" s="22" t="s">
        <v>74</v>
      </c>
      <c r="E50" s="23" t="n">
        <f aca="false">Bid_Sec_Rate*(E44*Bench_Wind+E45*Bench_BESS)</f>
        <v>141800000</v>
      </c>
      <c r="F50" s="23" t="n">
        <f aca="false">Bid_Sec_Rate*(F44*Bench_Wind+F45*Bench_BESS)</f>
        <v>182100000</v>
      </c>
      <c r="G50" s="23" t="n">
        <f aca="false">Bid_Sec_Rate*(G44*Bench_Wind+G45*Bench_BESS)</f>
        <v>182100000</v>
      </c>
      <c r="H50" s="23" t="n">
        <f aca="false">SUM(E50:G50)</f>
        <v>506000000</v>
      </c>
      <c r="J50" s="24" t="n">
        <f aca="false">Inputs!E$21</f>
        <v>46325</v>
      </c>
      <c r="K50" s="25"/>
      <c r="L50" s="25"/>
      <c r="M50" s="19"/>
    </row>
    <row r="51" customFormat="false" ht="14.25" hidden="false" customHeight="false" outlineLevel="0" collapsed="false">
      <c r="C51" s="21" t="s">
        <v>76</v>
      </c>
      <c r="D51" s="22" t="s">
        <v>74</v>
      </c>
      <c r="E51" s="23" t="n">
        <f aca="false">PB_Rate*E14*(E44*Bench_Wind+E45*Bench_BESS)-E50</f>
        <v>567200000</v>
      </c>
      <c r="F51" s="23" t="n">
        <f aca="false">PB_Rate*F14*(F44*Bench_Wind+F45*Bench_BESS)-F50</f>
        <v>728400000</v>
      </c>
      <c r="G51" s="23" t="n">
        <f aca="false">PB_Rate*G14*(G44*Bench_Wind+G45*Bench_BESS)-G50</f>
        <v>728400000</v>
      </c>
      <c r="H51" s="23" t="n">
        <f aca="false">SUM(E51:G51)</f>
        <v>2024000000</v>
      </c>
      <c r="J51" s="24" t="n">
        <f aca="false">Inputs!E$22</f>
        <v>46402</v>
      </c>
      <c r="K51" s="25"/>
      <c r="L51" s="25"/>
      <c r="M51" s="19"/>
    </row>
    <row r="52" customFormat="false" ht="14.25" hidden="false" customHeight="false" outlineLevel="0" collapsed="false">
      <c r="C52" s="26" t="s">
        <v>77</v>
      </c>
      <c r="D52" s="27" t="s">
        <v>74</v>
      </c>
      <c r="E52" s="28" t="n">
        <f aca="false">TSO_Rate*E6</f>
        <v>225000000</v>
      </c>
      <c r="F52" s="28" t="n">
        <f aca="false">TSO_Rate*F6</f>
        <v>225000000</v>
      </c>
      <c r="G52" s="28" t="n">
        <f aca="false">TSO_Rate*G6</f>
        <v>225000000</v>
      </c>
      <c r="H52" s="28" t="n">
        <f aca="false">SUM(E52:G52)</f>
        <v>675000000</v>
      </c>
      <c r="J52" s="24" t="n">
        <f aca="false">Inputs!E$23</f>
        <v>46402</v>
      </c>
      <c r="K52" s="25"/>
      <c r="L52" s="25"/>
      <c r="M52" s="19"/>
    </row>
    <row r="53" customFormat="false" ht="14.25" hidden="false" customHeight="false" outlineLevel="0" collapsed="false">
      <c r="C53" s="29" t="s">
        <v>78</v>
      </c>
      <c r="D53" s="30" t="s">
        <v>74</v>
      </c>
      <c r="E53" s="31" t="n">
        <f aca="false">Inputs!E$15/Inputs!E$16</f>
        <v>254172902</v>
      </c>
      <c r="F53" s="31" t="n">
        <f aca="false">Inputs!F$15/Inputs!F$16</f>
        <v>460000000</v>
      </c>
      <c r="G53" s="31" t="n">
        <f aca="false">Inputs!G$15/Inputs!G$16</f>
        <v>460000000</v>
      </c>
      <c r="H53" s="31" t="n">
        <f aca="false">SUM(E53:G53)</f>
        <v>1174172902</v>
      </c>
      <c r="J53" s="24" t="n">
        <f aca="false">Inputs!E$24</f>
        <v>47027</v>
      </c>
      <c r="K53" s="25"/>
      <c r="L53" s="25"/>
      <c r="M53" s="19"/>
    </row>
    <row r="54" customFormat="false" ht="14.25" hidden="false" customHeight="false" outlineLevel="0" collapsed="false">
      <c r="C54" s="29" t="s">
        <v>79</v>
      </c>
      <c r="D54" s="30" t="s">
        <v>74</v>
      </c>
      <c r="E54" s="31" t="n">
        <f aca="false">Inputs!E$14*E6-E52</f>
        <v>3428565300</v>
      </c>
      <c r="F54" s="31" t="n">
        <f aca="false">Inputs!F$14*F6-F52</f>
        <v>766334000</v>
      </c>
      <c r="G54" s="31" t="n">
        <f aca="false">Inputs!G$14*G6-G52</f>
        <v>766334000</v>
      </c>
      <c r="H54" s="31" t="n">
        <f aca="false">SUM(E54:G54)</f>
        <v>4961233300</v>
      </c>
      <c r="J54" s="24" t="n">
        <f aca="false">Inputs!E$24</f>
        <v>47027</v>
      </c>
      <c r="K54" s="25"/>
      <c r="L54" s="25"/>
      <c r="M54" s="19"/>
    </row>
    <row r="55" customFormat="false" ht="14.25" hidden="false" customHeight="false" outlineLevel="0" collapsed="false">
      <c r="C55" s="6" t="s">
        <v>80</v>
      </c>
      <c r="D55" s="2" t="s">
        <v>74</v>
      </c>
      <c r="E55" s="8" t="n">
        <f aca="false">SUMIF(Devex_Class,"Devex",Devex_HUF)*Inputs!E$18</f>
        <v>255901067.967347</v>
      </c>
      <c r="F55" s="8" t="n">
        <f aca="false">SUMIF(Devex_Class,"Devex",Devex_HUF)*Inputs!F$18</f>
        <v>255901067.967347</v>
      </c>
      <c r="G55" s="8" t="n">
        <f aca="false">SUMIF(Devex_Class,"Devex",Devex_HUF)*Inputs!G$18</f>
        <v>255901067.967347</v>
      </c>
      <c r="H55" s="8" t="n">
        <f aca="false">SUM(E55:G55)</f>
        <v>767703203.902041</v>
      </c>
      <c r="J55" s="24" t="n">
        <f aca="false">SUMPRODUCT((Devex_Class="Devex")*Devex_HUF,Devex_Date)/SUMIF(Devex_Class,"Devex",Devex_HUF)</f>
        <v>46714.1242758881</v>
      </c>
      <c r="K55" s="25"/>
      <c r="L55" s="25"/>
      <c r="M55" s="19"/>
    </row>
    <row r="56" customFormat="false" ht="14.25" hidden="false" customHeight="false" outlineLevel="0" collapsed="false">
      <c r="C56" s="6" t="s">
        <v>81</v>
      </c>
      <c r="D56" s="2" t="s">
        <v>74</v>
      </c>
      <c r="E56" s="8" t="n">
        <f aca="false">SUMIF(Devex_Class,"Land",Devex_HUF)*Inputs!E$18</f>
        <v>39347625</v>
      </c>
      <c r="F56" s="8" t="n">
        <f aca="false">SUMIF(Devex_Class,"Land",Devex_HUF)*Inputs!F$18</f>
        <v>39347625</v>
      </c>
      <c r="G56" s="8" t="n">
        <f aca="false">SUMIF(Devex_Class,"Land",Devex_HUF)*Inputs!G$18</f>
        <v>39347625</v>
      </c>
      <c r="H56" s="8" t="n">
        <f aca="false">SUM(E56:G56)</f>
        <v>118042875</v>
      </c>
      <c r="J56" s="24" t="n">
        <f aca="false">SUMPRODUCT((Devex_Class="Land")*Devex_HUF,Devex_Date)/SUMIF(Devex_Class,"Land",Devex_HUF)</f>
        <v>46877.176865821</v>
      </c>
      <c r="K56" s="25"/>
      <c r="L56" s="25"/>
      <c r="M56" s="19"/>
    </row>
    <row r="57" customFormat="false" ht="14.25" hidden="false" customHeight="false" outlineLevel="0" collapsed="false">
      <c r="C57" s="6" t="s">
        <v>82</v>
      </c>
      <c r="D57" s="2" t="s">
        <v>74</v>
      </c>
      <c r="E57" s="8" t="n">
        <f aca="false">Inputs!E$17*FX*Thousand</f>
        <v>49275000</v>
      </c>
      <c r="F57" s="8" t="n">
        <f aca="false">Inputs!F$17*FX*Thousand</f>
        <v>49275000</v>
      </c>
      <c r="G57" s="8" t="n">
        <f aca="false">Inputs!G$17*FX*Thousand</f>
        <v>49275000</v>
      </c>
      <c r="H57" s="8" t="n">
        <f aca="false">SUM(E57:G57)</f>
        <v>147825000</v>
      </c>
      <c r="J57" s="24" t="n">
        <f aca="false">Inputs!E$20</f>
        <v>46234</v>
      </c>
      <c r="K57" s="25"/>
      <c r="L57" s="25"/>
      <c r="M57" s="19"/>
    </row>
    <row r="58" customFormat="false" ht="14.25" hidden="false" customHeight="false" outlineLevel="0" collapsed="false">
      <c r="C58" s="1" t="s">
        <v>83</v>
      </c>
      <c r="D58" s="2" t="s">
        <v>74</v>
      </c>
      <c r="E58" s="32" t="n">
        <f aca="false">SUM(E49:E57)</f>
        <v>4964261894.96735</v>
      </c>
      <c r="F58" s="32" t="n">
        <f aca="false">SUM(F49:F57)</f>
        <v>2709357692.96735</v>
      </c>
      <c r="G58" s="32" t="n">
        <f aca="false">SUM(G49:G57)</f>
        <v>2709357692.96735</v>
      </c>
      <c r="H58" s="32" t="n">
        <f aca="false">SUM(E58:G58)</f>
        <v>10382977280.902</v>
      </c>
      <c r="K58" s="19"/>
      <c r="L58" s="19"/>
      <c r="M58" s="19"/>
    </row>
    <row r="59" customFormat="false" ht="14.25" hidden="false" customHeight="false" outlineLevel="0" collapsed="false">
      <c r="K59" s="19"/>
      <c r="L59" s="19"/>
      <c r="M59" s="19"/>
    </row>
    <row r="60" customFormat="false" ht="14.25" hidden="false" customHeight="false" outlineLevel="0" collapsed="false">
      <c r="B60" s="4" t="s">
        <v>3</v>
      </c>
      <c r="C60" s="4" t="s">
        <v>84</v>
      </c>
      <c r="D60" s="4"/>
      <c r="E60" s="5" t="s">
        <v>5</v>
      </c>
      <c r="F60" s="5" t="s">
        <v>6</v>
      </c>
      <c r="G60" s="5" t="s">
        <v>7</v>
      </c>
      <c r="H60" s="5" t="s">
        <v>8</v>
      </c>
      <c r="J60" s="5" t="s">
        <v>72</v>
      </c>
      <c r="K60" s="20"/>
      <c r="L60" s="20"/>
      <c r="M60" s="19"/>
    </row>
    <row r="61" customFormat="false" ht="14.25" hidden="false" customHeight="false" outlineLevel="0" collapsed="false">
      <c r="C61" s="21" t="s">
        <v>73</v>
      </c>
      <c r="D61" s="22" t="s">
        <v>85</v>
      </c>
      <c r="E61" s="33" t="n">
        <f aca="false">E49/FX/Thousand</f>
        <v>8.21917808219178</v>
      </c>
      <c r="F61" s="33" t="n">
        <f aca="false">F49/FX/Thousand</f>
        <v>8.21917808219178</v>
      </c>
      <c r="G61" s="33" t="n">
        <f aca="false">G49/FX/Thousand</f>
        <v>8.21917808219178</v>
      </c>
      <c r="H61" s="33" t="n">
        <f aca="false">SUM(E61:G61)</f>
        <v>24.6575342465753</v>
      </c>
      <c r="J61" s="24" t="n">
        <f aca="false">Inputs!E$21</f>
        <v>46325</v>
      </c>
      <c r="K61" s="25"/>
      <c r="L61" s="25"/>
      <c r="M61" s="19"/>
    </row>
    <row r="62" customFormat="false" ht="14.25" hidden="false" customHeight="false" outlineLevel="0" collapsed="false">
      <c r="C62" s="21" t="s">
        <v>75</v>
      </c>
      <c r="D62" s="22" t="s">
        <v>85</v>
      </c>
      <c r="E62" s="23" t="n">
        <f aca="false">E50/FX/Thousand</f>
        <v>388.493150684932</v>
      </c>
      <c r="F62" s="23" t="n">
        <f aca="false">F50/FX/Thousand</f>
        <v>498.904109589041</v>
      </c>
      <c r="G62" s="23" t="n">
        <f aca="false">G50/FX/Thousand</f>
        <v>498.904109589041</v>
      </c>
      <c r="H62" s="23" t="n">
        <f aca="false">SUM(E62:G62)</f>
        <v>1386.30136986301</v>
      </c>
      <c r="J62" s="24" t="n">
        <f aca="false">Inputs!E$21</f>
        <v>46325</v>
      </c>
      <c r="K62" s="25"/>
      <c r="L62" s="25"/>
      <c r="M62" s="19"/>
    </row>
    <row r="63" customFormat="false" ht="14.25" hidden="false" customHeight="false" outlineLevel="0" collapsed="false">
      <c r="C63" s="21" t="s">
        <v>76</v>
      </c>
      <c r="D63" s="22" t="s">
        <v>85</v>
      </c>
      <c r="E63" s="23" t="n">
        <f aca="false">E51/FX/Thousand</f>
        <v>1553.97260273973</v>
      </c>
      <c r="F63" s="23" t="n">
        <f aca="false">F51/FX/Thousand</f>
        <v>1995.61643835616</v>
      </c>
      <c r="G63" s="23" t="n">
        <f aca="false">G51/FX/Thousand</f>
        <v>1995.61643835616</v>
      </c>
      <c r="H63" s="23" t="n">
        <f aca="false">SUM(E63:G63)</f>
        <v>5545.20547945205</v>
      </c>
      <c r="J63" s="24" t="n">
        <f aca="false">Inputs!E$22</f>
        <v>46402</v>
      </c>
      <c r="K63" s="25"/>
      <c r="L63" s="25"/>
      <c r="M63" s="19"/>
    </row>
    <row r="64" customFormat="false" ht="14.25" hidden="false" customHeight="false" outlineLevel="0" collapsed="false">
      <c r="C64" s="26" t="s">
        <v>77</v>
      </c>
      <c r="D64" s="27" t="s">
        <v>85</v>
      </c>
      <c r="E64" s="28" t="n">
        <f aca="false">E52/FX/Thousand</f>
        <v>616.438356164384</v>
      </c>
      <c r="F64" s="28" t="n">
        <f aca="false">F52/FX/Thousand</f>
        <v>616.438356164384</v>
      </c>
      <c r="G64" s="28" t="n">
        <f aca="false">G52/FX/Thousand</f>
        <v>616.438356164384</v>
      </c>
      <c r="H64" s="28" t="n">
        <f aca="false">SUM(E64:G64)</f>
        <v>1849.31506849315</v>
      </c>
      <c r="J64" s="24" t="n">
        <f aca="false">Inputs!E$23</f>
        <v>46402</v>
      </c>
      <c r="K64" s="24"/>
      <c r="L64" s="24"/>
    </row>
    <row r="65" customFormat="false" ht="14.25" hidden="false" customHeight="false" outlineLevel="0" collapsed="false">
      <c r="C65" s="29" t="s">
        <v>78</v>
      </c>
      <c r="D65" s="30" t="s">
        <v>85</v>
      </c>
      <c r="E65" s="31" t="n">
        <f aca="false">E53/FX/Thousand</f>
        <v>696.364115068493</v>
      </c>
      <c r="F65" s="31" t="n">
        <f aca="false">F53/FX/Thousand</f>
        <v>1260.27397260274</v>
      </c>
      <c r="G65" s="31" t="n">
        <f aca="false">G53/FX/Thousand</f>
        <v>1260.27397260274</v>
      </c>
      <c r="H65" s="31" t="n">
        <f aca="false">SUM(E65:G65)</f>
        <v>3216.91206027397</v>
      </c>
      <c r="J65" s="24" t="n">
        <f aca="false">Inputs!E$24</f>
        <v>47027</v>
      </c>
      <c r="K65" s="24"/>
      <c r="L65" s="24"/>
    </row>
    <row r="66" customFormat="false" ht="14.25" hidden="false" customHeight="false" outlineLevel="0" collapsed="false">
      <c r="C66" s="29" t="s">
        <v>79</v>
      </c>
      <c r="D66" s="30" t="s">
        <v>85</v>
      </c>
      <c r="E66" s="31" t="n">
        <f aca="false">E54/FX/Thousand</f>
        <v>9393.3295890411</v>
      </c>
      <c r="F66" s="31" t="n">
        <f aca="false">F54/FX/Thousand</f>
        <v>2099.54520547945</v>
      </c>
      <c r="G66" s="31" t="n">
        <f aca="false">G54/FX/Thousand</f>
        <v>2099.54520547945</v>
      </c>
      <c r="H66" s="31" t="n">
        <f aca="false">SUM(E66:G66)</f>
        <v>13592.42</v>
      </c>
      <c r="J66" s="24" t="n">
        <f aca="false">Inputs!E$24</f>
        <v>47027</v>
      </c>
      <c r="K66" s="24"/>
      <c r="L66" s="24"/>
    </row>
    <row r="67" customFormat="false" ht="14.25" hidden="false" customHeight="false" outlineLevel="0" collapsed="false">
      <c r="C67" s="6" t="s">
        <v>80</v>
      </c>
      <c r="D67" s="2" t="s">
        <v>85</v>
      </c>
      <c r="E67" s="8" t="n">
        <f aca="false">E55/FX/Thousand</f>
        <v>701.098816348896</v>
      </c>
      <c r="F67" s="8" t="n">
        <f aca="false">F55/FX/Thousand</f>
        <v>701.098816348896</v>
      </c>
      <c r="G67" s="8" t="n">
        <f aca="false">G55/FX/Thousand</f>
        <v>701.098816348896</v>
      </c>
      <c r="H67" s="8" t="n">
        <f aca="false">SUM(E67:G67)</f>
        <v>2103.29644904669</v>
      </c>
      <c r="J67" s="24" t="n">
        <f aca="false">J55</f>
        <v>46714.1242758881</v>
      </c>
      <c r="K67" s="24"/>
      <c r="L67" s="24"/>
    </row>
    <row r="68" customFormat="false" ht="14.25" hidden="false" customHeight="false" outlineLevel="0" collapsed="false">
      <c r="C68" s="6" t="s">
        <v>81</v>
      </c>
      <c r="D68" s="2" t="s">
        <v>85</v>
      </c>
      <c r="E68" s="8" t="n">
        <f aca="false">E56/FX/Thousand</f>
        <v>107.801712328767</v>
      </c>
      <c r="F68" s="8" t="n">
        <f aca="false">F56/FX/Thousand</f>
        <v>107.801712328767</v>
      </c>
      <c r="G68" s="8" t="n">
        <f aca="false">G56/FX/Thousand</f>
        <v>107.801712328767</v>
      </c>
      <c r="H68" s="8" t="n">
        <f aca="false">SUM(E68:G68)</f>
        <v>323.405136986301</v>
      </c>
      <c r="J68" s="24" t="n">
        <f aca="false">J56</f>
        <v>46877.176865821</v>
      </c>
      <c r="K68" s="24"/>
      <c r="L68" s="24"/>
    </row>
    <row r="69" customFormat="false" ht="14.25" hidden="false" customHeight="false" outlineLevel="0" collapsed="false">
      <c r="C69" s="6" t="s">
        <v>82</v>
      </c>
      <c r="D69" s="2" t="s">
        <v>85</v>
      </c>
      <c r="E69" s="8" t="n">
        <f aca="false">E57/FX/Thousand</f>
        <v>135</v>
      </c>
      <c r="F69" s="8" t="n">
        <f aca="false">F57/FX/Thousand</f>
        <v>135</v>
      </c>
      <c r="G69" s="8" t="n">
        <f aca="false">G57/FX/Thousand</f>
        <v>135</v>
      </c>
      <c r="H69" s="8" t="n">
        <f aca="false">SUM(E69:G69)</f>
        <v>405</v>
      </c>
      <c r="J69" s="24" t="n">
        <f aca="false">Inputs!E$20</f>
        <v>46234</v>
      </c>
      <c r="K69" s="24"/>
      <c r="L69" s="24"/>
    </row>
    <row r="70" customFormat="false" ht="14.25" hidden="false" customHeight="false" outlineLevel="0" collapsed="false">
      <c r="C70" s="1" t="s">
        <v>83</v>
      </c>
      <c r="D70" s="2" t="s">
        <v>85</v>
      </c>
      <c r="E70" s="32" t="n">
        <f aca="false">SUM(E61:E69)</f>
        <v>13600.7175204585</v>
      </c>
      <c r="F70" s="32" t="n">
        <f aca="false">SUM(F61:F69)</f>
        <v>7422.89778895164</v>
      </c>
      <c r="G70" s="32" t="n">
        <f aca="false">SUM(G61:G69)</f>
        <v>7422.89778895164</v>
      </c>
      <c r="H70" s="32" t="n">
        <f aca="false">SUM(E70:G70)</f>
        <v>28446.5130983618</v>
      </c>
    </row>
    <row r="72" customFormat="false" ht="14.25" hidden="false" customHeight="false" outlineLevel="0" collapsed="false">
      <c r="B72" s="4" t="s">
        <v>3</v>
      </c>
      <c r="C72" s="4" t="s">
        <v>86</v>
      </c>
      <c r="D72" s="4"/>
      <c r="E72" s="5" t="s">
        <v>5</v>
      </c>
      <c r="F72" s="5" t="s">
        <v>6</v>
      </c>
      <c r="G72" s="5" t="s">
        <v>7</v>
      </c>
      <c r="H72" s="5" t="s">
        <v>8</v>
      </c>
      <c r="J72" s="5" t="s">
        <v>87</v>
      </c>
    </row>
    <row r="73" customFormat="false" ht="14.25" hidden="false" customHeight="false" outlineLevel="0" collapsed="false">
      <c r="C73" s="6" t="s">
        <v>88</v>
      </c>
      <c r="D73" s="2" t="s">
        <v>85</v>
      </c>
      <c r="E73" s="8" t="n">
        <f aca="false">E61+E67+E69</f>
        <v>844.317994431088</v>
      </c>
      <c r="F73" s="8" t="n">
        <f aca="false">F61+F67+F69</f>
        <v>844.317994431088</v>
      </c>
      <c r="G73" s="8" t="n">
        <f aca="false">G61+G67+G69</f>
        <v>844.317994431088</v>
      </c>
      <c r="H73" s="8" t="n">
        <f aca="false">SUM(E73:G73)</f>
        <v>2532.95398329326</v>
      </c>
      <c r="J73" s="34" t="s">
        <v>89</v>
      </c>
    </row>
    <row r="74" customFormat="false" ht="14.25" hidden="false" customHeight="false" outlineLevel="0" collapsed="false">
      <c r="C74" s="6" t="s">
        <v>90</v>
      </c>
      <c r="D74" s="2" t="s">
        <v>85</v>
      </c>
      <c r="E74" s="8" t="n">
        <f aca="false">SUM(E62:E64)+E68</f>
        <v>2666.70582191781</v>
      </c>
      <c r="F74" s="8" t="n">
        <f aca="false">SUM(F62:F64)+F68</f>
        <v>3218.76061643836</v>
      </c>
      <c r="G74" s="8" t="n">
        <f aca="false">SUM(G62:G64)+G68</f>
        <v>3218.76061643836</v>
      </c>
      <c r="H74" s="8" t="n">
        <f aca="false">SUM(E74:G74)</f>
        <v>9104.22705479452</v>
      </c>
      <c r="J74" s="34" t="s">
        <v>91</v>
      </c>
    </row>
    <row r="75" customFormat="false" ht="14.25" hidden="false" customHeight="false" outlineLevel="0" collapsed="false">
      <c r="C75" s="6" t="s">
        <v>92</v>
      </c>
      <c r="D75" s="2" t="s">
        <v>85</v>
      </c>
      <c r="E75" s="35" t="n">
        <f aca="false">E65+E66</f>
        <v>10089.6937041096</v>
      </c>
      <c r="F75" s="35" t="n">
        <f aca="false">F65+F66</f>
        <v>3359.81917808219</v>
      </c>
      <c r="G75" s="35" t="n">
        <f aca="false">G65+G66</f>
        <v>3359.81917808219</v>
      </c>
      <c r="H75" s="35" t="n">
        <f aca="false">SUM(E75:G75)</f>
        <v>16809.332060274</v>
      </c>
      <c r="J75" s="34" t="s">
        <v>93</v>
      </c>
    </row>
    <row r="76" customFormat="false" ht="14.25" hidden="false" customHeight="false" outlineLevel="0" collapsed="false">
      <c r="C76" s="1" t="s">
        <v>94</v>
      </c>
      <c r="D76" s="2" t="s">
        <v>85</v>
      </c>
      <c r="E76" s="15" t="n">
        <f aca="false">SUM(E73:E75)</f>
        <v>13600.7175204585</v>
      </c>
      <c r="F76" s="15" t="n">
        <f aca="false">SUM(F73:F75)</f>
        <v>7422.89778895164</v>
      </c>
      <c r="G76" s="15" t="n">
        <f aca="false">SUM(G73:G75)</f>
        <v>7422.89778895164</v>
      </c>
      <c r="H76" s="15" t="n">
        <f aca="false">SUM(E76:G76)</f>
        <v>28446.5130983618</v>
      </c>
      <c r="J76" s="34" t="s">
        <v>95</v>
      </c>
    </row>
    <row r="77" customFormat="false" ht="14.25" hidden="false" customHeight="false" outlineLevel="0" collapsed="false">
      <c r="C77" s="0" t="s">
        <v>96</v>
      </c>
      <c r="D77" s="0" t="s">
        <v>12</v>
      </c>
      <c r="E77" s="36" t="n">
        <f aca="false">E75/E76</f>
        <v>0.741850103785514</v>
      </c>
      <c r="F77" s="36" t="n">
        <f aca="false">F75/F76</f>
        <v>0.452629050487938</v>
      </c>
      <c r="G77" s="36" t="n">
        <f aca="false">G75/G76</f>
        <v>0.452629050487938</v>
      </c>
      <c r="H77" s="36" t="n">
        <f aca="false">H75/H76</f>
        <v>0.590910105648134</v>
      </c>
      <c r="J77" s="34"/>
    </row>
    <row r="78" customFormat="false" ht="14.25" hidden="false" customHeight="false" outlineLevel="0" collapsed="false">
      <c r="C78" s="1" t="s">
        <v>97</v>
      </c>
      <c r="D78" s="2" t="s">
        <v>85</v>
      </c>
      <c r="E78" s="32" t="n">
        <f aca="false">E76-E75</f>
        <v>3511.0238163489</v>
      </c>
      <c r="F78" s="32" t="n">
        <f aca="false">F76-F75</f>
        <v>4063.07861086944</v>
      </c>
      <c r="G78" s="32" t="n">
        <f aca="false">G76-G75</f>
        <v>4063.07861086944</v>
      </c>
      <c r="H78" s="32" t="n">
        <f aca="false">SUM(E78:G78)</f>
        <v>11637.1810380878</v>
      </c>
      <c r="J78" s="34" t="s">
        <v>98</v>
      </c>
    </row>
    <row r="80" customFormat="false" ht="14.25" hidden="false" customHeight="false" outlineLevel="0" collapsed="false">
      <c r="B80" s="4" t="s">
        <v>3</v>
      </c>
      <c r="C80" s="4" t="s">
        <v>99</v>
      </c>
      <c r="D80" s="4"/>
      <c r="E80" s="5" t="s">
        <v>5</v>
      </c>
      <c r="F80" s="5" t="s">
        <v>6</v>
      </c>
      <c r="G80" s="5" t="s">
        <v>7</v>
      </c>
      <c r="H80" s="5" t="s">
        <v>8</v>
      </c>
    </row>
    <row r="81" customFormat="false" ht="14.25" hidden="false" customHeight="false" outlineLevel="0" collapsed="false">
      <c r="C81" s="6" t="s">
        <v>100</v>
      </c>
      <c r="D81" s="2" t="s">
        <v>85</v>
      </c>
      <c r="E81" s="8" t="n">
        <f aca="false">IF(E17="EU",Case_EU,Case_CN)*E46</f>
        <v>27000</v>
      </c>
      <c r="F81" s="8" t="n">
        <f aca="false">IF(F17="EU",Case_EU,Case_CN)*F46</f>
        <v>31500</v>
      </c>
      <c r="G81" s="8" t="n">
        <f aca="false">IF(G17="EU",Case_EU,Case_CN)*G46</f>
        <v>31500</v>
      </c>
      <c r="H81" s="8" t="n">
        <f aca="false">SUM(E81:G81)</f>
        <v>90000</v>
      </c>
    </row>
    <row r="82" customFormat="false" ht="14.25" hidden="false" customHeight="false" outlineLevel="0" collapsed="false">
      <c r="C82" s="6" t="s">
        <v>101</v>
      </c>
      <c r="D82" s="2" t="s">
        <v>85</v>
      </c>
      <c r="E82" s="8" t="n">
        <f aca="false">Capex_Install*E46</f>
        <v>4320</v>
      </c>
      <c r="F82" s="8" t="n">
        <f aca="false">Capex_Install*F46</f>
        <v>5040</v>
      </c>
      <c r="G82" s="8" t="n">
        <f aca="false">Capex_Install*G46</f>
        <v>5040</v>
      </c>
      <c r="H82" s="8" t="n">
        <f aca="false">SUM(E82:G82)</f>
        <v>14400</v>
      </c>
    </row>
    <row r="83" customFormat="false" ht="14.25" hidden="false" customHeight="false" outlineLevel="0" collapsed="false">
      <c r="C83" s="6" t="s">
        <v>102</v>
      </c>
      <c r="D83" s="2" t="s">
        <v>85</v>
      </c>
      <c r="E83" s="8" t="n">
        <f aca="false">Capex_Fdn*E46</f>
        <v>4860</v>
      </c>
      <c r="F83" s="8" t="n">
        <f aca="false">Capex_Fdn*F46</f>
        <v>5670</v>
      </c>
      <c r="G83" s="8" t="n">
        <f aca="false">Capex_Fdn*G46</f>
        <v>5670</v>
      </c>
      <c r="H83" s="8" t="n">
        <f aca="false">SUM(E83:G83)</f>
        <v>16200</v>
      </c>
    </row>
    <row r="84" customFormat="false" ht="14.25" hidden="false" customHeight="false" outlineLevel="0" collapsed="false">
      <c r="C84" s="6" t="s">
        <v>103</v>
      </c>
      <c r="D84" s="2" t="s">
        <v>85</v>
      </c>
      <c r="E84" s="8" t="n">
        <f aca="false">Capex_Civil*E46</f>
        <v>3780</v>
      </c>
      <c r="F84" s="8" t="n">
        <f aca="false">Capex_Civil*F46</f>
        <v>4410</v>
      </c>
      <c r="G84" s="8" t="n">
        <f aca="false">Capex_Civil*G46</f>
        <v>4410</v>
      </c>
      <c r="H84" s="8" t="n">
        <f aca="false">SUM(E84:G84)</f>
        <v>12600</v>
      </c>
    </row>
    <row r="85" customFormat="false" ht="14.25" hidden="false" customHeight="false" outlineLevel="0" collapsed="false">
      <c r="C85" s="6" t="s">
        <v>104</v>
      </c>
      <c r="D85" s="2" t="s">
        <v>85</v>
      </c>
      <c r="E85" s="8" t="n">
        <f aca="false">Capex_Elec*E46</f>
        <v>3240</v>
      </c>
      <c r="F85" s="8" t="n">
        <f aca="false">Capex_Elec*F46</f>
        <v>3780</v>
      </c>
      <c r="G85" s="8" t="n">
        <f aca="false">Capex_Elec*G46</f>
        <v>3780</v>
      </c>
      <c r="H85" s="8" t="n">
        <f aca="false">SUM(E85:G85)</f>
        <v>10800</v>
      </c>
    </row>
    <row r="86" customFormat="false" ht="14.25" hidden="false" customHeight="false" outlineLevel="0" collapsed="false">
      <c r="C86" s="6" t="s">
        <v>105</v>
      </c>
      <c r="D86" s="2" t="s">
        <v>85</v>
      </c>
      <c r="E86" s="8" t="n">
        <f aca="false">Capex_Owner*E46</f>
        <v>2160</v>
      </c>
      <c r="F86" s="8" t="n">
        <f aca="false">Capex_Owner*F46</f>
        <v>2520</v>
      </c>
      <c r="G86" s="8" t="n">
        <f aca="false">Capex_Owner*G46</f>
        <v>2520</v>
      </c>
      <c r="H86" s="8" t="n">
        <f aca="false">SUM(E86:G86)</f>
        <v>7200</v>
      </c>
    </row>
    <row r="87" customFormat="false" ht="14.25" hidden="false" customHeight="false" outlineLevel="0" collapsed="false">
      <c r="C87" s="6" t="s">
        <v>106</v>
      </c>
      <c r="D87" s="2" t="s">
        <v>85</v>
      </c>
      <c r="E87" s="8" t="n">
        <f aca="false">Capex_Land*E46</f>
        <v>0</v>
      </c>
      <c r="F87" s="8" t="n">
        <f aca="false">Capex_Land*F46</f>
        <v>0</v>
      </c>
      <c r="G87" s="8" t="n">
        <f aca="false">Capex_Land*G46</f>
        <v>0</v>
      </c>
      <c r="H87" s="8" t="n">
        <f aca="false">SUM(E87:G87)</f>
        <v>0</v>
      </c>
    </row>
    <row r="88" customFormat="false" ht="14.25" hidden="false" customHeight="false" outlineLevel="0" collapsed="false">
      <c r="C88" s="6" t="s">
        <v>107</v>
      </c>
      <c r="D88" s="2" t="s">
        <v>85</v>
      </c>
      <c r="E88" s="8" t="n">
        <f aca="false">Subs_Lump*E6/Lump_Basis</f>
        <v>3000</v>
      </c>
      <c r="F88" s="8" t="n">
        <f aca="false">Subs_Lump*F6/Lump_Basis</f>
        <v>3000</v>
      </c>
      <c r="G88" s="8" t="n">
        <f aca="false">Subs_Lump*G6/Lump_Basis</f>
        <v>3000</v>
      </c>
      <c r="H88" s="8" t="n">
        <f aca="false">SUM(E88:G88)</f>
        <v>9000</v>
      </c>
    </row>
    <row r="89" customFormat="false" ht="14.25" hidden="false" customHeight="false" outlineLevel="0" collapsed="false">
      <c r="C89" s="6" t="s">
        <v>108</v>
      </c>
      <c r="D89" s="2" t="s">
        <v>85</v>
      </c>
      <c r="E89" s="8" t="n">
        <f aca="false">SUM(E81:E88)*Capex_Cont</f>
        <v>2418</v>
      </c>
      <c r="F89" s="8" t="n">
        <f aca="false">SUM(F81:F88)*Capex_Cont</f>
        <v>2796</v>
      </c>
      <c r="G89" s="8" t="n">
        <f aca="false">SUM(G81:G88)*Capex_Cont</f>
        <v>2796</v>
      </c>
      <c r="H89" s="8" t="n">
        <f aca="false">SUM(E89:G89)</f>
        <v>8010</v>
      </c>
    </row>
    <row r="90" customFormat="false" ht="14.25" hidden="false" customHeight="false" outlineLevel="0" collapsed="false">
      <c r="C90" s="6" t="s">
        <v>109</v>
      </c>
      <c r="D90" s="2" t="s">
        <v>85</v>
      </c>
      <c r="E90" s="8" t="n">
        <f aca="false">BESS_Capex*E45</f>
        <v>2000</v>
      </c>
      <c r="F90" s="8" t="n">
        <f aca="false">BESS_Capex*F45</f>
        <v>4000</v>
      </c>
      <c r="G90" s="8" t="n">
        <f aca="false">BESS_Capex*G45</f>
        <v>4000</v>
      </c>
      <c r="H90" s="8" t="n">
        <f aca="false">SUM(E90:G90)</f>
        <v>10000</v>
      </c>
    </row>
    <row r="91" customFormat="false" ht="14.25" hidden="false" customHeight="false" outlineLevel="0" collapsed="false">
      <c r="C91" s="1" t="s">
        <v>110</v>
      </c>
      <c r="D91" s="2" t="s">
        <v>85</v>
      </c>
      <c r="E91" s="32" t="n">
        <f aca="false">SUM(E81:E90)</f>
        <v>52778</v>
      </c>
      <c r="F91" s="32" t="n">
        <f aca="false">SUM(F81:F90)</f>
        <v>62716</v>
      </c>
      <c r="G91" s="32" t="n">
        <f aca="false">SUM(G81:G90)</f>
        <v>62716</v>
      </c>
      <c r="H91" s="32" t="n">
        <f aca="false">SUM(E91:G91)</f>
        <v>178210</v>
      </c>
    </row>
    <row r="92" customFormat="false" ht="14.25" hidden="false" customHeight="false" outlineLevel="0" collapsed="false">
      <c r="C92" s="29" t="s">
        <v>111</v>
      </c>
      <c r="D92" s="30" t="s">
        <v>85</v>
      </c>
      <c r="E92" s="31" t="n">
        <f aca="false">E64+E65+E66</f>
        <v>10706.132060274</v>
      </c>
      <c r="F92" s="31" t="n">
        <f aca="false">F64+F65+F66</f>
        <v>3976.25753424658</v>
      </c>
      <c r="G92" s="31" t="n">
        <f aca="false">G64+G65+G66</f>
        <v>3976.25753424658</v>
      </c>
      <c r="H92" s="31" t="n">
        <f aca="false">SUM(E92:G92)</f>
        <v>18658.6471287671</v>
      </c>
    </row>
    <row r="93" customFormat="false" ht="14.25" hidden="false" customHeight="false" outlineLevel="0" collapsed="false">
      <c r="C93" s="29" t="s">
        <v>112</v>
      </c>
      <c r="D93" s="30" t="s">
        <v>85</v>
      </c>
      <c r="E93" s="31" t="n">
        <f aca="false">0</f>
        <v>0</v>
      </c>
      <c r="F93" s="31" t="n">
        <f aca="false">0</f>
        <v>0</v>
      </c>
      <c r="G93" s="31" t="n">
        <f aca="false">0</f>
        <v>0</v>
      </c>
      <c r="H93" s="31" t="n">
        <f aca="false">SUM(E93:G93)</f>
        <v>0</v>
      </c>
    </row>
    <row r="94" customFormat="false" ht="14.25" hidden="false" customHeight="false" outlineLevel="0" collapsed="false">
      <c r="C94" s="29" t="s">
        <v>113</v>
      </c>
      <c r="D94" s="30" t="s">
        <v>85</v>
      </c>
      <c r="E94" s="31" t="n">
        <f aca="false">0</f>
        <v>0</v>
      </c>
      <c r="F94" s="31" t="n">
        <f aca="false">0</f>
        <v>0</v>
      </c>
      <c r="G94" s="31" t="n">
        <f aca="false">0</f>
        <v>0</v>
      </c>
      <c r="H94" s="31" t="n">
        <f aca="false">SUM(E94:G94)</f>
        <v>0</v>
      </c>
    </row>
    <row r="95" customFormat="false" ht="14.25" hidden="false" customHeight="false" outlineLevel="0" collapsed="false">
      <c r="C95" s="29" t="s">
        <v>114</v>
      </c>
      <c r="D95" s="30" t="s">
        <v>85</v>
      </c>
      <c r="E95" s="31" t="n">
        <f aca="false">0</f>
        <v>0</v>
      </c>
      <c r="F95" s="31" t="n">
        <f aca="false">0</f>
        <v>0</v>
      </c>
      <c r="G95" s="31" t="n">
        <f aca="false">0</f>
        <v>0</v>
      </c>
      <c r="H95" s="31" t="n">
        <f aca="false">SUM(E95:G95)</f>
        <v>0</v>
      </c>
    </row>
    <row r="96" customFormat="false" ht="14.25" hidden="false" customHeight="false" outlineLevel="0" collapsed="false">
      <c r="C96" s="6" t="s">
        <v>115</v>
      </c>
      <c r="D96" s="2" t="s">
        <v>85</v>
      </c>
      <c r="E96" s="8" t="n">
        <f aca="false">E11*E6</f>
        <v>1000</v>
      </c>
      <c r="F96" s="8" t="n">
        <f aca="false">F11*F6</f>
        <v>2500</v>
      </c>
      <c r="G96" s="8" t="n">
        <f aca="false">G11*G6</f>
        <v>2500</v>
      </c>
      <c r="H96" s="8" t="n">
        <f aca="false">SUM(E96:G96)</f>
        <v>6000</v>
      </c>
    </row>
    <row r="97" customFormat="false" ht="14.25" hidden="false" customHeight="false" outlineLevel="0" collapsed="false">
      <c r="C97" s="6" t="s">
        <v>116</v>
      </c>
      <c r="D97" s="2" t="s">
        <v>85</v>
      </c>
      <c r="E97" s="8" t="n">
        <f aca="false">E68</f>
        <v>107.801712328767</v>
      </c>
      <c r="F97" s="8" t="n">
        <f aca="false">F68</f>
        <v>107.801712328767</v>
      </c>
      <c r="G97" s="8" t="n">
        <f aca="false">G68</f>
        <v>107.801712328767</v>
      </c>
      <c r="H97" s="8" t="n">
        <f aca="false">SUM(E97:G97)</f>
        <v>323.405136986301</v>
      </c>
    </row>
    <row r="98" customFormat="false" ht="14.25" hidden="false" customHeight="false" outlineLevel="0" collapsed="false">
      <c r="C98" s="6" t="s">
        <v>117</v>
      </c>
      <c r="D98" s="2" t="s">
        <v>85</v>
      </c>
      <c r="E98" s="8" t="n">
        <f aca="false">E18*E6</f>
        <v>7500</v>
      </c>
      <c r="F98" s="8" t="n">
        <f aca="false">F18*F6</f>
        <v>7500</v>
      </c>
      <c r="G98" s="8" t="n">
        <f aca="false">G18*G6</f>
        <v>7500</v>
      </c>
      <c r="H98" s="8" t="n">
        <f aca="false">SUM(E98:G98)</f>
        <v>22500</v>
      </c>
    </row>
    <row r="99" customFormat="false" ht="14.25" hidden="false" customHeight="false" outlineLevel="0" collapsed="false">
      <c r="C99" s="1" t="s">
        <v>118</v>
      </c>
      <c r="D99" s="2" t="s">
        <v>85</v>
      </c>
      <c r="E99" s="32" t="n">
        <f aca="false">E91+SUM(E92:E98)</f>
        <v>72091.9337726027</v>
      </c>
      <c r="F99" s="32" t="n">
        <f aca="false">F91+SUM(F92:F98)</f>
        <v>76800.0592465753</v>
      </c>
      <c r="G99" s="32" t="n">
        <f aca="false">G91+SUM(G92:G98)</f>
        <v>76800.0592465753</v>
      </c>
      <c r="H99" s="32" t="n">
        <f aca="false">SUM(E99:G99)</f>
        <v>225692.052265753</v>
      </c>
    </row>
    <row r="100" customFormat="false" ht="14.25" hidden="false" customHeight="false" outlineLevel="0" collapsed="false">
      <c r="C100" s="6" t="s">
        <v>119</v>
      </c>
      <c r="D100" s="2" t="s">
        <v>42</v>
      </c>
      <c r="E100" s="17" t="n">
        <f aca="false">E99/E46</f>
        <v>1335.03581060375</v>
      </c>
      <c r="F100" s="17" t="n">
        <f aca="false">F99/F46</f>
        <v>1219.04855946945</v>
      </c>
      <c r="G100" s="17" t="n">
        <f aca="false">G99/G46</f>
        <v>1219.04855946945</v>
      </c>
      <c r="H100" s="17" t="n">
        <f aca="false">H99/H46</f>
        <v>1253.84473480974</v>
      </c>
    </row>
    <row r="101" s="37" customFormat="true" ht="14.25" hidden="false" customHeight="false" outlineLevel="0" collapsed="false">
      <c r="C101" s="6" t="s">
        <v>120</v>
      </c>
      <c r="D101" s="2" t="s">
        <v>18</v>
      </c>
      <c r="E101" s="17" t="n">
        <f aca="false">E99/E6</f>
        <v>1441.83867545205</v>
      </c>
      <c r="F101" s="17" t="n">
        <f aca="false">F99/F6</f>
        <v>1536.00118493151</v>
      </c>
      <c r="G101" s="17" t="n">
        <f aca="false">G99/G6</f>
        <v>1536.00118493151</v>
      </c>
      <c r="H101" s="17" t="n">
        <f aca="false">H99/H6</f>
        <v>1504.61368177169</v>
      </c>
    </row>
    <row r="103" customFormat="false" ht="14.25" hidden="false" customHeight="false" outlineLevel="0" collapsed="false">
      <c r="B103" s="4" t="s">
        <v>3</v>
      </c>
      <c r="C103" s="4" t="s">
        <v>121</v>
      </c>
      <c r="D103" s="4"/>
      <c r="E103" s="5" t="s">
        <v>5</v>
      </c>
      <c r="F103" s="5" t="s">
        <v>6</v>
      </c>
      <c r="G103" s="5" t="s">
        <v>7</v>
      </c>
      <c r="H103" s="5" t="s">
        <v>8</v>
      </c>
    </row>
    <row r="104" customFormat="false" ht="14.25" hidden="false" customHeight="false" outlineLevel="0" collapsed="false">
      <c r="C104" s="6" t="s">
        <v>116</v>
      </c>
      <c r="D104" s="2" t="s">
        <v>85</v>
      </c>
      <c r="E104" s="17" t="n">
        <f aca="false">E68</f>
        <v>107.801712328767</v>
      </c>
      <c r="F104" s="17" t="n">
        <f aca="false">F68</f>
        <v>107.801712328767</v>
      </c>
      <c r="G104" s="17" t="n">
        <f aca="false">G68</f>
        <v>107.801712328767</v>
      </c>
      <c r="H104" s="17" t="n">
        <f aca="false">SUM(E104:G104)</f>
        <v>323.405136986301</v>
      </c>
    </row>
    <row r="105" customFormat="false" ht="14.25" hidden="false" customHeight="false" outlineLevel="0" collapsed="false">
      <c r="C105" s="6" t="s">
        <v>122</v>
      </c>
      <c r="D105" s="2" t="s">
        <v>85</v>
      </c>
      <c r="E105" s="17" t="n">
        <f aca="false">E67</f>
        <v>701.098816348896</v>
      </c>
      <c r="F105" s="17" t="n">
        <f aca="false">F67</f>
        <v>701.098816348896</v>
      </c>
      <c r="G105" s="17" t="n">
        <f aca="false">G67</f>
        <v>701.098816348896</v>
      </c>
      <c r="H105" s="17" t="n">
        <f aca="false">SUM(E105:G105)</f>
        <v>2103.29644904669</v>
      </c>
    </row>
    <row r="106" customFormat="false" ht="14.25" hidden="false" customHeight="false" outlineLevel="0" collapsed="false">
      <c r="C106" s="1" t="s">
        <v>123</v>
      </c>
      <c r="D106" s="2" t="s">
        <v>85</v>
      </c>
      <c r="E106" s="18" t="n">
        <f aca="false">SUM(E104:E105)</f>
        <v>808.900528677663</v>
      </c>
      <c r="F106" s="18" t="n">
        <f aca="false">SUM(F104:F105)</f>
        <v>808.900528677663</v>
      </c>
      <c r="G106" s="18" t="n">
        <f aca="false">SUM(G104:G105)</f>
        <v>808.900528677663</v>
      </c>
      <c r="H106" s="18" t="n">
        <f aca="false">SUM(E106:G106)</f>
        <v>2426.70158603299</v>
      </c>
    </row>
    <row r="108" customFormat="false" ht="14.25" hidden="false" customHeight="false" outlineLevel="0" collapsed="false">
      <c r="A108" s="37"/>
      <c r="B108" s="38" t="s">
        <v>3</v>
      </c>
      <c r="C108" s="39" t="s">
        <v>124</v>
      </c>
      <c r="D108" s="38"/>
      <c r="E108" s="40" t="s">
        <v>5</v>
      </c>
      <c r="F108" s="40" t="s">
        <v>6</v>
      </c>
      <c r="G108" s="40" t="s">
        <v>7</v>
      </c>
      <c r="H108" s="40" t="s">
        <v>8</v>
      </c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</row>
    <row r="109" customFormat="false" ht="14.25" hidden="false" customHeight="false" outlineLevel="0" collapsed="false">
      <c r="C109" s="41" t="s">
        <v>125</v>
      </c>
      <c r="D109" s="42"/>
      <c r="E109" s="43"/>
      <c r="F109" s="43"/>
      <c r="G109" s="43"/>
      <c r="H109" s="43"/>
    </row>
    <row r="110" customFormat="false" ht="14.25" hidden="false" customHeight="false" outlineLevel="0" collapsed="false">
      <c r="C110" s="6" t="s">
        <v>126</v>
      </c>
      <c r="D110" s="2" t="s">
        <v>85</v>
      </c>
      <c r="E110" s="8" t="n">
        <f aca="false">E222</f>
        <v>10089.6937041096</v>
      </c>
      <c r="F110" s="8" t="n">
        <f aca="false">F222</f>
        <v>3359.81917808219</v>
      </c>
      <c r="G110" s="8" t="n">
        <f aca="false">G222</f>
        <v>3359.81917808219</v>
      </c>
      <c r="H110" s="8" t="n">
        <f aca="false">SUM(E110:G110)</f>
        <v>16809.332060274</v>
      </c>
    </row>
    <row r="111" customFormat="false" ht="14.25" hidden="false" customHeight="false" outlineLevel="0" collapsed="false">
      <c r="C111" s="44" t="s">
        <v>127</v>
      </c>
      <c r="D111" s="45" t="s">
        <v>85</v>
      </c>
      <c r="E111" s="46" t="n">
        <f aca="false">E229</f>
        <v>3426.64025470506</v>
      </c>
      <c r="F111" s="46" t="n">
        <f aca="false">F229</f>
        <v>3978.69504922561</v>
      </c>
      <c r="G111" s="46" t="n">
        <f aca="false">G229</f>
        <v>3978.69504922561</v>
      </c>
      <c r="H111" s="46" t="n">
        <f aca="false">SUM(E111:G111)</f>
        <v>11384.0303531563</v>
      </c>
    </row>
    <row r="112" customFormat="false" ht="14.25" hidden="false" customHeight="false" outlineLevel="0" collapsed="false">
      <c r="C112" s="6" t="s">
        <v>128</v>
      </c>
      <c r="D112" s="2" t="s">
        <v>85</v>
      </c>
      <c r="E112" s="8" t="n">
        <f aca="false">E299</f>
        <v>7865.20493804327</v>
      </c>
      <c r="F112" s="8" t="n">
        <f aca="false">F299</f>
        <v>10406.2948630137</v>
      </c>
      <c r="G112" s="8" t="n">
        <f aca="false">G299</f>
        <v>10406.2948630137</v>
      </c>
      <c r="H112" s="8" t="n">
        <f aca="false">SUM(E112:G112)</f>
        <v>28677.7946640707</v>
      </c>
    </row>
    <row r="113" customFormat="false" ht="14.25" hidden="false" customHeight="false" outlineLevel="0" collapsed="false">
      <c r="C113" s="44" t="s">
        <v>129</v>
      </c>
      <c r="D113" s="45" t="s">
        <v>85</v>
      </c>
      <c r="E113" s="46" t="n">
        <f aca="false">E287</f>
        <v>4244.95724856315</v>
      </c>
      <c r="F113" s="46" t="n">
        <f aca="false">F287</f>
        <v>6427.59981378809</v>
      </c>
      <c r="G113" s="46" t="n">
        <f aca="false">G287</f>
        <v>6427.59981378809</v>
      </c>
      <c r="H113" s="46" t="n">
        <f aca="false">SUM(E113:G113)</f>
        <v>17100.1568761393</v>
      </c>
    </row>
    <row r="114" customFormat="false" ht="14.25" hidden="false" customHeight="false" outlineLevel="0" collapsed="false">
      <c r="C114" s="6" t="s">
        <v>130</v>
      </c>
      <c r="D114" s="2" t="s">
        <v>3</v>
      </c>
      <c r="E114" s="47" t="n">
        <f aca="false">E288</f>
        <v>2.29531096158801</v>
      </c>
      <c r="F114" s="47" t="n">
        <f aca="false">F288</f>
        <v>2.61550451448626</v>
      </c>
      <c r="G114" s="47" t="n">
        <f aca="false">G288</f>
        <v>2.61550451448626</v>
      </c>
      <c r="H114" s="47" t="n">
        <f aca="false">H288</f>
        <v>2.51912492978549</v>
      </c>
    </row>
    <row r="115" customFormat="false" ht="14.25" hidden="false" customHeight="false" outlineLevel="0" collapsed="false">
      <c r="C115" s="6" t="s">
        <v>131</v>
      </c>
      <c r="D115" s="2" t="s">
        <v>12</v>
      </c>
      <c r="E115" s="48" t="n">
        <f aca="false">E289</f>
        <v>0.669984944789679</v>
      </c>
      <c r="F115" s="48" t="n">
        <f aca="false">F289</f>
        <v>0.795403064715325</v>
      </c>
      <c r="G115" s="48" t="n">
        <f aca="false">G289</f>
        <v>0.795403064715325</v>
      </c>
      <c r="H115" s="49" t="n">
        <f aca="false">H289</f>
        <v>0.758838225005592</v>
      </c>
    </row>
    <row r="116" customFormat="false" ht="14.25" hidden="false" customHeight="false" outlineLevel="0" collapsed="false">
      <c r="C116" s="6" t="s">
        <v>132</v>
      </c>
      <c r="D116" s="2" t="s">
        <v>3</v>
      </c>
      <c r="E116" s="47" t="n">
        <f aca="false">E305</f>
        <v>2.17255989442334</v>
      </c>
      <c r="F116" s="47" t="n">
        <f aca="false">F305</f>
        <v>2.61550451448626</v>
      </c>
      <c r="G116" s="47" t="n">
        <f aca="false">G305</f>
        <v>2.61550451448626</v>
      </c>
      <c r="H116" s="47" t="n">
        <f aca="false">H305</f>
        <v>2.47699877897068</v>
      </c>
    </row>
    <row r="117" customFormat="false" ht="14.25" hidden="false" customHeight="false" outlineLevel="0" collapsed="false">
      <c r="C117" s="6" t="s">
        <v>133</v>
      </c>
      <c r="D117" s="2" t="s">
        <v>12</v>
      </c>
      <c r="E117" s="48" t="n">
        <f aca="false">E306</f>
        <v>0.641832928036373</v>
      </c>
      <c r="F117" s="48" t="n">
        <f aca="false">F306</f>
        <v>0.795403064715325</v>
      </c>
      <c r="G117" s="48" t="n">
        <f aca="false">G306</f>
        <v>0.795403064715325</v>
      </c>
      <c r="H117" s="49" t="n">
        <f aca="false">H306</f>
        <v>0.750676749529129</v>
      </c>
    </row>
    <row r="118" customFormat="false" ht="14.25" hidden="false" customHeight="false" outlineLevel="0" collapsed="false">
      <c r="C118" s="41" t="s">
        <v>134</v>
      </c>
      <c r="D118" s="42"/>
      <c r="E118" s="43"/>
      <c r="F118" s="43"/>
      <c r="G118" s="43"/>
      <c r="H118" s="43"/>
    </row>
    <row r="119" customFormat="false" ht="14.25" hidden="false" customHeight="false" outlineLevel="0" collapsed="false">
      <c r="C119" s="44" t="s">
        <v>127</v>
      </c>
      <c r="D119" s="50" t="s">
        <v>85</v>
      </c>
      <c r="E119" s="46" t="n">
        <f aca="false">E70</f>
        <v>13600.7175204585</v>
      </c>
      <c r="F119" s="46" t="n">
        <f aca="false">F70</f>
        <v>7422.89778895164</v>
      </c>
      <c r="G119" s="46" t="n">
        <f aca="false">G70</f>
        <v>7422.89778895164</v>
      </c>
      <c r="H119" s="46" t="n">
        <f aca="false">SUM(E119:G119)</f>
        <v>28446.5130983618</v>
      </c>
    </row>
    <row r="120" customFormat="false" ht="14.25" hidden="false" customHeight="false" outlineLevel="0" collapsed="false">
      <c r="C120" s="6" t="s">
        <v>128</v>
      </c>
      <c r="D120" s="2" t="s">
        <v>85</v>
      </c>
      <c r="E120" s="8" t="n">
        <f aca="false">E354</f>
        <v>18298.0729861777</v>
      </c>
      <c r="F120" s="8" t="n">
        <f aca="false">F354</f>
        <v>13828.5797945205</v>
      </c>
      <c r="G120" s="8" t="n">
        <f aca="false">G354</f>
        <v>13828.5797945205</v>
      </c>
      <c r="H120" s="8" t="n">
        <f aca="false">SUM(E120:G120)</f>
        <v>45955.2325752188</v>
      </c>
    </row>
    <row r="121" customFormat="false" ht="14.25" hidden="false" customHeight="false" outlineLevel="0" collapsed="false">
      <c r="C121" s="44" t="s">
        <v>129</v>
      </c>
      <c r="D121" s="45" t="s">
        <v>85</v>
      </c>
      <c r="E121" s="46" t="n">
        <f aca="false">E341</f>
        <v>4310.89373564404</v>
      </c>
      <c r="F121" s="46" t="n">
        <f aca="false">F341</f>
        <v>6405.68200556891</v>
      </c>
      <c r="G121" s="46" t="n">
        <f aca="false">G341</f>
        <v>6405.68200556891</v>
      </c>
      <c r="H121" s="15" t="n">
        <f aca="false">SUM(E121:G121)</f>
        <v>17122.2577467819</v>
      </c>
    </row>
    <row r="122" customFormat="false" ht="14.25" hidden="false" customHeight="false" outlineLevel="0" collapsed="false">
      <c r="C122" s="6" t="s">
        <v>130</v>
      </c>
      <c r="D122" s="2" t="s">
        <v>3</v>
      </c>
      <c r="E122" s="47" t="n">
        <f aca="false">E342</f>
        <v>1.34537556262405</v>
      </c>
      <c r="F122" s="47" t="n">
        <f aca="false">F342</f>
        <v>1.86296244239052</v>
      </c>
      <c r="G122" s="47" t="n">
        <f aca="false">G342</f>
        <v>1.86296244239052</v>
      </c>
      <c r="H122" s="47" t="n">
        <f aca="false">H342</f>
        <v>1.61549615646444</v>
      </c>
    </row>
    <row r="123" customFormat="false" ht="14.25" hidden="false" customHeight="false" outlineLevel="0" collapsed="false">
      <c r="C123" s="6" t="s">
        <v>131</v>
      </c>
      <c r="D123" s="2" t="s">
        <v>12</v>
      </c>
      <c r="E123" s="48" t="n">
        <f aca="false">E343</f>
        <v>0.226964322274131</v>
      </c>
      <c r="F123" s="48" t="n">
        <f aca="false">F343</f>
        <v>0.371762816518574</v>
      </c>
      <c r="G123" s="48" t="n">
        <f aca="false">G343</f>
        <v>0.371762816518574</v>
      </c>
      <c r="H123" s="49" t="n">
        <f aca="false">H343</f>
        <v>0.319139022863017</v>
      </c>
    </row>
    <row r="124" customFormat="false" ht="14.25" hidden="false" customHeight="false" outlineLevel="0" collapsed="false">
      <c r="C124" s="6" t="s">
        <v>132</v>
      </c>
      <c r="D124" s="2" t="s">
        <v>3</v>
      </c>
      <c r="E124" s="47" t="n">
        <f aca="false">E360</f>
        <v>1.30820322371143</v>
      </c>
      <c r="F124" s="47" t="n">
        <f aca="false">F360</f>
        <v>1.86296244239052</v>
      </c>
      <c r="G124" s="47" t="n">
        <f aca="false">G360</f>
        <v>1.86296244239052</v>
      </c>
      <c r="H124" s="47" t="n">
        <f aca="false">H360</f>
        <v>1.59384291245227</v>
      </c>
    </row>
    <row r="125" customFormat="false" ht="14.25" hidden="false" customHeight="false" outlineLevel="0" collapsed="false">
      <c r="C125" s="6" t="s">
        <v>133</v>
      </c>
      <c r="D125" s="2" t="s">
        <v>12</v>
      </c>
      <c r="E125" s="48" t="n">
        <f aca="false">E361</f>
        <v>0.207977245637379</v>
      </c>
      <c r="F125" s="48" t="n">
        <f aca="false">F361</f>
        <v>0.371762816518574</v>
      </c>
      <c r="G125" s="48" t="n">
        <f aca="false">G361</f>
        <v>0.371762816518574</v>
      </c>
      <c r="H125" s="49" t="n">
        <f aca="false">H361</f>
        <v>0.312152638975026</v>
      </c>
    </row>
    <row r="126" customFormat="false" ht="14.25" hidden="false" customHeight="false" outlineLevel="0" collapsed="false">
      <c r="C126" s="41" t="s">
        <v>135</v>
      </c>
      <c r="D126" s="42"/>
      <c r="E126" s="43"/>
      <c r="F126" s="43"/>
      <c r="G126" s="43"/>
      <c r="H126" s="43"/>
    </row>
    <row r="127" customFormat="false" ht="14.25" hidden="false" customHeight="false" outlineLevel="0" collapsed="false">
      <c r="C127" s="6" t="s">
        <v>110</v>
      </c>
      <c r="D127" s="2" t="s">
        <v>85</v>
      </c>
      <c r="E127" s="8" t="n">
        <f aca="false">E91</f>
        <v>52778</v>
      </c>
      <c r="F127" s="8" t="n">
        <f aca="false">F91</f>
        <v>62716</v>
      </c>
      <c r="G127" s="8" t="n">
        <f aca="false">G91</f>
        <v>62716</v>
      </c>
      <c r="H127" s="8" t="n">
        <f aca="false">SUM(E127:G127)</f>
        <v>178210</v>
      </c>
    </row>
    <row r="128" customFormat="false" ht="14.25" hidden="false" customHeight="false" outlineLevel="0" collapsed="false">
      <c r="C128" s="6" t="s">
        <v>136</v>
      </c>
      <c r="D128" s="2" t="s">
        <v>85</v>
      </c>
      <c r="E128" s="8" t="n">
        <f aca="false">E92</f>
        <v>10706.132060274</v>
      </c>
      <c r="F128" s="8" t="n">
        <f aca="false">F92</f>
        <v>3976.25753424658</v>
      </c>
      <c r="G128" s="8" t="n">
        <f aca="false">G92</f>
        <v>3976.25753424658</v>
      </c>
      <c r="H128" s="8" t="n">
        <f aca="false">SUM(E128:G128)</f>
        <v>18658.6471287671</v>
      </c>
    </row>
    <row r="129" customFormat="false" ht="14.25" hidden="false" customHeight="false" outlineLevel="0" collapsed="false">
      <c r="C129" s="6" t="s">
        <v>115</v>
      </c>
      <c r="D129" s="2" t="s">
        <v>85</v>
      </c>
      <c r="E129" s="8" t="n">
        <f aca="false">E96</f>
        <v>1000</v>
      </c>
      <c r="F129" s="8" t="n">
        <f aca="false">F96</f>
        <v>2500</v>
      </c>
      <c r="G129" s="8" t="n">
        <f aca="false">G96</f>
        <v>2500</v>
      </c>
      <c r="H129" s="8" t="n">
        <f aca="false">SUM(E129:G129)</f>
        <v>6000</v>
      </c>
    </row>
    <row r="130" customFormat="false" ht="14.25" hidden="false" customHeight="false" outlineLevel="0" collapsed="false">
      <c r="C130" s="6" t="s">
        <v>116</v>
      </c>
      <c r="D130" s="2" t="s">
        <v>85</v>
      </c>
      <c r="E130" s="8" t="n">
        <f aca="false">E68</f>
        <v>107.801712328767</v>
      </c>
      <c r="F130" s="8" t="n">
        <f aca="false">F68</f>
        <v>107.801712328767</v>
      </c>
      <c r="G130" s="8" t="n">
        <f aca="false">G68</f>
        <v>107.801712328767</v>
      </c>
      <c r="H130" s="8" t="n">
        <f aca="false">SUM(E130:G130)</f>
        <v>323.405136986301</v>
      </c>
    </row>
    <row r="131" customFormat="false" ht="14.25" hidden="false" customHeight="false" outlineLevel="0" collapsed="false">
      <c r="C131" s="6" t="s">
        <v>137</v>
      </c>
      <c r="D131" s="2" t="s">
        <v>85</v>
      </c>
      <c r="E131" s="8" t="n">
        <f aca="false">0</f>
        <v>0</v>
      </c>
      <c r="F131" s="8" t="n">
        <f aca="false">0</f>
        <v>0</v>
      </c>
      <c r="G131" s="8" t="n">
        <f aca="false">0</f>
        <v>0</v>
      </c>
      <c r="H131" s="8" t="n">
        <f aca="false">SUM(E131:G131)</f>
        <v>0</v>
      </c>
    </row>
    <row r="132" customFormat="false" ht="14.25" hidden="false" customHeight="false" outlineLevel="0" collapsed="false">
      <c r="C132" s="6" t="s">
        <v>138</v>
      </c>
      <c r="D132" s="2" t="s">
        <v>85</v>
      </c>
      <c r="E132" s="8" t="n">
        <f aca="false">E98</f>
        <v>7500</v>
      </c>
      <c r="F132" s="8" t="n">
        <f aca="false">F98</f>
        <v>7500</v>
      </c>
      <c r="G132" s="8" t="n">
        <f aca="false">G98</f>
        <v>7500</v>
      </c>
      <c r="H132" s="8" t="n">
        <f aca="false">SUM(E132:G132)</f>
        <v>22500</v>
      </c>
    </row>
    <row r="133" customFormat="false" ht="14.25" hidden="false" customHeight="false" outlineLevel="0" collapsed="false">
      <c r="C133" s="1" t="s">
        <v>139</v>
      </c>
      <c r="D133" s="51" t="s">
        <v>85</v>
      </c>
      <c r="E133" s="15" t="n">
        <f aca="false">SUM(E127:E132)</f>
        <v>72091.9337726027</v>
      </c>
      <c r="F133" s="15" t="n">
        <f aca="false">SUM(F127:F132)</f>
        <v>76800.0592465753</v>
      </c>
      <c r="G133" s="15" t="n">
        <f aca="false">SUM(G127:G132)</f>
        <v>76800.0592465753</v>
      </c>
      <c r="H133" s="15" t="n">
        <f aca="false">SUM(E133:G133)</f>
        <v>225692.052265753</v>
      </c>
    </row>
    <row r="134" customFormat="false" ht="14.25" hidden="false" customHeight="false" outlineLevel="0" collapsed="false">
      <c r="C134" s="6" t="s">
        <v>140</v>
      </c>
      <c r="D134" s="2" t="s">
        <v>85</v>
      </c>
      <c r="E134" s="8" t="n">
        <f aca="false">$H$412</f>
        <v>93704.5637567043</v>
      </c>
      <c r="F134" s="8" t="n">
        <f aca="false">$H$469</f>
        <v>104814.283831267</v>
      </c>
      <c r="G134" s="8" t="n">
        <f aca="false">$H$526</f>
        <v>104814.283831267</v>
      </c>
      <c r="H134" s="8" t="n">
        <f aca="false">SUM(E134:G134)</f>
        <v>303333.131419238</v>
      </c>
    </row>
    <row r="135" customFormat="false" ht="14.25" hidden="false" customHeight="false" outlineLevel="0" collapsed="false">
      <c r="C135" s="1" t="s">
        <v>141</v>
      </c>
      <c r="D135" s="2" t="s">
        <v>85</v>
      </c>
      <c r="E135" s="15" t="n">
        <f aca="false">E540</f>
        <v>21612.6299841015</v>
      </c>
      <c r="F135" s="15" t="n">
        <f aca="false">F540</f>
        <v>28014.2245846914</v>
      </c>
      <c r="G135" s="15" t="n">
        <f aca="false">G540</f>
        <v>28014.2245846914</v>
      </c>
      <c r="H135" s="15" t="n">
        <f aca="false">SUM(E135:G135)</f>
        <v>77641.0791534844</v>
      </c>
    </row>
    <row r="136" customFormat="false" ht="14.25" hidden="false" customHeight="false" outlineLevel="0" collapsed="false">
      <c r="C136" s="6" t="s">
        <v>130</v>
      </c>
      <c r="D136" s="2" t="s">
        <v>3</v>
      </c>
      <c r="E136" s="47" t="n">
        <f aca="false">SUMIF($J$413:$AW$413,"&gt;0")/-SUMIF($J$413:$AW$413,"&lt;0")</f>
        <v>1.36117423584077</v>
      </c>
      <c r="F136" s="47" t="n">
        <f aca="false">SUMIF($J$470:$AW$470,"&gt;0")/-SUMIF($J$470:$AW$470,"&lt;0")</f>
        <v>1.4583810654972</v>
      </c>
      <c r="G136" s="47" t="n">
        <f aca="false">SUMIF($J$527:$AW$527,"&gt;0")/-SUMIF($J$527:$AW$527,"&lt;0")</f>
        <v>1.4583810654972</v>
      </c>
    </row>
    <row r="137" customFormat="false" ht="14.25" hidden="false" customHeight="false" outlineLevel="0" collapsed="false">
      <c r="C137" s="6" t="s">
        <v>131</v>
      </c>
      <c r="D137" s="2" t="s">
        <v>12</v>
      </c>
      <c r="E137" s="48" t="n">
        <f aca="false">XIRR($J$413:$AW$413,$J$365:$AW$365)</f>
        <v>0.215082100372754</v>
      </c>
      <c r="F137" s="48" t="n">
        <f aca="false">XIRR($J$470:$AW$470,$J$365:$AW$365)</f>
        <v>0.282200179512195</v>
      </c>
      <c r="G137" s="48" t="n">
        <f aca="false">XIRR($J$527:$AW$527,$J$365:$AW$365)</f>
        <v>0.282200179512195</v>
      </c>
      <c r="J137" s="52"/>
    </row>
    <row r="138" customFormat="false" ht="14.25" hidden="false" customHeight="false" outlineLevel="0" collapsed="false">
      <c r="C138" s="41" t="s">
        <v>142</v>
      </c>
      <c r="D138" s="42"/>
      <c r="E138" s="43"/>
      <c r="F138" s="43"/>
      <c r="G138" s="43"/>
      <c r="H138" s="43"/>
    </row>
    <row r="139" customFormat="false" ht="14.25" hidden="false" customHeight="false" outlineLevel="0" collapsed="false">
      <c r="C139" s="6" t="s">
        <v>143</v>
      </c>
      <c r="D139" s="2" t="s">
        <v>85</v>
      </c>
      <c r="E139" s="8" t="n">
        <f aca="false">E99</f>
        <v>72091.9337726027</v>
      </c>
      <c r="F139" s="8" t="n">
        <f aca="false">F99</f>
        <v>76800.0592465753</v>
      </c>
      <c r="G139" s="8" t="n">
        <f aca="false">G99</f>
        <v>76800.0592465753</v>
      </c>
      <c r="H139" s="8" t="n">
        <f aca="false">SUM(E139:G139)</f>
        <v>225692.052265753</v>
      </c>
    </row>
    <row r="140" customFormat="false" ht="14.25" hidden="false" customHeight="false" outlineLevel="0" collapsed="false">
      <c r="C140" s="6" t="s">
        <v>144</v>
      </c>
      <c r="D140" s="2" t="s">
        <v>85</v>
      </c>
      <c r="E140" s="8" t="n">
        <f aca="false">$H$382</f>
        <v>382397.730625247</v>
      </c>
      <c r="F140" s="8" t="n">
        <f aca="false">$H$439</f>
        <v>446130.685729454</v>
      </c>
      <c r="G140" s="8" t="n">
        <f aca="false">$H$496</f>
        <v>446130.685729454</v>
      </c>
      <c r="H140" s="8" t="n">
        <f aca="false">SUM(E140:G140)</f>
        <v>1274659.10208416</v>
      </c>
    </row>
    <row r="141" customFormat="false" ht="14.25" hidden="false" customHeight="false" outlineLevel="0" collapsed="false">
      <c r="C141" s="6" t="s">
        <v>145</v>
      </c>
      <c r="D141" s="2" t="s">
        <v>85</v>
      </c>
      <c r="E141" s="8" t="n">
        <f aca="false">$H$391</f>
        <v>-101080.469164597</v>
      </c>
      <c r="F141" s="8" t="n">
        <f aca="false">$H$448</f>
        <v>-130425.697623429</v>
      </c>
      <c r="G141" s="8" t="n">
        <f aca="false">$H$505</f>
        <v>-130425.697623429</v>
      </c>
      <c r="H141" s="8" t="n">
        <f aca="false">SUM(E141:G141)</f>
        <v>-361931.864411456</v>
      </c>
    </row>
    <row r="142" customFormat="false" ht="14.25" hidden="false" customHeight="false" outlineLevel="0" collapsed="false">
      <c r="C142" s="6" t="s">
        <v>146</v>
      </c>
      <c r="D142" s="2" t="s">
        <v>85</v>
      </c>
      <c r="E142" s="8" t="n">
        <f aca="false">$H$392</f>
        <v>281317.26146065</v>
      </c>
      <c r="F142" s="8" t="n">
        <f aca="false">$H$449</f>
        <v>315704.988106025</v>
      </c>
      <c r="G142" s="8" t="n">
        <f aca="false">$H$506</f>
        <v>315704.988106025</v>
      </c>
      <c r="H142" s="8" t="n">
        <f aca="false">SUM(E142:G142)</f>
        <v>912727.2376727</v>
      </c>
    </row>
    <row r="143" customFormat="false" ht="14.25" hidden="false" customHeight="false" outlineLevel="0" collapsed="false">
      <c r="C143" s="1" t="s">
        <v>147</v>
      </c>
      <c r="D143" s="2" t="s">
        <v>12</v>
      </c>
      <c r="E143" s="53" t="n">
        <f aca="false">XIRR($J$393:$AW$393,$J$365:$AW$365)</f>
        <v>0.112566927188828</v>
      </c>
      <c r="F143" s="53" t="n">
        <f aca="false">XIRR($J$450:$AW$450,$J$365:$AW$365)</f>
        <v>0.119923687881452</v>
      </c>
      <c r="G143" s="53" t="n">
        <f aca="false">XIRR($J$507:$AW$507,$J$365:$AW$365)</f>
        <v>0.119923687881452</v>
      </c>
    </row>
    <row r="144" customFormat="false" ht="14.25" hidden="false" customHeight="false" outlineLevel="0" collapsed="false">
      <c r="C144" s="6" t="s">
        <v>148</v>
      </c>
      <c r="D144" s="2" t="s">
        <v>85</v>
      </c>
      <c r="E144" s="8" t="n">
        <f aca="false">XNPV(Discount_Rate,$J$393:$AW$393,$J$365:$AW$365)</f>
        <v>19561.2549092521</v>
      </c>
      <c r="F144" s="8" t="n">
        <f aca="false">XNPV(Discount_Rate,$J$450:$AW$450,$J$365:$AW$365)</f>
        <v>25408.5413585676</v>
      </c>
      <c r="G144" s="8" t="n">
        <f aca="false">XNPV(Discount_Rate,$J$507:$AW$507,$J$365:$AW$365)</f>
        <v>25408.5413585676</v>
      </c>
      <c r="H144" s="8" t="n">
        <f aca="false">SUM(E144:G144)</f>
        <v>70378.3376263873</v>
      </c>
    </row>
    <row r="145" customFormat="false" ht="14.25" hidden="false" customHeight="false" outlineLevel="0" collapsed="false">
      <c r="C145" s="6" t="s">
        <v>149</v>
      </c>
      <c r="D145" s="2" t="s">
        <v>85</v>
      </c>
      <c r="E145" s="8" t="n">
        <f aca="false">$H$397</f>
        <v>-32524.9694100564</v>
      </c>
      <c r="F145" s="8" t="n">
        <f aca="false">$H$454</f>
        <v>-36976.9095857668</v>
      </c>
      <c r="G145" s="8" t="n">
        <f aca="false">$H$511</f>
        <v>-36976.9095857668</v>
      </c>
      <c r="H145" s="8" t="n">
        <f aca="false">SUM(E145:G145)</f>
        <v>-106478.78858159</v>
      </c>
    </row>
    <row r="146" customFormat="false" ht="14.25" hidden="false" customHeight="false" outlineLevel="0" collapsed="false">
      <c r="C146" s="1" t="s">
        <v>150</v>
      </c>
      <c r="D146" s="2" t="s">
        <v>12</v>
      </c>
      <c r="E146" s="53" t="n">
        <f aca="false">XIRR($J$398:$AW$398,$J$365:$AW$365)</f>
        <v>0.100346952019002</v>
      </c>
      <c r="F146" s="53" t="n">
        <f aca="false">XIRR($J$455:$AW$455,$J$365:$AW$365)</f>
        <v>0.106902830783639</v>
      </c>
      <c r="G146" s="53" t="n">
        <f aca="false">XIRR($J$512:$AW$512,$J$365:$AW$365)</f>
        <v>0.106902830783639</v>
      </c>
    </row>
    <row r="147" customFormat="false" ht="14.25" hidden="false" customHeight="false" outlineLevel="0" collapsed="false">
      <c r="C147" s="6" t="s">
        <v>151</v>
      </c>
      <c r="D147" s="2" t="s">
        <v>85</v>
      </c>
      <c r="E147" s="8" t="n">
        <f aca="false">$H$400+$H$401</f>
        <v>45455.259645561</v>
      </c>
      <c r="F147" s="8" t="n">
        <f aca="false">$H$457+$H$458</f>
        <v>48423.8173560303</v>
      </c>
      <c r="G147" s="8" t="n">
        <f aca="false">$H$514+$H$515</f>
        <v>48423.8173560303</v>
      </c>
      <c r="H147" s="8" t="n">
        <f aca="false">SUM(E147:G147)</f>
        <v>142302.894357622</v>
      </c>
    </row>
    <row r="148" customFormat="false" ht="14.25" hidden="false" customHeight="false" outlineLevel="0" collapsed="false">
      <c r="C148" s="1" t="s">
        <v>152</v>
      </c>
      <c r="D148" s="2" t="s">
        <v>12</v>
      </c>
      <c r="E148" s="53" t="n">
        <f aca="false">XIRR($J$409:$AW$409,$J$365:$AW$365)</f>
        <v>0.135102335022622</v>
      </c>
      <c r="F148" s="53" t="n">
        <f aca="false">XIRR($J$466:$AW$466,$J$365:$AW$365)</f>
        <v>0.148320183134312</v>
      </c>
      <c r="G148" s="53" t="n">
        <f aca="false">XIRR($J$523:$AW$523,$J$365:$AW$365)</f>
        <v>0.148320183134312</v>
      </c>
    </row>
    <row r="149" customFormat="false" ht="14.25" hidden="false" customHeight="false" outlineLevel="0" collapsed="false">
      <c r="C149" s="6" t="s">
        <v>153</v>
      </c>
      <c r="D149" s="2" t="s">
        <v>3</v>
      </c>
      <c r="E149" s="47" t="n">
        <f aca="false">$H$410</f>
        <v>1.94979790288333</v>
      </c>
      <c r="F149" s="47" t="n">
        <f aca="false">$H$467</f>
        <v>2.04864170303641</v>
      </c>
      <c r="G149" s="47" t="n">
        <f aca="false">$H$524</f>
        <v>2.04864170303641</v>
      </c>
      <c r="H149" s="47"/>
    </row>
    <row r="154" customFormat="false" ht="14.25" hidden="false" customHeight="false" outlineLevel="0" collapsed="false">
      <c r="B154" s="4" t="s">
        <v>3</v>
      </c>
      <c r="C154" s="4" t="s">
        <v>154</v>
      </c>
      <c r="D154" s="4"/>
      <c r="E154" s="5"/>
      <c r="F154" s="5"/>
      <c r="G154" s="5"/>
      <c r="H154" s="5" t="s">
        <v>8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customFormat="false" ht="14.25" hidden="false" customHeight="false" outlineLevel="0" collapsed="false">
      <c r="C155" s="6" t="s">
        <v>155</v>
      </c>
      <c r="D155" s="2" t="s">
        <v>156</v>
      </c>
      <c r="J155" s="54" t="n">
        <f aca="false">J364</f>
        <v>2026</v>
      </c>
      <c r="K155" s="54" t="n">
        <f aca="false">K364</f>
        <v>2027</v>
      </c>
      <c r="L155" s="54" t="n">
        <f aca="false">L364</f>
        <v>2028</v>
      </c>
      <c r="M155" s="54" t="n">
        <f aca="false">M364</f>
        <v>2029</v>
      </c>
      <c r="N155" s="54" t="n">
        <f aca="false">N364</f>
        <v>2030</v>
      </c>
      <c r="O155" s="54" t="n">
        <f aca="false">O364</f>
        <v>2031</v>
      </c>
      <c r="P155" s="54" t="n">
        <f aca="false">P364</f>
        <v>2032</v>
      </c>
      <c r="Q155" s="54" t="n">
        <f aca="false">Q364</f>
        <v>2033</v>
      </c>
      <c r="R155" s="54" t="n">
        <f aca="false">R364</f>
        <v>2034</v>
      </c>
      <c r="S155" s="54" t="n">
        <f aca="false">S364</f>
        <v>2035</v>
      </c>
      <c r="T155" s="54" t="n">
        <f aca="false">T364</f>
        <v>2036</v>
      </c>
      <c r="U155" s="54" t="n">
        <f aca="false">U364</f>
        <v>2037</v>
      </c>
      <c r="V155" s="54" t="n">
        <f aca="false">V364</f>
        <v>2038</v>
      </c>
      <c r="W155" s="54" t="n">
        <f aca="false">W364</f>
        <v>2039</v>
      </c>
      <c r="X155" s="54" t="n">
        <f aca="false">X364</f>
        <v>2040</v>
      </c>
      <c r="Y155" s="54" t="n">
        <f aca="false">Y364</f>
        <v>2041</v>
      </c>
      <c r="Z155" s="54" t="n">
        <f aca="false">Z364</f>
        <v>2042</v>
      </c>
      <c r="AA155" s="54" t="n">
        <f aca="false">AA364</f>
        <v>2043</v>
      </c>
      <c r="AB155" s="54" t="n">
        <f aca="false">AB364</f>
        <v>2044</v>
      </c>
      <c r="AC155" s="54" t="n">
        <f aca="false">AC364</f>
        <v>2045</v>
      </c>
      <c r="AD155" s="54" t="n">
        <f aca="false">AD364</f>
        <v>2046</v>
      </c>
      <c r="AE155" s="54" t="n">
        <f aca="false">AE364</f>
        <v>2047</v>
      </c>
      <c r="AF155" s="54" t="n">
        <f aca="false">AF364</f>
        <v>2048</v>
      </c>
      <c r="AG155" s="54" t="n">
        <f aca="false">AG364</f>
        <v>2049</v>
      </c>
      <c r="AH155" s="54" t="n">
        <f aca="false">AH364</f>
        <v>2050</v>
      </c>
      <c r="AI155" s="54" t="n">
        <f aca="false">AI364</f>
        <v>2051</v>
      </c>
      <c r="AJ155" s="54" t="n">
        <f aca="false">AJ364</f>
        <v>2052</v>
      </c>
      <c r="AK155" s="54" t="n">
        <f aca="false">AK364</f>
        <v>2053</v>
      </c>
      <c r="AL155" s="54" t="n">
        <f aca="false">AL364</f>
        <v>2054</v>
      </c>
      <c r="AM155" s="54" t="n">
        <f aca="false">AM364</f>
        <v>2055</v>
      </c>
      <c r="AN155" s="54" t="n">
        <f aca="false">AN364</f>
        <v>2056</v>
      </c>
      <c r="AO155" s="54" t="n">
        <f aca="false">AO364</f>
        <v>2057</v>
      </c>
      <c r="AP155" s="54" t="n">
        <f aca="false">AP364</f>
        <v>2058</v>
      </c>
      <c r="AQ155" s="54" t="n">
        <f aca="false">AQ364</f>
        <v>2059</v>
      </c>
      <c r="AR155" s="54" t="n">
        <f aca="false">AR364</f>
        <v>2060</v>
      </c>
      <c r="AS155" s="54" t="n">
        <f aca="false">AS364</f>
        <v>2061</v>
      </c>
      <c r="AT155" s="54" t="n">
        <f aca="false">AT364</f>
        <v>2062</v>
      </c>
      <c r="AU155" s="54" t="n">
        <f aca="false">AU364</f>
        <v>2063</v>
      </c>
      <c r="AV155" s="54" t="n">
        <f aca="false">AV364</f>
        <v>2064</v>
      </c>
      <c r="AW155" s="54" t="n">
        <f aca="false">AW364</f>
        <v>2065</v>
      </c>
    </row>
    <row r="157" customFormat="false" ht="14.25" hidden="false" customHeight="false" outlineLevel="0" collapsed="false">
      <c r="C157" s="42" t="s">
        <v>5</v>
      </c>
      <c r="D157" s="42"/>
      <c r="E157" s="43"/>
      <c r="F157" s="43"/>
      <c r="G157" s="43"/>
      <c r="H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  <c r="AU157" s="43"/>
      <c r="AV157" s="43"/>
      <c r="AW157" s="43"/>
    </row>
    <row r="158" customFormat="false" ht="14.25" hidden="false" customHeight="false" outlineLevel="0" collapsed="false">
      <c r="C158" s="6" t="s">
        <v>157</v>
      </c>
      <c r="D158" s="2" t="s">
        <v>85</v>
      </c>
      <c r="H158" s="8" t="n">
        <f aca="false">SUM(J158:AW158)</f>
        <v>-72091.9337726027</v>
      </c>
      <c r="J158" s="8" t="n">
        <f aca="false">J378</f>
        <v>0</v>
      </c>
      <c r="K158" s="8" t="n">
        <f aca="false">K378</f>
        <v>0</v>
      </c>
      <c r="L158" s="8" t="n">
        <f aca="false">L378</f>
        <v>0</v>
      </c>
      <c r="M158" s="8" t="n">
        <f aca="false">M378</f>
        <v>-33450.8995260274</v>
      </c>
      <c r="N158" s="8" t="n">
        <f aca="false">N378</f>
        <v>-26389</v>
      </c>
      <c r="O158" s="8" t="n">
        <f aca="false">O378</f>
        <v>-14194.5</v>
      </c>
      <c r="P158" s="8" t="n">
        <f aca="false">P378</f>
        <v>0</v>
      </c>
      <c r="Q158" s="8" t="n">
        <f aca="false">Q378</f>
        <v>1942.46575342466</v>
      </c>
      <c r="R158" s="8" t="n">
        <f aca="false">R378</f>
        <v>0</v>
      </c>
      <c r="S158" s="8" t="n">
        <f aca="false">S378</f>
        <v>0</v>
      </c>
      <c r="T158" s="8" t="n">
        <f aca="false">T378</f>
        <v>0</v>
      </c>
      <c r="U158" s="8" t="n">
        <f aca="false">U378</f>
        <v>0</v>
      </c>
      <c r="V158" s="8" t="n">
        <f aca="false">V378</f>
        <v>0</v>
      </c>
      <c r="W158" s="8" t="n">
        <f aca="false">W378</f>
        <v>0</v>
      </c>
      <c r="X158" s="8" t="n">
        <f aca="false">X378</f>
        <v>0</v>
      </c>
      <c r="Y158" s="8" t="n">
        <f aca="false">Y378</f>
        <v>0</v>
      </c>
      <c r="Z158" s="8" t="n">
        <f aca="false">Z378</f>
        <v>0</v>
      </c>
      <c r="AA158" s="8" t="n">
        <f aca="false">AA378</f>
        <v>0</v>
      </c>
      <c r="AB158" s="8" t="n">
        <f aca="false">AB378</f>
        <v>0</v>
      </c>
      <c r="AC158" s="8" t="n">
        <f aca="false">AC378</f>
        <v>0</v>
      </c>
      <c r="AD158" s="8" t="n">
        <f aca="false">AD378</f>
        <v>0</v>
      </c>
      <c r="AE158" s="8" t="n">
        <f aca="false">AE378</f>
        <v>0</v>
      </c>
      <c r="AF158" s="8" t="n">
        <f aca="false">AF378</f>
        <v>0</v>
      </c>
      <c r="AG158" s="8" t="n">
        <f aca="false">AG378</f>
        <v>0</v>
      </c>
      <c r="AH158" s="8" t="n">
        <f aca="false">AH378</f>
        <v>0</v>
      </c>
      <c r="AI158" s="8" t="n">
        <f aca="false">AI378</f>
        <v>0</v>
      </c>
      <c r="AJ158" s="8" t="n">
        <f aca="false">AJ378</f>
        <v>0</v>
      </c>
      <c r="AK158" s="8" t="n">
        <f aca="false">AK378</f>
        <v>0</v>
      </c>
      <c r="AL158" s="8" t="n">
        <f aca="false">AL378</f>
        <v>0</v>
      </c>
      <c r="AM158" s="8" t="n">
        <f aca="false">AM378</f>
        <v>0</v>
      </c>
      <c r="AN158" s="8" t="n">
        <f aca="false">AN378</f>
        <v>0</v>
      </c>
      <c r="AO158" s="8" t="n">
        <f aca="false">AO378</f>
        <v>0</v>
      </c>
      <c r="AP158" s="8" t="n">
        <f aca="false">AP378</f>
        <v>0</v>
      </c>
      <c r="AQ158" s="8" t="n">
        <f aca="false">AQ378</f>
        <v>0</v>
      </c>
      <c r="AR158" s="8" t="n">
        <f aca="false">AR378</f>
        <v>0</v>
      </c>
      <c r="AS158" s="8" t="n">
        <f aca="false">AS378</f>
        <v>0</v>
      </c>
      <c r="AT158" s="8" t="n">
        <f aca="false">AT378</f>
        <v>0</v>
      </c>
      <c r="AU158" s="8" t="n">
        <f aca="false">AU378</f>
        <v>0</v>
      </c>
      <c r="AV158" s="8" t="n">
        <f aca="false">AV378</f>
        <v>0</v>
      </c>
      <c r="AW158" s="8" t="n">
        <f aca="false">AW378</f>
        <v>0</v>
      </c>
    </row>
    <row r="159" customFormat="false" ht="14.25" hidden="false" customHeight="false" outlineLevel="0" collapsed="false">
      <c r="C159" s="6" t="s">
        <v>158</v>
      </c>
      <c r="D159" s="2" t="s">
        <v>85</v>
      </c>
      <c r="H159" s="8" t="n">
        <f aca="false">SUM(J159:AW159)</f>
        <v>382397.730625247</v>
      </c>
      <c r="J159" s="8" t="n">
        <f aca="false">J382</f>
        <v>0</v>
      </c>
      <c r="K159" s="8" t="n">
        <f aca="false">K382</f>
        <v>0</v>
      </c>
      <c r="L159" s="8" t="n">
        <f aca="false">L382</f>
        <v>0</v>
      </c>
      <c r="M159" s="8" t="n">
        <f aca="false">M382</f>
        <v>0</v>
      </c>
      <c r="N159" s="8" t="n">
        <f aca="false">N382</f>
        <v>0</v>
      </c>
      <c r="O159" s="8" t="n">
        <f aca="false">O382</f>
        <v>5715.36</v>
      </c>
      <c r="P159" s="8" t="n">
        <f aca="false">P382</f>
        <v>11545.0272</v>
      </c>
      <c r="Q159" s="8" t="n">
        <f aca="false">Q382</f>
        <v>11625.496039584</v>
      </c>
      <c r="R159" s="8" t="n">
        <f aca="false">R382</f>
        <v>11706.5257469799</v>
      </c>
      <c r="S159" s="8" t="n">
        <f aca="false">S382</f>
        <v>11788.1202314363</v>
      </c>
      <c r="T159" s="8" t="n">
        <f aca="false">T382</f>
        <v>11870.2834294495</v>
      </c>
      <c r="U159" s="8" t="n">
        <f aca="false">U382</f>
        <v>11953.0193049527</v>
      </c>
      <c r="V159" s="8" t="n">
        <f aca="false">V382</f>
        <v>12036.3318495082</v>
      </c>
      <c r="W159" s="8" t="n">
        <f aca="false">W382</f>
        <v>12120.2250824993</v>
      </c>
      <c r="X159" s="8" t="n">
        <f aca="false">X382</f>
        <v>12204.7030513243</v>
      </c>
      <c r="Y159" s="8" t="n">
        <f aca="false">Y382</f>
        <v>12289.7698315921</v>
      </c>
      <c r="Z159" s="8" t="n">
        <f aca="false">Z382</f>
        <v>12375.4295273183</v>
      </c>
      <c r="AA159" s="8" t="n">
        <f aca="false">AA382</f>
        <v>12461.6862711237</v>
      </c>
      <c r="AB159" s="8" t="n">
        <f aca="false">AB382</f>
        <v>12548.5442244334</v>
      </c>
      <c r="AC159" s="8" t="n">
        <f aca="false">AC382</f>
        <v>12636.0075776777</v>
      </c>
      <c r="AD159" s="8" t="n">
        <f aca="false">AD382</f>
        <v>12724.0805504941</v>
      </c>
      <c r="AE159" s="8" t="n">
        <f aca="false">AE382</f>
        <v>12812.7673919311</v>
      </c>
      <c r="AF159" s="8" t="n">
        <f aca="false">AF382</f>
        <v>12902.0723806528</v>
      </c>
      <c r="AG159" s="8" t="n">
        <f aca="false">AG382</f>
        <v>12991.999825146</v>
      </c>
      <c r="AH159" s="8" t="n">
        <f aca="false">AH382</f>
        <v>13082.5540639272</v>
      </c>
      <c r="AI159" s="8" t="n">
        <f aca="false">AI382</f>
        <v>13173.7394657528</v>
      </c>
      <c r="AJ159" s="8" t="n">
        <f aca="false">AJ382</f>
        <v>13265.5604298291</v>
      </c>
      <c r="AK159" s="8" t="n">
        <f aca="false">AK382</f>
        <v>13358.021386025</v>
      </c>
      <c r="AL159" s="8" t="n">
        <f aca="false">AL382</f>
        <v>13451.1267950856</v>
      </c>
      <c r="AM159" s="8" t="n">
        <f aca="false">AM382</f>
        <v>13544.8811488474</v>
      </c>
      <c r="AN159" s="8" t="n">
        <f aca="false">AN382</f>
        <v>13639.2889704548</v>
      </c>
      <c r="AO159" s="8" t="n">
        <f aca="false">AO382</f>
        <v>13734.3548145789</v>
      </c>
      <c r="AP159" s="8" t="n">
        <f aca="false">AP382</f>
        <v>13830.0832676365</v>
      </c>
      <c r="AQ159" s="8" t="n">
        <f aca="false">AQ382</f>
        <v>13926.4789480119</v>
      </c>
      <c r="AR159" s="8" t="n">
        <f aca="false">AR382</f>
        <v>14023.5465062796</v>
      </c>
      <c r="AS159" s="8" t="n">
        <f aca="false">AS382</f>
        <v>7060.64531271418</v>
      </c>
      <c r="AT159" s="8" t="n">
        <f aca="false">AT382</f>
        <v>0</v>
      </c>
      <c r="AU159" s="8" t="n">
        <f aca="false">AU382</f>
        <v>0</v>
      </c>
      <c r="AV159" s="8" t="n">
        <f aca="false">AV382</f>
        <v>0</v>
      </c>
      <c r="AW159" s="8" t="n">
        <f aca="false">AW382</f>
        <v>0</v>
      </c>
    </row>
    <row r="160" customFormat="false" ht="14.25" hidden="false" customHeight="false" outlineLevel="0" collapsed="false">
      <c r="C160" s="6" t="s">
        <v>159</v>
      </c>
      <c r="D160" s="2" t="s">
        <v>85</v>
      </c>
      <c r="H160" s="8" t="n">
        <f aca="false">SUM(J160:AW160)</f>
        <v>-101080.469164597</v>
      </c>
      <c r="J160" s="8" t="n">
        <f aca="false">J391</f>
        <v>0</v>
      </c>
      <c r="K160" s="8" t="n">
        <f aca="false">K391</f>
        <v>0</v>
      </c>
      <c r="L160" s="8" t="n">
        <f aca="false">L391</f>
        <v>0</v>
      </c>
      <c r="M160" s="8" t="n">
        <f aca="false">M391</f>
        <v>0</v>
      </c>
      <c r="N160" s="8" t="n">
        <f aca="false">N391</f>
        <v>0</v>
      </c>
      <c r="O160" s="8" t="n">
        <f aca="false">O391</f>
        <v>-1182.141828</v>
      </c>
      <c r="P160" s="8" t="n">
        <f aca="false">P391</f>
        <v>-2419.78149756</v>
      </c>
      <c r="Q160" s="8" t="n">
        <f aca="false">Q391</f>
        <v>-2473.79268847324</v>
      </c>
      <c r="R160" s="8" t="n">
        <f aca="false">R391</f>
        <v>-2529.07754013253</v>
      </c>
      <c r="S160" s="8" t="n">
        <f aca="false">S391</f>
        <v>-2585.66667091693</v>
      </c>
      <c r="T160" s="8" t="n">
        <f aca="false">T391</f>
        <v>-2643.59144103106</v>
      </c>
      <c r="U160" s="8" t="n">
        <f aca="false">U391</f>
        <v>-2702.88397055478</v>
      </c>
      <c r="V160" s="8" t="n">
        <f aca="false">V391</f>
        <v>-2763.57715793331</v>
      </c>
      <c r="W160" s="8" t="n">
        <f aca="false">W391</f>
        <v>-2825.70469891879</v>
      </c>
      <c r="X160" s="8" t="n">
        <f aca="false">X391</f>
        <v>-2889.30110597403</v>
      </c>
      <c r="Y160" s="8" t="n">
        <f aca="false">Y391</f>
        <v>-2954.40172814999</v>
      </c>
      <c r="Z160" s="8" t="n">
        <f aca="false">Z391</f>
        <v>-3021.04277144858</v>
      </c>
      <c r="AA160" s="8" t="n">
        <f aca="false">AA391</f>
        <v>-3089.26131968243</v>
      </c>
      <c r="AB160" s="8" t="n">
        <f aca="false">AB391</f>
        <v>-3159.09535584409</v>
      </c>
      <c r="AC160" s="8" t="n">
        <f aca="false">AC391</f>
        <v>-3230.58378399692</v>
      </c>
      <c r="AD160" s="8" t="n">
        <f aca="false">AD391</f>
        <v>-3303.76645170053</v>
      </c>
      <c r="AE160" s="8" t="n">
        <f aca="false">AE391</f>
        <v>-3378.68417298384</v>
      </c>
      <c r="AF160" s="8" t="n">
        <f aca="false">AF391</f>
        <v>-3455.37875187918</v>
      </c>
      <c r="AG160" s="8" t="n">
        <f aca="false">AG391</f>
        <v>-3533.89300653108</v>
      </c>
      <c r="AH160" s="8" t="n">
        <f aca="false">AH391</f>
        <v>-3614.27079389397</v>
      </c>
      <c r="AI160" s="8" t="n">
        <f aca="false">AI391</f>
        <v>-3696.55703503309</v>
      </c>
      <c r="AJ160" s="8" t="n">
        <f aca="false">AJ391</f>
        <v>-3780.79774104342</v>
      </c>
      <c r="AK160" s="8" t="n">
        <f aca="false">AK391</f>
        <v>-3867.04003960174</v>
      </c>
      <c r="AL160" s="8" t="n">
        <f aca="false">AL391</f>
        <v>-3955.33220216742</v>
      </c>
      <c r="AM160" s="8" t="n">
        <f aca="false">AM391</f>
        <v>-4045.72367184764</v>
      </c>
      <c r="AN160" s="8" t="n">
        <f aca="false">AN391</f>
        <v>-4138.26509194355</v>
      </c>
      <c r="AO160" s="8" t="n">
        <f aca="false">AO391</f>
        <v>-4233.00833519381</v>
      </c>
      <c r="AP160" s="8" t="n">
        <f aca="false">AP391</f>
        <v>-4330.00653373281</v>
      </c>
      <c r="AQ160" s="8" t="n">
        <f aca="false">AQ391</f>
        <v>-4429.31410978088</v>
      </c>
      <c r="AR160" s="8" t="n">
        <f aca="false">AR391</f>
        <v>-4530.98680708456</v>
      </c>
      <c r="AS160" s="8" t="n">
        <f aca="false">AS391</f>
        <v>-2317.54086156264</v>
      </c>
      <c r="AT160" s="8" t="n">
        <f aca="false">AT391</f>
        <v>0</v>
      </c>
      <c r="AU160" s="8" t="n">
        <f aca="false">AU391</f>
        <v>0</v>
      </c>
      <c r="AV160" s="8" t="n">
        <f aca="false">AV391</f>
        <v>0</v>
      </c>
      <c r="AW160" s="8" t="n">
        <f aca="false">AW391</f>
        <v>0</v>
      </c>
    </row>
    <row r="161" customFormat="false" ht="14.25" hidden="false" customHeight="false" outlineLevel="0" collapsed="false">
      <c r="C161" s="6" t="s">
        <v>160</v>
      </c>
      <c r="D161" s="2" t="s">
        <v>85</v>
      </c>
      <c r="H161" s="8" t="n">
        <f aca="false">SUM(J161:AW161)</f>
        <v>281317.26146065</v>
      </c>
      <c r="J161" s="8" t="n">
        <f aca="false">J392</f>
        <v>0</v>
      </c>
      <c r="K161" s="8" t="n">
        <f aca="false">K392</f>
        <v>0</v>
      </c>
      <c r="L161" s="8" t="n">
        <f aca="false">L392</f>
        <v>0</v>
      </c>
      <c r="M161" s="8" t="n">
        <f aca="false">M392</f>
        <v>0</v>
      </c>
      <c r="N161" s="8" t="n">
        <f aca="false">N392</f>
        <v>0</v>
      </c>
      <c r="O161" s="8" t="n">
        <f aca="false">O392</f>
        <v>4533.218172</v>
      </c>
      <c r="P161" s="8" t="n">
        <f aca="false">P392</f>
        <v>9125.24570244</v>
      </c>
      <c r="Q161" s="8" t="n">
        <f aca="false">Q392</f>
        <v>9151.70335111076</v>
      </c>
      <c r="R161" s="8" t="n">
        <f aca="false">R392</f>
        <v>9177.44820684737</v>
      </c>
      <c r="S161" s="8" t="n">
        <f aca="false">S392</f>
        <v>9202.45356051942</v>
      </c>
      <c r="T161" s="8" t="n">
        <f aca="false">T392</f>
        <v>9226.6919884184</v>
      </c>
      <c r="U161" s="8" t="n">
        <f aca="false">U392</f>
        <v>9250.13533439795</v>
      </c>
      <c r="V161" s="8" t="n">
        <f aca="false">V392</f>
        <v>9272.75469157493</v>
      </c>
      <c r="W161" s="8" t="n">
        <f aca="false">W392</f>
        <v>9294.52038358052</v>
      </c>
      <c r="X161" s="8" t="n">
        <f aca="false">X392</f>
        <v>9315.40194535031</v>
      </c>
      <c r="Y161" s="8" t="n">
        <f aca="false">Y392</f>
        <v>9335.36810344208</v>
      </c>
      <c r="Z161" s="8" t="n">
        <f aca="false">Z392</f>
        <v>9354.38675586968</v>
      </c>
      <c r="AA161" s="8" t="n">
        <f aca="false">AA392</f>
        <v>9372.42495144124</v>
      </c>
      <c r="AB161" s="8" t="n">
        <f aca="false">AB392</f>
        <v>9389.44886858932</v>
      </c>
      <c r="AC161" s="8" t="n">
        <f aca="false">AC392</f>
        <v>9405.42379368079</v>
      </c>
      <c r="AD161" s="8" t="n">
        <f aca="false">AD392</f>
        <v>9420.31409879359</v>
      </c>
      <c r="AE161" s="8" t="n">
        <f aca="false">AE392</f>
        <v>9434.08321894722</v>
      </c>
      <c r="AF161" s="8" t="n">
        <f aca="false">AF392</f>
        <v>9446.69362877364</v>
      </c>
      <c r="AG161" s="8" t="n">
        <f aca="false">AG392</f>
        <v>9458.1068186149</v>
      </c>
      <c r="AH161" s="8" t="n">
        <f aca="false">AH392</f>
        <v>9468.28327003328</v>
      </c>
      <c r="AI161" s="8" t="n">
        <f aca="false">AI392</f>
        <v>9477.18243071973</v>
      </c>
      <c r="AJ161" s="8" t="n">
        <f aca="false">AJ392</f>
        <v>9484.7626887857</v>
      </c>
      <c r="AK161" s="8" t="n">
        <f aca="false">AK392</f>
        <v>9490.98134642328</v>
      </c>
      <c r="AL161" s="8" t="n">
        <f aca="false">AL392</f>
        <v>9495.7945929182</v>
      </c>
      <c r="AM161" s="8" t="n">
        <f aca="false">AM392</f>
        <v>9499.15747699973</v>
      </c>
      <c r="AN161" s="8" t="n">
        <f aca="false">AN392</f>
        <v>9501.02387851128</v>
      </c>
      <c r="AO161" s="8" t="n">
        <f aca="false">AO392</f>
        <v>9501.34647938509</v>
      </c>
      <c r="AP161" s="8" t="n">
        <f aca="false">AP392</f>
        <v>9500.07673390371</v>
      </c>
      <c r="AQ161" s="8" t="n">
        <f aca="false">AQ392</f>
        <v>9497.16483823106</v>
      </c>
      <c r="AR161" s="8" t="n">
        <f aca="false">AR392</f>
        <v>9492.55969919502</v>
      </c>
      <c r="AS161" s="8" t="n">
        <f aca="false">AS392</f>
        <v>4743.10445115153</v>
      </c>
      <c r="AT161" s="8" t="n">
        <f aca="false">AT392</f>
        <v>0</v>
      </c>
      <c r="AU161" s="8" t="n">
        <f aca="false">AU392</f>
        <v>0</v>
      </c>
      <c r="AV161" s="8" t="n">
        <f aca="false">AV392</f>
        <v>0</v>
      </c>
      <c r="AW161" s="8" t="n">
        <f aca="false">AW392</f>
        <v>0</v>
      </c>
    </row>
    <row r="162" customFormat="false" ht="14.25" hidden="false" customHeight="false" outlineLevel="0" collapsed="false">
      <c r="C162" s="1" t="s">
        <v>161</v>
      </c>
      <c r="D162" s="2" t="s">
        <v>85</v>
      </c>
      <c r="H162" s="15" t="n">
        <f aca="false">SUM(J162:AW162)</f>
        <v>209225.327688047</v>
      </c>
      <c r="J162" s="15" t="n">
        <f aca="false">J393</f>
        <v>0</v>
      </c>
      <c r="K162" s="15" t="n">
        <f aca="false">K393</f>
        <v>0</v>
      </c>
      <c r="L162" s="15" t="n">
        <f aca="false">L393</f>
        <v>0</v>
      </c>
      <c r="M162" s="15" t="n">
        <f aca="false">M393</f>
        <v>-33450.8995260274</v>
      </c>
      <c r="N162" s="15" t="n">
        <f aca="false">N393</f>
        <v>-26389</v>
      </c>
      <c r="O162" s="15" t="n">
        <f aca="false">O393</f>
        <v>-9661.281828</v>
      </c>
      <c r="P162" s="15" t="n">
        <f aca="false">P393</f>
        <v>9125.24570244</v>
      </c>
      <c r="Q162" s="15" t="n">
        <f aca="false">Q393</f>
        <v>11094.1691045354</v>
      </c>
      <c r="R162" s="15" t="n">
        <f aca="false">R393</f>
        <v>9177.44820684737</v>
      </c>
      <c r="S162" s="15" t="n">
        <f aca="false">S393</f>
        <v>9202.45356051942</v>
      </c>
      <c r="T162" s="15" t="n">
        <f aca="false">T393</f>
        <v>9226.6919884184</v>
      </c>
      <c r="U162" s="15" t="n">
        <f aca="false">U393</f>
        <v>9250.13533439795</v>
      </c>
      <c r="V162" s="15" t="n">
        <f aca="false">V393</f>
        <v>9272.75469157493</v>
      </c>
      <c r="W162" s="15" t="n">
        <f aca="false">W393</f>
        <v>9294.52038358052</v>
      </c>
      <c r="X162" s="15" t="n">
        <f aca="false">X393</f>
        <v>9315.40194535031</v>
      </c>
      <c r="Y162" s="15" t="n">
        <f aca="false">Y393</f>
        <v>9335.36810344208</v>
      </c>
      <c r="Z162" s="15" t="n">
        <f aca="false">Z393</f>
        <v>9354.38675586968</v>
      </c>
      <c r="AA162" s="15" t="n">
        <f aca="false">AA393</f>
        <v>9372.42495144124</v>
      </c>
      <c r="AB162" s="15" t="n">
        <f aca="false">AB393</f>
        <v>9389.44886858932</v>
      </c>
      <c r="AC162" s="15" t="n">
        <f aca="false">AC393</f>
        <v>9405.42379368079</v>
      </c>
      <c r="AD162" s="15" t="n">
        <f aca="false">AD393</f>
        <v>9420.31409879359</v>
      </c>
      <c r="AE162" s="15" t="n">
        <f aca="false">AE393</f>
        <v>9434.08321894722</v>
      </c>
      <c r="AF162" s="15" t="n">
        <f aca="false">AF393</f>
        <v>9446.69362877364</v>
      </c>
      <c r="AG162" s="15" t="n">
        <f aca="false">AG393</f>
        <v>9458.1068186149</v>
      </c>
      <c r="AH162" s="15" t="n">
        <f aca="false">AH393</f>
        <v>9468.28327003328</v>
      </c>
      <c r="AI162" s="15" t="n">
        <f aca="false">AI393</f>
        <v>9477.18243071973</v>
      </c>
      <c r="AJ162" s="15" t="n">
        <f aca="false">AJ393</f>
        <v>9484.7626887857</v>
      </c>
      <c r="AK162" s="15" t="n">
        <f aca="false">AK393</f>
        <v>9490.98134642328</v>
      </c>
      <c r="AL162" s="15" t="n">
        <f aca="false">AL393</f>
        <v>9495.7945929182</v>
      </c>
      <c r="AM162" s="15" t="n">
        <f aca="false">AM393</f>
        <v>9499.15747699973</v>
      </c>
      <c r="AN162" s="15" t="n">
        <f aca="false">AN393</f>
        <v>9501.02387851128</v>
      </c>
      <c r="AO162" s="15" t="n">
        <f aca="false">AO393</f>
        <v>9501.34647938509</v>
      </c>
      <c r="AP162" s="15" t="n">
        <f aca="false">AP393</f>
        <v>9500.07673390371</v>
      </c>
      <c r="AQ162" s="15" t="n">
        <f aca="false">AQ393</f>
        <v>9497.16483823106</v>
      </c>
      <c r="AR162" s="15" t="n">
        <f aca="false">AR393</f>
        <v>9492.55969919502</v>
      </c>
      <c r="AS162" s="15" t="n">
        <f aca="false">AS393</f>
        <v>4743.10445115153</v>
      </c>
      <c r="AT162" s="15" t="n">
        <f aca="false">AT393</f>
        <v>0</v>
      </c>
      <c r="AU162" s="15" t="n">
        <f aca="false">AU393</f>
        <v>0</v>
      </c>
      <c r="AV162" s="15" t="n">
        <f aca="false">AV393</f>
        <v>0</v>
      </c>
      <c r="AW162" s="15" t="n">
        <f aca="false">AW393</f>
        <v>0</v>
      </c>
    </row>
    <row r="163" customFormat="false" ht="14.25" hidden="false" customHeight="false" outlineLevel="0" collapsed="false">
      <c r="C163" s="1" t="s">
        <v>162</v>
      </c>
      <c r="D163" s="2" t="s">
        <v>85</v>
      </c>
      <c r="H163" s="15" t="n">
        <f aca="false">SUM(J163:AW163)</f>
        <v>176700.358277991</v>
      </c>
      <c r="J163" s="15" t="n">
        <f aca="false">J398</f>
        <v>0</v>
      </c>
      <c r="K163" s="15" t="n">
        <f aca="false">K398</f>
        <v>0</v>
      </c>
      <c r="L163" s="15" t="n">
        <f aca="false">L398</f>
        <v>0</v>
      </c>
      <c r="M163" s="15" t="n">
        <f aca="false">M398</f>
        <v>-33450.8995260274</v>
      </c>
      <c r="N163" s="15" t="n">
        <f aca="false">N398</f>
        <v>-26389</v>
      </c>
      <c r="O163" s="15" t="n">
        <f aca="false">O398</f>
        <v>-10099.449058574</v>
      </c>
      <c r="P163" s="15" t="n">
        <f aca="false">P398</f>
        <v>8240.08983752606</v>
      </c>
      <c r="Q163" s="15" t="n">
        <f aca="false">Q398</f>
        <v>10205.0445923209</v>
      </c>
      <c r="R163" s="15" t="n">
        <f aca="false">R398</f>
        <v>8284.46196627232</v>
      </c>
      <c r="S163" s="15" t="n">
        <f aca="false">S398</f>
        <v>8305.71651689356</v>
      </c>
      <c r="T163" s="15" t="n">
        <f aca="false">T398</f>
        <v>8326.31918060769</v>
      </c>
      <c r="U163" s="15" t="n">
        <f aca="false">U398</f>
        <v>8346.24602469031</v>
      </c>
      <c r="V163" s="15" t="n">
        <f aca="false">V398</f>
        <v>8365.47247829075</v>
      </c>
      <c r="W163" s="15" t="n">
        <f aca="false">W398</f>
        <v>8383.9733164955</v>
      </c>
      <c r="X163" s="15" t="n">
        <f aca="false">X398</f>
        <v>8401.72264399982</v>
      </c>
      <c r="Y163" s="15" t="n">
        <f aca="false">Y398</f>
        <v>8418.69387837782</v>
      </c>
      <c r="Z163" s="15" t="n">
        <f aca="false">Z398</f>
        <v>8434.85973294128</v>
      </c>
      <c r="AA163" s="15" t="n">
        <f aca="false">AA398</f>
        <v>8450.19219917711</v>
      </c>
      <c r="AB163" s="15" t="n">
        <f aca="false">AB398</f>
        <v>8464.66252875297</v>
      </c>
      <c r="AC163" s="15" t="n">
        <f aca="false">AC398</f>
        <v>8478.24121508073</v>
      </c>
      <c r="AD163" s="15" t="n">
        <f aca="false">AD398</f>
        <v>8490.89797442661</v>
      </c>
      <c r="AE163" s="15" t="n">
        <f aca="false">AE398</f>
        <v>8502.6017265572</v>
      </c>
      <c r="AF163" s="15" t="n">
        <f aca="false">AF398</f>
        <v>8513.32057490965</v>
      </c>
      <c r="AG163" s="15" t="n">
        <f aca="false">AG398</f>
        <v>8523.02178627472</v>
      </c>
      <c r="AH163" s="15" t="n">
        <f aca="false">AH398</f>
        <v>8531.67176998034</v>
      </c>
      <c r="AI163" s="15" t="n">
        <f aca="false">AI398</f>
        <v>8297.4205613378</v>
      </c>
      <c r="AJ163" s="15" t="n">
        <f aca="false">AJ398</f>
        <v>8062.04828546784</v>
      </c>
      <c r="AK163" s="15" t="n">
        <f aca="false">AK398</f>
        <v>8067.33414445979</v>
      </c>
      <c r="AL163" s="15" t="n">
        <f aca="false">AL398</f>
        <v>8071.42540398047</v>
      </c>
      <c r="AM163" s="15" t="n">
        <f aca="false">AM398</f>
        <v>8074.28385544977</v>
      </c>
      <c r="AN163" s="15" t="n">
        <f aca="false">AN398</f>
        <v>8075.87029673459</v>
      </c>
      <c r="AO163" s="15" t="n">
        <f aca="false">AO398</f>
        <v>8076.14450747733</v>
      </c>
      <c r="AP163" s="15" t="n">
        <f aca="false">AP398</f>
        <v>8075.06522381815</v>
      </c>
      <c r="AQ163" s="15" t="n">
        <f aca="false">AQ398</f>
        <v>8072.5901124964</v>
      </c>
      <c r="AR163" s="15" t="n">
        <f aca="false">AR398</f>
        <v>8068.67574431577</v>
      </c>
      <c r="AS163" s="15" t="n">
        <f aca="false">AS398</f>
        <v>4031.6387834788</v>
      </c>
      <c r="AT163" s="15" t="n">
        <f aca="false">AT398</f>
        <v>0</v>
      </c>
      <c r="AU163" s="15" t="n">
        <f aca="false">AU398</f>
        <v>0</v>
      </c>
      <c r="AV163" s="15" t="n">
        <f aca="false">AV398</f>
        <v>0</v>
      </c>
      <c r="AW163" s="15" t="n">
        <f aca="false">AW398</f>
        <v>0</v>
      </c>
    </row>
    <row r="164" customFormat="false" ht="14.25" hidden="false" customHeight="false" outlineLevel="0" collapsed="false">
      <c r="C164" s="1" t="s">
        <v>163</v>
      </c>
      <c r="D164" s="2" t="s">
        <v>85</v>
      </c>
      <c r="H164" s="15" t="n">
        <f aca="false">SUM(J164:AW164)</f>
        <v>155908.742778837</v>
      </c>
      <c r="J164" s="15" t="n">
        <f aca="false">J409</f>
        <v>0</v>
      </c>
      <c r="K164" s="15" t="n">
        <f aca="false">K409</f>
        <v>0</v>
      </c>
      <c r="L164" s="15" t="n">
        <f aca="false">L409</f>
        <v>0</v>
      </c>
      <c r="M164" s="15" t="n">
        <f aca="false">M409</f>
        <v>-23394.0747647493</v>
      </c>
      <c r="N164" s="15" t="n">
        <f aca="false">N409</f>
        <v>-4761.41986821918</v>
      </c>
      <c r="O164" s="15" t="n">
        <f aca="false">O409</f>
        <v>-243.332887469236</v>
      </c>
      <c r="P164" s="15" t="n">
        <f aca="false">P409</f>
        <v>4218.24133210724</v>
      </c>
      <c r="Q164" s="15" t="n">
        <f aca="false">Q409</f>
        <v>6167.39733153318</v>
      </c>
      <c r="R164" s="15" t="n">
        <f aca="false">R409</f>
        <v>4230.22601234735</v>
      </c>
      <c r="S164" s="15" t="n">
        <f aca="false">S409</f>
        <v>4234.06243517443</v>
      </c>
      <c r="T164" s="15" t="n">
        <f aca="false">T409</f>
        <v>4236.37606470469</v>
      </c>
      <c r="U164" s="15" t="n">
        <f aca="false">U409</f>
        <v>4237.09942289424</v>
      </c>
      <c r="V164" s="15" t="n">
        <f aca="false">V409</f>
        <v>4236.16221630696</v>
      </c>
      <c r="W164" s="15" t="n">
        <f aca="false">W409</f>
        <v>4233.49121131461</v>
      </c>
      <c r="X164" s="15" t="n">
        <f aca="false">X409</f>
        <v>4229.01010346197</v>
      </c>
      <c r="Y164" s="15" t="n">
        <f aca="false">Y409</f>
        <v>4222.63938071516</v>
      </c>
      <c r="Z164" s="15" t="n">
        <f aca="false">Z409</f>
        <v>4214.29618029757</v>
      </c>
      <c r="AA164" s="15" t="n">
        <f aca="false">AA409</f>
        <v>4203.8941388033</v>
      </c>
      <c r="AB164" s="15" t="n">
        <f aca="false">AB409</f>
        <v>4191.34323526256</v>
      </c>
      <c r="AC164" s="15" t="n">
        <f aca="false">AC409</f>
        <v>4176.54962681787</v>
      </c>
      <c r="AD164" s="15" t="n">
        <f aca="false">AD409</f>
        <v>4159.4154766527</v>
      </c>
      <c r="AE164" s="15" t="n">
        <f aca="false">AE409</f>
        <v>8519.10247192219</v>
      </c>
      <c r="AF164" s="15" t="n">
        <f aca="false">AF409</f>
        <v>8529.82132027465</v>
      </c>
      <c r="AG164" s="15" t="n">
        <f aca="false">AG409</f>
        <v>8539.52253163971</v>
      </c>
      <c r="AH164" s="15" t="n">
        <f aca="false">AH409</f>
        <v>8548.17251534533</v>
      </c>
      <c r="AI164" s="15" t="n">
        <f aca="false">AI409</f>
        <v>8305.67093402029</v>
      </c>
      <c r="AJ164" s="15" t="n">
        <f aca="false">AJ409</f>
        <v>8062.04828546784</v>
      </c>
      <c r="AK164" s="15" t="n">
        <f aca="false">AK409</f>
        <v>8067.33414445979</v>
      </c>
      <c r="AL164" s="15" t="n">
        <f aca="false">AL409</f>
        <v>8071.42540398047</v>
      </c>
      <c r="AM164" s="15" t="n">
        <f aca="false">AM409</f>
        <v>8074.28385544977</v>
      </c>
      <c r="AN164" s="15" t="n">
        <f aca="false">AN409</f>
        <v>8075.87029673459</v>
      </c>
      <c r="AO164" s="15" t="n">
        <f aca="false">AO409</f>
        <v>8076.14450747733</v>
      </c>
      <c r="AP164" s="15" t="n">
        <f aca="false">AP409</f>
        <v>8075.06522381815</v>
      </c>
      <c r="AQ164" s="15" t="n">
        <f aca="false">AQ409</f>
        <v>8072.5901124964</v>
      </c>
      <c r="AR164" s="15" t="n">
        <f aca="false">AR409</f>
        <v>8068.67574431577</v>
      </c>
      <c r="AS164" s="15" t="n">
        <f aca="false">AS409</f>
        <v>4031.6387834788</v>
      </c>
      <c r="AT164" s="15" t="n">
        <f aca="false">AT409</f>
        <v>0</v>
      </c>
      <c r="AU164" s="15" t="n">
        <f aca="false">AU409</f>
        <v>0</v>
      </c>
      <c r="AV164" s="15" t="n">
        <f aca="false">AV409</f>
        <v>0</v>
      </c>
      <c r="AW164" s="15" t="n">
        <f aca="false">AW409</f>
        <v>0</v>
      </c>
    </row>
    <row r="165" customFormat="false" ht="14.25" hidden="false" customHeight="false" outlineLevel="0" collapsed="false">
      <c r="C165" s="6" t="s">
        <v>164</v>
      </c>
      <c r="D165" s="2" t="s">
        <v>85</v>
      </c>
      <c r="J165" s="8" t="n">
        <f aca="false">SUM($J162:J162)</f>
        <v>0</v>
      </c>
      <c r="K165" s="8" t="n">
        <f aca="false">SUM($J162:K162)</f>
        <v>0</v>
      </c>
      <c r="L165" s="8" t="n">
        <f aca="false">SUM($J162:L162)</f>
        <v>0</v>
      </c>
      <c r="M165" s="8" t="n">
        <f aca="false">SUM($J162:M162)</f>
        <v>-33450.8995260274</v>
      </c>
      <c r="N165" s="8" t="n">
        <f aca="false">SUM($J162:N162)</f>
        <v>-59839.8995260274</v>
      </c>
      <c r="O165" s="8" t="n">
        <f aca="false">SUM($J162:O162)</f>
        <v>-69501.1813540274</v>
      </c>
      <c r="P165" s="8" t="n">
        <f aca="false">SUM($J162:P162)</f>
        <v>-60375.9356515874</v>
      </c>
      <c r="Q165" s="8" t="n">
        <f aca="false">SUM($J162:Q162)</f>
        <v>-49281.766547052</v>
      </c>
      <c r="R165" s="8" t="n">
        <f aca="false">SUM($J162:R162)</f>
        <v>-40104.3183402046</v>
      </c>
      <c r="S165" s="8" t="n">
        <f aca="false">SUM($J162:S162)</f>
        <v>-30901.8647796852</v>
      </c>
      <c r="T165" s="8" t="n">
        <f aca="false">SUM($J162:T162)</f>
        <v>-21675.1727912668</v>
      </c>
      <c r="U165" s="8" t="n">
        <f aca="false">SUM($J162:U162)</f>
        <v>-12425.0374568688</v>
      </c>
      <c r="V165" s="8" t="n">
        <f aca="false">SUM($J162:V162)</f>
        <v>-3152.28276529391</v>
      </c>
      <c r="W165" s="8" t="n">
        <f aca="false">SUM($J162:W162)</f>
        <v>6142.23761828661</v>
      </c>
      <c r="X165" s="8" t="n">
        <f aca="false">SUM($J162:X162)</f>
        <v>15457.6395636369</v>
      </c>
      <c r="Y165" s="8" t="n">
        <f aca="false">SUM($J162:Y162)</f>
        <v>24793.007667079</v>
      </c>
      <c r="Z165" s="8" t="n">
        <f aca="false">SUM($J162:Z162)</f>
        <v>34147.3944229487</v>
      </c>
      <c r="AA165" s="8" t="n">
        <f aca="false">SUM($J162:AA162)</f>
        <v>43519.8193743899</v>
      </c>
      <c r="AB165" s="8" t="n">
        <f aca="false">SUM($J162:AB162)</f>
        <v>52909.2682429792</v>
      </c>
      <c r="AC165" s="8" t="n">
        <f aca="false">SUM($J162:AC162)</f>
        <v>62314.69203666</v>
      </c>
      <c r="AD165" s="8" t="n">
        <f aca="false">SUM($J162:AD162)</f>
        <v>71735.0061354536</v>
      </c>
      <c r="AE165" s="8" t="n">
        <f aca="false">SUM($J162:AE162)</f>
        <v>81169.0893544008</v>
      </c>
      <c r="AF165" s="8" t="n">
        <f aca="false">SUM($J162:AF162)</f>
        <v>90615.7829831745</v>
      </c>
      <c r="AG165" s="8" t="n">
        <f aca="false">SUM($J162:AG162)</f>
        <v>100073.889801789</v>
      </c>
      <c r="AH165" s="8" t="n">
        <f aca="false">SUM($J162:AH162)</f>
        <v>109542.173071823</v>
      </c>
      <c r="AI165" s="8" t="n">
        <f aca="false">SUM($J162:AI162)</f>
        <v>119019.355502542</v>
      </c>
      <c r="AJ165" s="8" t="n">
        <f aca="false">SUM($J162:AJ162)</f>
        <v>128504.118191328</v>
      </c>
      <c r="AK165" s="8" t="n">
        <f aca="false">SUM($J162:AK162)</f>
        <v>137995.099537751</v>
      </c>
      <c r="AL165" s="8" t="n">
        <f aca="false">SUM($J162:AL162)</f>
        <v>147490.89413067</v>
      </c>
      <c r="AM165" s="8" t="n">
        <f aca="false">SUM($J162:AM162)</f>
        <v>156990.051607669</v>
      </c>
      <c r="AN165" s="8" t="n">
        <f aca="false">SUM($J162:AN162)</f>
        <v>166491.075486181</v>
      </c>
      <c r="AO165" s="8" t="n">
        <f aca="false">SUM($J162:AO162)</f>
        <v>175992.421965566</v>
      </c>
      <c r="AP165" s="8" t="n">
        <f aca="false">SUM($J162:AP162)</f>
        <v>185492.498699469</v>
      </c>
      <c r="AQ165" s="8" t="n">
        <f aca="false">SUM($J162:AQ162)</f>
        <v>194989.6635377</v>
      </c>
      <c r="AR165" s="8" t="n">
        <f aca="false">SUM($J162:AR162)</f>
        <v>204482.223236895</v>
      </c>
      <c r="AS165" s="8" t="n">
        <f aca="false">SUM($J162:AS162)</f>
        <v>209225.327688047</v>
      </c>
      <c r="AT165" s="8" t="n">
        <f aca="false">SUM($J162:AT162)</f>
        <v>209225.327688047</v>
      </c>
      <c r="AU165" s="8" t="n">
        <f aca="false">SUM($J162:AU162)</f>
        <v>209225.327688047</v>
      </c>
      <c r="AV165" s="8" t="n">
        <f aca="false">SUM($J162:AV162)</f>
        <v>209225.327688047</v>
      </c>
      <c r="AW165" s="8" t="n">
        <f aca="false">SUM($J162:AW162)</f>
        <v>209225.327688047</v>
      </c>
    </row>
    <row r="167" customFormat="false" ht="14.25" hidden="false" customHeight="false" outlineLevel="0" collapsed="false">
      <c r="C167" s="42" t="s">
        <v>6</v>
      </c>
      <c r="D167" s="42"/>
      <c r="E167" s="43"/>
      <c r="F167" s="43"/>
      <c r="G167" s="43"/>
      <c r="H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  <c r="AT167" s="43"/>
      <c r="AU167" s="43"/>
      <c r="AV167" s="43"/>
      <c r="AW167" s="43"/>
    </row>
    <row r="168" customFormat="false" ht="14.25" hidden="false" customHeight="false" outlineLevel="0" collapsed="false">
      <c r="C168" s="6" t="s">
        <v>157</v>
      </c>
      <c r="D168" s="2" t="s">
        <v>85</v>
      </c>
      <c r="H168" s="8" t="n">
        <f aca="false">SUM(J168:AW168)</f>
        <v>-76800.0592465753</v>
      </c>
      <c r="J168" s="8" t="n">
        <f aca="false">J435</f>
        <v>0</v>
      </c>
      <c r="K168" s="8" t="n">
        <f aca="false">K435</f>
        <v>0</v>
      </c>
      <c r="L168" s="8" t="n">
        <f aca="false">L435</f>
        <v>0</v>
      </c>
      <c r="M168" s="8" t="n">
        <f aca="false">M435</f>
        <v>-29757.5797945206</v>
      </c>
      <c r="N168" s="8" t="n">
        <f aca="false">N435</f>
        <v>-31358</v>
      </c>
      <c r="O168" s="8" t="n">
        <f aca="false">O435</f>
        <v>-18179</v>
      </c>
      <c r="P168" s="8" t="n">
        <f aca="false">P435</f>
        <v>0</v>
      </c>
      <c r="Q168" s="8" t="n">
        <f aca="false">Q435</f>
        <v>2494.52054794521</v>
      </c>
      <c r="R168" s="8" t="n">
        <f aca="false">R435</f>
        <v>0</v>
      </c>
      <c r="S168" s="8" t="n">
        <f aca="false">S435</f>
        <v>0</v>
      </c>
      <c r="T168" s="8" t="n">
        <f aca="false">T435</f>
        <v>0</v>
      </c>
      <c r="U168" s="8" t="n">
        <f aca="false">U435</f>
        <v>0</v>
      </c>
      <c r="V168" s="8" t="n">
        <f aca="false">V435</f>
        <v>0</v>
      </c>
      <c r="W168" s="8" t="n">
        <f aca="false">W435</f>
        <v>0</v>
      </c>
      <c r="X168" s="8" t="n">
        <f aca="false">X435</f>
        <v>0</v>
      </c>
      <c r="Y168" s="8" t="n">
        <f aca="false">Y435</f>
        <v>0</v>
      </c>
      <c r="Z168" s="8" t="n">
        <f aca="false">Z435</f>
        <v>0</v>
      </c>
      <c r="AA168" s="8" t="n">
        <f aca="false">AA435</f>
        <v>0</v>
      </c>
      <c r="AB168" s="8" t="n">
        <f aca="false">AB435</f>
        <v>0</v>
      </c>
      <c r="AC168" s="8" t="n">
        <f aca="false">AC435</f>
        <v>0</v>
      </c>
      <c r="AD168" s="8" t="n">
        <f aca="false">AD435</f>
        <v>0</v>
      </c>
      <c r="AE168" s="8" t="n">
        <f aca="false">AE435</f>
        <v>0</v>
      </c>
      <c r="AF168" s="8" t="n">
        <f aca="false">AF435</f>
        <v>0</v>
      </c>
      <c r="AG168" s="8" t="n">
        <f aca="false">AG435</f>
        <v>0</v>
      </c>
      <c r="AH168" s="8" t="n">
        <f aca="false">AH435</f>
        <v>0</v>
      </c>
      <c r="AI168" s="8" t="n">
        <f aca="false">AI435</f>
        <v>0</v>
      </c>
      <c r="AJ168" s="8" t="n">
        <f aca="false">AJ435</f>
        <v>0</v>
      </c>
      <c r="AK168" s="8" t="n">
        <f aca="false">AK435</f>
        <v>0</v>
      </c>
      <c r="AL168" s="8" t="n">
        <f aca="false">AL435</f>
        <v>0</v>
      </c>
      <c r="AM168" s="8" t="n">
        <f aca="false">AM435</f>
        <v>0</v>
      </c>
      <c r="AN168" s="8" t="n">
        <f aca="false">AN435</f>
        <v>0</v>
      </c>
      <c r="AO168" s="8" t="n">
        <f aca="false">AO435</f>
        <v>0</v>
      </c>
      <c r="AP168" s="8" t="n">
        <f aca="false">AP435</f>
        <v>0</v>
      </c>
      <c r="AQ168" s="8" t="n">
        <f aca="false">AQ435</f>
        <v>0</v>
      </c>
      <c r="AR168" s="8" t="n">
        <f aca="false">AR435</f>
        <v>0</v>
      </c>
      <c r="AS168" s="8" t="n">
        <f aca="false">AS435</f>
        <v>0</v>
      </c>
      <c r="AT168" s="8" t="n">
        <f aca="false">AT435</f>
        <v>0</v>
      </c>
      <c r="AU168" s="8" t="n">
        <f aca="false">AU435</f>
        <v>0</v>
      </c>
      <c r="AV168" s="8" t="n">
        <f aca="false">AV435</f>
        <v>0</v>
      </c>
      <c r="AW168" s="8" t="n">
        <f aca="false">AW435</f>
        <v>0</v>
      </c>
    </row>
    <row r="169" customFormat="false" ht="14.25" hidden="false" customHeight="false" outlineLevel="0" collapsed="false">
      <c r="C169" s="6" t="s">
        <v>158</v>
      </c>
      <c r="D169" s="2" t="s">
        <v>85</v>
      </c>
      <c r="H169" s="8" t="n">
        <f aca="false">SUM(J169:AW169)</f>
        <v>446130.685729454</v>
      </c>
      <c r="J169" s="8" t="n">
        <f aca="false">J439</f>
        <v>0</v>
      </c>
      <c r="K169" s="8" t="n">
        <f aca="false">K439</f>
        <v>0</v>
      </c>
      <c r="L169" s="8" t="n">
        <f aca="false">L439</f>
        <v>0</v>
      </c>
      <c r="M169" s="8" t="n">
        <f aca="false">M439</f>
        <v>0</v>
      </c>
      <c r="N169" s="8" t="n">
        <f aca="false">N439</f>
        <v>0</v>
      </c>
      <c r="O169" s="8" t="n">
        <f aca="false">O439</f>
        <v>6667.92</v>
      </c>
      <c r="P169" s="8" t="n">
        <f aca="false">P439</f>
        <v>13469.1984</v>
      </c>
      <c r="Q169" s="8" t="n">
        <f aca="false">Q439</f>
        <v>13563.078712848</v>
      </c>
      <c r="R169" s="8" t="n">
        <f aca="false">R439</f>
        <v>13657.6133714766</v>
      </c>
      <c r="S169" s="8" t="n">
        <f aca="false">S439</f>
        <v>13752.8069366757</v>
      </c>
      <c r="T169" s="8" t="n">
        <f aca="false">T439</f>
        <v>13848.6640010244</v>
      </c>
      <c r="U169" s="8" t="n">
        <f aca="false">U439</f>
        <v>13945.1891891115</v>
      </c>
      <c r="V169" s="8" t="n">
        <f aca="false">V439</f>
        <v>14042.3871577596</v>
      </c>
      <c r="W169" s="8" t="n">
        <f aca="false">W439</f>
        <v>14140.2625962492</v>
      </c>
      <c r="X169" s="8" t="n">
        <f aca="false">X439</f>
        <v>14238.8202265451</v>
      </c>
      <c r="Y169" s="8" t="n">
        <f aca="false">Y439</f>
        <v>14338.0648035241</v>
      </c>
      <c r="Z169" s="8" t="n">
        <f aca="false">Z439</f>
        <v>14438.0011152046</v>
      </c>
      <c r="AA169" s="8" t="n">
        <f aca="false">AA439</f>
        <v>14538.6339829776</v>
      </c>
      <c r="AB169" s="8" t="n">
        <f aca="false">AB439</f>
        <v>14639.968261839</v>
      </c>
      <c r="AC169" s="8" t="n">
        <f aca="false">AC439</f>
        <v>14742.008840624</v>
      </c>
      <c r="AD169" s="8" t="n">
        <f aca="false">AD439</f>
        <v>14844.7606422431</v>
      </c>
      <c r="AE169" s="8" t="n">
        <f aca="false">AE439</f>
        <v>14948.2286239196</v>
      </c>
      <c r="AF169" s="8" t="n">
        <f aca="false">AF439</f>
        <v>15052.4177774283</v>
      </c>
      <c r="AG169" s="8" t="n">
        <f aca="false">AG439</f>
        <v>15157.333129337</v>
      </c>
      <c r="AH169" s="8" t="n">
        <f aca="false">AH439</f>
        <v>15262.9797412485</v>
      </c>
      <c r="AI169" s="8" t="n">
        <f aca="false">AI439</f>
        <v>15369.362710045</v>
      </c>
      <c r="AJ169" s="8" t="n">
        <f aca="false">AJ439</f>
        <v>15476.487168134</v>
      </c>
      <c r="AK169" s="8" t="n">
        <f aca="false">AK439</f>
        <v>15584.3582836959</v>
      </c>
      <c r="AL169" s="8" t="n">
        <f aca="false">AL439</f>
        <v>15692.9812609332</v>
      </c>
      <c r="AM169" s="8" t="n">
        <f aca="false">AM439</f>
        <v>15802.3613403219</v>
      </c>
      <c r="AN169" s="8" t="n">
        <f aca="false">AN439</f>
        <v>15912.503798864</v>
      </c>
      <c r="AO169" s="8" t="n">
        <f aca="false">AO439</f>
        <v>16023.4139503421</v>
      </c>
      <c r="AP169" s="8" t="n">
        <f aca="false">AP439</f>
        <v>16135.0971455759</v>
      </c>
      <c r="AQ169" s="8" t="n">
        <f aca="false">AQ439</f>
        <v>16247.5587726806</v>
      </c>
      <c r="AR169" s="8" t="n">
        <f aca="false">AR439</f>
        <v>16360.8042573262</v>
      </c>
      <c r="AS169" s="8" t="n">
        <f aca="false">AS439</f>
        <v>8237.41953149987</v>
      </c>
      <c r="AT169" s="8" t="n">
        <f aca="false">AT439</f>
        <v>0</v>
      </c>
      <c r="AU169" s="8" t="n">
        <f aca="false">AU439</f>
        <v>0</v>
      </c>
      <c r="AV169" s="8" t="n">
        <f aca="false">AV439</f>
        <v>0</v>
      </c>
      <c r="AW169" s="8" t="n">
        <f aca="false">AW439</f>
        <v>0</v>
      </c>
    </row>
    <row r="170" customFormat="false" ht="14.25" hidden="false" customHeight="false" outlineLevel="0" collapsed="false">
      <c r="C170" s="6" t="s">
        <v>159</v>
      </c>
      <c r="D170" s="2" t="s">
        <v>85</v>
      </c>
      <c r="H170" s="8" t="n">
        <f aca="false">SUM(J170:AW170)</f>
        <v>-130425.697623429</v>
      </c>
      <c r="J170" s="8" t="n">
        <f aca="false">J448</f>
        <v>0</v>
      </c>
      <c r="K170" s="8" t="n">
        <f aca="false">K448</f>
        <v>0</v>
      </c>
      <c r="L170" s="8" t="n">
        <f aca="false">L448</f>
        <v>0</v>
      </c>
      <c r="M170" s="8" t="n">
        <f aca="false">M448</f>
        <v>0</v>
      </c>
      <c r="N170" s="8" t="n">
        <f aca="false">N448</f>
        <v>0</v>
      </c>
      <c r="O170" s="8" t="n">
        <f aca="false">O448</f>
        <v>-1598.148216</v>
      </c>
      <c r="P170" s="8" t="n">
        <f aca="false">P448</f>
        <v>-3260.87985132</v>
      </c>
      <c r="Q170" s="8" t="n">
        <f aca="false">Q448</f>
        <v>-3322.39115932295</v>
      </c>
      <c r="R170" s="8" t="n">
        <f aca="false">R448</f>
        <v>-3385.38820151339</v>
      </c>
      <c r="S170" s="8" t="n">
        <f aca="false">S448</f>
        <v>-3449.90658222877</v>
      </c>
      <c r="T170" s="8" t="n">
        <f aca="false">T448</f>
        <v>-3515.98276867813</v>
      </c>
      <c r="U170" s="8" t="n">
        <f aca="false">U448</f>
        <v>-3583.65411193425</v>
      </c>
      <c r="V170" s="8" t="n">
        <f aca="false">V448</f>
        <v>-3652.95886843809</v>
      </c>
      <c r="W170" s="8" t="n">
        <f aca="false">W448</f>
        <v>-3723.93622202803</v>
      </c>
      <c r="X170" s="8" t="n">
        <f aca="false">X448</f>
        <v>-3796.62630650685</v>
      </c>
      <c r="Y170" s="8" t="n">
        <f aca="false">Y448</f>
        <v>-3871.07022875947</v>
      </c>
      <c r="Z170" s="8" t="n">
        <f aca="false">Z448</f>
        <v>-3947.31009243507</v>
      </c>
      <c r="AA170" s="8" t="n">
        <f aca="false">AA448</f>
        <v>-4025.38902220729</v>
      </c>
      <c r="AB170" s="8" t="n">
        <f aca="false">AB448</f>
        <v>-4105.3511886267</v>
      </c>
      <c r="AC170" s="8" t="n">
        <f aca="false">AC448</f>
        <v>-4187.24183358009</v>
      </c>
      <c r="AD170" s="8" t="n">
        <f aca="false">AD448</f>
        <v>-4271.10729637127</v>
      </c>
      <c r="AE170" s="8" t="n">
        <f aca="false">AE448</f>
        <v>-4356.99504043889</v>
      </c>
      <c r="AF170" s="8" t="n">
        <f aca="false">AF448</f>
        <v>-4444.95368072645</v>
      </c>
      <c r="AG170" s="8" t="n">
        <f aca="false">AG448</f>
        <v>-4535.0330117209</v>
      </c>
      <c r="AH170" s="8" t="n">
        <f aca="false">AH448</f>
        <v>-4627.28403617592</v>
      </c>
      <c r="AI170" s="8" t="n">
        <f aca="false">AI448</f>
        <v>-4721.75899453672</v>
      </c>
      <c r="AJ170" s="8" t="n">
        <f aca="false">AJ448</f>
        <v>-4818.51139508354</v>
      </c>
      <c r="AK170" s="8" t="n">
        <f aca="false">AK448</f>
        <v>-4917.59604481147</v>
      </c>
      <c r="AL170" s="8" t="n">
        <f aca="false">AL448</f>
        <v>-5019.06908106463</v>
      </c>
      <c r="AM170" s="8" t="n">
        <f aca="false">AM448</f>
        <v>-5122.98800394303</v>
      </c>
      <c r="AN170" s="8" t="n">
        <f aca="false">AN448</f>
        <v>-5229.41170950133</v>
      </c>
      <c r="AO170" s="8" t="n">
        <f aca="false">AO448</f>
        <v>-5338.40052375853</v>
      </c>
      <c r="AP170" s="8" t="n">
        <f aca="false">AP448</f>
        <v>-5450.01623753884</v>
      </c>
      <c r="AQ170" s="8" t="n">
        <f aca="false">AQ448</f>
        <v>-5564.32214216366</v>
      </c>
      <c r="AR170" s="8" t="n">
        <f aca="false">AR448</f>
        <v>-5681.38306601601</v>
      </c>
      <c r="AS170" s="8" t="n">
        <f aca="false">AS448</f>
        <v>-2900.63270599912</v>
      </c>
      <c r="AT170" s="8" t="n">
        <f aca="false">AT448</f>
        <v>0</v>
      </c>
      <c r="AU170" s="8" t="n">
        <f aca="false">AU448</f>
        <v>0</v>
      </c>
      <c r="AV170" s="8" t="n">
        <f aca="false">AV448</f>
        <v>0</v>
      </c>
      <c r="AW170" s="8" t="n">
        <f aca="false">AW448</f>
        <v>0</v>
      </c>
    </row>
    <row r="171" customFormat="false" ht="14.25" hidden="false" customHeight="false" outlineLevel="0" collapsed="false">
      <c r="C171" s="6" t="s">
        <v>160</v>
      </c>
      <c r="D171" s="2" t="s">
        <v>85</v>
      </c>
      <c r="H171" s="8" t="n">
        <f aca="false">SUM(J171:AW171)</f>
        <v>315704.988106025</v>
      </c>
      <c r="J171" s="8" t="n">
        <f aca="false">J449</f>
        <v>0</v>
      </c>
      <c r="K171" s="8" t="n">
        <f aca="false">K449</f>
        <v>0</v>
      </c>
      <c r="L171" s="8" t="n">
        <f aca="false">L449</f>
        <v>0</v>
      </c>
      <c r="M171" s="8" t="n">
        <f aca="false">M449</f>
        <v>0</v>
      </c>
      <c r="N171" s="8" t="n">
        <f aca="false">N449</f>
        <v>0</v>
      </c>
      <c r="O171" s="8" t="n">
        <f aca="false">O449</f>
        <v>5069.771784</v>
      </c>
      <c r="P171" s="8" t="n">
        <f aca="false">P449</f>
        <v>10208.31854868</v>
      </c>
      <c r="Q171" s="8" t="n">
        <f aca="false">Q449</f>
        <v>10240.6875535251</v>
      </c>
      <c r="R171" s="8" t="n">
        <f aca="false">R449</f>
        <v>10272.2251699632</v>
      </c>
      <c r="S171" s="8" t="n">
        <f aca="false">S449</f>
        <v>10302.900354447</v>
      </c>
      <c r="T171" s="8" t="n">
        <f aca="false">T449</f>
        <v>10332.6812323462</v>
      </c>
      <c r="U171" s="8" t="n">
        <f aca="false">U449</f>
        <v>10361.5350771773</v>
      </c>
      <c r="V171" s="8" t="n">
        <f aca="false">V449</f>
        <v>10389.4282893215</v>
      </c>
      <c r="W171" s="8" t="n">
        <f aca="false">W449</f>
        <v>10416.3263742212</v>
      </c>
      <c r="X171" s="8" t="n">
        <f aca="false">X449</f>
        <v>10442.1939200382</v>
      </c>
      <c r="Y171" s="8" t="n">
        <f aca="false">Y449</f>
        <v>10466.9945747646</v>
      </c>
      <c r="Z171" s="8" t="n">
        <f aca="false">Z449</f>
        <v>10490.6910227696</v>
      </c>
      <c r="AA171" s="8" t="n">
        <f aca="false">AA449</f>
        <v>10513.2449607703</v>
      </c>
      <c r="AB171" s="8" t="n">
        <f aca="false">AB449</f>
        <v>10534.6170732123</v>
      </c>
      <c r="AC171" s="8" t="n">
        <f aca="false">AC449</f>
        <v>10554.7670070439</v>
      </c>
      <c r="AD171" s="8" t="n">
        <f aca="false">AD449</f>
        <v>10573.6533458719</v>
      </c>
      <c r="AE171" s="8" t="n">
        <f aca="false">AE449</f>
        <v>10591.2335834807</v>
      </c>
      <c r="AF171" s="8" t="n">
        <f aca="false">AF449</f>
        <v>10607.4640967019</v>
      </c>
      <c r="AG171" s="8" t="n">
        <f aca="false">AG449</f>
        <v>10622.3001176161</v>
      </c>
      <c r="AH171" s="8" t="n">
        <f aca="false">AH449</f>
        <v>10635.6957050725</v>
      </c>
      <c r="AI171" s="8" t="n">
        <f aca="false">AI449</f>
        <v>10647.6037155082</v>
      </c>
      <c r="AJ171" s="8" t="n">
        <f aca="false">AJ449</f>
        <v>10657.9757730504</v>
      </c>
      <c r="AK171" s="8" t="n">
        <f aca="false">AK449</f>
        <v>10666.7622388844</v>
      </c>
      <c r="AL171" s="8" t="n">
        <f aca="false">AL449</f>
        <v>10673.9121798686</v>
      </c>
      <c r="AM171" s="8" t="n">
        <f aca="false">AM449</f>
        <v>10679.3733363789</v>
      </c>
      <c r="AN171" s="8" t="n">
        <f aca="false">AN449</f>
        <v>10683.0920893626</v>
      </c>
      <c r="AO171" s="8" t="n">
        <f aca="false">AO449</f>
        <v>10685.0134265835</v>
      </c>
      <c r="AP171" s="8" t="n">
        <f aca="false">AP449</f>
        <v>10685.0809080371</v>
      </c>
      <c r="AQ171" s="8" t="n">
        <f aca="false">AQ449</f>
        <v>10683.2366305169</v>
      </c>
      <c r="AR171" s="8" t="n">
        <f aca="false">AR449</f>
        <v>10679.4211913102</v>
      </c>
      <c r="AS171" s="8" t="n">
        <f aca="false">AS449</f>
        <v>5336.78682550075</v>
      </c>
      <c r="AT171" s="8" t="n">
        <f aca="false">AT449</f>
        <v>0</v>
      </c>
      <c r="AU171" s="8" t="n">
        <f aca="false">AU449</f>
        <v>0</v>
      </c>
      <c r="AV171" s="8" t="n">
        <f aca="false">AV449</f>
        <v>0</v>
      </c>
      <c r="AW171" s="8" t="n">
        <f aca="false">AW449</f>
        <v>0</v>
      </c>
    </row>
    <row r="172" customFormat="false" ht="14.25" hidden="false" customHeight="false" outlineLevel="0" collapsed="false">
      <c r="C172" s="1" t="s">
        <v>161</v>
      </c>
      <c r="D172" s="2" t="s">
        <v>85</v>
      </c>
      <c r="H172" s="15" t="n">
        <f aca="false">SUM(J172:AW172)</f>
        <v>238904.92885945</v>
      </c>
      <c r="J172" s="15" t="n">
        <f aca="false">J450</f>
        <v>0</v>
      </c>
      <c r="K172" s="15" t="n">
        <f aca="false">K450</f>
        <v>0</v>
      </c>
      <c r="L172" s="15" t="n">
        <f aca="false">L450</f>
        <v>0</v>
      </c>
      <c r="M172" s="15" t="n">
        <f aca="false">M450</f>
        <v>-29757.5797945206</v>
      </c>
      <c r="N172" s="15" t="n">
        <f aca="false">N450</f>
        <v>-31358</v>
      </c>
      <c r="O172" s="15" t="n">
        <f aca="false">O450</f>
        <v>-13109.228216</v>
      </c>
      <c r="P172" s="15" t="n">
        <f aca="false">P450</f>
        <v>10208.31854868</v>
      </c>
      <c r="Q172" s="15" t="n">
        <f aca="false">Q450</f>
        <v>12735.2081014703</v>
      </c>
      <c r="R172" s="15" t="n">
        <f aca="false">R450</f>
        <v>10272.2251699632</v>
      </c>
      <c r="S172" s="15" t="n">
        <f aca="false">S450</f>
        <v>10302.900354447</v>
      </c>
      <c r="T172" s="15" t="n">
        <f aca="false">T450</f>
        <v>10332.6812323462</v>
      </c>
      <c r="U172" s="15" t="n">
        <f aca="false">U450</f>
        <v>10361.5350771773</v>
      </c>
      <c r="V172" s="15" t="n">
        <f aca="false">V450</f>
        <v>10389.4282893215</v>
      </c>
      <c r="W172" s="15" t="n">
        <f aca="false">W450</f>
        <v>10416.3263742212</v>
      </c>
      <c r="X172" s="15" t="n">
        <f aca="false">X450</f>
        <v>10442.1939200382</v>
      </c>
      <c r="Y172" s="15" t="n">
        <f aca="false">Y450</f>
        <v>10466.9945747646</v>
      </c>
      <c r="Z172" s="15" t="n">
        <f aca="false">Z450</f>
        <v>10490.6910227696</v>
      </c>
      <c r="AA172" s="15" t="n">
        <f aca="false">AA450</f>
        <v>10513.2449607703</v>
      </c>
      <c r="AB172" s="15" t="n">
        <f aca="false">AB450</f>
        <v>10534.6170732123</v>
      </c>
      <c r="AC172" s="15" t="n">
        <f aca="false">AC450</f>
        <v>10554.7670070439</v>
      </c>
      <c r="AD172" s="15" t="n">
        <f aca="false">AD450</f>
        <v>10573.6533458719</v>
      </c>
      <c r="AE172" s="15" t="n">
        <f aca="false">AE450</f>
        <v>10591.2335834807</v>
      </c>
      <c r="AF172" s="15" t="n">
        <f aca="false">AF450</f>
        <v>10607.4640967019</v>
      </c>
      <c r="AG172" s="15" t="n">
        <f aca="false">AG450</f>
        <v>10622.3001176161</v>
      </c>
      <c r="AH172" s="15" t="n">
        <f aca="false">AH450</f>
        <v>10635.6957050725</v>
      </c>
      <c r="AI172" s="15" t="n">
        <f aca="false">AI450</f>
        <v>10647.6037155082</v>
      </c>
      <c r="AJ172" s="15" t="n">
        <f aca="false">AJ450</f>
        <v>10657.9757730504</v>
      </c>
      <c r="AK172" s="15" t="n">
        <f aca="false">AK450</f>
        <v>10666.7622388844</v>
      </c>
      <c r="AL172" s="15" t="n">
        <f aca="false">AL450</f>
        <v>10673.9121798686</v>
      </c>
      <c r="AM172" s="15" t="n">
        <f aca="false">AM450</f>
        <v>10679.3733363789</v>
      </c>
      <c r="AN172" s="15" t="n">
        <f aca="false">AN450</f>
        <v>10683.0920893626</v>
      </c>
      <c r="AO172" s="15" t="n">
        <f aca="false">AO450</f>
        <v>10685.0134265835</v>
      </c>
      <c r="AP172" s="15" t="n">
        <f aca="false">AP450</f>
        <v>10685.0809080371</v>
      </c>
      <c r="AQ172" s="15" t="n">
        <f aca="false">AQ450</f>
        <v>10683.2366305169</v>
      </c>
      <c r="AR172" s="15" t="n">
        <f aca="false">AR450</f>
        <v>10679.4211913102</v>
      </c>
      <c r="AS172" s="15" t="n">
        <f aca="false">AS450</f>
        <v>5336.78682550075</v>
      </c>
      <c r="AT172" s="15" t="n">
        <f aca="false">AT450</f>
        <v>0</v>
      </c>
      <c r="AU172" s="15" t="n">
        <f aca="false">AU450</f>
        <v>0</v>
      </c>
      <c r="AV172" s="15" t="n">
        <f aca="false">AV450</f>
        <v>0</v>
      </c>
      <c r="AW172" s="15" t="n">
        <f aca="false">AW450</f>
        <v>0</v>
      </c>
    </row>
    <row r="173" customFormat="false" ht="14.25" hidden="false" customHeight="false" outlineLevel="0" collapsed="false">
      <c r="C173" s="1" t="s">
        <v>162</v>
      </c>
      <c r="D173" s="2" t="s">
        <v>85</v>
      </c>
      <c r="H173" s="15" t="n">
        <f aca="false">SUM(J173:AW173)</f>
        <v>201928.019273683</v>
      </c>
      <c r="J173" s="15" t="n">
        <f aca="false">J455</f>
        <v>0</v>
      </c>
      <c r="K173" s="15" t="n">
        <f aca="false">K455</f>
        <v>0</v>
      </c>
      <c r="L173" s="15" t="n">
        <f aca="false">L455</f>
        <v>0</v>
      </c>
      <c r="M173" s="15" t="n">
        <f aca="false">M455</f>
        <v>-29757.5797945206</v>
      </c>
      <c r="N173" s="15" t="n">
        <f aca="false">N455</f>
        <v>-31358</v>
      </c>
      <c r="O173" s="15" t="n">
        <f aca="false">O455</f>
        <v>-13610.2230178466</v>
      </c>
      <c r="P173" s="15" t="n">
        <f aca="false">P455</f>
        <v>9196.01269788485</v>
      </c>
      <c r="Q173" s="15" t="n">
        <f aca="false">Q455</f>
        <v>11718.0468999483</v>
      </c>
      <c r="R173" s="15" t="n">
        <f aca="false">R455</f>
        <v>9250.33332597553</v>
      </c>
      <c r="S173" s="15" t="n">
        <f aca="false">S455</f>
        <v>9276.40723278677</v>
      </c>
      <c r="T173" s="15" t="n">
        <f aca="false">T455</f>
        <v>9301.72097900116</v>
      </c>
      <c r="U173" s="15" t="n">
        <f aca="false">U455</f>
        <v>9326.24674710753</v>
      </c>
      <c r="V173" s="15" t="n">
        <f aca="false">V455</f>
        <v>9349.95597743015</v>
      </c>
      <c r="W173" s="15" t="n">
        <f aca="false">W455</f>
        <v>9372.81934959485</v>
      </c>
      <c r="X173" s="15" t="n">
        <f aca="false">X455</f>
        <v>9394.80676353933</v>
      </c>
      <c r="Y173" s="15" t="n">
        <f aca="false">Y455</f>
        <v>9415.88732005677</v>
      </c>
      <c r="Z173" s="15" t="n">
        <f aca="false">Z455</f>
        <v>9436.02930086098</v>
      </c>
      <c r="AA173" s="15" t="n">
        <f aca="false">AA455</f>
        <v>9455.20014816163</v>
      </c>
      <c r="AB173" s="15" t="n">
        <f aca="false">AB455</f>
        <v>9473.36644373728</v>
      </c>
      <c r="AC173" s="15" t="n">
        <f aca="false">AC455</f>
        <v>9490.49388749417</v>
      </c>
      <c r="AD173" s="15" t="n">
        <f aca="false">AD455</f>
        <v>9506.54727549794</v>
      </c>
      <c r="AE173" s="15" t="n">
        <f aca="false">AE455</f>
        <v>9521.49047746544</v>
      </c>
      <c r="AF173" s="15" t="n">
        <f aca="false">AF455</f>
        <v>9535.28641370342</v>
      </c>
      <c r="AG173" s="15" t="n">
        <f aca="false">AG455</f>
        <v>9547.89703148051</v>
      </c>
      <c r="AH173" s="15" t="n">
        <f aca="false">AH455</f>
        <v>9559.2832808185</v>
      </c>
      <c r="AI173" s="15" t="n">
        <f aca="false">AI455</f>
        <v>9309.93412393542</v>
      </c>
      <c r="AJ173" s="15" t="n">
        <f aca="false">AJ455</f>
        <v>9059.27940709287</v>
      </c>
      <c r="AK173" s="15" t="n">
        <f aca="false">AK455</f>
        <v>9066.74790305173</v>
      </c>
      <c r="AL173" s="15" t="n">
        <f aca="false">AL455</f>
        <v>9072.8253528883</v>
      </c>
      <c r="AM173" s="15" t="n">
        <f aca="false">AM455</f>
        <v>9077.46733592206</v>
      </c>
      <c r="AN173" s="15" t="n">
        <f aca="false">AN455</f>
        <v>9080.62827595824</v>
      </c>
      <c r="AO173" s="15" t="n">
        <f aca="false">AO455</f>
        <v>9082.26141259599</v>
      </c>
      <c r="AP173" s="15" t="n">
        <f aca="false">AP455</f>
        <v>9082.31877183154</v>
      </c>
      <c r="AQ173" s="15" t="n">
        <f aca="false">AQ455</f>
        <v>9080.75113593939</v>
      </c>
      <c r="AR173" s="15" t="n">
        <f aca="false">AR455</f>
        <v>9077.50801261365</v>
      </c>
      <c r="AS173" s="15" t="n">
        <f aca="false">AS455</f>
        <v>4536.26880167564</v>
      </c>
      <c r="AT173" s="15" t="n">
        <f aca="false">AT455</f>
        <v>0</v>
      </c>
      <c r="AU173" s="15" t="n">
        <f aca="false">AU455</f>
        <v>0</v>
      </c>
      <c r="AV173" s="15" t="n">
        <f aca="false">AV455</f>
        <v>0</v>
      </c>
      <c r="AW173" s="15" t="n">
        <f aca="false">AW455</f>
        <v>0</v>
      </c>
    </row>
    <row r="174" customFormat="false" ht="14.25" hidden="false" customHeight="false" outlineLevel="0" collapsed="false">
      <c r="C174" s="1" t="s">
        <v>163</v>
      </c>
      <c r="D174" s="2" t="s">
        <v>85</v>
      </c>
      <c r="H174" s="15" t="n">
        <f aca="false">SUM(J174:AW174)</f>
        <v>179778.560678166</v>
      </c>
      <c r="J174" s="15" t="n">
        <f aca="false">J466</f>
        <v>0</v>
      </c>
      <c r="K174" s="15" t="n">
        <f aca="false">K466</f>
        <v>0</v>
      </c>
      <c r="L174" s="15" t="n">
        <f aca="false">L466</f>
        <v>0</v>
      </c>
      <c r="M174" s="15" t="n">
        <f aca="false">M466</f>
        <v>-19043.9715296233</v>
      </c>
      <c r="N174" s="15" t="n">
        <f aca="false">N466</f>
        <v>-8317.9822260274</v>
      </c>
      <c r="O174" s="15" t="n">
        <f aca="false">O466</f>
        <v>-3110.4310678956</v>
      </c>
      <c r="P174" s="15" t="n">
        <f aca="false">P466</f>
        <v>4911.50835276352</v>
      </c>
      <c r="Q174" s="15" t="n">
        <f aca="false">Q466</f>
        <v>7416.71202629414</v>
      </c>
      <c r="R174" s="15" t="n">
        <f aca="false">R466</f>
        <v>4931.3263973618</v>
      </c>
      <c r="S174" s="15" t="n">
        <f aca="false">S466</f>
        <v>4938.84464646554</v>
      </c>
      <c r="T174" s="15" t="n">
        <f aca="false">T466</f>
        <v>4944.67495208705</v>
      </c>
      <c r="U174" s="15" t="n">
        <f aca="false">U466</f>
        <v>4948.7431075709</v>
      </c>
      <c r="V174" s="15" t="n">
        <f aca="false">V466</f>
        <v>4950.97184463988</v>
      </c>
      <c r="W174" s="15" t="n">
        <f aca="false">W466</f>
        <v>4951.28069888825</v>
      </c>
      <c r="X174" s="15" t="n">
        <f aca="false">X466</f>
        <v>4949.58586902059</v>
      </c>
      <c r="Y174" s="15" t="n">
        <f aca="false">Y466</f>
        <v>4945.80006953527</v>
      </c>
      <c r="Z174" s="15" t="n">
        <f aca="false">Z466</f>
        <v>4939.8323765366</v>
      </c>
      <c r="AA174" s="15" t="n">
        <f aca="false">AA466</f>
        <v>4931.58806634421</v>
      </c>
      <c r="AB174" s="15" t="n">
        <f aca="false">AB466</f>
        <v>4920.96844655218</v>
      </c>
      <c r="AC174" s="15" t="n">
        <f aca="false">AC466</f>
        <v>4907.870679173</v>
      </c>
      <c r="AD174" s="15" t="n">
        <f aca="false">AD466</f>
        <v>4892.18759548389</v>
      </c>
      <c r="AE174" s="15" t="n">
        <f aca="false">AE466</f>
        <v>9539.06884102607</v>
      </c>
      <c r="AF174" s="15" t="n">
        <f aca="false">AF466</f>
        <v>9552.86477726406</v>
      </c>
      <c r="AG174" s="15" t="n">
        <f aca="false">AG466</f>
        <v>9565.47539504115</v>
      </c>
      <c r="AH174" s="15" t="n">
        <f aca="false">AH466</f>
        <v>9576.86164437914</v>
      </c>
      <c r="AI174" s="15" t="n">
        <f aca="false">AI466</f>
        <v>9318.72330571574</v>
      </c>
      <c r="AJ174" s="15" t="n">
        <f aca="false">AJ466</f>
        <v>9059.27940709287</v>
      </c>
      <c r="AK174" s="15" t="n">
        <f aca="false">AK466</f>
        <v>9066.74790305173</v>
      </c>
      <c r="AL174" s="15" t="n">
        <f aca="false">AL466</f>
        <v>9072.8253528883</v>
      </c>
      <c r="AM174" s="15" t="n">
        <f aca="false">AM466</f>
        <v>9077.46733592206</v>
      </c>
      <c r="AN174" s="15" t="n">
        <f aca="false">AN466</f>
        <v>9080.62827595824</v>
      </c>
      <c r="AO174" s="15" t="n">
        <f aca="false">AO466</f>
        <v>9082.26141259599</v>
      </c>
      <c r="AP174" s="15" t="n">
        <f aca="false">AP466</f>
        <v>9082.31877183154</v>
      </c>
      <c r="AQ174" s="15" t="n">
        <f aca="false">AQ466</f>
        <v>9080.75113593939</v>
      </c>
      <c r="AR174" s="15" t="n">
        <f aca="false">AR466</f>
        <v>9077.50801261365</v>
      </c>
      <c r="AS174" s="15" t="n">
        <f aca="false">AS466</f>
        <v>4536.26880167564</v>
      </c>
      <c r="AT174" s="15" t="n">
        <f aca="false">AT466</f>
        <v>0</v>
      </c>
      <c r="AU174" s="15" t="n">
        <f aca="false">AU466</f>
        <v>0</v>
      </c>
      <c r="AV174" s="15" t="n">
        <f aca="false">AV466</f>
        <v>0</v>
      </c>
      <c r="AW174" s="15" t="n">
        <f aca="false">AW466</f>
        <v>0</v>
      </c>
    </row>
    <row r="175" customFormat="false" ht="14.25" hidden="false" customHeight="false" outlineLevel="0" collapsed="false">
      <c r="C175" s="6" t="s">
        <v>164</v>
      </c>
      <c r="D175" s="2" t="s">
        <v>85</v>
      </c>
      <c r="J175" s="8" t="n">
        <f aca="false">SUM($J172:J172)</f>
        <v>0</v>
      </c>
      <c r="K175" s="8" t="n">
        <f aca="false">SUM($J172:K172)</f>
        <v>0</v>
      </c>
      <c r="L175" s="8" t="n">
        <f aca="false">SUM($J172:L172)</f>
        <v>0</v>
      </c>
      <c r="M175" s="8" t="n">
        <f aca="false">SUM($J172:M172)</f>
        <v>-29757.5797945206</v>
      </c>
      <c r="N175" s="8" t="n">
        <f aca="false">SUM($J172:N172)</f>
        <v>-61115.5797945206</v>
      </c>
      <c r="O175" s="8" t="n">
        <f aca="false">SUM($J172:O172)</f>
        <v>-74224.8080105205</v>
      </c>
      <c r="P175" s="8" t="n">
        <f aca="false">SUM($J172:P172)</f>
        <v>-64016.4894618405</v>
      </c>
      <c r="Q175" s="8" t="n">
        <f aca="false">SUM($J172:Q172)</f>
        <v>-51281.2813603703</v>
      </c>
      <c r="R175" s="8" t="n">
        <f aca="false">SUM($J172:R172)</f>
        <v>-41009.0561904071</v>
      </c>
      <c r="S175" s="8" t="n">
        <f aca="false">SUM($J172:S172)</f>
        <v>-30706.1558359602</v>
      </c>
      <c r="T175" s="8" t="n">
        <f aca="false">SUM($J172:T172)</f>
        <v>-20373.4746036139</v>
      </c>
      <c r="U175" s="8" t="n">
        <f aca="false">SUM($J172:U172)</f>
        <v>-10011.9395264367</v>
      </c>
      <c r="V175" s="8" t="n">
        <f aca="false">SUM($J172:V172)</f>
        <v>377.488762884879</v>
      </c>
      <c r="W175" s="8" t="n">
        <f aca="false">SUM($J172:W172)</f>
        <v>10793.8151371061</v>
      </c>
      <c r="X175" s="8" t="n">
        <f aca="false">SUM($J172:X172)</f>
        <v>21236.0090571443</v>
      </c>
      <c r="Y175" s="8" t="n">
        <f aca="false">SUM($J172:Y172)</f>
        <v>31703.0036319089</v>
      </c>
      <c r="Z175" s="8" t="n">
        <f aca="false">SUM($J172:Z172)</f>
        <v>42193.6946546785</v>
      </c>
      <c r="AA175" s="8" t="n">
        <f aca="false">SUM($J172:AA172)</f>
        <v>52706.9396154488</v>
      </c>
      <c r="AB175" s="8" t="n">
        <f aca="false">SUM($J172:AB172)</f>
        <v>63241.5566886611</v>
      </c>
      <c r="AC175" s="8" t="n">
        <f aca="false">SUM($J172:AC172)</f>
        <v>73796.323695705</v>
      </c>
      <c r="AD175" s="8" t="n">
        <f aca="false">SUM($J172:AD172)</f>
        <v>84369.9770415768</v>
      </c>
      <c r="AE175" s="8" t="n">
        <f aca="false">SUM($J172:AE172)</f>
        <v>94961.2106250575</v>
      </c>
      <c r="AF175" s="8" t="n">
        <f aca="false">SUM($J172:AF172)</f>
        <v>105568.674721759</v>
      </c>
      <c r="AG175" s="8" t="n">
        <f aca="false">SUM($J172:AG172)</f>
        <v>116190.974839375</v>
      </c>
      <c r="AH175" s="8" t="n">
        <f aca="false">SUM($J172:AH172)</f>
        <v>126826.670544448</v>
      </c>
      <c r="AI175" s="8" t="n">
        <f aca="false">SUM($J172:AI172)</f>
        <v>137474.274259956</v>
      </c>
      <c r="AJ175" s="8" t="n">
        <f aca="false">SUM($J172:AJ172)</f>
        <v>148132.250033007</v>
      </c>
      <c r="AK175" s="8" t="n">
        <f aca="false">SUM($J172:AK172)</f>
        <v>158799.012271891</v>
      </c>
      <c r="AL175" s="8" t="n">
        <f aca="false">SUM($J172:AL172)</f>
        <v>169472.92445176</v>
      </c>
      <c r="AM175" s="8" t="n">
        <f aca="false">SUM($J172:AM172)</f>
        <v>180152.297788139</v>
      </c>
      <c r="AN175" s="8" t="n">
        <f aca="false">SUM($J172:AN172)</f>
        <v>190835.389877501</v>
      </c>
      <c r="AO175" s="8" t="n">
        <f aca="false">SUM($J172:AO172)</f>
        <v>201520.403304085</v>
      </c>
      <c r="AP175" s="8" t="n">
        <f aca="false">SUM($J172:AP172)</f>
        <v>212205.484212122</v>
      </c>
      <c r="AQ175" s="8" t="n">
        <f aca="false">SUM($J172:AQ172)</f>
        <v>222888.720842639</v>
      </c>
      <c r="AR175" s="8" t="n">
        <f aca="false">SUM($J172:AR172)</f>
        <v>233568.142033949</v>
      </c>
      <c r="AS175" s="8" t="n">
        <f aca="false">SUM($J172:AS172)</f>
        <v>238904.92885945</v>
      </c>
      <c r="AT175" s="8" t="n">
        <f aca="false">SUM($J172:AT172)</f>
        <v>238904.92885945</v>
      </c>
      <c r="AU175" s="8" t="n">
        <f aca="false">SUM($J172:AU172)</f>
        <v>238904.92885945</v>
      </c>
      <c r="AV175" s="8" t="n">
        <f aca="false">SUM($J172:AV172)</f>
        <v>238904.92885945</v>
      </c>
      <c r="AW175" s="8" t="n">
        <f aca="false">SUM($J172:AW172)</f>
        <v>238904.92885945</v>
      </c>
    </row>
    <row r="177" customFormat="false" ht="14.25" hidden="false" customHeight="false" outlineLevel="0" collapsed="false">
      <c r="C177" s="42" t="s">
        <v>7</v>
      </c>
      <c r="D177" s="42"/>
      <c r="E177" s="43"/>
      <c r="F177" s="43"/>
      <c r="G177" s="43"/>
      <c r="H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  <c r="AT177" s="43"/>
      <c r="AU177" s="43"/>
      <c r="AV177" s="43"/>
      <c r="AW177" s="43"/>
    </row>
    <row r="178" customFormat="false" ht="14.25" hidden="false" customHeight="false" outlineLevel="0" collapsed="false">
      <c r="C178" s="6" t="s">
        <v>157</v>
      </c>
      <c r="D178" s="2" t="s">
        <v>85</v>
      </c>
      <c r="H178" s="8" t="n">
        <f aca="false">SUM(J178:AW178)</f>
        <v>-76800.0592465753</v>
      </c>
      <c r="J178" s="8" t="n">
        <f aca="false">J492</f>
        <v>0</v>
      </c>
      <c r="K178" s="8" t="n">
        <f aca="false">K492</f>
        <v>0</v>
      </c>
      <c r="L178" s="8" t="n">
        <f aca="false">L492</f>
        <v>0</v>
      </c>
      <c r="M178" s="8" t="n">
        <f aca="false">M492</f>
        <v>-29757.5797945206</v>
      </c>
      <c r="N178" s="8" t="n">
        <f aca="false">N492</f>
        <v>-31358</v>
      </c>
      <c r="O178" s="8" t="n">
        <f aca="false">O492</f>
        <v>-18179</v>
      </c>
      <c r="P178" s="8" t="n">
        <f aca="false">P492</f>
        <v>0</v>
      </c>
      <c r="Q178" s="8" t="n">
        <f aca="false">Q492</f>
        <v>2494.52054794521</v>
      </c>
      <c r="R178" s="8" t="n">
        <f aca="false">R492</f>
        <v>0</v>
      </c>
      <c r="S178" s="8" t="n">
        <f aca="false">S492</f>
        <v>0</v>
      </c>
      <c r="T178" s="8" t="n">
        <f aca="false">T492</f>
        <v>0</v>
      </c>
      <c r="U178" s="8" t="n">
        <f aca="false">U492</f>
        <v>0</v>
      </c>
      <c r="V178" s="8" t="n">
        <f aca="false">V492</f>
        <v>0</v>
      </c>
      <c r="W178" s="8" t="n">
        <f aca="false">W492</f>
        <v>0</v>
      </c>
      <c r="X178" s="8" t="n">
        <f aca="false">X492</f>
        <v>0</v>
      </c>
      <c r="Y178" s="8" t="n">
        <f aca="false">Y492</f>
        <v>0</v>
      </c>
      <c r="Z178" s="8" t="n">
        <f aca="false">Z492</f>
        <v>0</v>
      </c>
      <c r="AA178" s="8" t="n">
        <f aca="false">AA492</f>
        <v>0</v>
      </c>
      <c r="AB178" s="8" t="n">
        <f aca="false">AB492</f>
        <v>0</v>
      </c>
      <c r="AC178" s="8" t="n">
        <f aca="false">AC492</f>
        <v>0</v>
      </c>
      <c r="AD178" s="8" t="n">
        <f aca="false">AD492</f>
        <v>0</v>
      </c>
      <c r="AE178" s="8" t="n">
        <f aca="false">AE492</f>
        <v>0</v>
      </c>
      <c r="AF178" s="8" t="n">
        <f aca="false">AF492</f>
        <v>0</v>
      </c>
      <c r="AG178" s="8" t="n">
        <f aca="false">AG492</f>
        <v>0</v>
      </c>
      <c r="AH178" s="8" t="n">
        <f aca="false">AH492</f>
        <v>0</v>
      </c>
      <c r="AI178" s="8" t="n">
        <f aca="false">AI492</f>
        <v>0</v>
      </c>
      <c r="AJ178" s="8" t="n">
        <f aca="false">AJ492</f>
        <v>0</v>
      </c>
      <c r="AK178" s="8" t="n">
        <f aca="false">AK492</f>
        <v>0</v>
      </c>
      <c r="AL178" s="8" t="n">
        <f aca="false">AL492</f>
        <v>0</v>
      </c>
      <c r="AM178" s="8" t="n">
        <f aca="false">AM492</f>
        <v>0</v>
      </c>
      <c r="AN178" s="8" t="n">
        <f aca="false">AN492</f>
        <v>0</v>
      </c>
      <c r="AO178" s="8" t="n">
        <f aca="false">AO492</f>
        <v>0</v>
      </c>
      <c r="AP178" s="8" t="n">
        <f aca="false">AP492</f>
        <v>0</v>
      </c>
      <c r="AQ178" s="8" t="n">
        <f aca="false">AQ492</f>
        <v>0</v>
      </c>
      <c r="AR178" s="8" t="n">
        <f aca="false">AR492</f>
        <v>0</v>
      </c>
      <c r="AS178" s="8" t="n">
        <f aca="false">AS492</f>
        <v>0</v>
      </c>
      <c r="AT178" s="8" t="n">
        <f aca="false">AT492</f>
        <v>0</v>
      </c>
      <c r="AU178" s="8" t="n">
        <f aca="false">AU492</f>
        <v>0</v>
      </c>
      <c r="AV178" s="8" t="n">
        <f aca="false">AV492</f>
        <v>0</v>
      </c>
      <c r="AW178" s="8" t="n">
        <f aca="false">AW492</f>
        <v>0</v>
      </c>
    </row>
    <row r="179" customFormat="false" ht="14.25" hidden="false" customHeight="false" outlineLevel="0" collapsed="false">
      <c r="C179" s="6" t="s">
        <v>158</v>
      </c>
      <c r="D179" s="2" t="s">
        <v>85</v>
      </c>
      <c r="H179" s="8" t="n">
        <f aca="false">SUM(J179:AW179)</f>
        <v>446130.685729454</v>
      </c>
      <c r="J179" s="8" t="n">
        <f aca="false">J496</f>
        <v>0</v>
      </c>
      <c r="K179" s="8" t="n">
        <f aca="false">K496</f>
        <v>0</v>
      </c>
      <c r="L179" s="8" t="n">
        <f aca="false">L496</f>
        <v>0</v>
      </c>
      <c r="M179" s="8" t="n">
        <f aca="false">M496</f>
        <v>0</v>
      </c>
      <c r="N179" s="8" t="n">
        <f aca="false">N496</f>
        <v>0</v>
      </c>
      <c r="O179" s="8" t="n">
        <f aca="false">O496</f>
        <v>6667.92</v>
      </c>
      <c r="P179" s="8" t="n">
        <f aca="false">P496</f>
        <v>13469.1984</v>
      </c>
      <c r="Q179" s="8" t="n">
        <f aca="false">Q496</f>
        <v>13563.078712848</v>
      </c>
      <c r="R179" s="8" t="n">
        <f aca="false">R496</f>
        <v>13657.6133714766</v>
      </c>
      <c r="S179" s="8" t="n">
        <f aca="false">S496</f>
        <v>13752.8069366757</v>
      </c>
      <c r="T179" s="8" t="n">
        <f aca="false">T496</f>
        <v>13848.6640010244</v>
      </c>
      <c r="U179" s="8" t="n">
        <f aca="false">U496</f>
        <v>13945.1891891115</v>
      </c>
      <c r="V179" s="8" t="n">
        <f aca="false">V496</f>
        <v>14042.3871577596</v>
      </c>
      <c r="W179" s="8" t="n">
        <f aca="false">W496</f>
        <v>14140.2625962492</v>
      </c>
      <c r="X179" s="8" t="n">
        <f aca="false">X496</f>
        <v>14238.8202265451</v>
      </c>
      <c r="Y179" s="8" t="n">
        <f aca="false">Y496</f>
        <v>14338.0648035241</v>
      </c>
      <c r="Z179" s="8" t="n">
        <f aca="false">Z496</f>
        <v>14438.0011152046</v>
      </c>
      <c r="AA179" s="8" t="n">
        <f aca="false">AA496</f>
        <v>14538.6339829776</v>
      </c>
      <c r="AB179" s="8" t="n">
        <f aca="false">AB496</f>
        <v>14639.968261839</v>
      </c>
      <c r="AC179" s="8" t="n">
        <f aca="false">AC496</f>
        <v>14742.008840624</v>
      </c>
      <c r="AD179" s="8" t="n">
        <f aca="false">AD496</f>
        <v>14844.7606422431</v>
      </c>
      <c r="AE179" s="8" t="n">
        <f aca="false">AE496</f>
        <v>14948.2286239196</v>
      </c>
      <c r="AF179" s="8" t="n">
        <f aca="false">AF496</f>
        <v>15052.4177774283</v>
      </c>
      <c r="AG179" s="8" t="n">
        <f aca="false">AG496</f>
        <v>15157.333129337</v>
      </c>
      <c r="AH179" s="8" t="n">
        <f aca="false">AH496</f>
        <v>15262.9797412485</v>
      </c>
      <c r="AI179" s="8" t="n">
        <f aca="false">AI496</f>
        <v>15369.362710045</v>
      </c>
      <c r="AJ179" s="8" t="n">
        <f aca="false">AJ496</f>
        <v>15476.487168134</v>
      </c>
      <c r="AK179" s="8" t="n">
        <f aca="false">AK496</f>
        <v>15584.3582836959</v>
      </c>
      <c r="AL179" s="8" t="n">
        <f aca="false">AL496</f>
        <v>15692.9812609332</v>
      </c>
      <c r="AM179" s="8" t="n">
        <f aca="false">AM496</f>
        <v>15802.3613403219</v>
      </c>
      <c r="AN179" s="8" t="n">
        <f aca="false">AN496</f>
        <v>15912.503798864</v>
      </c>
      <c r="AO179" s="8" t="n">
        <f aca="false">AO496</f>
        <v>16023.4139503421</v>
      </c>
      <c r="AP179" s="8" t="n">
        <f aca="false">AP496</f>
        <v>16135.0971455759</v>
      </c>
      <c r="AQ179" s="8" t="n">
        <f aca="false">AQ496</f>
        <v>16247.5587726806</v>
      </c>
      <c r="AR179" s="8" t="n">
        <f aca="false">AR496</f>
        <v>16360.8042573262</v>
      </c>
      <c r="AS179" s="8" t="n">
        <f aca="false">AS496</f>
        <v>8237.41953149987</v>
      </c>
      <c r="AT179" s="8" t="n">
        <f aca="false">AT496</f>
        <v>0</v>
      </c>
      <c r="AU179" s="8" t="n">
        <f aca="false">AU496</f>
        <v>0</v>
      </c>
      <c r="AV179" s="8" t="n">
        <f aca="false">AV496</f>
        <v>0</v>
      </c>
      <c r="AW179" s="8" t="n">
        <f aca="false">AW496</f>
        <v>0</v>
      </c>
    </row>
    <row r="180" customFormat="false" ht="14.25" hidden="false" customHeight="false" outlineLevel="0" collapsed="false">
      <c r="C180" s="6" t="s">
        <v>159</v>
      </c>
      <c r="D180" s="2" t="s">
        <v>85</v>
      </c>
      <c r="H180" s="8" t="n">
        <f aca="false">SUM(J180:AW180)</f>
        <v>-130425.697623429</v>
      </c>
      <c r="J180" s="8" t="n">
        <f aca="false">J505</f>
        <v>0</v>
      </c>
      <c r="K180" s="8" t="n">
        <f aca="false">K505</f>
        <v>0</v>
      </c>
      <c r="L180" s="8" t="n">
        <f aca="false">L505</f>
        <v>0</v>
      </c>
      <c r="M180" s="8" t="n">
        <f aca="false">M505</f>
        <v>0</v>
      </c>
      <c r="N180" s="8" t="n">
        <f aca="false">N505</f>
        <v>0</v>
      </c>
      <c r="O180" s="8" t="n">
        <f aca="false">O505</f>
        <v>-1598.148216</v>
      </c>
      <c r="P180" s="8" t="n">
        <f aca="false">P505</f>
        <v>-3260.87985132</v>
      </c>
      <c r="Q180" s="8" t="n">
        <f aca="false">Q505</f>
        <v>-3322.39115932295</v>
      </c>
      <c r="R180" s="8" t="n">
        <f aca="false">R505</f>
        <v>-3385.38820151339</v>
      </c>
      <c r="S180" s="8" t="n">
        <f aca="false">S505</f>
        <v>-3449.90658222877</v>
      </c>
      <c r="T180" s="8" t="n">
        <f aca="false">T505</f>
        <v>-3515.98276867813</v>
      </c>
      <c r="U180" s="8" t="n">
        <f aca="false">U505</f>
        <v>-3583.65411193425</v>
      </c>
      <c r="V180" s="8" t="n">
        <f aca="false">V505</f>
        <v>-3652.95886843809</v>
      </c>
      <c r="W180" s="8" t="n">
        <f aca="false">W505</f>
        <v>-3723.93622202803</v>
      </c>
      <c r="X180" s="8" t="n">
        <f aca="false">X505</f>
        <v>-3796.62630650685</v>
      </c>
      <c r="Y180" s="8" t="n">
        <f aca="false">Y505</f>
        <v>-3871.07022875947</v>
      </c>
      <c r="Z180" s="8" t="n">
        <f aca="false">Z505</f>
        <v>-3947.31009243507</v>
      </c>
      <c r="AA180" s="8" t="n">
        <f aca="false">AA505</f>
        <v>-4025.38902220729</v>
      </c>
      <c r="AB180" s="8" t="n">
        <f aca="false">AB505</f>
        <v>-4105.3511886267</v>
      </c>
      <c r="AC180" s="8" t="n">
        <f aca="false">AC505</f>
        <v>-4187.24183358009</v>
      </c>
      <c r="AD180" s="8" t="n">
        <f aca="false">AD505</f>
        <v>-4271.10729637127</v>
      </c>
      <c r="AE180" s="8" t="n">
        <f aca="false">AE505</f>
        <v>-4356.99504043889</v>
      </c>
      <c r="AF180" s="8" t="n">
        <f aca="false">AF505</f>
        <v>-4444.95368072645</v>
      </c>
      <c r="AG180" s="8" t="n">
        <f aca="false">AG505</f>
        <v>-4535.0330117209</v>
      </c>
      <c r="AH180" s="8" t="n">
        <f aca="false">AH505</f>
        <v>-4627.28403617592</v>
      </c>
      <c r="AI180" s="8" t="n">
        <f aca="false">AI505</f>
        <v>-4721.75899453672</v>
      </c>
      <c r="AJ180" s="8" t="n">
        <f aca="false">AJ505</f>
        <v>-4818.51139508354</v>
      </c>
      <c r="AK180" s="8" t="n">
        <f aca="false">AK505</f>
        <v>-4917.59604481147</v>
      </c>
      <c r="AL180" s="8" t="n">
        <f aca="false">AL505</f>
        <v>-5019.06908106463</v>
      </c>
      <c r="AM180" s="8" t="n">
        <f aca="false">AM505</f>
        <v>-5122.98800394303</v>
      </c>
      <c r="AN180" s="8" t="n">
        <f aca="false">AN505</f>
        <v>-5229.41170950133</v>
      </c>
      <c r="AO180" s="8" t="n">
        <f aca="false">AO505</f>
        <v>-5338.40052375853</v>
      </c>
      <c r="AP180" s="8" t="n">
        <f aca="false">AP505</f>
        <v>-5450.01623753884</v>
      </c>
      <c r="AQ180" s="8" t="n">
        <f aca="false">AQ505</f>
        <v>-5564.32214216366</v>
      </c>
      <c r="AR180" s="8" t="n">
        <f aca="false">AR505</f>
        <v>-5681.38306601601</v>
      </c>
      <c r="AS180" s="8" t="n">
        <f aca="false">AS505</f>
        <v>-2900.63270599912</v>
      </c>
      <c r="AT180" s="8" t="n">
        <f aca="false">AT505</f>
        <v>0</v>
      </c>
      <c r="AU180" s="8" t="n">
        <f aca="false">AU505</f>
        <v>0</v>
      </c>
      <c r="AV180" s="8" t="n">
        <f aca="false">AV505</f>
        <v>0</v>
      </c>
      <c r="AW180" s="8" t="n">
        <f aca="false">AW505</f>
        <v>0</v>
      </c>
    </row>
    <row r="181" customFormat="false" ht="14.25" hidden="false" customHeight="false" outlineLevel="0" collapsed="false">
      <c r="C181" s="6" t="s">
        <v>160</v>
      </c>
      <c r="D181" s="2" t="s">
        <v>85</v>
      </c>
      <c r="H181" s="8" t="n">
        <f aca="false">SUM(J181:AW181)</f>
        <v>315704.988106025</v>
      </c>
      <c r="J181" s="8" t="n">
        <f aca="false">J506</f>
        <v>0</v>
      </c>
      <c r="K181" s="8" t="n">
        <f aca="false">K506</f>
        <v>0</v>
      </c>
      <c r="L181" s="8" t="n">
        <f aca="false">L506</f>
        <v>0</v>
      </c>
      <c r="M181" s="8" t="n">
        <f aca="false">M506</f>
        <v>0</v>
      </c>
      <c r="N181" s="8" t="n">
        <f aca="false">N506</f>
        <v>0</v>
      </c>
      <c r="O181" s="8" t="n">
        <f aca="false">O506</f>
        <v>5069.771784</v>
      </c>
      <c r="P181" s="8" t="n">
        <f aca="false">P506</f>
        <v>10208.31854868</v>
      </c>
      <c r="Q181" s="8" t="n">
        <f aca="false">Q506</f>
        <v>10240.6875535251</v>
      </c>
      <c r="R181" s="8" t="n">
        <f aca="false">R506</f>
        <v>10272.2251699632</v>
      </c>
      <c r="S181" s="8" t="n">
        <f aca="false">S506</f>
        <v>10302.900354447</v>
      </c>
      <c r="T181" s="8" t="n">
        <f aca="false">T506</f>
        <v>10332.6812323462</v>
      </c>
      <c r="U181" s="8" t="n">
        <f aca="false">U506</f>
        <v>10361.5350771773</v>
      </c>
      <c r="V181" s="8" t="n">
        <f aca="false">V506</f>
        <v>10389.4282893215</v>
      </c>
      <c r="W181" s="8" t="n">
        <f aca="false">W506</f>
        <v>10416.3263742212</v>
      </c>
      <c r="X181" s="8" t="n">
        <f aca="false">X506</f>
        <v>10442.1939200382</v>
      </c>
      <c r="Y181" s="8" t="n">
        <f aca="false">Y506</f>
        <v>10466.9945747646</v>
      </c>
      <c r="Z181" s="8" t="n">
        <f aca="false">Z506</f>
        <v>10490.6910227696</v>
      </c>
      <c r="AA181" s="8" t="n">
        <f aca="false">AA506</f>
        <v>10513.2449607703</v>
      </c>
      <c r="AB181" s="8" t="n">
        <f aca="false">AB506</f>
        <v>10534.6170732123</v>
      </c>
      <c r="AC181" s="8" t="n">
        <f aca="false">AC506</f>
        <v>10554.7670070439</v>
      </c>
      <c r="AD181" s="8" t="n">
        <f aca="false">AD506</f>
        <v>10573.6533458719</v>
      </c>
      <c r="AE181" s="8" t="n">
        <f aca="false">AE506</f>
        <v>10591.2335834807</v>
      </c>
      <c r="AF181" s="8" t="n">
        <f aca="false">AF506</f>
        <v>10607.4640967019</v>
      </c>
      <c r="AG181" s="8" t="n">
        <f aca="false">AG506</f>
        <v>10622.3001176161</v>
      </c>
      <c r="AH181" s="8" t="n">
        <f aca="false">AH506</f>
        <v>10635.6957050725</v>
      </c>
      <c r="AI181" s="8" t="n">
        <f aca="false">AI506</f>
        <v>10647.6037155082</v>
      </c>
      <c r="AJ181" s="8" t="n">
        <f aca="false">AJ506</f>
        <v>10657.9757730504</v>
      </c>
      <c r="AK181" s="8" t="n">
        <f aca="false">AK506</f>
        <v>10666.7622388844</v>
      </c>
      <c r="AL181" s="8" t="n">
        <f aca="false">AL506</f>
        <v>10673.9121798686</v>
      </c>
      <c r="AM181" s="8" t="n">
        <f aca="false">AM506</f>
        <v>10679.3733363789</v>
      </c>
      <c r="AN181" s="8" t="n">
        <f aca="false">AN506</f>
        <v>10683.0920893626</v>
      </c>
      <c r="AO181" s="8" t="n">
        <f aca="false">AO506</f>
        <v>10685.0134265835</v>
      </c>
      <c r="AP181" s="8" t="n">
        <f aca="false">AP506</f>
        <v>10685.0809080371</v>
      </c>
      <c r="AQ181" s="8" t="n">
        <f aca="false">AQ506</f>
        <v>10683.2366305169</v>
      </c>
      <c r="AR181" s="8" t="n">
        <f aca="false">AR506</f>
        <v>10679.4211913102</v>
      </c>
      <c r="AS181" s="8" t="n">
        <f aca="false">AS506</f>
        <v>5336.78682550075</v>
      </c>
      <c r="AT181" s="8" t="n">
        <f aca="false">AT506</f>
        <v>0</v>
      </c>
      <c r="AU181" s="8" t="n">
        <f aca="false">AU506</f>
        <v>0</v>
      </c>
      <c r="AV181" s="8" t="n">
        <f aca="false">AV506</f>
        <v>0</v>
      </c>
      <c r="AW181" s="8" t="n">
        <f aca="false">AW506</f>
        <v>0</v>
      </c>
    </row>
    <row r="182" customFormat="false" ht="14.25" hidden="false" customHeight="false" outlineLevel="0" collapsed="false">
      <c r="C182" s="1" t="s">
        <v>161</v>
      </c>
      <c r="D182" s="2" t="s">
        <v>85</v>
      </c>
      <c r="H182" s="15" t="n">
        <f aca="false">SUM(J182:AW182)</f>
        <v>238904.92885945</v>
      </c>
      <c r="J182" s="15" t="n">
        <f aca="false">J507</f>
        <v>0</v>
      </c>
      <c r="K182" s="15" t="n">
        <f aca="false">K507</f>
        <v>0</v>
      </c>
      <c r="L182" s="15" t="n">
        <f aca="false">L507</f>
        <v>0</v>
      </c>
      <c r="M182" s="15" t="n">
        <f aca="false">M507</f>
        <v>-29757.5797945206</v>
      </c>
      <c r="N182" s="15" t="n">
        <f aca="false">N507</f>
        <v>-31358</v>
      </c>
      <c r="O182" s="15" t="n">
        <f aca="false">O507</f>
        <v>-13109.228216</v>
      </c>
      <c r="P182" s="15" t="n">
        <f aca="false">P507</f>
        <v>10208.31854868</v>
      </c>
      <c r="Q182" s="15" t="n">
        <f aca="false">Q507</f>
        <v>12735.2081014703</v>
      </c>
      <c r="R182" s="15" t="n">
        <f aca="false">R507</f>
        <v>10272.2251699632</v>
      </c>
      <c r="S182" s="15" t="n">
        <f aca="false">S507</f>
        <v>10302.900354447</v>
      </c>
      <c r="T182" s="15" t="n">
        <f aca="false">T507</f>
        <v>10332.6812323462</v>
      </c>
      <c r="U182" s="15" t="n">
        <f aca="false">U507</f>
        <v>10361.5350771773</v>
      </c>
      <c r="V182" s="15" t="n">
        <f aca="false">V507</f>
        <v>10389.4282893215</v>
      </c>
      <c r="W182" s="15" t="n">
        <f aca="false">W507</f>
        <v>10416.3263742212</v>
      </c>
      <c r="X182" s="15" t="n">
        <f aca="false">X507</f>
        <v>10442.1939200382</v>
      </c>
      <c r="Y182" s="15" t="n">
        <f aca="false">Y507</f>
        <v>10466.9945747646</v>
      </c>
      <c r="Z182" s="15" t="n">
        <f aca="false">Z507</f>
        <v>10490.6910227696</v>
      </c>
      <c r="AA182" s="15" t="n">
        <f aca="false">AA507</f>
        <v>10513.2449607703</v>
      </c>
      <c r="AB182" s="15" t="n">
        <f aca="false">AB507</f>
        <v>10534.6170732123</v>
      </c>
      <c r="AC182" s="15" t="n">
        <f aca="false">AC507</f>
        <v>10554.7670070439</v>
      </c>
      <c r="AD182" s="15" t="n">
        <f aca="false">AD507</f>
        <v>10573.6533458719</v>
      </c>
      <c r="AE182" s="15" t="n">
        <f aca="false">AE507</f>
        <v>10591.2335834807</v>
      </c>
      <c r="AF182" s="15" t="n">
        <f aca="false">AF507</f>
        <v>10607.4640967019</v>
      </c>
      <c r="AG182" s="15" t="n">
        <f aca="false">AG507</f>
        <v>10622.3001176161</v>
      </c>
      <c r="AH182" s="15" t="n">
        <f aca="false">AH507</f>
        <v>10635.6957050725</v>
      </c>
      <c r="AI182" s="15" t="n">
        <f aca="false">AI507</f>
        <v>10647.6037155082</v>
      </c>
      <c r="AJ182" s="15" t="n">
        <f aca="false">AJ507</f>
        <v>10657.9757730504</v>
      </c>
      <c r="AK182" s="15" t="n">
        <f aca="false">AK507</f>
        <v>10666.7622388844</v>
      </c>
      <c r="AL182" s="15" t="n">
        <f aca="false">AL507</f>
        <v>10673.9121798686</v>
      </c>
      <c r="AM182" s="15" t="n">
        <f aca="false">AM507</f>
        <v>10679.3733363789</v>
      </c>
      <c r="AN182" s="15" t="n">
        <f aca="false">AN507</f>
        <v>10683.0920893626</v>
      </c>
      <c r="AO182" s="15" t="n">
        <f aca="false">AO507</f>
        <v>10685.0134265835</v>
      </c>
      <c r="AP182" s="15" t="n">
        <f aca="false">AP507</f>
        <v>10685.0809080371</v>
      </c>
      <c r="AQ182" s="15" t="n">
        <f aca="false">AQ507</f>
        <v>10683.2366305169</v>
      </c>
      <c r="AR182" s="15" t="n">
        <f aca="false">AR507</f>
        <v>10679.4211913102</v>
      </c>
      <c r="AS182" s="15" t="n">
        <f aca="false">AS507</f>
        <v>5336.78682550075</v>
      </c>
      <c r="AT182" s="15" t="n">
        <f aca="false">AT507</f>
        <v>0</v>
      </c>
      <c r="AU182" s="15" t="n">
        <f aca="false">AU507</f>
        <v>0</v>
      </c>
      <c r="AV182" s="15" t="n">
        <f aca="false">AV507</f>
        <v>0</v>
      </c>
      <c r="AW182" s="15" t="n">
        <f aca="false">AW507</f>
        <v>0</v>
      </c>
    </row>
    <row r="183" customFormat="false" ht="14.25" hidden="false" customHeight="false" outlineLevel="0" collapsed="false">
      <c r="C183" s="1" t="s">
        <v>162</v>
      </c>
      <c r="D183" s="2" t="s">
        <v>85</v>
      </c>
      <c r="H183" s="15" t="n">
        <f aca="false">SUM(J183:AW183)</f>
        <v>201928.019273683</v>
      </c>
      <c r="J183" s="15" t="n">
        <f aca="false">J512</f>
        <v>0</v>
      </c>
      <c r="K183" s="15" t="n">
        <f aca="false">K512</f>
        <v>0</v>
      </c>
      <c r="L183" s="15" t="n">
        <f aca="false">L512</f>
        <v>0</v>
      </c>
      <c r="M183" s="15" t="n">
        <f aca="false">M512</f>
        <v>-29757.5797945206</v>
      </c>
      <c r="N183" s="15" t="n">
        <f aca="false">N512</f>
        <v>-31358</v>
      </c>
      <c r="O183" s="15" t="n">
        <f aca="false">O512</f>
        <v>-13610.2230178466</v>
      </c>
      <c r="P183" s="15" t="n">
        <f aca="false">P512</f>
        <v>9196.01269788485</v>
      </c>
      <c r="Q183" s="15" t="n">
        <f aca="false">Q512</f>
        <v>11718.0468999483</v>
      </c>
      <c r="R183" s="15" t="n">
        <f aca="false">R512</f>
        <v>9250.33332597553</v>
      </c>
      <c r="S183" s="15" t="n">
        <f aca="false">S512</f>
        <v>9276.40723278677</v>
      </c>
      <c r="T183" s="15" t="n">
        <f aca="false">T512</f>
        <v>9301.72097900116</v>
      </c>
      <c r="U183" s="15" t="n">
        <f aca="false">U512</f>
        <v>9326.24674710753</v>
      </c>
      <c r="V183" s="15" t="n">
        <f aca="false">V512</f>
        <v>9349.95597743015</v>
      </c>
      <c r="W183" s="15" t="n">
        <f aca="false">W512</f>
        <v>9372.81934959485</v>
      </c>
      <c r="X183" s="15" t="n">
        <f aca="false">X512</f>
        <v>9394.80676353933</v>
      </c>
      <c r="Y183" s="15" t="n">
        <f aca="false">Y512</f>
        <v>9415.88732005677</v>
      </c>
      <c r="Z183" s="15" t="n">
        <f aca="false">Z512</f>
        <v>9436.02930086098</v>
      </c>
      <c r="AA183" s="15" t="n">
        <f aca="false">AA512</f>
        <v>9455.20014816163</v>
      </c>
      <c r="AB183" s="15" t="n">
        <f aca="false">AB512</f>
        <v>9473.36644373728</v>
      </c>
      <c r="AC183" s="15" t="n">
        <f aca="false">AC512</f>
        <v>9490.49388749417</v>
      </c>
      <c r="AD183" s="15" t="n">
        <f aca="false">AD512</f>
        <v>9506.54727549794</v>
      </c>
      <c r="AE183" s="15" t="n">
        <f aca="false">AE512</f>
        <v>9521.49047746544</v>
      </c>
      <c r="AF183" s="15" t="n">
        <f aca="false">AF512</f>
        <v>9535.28641370342</v>
      </c>
      <c r="AG183" s="15" t="n">
        <f aca="false">AG512</f>
        <v>9547.89703148051</v>
      </c>
      <c r="AH183" s="15" t="n">
        <f aca="false">AH512</f>
        <v>9559.2832808185</v>
      </c>
      <c r="AI183" s="15" t="n">
        <f aca="false">AI512</f>
        <v>9309.93412393542</v>
      </c>
      <c r="AJ183" s="15" t="n">
        <f aca="false">AJ512</f>
        <v>9059.27940709287</v>
      </c>
      <c r="AK183" s="15" t="n">
        <f aca="false">AK512</f>
        <v>9066.74790305173</v>
      </c>
      <c r="AL183" s="15" t="n">
        <f aca="false">AL512</f>
        <v>9072.8253528883</v>
      </c>
      <c r="AM183" s="15" t="n">
        <f aca="false">AM512</f>
        <v>9077.46733592206</v>
      </c>
      <c r="AN183" s="15" t="n">
        <f aca="false">AN512</f>
        <v>9080.62827595824</v>
      </c>
      <c r="AO183" s="15" t="n">
        <f aca="false">AO512</f>
        <v>9082.26141259599</v>
      </c>
      <c r="AP183" s="15" t="n">
        <f aca="false">AP512</f>
        <v>9082.31877183154</v>
      </c>
      <c r="AQ183" s="15" t="n">
        <f aca="false">AQ512</f>
        <v>9080.75113593939</v>
      </c>
      <c r="AR183" s="15" t="n">
        <f aca="false">AR512</f>
        <v>9077.50801261365</v>
      </c>
      <c r="AS183" s="15" t="n">
        <f aca="false">AS512</f>
        <v>4536.26880167564</v>
      </c>
      <c r="AT183" s="15" t="n">
        <f aca="false">AT512</f>
        <v>0</v>
      </c>
      <c r="AU183" s="15" t="n">
        <f aca="false">AU512</f>
        <v>0</v>
      </c>
      <c r="AV183" s="15" t="n">
        <f aca="false">AV512</f>
        <v>0</v>
      </c>
      <c r="AW183" s="15" t="n">
        <f aca="false">AW512</f>
        <v>0</v>
      </c>
    </row>
    <row r="184" customFormat="false" ht="14.25" hidden="false" customHeight="false" outlineLevel="0" collapsed="false">
      <c r="C184" s="1" t="s">
        <v>163</v>
      </c>
      <c r="D184" s="2" t="s">
        <v>85</v>
      </c>
      <c r="H184" s="15" t="n">
        <f aca="false">SUM(J184:AW184)</f>
        <v>179778.560678166</v>
      </c>
      <c r="J184" s="15" t="n">
        <f aca="false">J523</f>
        <v>0</v>
      </c>
      <c r="K184" s="15" t="n">
        <f aca="false">K523</f>
        <v>0</v>
      </c>
      <c r="L184" s="15" t="n">
        <f aca="false">L523</f>
        <v>0</v>
      </c>
      <c r="M184" s="15" t="n">
        <f aca="false">M523</f>
        <v>-19043.9715296233</v>
      </c>
      <c r="N184" s="15" t="n">
        <f aca="false">N523</f>
        <v>-8317.9822260274</v>
      </c>
      <c r="O184" s="15" t="n">
        <f aca="false">O523</f>
        <v>-3110.4310678956</v>
      </c>
      <c r="P184" s="15" t="n">
        <f aca="false">P523</f>
        <v>4911.50835276352</v>
      </c>
      <c r="Q184" s="15" t="n">
        <f aca="false">Q523</f>
        <v>7416.71202629414</v>
      </c>
      <c r="R184" s="15" t="n">
        <f aca="false">R523</f>
        <v>4931.3263973618</v>
      </c>
      <c r="S184" s="15" t="n">
        <f aca="false">S523</f>
        <v>4938.84464646554</v>
      </c>
      <c r="T184" s="15" t="n">
        <f aca="false">T523</f>
        <v>4944.67495208705</v>
      </c>
      <c r="U184" s="15" t="n">
        <f aca="false">U523</f>
        <v>4948.7431075709</v>
      </c>
      <c r="V184" s="15" t="n">
        <f aca="false">V523</f>
        <v>4950.97184463988</v>
      </c>
      <c r="W184" s="15" t="n">
        <f aca="false">W523</f>
        <v>4951.28069888825</v>
      </c>
      <c r="X184" s="15" t="n">
        <f aca="false">X523</f>
        <v>4949.58586902059</v>
      </c>
      <c r="Y184" s="15" t="n">
        <f aca="false">Y523</f>
        <v>4945.80006953527</v>
      </c>
      <c r="Z184" s="15" t="n">
        <f aca="false">Z523</f>
        <v>4939.8323765366</v>
      </c>
      <c r="AA184" s="15" t="n">
        <f aca="false">AA523</f>
        <v>4931.58806634421</v>
      </c>
      <c r="AB184" s="15" t="n">
        <f aca="false">AB523</f>
        <v>4920.96844655218</v>
      </c>
      <c r="AC184" s="15" t="n">
        <f aca="false">AC523</f>
        <v>4907.870679173</v>
      </c>
      <c r="AD184" s="15" t="n">
        <f aca="false">AD523</f>
        <v>4892.18759548389</v>
      </c>
      <c r="AE184" s="15" t="n">
        <f aca="false">AE523</f>
        <v>9539.06884102607</v>
      </c>
      <c r="AF184" s="15" t="n">
        <f aca="false">AF523</f>
        <v>9552.86477726406</v>
      </c>
      <c r="AG184" s="15" t="n">
        <f aca="false">AG523</f>
        <v>9565.47539504115</v>
      </c>
      <c r="AH184" s="15" t="n">
        <f aca="false">AH523</f>
        <v>9576.86164437914</v>
      </c>
      <c r="AI184" s="15" t="n">
        <f aca="false">AI523</f>
        <v>9318.72330571574</v>
      </c>
      <c r="AJ184" s="15" t="n">
        <f aca="false">AJ523</f>
        <v>9059.27940709287</v>
      </c>
      <c r="AK184" s="15" t="n">
        <f aca="false">AK523</f>
        <v>9066.74790305173</v>
      </c>
      <c r="AL184" s="15" t="n">
        <f aca="false">AL523</f>
        <v>9072.8253528883</v>
      </c>
      <c r="AM184" s="15" t="n">
        <f aca="false">AM523</f>
        <v>9077.46733592206</v>
      </c>
      <c r="AN184" s="15" t="n">
        <f aca="false">AN523</f>
        <v>9080.62827595824</v>
      </c>
      <c r="AO184" s="15" t="n">
        <f aca="false">AO523</f>
        <v>9082.26141259599</v>
      </c>
      <c r="AP184" s="15" t="n">
        <f aca="false">AP523</f>
        <v>9082.31877183154</v>
      </c>
      <c r="AQ184" s="15" t="n">
        <f aca="false">AQ523</f>
        <v>9080.75113593939</v>
      </c>
      <c r="AR184" s="15" t="n">
        <f aca="false">AR523</f>
        <v>9077.50801261365</v>
      </c>
      <c r="AS184" s="15" t="n">
        <f aca="false">AS523</f>
        <v>4536.26880167564</v>
      </c>
      <c r="AT184" s="15" t="n">
        <f aca="false">AT523</f>
        <v>0</v>
      </c>
      <c r="AU184" s="15" t="n">
        <f aca="false">AU523</f>
        <v>0</v>
      </c>
      <c r="AV184" s="15" t="n">
        <f aca="false">AV523</f>
        <v>0</v>
      </c>
      <c r="AW184" s="15" t="n">
        <f aca="false">AW523</f>
        <v>0</v>
      </c>
    </row>
    <row r="185" customFormat="false" ht="14.25" hidden="false" customHeight="false" outlineLevel="0" collapsed="false">
      <c r="C185" s="6" t="s">
        <v>164</v>
      </c>
      <c r="D185" s="2" t="s">
        <v>85</v>
      </c>
      <c r="J185" s="8" t="n">
        <f aca="false">SUM($J182:J182)</f>
        <v>0</v>
      </c>
      <c r="K185" s="8" t="n">
        <f aca="false">SUM($J182:K182)</f>
        <v>0</v>
      </c>
      <c r="L185" s="8" t="n">
        <f aca="false">SUM($J182:L182)</f>
        <v>0</v>
      </c>
      <c r="M185" s="8" t="n">
        <f aca="false">SUM($J182:M182)</f>
        <v>-29757.5797945206</v>
      </c>
      <c r="N185" s="8" t="n">
        <f aca="false">SUM($J182:N182)</f>
        <v>-61115.5797945206</v>
      </c>
      <c r="O185" s="8" t="n">
        <f aca="false">SUM($J182:O182)</f>
        <v>-74224.8080105205</v>
      </c>
      <c r="P185" s="8" t="n">
        <f aca="false">SUM($J182:P182)</f>
        <v>-64016.4894618405</v>
      </c>
      <c r="Q185" s="8" t="n">
        <f aca="false">SUM($J182:Q182)</f>
        <v>-51281.2813603703</v>
      </c>
      <c r="R185" s="8" t="n">
        <f aca="false">SUM($J182:R182)</f>
        <v>-41009.0561904071</v>
      </c>
      <c r="S185" s="8" t="n">
        <f aca="false">SUM($J182:S182)</f>
        <v>-30706.1558359602</v>
      </c>
      <c r="T185" s="8" t="n">
        <f aca="false">SUM($J182:T182)</f>
        <v>-20373.4746036139</v>
      </c>
      <c r="U185" s="8" t="n">
        <f aca="false">SUM($J182:U182)</f>
        <v>-10011.9395264367</v>
      </c>
      <c r="V185" s="8" t="n">
        <f aca="false">SUM($J182:V182)</f>
        <v>377.488762884879</v>
      </c>
      <c r="W185" s="8" t="n">
        <f aca="false">SUM($J182:W182)</f>
        <v>10793.8151371061</v>
      </c>
      <c r="X185" s="8" t="n">
        <f aca="false">SUM($J182:X182)</f>
        <v>21236.0090571443</v>
      </c>
      <c r="Y185" s="8" t="n">
        <f aca="false">SUM($J182:Y182)</f>
        <v>31703.0036319089</v>
      </c>
      <c r="Z185" s="8" t="n">
        <f aca="false">SUM($J182:Z182)</f>
        <v>42193.6946546785</v>
      </c>
      <c r="AA185" s="8" t="n">
        <f aca="false">SUM($J182:AA182)</f>
        <v>52706.9396154488</v>
      </c>
      <c r="AB185" s="8" t="n">
        <f aca="false">SUM($J182:AB182)</f>
        <v>63241.5566886611</v>
      </c>
      <c r="AC185" s="8" t="n">
        <f aca="false">SUM($J182:AC182)</f>
        <v>73796.323695705</v>
      </c>
      <c r="AD185" s="8" t="n">
        <f aca="false">SUM($J182:AD182)</f>
        <v>84369.9770415768</v>
      </c>
      <c r="AE185" s="8" t="n">
        <f aca="false">SUM($J182:AE182)</f>
        <v>94961.2106250575</v>
      </c>
      <c r="AF185" s="8" t="n">
        <f aca="false">SUM($J182:AF182)</f>
        <v>105568.674721759</v>
      </c>
      <c r="AG185" s="8" t="n">
        <f aca="false">SUM($J182:AG182)</f>
        <v>116190.974839375</v>
      </c>
      <c r="AH185" s="8" t="n">
        <f aca="false">SUM($J182:AH182)</f>
        <v>126826.670544448</v>
      </c>
      <c r="AI185" s="8" t="n">
        <f aca="false">SUM($J182:AI182)</f>
        <v>137474.274259956</v>
      </c>
      <c r="AJ185" s="8" t="n">
        <f aca="false">SUM($J182:AJ182)</f>
        <v>148132.250033007</v>
      </c>
      <c r="AK185" s="8" t="n">
        <f aca="false">SUM($J182:AK182)</f>
        <v>158799.012271891</v>
      </c>
      <c r="AL185" s="8" t="n">
        <f aca="false">SUM($J182:AL182)</f>
        <v>169472.92445176</v>
      </c>
      <c r="AM185" s="8" t="n">
        <f aca="false">SUM($J182:AM182)</f>
        <v>180152.297788139</v>
      </c>
      <c r="AN185" s="8" t="n">
        <f aca="false">SUM($J182:AN182)</f>
        <v>190835.389877501</v>
      </c>
      <c r="AO185" s="8" t="n">
        <f aca="false">SUM($J182:AO182)</f>
        <v>201520.403304085</v>
      </c>
      <c r="AP185" s="8" t="n">
        <f aca="false">SUM($J182:AP182)</f>
        <v>212205.484212122</v>
      </c>
      <c r="AQ185" s="8" t="n">
        <f aca="false">SUM($J182:AQ182)</f>
        <v>222888.720842639</v>
      </c>
      <c r="AR185" s="8" t="n">
        <f aca="false">SUM($J182:AR182)</f>
        <v>233568.142033949</v>
      </c>
      <c r="AS185" s="8" t="n">
        <f aca="false">SUM($J182:AS182)</f>
        <v>238904.92885945</v>
      </c>
      <c r="AT185" s="8" t="n">
        <f aca="false">SUM($J182:AT182)</f>
        <v>238904.92885945</v>
      </c>
      <c r="AU185" s="8" t="n">
        <f aca="false">SUM($J182:AU182)</f>
        <v>238904.92885945</v>
      </c>
      <c r="AV185" s="8" t="n">
        <f aca="false">SUM($J182:AV182)</f>
        <v>238904.92885945</v>
      </c>
      <c r="AW185" s="8" t="n">
        <f aca="false">SUM($J182:AW182)</f>
        <v>238904.92885945</v>
      </c>
    </row>
    <row r="187" customFormat="false" ht="14.25" hidden="false" customHeight="false" outlineLevel="0" collapsed="false">
      <c r="B187" s="4" t="s">
        <v>3</v>
      </c>
      <c r="C187" s="4" t="s">
        <v>165</v>
      </c>
      <c r="D187" s="4"/>
      <c r="E187" s="5" t="s">
        <v>5</v>
      </c>
      <c r="F187" s="5" t="s">
        <v>6</v>
      </c>
      <c r="G187" s="5" t="s">
        <v>7</v>
      </c>
      <c r="H187" s="5" t="s">
        <v>8</v>
      </c>
    </row>
    <row r="189" customFormat="false" ht="14.25" hidden="false" customHeight="false" outlineLevel="0" collapsed="false">
      <c r="B189" s="4" t="s">
        <v>3</v>
      </c>
      <c r="C189" s="4" t="s">
        <v>166</v>
      </c>
      <c r="D189" s="4"/>
      <c r="E189" s="5" t="s">
        <v>5</v>
      </c>
      <c r="F189" s="5" t="s">
        <v>6</v>
      </c>
      <c r="G189" s="5" t="s">
        <v>7</v>
      </c>
      <c r="H189" s="5" t="s">
        <v>8</v>
      </c>
    </row>
    <row r="190" customFormat="false" ht="14.25" hidden="false" customHeight="false" outlineLevel="0" collapsed="false">
      <c r="C190" s="55" t="s">
        <v>167</v>
      </c>
      <c r="D190" s="56" t="s">
        <v>168</v>
      </c>
      <c r="E190" s="57" t="n">
        <f aca="false">MIN(Freeze_Date,Sale_Date)</f>
        <v>47299</v>
      </c>
      <c r="F190" s="57" t="n">
        <f aca="false">MIN(Freeze_Date,Sale_Date)</f>
        <v>47299</v>
      </c>
      <c r="G190" s="57" t="n">
        <f aca="false">MIN(Freeze_Date,Sale_Date)</f>
        <v>47299</v>
      </c>
      <c r="H190" s="58"/>
    </row>
    <row r="191" customFormat="false" ht="14.25" hidden="false" customHeight="false" outlineLevel="0" collapsed="false">
      <c r="C191" s="55" t="s">
        <v>169</v>
      </c>
      <c r="D191" s="56" t="s">
        <v>168</v>
      </c>
      <c r="E191" s="57" t="n">
        <f aca="false">DATE(YEAR(E190),1,1)</f>
        <v>47119</v>
      </c>
      <c r="F191" s="57" t="n">
        <f aca="false">DATE(YEAR(F190),1,1)</f>
        <v>47119</v>
      </c>
      <c r="G191" s="57" t="n">
        <f aca="false">DATE(YEAR(G190),1,1)</f>
        <v>47119</v>
      </c>
      <c r="H191" s="58"/>
    </row>
    <row r="192" customFormat="false" ht="14.25" hidden="false" customHeight="false" outlineLevel="0" collapsed="false">
      <c r="C192" s="55" t="s">
        <v>170</v>
      </c>
      <c r="D192" s="56" t="s">
        <v>3</v>
      </c>
      <c r="E192" s="59" t="n">
        <f aca="false">1+Rate_Cash*(DATE(YEAR(Inputs!E$21)+1,1,1)-Inputs!E$21)*(Inputs!E$21&lt;E191)/Days_In_Year</f>
        <v>1.02071232876712</v>
      </c>
      <c r="F192" s="59" t="n">
        <f aca="false">1+Rate_Cash*(DATE(YEAR(Inputs!F$21)+1,1,1)-Inputs!F$21)*(Inputs!F$21&lt;F191)/Days_In_Year</f>
        <v>1.02071232876712</v>
      </c>
      <c r="G192" s="59" t="n">
        <f aca="false">1+Rate_Cash*(DATE(YEAR(Inputs!G$21)+1,1,1)-Inputs!G$21)*(Inputs!G$21&lt;G191)/Days_In_Year</f>
        <v>1.02071232876712</v>
      </c>
      <c r="H192" s="58"/>
    </row>
    <row r="193" customFormat="false" ht="14.25" hidden="false" customHeight="false" outlineLevel="0" collapsed="false">
      <c r="C193" s="55" t="s">
        <v>171</v>
      </c>
      <c r="D193" s="56" t="s">
        <v>3</v>
      </c>
      <c r="E193" s="59" t="n">
        <f aca="false">1+Rate_Cash*MAX(0,E190-MAX(Inputs!E$21,E191)+1)/Days_In_Year</f>
        <v>1.05950684931507</v>
      </c>
      <c r="F193" s="59" t="n">
        <f aca="false">1+Rate_Cash*MAX(0,F190-MAX(Inputs!F$21,F191)+1)/Days_In_Year</f>
        <v>1.05950684931507</v>
      </c>
      <c r="G193" s="59" t="n">
        <f aca="false">1+Rate_Cash*MAX(0,G190-MAX(Inputs!G$21,G191)+1)/Days_In_Year</f>
        <v>1.05950684931507</v>
      </c>
      <c r="H193" s="58"/>
    </row>
    <row r="194" customFormat="false" ht="14.25" hidden="false" customHeight="false" outlineLevel="0" collapsed="false">
      <c r="C194" s="55" t="s">
        <v>172</v>
      </c>
      <c r="D194" s="56" t="s">
        <v>3</v>
      </c>
      <c r="E194" s="59" t="n">
        <f aca="false">E192*(1+Rate_Cash)^MAX(0,YEAR(E191)-YEAR(Inputs!E$21)-1)*E193</f>
        <v>1.35657301688182</v>
      </c>
      <c r="F194" s="59" t="n">
        <f aca="false">F192*(1+Rate_Cash)^MAX(0,YEAR(F191)-YEAR(Inputs!F$21)-1)*F193</f>
        <v>1.35657301688182</v>
      </c>
      <c r="G194" s="59" t="n">
        <f aca="false">G192*(1+Rate_Cash)^MAX(0,YEAR(G191)-YEAR(Inputs!G$21)-1)*G193</f>
        <v>1.35657301688182</v>
      </c>
      <c r="H194" s="58"/>
    </row>
    <row r="195" customFormat="false" ht="14.25" hidden="false" customHeight="false" outlineLevel="0" collapsed="false">
      <c r="C195" s="55" t="s">
        <v>173</v>
      </c>
      <c r="D195" s="56" t="s">
        <v>3</v>
      </c>
      <c r="E195" s="59" t="n">
        <f aca="false">1+Rate_Cash*(DATE(YEAR(Inputs!E$22)+1,1,1)-Inputs!E$22)*(Inputs!E$22&lt;E191)/Days_In_Year</f>
        <v>1.11539726027397</v>
      </c>
      <c r="F195" s="59" t="n">
        <f aca="false">1+Rate_Cash*(DATE(YEAR(Inputs!F$22)+1,1,1)-Inputs!F$22)*(Inputs!F$22&lt;F191)/Days_In_Year</f>
        <v>1.11539726027397</v>
      </c>
      <c r="G195" s="59" t="n">
        <f aca="false">1+Rate_Cash*(DATE(YEAR(Inputs!G$22)+1,1,1)-Inputs!G$22)*(Inputs!G$22&lt;G191)/Days_In_Year</f>
        <v>1.11539726027397</v>
      </c>
      <c r="H195" s="58"/>
    </row>
    <row r="196" customFormat="false" ht="14.25" hidden="false" customHeight="false" outlineLevel="0" collapsed="false">
      <c r="C196" s="55" t="s">
        <v>174</v>
      </c>
      <c r="D196" s="56" t="s">
        <v>3</v>
      </c>
      <c r="E196" s="59" t="n">
        <f aca="false">1+Rate_Cash*MAX(0,E190-MAX(Inputs!E$22,E191)+1)/Days_In_Year</f>
        <v>1.05950684931507</v>
      </c>
      <c r="F196" s="59" t="n">
        <f aca="false">1+Rate_Cash*MAX(0,F190-MAX(Inputs!F$22,F191)+1)/Days_In_Year</f>
        <v>1.05950684931507</v>
      </c>
      <c r="G196" s="59" t="n">
        <f aca="false">1+Rate_Cash*MAX(0,G190-MAX(Inputs!G$22,G191)+1)/Days_In_Year</f>
        <v>1.05950684931507</v>
      </c>
      <c r="H196" s="58"/>
    </row>
    <row r="197" customFormat="false" ht="14.25" hidden="false" customHeight="false" outlineLevel="0" collapsed="false">
      <c r="C197" s="55" t="s">
        <v>175</v>
      </c>
      <c r="D197" s="56" t="s">
        <v>3</v>
      </c>
      <c r="E197" s="59" t="n">
        <f aca="false">E195*(1+Rate_Cash)^MAX(0,YEAR(E191)-YEAR(Inputs!E$22)-1)*E196</f>
        <v>1.32358356140364</v>
      </c>
      <c r="F197" s="59" t="n">
        <f aca="false">F195*(1+Rate_Cash)^MAX(0,YEAR(F191)-YEAR(Inputs!F$22)-1)*F196</f>
        <v>1.32358356140364</v>
      </c>
      <c r="G197" s="59" t="n">
        <f aca="false">G195*(1+Rate_Cash)^MAX(0,YEAR(G191)-YEAR(Inputs!G$22)-1)*G196</f>
        <v>1.32358356140364</v>
      </c>
      <c r="H197" s="58"/>
    </row>
    <row r="198" customFormat="false" ht="14.25" hidden="false" customHeight="false" outlineLevel="0" collapsed="false">
      <c r="C198" s="55" t="s">
        <v>176</v>
      </c>
      <c r="D198" s="56" t="s">
        <v>3</v>
      </c>
      <c r="E198" s="59" t="n">
        <f aca="false">1+Rate_Cash*(DATE(YEAR(Inputs!E$23)+1,1,1)-Inputs!E$23)*(Inputs!E$23&lt;E191)/Days_In_Year</f>
        <v>1.11539726027397</v>
      </c>
      <c r="F198" s="59" t="n">
        <f aca="false">1+Rate_Cash*(DATE(YEAR(Inputs!F$23)+1,1,1)-Inputs!F$23)*(Inputs!F$23&lt;F191)/Days_In_Year</f>
        <v>1.11539726027397</v>
      </c>
      <c r="G198" s="59" t="n">
        <f aca="false">1+Rate_Cash*(DATE(YEAR(Inputs!G$23)+1,1,1)-Inputs!G$23)*(Inputs!G$23&lt;G191)/Days_In_Year</f>
        <v>1.11539726027397</v>
      </c>
      <c r="H198" s="58"/>
    </row>
    <row r="199" customFormat="false" ht="14.25" hidden="false" customHeight="false" outlineLevel="0" collapsed="false">
      <c r="C199" s="55" t="s">
        <v>177</v>
      </c>
      <c r="D199" s="56" t="s">
        <v>3</v>
      </c>
      <c r="E199" s="59" t="n">
        <f aca="false">1+Rate_Cash*MAX(0,E190-MAX(Inputs!E$23,E191)+1)/Days_In_Year</f>
        <v>1.05950684931507</v>
      </c>
      <c r="F199" s="59" t="n">
        <f aca="false">1+Rate_Cash*MAX(0,F190-MAX(Inputs!F$23,F191)+1)/Days_In_Year</f>
        <v>1.05950684931507</v>
      </c>
      <c r="G199" s="59" t="n">
        <f aca="false">1+Rate_Cash*MAX(0,G190-MAX(Inputs!G$23,G191)+1)/Days_In_Year</f>
        <v>1.05950684931507</v>
      </c>
      <c r="H199" s="58"/>
    </row>
    <row r="200" customFormat="false" ht="14.25" hidden="false" customHeight="false" outlineLevel="0" collapsed="false">
      <c r="C200" s="55" t="s">
        <v>178</v>
      </c>
      <c r="D200" s="56" t="s">
        <v>3</v>
      </c>
      <c r="E200" s="59" t="n">
        <f aca="false">E198*(1+Rate_Cash)^MAX(0,YEAR(E191)-YEAR(Inputs!E$23)-1)*E199</f>
        <v>1.32358356140364</v>
      </c>
      <c r="F200" s="59" t="n">
        <f aca="false">F198*(1+Rate_Cash)^MAX(0,YEAR(F191)-YEAR(Inputs!F$23)-1)*F199</f>
        <v>1.32358356140364</v>
      </c>
      <c r="G200" s="59" t="n">
        <f aca="false">G198*(1+Rate_Cash)^MAX(0,YEAR(G191)-YEAR(Inputs!G$23)-1)*G199</f>
        <v>1.32358356140364</v>
      </c>
      <c r="H200" s="58"/>
    </row>
    <row r="201" customFormat="false" ht="14.25" hidden="false" customHeight="false" outlineLevel="0" collapsed="false">
      <c r="C201" s="55" t="s">
        <v>179</v>
      </c>
      <c r="D201" s="56" t="s">
        <v>3</v>
      </c>
      <c r="E201" s="59" t="n">
        <f aca="false">1+Rate_Cash*(DATE(YEAR(Inputs!E$24)+1,1,1)-Inputs!E$24)*(Inputs!E$24&lt;E191)/Days_In_Year</f>
        <v>1.03024657534247</v>
      </c>
      <c r="F201" s="59" t="n">
        <f aca="false">1+Rate_Cash*(DATE(YEAR(Inputs!F$24)+1,1,1)-Inputs!F$24)*(Inputs!F$24&lt;F191)/Days_In_Year</f>
        <v>1.03024657534247</v>
      </c>
      <c r="G201" s="59" t="n">
        <f aca="false">1+Rate_Cash*(DATE(YEAR(Inputs!G$24)+1,1,1)-Inputs!G$24)*(Inputs!G$24&lt;G191)/Days_In_Year</f>
        <v>1.03024657534247</v>
      </c>
      <c r="H201" s="58"/>
    </row>
    <row r="202" customFormat="false" ht="14.25" hidden="false" customHeight="false" outlineLevel="0" collapsed="false">
      <c r="C202" s="55" t="s">
        <v>180</v>
      </c>
      <c r="D202" s="56" t="s">
        <v>3</v>
      </c>
      <c r="E202" s="59" t="n">
        <f aca="false">1+Rate_Cash*MAX(0,E190-MAX(Inputs!E$24,E191)+1)/Days_In_Year</f>
        <v>1.05950684931507</v>
      </c>
      <c r="F202" s="59" t="n">
        <f aca="false">1+Rate_Cash*MAX(0,F190-MAX(Inputs!F$24,F191)+1)/Days_In_Year</f>
        <v>1.05950684931507</v>
      </c>
      <c r="G202" s="59" t="n">
        <f aca="false">1+Rate_Cash*MAX(0,G190-MAX(Inputs!G$24,G191)+1)/Days_In_Year</f>
        <v>1.05950684931507</v>
      </c>
      <c r="H202" s="58"/>
    </row>
    <row r="203" customFormat="false" ht="14.25" hidden="false" customHeight="false" outlineLevel="0" collapsed="false">
      <c r="C203" s="55" t="s">
        <v>181</v>
      </c>
      <c r="D203" s="56" t="s">
        <v>3</v>
      </c>
      <c r="E203" s="59" t="n">
        <f aca="false">E201*(1+Rate_Cash)^MAX(0,YEAR(E191)-YEAR(Inputs!E$24)-1)*E202</f>
        <v>1.09155330305874</v>
      </c>
      <c r="F203" s="59" t="n">
        <f aca="false">F201*(1+Rate_Cash)^MAX(0,YEAR(F191)-YEAR(Inputs!F$24)-1)*F202</f>
        <v>1.09155330305874</v>
      </c>
      <c r="G203" s="59" t="n">
        <f aca="false">G201*(1+Rate_Cash)^MAX(0,YEAR(G191)-YEAR(Inputs!G$24)-1)*G202</f>
        <v>1.09155330305874</v>
      </c>
      <c r="H203" s="58"/>
    </row>
    <row r="204" customFormat="false" ht="14.25" hidden="false" customHeight="false" outlineLevel="0" collapsed="false">
      <c r="C204" s="55" t="s">
        <v>182</v>
      </c>
      <c r="D204" s="56" t="s">
        <v>3</v>
      </c>
      <c r="E204" s="59" t="n">
        <f aca="false">1+Rate_Devex*(DATE(YEAR($J$56)+1,1,1)-$J$56)*($J$56&lt;E191)/Days_In_Year</f>
        <v>1.1325058269474</v>
      </c>
      <c r="F204" s="59" t="n">
        <f aca="false">1+Rate_Devex*(DATE(YEAR($J$56)+1,1,1)-$J$56)*($J$56&lt;F191)/Days_In_Year</f>
        <v>1.1325058269474</v>
      </c>
      <c r="G204" s="59" t="n">
        <f aca="false">1+Rate_Devex*(DATE(YEAR($J$56)+1,1,1)-$J$56)*($J$56&lt;G191)/Days_In_Year</f>
        <v>1.1325058269474</v>
      </c>
      <c r="H204" s="58"/>
    </row>
    <row r="205" customFormat="false" ht="14.25" hidden="false" customHeight="false" outlineLevel="0" collapsed="false">
      <c r="C205" s="55" t="s">
        <v>183</v>
      </c>
      <c r="D205" s="56" t="s">
        <v>3</v>
      </c>
      <c r="E205" s="59" t="n">
        <f aca="false">1+Rate_Devex*MAX(0,E190-MAX($J$56,E191)+1)/Days_In_Year</f>
        <v>1.09917808219178</v>
      </c>
      <c r="F205" s="59" t="n">
        <f aca="false">1+Rate_Devex*MAX(0,F190-MAX($J$56,F191)+1)/Days_In_Year</f>
        <v>1.09917808219178</v>
      </c>
      <c r="G205" s="59" t="n">
        <f aca="false">1+Rate_Devex*MAX(0,G190-MAX($J$56,G191)+1)/Days_In_Year</f>
        <v>1.09917808219178</v>
      </c>
      <c r="H205" s="58"/>
    </row>
    <row r="206" customFormat="false" ht="14.25" hidden="false" customHeight="false" outlineLevel="0" collapsed="false">
      <c r="C206" s="55" t="s">
        <v>184</v>
      </c>
      <c r="D206" s="56" t="s">
        <v>3</v>
      </c>
      <c r="E206" s="59" t="n">
        <f aca="false">E204*(1+Rate_Devex)^MAX(0,YEAR(E191)-YEAR($J$56)-1)*E205</f>
        <v>1.24482558293506</v>
      </c>
      <c r="F206" s="59" t="n">
        <f aca="false">F204*(1+Rate_Devex)^MAX(0,YEAR(F191)-YEAR($J$56)-1)*F205</f>
        <v>1.24482558293506</v>
      </c>
      <c r="G206" s="59" t="n">
        <f aca="false">G204*(1+Rate_Devex)^MAX(0,YEAR(G191)-YEAR($J$56)-1)*G205</f>
        <v>1.24482558293506</v>
      </c>
      <c r="H206" s="58"/>
    </row>
    <row r="207" customFormat="false" ht="14.25" hidden="false" customHeight="false" outlineLevel="0" collapsed="false">
      <c r="C207" s="55" t="s">
        <v>185</v>
      </c>
      <c r="D207" s="56" t="s">
        <v>3</v>
      </c>
      <c r="E207" s="59" t="n">
        <f aca="false">1+Rate_Devex*(DATE(YEAR($J$55)+1,1,1)-$J$55)*($J$55&lt;E191)/Days_In_Year</f>
        <v>1.02130176663669</v>
      </c>
      <c r="F207" s="59" t="n">
        <f aca="false">1+Rate_Devex*(DATE(YEAR($J$55)+1,1,1)-$J$55)*($J$55&lt;F191)/Days_In_Year</f>
        <v>1.02130176663669</v>
      </c>
      <c r="G207" s="59" t="n">
        <f aca="false">1+Rate_Devex*(DATE(YEAR($J$55)+1,1,1)-$J$55)*($J$55&lt;G191)/Days_In_Year</f>
        <v>1.02130176663669</v>
      </c>
      <c r="H207" s="58"/>
    </row>
    <row r="208" customFormat="false" ht="14.25" hidden="false" customHeight="false" outlineLevel="0" collapsed="false">
      <c r="C208" s="55" t="s">
        <v>186</v>
      </c>
      <c r="D208" s="56" t="s">
        <v>3</v>
      </c>
      <c r="E208" s="59" t="n">
        <f aca="false">1+Rate_Devex*MAX(0,E190-MAX($J$55,E191)+1)/Days_In_Year</f>
        <v>1.09917808219178</v>
      </c>
      <c r="F208" s="59" t="n">
        <f aca="false">1+Rate_Devex*MAX(0,F190-MAX($J$55,F191)+1)/Days_In_Year</f>
        <v>1.09917808219178</v>
      </c>
      <c r="G208" s="59" t="n">
        <f aca="false">1+Rate_Devex*MAX(0,G190-MAX($J$55,G191)+1)/Days_In_Year</f>
        <v>1.09917808219178</v>
      </c>
      <c r="H208" s="58"/>
    </row>
    <row r="209" customFormat="false" ht="14.25" hidden="false" customHeight="false" outlineLevel="0" collapsed="false">
      <c r="C209" s="55" t="s">
        <v>187</v>
      </c>
      <c r="D209" s="56" t="s">
        <v>3</v>
      </c>
      <c r="E209" s="59" t="n">
        <f aca="false">E207*(1+Rate_Devex)^MAX(0,YEAR(E191)-YEAR($J$55)-1)*E208</f>
        <v>1.34711102062895</v>
      </c>
      <c r="F209" s="59" t="n">
        <f aca="false">F207*(1+Rate_Devex)^MAX(0,YEAR(F191)-YEAR($J$55)-1)*F208</f>
        <v>1.34711102062895</v>
      </c>
      <c r="G209" s="59" t="n">
        <f aca="false">G207*(1+Rate_Devex)^MAX(0,YEAR(G191)-YEAR($J$55)-1)*G208</f>
        <v>1.34711102062895</v>
      </c>
      <c r="H209" s="58"/>
    </row>
    <row r="210" customFormat="false" ht="14.25" hidden="false" customHeight="false" outlineLevel="0" collapsed="false">
      <c r="C210" s="55" t="s">
        <v>188</v>
      </c>
      <c r="D210" s="56" t="s">
        <v>85</v>
      </c>
      <c r="E210" s="60" t="n">
        <f aca="false">E$21*E61*(E194-1)</f>
        <v>2.93073712505603</v>
      </c>
      <c r="F210" s="60" t="n">
        <f aca="false">F$21*F61*(F194-1)</f>
        <v>0</v>
      </c>
      <c r="G210" s="60" t="n">
        <f aca="false">G$21*G61*(G194-1)</f>
        <v>0</v>
      </c>
      <c r="H210" s="60" t="n">
        <f aca="false">SUM(E210:G210)</f>
        <v>2.93073712505603</v>
      </c>
    </row>
    <row r="211" customFormat="false" ht="14.25" hidden="false" customHeight="false" outlineLevel="0" collapsed="false">
      <c r="C211" s="55" t="s">
        <v>189</v>
      </c>
      <c r="D211" s="56" t="s">
        <v>85</v>
      </c>
      <c r="E211" s="61" t="n">
        <f aca="false">E$21*E62*(E194-1)</f>
        <v>138.526174777648</v>
      </c>
      <c r="F211" s="61" t="n">
        <f aca="false">F$21*F62*(F194-1)</f>
        <v>0</v>
      </c>
      <c r="G211" s="61" t="n">
        <f aca="false">G$21*G62*(G194-1)</f>
        <v>0</v>
      </c>
      <c r="H211" s="61" t="n">
        <f aca="false">SUM(E211:G211)</f>
        <v>138.526174777648</v>
      </c>
    </row>
    <row r="212" customFormat="false" ht="14.25" hidden="false" customHeight="false" outlineLevel="0" collapsed="false">
      <c r="C212" s="55" t="s">
        <v>190</v>
      </c>
      <c r="D212" s="56" t="s">
        <v>85</v>
      </c>
      <c r="E212" s="61" t="n">
        <f aca="false">E$21*E63*(E197-1)</f>
        <v>502.839989118205</v>
      </c>
      <c r="F212" s="61" t="n">
        <f aca="false">F$21*F63*(F197-1)</f>
        <v>0</v>
      </c>
      <c r="G212" s="61" t="n">
        <f aca="false">G$21*G63*(G197-1)</f>
        <v>0</v>
      </c>
      <c r="H212" s="61" t="n">
        <f aca="false">SUM(E212:G212)</f>
        <v>502.839989118205</v>
      </c>
    </row>
    <row r="213" customFormat="false" ht="14.25" hidden="false" customHeight="false" outlineLevel="0" collapsed="false">
      <c r="C213" s="55" t="s">
        <v>191</v>
      </c>
      <c r="D213" s="56" t="s">
        <v>85</v>
      </c>
      <c r="E213" s="61" t="n">
        <f aca="false">E$21*E64*(E200-1)</f>
        <v>199.469318673477</v>
      </c>
      <c r="F213" s="61" t="n">
        <f aca="false">F$21*F64*(F200-1)</f>
        <v>0</v>
      </c>
      <c r="G213" s="61" t="n">
        <f aca="false">G$21*G64*(G200-1)</f>
        <v>0</v>
      </c>
      <c r="H213" s="61" t="n">
        <f aca="false">SUM(E213:G213)</f>
        <v>199.469318673477</v>
      </c>
    </row>
    <row r="214" customFormat="false" ht="14.25" hidden="false" customHeight="false" outlineLevel="0" collapsed="false">
      <c r="C214" s="55" t="s">
        <v>192</v>
      </c>
      <c r="D214" s="56" t="s">
        <v>85</v>
      </c>
      <c r="E214" s="61" t="n">
        <f aca="false">E$21*E65*(E203-1)</f>
        <v>63.7544348660937</v>
      </c>
      <c r="F214" s="61" t="n">
        <f aca="false">F$21*F65*(F203-1)</f>
        <v>0</v>
      </c>
      <c r="G214" s="61" t="n">
        <f aca="false">G$21*G65*(G203-1)</f>
        <v>0</v>
      </c>
      <c r="H214" s="61" t="n">
        <f aca="false">SUM(E214:G214)</f>
        <v>63.7544348660937</v>
      </c>
    </row>
    <row r="215" customFormat="false" ht="14.25" hidden="false" customHeight="false" outlineLevel="0" collapsed="false">
      <c r="C215" s="55" t="s">
        <v>193</v>
      </c>
      <c r="D215" s="56" t="s">
        <v>85</v>
      </c>
      <c r="E215" s="61" t="n">
        <f aca="false">E$21*E66*(E203-1)</f>
        <v>859.990350596064</v>
      </c>
      <c r="F215" s="61" t="n">
        <f aca="false">F$21*F66*(F203-1)</f>
        <v>0</v>
      </c>
      <c r="G215" s="61" t="n">
        <f aca="false">G$21*G66*(G203-1)</f>
        <v>0</v>
      </c>
      <c r="H215" s="61" t="n">
        <f aca="false">SUM(E215:G215)</f>
        <v>859.990350596064</v>
      </c>
    </row>
    <row r="216" customFormat="false" ht="14.25" hidden="false" customHeight="false" outlineLevel="0" collapsed="false">
      <c r="C216" s="55" t="s">
        <v>194</v>
      </c>
      <c r="D216" s="56" t="s">
        <v>85</v>
      </c>
      <c r="E216" s="61" t="n">
        <f aca="false">E$21*E68*MAX(E206-1,Devex_Floor-1)</f>
        <v>107.801712328767</v>
      </c>
      <c r="F216" s="61" t="n">
        <f aca="false">F$21*F68*MAX(F206-1,Devex_Floor-1)</f>
        <v>0</v>
      </c>
      <c r="G216" s="61" t="n">
        <f aca="false">G$21*G68*MAX(G206-1,Devex_Floor-1)</f>
        <v>0</v>
      </c>
      <c r="H216" s="61" t="n">
        <f aca="false">SUM(E216:G216)</f>
        <v>107.801712328767</v>
      </c>
    </row>
    <row r="217" customFormat="false" ht="14.25" hidden="false" customHeight="false" outlineLevel="0" collapsed="false">
      <c r="C217" s="55" t="s">
        <v>195</v>
      </c>
      <c r="D217" s="56" t="s">
        <v>85</v>
      </c>
      <c r="E217" s="61" t="n">
        <f aca="false">E$21*E67*MAX(E209-1,Devex_Floor-1)</f>
        <v>701.098816348896</v>
      </c>
      <c r="F217" s="61" t="n">
        <f aca="false">F$21*F67*MAX(F209-1,Devex_Floor-1)</f>
        <v>0</v>
      </c>
      <c r="G217" s="61" t="n">
        <f aca="false">G$21*G67*MAX(G209-1,Devex_Floor-1)</f>
        <v>0</v>
      </c>
      <c r="H217" s="61" t="n">
        <f aca="false">SUM(E217:G217)</f>
        <v>701.098816348896</v>
      </c>
    </row>
    <row r="218" customFormat="false" ht="14.25" hidden="false" customHeight="false" outlineLevel="0" collapsed="false">
      <c r="C218" s="62" t="s">
        <v>196</v>
      </c>
      <c r="D218" s="56" t="s">
        <v>85</v>
      </c>
      <c r="E218" s="63" t="n">
        <f aca="false">SUM(E210:E217)</f>
        <v>2576.41153383421</v>
      </c>
      <c r="F218" s="63" t="n">
        <f aca="false">SUM(F210:F217)</f>
        <v>0</v>
      </c>
      <c r="G218" s="63" t="n">
        <f aca="false">SUM(G210:G217)</f>
        <v>0</v>
      </c>
      <c r="H218" s="63" t="n">
        <f aca="false">SUM(E218:G218)</f>
        <v>2576.41153383421</v>
      </c>
    </row>
    <row r="219" customFormat="false" ht="14.25" hidden="false" customHeight="false" outlineLevel="0" collapsed="false">
      <c r="C219" s="55" t="s">
        <v>197</v>
      </c>
      <c r="D219" s="56" t="s">
        <v>85</v>
      </c>
      <c r="E219" s="61" t="n">
        <f aca="false">E20*MIN(DSA_Rate*YEARFRAC(Inputs!E$28,Sale_Date),DSA_Cap)*E44</f>
        <v>437.5</v>
      </c>
      <c r="F219" s="61" t="n">
        <f aca="false">F20*MIN(DSA_Rate*YEARFRAC(Inputs!F$28,Sale_Date),DSA_Cap)*F44</f>
        <v>0</v>
      </c>
      <c r="G219" s="61" t="n">
        <f aca="false">G20*MIN(DSA_Rate*YEARFRAC(Inputs!G$28,Sale_Date),DSA_Cap)*G44</f>
        <v>0</v>
      </c>
      <c r="H219" s="61" t="n">
        <f aca="false">SUM(E219:G219)</f>
        <v>437.5</v>
      </c>
    </row>
    <row r="221" customFormat="false" ht="14.25" hidden="false" customHeight="false" outlineLevel="0" collapsed="false">
      <c r="B221" s="4" t="s">
        <v>3</v>
      </c>
      <c r="C221" s="4" t="s">
        <v>198</v>
      </c>
      <c r="D221" s="4"/>
      <c r="E221" s="5" t="s">
        <v>5</v>
      </c>
      <c r="F221" s="5" t="s">
        <v>6</v>
      </c>
      <c r="G221" s="5" t="s">
        <v>7</v>
      </c>
      <c r="H221" s="5" t="s">
        <v>8</v>
      </c>
    </row>
    <row r="222" customFormat="false" ht="14.25" hidden="false" customHeight="false" outlineLevel="0" collapsed="false">
      <c r="C222" s="55" t="s">
        <v>199</v>
      </c>
      <c r="D222" s="56" t="s">
        <v>85</v>
      </c>
      <c r="E222" s="61" t="n">
        <f aca="false">E65+E66</f>
        <v>10089.6937041096</v>
      </c>
      <c r="F222" s="61" t="n">
        <f aca="false">F65+F66</f>
        <v>3359.81917808219</v>
      </c>
      <c r="G222" s="61" t="n">
        <f aca="false">G65+G66</f>
        <v>3359.81917808219</v>
      </c>
      <c r="H222" s="61" t="n">
        <f aca="false">SUM(E222:G222)</f>
        <v>16809.332060274</v>
      </c>
    </row>
    <row r="223" customFormat="false" ht="14.25" hidden="false" customHeight="false" outlineLevel="0" collapsed="false">
      <c r="C223" s="55" t="s">
        <v>200</v>
      </c>
      <c r="D223" s="56" t="s">
        <v>74</v>
      </c>
      <c r="E223" s="61" t="n">
        <f aca="false">SUMIFS(Devex_HUF,Devex_Class,"Land",Devex_Date,"&lt;="&amp;Sale_Date_A)</f>
        <v>66190500</v>
      </c>
      <c r="F223" s="61" t="n">
        <f aca="false">SUMIFS(Devex_HUF,Devex_Class,"Land",Devex_Date,"&lt;="&amp;Sale_Date_A)</f>
        <v>66190500</v>
      </c>
      <c r="G223" s="61" t="n">
        <f aca="false">SUMIFS(Devex_HUF,Devex_Class,"Land",Devex_Date,"&lt;="&amp;Sale_Date_A)</f>
        <v>66190500</v>
      </c>
      <c r="H223" s="61"/>
    </row>
    <row r="224" customFormat="false" ht="14.25" hidden="false" customHeight="false" outlineLevel="0" collapsed="false">
      <c r="C224" s="55" t="s">
        <v>201</v>
      </c>
      <c r="D224" s="56" t="s">
        <v>168</v>
      </c>
      <c r="E224" s="57" t="n">
        <f aca="false">SUMPRODUCT((Devex_Class="Land")*(Devex_Date&lt;=Sale_Date_A)*Devex_HUF,Devex_Date)/E223</f>
        <v>46431</v>
      </c>
      <c r="F224" s="57" t="n">
        <f aca="false">SUMPRODUCT((Devex_Class="Land")*(Devex_Date&lt;=Sale_Date_A)*Devex_HUF,Devex_Date)/F223</f>
        <v>46431</v>
      </c>
      <c r="G224" s="57" t="n">
        <f aca="false">SUMPRODUCT((Devex_Class="Land")*(Devex_Date&lt;=Sale_Date_A)*Devex_HUF,Devex_Date)/G223</f>
        <v>46431</v>
      </c>
      <c r="H224" s="58"/>
    </row>
    <row r="225" customFormat="false" ht="14.25" hidden="false" customHeight="false" outlineLevel="0" collapsed="false">
      <c r="C225" s="55" t="s">
        <v>202</v>
      </c>
      <c r="D225" s="56" t="s">
        <v>85</v>
      </c>
      <c r="E225" s="61" t="n">
        <f aca="false">E223/FX/Thousand*Inputs!E$18</f>
        <v>45.3359589041096</v>
      </c>
      <c r="F225" s="61" t="n">
        <f aca="false">F223/FX/Thousand*Inputs!F$18</f>
        <v>45.3359589041096</v>
      </c>
      <c r="G225" s="61" t="n">
        <f aca="false">G223/FX/Thousand*Inputs!G$18</f>
        <v>45.3359589041096</v>
      </c>
      <c r="H225" s="61" t="n">
        <f aca="false">SUM(E225:G225)</f>
        <v>136.007876712329</v>
      </c>
    </row>
    <row r="226" customFormat="false" ht="14.25" hidden="false" customHeight="false" outlineLevel="0" collapsed="false">
      <c r="C226" s="55" t="s">
        <v>203</v>
      </c>
      <c r="D226" s="56" t="s">
        <v>74</v>
      </c>
      <c r="E226" s="61" t="n">
        <f aca="false">SUMIFS(Devex_HUF,Devex_Class,"Devex",Devex_Date,"&lt;="&amp;Sale_Date_A)</f>
        <v>991604271.869388</v>
      </c>
      <c r="F226" s="61" t="n">
        <f aca="false">SUMIFS(Devex_HUF,Devex_Class,"Devex",Devex_Date,"&lt;="&amp;Sale_Date_A)</f>
        <v>991604271.869388</v>
      </c>
      <c r="G226" s="61" t="n">
        <f aca="false">SUMIFS(Devex_HUF,Devex_Class,"Devex",Devex_Date,"&lt;="&amp;Sale_Date_A)</f>
        <v>991604271.869388</v>
      </c>
      <c r="H226" s="61"/>
    </row>
    <row r="227" customFormat="false" ht="14.25" hidden="false" customHeight="false" outlineLevel="0" collapsed="false">
      <c r="C227" s="55" t="s">
        <v>204</v>
      </c>
      <c r="D227" s="56" t="s">
        <v>168</v>
      </c>
      <c r="E227" s="57" t="n">
        <f aca="false">SUMPRODUCT((Devex_Class="Devex")*(Devex_Date&lt;=Sale_Date_A)*Devex_HUF,Devex_Date)/E226</f>
        <v>46701.5587560279</v>
      </c>
      <c r="F227" s="57" t="n">
        <f aca="false">SUMPRODUCT((Devex_Class="Devex")*(Devex_Date&lt;=Sale_Date_A)*Devex_HUF,Devex_Date)/F226</f>
        <v>46701.5587560279</v>
      </c>
      <c r="G227" s="57" t="n">
        <f aca="false">SUMPRODUCT((Devex_Class="Devex")*(Devex_Date&lt;=Sale_Date_A)*Devex_HUF,Devex_Date)/G226</f>
        <v>46701.5587560279</v>
      </c>
      <c r="H227" s="58"/>
    </row>
    <row r="228" customFormat="false" ht="14.25" hidden="false" customHeight="false" outlineLevel="0" collapsed="false">
      <c r="C228" s="55" t="s">
        <v>205</v>
      </c>
      <c r="D228" s="56" t="s">
        <v>85</v>
      </c>
      <c r="E228" s="61" t="n">
        <f aca="false">E226/FX/Thousand*Inputs!E$18</f>
        <v>679.181008129718</v>
      </c>
      <c r="F228" s="61" t="n">
        <f aca="false">F226/FX/Thousand*Inputs!F$18</f>
        <v>679.181008129718</v>
      </c>
      <c r="G228" s="61" t="n">
        <f aca="false">G226/FX/Thousand*Inputs!G$18</f>
        <v>679.181008129718</v>
      </c>
      <c r="H228" s="61" t="n">
        <f aca="false">SUM(E228:G228)</f>
        <v>2037.54302438915</v>
      </c>
    </row>
    <row r="229" customFormat="false" ht="14.25" hidden="false" customHeight="false" outlineLevel="0" collapsed="false">
      <c r="C229" s="55" t="s">
        <v>206</v>
      </c>
      <c r="D229" s="56" t="s">
        <v>85</v>
      </c>
      <c r="E229" s="61" t="n">
        <f aca="false">E61+SUM(E62:E64)+E225+E228+E69</f>
        <v>3426.64025470506</v>
      </c>
      <c r="F229" s="61" t="n">
        <f aca="false">F61+SUM(F62:F64)+F225+F228+F69</f>
        <v>3978.69504922561</v>
      </c>
      <c r="G229" s="61" t="n">
        <f aca="false">G61+SUM(G62:G64)+G225+G228+G69</f>
        <v>3978.69504922561</v>
      </c>
      <c r="H229" s="61" t="n">
        <f aca="false">SUM(E229:G229)</f>
        <v>11384.0303531563</v>
      </c>
    </row>
    <row r="230" customFormat="false" ht="14.25" hidden="false" customHeight="false" outlineLevel="0" collapsed="false">
      <c r="C230" s="55" t="s">
        <v>207</v>
      </c>
      <c r="D230" s="56" t="s">
        <v>168</v>
      </c>
      <c r="E230" s="57" t="n">
        <f aca="false">MIN(Freeze_Date,Sale_Date_A)</f>
        <v>47026</v>
      </c>
      <c r="F230" s="57" t="n">
        <f aca="false">MIN(Freeze_Date,Sale_Date_A)</f>
        <v>47026</v>
      </c>
      <c r="G230" s="57" t="n">
        <f aca="false">MIN(Freeze_Date,Sale_Date_A)</f>
        <v>47026</v>
      </c>
      <c r="H230" s="58"/>
    </row>
    <row r="231" customFormat="false" ht="14.25" hidden="false" customHeight="false" outlineLevel="0" collapsed="false">
      <c r="C231" s="55" t="s">
        <v>208</v>
      </c>
      <c r="D231" s="56" t="s">
        <v>168</v>
      </c>
      <c r="E231" s="57" t="n">
        <f aca="false">DATE(YEAR(E230),1,1)</f>
        <v>46753</v>
      </c>
      <c r="F231" s="57" t="n">
        <f aca="false">DATE(YEAR(F230),1,1)</f>
        <v>46753</v>
      </c>
      <c r="G231" s="57" t="n">
        <f aca="false">DATE(YEAR(G230),1,1)</f>
        <v>46753</v>
      </c>
      <c r="H231" s="58"/>
    </row>
    <row r="232" customFormat="false" ht="14.25" hidden="false" customHeight="false" outlineLevel="0" collapsed="false">
      <c r="C232" s="55" t="s">
        <v>209</v>
      </c>
      <c r="D232" s="56" t="s">
        <v>3</v>
      </c>
      <c r="E232" s="59" t="n">
        <f aca="false">1+Rate_Cash*(DATE(YEAR(Inputs!E$21)+1,1,1)-Inputs!E$21)*(Inputs!E$21&lt;E231)/Days_In_Year</f>
        <v>1.02071232876712</v>
      </c>
      <c r="F232" s="59" t="n">
        <f aca="false">1+Rate_Cash*(DATE(YEAR(Inputs!F$21)+1,1,1)-Inputs!F$21)*(Inputs!F$21&lt;F231)/Days_In_Year</f>
        <v>1.02071232876712</v>
      </c>
      <c r="G232" s="59" t="n">
        <f aca="false">1+Rate_Cash*(DATE(YEAR(Inputs!G$21)+1,1,1)-Inputs!G$21)*(Inputs!G$21&lt;G231)/Days_In_Year</f>
        <v>1.02071232876712</v>
      </c>
      <c r="H232" s="58"/>
    </row>
    <row r="233" customFormat="false" ht="14.25" hidden="false" customHeight="false" outlineLevel="0" collapsed="false">
      <c r="C233" s="55" t="s">
        <v>210</v>
      </c>
      <c r="D233" s="56" t="s">
        <v>3</v>
      </c>
      <c r="E233" s="59" t="n">
        <f aca="false">1+Rate_Cash*MAX(0,E230-MAX(Inputs!E$21,E231)+1)/Days_In_Year</f>
        <v>1.09008219178082</v>
      </c>
      <c r="F233" s="59" t="n">
        <f aca="false">1+Rate_Cash*MAX(0,F230-MAX(Inputs!F$21,F231)+1)/Days_In_Year</f>
        <v>1.09008219178082</v>
      </c>
      <c r="G233" s="59" t="n">
        <f aca="false">1+Rate_Cash*MAX(0,G230-MAX(Inputs!G$21,G231)+1)/Days_In_Year</f>
        <v>1.09008219178082</v>
      </c>
      <c r="H233" s="58"/>
    </row>
    <row r="234" customFormat="false" ht="14.25" hidden="false" customHeight="false" outlineLevel="0" collapsed="false">
      <c r="C234" s="55" t="s">
        <v>211</v>
      </c>
      <c r="D234" s="56" t="s">
        <v>3</v>
      </c>
      <c r="E234" s="59" t="n">
        <f aca="false">E232*(1+Rate_Cash)^MAX(0,YEAR(E231)-YEAR(Inputs!E$21)-1)*E233</f>
        <v>1.24617957242259</v>
      </c>
      <c r="F234" s="59" t="n">
        <f aca="false">F232*(1+Rate_Cash)^MAX(0,YEAR(F231)-YEAR(Inputs!F$21)-1)*F233</f>
        <v>1.24617957242259</v>
      </c>
      <c r="G234" s="59" t="n">
        <f aca="false">G232*(1+Rate_Cash)^MAX(0,YEAR(G231)-YEAR(Inputs!G$21)-1)*G233</f>
        <v>1.24617957242259</v>
      </c>
      <c r="H234" s="58"/>
    </row>
    <row r="235" customFormat="false" ht="14.25" hidden="false" customHeight="false" outlineLevel="0" collapsed="false">
      <c r="C235" s="55" t="s">
        <v>212</v>
      </c>
      <c r="D235" s="56" t="s">
        <v>3</v>
      </c>
      <c r="E235" s="59" t="n">
        <f aca="false">1+Rate_Cash*(DATE(YEAR(Inputs!E$22)+1,1,1)-Inputs!E$22)*(Inputs!E$22&lt;E231)/Days_In_Year</f>
        <v>1.11539726027397</v>
      </c>
      <c r="F235" s="59" t="n">
        <f aca="false">1+Rate_Cash*(DATE(YEAR(Inputs!F$22)+1,1,1)-Inputs!F$22)*(Inputs!F$22&lt;F231)/Days_In_Year</f>
        <v>1.11539726027397</v>
      </c>
      <c r="G235" s="59" t="n">
        <f aca="false">1+Rate_Cash*(DATE(YEAR(Inputs!G$22)+1,1,1)-Inputs!G$22)*(Inputs!G$22&lt;G231)/Days_In_Year</f>
        <v>1.11539726027397</v>
      </c>
      <c r="H235" s="58"/>
    </row>
    <row r="236" customFormat="false" ht="14.25" hidden="false" customHeight="false" outlineLevel="0" collapsed="false">
      <c r="C236" s="55" t="s">
        <v>213</v>
      </c>
      <c r="D236" s="56" t="s">
        <v>3</v>
      </c>
      <c r="E236" s="59" t="n">
        <f aca="false">1+Rate_Cash*MAX(0,E230-MAX(Inputs!E$22,E231)+1)/Days_In_Year</f>
        <v>1.09008219178082</v>
      </c>
      <c r="F236" s="59" t="n">
        <f aca="false">1+Rate_Cash*MAX(0,F230-MAX(Inputs!F$22,F231)+1)/Days_In_Year</f>
        <v>1.09008219178082</v>
      </c>
      <c r="G236" s="59" t="n">
        <f aca="false">1+Rate_Cash*MAX(0,G230-MAX(Inputs!G$22,G231)+1)/Days_In_Year</f>
        <v>1.09008219178082</v>
      </c>
      <c r="H236" s="58"/>
    </row>
    <row r="237" customFormat="false" ht="14.25" hidden="false" customHeight="false" outlineLevel="0" collapsed="false">
      <c r="C237" s="55" t="s">
        <v>214</v>
      </c>
      <c r="D237" s="56" t="s">
        <v>3</v>
      </c>
      <c r="E237" s="59" t="n">
        <f aca="false">E235*(1+Rate_Cash)^MAX(0,YEAR(E231)-YEAR(Inputs!E$22)-1)*E236</f>
        <v>1.21587469018578</v>
      </c>
      <c r="F237" s="59" t="n">
        <f aca="false">F235*(1+Rate_Cash)^MAX(0,YEAR(F231)-YEAR(Inputs!F$22)-1)*F236</f>
        <v>1.21587469018578</v>
      </c>
      <c r="G237" s="59" t="n">
        <f aca="false">G235*(1+Rate_Cash)^MAX(0,YEAR(G231)-YEAR(Inputs!G$22)-1)*G236</f>
        <v>1.21587469018578</v>
      </c>
      <c r="H237" s="58"/>
    </row>
    <row r="238" customFormat="false" ht="14.25" hidden="false" customHeight="false" outlineLevel="0" collapsed="false">
      <c r="C238" s="55" t="s">
        <v>215</v>
      </c>
      <c r="D238" s="56" t="s">
        <v>3</v>
      </c>
      <c r="E238" s="59" t="n">
        <f aca="false">1+Rate_Cash*(DATE(YEAR(Inputs!E$23)+1,1,1)-Inputs!E$23)*(Inputs!E$23&lt;E231)/Days_In_Year</f>
        <v>1.11539726027397</v>
      </c>
      <c r="F238" s="59" t="n">
        <f aca="false">1+Rate_Cash*(DATE(YEAR(Inputs!F$23)+1,1,1)-Inputs!F$23)*(Inputs!F$23&lt;F231)/Days_In_Year</f>
        <v>1.11539726027397</v>
      </c>
      <c r="G238" s="59" t="n">
        <f aca="false">1+Rate_Cash*(DATE(YEAR(Inputs!G$23)+1,1,1)-Inputs!G$23)*(Inputs!G$23&lt;G231)/Days_In_Year</f>
        <v>1.11539726027397</v>
      </c>
      <c r="H238" s="58"/>
    </row>
    <row r="239" customFormat="false" ht="14.25" hidden="false" customHeight="false" outlineLevel="0" collapsed="false">
      <c r="C239" s="55" t="s">
        <v>216</v>
      </c>
      <c r="D239" s="56" t="s">
        <v>3</v>
      </c>
      <c r="E239" s="59" t="n">
        <f aca="false">1+Rate_Cash*MAX(0,E230-MAX(Inputs!E$23,E231)+1)/Days_In_Year</f>
        <v>1.09008219178082</v>
      </c>
      <c r="F239" s="59" t="n">
        <f aca="false">1+Rate_Cash*MAX(0,F230-MAX(Inputs!F$23,F231)+1)/Days_In_Year</f>
        <v>1.09008219178082</v>
      </c>
      <c r="G239" s="59" t="n">
        <f aca="false">1+Rate_Cash*MAX(0,G230-MAX(Inputs!G$23,G231)+1)/Days_In_Year</f>
        <v>1.09008219178082</v>
      </c>
      <c r="H239" s="58"/>
    </row>
    <row r="240" customFormat="false" ht="14.25" hidden="false" customHeight="false" outlineLevel="0" collapsed="false">
      <c r="C240" s="55" t="s">
        <v>217</v>
      </c>
      <c r="D240" s="56" t="s">
        <v>3</v>
      </c>
      <c r="E240" s="59" t="n">
        <f aca="false">E238*(1+Rate_Cash)^MAX(0,YEAR(E231)-YEAR(Inputs!E$23)-1)*E239</f>
        <v>1.21587469018578</v>
      </c>
      <c r="F240" s="59" t="n">
        <f aca="false">F238*(1+Rate_Cash)^MAX(0,YEAR(F231)-YEAR(Inputs!F$23)-1)*F239</f>
        <v>1.21587469018578</v>
      </c>
      <c r="G240" s="59" t="n">
        <f aca="false">G238*(1+Rate_Cash)^MAX(0,YEAR(G231)-YEAR(Inputs!G$23)-1)*G239</f>
        <v>1.21587469018578</v>
      </c>
      <c r="H240" s="58"/>
    </row>
    <row r="241" customFormat="false" ht="14.25" hidden="false" customHeight="false" outlineLevel="0" collapsed="false">
      <c r="C241" s="55" t="s">
        <v>218</v>
      </c>
      <c r="D241" s="56" t="s">
        <v>3</v>
      </c>
      <c r="E241" s="59" t="n">
        <f aca="false">1+Rate_Devex*(DATE(YEAR(E224)+1,1,1)-E224)*(E224&lt;E231)/Days_In_Year</f>
        <v>1.17643835616438</v>
      </c>
      <c r="F241" s="59" t="n">
        <f aca="false">1+Rate_Devex*(DATE(YEAR(F224)+1,1,1)-F224)*(F224&lt;F231)/Days_In_Year</f>
        <v>1.17643835616438</v>
      </c>
      <c r="G241" s="59" t="n">
        <f aca="false">1+Rate_Devex*(DATE(YEAR(G224)+1,1,1)-G224)*(G224&lt;G231)/Days_In_Year</f>
        <v>1.17643835616438</v>
      </c>
      <c r="H241" s="58"/>
    </row>
    <row r="242" customFormat="false" ht="14.25" hidden="false" customHeight="false" outlineLevel="0" collapsed="false">
      <c r="C242" s="55" t="s">
        <v>219</v>
      </c>
      <c r="D242" s="56" t="s">
        <v>3</v>
      </c>
      <c r="E242" s="59" t="n">
        <f aca="false">1+Rate_Devex*MAX(0,E230-MAX(E224,E231)+1)/Days_In_Year</f>
        <v>1.15013698630137</v>
      </c>
      <c r="F242" s="59" t="n">
        <f aca="false">1+Rate_Devex*MAX(0,F230-MAX(F224,F231)+1)/Days_In_Year</f>
        <v>1.15013698630137</v>
      </c>
      <c r="G242" s="59" t="n">
        <f aca="false">1+Rate_Devex*MAX(0,G230-MAX(G224,G231)+1)/Days_In_Year</f>
        <v>1.15013698630137</v>
      </c>
      <c r="H242" s="58"/>
    </row>
    <row r="243" customFormat="false" ht="14.25" hidden="false" customHeight="false" outlineLevel="0" collapsed="false">
      <c r="C243" s="55" t="s">
        <v>220</v>
      </c>
      <c r="D243" s="56" t="s">
        <v>3</v>
      </c>
      <c r="E243" s="59" t="n">
        <f aca="false">E241*(1+Rate_Devex)^MAX(0,YEAR(E231)-YEAR(E224)-1)*E242</f>
        <v>1.35306526552824</v>
      </c>
      <c r="F243" s="59" t="n">
        <f aca="false">F241*(1+Rate_Devex)^MAX(0,YEAR(F231)-YEAR(F224)-1)*F242</f>
        <v>1.35306526552824</v>
      </c>
      <c r="G243" s="59" t="n">
        <f aca="false">G241*(1+Rate_Devex)^MAX(0,YEAR(G231)-YEAR(G224)-1)*G242</f>
        <v>1.35306526552824</v>
      </c>
      <c r="H243" s="58"/>
    </row>
    <row r="244" customFormat="false" ht="14.25" hidden="false" customHeight="false" outlineLevel="0" collapsed="false">
      <c r="C244" s="55" t="s">
        <v>221</v>
      </c>
      <c r="D244" s="56" t="s">
        <v>3</v>
      </c>
      <c r="E244" s="59" t="n">
        <f aca="false">1+Rate_Devex*(DATE(YEAR(E227)+1,1,1)-E227)*(E227&lt;E231)/Days_In_Year</f>
        <v>1.02818698299841</v>
      </c>
      <c r="F244" s="59" t="n">
        <f aca="false">1+Rate_Devex*(DATE(YEAR(F227)+1,1,1)-F227)*(F227&lt;F231)/Days_In_Year</f>
        <v>1.02818698299841</v>
      </c>
      <c r="G244" s="59" t="n">
        <f aca="false">1+Rate_Devex*(DATE(YEAR(G227)+1,1,1)-G227)*(G227&lt;G231)/Days_In_Year</f>
        <v>1.02818698299841</v>
      </c>
      <c r="H244" s="58"/>
    </row>
    <row r="245" customFormat="false" ht="14.25" hidden="false" customHeight="false" outlineLevel="0" collapsed="false">
      <c r="C245" s="55" t="s">
        <v>222</v>
      </c>
      <c r="D245" s="56" t="s">
        <v>3</v>
      </c>
      <c r="E245" s="59" t="n">
        <f aca="false">1+Rate_Devex*MAX(0,E230-MAX(E227,E231)+1)/Days_In_Year</f>
        <v>1.15013698630137</v>
      </c>
      <c r="F245" s="59" t="n">
        <f aca="false">1+Rate_Devex*MAX(0,F230-MAX(F227,F231)+1)/Days_In_Year</f>
        <v>1.15013698630137</v>
      </c>
      <c r="G245" s="59" t="n">
        <f aca="false">1+Rate_Devex*MAX(0,G230-MAX(G227,G231)+1)/Days_In_Year</f>
        <v>1.15013698630137</v>
      </c>
      <c r="H245" s="58"/>
    </row>
    <row r="246" customFormat="false" ht="14.25" hidden="false" customHeight="false" outlineLevel="0" collapsed="false">
      <c r="C246" s="55" t="s">
        <v>223</v>
      </c>
      <c r="D246" s="56" t="s">
        <v>3</v>
      </c>
      <c r="E246" s="59" t="n">
        <f aca="false">E244*(1+Rate_Devex)^MAX(0,YEAR(E231)-YEAR(E227)-1)*E245</f>
        <v>1.18255587798009</v>
      </c>
      <c r="F246" s="59" t="n">
        <f aca="false">F244*(1+Rate_Devex)^MAX(0,YEAR(F231)-YEAR(F227)-1)*F245</f>
        <v>1.18255587798009</v>
      </c>
      <c r="G246" s="59" t="n">
        <f aca="false">G244*(1+Rate_Devex)^MAX(0,YEAR(G231)-YEAR(G227)-1)*G245</f>
        <v>1.18255587798009</v>
      </c>
      <c r="H246" s="58"/>
    </row>
    <row r="247" customFormat="false" ht="14.25" hidden="false" customHeight="false" outlineLevel="0" collapsed="false">
      <c r="C247" s="55" t="s">
        <v>224</v>
      </c>
      <c r="D247" s="56" t="s">
        <v>85</v>
      </c>
      <c r="E247" s="60" t="n">
        <f aca="false">E$21*E61*(E234-1)</f>
        <v>2.02339374593912</v>
      </c>
      <c r="F247" s="60" t="n">
        <f aca="false">F$21*F61*(F234-1)</f>
        <v>0</v>
      </c>
      <c r="G247" s="60" t="n">
        <f aca="false">G$21*G61*(G234-1)</f>
        <v>0</v>
      </c>
      <c r="H247" s="60" t="n">
        <f aca="false">SUM(E247:G247)</f>
        <v>2.02339374593912</v>
      </c>
    </row>
    <row r="248" customFormat="false" ht="14.25" hidden="false" customHeight="false" outlineLevel="0" collapsed="false">
      <c r="C248" s="55" t="s">
        <v>225</v>
      </c>
      <c r="D248" s="56" t="s">
        <v>85</v>
      </c>
      <c r="E248" s="60" t="n">
        <f aca="false">E$21*E62*(E234-1)</f>
        <v>95.6390777247226</v>
      </c>
      <c r="F248" s="60" t="n">
        <f aca="false">F$21*F62*(F234-1)</f>
        <v>0</v>
      </c>
      <c r="G248" s="60" t="n">
        <f aca="false">G$21*G62*(G234-1)</f>
        <v>0</v>
      </c>
      <c r="H248" s="60" t="n">
        <f aca="false">SUM(E248:G248)</f>
        <v>95.6390777247226</v>
      </c>
    </row>
    <row r="249" customFormat="false" ht="14.25" hidden="false" customHeight="false" outlineLevel="0" collapsed="false">
      <c r="C249" s="55" t="s">
        <v>226</v>
      </c>
      <c r="D249" s="56" t="s">
        <v>85</v>
      </c>
      <c r="E249" s="60" t="n">
        <f aca="false">E$21*E63*(E237-1)</f>
        <v>335.463354173622</v>
      </c>
      <c r="F249" s="60" t="n">
        <f aca="false">F$21*F63*(F237-1)</f>
        <v>0</v>
      </c>
      <c r="G249" s="60" t="n">
        <f aca="false">G$21*G63*(G237-1)</f>
        <v>0</v>
      </c>
      <c r="H249" s="60" t="n">
        <f aca="false">SUM(E249:G249)</f>
        <v>335.463354173622</v>
      </c>
    </row>
    <row r="250" customFormat="false" ht="14.25" hidden="false" customHeight="false" outlineLevel="0" collapsed="false">
      <c r="C250" s="55" t="s">
        <v>227</v>
      </c>
      <c r="D250" s="56" t="s">
        <v>85</v>
      </c>
      <c r="E250" s="60" t="n">
        <f aca="false">E$21*E64*(E240-1)</f>
        <v>133.073439155615</v>
      </c>
      <c r="F250" s="60" t="n">
        <f aca="false">F$21*F64*(F240-1)</f>
        <v>0</v>
      </c>
      <c r="G250" s="60" t="n">
        <f aca="false">G$21*G64*(G240-1)</f>
        <v>0</v>
      </c>
      <c r="H250" s="60" t="n">
        <f aca="false">SUM(E250:G250)</f>
        <v>133.073439155615</v>
      </c>
    </row>
    <row r="251" customFormat="false" ht="14.25" hidden="false" customHeight="false" outlineLevel="0" collapsed="false">
      <c r="C251" s="55" t="s">
        <v>228</v>
      </c>
      <c r="D251" s="56" t="s">
        <v>85</v>
      </c>
      <c r="E251" s="60" t="n">
        <f aca="false">E$21*E225*MAX(E243-1,Devex_Floor-1)</f>
        <v>45.3359589041096</v>
      </c>
      <c r="F251" s="60" t="n">
        <f aca="false">F$21*F225*MAX(F243-1,Devex_Floor-1)</f>
        <v>0</v>
      </c>
      <c r="G251" s="60" t="n">
        <f aca="false">G$21*G225*MAX(G243-1,Devex_Floor-1)</f>
        <v>0</v>
      </c>
      <c r="H251" s="60" t="n">
        <f aca="false">SUM(E251:G251)</f>
        <v>45.3359589041096</v>
      </c>
    </row>
    <row r="252" customFormat="false" ht="14.25" hidden="false" customHeight="false" outlineLevel="0" collapsed="false">
      <c r="C252" s="55" t="s">
        <v>229</v>
      </c>
      <c r="D252" s="56" t="s">
        <v>85</v>
      </c>
      <c r="E252" s="60" t="n">
        <f aca="false">E$21*E228*MAX(E246-1,Devex_Floor-1)</f>
        <v>679.181008129718</v>
      </c>
      <c r="F252" s="60" t="n">
        <f aca="false">F$21*F228*MAX(F246-1,Devex_Floor-1)</f>
        <v>0</v>
      </c>
      <c r="G252" s="60" t="n">
        <f aca="false">G$21*G228*MAX(G246-1,Devex_Floor-1)</f>
        <v>0</v>
      </c>
      <c r="H252" s="60" t="n">
        <f aca="false">SUM(E252:G252)</f>
        <v>679.181008129718</v>
      </c>
    </row>
    <row r="253" customFormat="false" ht="14.25" hidden="false" customHeight="false" outlineLevel="0" collapsed="false">
      <c r="C253" s="64" t="s">
        <v>230</v>
      </c>
      <c r="D253" s="65" t="s">
        <v>85</v>
      </c>
      <c r="E253" s="66" t="n">
        <f aca="false">SUM(E247:E252)</f>
        <v>1290.71623183373</v>
      </c>
      <c r="F253" s="66" t="n">
        <f aca="false">SUM(F247:F252)</f>
        <v>0</v>
      </c>
      <c r="G253" s="66" t="n">
        <f aca="false">SUM(G247:G252)</f>
        <v>0</v>
      </c>
      <c r="H253" s="66" t="n">
        <f aca="false">SUM(E253:G253)</f>
        <v>1290.71623183373</v>
      </c>
    </row>
    <row r="254" customFormat="false" ht="14.25" hidden="false" customHeight="false" outlineLevel="0" collapsed="false">
      <c r="C254" s="55" t="s">
        <v>231</v>
      </c>
      <c r="D254" s="56" t="s">
        <v>85</v>
      </c>
      <c r="E254" s="60" t="n">
        <f aca="false">E20*MIN(DSA_Rate*YEARFRAC(Inputs!E$28,Sale_Date_A),DSA_Cap)*E44</f>
        <v>287.5</v>
      </c>
      <c r="F254" s="60" t="n">
        <f aca="false">F20*MIN(DSA_Rate*YEARFRAC(Inputs!F$28,Sale_Date_A),DSA_Cap)*F44</f>
        <v>0</v>
      </c>
      <c r="G254" s="60" t="n">
        <f aca="false">G20*MIN(DSA_Rate*YEARFRAC(Inputs!G$28,Sale_Date_A),DSA_Cap)*G44</f>
        <v>0</v>
      </c>
      <c r="H254" s="60" t="n">
        <f aca="false">SUM(E254:G254)</f>
        <v>287.5</v>
      </c>
    </row>
    <row r="255" customFormat="false" ht="14.25" hidden="false" customHeight="false" outlineLevel="0" collapsed="false">
      <c r="C255" s="41" t="s">
        <v>232</v>
      </c>
      <c r="D255" s="42"/>
      <c r="E255" s="43"/>
      <c r="F255" s="43"/>
      <c r="G255" s="43"/>
      <c r="H255" s="43"/>
    </row>
    <row r="256" customFormat="false" ht="14.25" hidden="false" customHeight="false" outlineLevel="0" collapsed="false">
      <c r="C256" s="6" t="s">
        <v>28</v>
      </c>
      <c r="D256" s="2" t="s">
        <v>85</v>
      </c>
      <c r="E256" s="8" t="n">
        <f aca="false">E98</f>
        <v>7500</v>
      </c>
      <c r="F256" s="8" t="n">
        <f aca="false">F98</f>
        <v>7500</v>
      </c>
      <c r="G256" s="8" t="n">
        <f aca="false">G98</f>
        <v>7500</v>
      </c>
      <c r="H256" s="8" t="n">
        <f aca="false">SUM(E256:G256)</f>
        <v>22500</v>
      </c>
    </row>
    <row r="257" customFormat="false" ht="14.25" hidden="false" customHeight="false" outlineLevel="0" collapsed="false">
      <c r="C257" s="6" t="s">
        <v>233</v>
      </c>
      <c r="D257" s="2" t="s">
        <v>85</v>
      </c>
      <c r="E257" s="8" t="n">
        <f aca="false">SUM(E62:E64)</f>
        <v>2558.90410958904</v>
      </c>
      <c r="F257" s="8" t="n">
        <f aca="false">SUM(F62:F64)</f>
        <v>3110.95890410959</v>
      </c>
      <c r="G257" s="8" t="n">
        <f aca="false">SUM(G62:G64)</f>
        <v>3110.95890410959</v>
      </c>
      <c r="H257" s="8" t="n">
        <f aca="false">SUM(E257:G257)</f>
        <v>8780.82191780822</v>
      </c>
    </row>
    <row r="258" customFormat="false" ht="14.25" hidden="false" customHeight="false" outlineLevel="0" collapsed="false">
      <c r="C258" s="6" t="s">
        <v>234</v>
      </c>
      <c r="D258" s="2" t="s">
        <v>85</v>
      </c>
      <c r="E258" s="8" t="n">
        <f aca="false">E225</f>
        <v>45.3359589041096</v>
      </c>
      <c r="F258" s="8" t="n">
        <f aca="false">F225</f>
        <v>45.3359589041096</v>
      </c>
      <c r="G258" s="8" t="n">
        <f aca="false">G225</f>
        <v>45.3359589041096</v>
      </c>
      <c r="H258" s="8" t="n">
        <f aca="false">SUM(E258:G258)</f>
        <v>136.007876712329</v>
      </c>
    </row>
    <row r="259" customFormat="false" ht="14.25" hidden="false" customHeight="false" outlineLevel="0" collapsed="false">
      <c r="C259" s="6" t="s">
        <v>235</v>
      </c>
      <c r="D259" s="2" t="s">
        <v>85</v>
      </c>
      <c r="E259" s="8" t="n">
        <f aca="false">SUM(E256:E258)</f>
        <v>10104.2400684932</v>
      </c>
      <c r="F259" s="8" t="n">
        <f aca="false">SUM(F256:F258)</f>
        <v>10656.2948630137</v>
      </c>
      <c r="G259" s="8" t="n">
        <f aca="false">SUM(G256:G258)</f>
        <v>10656.2948630137</v>
      </c>
      <c r="H259" s="8" t="n">
        <f aca="false">SUM(E259:G259)</f>
        <v>31416.8297945206</v>
      </c>
    </row>
    <row r="260" customFormat="false" ht="14.25" hidden="false" customHeight="false" outlineLevel="0" collapsed="false">
      <c r="C260" s="6" t="s">
        <v>236</v>
      </c>
      <c r="D260" s="2" t="s">
        <v>85</v>
      </c>
      <c r="E260" s="8" t="n">
        <f aca="false">-MIN(E259,Sale_Costs)</f>
        <v>-250</v>
      </c>
      <c r="F260" s="8" t="n">
        <f aca="false">-MIN(F259,Sale_Costs)</f>
        <v>-250</v>
      </c>
      <c r="G260" s="8" t="n">
        <f aca="false">-MIN(G259,Sale_Costs)</f>
        <v>-250</v>
      </c>
      <c r="H260" s="8" t="n">
        <f aca="false">SUM(E260:G260)</f>
        <v>-750</v>
      </c>
    </row>
    <row r="261" customFormat="false" ht="14.25" hidden="false" customHeight="false" outlineLevel="0" collapsed="false">
      <c r="C261" s="6" t="s">
        <v>237</v>
      </c>
      <c r="D261" s="2" t="s">
        <v>85</v>
      </c>
      <c r="E261" s="8" t="n">
        <f aca="false">-MIN(SUM(E259:E260),E257)</f>
        <v>-2558.90410958904</v>
      </c>
      <c r="F261" s="8" t="n">
        <f aca="false">-MIN(SUM(F259:F260),F257)</f>
        <v>-3110.95890410959</v>
      </c>
      <c r="G261" s="8" t="n">
        <f aca="false">-MIN(SUM(G259:G260),G257)</f>
        <v>-3110.95890410959</v>
      </c>
      <c r="H261" s="8" t="n">
        <f aca="false">SUM(E261:G261)</f>
        <v>-8780.82191780822</v>
      </c>
    </row>
    <row r="262" customFormat="false" ht="14.25" hidden="false" customHeight="false" outlineLevel="0" collapsed="false">
      <c r="C262" s="6" t="s">
        <v>238</v>
      </c>
      <c r="D262" s="2" t="s">
        <v>85</v>
      </c>
      <c r="E262" s="8" t="n">
        <f aca="false">-MIN(SUM(E259:E261),E258)</f>
        <v>-45.3359589041096</v>
      </c>
      <c r="F262" s="8" t="n">
        <f aca="false">-MIN(SUM(F259:F261),F258)</f>
        <v>-45.3359589041096</v>
      </c>
      <c r="G262" s="8" t="n">
        <f aca="false">-MIN(SUM(G259:G261),G258)</f>
        <v>-45.3359589041096</v>
      </c>
      <c r="H262" s="8" t="n">
        <f aca="false">SUM(E262:G262)</f>
        <v>-136.007876712329</v>
      </c>
    </row>
    <row r="263" customFormat="false" ht="14.25" hidden="false" customHeight="false" outlineLevel="0" collapsed="false">
      <c r="C263" s="6" t="s">
        <v>239</v>
      </c>
      <c r="D263" s="2" t="s">
        <v>85</v>
      </c>
      <c r="E263" s="8" t="n">
        <f aca="false">-MIN(SUM(E259:E262),SUM(E247:E250))</f>
        <v>-566.199264799899</v>
      </c>
      <c r="F263" s="8" t="n">
        <f aca="false">-MIN(SUM(F259:F262),SUM(F247:F250))</f>
        <v>-0</v>
      </c>
      <c r="G263" s="8" t="n">
        <f aca="false">-MIN(SUM(G259:G262),SUM(G247:G250))</f>
        <v>-0</v>
      </c>
      <c r="H263" s="8" t="n">
        <f aca="false">SUM(E263:G263)</f>
        <v>-566.199264799899</v>
      </c>
    </row>
    <row r="264" customFormat="false" ht="14.25" hidden="false" customHeight="false" outlineLevel="0" collapsed="false">
      <c r="C264" s="6" t="s">
        <v>240</v>
      </c>
      <c r="D264" s="2" t="s">
        <v>85</v>
      </c>
      <c r="E264" s="8" t="n">
        <f aca="false">-MIN(SUM(E259:E263),SUM(E251:E252))</f>
        <v>-724.516967033827</v>
      </c>
      <c r="F264" s="8" t="n">
        <f aca="false">-MIN(SUM(F259:F263),SUM(F251:F252))</f>
        <v>-0</v>
      </c>
      <c r="G264" s="8" t="n">
        <f aca="false">-MIN(SUM(G259:G263),SUM(G251:G252))</f>
        <v>-0</v>
      </c>
      <c r="H264" s="8" t="n">
        <f aca="false">SUM(E264:G264)</f>
        <v>-724.516967033827</v>
      </c>
    </row>
    <row r="265" customFormat="false" ht="14.25" hidden="false" customHeight="false" outlineLevel="0" collapsed="false">
      <c r="C265" s="6" t="s">
        <v>241</v>
      </c>
      <c r="D265" s="2" t="s">
        <v>85</v>
      </c>
      <c r="E265" s="8" t="n">
        <f aca="false">-MIN(SUM(E259:E264),E254)</f>
        <v>-287.5</v>
      </c>
      <c r="F265" s="8" t="n">
        <f aca="false">-MIN(SUM(F259:F264),F254)</f>
        <v>-0</v>
      </c>
      <c r="G265" s="8" t="n">
        <f aca="false">-MIN(SUM(G259:G264),G254)</f>
        <v>-0</v>
      </c>
      <c r="H265" s="8" t="n">
        <f aca="false">SUM(E265:G265)</f>
        <v>-287.5</v>
      </c>
    </row>
    <row r="266" customFormat="false" ht="14.25" hidden="false" customHeight="false" outlineLevel="0" collapsed="false">
      <c r="C266" s="6" t="s">
        <v>242</v>
      </c>
      <c r="D266" s="2" t="s">
        <v>85</v>
      </c>
      <c r="E266" s="8" t="n">
        <f aca="false">SUM(E259:E265)</f>
        <v>5671.78376816627</v>
      </c>
      <c r="F266" s="8" t="n">
        <f aca="false">SUM(F259:F265)</f>
        <v>7250</v>
      </c>
      <c r="G266" s="8" t="n">
        <f aca="false">SUM(G259:G265)</f>
        <v>7250</v>
      </c>
      <c r="H266" s="8" t="n">
        <f aca="false">SUM(E266:G266)</f>
        <v>20171.7837681663</v>
      </c>
    </row>
    <row r="267" customFormat="false" ht="14.25" hidden="false" customHeight="false" outlineLevel="0" collapsed="false">
      <c r="C267" s="6" t="s">
        <v>243</v>
      </c>
      <c r="D267" s="2" t="s">
        <v>85</v>
      </c>
      <c r="E267" s="8" t="n">
        <f aca="false">E266*E19</f>
        <v>3970.24863771639</v>
      </c>
      <c r="F267" s="8" t="n">
        <f aca="false">F266*F19</f>
        <v>7250</v>
      </c>
      <c r="G267" s="8" t="n">
        <f aca="false">G266*G19</f>
        <v>7250</v>
      </c>
      <c r="H267" s="8" t="n">
        <f aca="false">SUM(E267:G267)</f>
        <v>18470.2486377164</v>
      </c>
    </row>
    <row r="268" customFormat="false" ht="14.25" hidden="false" customHeight="false" outlineLevel="0" collapsed="false">
      <c r="C268" s="6" t="s">
        <v>244</v>
      </c>
      <c r="D268" s="2" t="s">
        <v>85</v>
      </c>
      <c r="E268" s="8" t="n">
        <f aca="false">E266-E267</f>
        <v>1701.53513044988</v>
      </c>
      <c r="F268" s="8" t="n">
        <f aca="false">F266-F267</f>
        <v>0</v>
      </c>
      <c r="G268" s="8" t="n">
        <f aca="false">G266-G267</f>
        <v>0</v>
      </c>
      <c r="H268" s="8" t="n">
        <f aca="false">SUM(E268:G268)</f>
        <v>1701.53513044988</v>
      </c>
    </row>
    <row r="269" customFormat="false" ht="14.25" hidden="false" customHeight="false" outlineLevel="0" collapsed="false">
      <c r="C269" s="42" t="s">
        <v>245</v>
      </c>
      <c r="D269" s="42"/>
      <c r="E269" s="43" t="s">
        <v>5</v>
      </c>
      <c r="F269" s="43" t="s">
        <v>6</v>
      </c>
      <c r="G269" s="43" t="s">
        <v>7</v>
      </c>
      <c r="H269" s="43" t="s">
        <v>8</v>
      </c>
      <c r="J269" s="43" t="s">
        <v>246</v>
      </c>
      <c r="K269" s="43" t="s">
        <v>6</v>
      </c>
      <c r="L269" s="43" t="s">
        <v>7</v>
      </c>
    </row>
    <row r="270" customFormat="false" ht="14.25" hidden="false" customHeight="false" outlineLevel="0" collapsed="false">
      <c r="C270" s="6" t="s">
        <v>247</v>
      </c>
      <c r="D270" s="2" t="s">
        <v>85</v>
      </c>
      <c r="E270" s="8" t="n">
        <f aca="false">E98</f>
        <v>7500</v>
      </c>
      <c r="F270" s="8" t="n">
        <f aca="false">F98</f>
        <v>7500</v>
      </c>
      <c r="G270" s="8" t="n">
        <f aca="false">G98</f>
        <v>7500</v>
      </c>
      <c r="H270" s="8" t="n">
        <f aca="false">SUM(E270:G270)</f>
        <v>22500</v>
      </c>
      <c r="J270" s="24"/>
      <c r="K270" s="24"/>
      <c r="L270" s="24"/>
    </row>
    <row r="271" customFormat="false" ht="14.25" hidden="false" customHeight="false" outlineLevel="0" collapsed="false">
      <c r="C271" s="6" t="s">
        <v>248</v>
      </c>
      <c r="D271" s="2" t="s">
        <v>85</v>
      </c>
      <c r="E271" s="8" t="n">
        <f aca="false">0</f>
        <v>0</v>
      </c>
      <c r="F271" s="8" t="n">
        <f aca="false">0</f>
        <v>0</v>
      </c>
      <c r="G271" s="8" t="n">
        <f aca="false">0</f>
        <v>0</v>
      </c>
      <c r="H271" s="8" t="n">
        <f aca="false">SUM(E271:G271)</f>
        <v>0</v>
      </c>
      <c r="J271" s="24"/>
      <c r="K271" s="24"/>
      <c r="L271" s="24"/>
    </row>
    <row r="272" customFormat="false" ht="14.25" hidden="false" customHeight="false" outlineLevel="0" collapsed="false">
      <c r="C272" s="6" t="s">
        <v>249</v>
      </c>
      <c r="D272" s="2" t="s">
        <v>85</v>
      </c>
      <c r="E272" s="8" t="n">
        <f aca="false">0</f>
        <v>0</v>
      </c>
      <c r="F272" s="8" t="n">
        <f aca="false">0</f>
        <v>0</v>
      </c>
      <c r="G272" s="8" t="n">
        <f aca="false">0</f>
        <v>0</v>
      </c>
      <c r="H272" s="8" t="n">
        <f aca="false">SUM(E272:G272)</f>
        <v>0</v>
      </c>
      <c r="J272" s="24"/>
      <c r="K272" s="24"/>
      <c r="L272" s="24"/>
    </row>
    <row r="273" customFormat="false" ht="14.25" hidden="false" customHeight="false" outlineLevel="0" collapsed="false">
      <c r="C273" s="6" t="s">
        <v>250</v>
      </c>
      <c r="D273" s="2" t="s">
        <v>85</v>
      </c>
      <c r="E273" s="8" t="n">
        <f aca="false">0</f>
        <v>0</v>
      </c>
      <c r="F273" s="8" t="n">
        <f aca="false">0</f>
        <v>0</v>
      </c>
      <c r="G273" s="8" t="n">
        <f aca="false">0</f>
        <v>0</v>
      </c>
      <c r="H273" s="8" t="n">
        <f aca="false">SUM(E273:G273)</f>
        <v>0</v>
      </c>
      <c r="J273" s="24"/>
      <c r="K273" s="24"/>
      <c r="L273" s="24"/>
    </row>
    <row r="274" customFormat="false" ht="14.25" hidden="false" customHeight="false" outlineLevel="0" collapsed="false">
      <c r="C274" s="6" t="s">
        <v>251</v>
      </c>
      <c r="D274" s="2" t="s">
        <v>85</v>
      </c>
      <c r="E274" s="8" t="n">
        <f aca="false">E260</f>
        <v>-250</v>
      </c>
      <c r="F274" s="8" t="n">
        <f aca="false">F260</f>
        <v>-250</v>
      </c>
      <c r="G274" s="8" t="n">
        <f aca="false">G260</f>
        <v>-250</v>
      </c>
      <c r="H274" s="8" t="n">
        <f aca="false">SUM(E274:G274)</f>
        <v>-750</v>
      </c>
      <c r="J274" s="24"/>
      <c r="K274" s="24"/>
      <c r="L274" s="24"/>
    </row>
    <row r="275" customFormat="false" ht="14.25" hidden="false" customHeight="false" outlineLevel="0" collapsed="false">
      <c r="C275" s="6" t="s">
        <v>252</v>
      </c>
      <c r="D275" s="2" t="s">
        <v>85</v>
      </c>
      <c r="E275" s="8" t="n">
        <f aca="false">E265</f>
        <v>-287.5</v>
      </c>
      <c r="F275" s="8" t="n">
        <f aca="false">F265</f>
        <v>-0</v>
      </c>
      <c r="G275" s="8" t="n">
        <f aca="false">G265</f>
        <v>-0</v>
      </c>
      <c r="H275" s="8" t="n">
        <f aca="false">SUM(E275:G275)</f>
        <v>-287.5</v>
      </c>
      <c r="J275" s="24"/>
      <c r="K275" s="24"/>
      <c r="L275" s="24"/>
    </row>
    <row r="276" customFormat="false" ht="14.25" hidden="false" customHeight="false" outlineLevel="0" collapsed="false">
      <c r="C276" s="6" t="s">
        <v>253</v>
      </c>
      <c r="D276" s="2" t="s">
        <v>85</v>
      </c>
      <c r="E276" s="8" t="n">
        <f aca="false">-E268</f>
        <v>-1701.53513044988</v>
      </c>
      <c r="F276" s="8" t="n">
        <f aca="false">-F268</f>
        <v>-0</v>
      </c>
      <c r="G276" s="8" t="n">
        <f aca="false">-G268</f>
        <v>-0</v>
      </c>
      <c r="H276" s="8" t="n">
        <f aca="false">SUM(E276:G276)</f>
        <v>-1701.53513044988</v>
      </c>
      <c r="J276" s="24"/>
      <c r="K276" s="24"/>
      <c r="L276" s="24"/>
    </row>
    <row r="277" customFormat="false" ht="14.25" hidden="false" customHeight="false" outlineLevel="0" collapsed="false">
      <c r="C277" s="6" t="s">
        <v>254</v>
      </c>
      <c r="D277" s="67" t="s">
        <v>85</v>
      </c>
      <c r="E277" s="8" t="n">
        <f aca="false">-E263</f>
        <v>566.199264799899</v>
      </c>
      <c r="F277" s="8" t="n">
        <f aca="false">-F263</f>
        <v>0</v>
      </c>
      <c r="G277" s="8" t="n">
        <f aca="false">-G263</f>
        <v>0</v>
      </c>
      <c r="H277" s="8" t="n">
        <f aca="false">SUM(E277:G277)</f>
        <v>566.199264799899</v>
      </c>
      <c r="J277" s="24"/>
      <c r="K277" s="24"/>
      <c r="L277" s="24"/>
    </row>
    <row r="278" customFormat="false" ht="14.25" hidden="false" customHeight="false" outlineLevel="0" collapsed="false">
      <c r="C278" s="6" t="s">
        <v>255</v>
      </c>
      <c r="D278" s="67" t="s">
        <v>85</v>
      </c>
      <c r="E278" s="8" t="n">
        <f aca="false">-E264</f>
        <v>724.516967033827</v>
      </c>
      <c r="F278" s="8" t="n">
        <f aca="false">-F264</f>
        <v>0</v>
      </c>
      <c r="G278" s="8" t="n">
        <f aca="false">-G264</f>
        <v>0</v>
      </c>
      <c r="H278" s="8" t="n">
        <f aca="false">SUM(E278:G278)</f>
        <v>724.516967033827</v>
      </c>
      <c r="J278" s="24"/>
      <c r="K278" s="24"/>
      <c r="L278" s="24"/>
    </row>
    <row r="279" customFormat="false" ht="14.25" hidden="false" customHeight="false" outlineLevel="0" collapsed="false">
      <c r="C279" s="6" t="s">
        <v>29</v>
      </c>
      <c r="D279" s="67" t="s">
        <v>85</v>
      </c>
      <c r="E279" s="8" t="n">
        <f aca="false">E267</f>
        <v>3970.24863771639</v>
      </c>
      <c r="F279" s="8" t="n">
        <f aca="false">F267</f>
        <v>7250</v>
      </c>
      <c r="G279" s="8" t="n">
        <f aca="false">G267</f>
        <v>7250</v>
      </c>
      <c r="H279" s="8" t="n">
        <f aca="false">SUM(E279:G279)</f>
        <v>18470.2486377164</v>
      </c>
      <c r="J279" s="24"/>
      <c r="K279" s="24"/>
      <c r="L279" s="24"/>
    </row>
    <row r="280" customFormat="false" ht="14.25" hidden="false" customHeight="false" outlineLevel="0" collapsed="false">
      <c r="C280" s="44" t="s">
        <v>256</v>
      </c>
      <c r="D280" s="45" t="s">
        <v>85</v>
      </c>
      <c r="E280" s="68" t="n">
        <f aca="false">SUM(E277:E279)</f>
        <v>5260.96486955012</v>
      </c>
      <c r="F280" s="68" t="n">
        <f aca="false">SUM(F277:F279)</f>
        <v>7250</v>
      </c>
      <c r="G280" s="68" t="n">
        <f aca="false">SUM(G277:G279)</f>
        <v>7250</v>
      </c>
      <c r="H280" s="68" t="n">
        <f aca="false">SUM(E280:G280)</f>
        <v>19760.9648695501</v>
      </c>
    </row>
    <row r="281" customFormat="false" ht="14.25" hidden="false" customHeight="false" outlineLevel="0" collapsed="false">
      <c r="C281" s="6" t="s">
        <v>257</v>
      </c>
      <c r="D281" s="2" t="s">
        <v>85</v>
      </c>
      <c r="E281" s="8" t="n">
        <f aca="false">-E69</f>
        <v>-135</v>
      </c>
      <c r="F281" s="8" t="n">
        <f aca="false">-F69</f>
        <v>-135</v>
      </c>
      <c r="G281" s="8" t="n">
        <f aca="false">-G69</f>
        <v>-135</v>
      </c>
      <c r="H281" s="8" t="n">
        <f aca="false">SUM(E281:G281)</f>
        <v>-405</v>
      </c>
      <c r="J281" s="24"/>
      <c r="K281" s="24"/>
      <c r="L281" s="24"/>
    </row>
    <row r="282" customFormat="false" ht="14.25" hidden="false" customHeight="false" outlineLevel="0" collapsed="false">
      <c r="C282" s="6" t="s">
        <v>258</v>
      </c>
      <c r="D282" s="2" t="s">
        <v>85</v>
      </c>
      <c r="E282" s="8" t="n">
        <f aca="false">-E61</f>
        <v>-8.21917808219178</v>
      </c>
      <c r="F282" s="8" t="n">
        <f aca="false">-F61</f>
        <v>-8.21917808219178</v>
      </c>
      <c r="G282" s="8" t="n">
        <f aca="false">-G61</f>
        <v>-8.21917808219178</v>
      </c>
      <c r="H282" s="8" t="n">
        <f aca="false">SUM(E282:G282)</f>
        <v>-24.6575342465753</v>
      </c>
      <c r="J282" s="24"/>
      <c r="K282" s="24"/>
      <c r="L282" s="24"/>
    </row>
    <row r="283" customFormat="false" ht="14.25" hidden="false" customHeight="false" outlineLevel="0" collapsed="false">
      <c r="C283" s="6" t="s">
        <v>259</v>
      </c>
      <c r="D283" s="2" t="s">
        <v>85</v>
      </c>
      <c r="E283" s="8" t="n">
        <f aca="false">-E228</f>
        <v>-679.181008129718</v>
      </c>
      <c r="F283" s="8" t="n">
        <f aca="false">-F228</f>
        <v>-679.181008129718</v>
      </c>
      <c r="G283" s="8" t="n">
        <f aca="false">-G228</f>
        <v>-679.181008129718</v>
      </c>
      <c r="H283" s="8" t="n">
        <f aca="false">SUM(E283:G283)</f>
        <v>-2037.54302438915</v>
      </c>
      <c r="J283" s="24"/>
      <c r="K283" s="24"/>
      <c r="L283" s="24"/>
    </row>
    <row r="284" customFormat="false" ht="14.25" hidden="false" customHeight="false" outlineLevel="0" collapsed="false">
      <c r="C284" s="44" t="s">
        <v>260</v>
      </c>
      <c r="D284" s="45" t="s">
        <v>85</v>
      </c>
      <c r="E284" s="68" t="n">
        <f aca="false">E280+SUM(E281:E283)</f>
        <v>4438.56468333821</v>
      </c>
      <c r="F284" s="68" t="n">
        <f aca="false">F280+SUM(F281:F283)</f>
        <v>6427.59981378809</v>
      </c>
      <c r="G284" s="68" t="n">
        <f aca="false">G280+SUM(G281:G283)</f>
        <v>6427.59981378809</v>
      </c>
      <c r="H284" s="68" t="n">
        <f aca="false">SUM(E284:G284)</f>
        <v>17293.7643109144</v>
      </c>
    </row>
    <row r="285" customFormat="false" ht="14.25" hidden="false" customHeight="false" outlineLevel="0" collapsed="false">
      <c r="C285" s="1" t="s">
        <v>261</v>
      </c>
      <c r="D285" s="2" t="s">
        <v>85</v>
      </c>
      <c r="E285" s="32" t="n">
        <f aca="false">-MAX(0,E284)*CIT_Rate*(1-Share_Exempt)</f>
        <v>-0</v>
      </c>
      <c r="F285" s="32" t="n">
        <f aca="false">-MAX(0,F284)*CIT_Rate*(1-Share_Exempt)</f>
        <v>-0</v>
      </c>
      <c r="G285" s="32" t="n">
        <f aca="false">-MAX(0,G284)*CIT_Rate*(1-Share_Exempt)</f>
        <v>-0</v>
      </c>
      <c r="H285" s="32" t="n">
        <f aca="false">SUM(E285:G285)</f>
        <v>0</v>
      </c>
    </row>
    <row r="286" customFormat="false" ht="14.25" hidden="false" customHeight="false" outlineLevel="0" collapsed="false">
      <c r="C286" s="1" t="s">
        <v>262</v>
      </c>
      <c r="D286" s="2" t="s">
        <v>85</v>
      </c>
      <c r="E286" s="32" t="n">
        <f aca="false">-E253*CIT_Rate*E$21</f>
        <v>-193.607434775059</v>
      </c>
      <c r="F286" s="32" t="n">
        <f aca="false">-F253*CIT_Rate*F$21</f>
        <v>-0</v>
      </c>
      <c r="G286" s="32" t="n">
        <f aca="false">-G253*CIT_Rate*G$21</f>
        <v>-0</v>
      </c>
      <c r="H286" s="32" t="n">
        <f aca="false">SUM(E286:G286)</f>
        <v>-193.607434775059</v>
      </c>
    </row>
    <row r="287" customFormat="false" ht="14.25" hidden="false" customHeight="false" outlineLevel="0" collapsed="false">
      <c r="C287" s="44" t="s">
        <v>129</v>
      </c>
      <c r="D287" s="45" t="s">
        <v>85</v>
      </c>
      <c r="E287" s="68" t="n">
        <f aca="false">E284+E285+E286</f>
        <v>4244.95724856315</v>
      </c>
      <c r="F287" s="68" t="n">
        <f aca="false">F284+F285+F286</f>
        <v>6427.59981378809</v>
      </c>
      <c r="G287" s="68" t="n">
        <f aca="false">G284+G285+G286</f>
        <v>6427.59981378809</v>
      </c>
      <c r="H287" s="68" t="n">
        <f aca="false">SUM(E287:G287)</f>
        <v>17100.1568761393</v>
      </c>
    </row>
    <row r="288" customFormat="false" ht="14.25" hidden="false" customHeight="false" outlineLevel="0" collapsed="false">
      <c r="C288" s="6" t="s">
        <v>263</v>
      </c>
      <c r="D288" s="2" t="s">
        <v>3</v>
      </c>
      <c r="E288" s="47" t="n">
        <f aca="false">SUMIF(E292:E299,"&gt;0")/-SUMIF(E292:E299,"&lt;0")</f>
        <v>2.29531096158801</v>
      </c>
      <c r="F288" s="47" t="n">
        <f aca="false">SUMIF(F292:F299,"&gt;0")/-SUMIF(F292:F299,"&lt;0")</f>
        <v>2.61550451448626</v>
      </c>
      <c r="G288" s="47" t="n">
        <f aca="false">SUMIF(G292:G299,"&gt;0")/-SUMIF(G292:G299,"&lt;0")</f>
        <v>2.61550451448626</v>
      </c>
      <c r="H288" s="47" t="n">
        <f aca="false">SUMIF(H292:H299,"&gt;0")/-SUMIF(H292:H299,"&lt;0")</f>
        <v>2.51912492978549</v>
      </c>
    </row>
    <row r="289" customFormat="false" ht="14.25" hidden="false" customHeight="false" outlineLevel="0" collapsed="false">
      <c r="C289" s="6" t="s">
        <v>264</v>
      </c>
      <c r="D289" s="2" t="s">
        <v>12</v>
      </c>
      <c r="E289" s="48" t="n">
        <f aca="false">XIRR(E292:E299,J292:J299)</f>
        <v>0.669984944789679</v>
      </c>
      <c r="F289" s="48" t="n">
        <f aca="false">XIRR(F292:F299,K292:K299)</f>
        <v>0.795403064715325</v>
      </c>
      <c r="G289" s="48" t="n">
        <f aca="false">XIRR(G292:G299,L292:L299)</f>
        <v>0.795403064715325</v>
      </c>
      <c r="H289" s="49" t="n">
        <f aca="false">XIRR(H292:H299,J292:J299)</f>
        <v>0.758838225005592</v>
      </c>
    </row>
    <row r="290" customFormat="false" ht="14.25" hidden="false" customHeight="false" outlineLevel="0" collapsed="false">
      <c r="C290" s="69" t="s">
        <v>265</v>
      </c>
      <c r="D290" s="34" t="s">
        <v>85</v>
      </c>
      <c r="E290" s="8" t="n">
        <f aca="false">E284-E338</f>
        <v>-258.790782380967</v>
      </c>
      <c r="F290" s="8" t="n">
        <f aca="false">F284-F338</f>
        <v>21.9178082191811</v>
      </c>
      <c r="G290" s="8" t="n">
        <f aca="false">G284-G338</f>
        <v>21.9178082191811</v>
      </c>
      <c r="H290" s="8" t="n">
        <f aca="false">SUM(E290:G290)</f>
        <v>-214.955165942605</v>
      </c>
    </row>
    <row r="291" customFormat="false" ht="14.25" hidden="false" customHeight="false" outlineLevel="0" collapsed="false">
      <c r="C291" s="42" t="s">
        <v>266</v>
      </c>
      <c r="D291" s="42"/>
      <c r="E291" s="43"/>
      <c r="F291" s="43"/>
      <c r="G291" s="43"/>
      <c r="H291" s="43"/>
      <c r="J291" s="43" t="s">
        <v>246</v>
      </c>
      <c r="K291" s="43" t="s">
        <v>6</v>
      </c>
      <c r="L291" s="43" t="s">
        <v>7</v>
      </c>
      <c r="M291" s="43" t="s">
        <v>267</v>
      </c>
      <c r="N291" s="43" t="s">
        <v>268</v>
      </c>
      <c r="O291" s="43" t="s">
        <v>269</v>
      </c>
    </row>
    <row r="292" customFormat="false" ht="14.25" hidden="false" customHeight="false" outlineLevel="1" collapsed="false">
      <c r="C292" s="6" t="s">
        <v>82</v>
      </c>
      <c r="D292" s="2" t="s">
        <v>85</v>
      </c>
      <c r="E292" s="8" t="n">
        <f aca="false">-E69</f>
        <v>-135</v>
      </c>
      <c r="F292" s="8" t="n">
        <f aca="false">-F69</f>
        <v>-135</v>
      </c>
      <c r="G292" s="8" t="n">
        <f aca="false">-G69</f>
        <v>-135</v>
      </c>
      <c r="H292" s="8" t="n">
        <f aca="false">SUM(E292:G292)</f>
        <v>-405</v>
      </c>
      <c r="J292" s="24" t="n">
        <f aca="false">Inputs!E$20</f>
        <v>46234</v>
      </c>
      <c r="K292" s="24" t="n">
        <f aca="false">Inputs!F$20</f>
        <v>46234</v>
      </c>
      <c r="L292" s="24" t="n">
        <f aca="false">Inputs!G$20</f>
        <v>46234</v>
      </c>
    </row>
    <row r="293" customFormat="false" ht="14.25" hidden="false" customHeight="false" outlineLevel="1" collapsed="false">
      <c r="C293" s="6" t="s">
        <v>73</v>
      </c>
      <c r="D293" s="2" t="s">
        <v>85</v>
      </c>
      <c r="E293" s="8" t="n">
        <f aca="false">-E61</f>
        <v>-8.21917808219178</v>
      </c>
      <c r="F293" s="8" t="n">
        <f aca="false">-F61</f>
        <v>-8.21917808219178</v>
      </c>
      <c r="G293" s="8" t="n">
        <f aca="false">-G61</f>
        <v>-8.21917808219178</v>
      </c>
      <c r="H293" s="8" t="n">
        <f aca="false">SUM(E293:G293)</f>
        <v>-24.6575342465753</v>
      </c>
      <c r="J293" s="24" t="n">
        <f aca="false">Inputs!E$21</f>
        <v>46325</v>
      </c>
      <c r="K293" s="24" t="n">
        <f aca="false">Inputs!F$21</f>
        <v>46325</v>
      </c>
      <c r="L293" s="24" t="n">
        <f aca="false">Inputs!G$21</f>
        <v>46325</v>
      </c>
      <c r="M293" s="70" t="n">
        <f aca="false">1+Rate_Cash*(DATE(YEAR(J293)+1,1,1)-J293)/Days_In_Year</f>
        <v>1.02071232876712</v>
      </c>
      <c r="N293" s="70" t="n">
        <f aca="false">1+Rate_Cash*(DATE(YEAR(K293)+1,1,1)-K293)/Days_In_Year</f>
        <v>1.02071232876712</v>
      </c>
      <c r="O293" s="70" t="n">
        <f aca="false">1+Rate_Cash*(DATE(YEAR(L293)+1,1,1)-L293)/Days_In_Year</f>
        <v>1.02071232876712</v>
      </c>
    </row>
    <row r="294" customFormat="false" ht="14.25" hidden="false" customHeight="false" outlineLevel="1" collapsed="false">
      <c r="C294" s="6" t="s">
        <v>75</v>
      </c>
      <c r="D294" s="2" t="s">
        <v>85</v>
      </c>
      <c r="E294" s="8" t="n">
        <f aca="false">-E62</f>
        <v>-388.493150684932</v>
      </c>
      <c r="F294" s="8" t="n">
        <f aca="false">-F62</f>
        <v>-498.904109589041</v>
      </c>
      <c r="G294" s="8" t="n">
        <f aca="false">-G62</f>
        <v>-498.904109589041</v>
      </c>
      <c r="H294" s="8" t="n">
        <f aca="false">SUM(E294:G294)</f>
        <v>-1386.30136986301</v>
      </c>
      <c r="J294" s="24" t="n">
        <f aca="false">Inputs!E$21</f>
        <v>46325</v>
      </c>
      <c r="K294" s="24" t="n">
        <f aca="false">Inputs!F$21</f>
        <v>46325</v>
      </c>
      <c r="L294" s="24" t="n">
        <f aca="false">Inputs!G$21</f>
        <v>46325</v>
      </c>
      <c r="M294" s="70" t="n">
        <f aca="false">1+Rate_Cash*(DATE(YEAR(J294)+1,1,1)-J294)/Days_In_Year</f>
        <v>1.02071232876712</v>
      </c>
      <c r="N294" s="70" t="n">
        <f aca="false">1+Rate_Cash*(DATE(YEAR(K294)+1,1,1)-K294)/Days_In_Year</f>
        <v>1.02071232876712</v>
      </c>
      <c r="O294" s="70" t="n">
        <f aca="false">1+Rate_Cash*(DATE(YEAR(L294)+1,1,1)-L294)/Days_In_Year</f>
        <v>1.02071232876712</v>
      </c>
    </row>
    <row r="295" customFormat="false" ht="14.25" hidden="false" customHeight="false" outlineLevel="1" collapsed="false">
      <c r="C295" s="6" t="s">
        <v>270</v>
      </c>
      <c r="D295" s="2" t="s">
        <v>85</v>
      </c>
      <c r="E295" s="8" t="n">
        <f aca="false">-E63</f>
        <v>-1553.97260273973</v>
      </c>
      <c r="F295" s="8" t="n">
        <f aca="false">-F63</f>
        <v>-1995.61643835616</v>
      </c>
      <c r="G295" s="8" t="n">
        <f aca="false">-G63</f>
        <v>-1995.61643835616</v>
      </c>
      <c r="H295" s="8" t="n">
        <f aca="false">SUM(E295:G295)</f>
        <v>-5545.20547945205</v>
      </c>
      <c r="J295" s="24" t="n">
        <f aca="false">Inputs!E$22</f>
        <v>46402</v>
      </c>
      <c r="K295" s="24" t="n">
        <f aca="false">Inputs!F$22</f>
        <v>46402</v>
      </c>
      <c r="L295" s="24" t="n">
        <f aca="false">Inputs!G$22</f>
        <v>46402</v>
      </c>
      <c r="M295" s="70" t="n">
        <f aca="false">1+Rate_Cash*(DATE(YEAR(J295)+1,1,1)-J295)/Days_In_Year</f>
        <v>1.11539726027397</v>
      </c>
      <c r="N295" s="70" t="n">
        <f aca="false">1+Rate_Cash*(DATE(YEAR(K295)+1,1,1)-K295)/Days_In_Year</f>
        <v>1.11539726027397</v>
      </c>
      <c r="O295" s="70" t="n">
        <f aca="false">1+Rate_Cash*(DATE(YEAR(L295)+1,1,1)-L295)/Days_In_Year</f>
        <v>1.11539726027397</v>
      </c>
    </row>
    <row r="296" customFormat="false" ht="14.25" hidden="false" customHeight="false" outlineLevel="1" collapsed="false">
      <c r="C296" s="6" t="s">
        <v>77</v>
      </c>
      <c r="D296" s="2" t="s">
        <v>85</v>
      </c>
      <c r="E296" s="8" t="n">
        <f aca="false">-E64</f>
        <v>-616.438356164384</v>
      </c>
      <c r="F296" s="8" t="n">
        <f aca="false">-F64</f>
        <v>-616.438356164384</v>
      </c>
      <c r="G296" s="8" t="n">
        <f aca="false">-G64</f>
        <v>-616.438356164384</v>
      </c>
      <c r="H296" s="8" t="n">
        <f aca="false">SUM(E296:G296)</f>
        <v>-1849.31506849315</v>
      </c>
      <c r="J296" s="24" t="n">
        <f aca="false">Inputs!E$23</f>
        <v>46402</v>
      </c>
      <c r="K296" s="24" t="n">
        <f aca="false">Inputs!F$23</f>
        <v>46402</v>
      </c>
      <c r="L296" s="24" t="n">
        <f aca="false">Inputs!G$23</f>
        <v>46402</v>
      </c>
      <c r="M296" s="70" t="n">
        <f aca="false">1+Rate_Cash*(DATE(YEAR(J296)+1,1,1)-J296)/Days_In_Year</f>
        <v>1.11539726027397</v>
      </c>
      <c r="N296" s="70" t="n">
        <f aca="false">1+Rate_Cash*(DATE(YEAR(K296)+1,1,1)-K296)/Days_In_Year</f>
        <v>1.11539726027397</v>
      </c>
      <c r="O296" s="70" t="n">
        <f aca="false">1+Rate_Cash*(DATE(YEAR(L296)+1,1,1)-L296)/Days_In_Year</f>
        <v>1.11539726027397</v>
      </c>
    </row>
    <row r="297" customFormat="false" ht="14.25" hidden="false" customHeight="false" outlineLevel="1" collapsed="false">
      <c r="C297" s="6" t="s">
        <v>116</v>
      </c>
      <c r="D297" s="2" t="s">
        <v>85</v>
      </c>
      <c r="E297" s="8" t="n">
        <f aca="false">-E225</f>
        <v>-45.3359589041096</v>
      </c>
      <c r="F297" s="8" t="n">
        <f aca="false">-F225</f>
        <v>-45.3359589041096</v>
      </c>
      <c r="G297" s="8" t="n">
        <f aca="false">-G225</f>
        <v>-45.3359589041096</v>
      </c>
      <c r="H297" s="8" t="n">
        <f aca="false">SUM(E297:G297)</f>
        <v>-136.007876712329</v>
      </c>
      <c r="J297" s="24" t="n">
        <f aca="false">E224</f>
        <v>46431</v>
      </c>
      <c r="K297" s="24" t="n">
        <f aca="false">F224</f>
        <v>46431</v>
      </c>
      <c r="L297" s="24" t="n">
        <f aca="false">G224</f>
        <v>46431</v>
      </c>
      <c r="M297" s="70" t="n">
        <f aca="false">1+Rate_Devex*(DATE(YEAR(J297)+1,1,1)-J297)/Days_In_Year</f>
        <v>1.17643835616438</v>
      </c>
      <c r="N297" s="70" t="n">
        <f aca="false">1+Rate_Devex*(DATE(YEAR(K297)+1,1,1)-K297)/Days_In_Year</f>
        <v>1.17643835616438</v>
      </c>
      <c r="O297" s="70" t="n">
        <f aca="false">1+Rate_Devex*(DATE(YEAR(L297)+1,1,1)-L297)/Days_In_Year</f>
        <v>1.17643835616438</v>
      </c>
    </row>
    <row r="298" customFormat="false" ht="14.25" hidden="false" customHeight="false" outlineLevel="1" collapsed="false">
      <c r="C298" s="6" t="s">
        <v>271</v>
      </c>
      <c r="D298" s="2" t="s">
        <v>85</v>
      </c>
      <c r="E298" s="8" t="n">
        <f aca="false">-E228</f>
        <v>-679.181008129718</v>
      </c>
      <c r="F298" s="8" t="n">
        <f aca="false">-F228</f>
        <v>-679.181008129718</v>
      </c>
      <c r="G298" s="8" t="n">
        <f aca="false">-G228</f>
        <v>-679.181008129718</v>
      </c>
      <c r="H298" s="8" t="n">
        <f aca="false">SUM(E298:G298)</f>
        <v>-2037.54302438915</v>
      </c>
      <c r="J298" s="24" t="n">
        <f aca="false">E227</f>
        <v>46701.5587560279</v>
      </c>
      <c r="K298" s="24" t="n">
        <f aca="false">F227</f>
        <v>46701.5587560279</v>
      </c>
      <c r="L298" s="24" t="n">
        <f aca="false">G227</f>
        <v>46701.5587560279</v>
      </c>
      <c r="M298" s="70" t="n">
        <f aca="false">1+Rate_Devex*(DATE(YEAR(J298)+1,1,1)-J298)/Days_In_Year</f>
        <v>1.02818698299841</v>
      </c>
      <c r="N298" s="70" t="n">
        <f aca="false">1+Rate_Devex*(DATE(YEAR(K298)+1,1,1)-K298)/Days_In_Year</f>
        <v>1.02818698299841</v>
      </c>
      <c r="O298" s="70" t="n">
        <f aca="false">1+Rate_Devex*(DATE(YEAR(L298)+1,1,1)-L298)/Days_In_Year</f>
        <v>1.02818698299841</v>
      </c>
    </row>
    <row r="299" customFormat="false" ht="14.25" hidden="false" customHeight="false" outlineLevel="1" collapsed="false">
      <c r="C299" s="6" t="s">
        <v>272</v>
      </c>
      <c r="D299" s="2" t="s">
        <v>85</v>
      </c>
      <c r="E299" s="8" t="n">
        <f aca="false">E280-E261-E262</f>
        <v>7865.20493804327</v>
      </c>
      <c r="F299" s="8" t="n">
        <f aca="false">F280-F261-F262</f>
        <v>10406.2948630137</v>
      </c>
      <c r="G299" s="8" t="n">
        <f aca="false">G280-G261-G262</f>
        <v>10406.2948630137</v>
      </c>
      <c r="H299" s="8" t="n">
        <f aca="false">SUM(E299:G299)</f>
        <v>28677.7946640707</v>
      </c>
      <c r="J299" s="24" t="n">
        <f aca="false">Sale_Date_A</f>
        <v>47026</v>
      </c>
      <c r="K299" s="24" t="n">
        <f aca="false">Sale_Date_A</f>
        <v>47026</v>
      </c>
      <c r="L299" s="24" t="n">
        <f aca="false">Sale_Date_A</f>
        <v>47026</v>
      </c>
    </row>
    <row r="300" customFormat="false" ht="14.25" hidden="false" customHeight="false" outlineLevel="0" collapsed="false">
      <c r="C300" s="6" t="s">
        <v>273</v>
      </c>
      <c r="D300" s="2" t="s">
        <v>85</v>
      </c>
      <c r="E300" s="8" t="n">
        <f aca="false">-J$422*CIT_Rate*E$21</f>
        <v>-1.23252542690937</v>
      </c>
      <c r="F300" s="8" t="n">
        <f aca="false">-J$479*CIT_Rate*F$21</f>
        <v>-0</v>
      </c>
      <c r="G300" s="8" t="n">
        <f aca="false">-J$536*CIT_Rate*G$21</f>
        <v>-0</v>
      </c>
      <c r="H300" s="8" t="n">
        <f aca="false">SUM(E300:G300)</f>
        <v>-1.23252542690937</v>
      </c>
      <c r="J300" s="24" t="n">
        <f aca="false">J$365</f>
        <v>46387</v>
      </c>
      <c r="K300" s="24" t="n">
        <f aca="false">J$365</f>
        <v>46387</v>
      </c>
      <c r="L300" s="24" t="n">
        <f aca="false">J$365</f>
        <v>46387</v>
      </c>
    </row>
    <row r="301" customFormat="false" ht="14.25" hidden="false" customHeight="false" outlineLevel="0" collapsed="false">
      <c r="C301" s="6" t="s">
        <v>274</v>
      </c>
      <c r="D301" s="2" t="s">
        <v>85</v>
      </c>
      <c r="E301" s="8" t="n">
        <f aca="false">-K$422*CIT_Rate*E$21</f>
        <v>-48.9291065569347</v>
      </c>
      <c r="F301" s="8" t="n">
        <f aca="false">-K$479*CIT_Rate*F$21</f>
        <v>-0</v>
      </c>
      <c r="G301" s="8" t="n">
        <f aca="false">-K$536*CIT_Rate*G$21</f>
        <v>-0</v>
      </c>
      <c r="H301" s="8" t="n">
        <f aca="false">SUM(E301:G301)</f>
        <v>-48.9291065569347</v>
      </c>
      <c r="J301" s="24" t="n">
        <f aca="false">K$365</f>
        <v>46752</v>
      </c>
      <c r="K301" s="24" t="n">
        <f aca="false">K$365</f>
        <v>46752</v>
      </c>
      <c r="L301" s="24" t="n">
        <f aca="false">K$365</f>
        <v>46752</v>
      </c>
    </row>
    <row r="302" customFormat="false" ht="14.25" hidden="false" customHeight="false" outlineLevel="0" collapsed="false">
      <c r="C302" s="6" t="s">
        <v>275</v>
      </c>
      <c r="D302" s="2" t="s">
        <v>85</v>
      </c>
      <c r="E302" s="8" t="n">
        <f aca="false">-L$422*CIT_Rate*E$21</f>
        <v>0</v>
      </c>
      <c r="F302" s="8" t="n">
        <f aca="false">-L$479*CIT_Rate*F$21</f>
        <v>-0</v>
      </c>
      <c r="G302" s="8" t="n">
        <f aca="false">-L$536*CIT_Rate*G$21</f>
        <v>-0</v>
      </c>
      <c r="H302" s="8" t="n">
        <f aca="false">SUM(E302:G302)</f>
        <v>0</v>
      </c>
      <c r="J302" s="24" t="n">
        <f aca="false">L$365</f>
        <v>47118</v>
      </c>
      <c r="K302" s="24" t="n">
        <f aca="false">L$365</f>
        <v>47118</v>
      </c>
      <c r="L302" s="24" t="n">
        <f aca="false">L$365</f>
        <v>47118</v>
      </c>
    </row>
    <row r="303" customFormat="false" ht="14.25" hidden="false" customHeight="false" outlineLevel="0" collapsed="false">
      <c r="C303" s="6" t="s">
        <v>276</v>
      </c>
      <c r="D303" s="2" t="s">
        <v>85</v>
      </c>
      <c r="E303" s="8" t="n">
        <f aca="false">-E253*CIT_Rate*E$21-SUM(E300:E302)</f>
        <v>-143.445802791215</v>
      </c>
      <c r="F303" s="8" t="n">
        <f aca="false">-F253*CIT_Rate*F$21-SUM(F300:F302)</f>
        <v>-0</v>
      </c>
      <c r="G303" s="8" t="n">
        <f aca="false">-G253*CIT_Rate*G$21-SUM(G300:G302)</f>
        <v>-0</v>
      </c>
      <c r="H303" s="8" t="n">
        <f aca="false">SUM(E303:G303)</f>
        <v>-143.445802791215</v>
      </c>
      <c r="J303" s="24" t="n">
        <f aca="false">Sale_Date_A</f>
        <v>47026</v>
      </c>
      <c r="K303" s="24" t="n">
        <f aca="false">Sale_Date_A</f>
        <v>47026</v>
      </c>
      <c r="L303" s="24" t="n">
        <f aca="false">Sale_Date_A</f>
        <v>47026</v>
      </c>
    </row>
    <row r="304" customFormat="false" ht="14.25" hidden="false" customHeight="false" outlineLevel="0" collapsed="false">
      <c r="C304" s="6" t="s">
        <v>261</v>
      </c>
      <c r="D304" s="2" t="s">
        <v>85</v>
      </c>
      <c r="E304" s="8" t="n">
        <f aca="false">E285</f>
        <v>-0</v>
      </c>
      <c r="F304" s="8" t="n">
        <f aca="false">F285</f>
        <v>-0</v>
      </c>
      <c r="G304" s="8" t="n">
        <f aca="false">G285</f>
        <v>-0</v>
      </c>
      <c r="H304" s="8" t="n">
        <f aca="false">SUM(E304:G304)</f>
        <v>0</v>
      </c>
      <c r="J304" s="24" t="n">
        <f aca="false">Sale_Date_A</f>
        <v>47026</v>
      </c>
      <c r="K304" s="24" t="n">
        <f aca="false">Sale_Date_A</f>
        <v>47026</v>
      </c>
      <c r="L304" s="24" t="n">
        <f aca="false">Sale_Date_A</f>
        <v>47026</v>
      </c>
    </row>
    <row r="305" customFormat="false" ht="14.25" hidden="false" customHeight="false" outlineLevel="0" collapsed="false">
      <c r="C305" s="6" t="s">
        <v>277</v>
      </c>
      <c r="D305" s="2" t="s">
        <v>3</v>
      </c>
      <c r="E305" s="47" t="n">
        <f aca="false">SUMIF(E292:E304,"&gt;0")/-SUMIF(E292:E304,"&lt;0")</f>
        <v>2.17255989442334</v>
      </c>
      <c r="F305" s="47" t="n">
        <f aca="false">SUMIF(F292:F304,"&gt;0")/-SUMIF(F292:F304,"&lt;0")</f>
        <v>2.61550451448626</v>
      </c>
      <c r="G305" s="47" t="n">
        <f aca="false">SUMIF(G292:G304,"&gt;0")/-SUMIF(G292:G304,"&lt;0")</f>
        <v>2.61550451448626</v>
      </c>
      <c r="H305" s="47" t="n">
        <f aca="false">SUMIF(H292:H304,"&gt;0")/-SUMIF(H292:H304,"&lt;0")</f>
        <v>2.47699877897068</v>
      </c>
      <c r="J305" s="24"/>
      <c r="K305" s="24"/>
      <c r="L305" s="24"/>
    </row>
    <row r="306" customFormat="false" ht="14.25" hidden="false" customHeight="false" outlineLevel="0" collapsed="false">
      <c r="C306" s="6" t="s">
        <v>278</v>
      </c>
      <c r="D306" s="2" t="s">
        <v>12</v>
      </c>
      <c r="E306" s="48" t="n">
        <f aca="false">XIRR(E292:E304,J292:J304)</f>
        <v>0.641832928036373</v>
      </c>
      <c r="F306" s="48" t="n">
        <f aca="false">XIRR(F292:F304,K292:K304)</f>
        <v>0.795403064715325</v>
      </c>
      <c r="G306" s="48" t="n">
        <f aca="false">XIRR(G292:G304,L292:L304)</f>
        <v>0.795403064715325</v>
      </c>
      <c r="H306" s="49" t="n">
        <f aca="false">XIRR(H292:H304,J292:J304)</f>
        <v>0.750676749529129</v>
      </c>
      <c r="J306" s="24"/>
      <c r="K306" s="24"/>
      <c r="L306" s="24"/>
    </row>
    <row r="308" customFormat="false" ht="14.25" hidden="false" customHeight="false" outlineLevel="0" collapsed="false">
      <c r="B308" s="4" t="s">
        <v>3</v>
      </c>
      <c r="C308" s="4" t="s">
        <v>279</v>
      </c>
      <c r="D308" s="4"/>
      <c r="E308" s="5" t="s">
        <v>5</v>
      </c>
      <c r="F308" s="5" t="s">
        <v>6</v>
      </c>
      <c r="G308" s="5" t="s">
        <v>7</v>
      </c>
      <c r="H308" s="5" t="s">
        <v>8</v>
      </c>
    </row>
    <row r="309" customFormat="false" ht="14.25" hidden="false" customHeight="false" outlineLevel="0" collapsed="false">
      <c r="C309" s="6" t="s">
        <v>28</v>
      </c>
      <c r="D309" s="2" t="s">
        <v>85</v>
      </c>
      <c r="E309" s="8" t="n">
        <f aca="false">E98</f>
        <v>7500</v>
      </c>
      <c r="F309" s="8" t="n">
        <f aca="false">F98</f>
        <v>7500</v>
      </c>
      <c r="G309" s="8" t="n">
        <f aca="false">G98</f>
        <v>7500</v>
      </c>
      <c r="H309" s="8" t="n">
        <f aca="false">SUM(E309:G309)</f>
        <v>22500</v>
      </c>
    </row>
    <row r="310" customFormat="false" ht="14.25" hidden="false" customHeight="false" outlineLevel="0" collapsed="false">
      <c r="C310" s="6" t="s">
        <v>280</v>
      </c>
      <c r="D310" s="2" t="s">
        <v>85</v>
      </c>
      <c r="E310" s="8" t="n">
        <f aca="false">SUM(E62:E66)</f>
        <v>12648.5978136986</v>
      </c>
      <c r="F310" s="8" t="n">
        <f aca="false">SUM(F62:F66)</f>
        <v>6470.77808219178</v>
      </c>
      <c r="G310" s="8" t="n">
        <f aca="false">SUM(G62:G66)</f>
        <v>6470.77808219178</v>
      </c>
      <c r="H310" s="8" t="n">
        <f aca="false">SUM(E310:G310)</f>
        <v>25590.1539780822</v>
      </c>
    </row>
    <row r="311" customFormat="false" ht="14.25" hidden="false" customHeight="false" outlineLevel="0" collapsed="false">
      <c r="C311" s="1" t="s">
        <v>234</v>
      </c>
      <c r="D311" s="2" t="s">
        <v>85</v>
      </c>
      <c r="E311" s="15" t="n">
        <f aca="false">E68</f>
        <v>107.801712328767</v>
      </c>
      <c r="F311" s="15" t="n">
        <f aca="false">F68</f>
        <v>107.801712328767</v>
      </c>
      <c r="G311" s="15" t="n">
        <f aca="false">G68</f>
        <v>107.801712328767</v>
      </c>
      <c r="H311" s="15" t="n">
        <f aca="false">SUM(E311:G311)</f>
        <v>323.405136986301</v>
      </c>
    </row>
    <row r="312" customFormat="false" ht="14.25" hidden="false" customHeight="false" outlineLevel="0" collapsed="false">
      <c r="C312" s="6" t="s">
        <v>235</v>
      </c>
      <c r="D312" s="2" t="s">
        <v>85</v>
      </c>
      <c r="E312" s="8" t="n">
        <f aca="false">SUM(E309:E311)</f>
        <v>20256.3995260274</v>
      </c>
      <c r="F312" s="8" t="n">
        <f aca="false">SUM(F309:F311)</f>
        <v>14078.5797945205</v>
      </c>
      <c r="G312" s="8" t="n">
        <f aca="false">SUM(G309:G311)</f>
        <v>14078.5797945205</v>
      </c>
      <c r="H312" s="8" t="n">
        <f aca="false">SUM(E312:G312)</f>
        <v>48413.5591150685</v>
      </c>
    </row>
    <row r="313" customFormat="false" ht="14.25" hidden="false" customHeight="false" outlineLevel="0" collapsed="false">
      <c r="C313" s="6" t="s">
        <v>236</v>
      </c>
      <c r="D313" s="2" t="s">
        <v>85</v>
      </c>
      <c r="E313" s="8" t="n">
        <f aca="false">-MIN(E312,Sale_Costs)</f>
        <v>-250</v>
      </c>
      <c r="F313" s="8" t="n">
        <f aca="false">-MIN(F312,Sale_Costs)</f>
        <v>-250</v>
      </c>
      <c r="G313" s="8" t="n">
        <f aca="false">-MIN(G312,Sale_Costs)</f>
        <v>-250</v>
      </c>
      <c r="H313" s="8" t="n">
        <f aca="false">SUM(E313:G313)</f>
        <v>-750</v>
      </c>
    </row>
    <row r="314" customFormat="false" ht="14.25" hidden="false" customHeight="false" outlineLevel="0" collapsed="false">
      <c r="C314" s="6" t="s">
        <v>281</v>
      </c>
      <c r="D314" s="2" t="s">
        <v>85</v>
      </c>
      <c r="E314" s="8" t="n">
        <f aca="false">-MIN(SUM(E312:E313),E310)</f>
        <v>-12648.5978136986</v>
      </c>
      <c r="F314" s="8" t="n">
        <f aca="false">-MIN(SUM(F312:F313),F310)</f>
        <v>-6470.77808219178</v>
      </c>
      <c r="G314" s="8" t="n">
        <f aca="false">-MIN(SUM(G312:G313),G310)</f>
        <v>-6470.77808219178</v>
      </c>
      <c r="H314" s="8" t="n">
        <f aca="false">SUM(E314:G314)</f>
        <v>-25590.1539780822</v>
      </c>
    </row>
    <row r="315" customFormat="false" ht="14.25" hidden="false" customHeight="false" outlineLevel="0" collapsed="false">
      <c r="C315" s="6" t="s">
        <v>238</v>
      </c>
      <c r="D315" s="2" t="s">
        <v>85</v>
      </c>
      <c r="E315" s="8" t="n">
        <f aca="false">-MIN(SUM(E312:E314),E311)</f>
        <v>-107.801712328767</v>
      </c>
      <c r="F315" s="8" t="n">
        <f aca="false">-MIN(SUM(F312:F314),F311)</f>
        <v>-107.801712328767</v>
      </c>
      <c r="G315" s="8" t="n">
        <f aca="false">-MIN(SUM(G312:G314),G311)</f>
        <v>-107.801712328767</v>
      </c>
      <c r="H315" s="8" t="n">
        <f aca="false">SUM(E315:G315)</f>
        <v>-323.405136986301</v>
      </c>
    </row>
    <row r="316" customFormat="false" ht="14.25" hidden="false" customHeight="false" outlineLevel="0" collapsed="false">
      <c r="C316" s="6" t="s">
        <v>239</v>
      </c>
      <c r="D316" s="2" t="s">
        <v>85</v>
      </c>
      <c r="E316" s="8" t="n">
        <f aca="false">-MIN(SUM(E312:E315),SUM(E210:E215))</f>
        <v>-1767.51100515654</v>
      </c>
      <c r="F316" s="8" t="n">
        <f aca="false">-MIN(SUM(F312:F315),SUM(F210:F215))</f>
        <v>-0</v>
      </c>
      <c r="G316" s="8" t="n">
        <f aca="false">-MIN(SUM(G312:G315),SUM(G210:G215))</f>
        <v>-0</v>
      </c>
      <c r="H316" s="8" t="n">
        <f aca="false">SUM(E316:G316)</f>
        <v>-1767.51100515654</v>
      </c>
      <c r="N316" s="71"/>
    </row>
    <row r="317" customFormat="false" ht="14.25" hidden="false" customHeight="false" outlineLevel="0" collapsed="false">
      <c r="C317" s="6" t="s">
        <v>240</v>
      </c>
      <c r="D317" s="2" t="s">
        <v>85</v>
      </c>
      <c r="E317" s="8" t="n">
        <f aca="false">-MIN(SUM(E312:E316),SUM(E216:E217))</f>
        <v>-808.900528677663</v>
      </c>
      <c r="F317" s="8" t="n">
        <f aca="false">-MIN(SUM(F312:F316),SUM(F216:F217))</f>
        <v>-0</v>
      </c>
      <c r="G317" s="8" t="n">
        <f aca="false">-MIN(SUM(G312:G316),SUM(G216:G217))</f>
        <v>-0</v>
      </c>
      <c r="H317" s="8" t="n">
        <f aca="false">SUM(E317:G317)</f>
        <v>-808.900528677663</v>
      </c>
      <c r="N317" s="71"/>
    </row>
    <row r="318" customFormat="false" ht="14.25" hidden="false" customHeight="false" outlineLevel="0" collapsed="false">
      <c r="C318" s="6" t="s">
        <v>241</v>
      </c>
      <c r="D318" s="2" t="s">
        <v>85</v>
      </c>
      <c r="E318" s="8" t="n">
        <f aca="false">-MIN(SUM(E312:E317),E219)</f>
        <v>-437.5</v>
      </c>
      <c r="F318" s="8" t="n">
        <f aca="false">-MIN(SUM(F312:F317),F219)</f>
        <v>-0</v>
      </c>
      <c r="G318" s="8" t="n">
        <f aca="false">-MIN(SUM(G312:G317),G219)</f>
        <v>-0</v>
      </c>
      <c r="H318" s="8" t="n">
        <f aca="false">SUM(E318:G318)</f>
        <v>-437.5</v>
      </c>
    </row>
    <row r="319" customFormat="false" ht="14.25" hidden="false" customHeight="false" outlineLevel="0" collapsed="false">
      <c r="C319" s="1" t="s">
        <v>242</v>
      </c>
      <c r="D319" s="2" t="s">
        <v>85</v>
      </c>
      <c r="E319" s="32" t="n">
        <f aca="false">SUM(E312:E318)</f>
        <v>4236.08846616579</v>
      </c>
      <c r="F319" s="32" t="n">
        <f aca="false">SUM(F312:F318)</f>
        <v>7250</v>
      </c>
      <c r="G319" s="32" t="n">
        <f aca="false">SUM(G312:G318)</f>
        <v>7250</v>
      </c>
      <c r="H319" s="32" t="n">
        <f aca="false">SUM(E319:G319)</f>
        <v>18736.0884661658</v>
      </c>
    </row>
    <row r="320" customFormat="false" ht="14.25" hidden="false" customHeight="false" outlineLevel="0" collapsed="false">
      <c r="C320" s="6" t="s">
        <v>243</v>
      </c>
      <c r="D320" s="2" t="s">
        <v>85</v>
      </c>
      <c r="E320" s="8" t="n">
        <f aca="false">E319*E19</f>
        <v>2965.26192631606</v>
      </c>
      <c r="F320" s="8" t="n">
        <f aca="false">F319*F19</f>
        <v>7250</v>
      </c>
      <c r="G320" s="8" t="n">
        <f aca="false">G319*G19</f>
        <v>7250</v>
      </c>
      <c r="H320" s="8" t="n">
        <f aca="false">SUM(E320:G320)</f>
        <v>17465.2619263161</v>
      </c>
    </row>
    <row r="321" customFormat="false" ht="14.25" hidden="false" customHeight="false" outlineLevel="0" collapsed="false">
      <c r="C321" s="6" t="s">
        <v>244</v>
      </c>
      <c r="D321" s="2" t="s">
        <v>85</v>
      </c>
      <c r="E321" s="8" t="n">
        <f aca="false">E319-E320</f>
        <v>1270.82653984974</v>
      </c>
      <c r="F321" s="8" t="n">
        <f aca="false">F319-F320</f>
        <v>0</v>
      </c>
      <c r="G321" s="8" t="n">
        <f aca="false">G319-G320</f>
        <v>0</v>
      </c>
      <c r="H321" s="8" t="n">
        <f aca="false">SUM(E321:G321)</f>
        <v>1270.82653984974</v>
      </c>
    </row>
    <row r="323" customFormat="false" ht="14.25" hidden="false" customHeight="false" outlineLevel="0" collapsed="false">
      <c r="C323" s="42" t="s">
        <v>282</v>
      </c>
      <c r="D323" s="42"/>
      <c r="E323" s="43" t="s">
        <v>5</v>
      </c>
      <c r="F323" s="43" t="s">
        <v>6</v>
      </c>
      <c r="G323" s="43" t="s">
        <v>7</v>
      </c>
      <c r="H323" s="43" t="s">
        <v>8</v>
      </c>
      <c r="J323" s="43"/>
      <c r="K323" s="43"/>
      <c r="L323" s="43"/>
    </row>
    <row r="324" customFormat="false" ht="14.25" hidden="false" customHeight="false" outlineLevel="0" collapsed="false">
      <c r="C324" s="6" t="s">
        <v>247</v>
      </c>
      <c r="D324" s="2" t="s">
        <v>85</v>
      </c>
      <c r="E324" s="8" t="n">
        <f aca="false">E98</f>
        <v>7500</v>
      </c>
      <c r="F324" s="8" t="n">
        <f aca="false">F98</f>
        <v>7500</v>
      </c>
      <c r="G324" s="8" t="n">
        <f aca="false">G98</f>
        <v>7500</v>
      </c>
      <c r="H324" s="8" t="n">
        <f aca="false">SUM(E324:G324)</f>
        <v>22500</v>
      </c>
      <c r="J324" s="24"/>
      <c r="K324" s="24"/>
      <c r="L324" s="24"/>
    </row>
    <row r="325" customFormat="false" ht="14.25" hidden="false" customHeight="false" outlineLevel="0" collapsed="false">
      <c r="C325" s="6" t="s">
        <v>248</v>
      </c>
      <c r="D325" s="2" t="s">
        <v>85</v>
      </c>
      <c r="E325" s="8" t="n">
        <f aca="false">0</f>
        <v>0</v>
      </c>
      <c r="F325" s="8" t="n">
        <f aca="false">0</f>
        <v>0</v>
      </c>
      <c r="G325" s="8" t="n">
        <f aca="false">0</f>
        <v>0</v>
      </c>
      <c r="H325" s="8" t="n">
        <f aca="false">SUM(E325:G325)</f>
        <v>0</v>
      </c>
      <c r="J325" s="24"/>
      <c r="K325" s="24"/>
      <c r="L325" s="24"/>
    </row>
    <row r="326" customFormat="false" ht="14.25" hidden="false" customHeight="false" outlineLevel="0" collapsed="false">
      <c r="C326" s="6" t="s">
        <v>249</v>
      </c>
      <c r="D326" s="2" t="s">
        <v>85</v>
      </c>
      <c r="E326" s="8" t="n">
        <f aca="false">0</f>
        <v>0</v>
      </c>
      <c r="F326" s="8" t="n">
        <f aca="false">0</f>
        <v>0</v>
      </c>
      <c r="G326" s="8" t="n">
        <f aca="false">0</f>
        <v>0</v>
      </c>
      <c r="H326" s="8" t="n">
        <f aca="false">SUM(E326:G326)</f>
        <v>0</v>
      </c>
      <c r="J326" s="24"/>
      <c r="K326" s="24"/>
      <c r="L326" s="24"/>
    </row>
    <row r="327" customFormat="false" ht="14.25" hidden="false" customHeight="false" outlineLevel="0" collapsed="false">
      <c r="C327" s="6" t="s">
        <v>250</v>
      </c>
      <c r="D327" s="2" t="s">
        <v>85</v>
      </c>
      <c r="E327" s="8" t="n">
        <f aca="false">0</f>
        <v>0</v>
      </c>
      <c r="F327" s="8" t="n">
        <f aca="false">0</f>
        <v>0</v>
      </c>
      <c r="G327" s="8" t="n">
        <f aca="false">0</f>
        <v>0</v>
      </c>
      <c r="H327" s="8" t="n">
        <f aca="false">SUM(E327:G327)</f>
        <v>0</v>
      </c>
      <c r="J327" s="24"/>
      <c r="K327" s="24"/>
      <c r="L327" s="24"/>
    </row>
    <row r="328" customFormat="false" ht="14.25" hidden="false" customHeight="false" outlineLevel="0" collapsed="false">
      <c r="C328" s="6" t="s">
        <v>251</v>
      </c>
      <c r="D328" s="2" t="s">
        <v>85</v>
      </c>
      <c r="E328" s="8" t="n">
        <f aca="false">E313</f>
        <v>-250</v>
      </c>
      <c r="F328" s="8" t="n">
        <f aca="false">F313</f>
        <v>-250</v>
      </c>
      <c r="G328" s="8" t="n">
        <f aca="false">G313</f>
        <v>-250</v>
      </c>
      <c r="H328" s="8" t="n">
        <f aca="false">SUM(E328:G328)</f>
        <v>-750</v>
      </c>
      <c r="J328" s="24"/>
      <c r="K328" s="24"/>
      <c r="L328" s="24"/>
    </row>
    <row r="329" customFormat="false" ht="14.25" hidden="false" customHeight="false" outlineLevel="0" collapsed="false">
      <c r="C329" s="6" t="s">
        <v>252</v>
      </c>
      <c r="D329" s="2" t="s">
        <v>85</v>
      </c>
      <c r="E329" s="8" t="n">
        <f aca="false">E318</f>
        <v>-437.5</v>
      </c>
      <c r="F329" s="8" t="n">
        <f aca="false">F318</f>
        <v>-0</v>
      </c>
      <c r="G329" s="8" t="n">
        <f aca="false">G318</f>
        <v>-0</v>
      </c>
      <c r="H329" s="8" t="n">
        <f aca="false">SUM(E329:G329)</f>
        <v>-437.5</v>
      </c>
      <c r="J329" s="24"/>
      <c r="K329" s="24"/>
      <c r="L329" s="24"/>
    </row>
    <row r="330" customFormat="false" ht="14.25" hidden="false" customHeight="false" outlineLevel="0" collapsed="false">
      <c r="C330" s="6" t="s">
        <v>253</v>
      </c>
      <c r="D330" s="2" t="s">
        <v>85</v>
      </c>
      <c r="E330" s="8" t="n">
        <f aca="false">-E321</f>
        <v>-1270.82653984974</v>
      </c>
      <c r="F330" s="8" t="n">
        <f aca="false">-F321</f>
        <v>-0</v>
      </c>
      <c r="G330" s="8" t="n">
        <f aca="false">-G321</f>
        <v>-0</v>
      </c>
      <c r="H330" s="8" t="n">
        <f aca="false">SUM(E330:G330)</f>
        <v>-1270.82653984974</v>
      </c>
      <c r="J330" s="24"/>
      <c r="K330" s="24"/>
      <c r="L330" s="24"/>
    </row>
    <row r="331" customFormat="false" ht="14.25" hidden="false" customHeight="false" outlineLevel="0" collapsed="false">
      <c r="C331" s="6" t="s">
        <v>254</v>
      </c>
      <c r="D331" s="67" t="s">
        <v>85</v>
      </c>
      <c r="E331" s="8" t="n">
        <f aca="false">-E316</f>
        <v>1767.51100515654</v>
      </c>
      <c r="F331" s="8" t="n">
        <f aca="false">-F316</f>
        <v>0</v>
      </c>
      <c r="G331" s="8" t="n">
        <f aca="false">-G316</f>
        <v>0</v>
      </c>
      <c r="H331" s="8" t="n">
        <f aca="false">SUM(E331:G331)</f>
        <v>1767.51100515654</v>
      </c>
      <c r="J331" s="24"/>
      <c r="K331" s="24"/>
      <c r="L331" s="24"/>
    </row>
    <row r="332" customFormat="false" ht="14.25" hidden="false" customHeight="false" outlineLevel="0" collapsed="false">
      <c r="C332" s="6" t="s">
        <v>255</v>
      </c>
      <c r="D332" s="67" t="s">
        <v>85</v>
      </c>
      <c r="E332" s="8" t="n">
        <f aca="false">-E317</f>
        <v>808.900528677663</v>
      </c>
      <c r="F332" s="8" t="n">
        <f aca="false">-F317</f>
        <v>0</v>
      </c>
      <c r="G332" s="8" t="n">
        <f aca="false">-G317</f>
        <v>0</v>
      </c>
      <c r="H332" s="8" t="n">
        <f aca="false">SUM(E332:G332)</f>
        <v>808.900528677663</v>
      </c>
      <c r="J332" s="24"/>
      <c r="K332" s="24"/>
      <c r="L332" s="24"/>
    </row>
    <row r="333" customFormat="false" ht="14.25" hidden="false" customHeight="false" outlineLevel="0" collapsed="false">
      <c r="C333" s="6" t="s">
        <v>29</v>
      </c>
      <c r="D333" s="67" t="s">
        <v>85</v>
      </c>
      <c r="E333" s="8" t="n">
        <f aca="false">E320</f>
        <v>2965.26192631606</v>
      </c>
      <c r="F333" s="8" t="n">
        <f aca="false">F320</f>
        <v>7250</v>
      </c>
      <c r="G333" s="8" t="n">
        <f aca="false">G320</f>
        <v>7250</v>
      </c>
      <c r="H333" s="8" t="n">
        <f aca="false">SUM(E333:G333)</f>
        <v>17465.2619263161</v>
      </c>
      <c r="J333" s="24"/>
      <c r="K333" s="24"/>
      <c r="L333" s="24"/>
    </row>
    <row r="334" customFormat="false" ht="14.25" hidden="false" customHeight="false" outlineLevel="0" collapsed="false">
      <c r="C334" s="44" t="s">
        <v>283</v>
      </c>
      <c r="D334" s="45" t="s">
        <v>85</v>
      </c>
      <c r="E334" s="68" t="n">
        <f aca="false">SUM(E331:E333)</f>
        <v>5541.67346015026</v>
      </c>
      <c r="F334" s="68" t="n">
        <f aca="false">SUM(F331:F333)</f>
        <v>7250</v>
      </c>
      <c r="G334" s="68" t="n">
        <f aca="false">SUM(G331:G333)</f>
        <v>7250</v>
      </c>
      <c r="H334" s="68" t="n">
        <f aca="false">SUM(E334:G334)</f>
        <v>20041.6734601503</v>
      </c>
    </row>
    <row r="335" customFormat="false" ht="14.25" hidden="false" customHeight="false" outlineLevel="0" collapsed="false">
      <c r="C335" s="6" t="s">
        <v>257</v>
      </c>
      <c r="D335" s="2" t="s">
        <v>85</v>
      </c>
      <c r="E335" s="8" t="n">
        <f aca="false">-E69</f>
        <v>-135</v>
      </c>
      <c r="F335" s="8" t="n">
        <f aca="false">-F69</f>
        <v>-135</v>
      </c>
      <c r="G335" s="8" t="n">
        <f aca="false">-G69</f>
        <v>-135</v>
      </c>
      <c r="H335" s="8" t="n">
        <f aca="false">SUM(E335:G335)</f>
        <v>-405</v>
      </c>
      <c r="J335" s="24"/>
      <c r="K335" s="24"/>
      <c r="L335" s="24"/>
    </row>
    <row r="336" customFormat="false" ht="14.25" hidden="false" customHeight="false" outlineLevel="0" collapsed="false">
      <c r="C336" s="6" t="s">
        <v>258</v>
      </c>
      <c r="D336" s="2" t="s">
        <v>85</v>
      </c>
      <c r="E336" s="8" t="n">
        <f aca="false">-E61</f>
        <v>-8.21917808219178</v>
      </c>
      <c r="F336" s="8" t="n">
        <f aca="false">-F61</f>
        <v>-8.21917808219178</v>
      </c>
      <c r="G336" s="8" t="n">
        <f aca="false">-G61</f>
        <v>-8.21917808219178</v>
      </c>
      <c r="H336" s="8" t="n">
        <f aca="false">SUM(E336:G336)</f>
        <v>-24.6575342465753</v>
      </c>
      <c r="J336" s="24"/>
      <c r="K336" s="24"/>
      <c r="L336" s="24"/>
    </row>
    <row r="337" customFormat="false" ht="14.25" hidden="false" customHeight="false" outlineLevel="0" collapsed="false">
      <c r="C337" s="6" t="s">
        <v>259</v>
      </c>
      <c r="D337" s="2" t="s">
        <v>85</v>
      </c>
      <c r="E337" s="8" t="n">
        <f aca="false">-E67</f>
        <v>-701.098816348896</v>
      </c>
      <c r="F337" s="8" t="n">
        <f aca="false">-F67</f>
        <v>-701.098816348896</v>
      </c>
      <c r="G337" s="8" t="n">
        <f aca="false">-G67</f>
        <v>-701.098816348896</v>
      </c>
      <c r="H337" s="8" t="n">
        <f aca="false">SUM(E337:G337)</f>
        <v>-2103.29644904669</v>
      </c>
      <c r="J337" s="24"/>
      <c r="K337" s="24"/>
      <c r="L337" s="24"/>
    </row>
    <row r="338" customFormat="false" ht="14.25" hidden="false" customHeight="false" outlineLevel="0" collapsed="false">
      <c r="C338" s="44" t="s">
        <v>260</v>
      </c>
      <c r="D338" s="45" t="s">
        <v>85</v>
      </c>
      <c r="E338" s="68" t="n">
        <f aca="false">E334+SUM(E335:E337)</f>
        <v>4697.35546571918</v>
      </c>
      <c r="F338" s="68" t="n">
        <f aca="false">F334+SUM(F335:F337)</f>
        <v>6405.68200556891</v>
      </c>
      <c r="G338" s="68" t="n">
        <f aca="false">G334+SUM(G335:G337)</f>
        <v>6405.68200556891</v>
      </c>
      <c r="H338" s="68" t="n">
        <f aca="false">SUM(E338:G338)</f>
        <v>17508.719476857</v>
      </c>
    </row>
    <row r="339" customFormat="false" ht="14.25" hidden="false" customHeight="false" outlineLevel="0" collapsed="false">
      <c r="C339" s="1" t="s">
        <v>261</v>
      </c>
      <c r="D339" s="2" t="s">
        <v>85</v>
      </c>
      <c r="E339" s="32" t="n">
        <f aca="false">-MAX(0,E338)*CIT_Rate*(1-Share_Exempt)</f>
        <v>-0</v>
      </c>
      <c r="F339" s="32" t="n">
        <f aca="false">-MAX(0,F338)*CIT_Rate*(1-Share_Exempt)</f>
        <v>-0</v>
      </c>
      <c r="G339" s="32" t="n">
        <f aca="false">-MAX(0,G338)*CIT_Rate*(1-Share_Exempt)</f>
        <v>-0</v>
      </c>
      <c r="H339" s="32" t="n">
        <f aca="false">SUM(E339:G339)</f>
        <v>0</v>
      </c>
    </row>
    <row r="340" customFormat="false" ht="14.25" hidden="false" customHeight="false" outlineLevel="0" collapsed="false">
      <c r="C340" s="1" t="s">
        <v>262</v>
      </c>
      <c r="D340" s="2" t="s">
        <v>85</v>
      </c>
      <c r="E340" s="32" t="n">
        <f aca="false">-E218*CIT_Rate*E$21</f>
        <v>-386.461730075131</v>
      </c>
      <c r="F340" s="32" t="n">
        <f aca="false">-F218*CIT_Rate*F$21</f>
        <v>-0</v>
      </c>
      <c r="G340" s="32" t="n">
        <f aca="false">-G218*CIT_Rate*G$21</f>
        <v>-0</v>
      </c>
      <c r="H340" s="32" t="n">
        <f aca="false">SUM(E340:G340)</f>
        <v>-386.461730075131</v>
      </c>
    </row>
    <row r="341" customFormat="false" ht="14.25" hidden="false" customHeight="false" outlineLevel="0" collapsed="false">
      <c r="C341" s="44" t="s">
        <v>129</v>
      </c>
      <c r="D341" s="45" t="s">
        <v>85</v>
      </c>
      <c r="E341" s="68" t="n">
        <f aca="false">E338+E339+E340</f>
        <v>4310.89373564404</v>
      </c>
      <c r="F341" s="68" t="n">
        <f aca="false">F338+F339+F340</f>
        <v>6405.68200556891</v>
      </c>
      <c r="G341" s="68" t="n">
        <f aca="false">G338+G339+G340</f>
        <v>6405.68200556891</v>
      </c>
      <c r="H341" s="68" t="n">
        <f aca="false">SUM(E341:G341)</f>
        <v>17122.2577467819</v>
      </c>
    </row>
    <row r="342" customFormat="false" ht="14.25" hidden="false" customHeight="false" outlineLevel="0" collapsed="false">
      <c r="C342" s="6" t="s">
        <v>263</v>
      </c>
      <c r="D342" s="2" t="s">
        <v>3</v>
      </c>
      <c r="E342" s="47" t="n">
        <f aca="false">SUMIF(E345:E354,"&gt;0")/-SUMIF(E345:E354,"&lt;0")</f>
        <v>1.34537556262405</v>
      </c>
      <c r="F342" s="47" t="n">
        <f aca="false">SUMIF(F345:F354,"&gt;0")/-SUMIF(F345:F354,"&lt;0")</f>
        <v>1.86296244239052</v>
      </c>
      <c r="G342" s="47" t="n">
        <f aca="false">SUMIF(G345:G354,"&gt;0")/-SUMIF(G345:G354,"&lt;0")</f>
        <v>1.86296244239052</v>
      </c>
      <c r="H342" s="47" t="n">
        <f aca="false">SUMIF(H345:H354,"&gt;0")/-SUMIF(H345:H354,"&lt;0")</f>
        <v>1.61549615646444</v>
      </c>
    </row>
    <row r="343" customFormat="false" ht="14.25" hidden="false" customHeight="false" outlineLevel="0" collapsed="false">
      <c r="C343" s="6" t="s">
        <v>264</v>
      </c>
      <c r="D343" s="2" t="s">
        <v>12</v>
      </c>
      <c r="E343" s="48" t="n">
        <f aca="false">XIRR(E345:E354,J345:J354)</f>
        <v>0.226964322274131</v>
      </c>
      <c r="F343" s="48" t="n">
        <f aca="false">XIRR(F345:F354,K345:K354)</f>
        <v>0.371762816518574</v>
      </c>
      <c r="G343" s="48" t="n">
        <f aca="false">XIRR(G345:G354,L345:L354)</f>
        <v>0.371762816518574</v>
      </c>
      <c r="H343" s="49" t="n">
        <f aca="false">XIRR(H345:H354,J345:J354)</f>
        <v>0.319139022863017</v>
      </c>
    </row>
    <row r="344" customFormat="false" ht="14.25" hidden="false" customHeight="false" outlineLevel="0" collapsed="false">
      <c r="C344" s="42" t="s">
        <v>284</v>
      </c>
      <c r="D344" s="42"/>
      <c r="E344" s="43"/>
      <c r="F344" s="43"/>
      <c r="G344" s="43"/>
      <c r="H344" s="43"/>
      <c r="J344" s="43" t="s">
        <v>246</v>
      </c>
      <c r="K344" s="43" t="s">
        <v>6</v>
      </c>
      <c r="L344" s="43" t="s">
        <v>7</v>
      </c>
      <c r="M344" s="43" t="s">
        <v>267</v>
      </c>
      <c r="N344" s="43" t="s">
        <v>268</v>
      </c>
      <c r="O344" s="43" t="s">
        <v>269</v>
      </c>
    </row>
    <row r="345" customFormat="false" ht="14.25" hidden="false" customHeight="false" outlineLevel="1" collapsed="false">
      <c r="C345" s="6" t="s">
        <v>82</v>
      </c>
      <c r="D345" s="2" t="s">
        <v>85</v>
      </c>
      <c r="E345" s="8" t="n">
        <f aca="false">-E69</f>
        <v>-135</v>
      </c>
      <c r="F345" s="8" t="n">
        <f aca="false">-F69</f>
        <v>-135</v>
      </c>
      <c r="G345" s="8" t="n">
        <f aca="false">-G69</f>
        <v>-135</v>
      </c>
      <c r="H345" s="8" t="n">
        <f aca="false">SUM(E345:G345)</f>
        <v>-405</v>
      </c>
      <c r="J345" s="24" t="n">
        <f aca="false">Inputs!E$20</f>
        <v>46234</v>
      </c>
      <c r="K345" s="24" t="n">
        <f aca="false">Inputs!F$20</f>
        <v>46234</v>
      </c>
      <c r="L345" s="24" t="n">
        <f aca="false">Inputs!G$20</f>
        <v>46234</v>
      </c>
    </row>
    <row r="346" customFormat="false" ht="14.25" hidden="false" customHeight="false" outlineLevel="1" collapsed="false">
      <c r="C346" s="6" t="s">
        <v>73</v>
      </c>
      <c r="D346" s="2" t="s">
        <v>85</v>
      </c>
      <c r="E346" s="8" t="n">
        <f aca="false">-E61</f>
        <v>-8.21917808219178</v>
      </c>
      <c r="F346" s="8" t="n">
        <f aca="false">-F61</f>
        <v>-8.21917808219178</v>
      </c>
      <c r="G346" s="8" t="n">
        <f aca="false">-G61</f>
        <v>-8.21917808219178</v>
      </c>
      <c r="H346" s="8" t="n">
        <f aca="false">SUM(E346:G346)</f>
        <v>-24.6575342465753</v>
      </c>
      <c r="J346" s="24" t="n">
        <f aca="false">Inputs!E$21</f>
        <v>46325</v>
      </c>
      <c r="K346" s="24" t="n">
        <f aca="false">Inputs!F$21</f>
        <v>46325</v>
      </c>
      <c r="L346" s="24" t="n">
        <f aca="false">Inputs!G$21</f>
        <v>46325</v>
      </c>
      <c r="M346" s="70" t="n">
        <f aca="false">1+Rate_Cash*(DATE(YEAR(J346)+1,1,1)-J346)/Days_In_Year</f>
        <v>1.02071232876712</v>
      </c>
      <c r="N346" s="70" t="n">
        <f aca="false">1+Rate_Cash*(DATE(YEAR(K346)+1,1,1)-K346)/Days_In_Year</f>
        <v>1.02071232876712</v>
      </c>
      <c r="O346" s="70" t="n">
        <f aca="false">1+Rate_Cash*(DATE(YEAR(L346)+1,1,1)-L346)/Days_In_Year</f>
        <v>1.02071232876712</v>
      </c>
    </row>
    <row r="347" customFormat="false" ht="14.25" hidden="false" customHeight="false" outlineLevel="1" collapsed="false">
      <c r="C347" s="6" t="s">
        <v>75</v>
      </c>
      <c r="D347" s="2" t="s">
        <v>85</v>
      </c>
      <c r="E347" s="8" t="n">
        <f aca="false">-E62</f>
        <v>-388.493150684932</v>
      </c>
      <c r="F347" s="8" t="n">
        <f aca="false">-F62</f>
        <v>-498.904109589041</v>
      </c>
      <c r="G347" s="8" t="n">
        <f aca="false">-G62</f>
        <v>-498.904109589041</v>
      </c>
      <c r="H347" s="8" t="n">
        <f aca="false">SUM(E347:G347)</f>
        <v>-1386.30136986301</v>
      </c>
      <c r="J347" s="24" t="n">
        <f aca="false">Inputs!E$21</f>
        <v>46325</v>
      </c>
      <c r="K347" s="24" t="n">
        <f aca="false">Inputs!F$21</f>
        <v>46325</v>
      </c>
      <c r="L347" s="24" t="n">
        <f aca="false">Inputs!G$21</f>
        <v>46325</v>
      </c>
      <c r="M347" s="70" t="n">
        <f aca="false">1+Rate_Cash*(DATE(YEAR(J347)+1,1,1)-J347)/Days_In_Year</f>
        <v>1.02071232876712</v>
      </c>
      <c r="N347" s="70" t="n">
        <f aca="false">1+Rate_Cash*(DATE(YEAR(K347)+1,1,1)-K347)/Days_In_Year</f>
        <v>1.02071232876712</v>
      </c>
      <c r="O347" s="70" t="n">
        <f aca="false">1+Rate_Cash*(DATE(YEAR(L347)+1,1,1)-L347)/Days_In_Year</f>
        <v>1.02071232876712</v>
      </c>
    </row>
    <row r="348" customFormat="false" ht="14.25" hidden="false" customHeight="false" outlineLevel="1" collapsed="false">
      <c r="C348" s="6" t="s">
        <v>270</v>
      </c>
      <c r="D348" s="2" t="s">
        <v>85</v>
      </c>
      <c r="E348" s="8" t="n">
        <f aca="false">-E63</f>
        <v>-1553.97260273973</v>
      </c>
      <c r="F348" s="8" t="n">
        <f aca="false">-F63</f>
        <v>-1995.61643835616</v>
      </c>
      <c r="G348" s="8" t="n">
        <f aca="false">-G63</f>
        <v>-1995.61643835616</v>
      </c>
      <c r="H348" s="8" t="n">
        <f aca="false">SUM(E348:G348)</f>
        <v>-5545.20547945205</v>
      </c>
      <c r="J348" s="24" t="n">
        <f aca="false">Inputs!E$22</f>
        <v>46402</v>
      </c>
      <c r="K348" s="24" t="n">
        <f aca="false">Inputs!F$22</f>
        <v>46402</v>
      </c>
      <c r="L348" s="24" t="n">
        <f aca="false">Inputs!G$22</f>
        <v>46402</v>
      </c>
      <c r="M348" s="70" t="n">
        <f aca="false">1+Rate_Cash*(DATE(YEAR(J348)+1,1,1)-J348)/Days_In_Year</f>
        <v>1.11539726027397</v>
      </c>
      <c r="N348" s="70" t="n">
        <f aca="false">1+Rate_Cash*(DATE(YEAR(K348)+1,1,1)-K348)/Days_In_Year</f>
        <v>1.11539726027397</v>
      </c>
      <c r="O348" s="70" t="n">
        <f aca="false">1+Rate_Cash*(DATE(YEAR(L348)+1,1,1)-L348)/Days_In_Year</f>
        <v>1.11539726027397</v>
      </c>
    </row>
    <row r="349" customFormat="false" ht="14.25" hidden="false" customHeight="false" outlineLevel="1" collapsed="false">
      <c r="C349" s="6" t="s">
        <v>77</v>
      </c>
      <c r="D349" s="2" t="s">
        <v>85</v>
      </c>
      <c r="E349" s="8" t="n">
        <f aca="false">-E64</f>
        <v>-616.438356164384</v>
      </c>
      <c r="F349" s="8" t="n">
        <f aca="false">-F64</f>
        <v>-616.438356164384</v>
      </c>
      <c r="G349" s="8" t="n">
        <f aca="false">-G64</f>
        <v>-616.438356164384</v>
      </c>
      <c r="H349" s="8" t="n">
        <f aca="false">SUM(E349:G349)</f>
        <v>-1849.31506849315</v>
      </c>
      <c r="J349" s="24" t="n">
        <f aca="false">Inputs!E$23</f>
        <v>46402</v>
      </c>
      <c r="K349" s="24" t="n">
        <f aca="false">Inputs!F$23</f>
        <v>46402</v>
      </c>
      <c r="L349" s="24" t="n">
        <f aca="false">Inputs!G$23</f>
        <v>46402</v>
      </c>
      <c r="M349" s="70" t="n">
        <f aca="false">1+Rate_Cash*(DATE(YEAR(J349)+1,1,1)-J349)/Days_In_Year</f>
        <v>1.11539726027397</v>
      </c>
      <c r="N349" s="70" t="n">
        <f aca="false">1+Rate_Cash*(DATE(YEAR(K349)+1,1,1)-K349)/Days_In_Year</f>
        <v>1.11539726027397</v>
      </c>
      <c r="O349" s="70" t="n">
        <f aca="false">1+Rate_Cash*(DATE(YEAR(L349)+1,1,1)-L349)/Days_In_Year</f>
        <v>1.11539726027397</v>
      </c>
    </row>
    <row r="350" customFormat="false" ht="14.25" hidden="false" customHeight="false" outlineLevel="1" collapsed="false">
      <c r="C350" s="6" t="s">
        <v>285</v>
      </c>
      <c r="D350" s="2" t="s">
        <v>85</v>
      </c>
      <c r="E350" s="8" t="n">
        <f aca="false">-E65</f>
        <v>-696.364115068493</v>
      </c>
      <c r="F350" s="8" t="n">
        <f aca="false">-F65</f>
        <v>-1260.27397260274</v>
      </c>
      <c r="G350" s="8" t="n">
        <f aca="false">-G65</f>
        <v>-1260.27397260274</v>
      </c>
      <c r="H350" s="8" t="n">
        <f aca="false">SUM(E350:G350)</f>
        <v>-3216.91206027397</v>
      </c>
      <c r="J350" s="24" t="n">
        <f aca="false">Inputs!E$24</f>
        <v>47027</v>
      </c>
      <c r="K350" s="24" t="n">
        <f aca="false">Inputs!F$24</f>
        <v>47027</v>
      </c>
      <c r="L350" s="24" t="n">
        <f aca="false">Inputs!G$24</f>
        <v>47027</v>
      </c>
      <c r="M350" s="70" t="n">
        <f aca="false">1+Rate_Cash*(DATE(YEAR(J350)+1,1,1)-J350)/Days_In_Year</f>
        <v>1.03024657534247</v>
      </c>
      <c r="N350" s="70" t="n">
        <f aca="false">1+Rate_Cash*(DATE(YEAR(K350)+1,1,1)-K350)/Days_In_Year</f>
        <v>1.03024657534247</v>
      </c>
      <c r="O350" s="70" t="n">
        <f aca="false">1+Rate_Cash*(DATE(YEAR(L350)+1,1,1)-L350)/Days_In_Year</f>
        <v>1.03024657534247</v>
      </c>
    </row>
    <row r="351" customFormat="false" ht="14.25" hidden="false" customHeight="false" outlineLevel="1" collapsed="false">
      <c r="C351" s="6" t="s">
        <v>286</v>
      </c>
      <c r="D351" s="2" t="s">
        <v>85</v>
      </c>
      <c r="E351" s="8" t="n">
        <f aca="false">-E66</f>
        <v>-9393.3295890411</v>
      </c>
      <c r="F351" s="8" t="n">
        <f aca="false">-F66</f>
        <v>-2099.54520547945</v>
      </c>
      <c r="G351" s="8" t="n">
        <f aca="false">-G66</f>
        <v>-2099.54520547945</v>
      </c>
      <c r="H351" s="8" t="n">
        <f aca="false">SUM(E351:G351)</f>
        <v>-13592.42</v>
      </c>
      <c r="J351" s="24" t="n">
        <f aca="false">Inputs!E$24</f>
        <v>47027</v>
      </c>
      <c r="K351" s="24" t="n">
        <f aca="false">Inputs!F$24</f>
        <v>47027</v>
      </c>
      <c r="L351" s="24" t="n">
        <f aca="false">Inputs!G$24</f>
        <v>47027</v>
      </c>
      <c r="M351" s="70" t="n">
        <f aca="false">1+Rate_Cash*(DATE(YEAR(J351)+1,1,1)-J351)/Days_In_Year</f>
        <v>1.03024657534247</v>
      </c>
      <c r="N351" s="70" t="n">
        <f aca="false">1+Rate_Cash*(DATE(YEAR(K351)+1,1,1)-K351)/Days_In_Year</f>
        <v>1.03024657534247</v>
      </c>
      <c r="O351" s="70" t="n">
        <f aca="false">1+Rate_Cash*(DATE(YEAR(L351)+1,1,1)-L351)/Days_In_Year</f>
        <v>1.03024657534247</v>
      </c>
    </row>
    <row r="352" customFormat="false" ht="14.25" hidden="false" customHeight="false" outlineLevel="1" collapsed="false">
      <c r="C352" s="6" t="s">
        <v>116</v>
      </c>
      <c r="D352" s="2" t="s">
        <v>85</v>
      </c>
      <c r="E352" s="8" t="n">
        <f aca="false">-E68</f>
        <v>-107.801712328767</v>
      </c>
      <c r="F352" s="8" t="n">
        <f aca="false">-F68</f>
        <v>-107.801712328767</v>
      </c>
      <c r="G352" s="8" t="n">
        <f aca="false">-G68</f>
        <v>-107.801712328767</v>
      </c>
      <c r="H352" s="8" t="n">
        <f aca="false">SUM(E352:G352)</f>
        <v>-323.405136986301</v>
      </c>
      <c r="J352" s="24" t="n">
        <f aca="false">$J$56</f>
        <v>46877.176865821</v>
      </c>
      <c r="K352" s="24" t="n">
        <f aca="false">$J$56</f>
        <v>46877.176865821</v>
      </c>
      <c r="L352" s="24" t="n">
        <f aca="false">$J$56</f>
        <v>46877.176865821</v>
      </c>
      <c r="M352" s="70" t="n">
        <f aca="false">1+Rate_Devex*(DATE(YEAR(J352)+1,1,1)-J352)/Days_In_Year</f>
        <v>1.1325058269474</v>
      </c>
      <c r="N352" s="70" t="n">
        <f aca="false">1+Rate_Devex*(DATE(YEAR(K352)+1,1,1)-K352)/Days_In_Year</f>
        <v>1.1325058269474</v>
      </c>
      <c r="O352" s="70" t="n">
        <f aca="false">1+Rate_Devex*(DATE(YEAR(L352)+1,1,1)-L352)/Days_In_Year</f>
        <v>1.1325058269474</v>
      </c>
    </row>
    <row r="353" customFormat="false" ht="14.25" hidden="false" customHeight="false" outlineLevel="1" collapsed="false">
      <c r="C353" s="6" t="s">
        <v>271</v>
      </c>
      <c r="D353" s="2" t="s">
        <v>85</v>
      </c>
      <c r="E353" s="8" t="n">
        <f aca="false">-E67</f>
        <v>-701.098816348896</v>
      </c>
      <c r="F353" s="8" t="n">
        <f aca="false">-F67</f>
        <v>-701.098816348896</v>
      </c>
      <c r="G353" s="8" t="n">
        <f aca="false">-G67</f>
        <v>-701.098816348896</v>
      </c>
      <c r="H353" s="8" t="n">
        <f aca="false">SUM(E353:G353)</f>
        <v>-2103.29644904669</v>
      </c>
      <c r="J353" s="24" t="n">
        <f aca="false">$J$55</f>
        <v>46714.1242758881</v>
      </c>
      <c r="K353" s="24" t="n">
        <f aca="false">$J$55</f>
        <v>46714.1242758881</v>
      </c>
      <c r="L353" s="24" t="n">
        <f aca="false">$J$55</f>
        <v>46714.1242758881</v>
      </c>
      <c r="M353" s="70" t="n">
        <f aca="false">1+Rate_Devex*(DATE(YEAR(J353)+1,1,1)-J353)/Days_In_Year</f>
        <v>1.02130176663669</v>
      </c>
      <c r="N353" s="70" t="n">
        <f aca="false">1+Rate_Devex*(DATE(YEAR(K353)+1,1,1)-K353)/Days_In_Year</f>
        <v>1.02130176663669</v>
      </c>
      <c r="O353" s="70" t="n">
        <f aca="false">1+Rate_Devex*(DATE(YEAR(L353)+1,1,1)-L353)/Days_In_Year</f>
        <v>1.02130176663669</v>
      </c>
    </row>
    <row r="354" customFormat="false" ht="14.25" hidden="false" customHeight="false" outlineLevel="1" collapsed="false">
      <c r="C354" s="6" t="s">
        <v>287</v>
      </c>
      <c r="D354" s="2" t="s">
        <v>85</v>
      </c>
      <c r="E354" s="8" t="n">
        <f aca="false">E334-E314-E315</f>
        <v>18298.0729861777</v>
      </c>
      <c r="F354" s="8" t="n">
        <f aca="false">F334-F314-F315</f>
        <v>13828.5797945205</v>
      </c>
      <c r="G354" s="8" t="n">
        <f aca="false">G334-G314-G315</f>
        <v>13828.5797945205</v>
      </c>
      <c r="H354" s="8" t="n">
        <f aca="false">SUM(E354:G354)</f>
        <v>45955.2325752188</v>
      </c>
      <c r="J354" s="24" t="n">
        <f aca="false">Sale_Date</f>
        <v>47391</v>
      </c>
      <c r="K354" s="24" t="n">
        <f aca="false">Sale_Date</f>
        <v>47391</v>
      </c>
      <c r="L354" s="24" t="n">
        <f aca="false">Sale_Date</f>
        <v>47391</v>
      </c>
    </row>
    <row r="355" customFormat="false" ht="14.25" hidden="false" customHeight="false" outlineLevel="0" collapsed="false">
      <c r="C355" s="6" t="s">
        <v>273</v>
      </c>
      <c r="D355" s="2" t="s">
        <v>85</v>
      </c>
      <c r="E355" s="8" t="n">
        <f aca="false">-J$418*CIT_Rate*E$21</f>
        <v>-1.23252542690937</v>
      </c>
      <c r="F355" s="8" t="n">
        <f aca="false">-J$475*CIT_Rate*F$21</f>
        <v>-0</v>
      </c>
      <c r="G355" s="8" t="n">
        <f aca="false">-J$532*CIT_Rate*G$21</f>
        <v>-0</v>
      </c>
      <c r="H355" s="8" t="n">
        <f aca="false">SUM(E355:G355)</f>
        <v>-1.23252542690937</v>
      </c>
      <c r="J355" s="24" t="n">
        <f aca="false">J$365</f>
        <v>46387</v>
      </c>
      <c r="K355" s="24" t="n">
        <f aca="false">J$365</f>
        <v>46387</v>
      </c>
      <c r="L355" s="24" t="n">
        <f aca="false">J$365</f>
        <v>46387</v>
      </c>
    </row>
    <row r="356" customFormat="false" ht="14.25" hidden="false" customHeight="false" outlineLevel="0" collapsed="false">
      <c r="C356" s="6" t="s">
        <v>274</v>
      </c>
      <c r="D356" s="2" t="s">
        <v>85</v>
      </c>
      <c r="E356" s="8" t="n">
        <f aca="false">-K$418*CIT_Rate*E$21</f>
        <v>-47.0978432242265</v>
      </c>
      <c r="F356" s="8" t="n">
        <f aca="false">-K$475*CIT_Rate*F$21</f>
        <v>-0</v>
      </c>
      <c r="G356" s="8" t="n">
        <f aca="false">-K$532*CIT_Rate*G$21</f>
        <v>-0</v>
      </c>
      <c r="H356" s="8" t="n">
        <f aca="false">SUM(E356:G356)</f>
        <v>-47.0978432242265</v>
      </c>
      <c r="J356" s="24" t="n">
        <f aca="false">K$365</f>
        <v>46752</v>
      </c>
      <c r="K356" s="24" t="n">
        <f aca="false">K$365</f>
        <v>46752</v>
      </c>
      <c r="L356" s="24" t="n">
        <f aca="false">K$365</f>
        <v>46752</v>
      </c>
    </row>
    <row r="357" customFormat="false" ht="14.25" hidden="false" customHeight="false" outlineLevel="0" collapsed="false">
      <c r="C357" s="6" t="s">
        <v>275</v>
      </c>
      <c r="D357" s="2" t="s">
        <v>85</v>
      </c>
      <c r="E357" s="8" t="n">
        <f aca="false">-L$418*CIT_Rate*E$21</f>
        <v>-121.13949900352</v>
      </c>
      <c r="F357" s="8" t="n">
        <f aca="false">-L$475*CIT_Rate*F$21</f>
        <v>-0</v>
      </c>
      <c r="G357" s="8" t="n">
        <f aca="false">-L$532*CIT_Rate*G$21</f>
        <v>-0</v>
      </c>
      <c r="H357" s="8" t="n">
        <f aca="false">SUM(E357:G357)</f>
        <v>-121.13949900352</v>
      </c>
      <c r="J357" s="24" t="n">
        <f aca="false">L$365</f>
        <v>47118</v>
      </c>
      <c r="K357" s="24" t="n">
        <f aca="false">L$365</f>
        <v>47118</v>
      </c>
      <c r="L357" s="24" t="n">
        <f aca="false">L$365</f>
        <v>47118</v>
      </c>
    </row>
    <row r="358" customFormat="false" ht="14.25" hidden="false" customHeight="false" outlineLevel="0" collapsed="false">
      <c r="C358" s="6" t="s">
        <v>276</v>
      </c>
      <c r="D358" s="2" t="s">
        <v>85</v>
      </c>
      <c r="E358" s="8" t="n">
        <f aca="false">-E218*CIT_Rate*E$21-SUM(E355:E357)</f>
        <v>-216.991862420476</v>
      </c>
      <c r="F358" s="8" t="n">
        <f aca="false">-F218*CIT_Rate*F$21-SUM(F355:F357)</f>
        <v>-0</v>
      </c>
      <c r="G358" s="8" t="n">
        <f aca="false">-G218*CIT_Rate*G$21-SUM(G355:G357)</f>
        <v>-0</v>
      </c>
      <c r="H358" s="8" t="n">
        <f aca="false">SUM(E358:G358)</f>
        <v>-216.991862420476</v>
      </c>
      <c r="J358" s="24" t="n">
        <f aca="false">Sale_Date</f>
        <v>47391</v>
      </c>
      <c r="K358" s="24" t="n">
        <f aca="false">Sale_Date</f>
        <v>47391</v>
      </c>
      <c r="L358" s="24" t="n">
        <f aca="false">Sale_Date</f>
        <v>47391</v>
      </c>
    </row>
    <row r="359" customFormat="false" ht="14.25" hidden="false" customHeight="false" outlineLevel="0" collapsed="false">
      <c r="C359" s="6" t="s">
        <v>261</v>
      </c>
      <c r="D359" s="2" t="s">
        <v>85</v>
      </c>
      <c r="E359" s="8" t="n">
        <f aca="false">E339</f>
        <v>-0</v>
      </c>
      <c r="F359" s="8" t="n">
        <f aca="false">F339</f>
        <v>-0</v>
      </c>
      <c r="G359" s="8" t="n">
        <f aca="false">G339</f>
        <v>-0</v>
      </c>
      <c r="H359" s="8" t="n">
        <f aca="false">SUM(E359:G359)</f>
        <v>0</v>
      </c>
      <c r="J359" s="24" t="n">
        <f aca="false">Sale_Date</f>
        <v>47391</v>
      </c>
      <c r="K359" s="24" t="n">
        <f aca="false">Sale_Date</f>
        <v>47391</v>
      </c>
      <c r="L359" s="24" t="n">
        <f aca="false">Sale_Date</f>
        <v>47391</v>
      </c>
    </row>
    <row r="360" customFormat="false" ht="14.25" hidden="false" customHeight="false" outlineLevel="0" collapsed="false">
      <c r="C360" s="6" t="s">
        <v>277</v>
      </c>
      <c r="D360" s="2" t="s">
        <v>3</v>
      </c>
      <c r="E360" s="47" t="n">
        <f aca="false">SUMIF(E345:E359,"&gt;0")/-SUMIF(E345:E359,"&lt;0")</f>
        <v>1.30820322371143</v>
      </c>
      <c r="F360" s="47" t="n">
        <f aca="false">SUMIF(F345:F359,"&gt;0")/-SUMIF(F345:F359,"&lt;0")</f>
        <v>1.86296244239052</v>
      </c>
      <c r="G360" s="47" t="n">
        <f aca="false">SUMIF(G345:G359,"&gt;0")/-SUMIF(G345:G359,"&lt;0")</f>
        <v>1.86296244239052</v>
      </c>
      <c r="H360" s="47" t="n">
        <f aca="false">SUMIF(H345:H359,"&gt;0")/-SUMIF(H345:H359,"&lt;0")</f>
        <v>1.59384291245227</v>
      </c>
      <c r="J360" s="24"/>
      <c r="K360" s="24"/>
      <c r="L360" s="24"/>
    </row>
    <row r="361" customFormat="false" ht="14.25" hidden="false" customHeight="false" outlineLevel="0" collapsed="false">
      <c r="C361" s="6" t="s">
        <v>278</v>
      </c>
      <c r="D361" s="2" t="s">
        <v>12</v>
      </c>
      <c r="E361" s="48" t="n">
        <f aca="false">XIRR(E345:E359,J345:J359)</f>
        <v>0.207977245637379</v>
      </c>
      <c r="F361" s="48" t="n">
        <f aca="false">XIRR(F345:F359,K345:K359)</f>
        <v>0.371762816518574</v>
      </c>
      <c r="G361" s="48" t="n">
        <f aca="false">XIRR(G345:G359,L345:L359)</f>
        <v>0.371762816518574</v>
      </c>
      <c r="H361" s="49" t="n">
        <f aca="false">XIRR(H345:H359,J345:J359)</f>
        <v>0.312152638975026</v>
      </c>
      <c r="J361" s="24"/>
      <c r="K361" s="24"/>
      <c r="L361" s="24"/>
    </row>
    <row r="362" customFormat="false" ht="14.25" hidden="false" customHeight="false" outlineLevel="0" collapsed="false">
      <c r="C362" s="1"/>
      <c r="D362" s="2"/>
      <c r="E362" s="15"/>
      <c r="F362" s="15"/>
      <c r="G362" s="15"/>
      <c r="H362" s="15"/>
    </row>
    <row r="363" customFormat="false" ht="14.25" hidden="false" customHeight="false" outlineLevel="0" collapsed="false">
      <c r="B363" s="4" t="s">
        <v>3</v>
      </c>
      <c r="C363" s="4" t="s">
        <v>288</v>
      </c>
      <c r="D363" s="4"/>
      <c r="E363" s="72"/>
      <c r="F363" s="72"/>
      <c r="G363" s="72"/>
      <c r="H363" s="5" t="s">
        <v>8</v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 customFormat="false" ht="14.25" hidden="false" customHeight="false" outlineLevel="0" collapsed="false">
      <c r="C364" s="6" t="s">
        <v>155</v>
      </c>
      <c r="D364" s="2" t="s">
        <v>156</v>
      </c>
      <c r="J364" s="73" t="n">
        <f aca="false">First_Year+COLUMN()-COLUMN($J$1)</f>
        <v>2026</v>
      </c>
      <c r="K364" s="73" t="n">
        <f aca="false">First_Year+COLUMN()-COLUMN($J$1)</f>
        <v>2027</v>
      </c>
      <c r="L364" s="73" t="n">
        <f aca="false">First_Year+COLUMN()-COLUMN($J$1)</f>
        <v>2028</v>
      </c>
      <c r="M364" s="73" t="n">
        <f aca="false">First_Year+COLUMN()-COLUMN($J$1)</f>
        <v>2029</v>
      </c>
      <c r="N364" s="73" t="n">
        <f aca="false">First_Year+COLUMN()-COLUMN($J$1)</f>
        <v>2030</v>
      </c>
      <c r="O364" s="73" t="n">
        <f aca="false">First_Year+COLUMN()-COLUMN($J$1)</f>
        <v>2031</v>
      </c>
      <c r="P364" s="73" t="n">
        <f aca="false">First_Year+COLUMN()-COLUMN($J$1)</f>
        <v>2032</v>
      </c>
      <c r="Q364" s="73" t="n">
        <f aca="false">First_Year+COLUMN()-COLUMN($J$1)</f>
        <v>2033</v>
      </c>
      <c r="R364" s="73" t="n">
        <f aca="false">First_Year+COLUMN()-COLUMN($J$1)</f>
        <v>2034</v>
      </c>
      <c r="S364" s="73" t="n">
        <f aca="false">First_Year+COLUMN()-COLUMN($J$1)</f>
        <v>2035</v>
      </c>
      <c r="T364" s="73" t="n">
        <f aca="false">First_Year+COLUMN()-COLUMN($J$1)</f>
        <v>2036</v>
      </c>
      <c r="U364" s="73" t="n">
        <f aca="false">First_Year+COLUMN()-COLUMN($J$1)</f>
        <v>2037</v>
      </c>
      <c r="V364" s="73" t="n">
        <f aca="false">First_Year+COLUMN()-COLUMN($J$1)</f>
        <v>2038</v>
      </c>
      <c r="W364" s="73" t="n">
        <f aca="false">First_Year+COLUMN()-COLUMN($J$1)</f>
        <v>2039</v>
      </c>
      <c r="X364" s="73" t="n">
        <f aca="false">First_Year+COLUMN()-COLUMN($J$1)</f>
        <v>2040</v>
      </c>
      <c r="Y364" s="73" t="n">
        <f aca="false">First_Year+COLUMN()-COLUMN($J$1)</f>
        <v>2041</v>
      </c>
      <c r="Z364" s="73" t="n">
        <f aca="false">First_Year+COLUMN()-COLUMN($J$1)</f>
        <v>2042</v>
      </c>
      <c r="AA364" s="73" t="n">
        <f aca="false">First_Year+COLUMN()-COLUMN($J$1)</f>
        <v>2043</v>
      </c>
      <c r="AB364" s="73" t="n">
        <f aca="false">First_Year+COLUMN()-COLUMN($J$1)</f>
        <v>2044</v>
      </c>
      <c r="AC364" s="73" t="n">
        <f aca="false">First_Year+COLUMN()-COLUMN($J$1)</f>
        <v>2045</v>
      </c>
      <c r="AD364" s="73" t="n">
        <f aca="false">First_Year+COLUMN()-COLUMN($J$1)</f>
        <v>2046</v>
      </c>
      <c r="AE364" s="73" t="n">
        <f aca="false">First_Year+COLUMN()-COLUMN($J$1)</f>
        <v>2047</v>
      </c>
      <c r="AF364" s="73" t="n">
        <f aca="false">First_Year+COLUMN()-COLUMN($J$1)</f>
        <v>2048</v>
      </c>
      <c r="AG364" s="73" t="n">
        <f aca="false">First_Year+COLUMN()-COLUMN($J$1)</f>
        <v>2049</v>
      </c>
      <c r="AH364" s="73" t="n">
        <f aca="false">First_Year+COLUMN()-COLUMN($J$1)</f>
        <v>2050</v>
      </c>
      <c r="AI364" s="73" t="n">
        <f aca="false">First_Year+COLUMN()-COLUMN($J$1)</f>
        <v>2051</v>
      </c>
      <c r="AJ364" s="73" t="n">
        <f aca="false">First_Year+COLUMN()-COLUMN($J$1)</f>
        <v>2052</v>
      </c>
      <c r="AK364" s="73" t="n">
        <f aca="false">First_Year+COLUMN()-COLUMN($J$1)</f>
        <v>2053</v>
      </c>
      <c r="AL364" s="73" t="n">
        <f aca="false">First_Year+COLUMN()-COLUMN($J$1)</f>
        <v>2054</v>
      </c>
      <c r="AM364" s="73" t="n">
        <f aca="false">First_Year+COLUMN()-COLUMN($J$1)</f>
        <v>2055</v>
      </c>
      <c r="AN364" s="73" t="n">
        <f aca="false">First_Year+COLUMN()-COLUMN($J$1)</f>
        <v>2056</v>
      </c>
      <c r="AO364" s="73" t="n">
        <f aca="false">First_Year+COLUMN()-COLUMN($J$1)</f>
        <v>2057</v>
      </c>
      <c r="AP364" s="73" t="n">
        <f aca="false">First_Year+COLUMN()-COLUMN($J$1)</f>
        <v>2058</v>
      </c>
      <c r="AQ364" s="73" t="n">
        <f aca="false">First_Year+COLUMN()-COLUMN($J$1)</f>
        <v>2059</v>
      </c>
      <c r="AR364" s="73" t="n">
        <f aca="false">First_Year+COLUMN()-COLUMN($J$1)</f>
        <v>2060</v>
      </c>
      <c r="AS364" s="73" t="n">
        <f aca="false">First_Year+COLUMN()-COLUMN($J$1)</f>
        <v>2061</v>
      </c>
      <c r="AT364" s="73" t="n">
        <f aca="false">First_Year+COLUMN()-COLUMN($J$1)</f>
        <v>2062</v>
      </c>
      <c r="AU364" s="73" t="n">
        <f aca="false">First_Year+COLUMN()-COLUMN($J$1)</f>
        <v>2063</v>
      </c>
      <c r="AV364" s="73" t="n">
        <f aca="false">First_Year+COLUMN()-COLUMN($J$1)</f>
        <v>2064</v>
      </c>
      <c r="AW364" s="73" t="n">
        <f aca="false">First_Year+COLUMN()-COLUMN($J$1)</f>
        <v>2065</v>
      </c>
    </row>
    <row r="365" customFormat="false" ht="14.25" hidden="false" customHeight="false" outlineLevel="0" collapsed="false">
      <c r="C365" s="6" t="s">
        <v>289</v>
      </c>
      <c r="D365" s="2" t="s">
        <v>168</v>
      </c>
      <c r="J365" s="24" t="n">
        <f aca="false">DATE(J364+1,1,1)-1</f>
        <v>46387</v>
      </c>
      <c r="K365" s="24" t="n">
        <f aca="false">DATE(K364+1,1,1)-1</f>
        <v>46752</v>
      </c>
      <c r="L365" s="24" t="n">
        <f aca="false">DATE(L364+1,1,1)-1</f>
        <v>47118</v>
      </c>
      <c r="M365" s="24" t="n">
        <f aca="false">DATE(M364+1,1,1)-1</f>
        <v>47483</v>
      </c>
      <c r="N365" s="24" t="n">
        <f aca="false">DATE(N364+1,1,1)-1</f>
        <v>47848</v>
      </c>
      <c r="O365" s="24" t="n">
        <f aca="false">DATE(O364+1,1,1)-1</f>
        <v>48213</v>
      </c>
      <c r="P365" s="24" t="n">
        <f aca="false">DATE(P364+1,1,1)-1</f>
        <v>48579</v>
      </c>
      <c r="Q365" s="24" t="n">
        <f aca="false">DATE(Q364+1,1,1)-1</f>
        <v>48944</v>
      </c>
      <c r="R365" s="24" t="n">
        <f aca="false">DATE(R364+1,1,1)-1</f>
        <v>49309</v>
      </c>
      <c r="S365" s="24" t="n">
        <f aca="false">DATE(S364+1,1,1)-1</f>
        <v>49674</v>
      </c>
      <c r="T365" s="24" t="n">
        <f aca="false">DATE(T364+1,1,1)-1</f>
        <v>50040</v>
      </c>
      <c r="U365" s="24" t="n">
        <f aca="false">DATE(U364+1,1,1)-1</f>
        <v>50405</v>
      </c>
      <c r="V365" s="24" t="n">
        <f aca="false">DATE(V364+1,1,1)-1</f>
        <v>50770</v>
      </c>
      <c r="W365" s="24" t="n">
        <f aca="false">DATE(W364+1,1,1)-1</f>
        <v>51135</v>
      </c>
      <c r="X365" s="24" t="n">
        <f aca="false">DATE(X364+1,1,1)-1</f>
        <v>51501</v>
      </c>
      <c r="Y365" s="24" t="n">
        <f aca="false">DATE(Y364+1,1,1)-1</f>
        <v>51866</v>
      </c>
      <c r="Z365" s="24" t="n">
        <f aca="false">DATE(Z364+1,1,1)-1</f>
        <v>52231</v>
      </c>
      <c r="AA365" s="24" t="n">
        <f aca="false">DATE(AA364+1,1,1)-1</f>
        <v>52596</v>
      </c>
      <c r="AB365" s="24" t="n">
        <f aca="false">DATE(AB364+1,1,1)-1</f>
        <v>52962</v>
      </c>
      <c r="AC365" s="24" t="n">
        <f aca="false">DATE(AC364+1,1,1)-1</f>
        <v>53327</v>
      </c>
      <c r="AD365" s="24" t="n">
        <f aca="false">DATE(AD364+1,1,1)-1</f>
        <v>53692</v>
      </c>
      <c r="AE365" s="24" t="n">
        <f aca="false">DATE(AE364+1,1,1)-1</f>
        <v>54057</v>
      </c>
      <c r="AF365" s="24" t="n">
        <f aca="false">DATE(AF364+1,1,1)-1</f>
        <v>54423</v>
      </c>
      <c r="AG365" s="24" t="n">
        <f aca="false">DATE(AG364+1,1,1)-1</f>
        <v>54788</v>
      </c>
      <c r="AH365" s="24" t="n">
        <f aca="false">DATE(AH364+1,1,1)-1</f>
        <v>55153</v>
      </c>
      <c r="AI365" s="24" t="n">
        <f aca="false">DATE(AI364+1,1,1)-1</f>
        <v>55518</v>
      </c>
      <c r="AJ365" s="24" t="n">
        <f aca="false">DATE(AJ364+1,1,1)-1</f>
        <v>55884</v>
      </c>
      <c r="AK365" s="24" t="n">
        <f aca="false">DATE(AK364+1,1,1)-1</f>
        <v>56249</v>
      </c>
      <c r="AL365" s="24" t="n">
        <f aca="false">DATE(AL364+1,1,1)-1</f>
        <v>56614</v>
      </c>
      <c r="AM365" s="24" t="n">
        <f aca="false">DATE(AM364+1,1,1)-1</f>
        <v>56979</v>
      </c>
      <c r="AN365" s="24" t="n">
        <f aca="false">DATE(AN364+1,1,1)-1</f>
        <v>57345</v>
      </c>
      <c r="AO365" s="24" t="n">
        <f aca="false">DATE(AO364+1,1,1)-1</f>
        <v>57710</v>
      </c>
      <c r="AP365" s="24" t="n">
        <f aca="false">DATE(AP364+1,1,1)-1</f>
        <v>58075</v>
      </c>
      <c r="AQ365" s="24" t="n">
        <f aca="false">DATE(AQ364+1,1,1)-1</f>
        <v>58440</v>
      </c>
      <c r="AR365" s="24" t="n">
        <f aca="false">DATE(AR364+1,1,1)-1</f>
        <v>58806</v>
      </c>
      <c r="AS365" s="24" t="n">
        <f aca="false">DATE(AS364+1,1,1)-1</f>
        <v>59171</v>
      </c>
      <c r="AT365" s="24" t="n">
        <f aca="false">DATE(AT364+1,1,1)-1</f>
        <v>59536</v>
      </c>
      <c r="AU365" s="24" t="n">
        <f aca="false">DATE(AU364+1,1,1)-1</f>
        <v>59901</v>
      </c>
      <c r="AV365" s="24" t="n">
        <f aca="false">DATE(AV364+1,1,1)-1</f>
        <v>60267</v>
      </c>
      <c r="AW365" s="24" t="n">
        <f aca="false">DATE(AW364+1,1,1)-1</f>
        <v>60632</v>
      </c>
    </row>
    <row r="367" customFormat="false" ht="14.25" hidden="false" customHeight="false" outlineLevel="0" collapsed="false">
      <c r="B367" s="4" t="s">
        <v>3</v>
      </c>
      <c r="C367" s="4" t="s">
        <v>290</v>
      </c>
      <c r="D367" s="4"/>
      <c r="E367" s="5" t="s">
        <v>291</v>
      </c>
      <c r="F367" s="5"/>
      <c r="G367" s="5"/>
      <c r="H367" s="5" t="s">
        <v>8</v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 customFormat="false" ht="14.25" hidden="false" customHeight="false" outlineLevel="0" collapsed="false">
      <c r="C368" s="6" t="s">
        <v>292</v>
      </c>
      <c r="D368" s="2" t="s">
        <v>293</v>
      </c>
      <c r="J368" s="73" t="n">
        <f aca="false">J$364-YEAR(Inputs!$E$26)</f>
        <v>-5</v>
      </c>
      <c r="K368" s="73" t="n">
        <f aca="false">K$364-YEAR(Inputs!$E$26)</f>
        <v>-4</v>
      </c>
      <c r="L368" s="73" t="n">
        <f aca="false">L$364-YEAR(Inputs!$E$26)</f>
        <v>-3</v>
      </c>
      <c r="M368" s="73" t="n">
        <f aca="false">M$364-YEAR(Inputs!$E$26)</f>
        <v>-2</v>
      </c>
      <c r="N368" s="73" t="n">
        <f aca="false">N$364-YEAR(Inputs!$E$26)</f>
        <v>-1</v>
      </c>
      <c r="O368" s="73" t="n">
        <f aca="false">O$364-YEAR(Inputs!$E$26)</f>
        <v>0</v>
      </c>
      <c r="P368" s="73" t="n">
        <f aca="false">P$364-YEAR(Inputs!$E$26)</f>
        <v>1</v>
      </c>
      <c r="Q368" s="73" t="n">
        <f aca="false">Q$364-YEAR(Inputs!$E$26)</f>
        <v>2</v>
      </c>
      <c r="R368" s="73" t="n">
        <f aca="false">R$364-YEAR(Inputs!$E$26)</f>
        <v>3</v>
      </c>
      <c r="S368" s="73" t="n">
        <f aca="false">S$364-YEAR(Inputs!$E$26)</f>
        <v>4</v>
      </c>
      <c r="T368" s="73" t="n">
        <f aca="false">T$364-YEAR(Inputs!$E$26)</f>
        <v>5</v>
      </c>
      <c r="U368" s="73" t="n">
        <f aca="false">U$364-YEAR(Inputs!$E$26)</f>
        <v>6</v>
      </c>
      <c r="V368" s="73" t="n">
        <f aca="false">V$364-YEAR(Inputs!$E$26)</f>
        <v>7</v>
      </c>
      <c r="W368" s="73" t="n">
        <f aca="false">W$364-YEAR(Inputs!$E$26)</f>
        <v>8</v>
      </c>
      <c r="X368" s="73" t="n">
        <f aca="false">X$364-YEAR(Inputs!$E$26)</f>
        <v>9</v>
      </c>
      <c r="Y368" s="73" t="n">
        <f aca="false">Y$364-YEAR(Inputs!$E$26)</f>
        <v>10</v>
      </c>
      <c r="Z368" s="73" t="n">
        <f aca="false">Z$364-YEAR(Inputs!$E$26)</f>
        <v>11</v>
      </c>
      <c r="AA368" s="73" t="n">
        <f aca="false">AA$364-YEAR(Inputs!$E$26)</f>
        <v>12</v>
      </c>
      <c r="AB368" s="73" t="n">
        <f aca="false">AB$364-YEAR(Inputs!$E$26)</f>
        <v>13</v>
      </c>
      <c r="AC368" s="73" t="n">
        <f aca="false">AC$364-YEAR(Inputs!$E$26)</f>
        <v>14</v>
      </c>
      <c r="AD368" s="73" t="n">
        <f aca="false">AD$364-YEAR(Inputs!$E$26)</f>
        <v>15</v>
      </c>
      <c r="AE368" s="73" t="n">
        <f aca="false">AE$364-YEAR(Inputs!$E$26)</f>
        <v>16</v>
      </c>
      <c r="AF368" s="73" t="n">
        <f aca="false">AF$364-YEAR(Inputs!$E$26)</f>
        <v>17</v>
      </c>
      <c r="AG368" s="73" t="n">
        <f aca="false">AG$364-YEAR(Inputs!$E$26)</f>
        <v>18</v>
      </c>
      <c r="AH368" s="73" t="n">
        <f aca="false">AH$364-YEAR(Inputs!$E$26)</f>
        <v>19</v>
      </c>
      <c r="AI368" s="73" t="n">
        <f aca="false">AI$364-YEAR(Inputs!$E$26)</f>
        <v>20</v>
      </c>
      <c r="AJ368" s="73" t="n">
        <f aca="false">AJ$364-YEAR(Inputs!$E$26)</f>
        <v>21</v>
      </c>
      <c r="AK368" s="73" t="n">
        <f aca="false">AK$364-YEAR(Inputs!$E$26)</f>
        <v>22</v>
      </c>
      <c r="AL368" s="73" t="n">
        <f aca="false">AL$364-YEAR(Inputs!$E$26)</f>
        <v>23</v>
      </c>
      <c r="AM368" s="73" t="n">
        <f aca="false">AM$364-YEAR(Inputs!$E$26)</f>
        <v>24</v>
      </c>
      <c r="AN368" s="73" t="n">
        <f aca="false">AN$364-YEAR(Inputs!$E$26)</f>
        <v>25</v>
      </c>
      <c r="AO368" s="73" t="n">
        <f aca="false">AO$364-YEAR(Inputs!$E$26)</f>
        <v>26</v>
      </c>
      <c r="AP368" s="73" t="n">
        <f aca="false">AP$364-YEAR(Inputs!$E$26)</f>
        <v>27</v>
      </c>
      <c r="AQ368" s="73" t="n">
        <f aca="false">AQ$364-YEAR(Inputs!$E$26)</f>
        <v>28</v>
      </c>
      <c r="AR368" s="73" t="n">
        <f aca="false">AR$364-YEAR(Inputs!$E$26)</f>
        <v>29</v>
      </c>
      <c r="AS368" s="73" t="n">
        <f aca="false">AS$364-YEAR(Inputs!$E$26)</f>
        <v>30</v>
      </c>
      <c r="AT368" s="73" t="n">
        <f aca="false">AT$364-YEAR(Inputs!$E$26)</f>
        <v>31</v>
      </c>
      <c r="AU368" s="73" t="n">
        <f aca="false">AU$364-YEAR(Inputs!$E$26)</f>
        <v>32</v>
      </c>
      <c r="AV368" s="73" t="n">
        <f aca="false">AV$364-YEAR(Inputs!$E$26)</f>
        <v>33</v>
      </c>
      <c r="AW368" s="73" t="n">
        <f aca="false">AW$364-YEAR(Inputs!$E$26)</f>
        <v>34</v>
      </c>
    </row>
    <row r="369" customFormat="false" ht="14.25" hidden="false" customHeight="false" outlineLevel="0" collapsed="false">
      <c r="C369" s="6" t="s">
        <v>294</v>
      </c>
      <c r="D369" s="2" t="s">
        <v>295</v>
      </c>
      <c r="E369" s="73" t="n">
        <f aca="false">DATEDIF(Inputs!$E$25,Inputs!$E$26,"m")</f>
        <v>24</v>
      </c>
      <c r="J369" s="73" t="n">
        <f aca="false">(J$364+1-YEAR(Inputs!$E$25))*Months_In_Year-MONTH(Inputs!$E$25)</f>
        <v>-30</v>
      </c>
      <c r="K369" s="73" t="n">
        <f aca="false">(K$364+1-YEAR(Inputs!$E$25))*Months_In_Year-MONTH(Inputs!$E$25)</f>
        <v>-18</v>
      </c>
      <c r="L369" s="73" t="n">
        <f aca="false">(L$364+1-YEAR(Inputs!$E$25))*Months_In_Year-MONTH(Inputs!$E$25)</f>
        <v>-6</v>
      </c>
      <c r="M369" s="73" t="n">
        <f aca="false">(M$364+1-YEAR(Inputs!$E$25))*Months_In_Year-MONTH(Inputs!$E$25)</f>
        <v>6</v>
      </c>
      <c r="N369" s="73" t="n">
        <f aca="false">(N$364+1-YEAR(Inputs!$E$25))*Months_In_Year-MONTH(Inputs!$E$25)</f>
        <v>18</v>
      </c>
      <c r="O369" s="73" t="n">
        <f aca="false">(O$364+1-YEAR(Inputs!$E$25))*Months_In_Year-MONTH(Inputs!$E$25)</f>
        <v>30</v>
      </c>
      <c r="P369" s="73" t="n">
        <f aca="false">(P$364+1-YEAR(Inputs!$E$25))*Months_In_Year-MONTH(Inputs!$E$25)</f>
        <v>42</v>
      </c>
      <c r="Q369" s="73" t="n">
        <f aca="false">(Q$364+1-YEAR(Inputs!$E$25))*Months_In_Year-MONTH(Inputs!$E$25)</f>
        <v>54</v>
      </c>
      <c r="R369" s="73" t="n">
        <f aca="false">(R$364+1-YEAR(Inputs!$E$25))*Months_In_Year-MONTH(Inputs!$E$25)</f>
        <v>66</v>
      </c>
      <c r="S369" s="73" t="n">
        <f aca="false">(S$364+1-YEAR(Inputs!$E$25))*Months_In_Year-MONTH(Inputs!$E$25)</f>
        <v>78</v>
      </c>
      <c r="T369" s="73" t="n">
        <f aca="false">(T$364+1-YEAR(Inputs!$E$25))*Months_In_Year-MONTH(Inputs!$E$25)</f>
        <v>90</v>
      </c>
      <c r="U369" s="73" t="n">
        <f aca="false">(U$364+1-YEAR(Inputs!$E$25))*Months_In_Year-MONTH(Inputs!$E$25)</f>
        <v>102</v>
      </c>
      <c r="V369" s="73" t="n">
        <f aca="false">(V$364+1-YEAR(Inputs!$E$25))*Months_In_Year-MONTH(Inputs!$E$25)</f>
        <v>114</v>
      </c>
      <c r="W369" s="73" t="n">
        <f aca="false">(W$364+1-YEAR(Inputs!$E$25))*Months_In_Year-MONTH(Inputs!$E$25)</f>
        <v>126</v>
      </c>
      <c r="X369" s="73" t="n">
        <f aca="false">(X$364+1-YEAR(Inputs!$E$25))*Months_In_Year-MONTH(Inputs!$E$25)</f>
        <v>138</v>
      </c>
      <c r="Y369" s="73" t="n">
        <f aca="false">(Y$364+1-YEAR(Inputs!$E$25))*Months_In_Year-MONTH(Inputs!$E$25)</f>
        <v>150</v>
      </c>
      <c r="Z369" s="73" t="n">
        <f aca="false">(Z$364+1-YEAR(Inputs!$E$25))*Months_In_Year-MONTH(Inputs!$E$25)</f>
        <v>162</v>
      </c>
      <c r="AA369" s="73" t="n">
        <f aca="false">(AA$364+1-YEAR(Inputs!$E$25))*Months_In_Year-MONTH(Inputs!$E$25)</f>
        <v>174</v>
      </c>
      <c r="AB369" s="73" t="n">
        <f aca="false">(AB$364+1-YEAR(Inputs!$E$25))*Months_In_Year-MONTH(Inputs!$E$25)</f>
        <v>186</v>
      </c>
      <c r="AC369" s="73" t="n">
        <f aca="false">(AC$364+1-YEAR(Inputs!$E$25))*Months_In_Year-MONTH(Inputs!$E$25)</f>
        <v>198</v>
      </c>
      <c r="AD369" s="73" t="n">
        <f aca="false">(AD$364+1-YEAR(Inputs!$E$25))*Months_In_Year-MONTH(Inputs!$E$25)</f>
        <v>210</v>
      </c>
      <c r="AE369" s="73" t="n">
        <f aca="false">(AE$364+1-YEAR(Inputs!$E$25))*Months_In_Year-MONTH(Inputs!$E$25)</f>
        <v>222</v>
      </c>
      <c r="AF369" s="73" t="n">
        <f aca="false">(AF$364+1-YEAR(Inputs!$E$25))*Months_In_Year-MONTH(Inputs!$E$25)</f>
        <v>234</v>
      </c>
      <c r="AG369" s="73" t="n">
        <f aca="false">(AG$364+1-YEAR(Inputs!$E$25))*Months_In_Year-MONTH(Inputs!$E$25)</f>
        <v>246</v>
      </c>
      <c r="AH369" s="73" t="n">
        <f aca="false">(AH$364+1-YEAR(Inputs!$E$25))*Months_In_Year-MONTH(Inputs!$E$25)</f>
        <v>258</v>
      </c>
      <c r="AI369" s="73" t="n">
        <f aca="false">(AI$364+1-YEAR(Inputs!$E$25))*Months_In_Year-MONTH(Inputs!$E$25)</f>
        <v>270</v>
      </c>
      <c r="AJ369" s="73" t="n">
        <f aca="false">(AJ$364+1-YEAR(Inputs!$E$25))*Months_In_Year-MONTH(Inputs!$E$25)</f>
        <v>282</v>
      </c>
      <c r="AK369" s="73" t="n">
        <f aca="false">(AK$364+1-YEAR(Inputs!$E$25))*Months_In_Year-MONTH(Inputs!$E$25)</f>
        <v>294</v>
      </c>
      <c r="AL369" s="73" t="n">
        <f aca="false">(AL$364+1-YEAR(Inputs!$E$25))*Months_In_Year-MONTH(Inputs!$E$25)</f>
        <v>306</v>
      </c>
      <c r="AM369" s="73" t="n">
        <f aca="false">(AM$364+1-YEAR(Inputs!$E$25))*Months_In_Year-MONTH(Inputs!$E$25)</f>
        <v>318</v>
      </c>
      <c r="AN369" s="73" t="n">
        <f aca="false">(AN$364+1-YEAR(Inputs!$E$25))*Months_In_Year-MONTH(Inputs!$E$25)</f>
        <v>330</v>
      </c>
      <c r="AO369" s="73" t="n">
        <f aca="false">(AO$364+1-YEAR(Inputs!$E$25))*Months_In_Year-MONTH(Inputs!$E$25)</f>
        <v>342</v>
      </c>
      <c r="AP369" s="73" t="n">
        <f aca="false">(AP$364+1-YEAR(Inputs!$E$25))*Months_In_Year-MONTH(Inputs!$E$25)</f>
        <v>354</v>
      </c>
      <c r="AQ369" s="73" t="n">
        <f aca="false">(AQ$364+1-YEAR(Inputs!$E$25))*Months_In_Year-MONTH(Inputs!$E$25)</f>
        <v>366</v>
      </c>
      <c r="AR369" s="73" t="n">
        <f aca="false">(AR$364+1-YEAR(Inputs!$E$25))*Months_In_Year-MONTH(Inputs!$E$25)</f>
        <v>378</v>
      </c>
      <c r="AS369" s="73" t="n">
        <f aca="false">(AS$364+1-YEAR(Inputs!$E$25))*Months_In_Year-MONTH(Inputs!$E$25)</f>
        <v>390</v>
      </c>
      <c r="AT369" s="73" t="n">
        <f aca="false">(AT$364+1-YEAR(Inputs!$E$25))*Months_In_Year-MONTH(Inputs!$E$25)</f>
        <v>402</v>
      </c>
      <c r="AU369" s="73" t="n">
        <f aca="false">(AU$364+1-YEAR(Inputs!$E$25))*Months_In_Year-MONTH(Inputs!$E$25)</f>
        <v>414</v>
      </c>
      <c r="AV369" s="73" t="n">
        <f aca="false">(AV$364+1-YEAR(Inputs!$E$25))*Months_In_Year-MONTH(Inputs!$E$25)</f>
        <v>426</v>
      </c>
      <c r="AW369" s="73" t="n">
        <f aca="false">(AW$364+1-YEAR(Inputs!$E$25))*Months_In_Year-MONTH(Inputs!$E$25)</f>
        <v>438</v>
      </c>
    </row>
    <row r="370" customFormat="false" ht="14.25" hidden="false" customHeight="false" outlineLevel="0" collapsed="false">
      <c r="C370" s="6" t="s">
        <v>296</v>
      </c>
      <c r="D370" s="2" t="s">
        <v>12</v>
      </c>
      <c r="H370" s="74" t="n">
        <f aca="false">SUM(J370:AW370)</f>
        <v>1</v>
      </c>
      <c r="J370" s="48" t="n">
        <f aca="false">MAX(0,MIN(J369,$E369)-MAX(J369-Months_In_Year,0))/$E369</f>
        <v>0</v>
      </c>
      <c r="K370" s="48" t="n">
        <f aca="false">MAX(0,MIN(K369,$E369)-MAX(K369-Months_In_Year,0))/$E369</f>
        <v>0</v>
      </c>
      <c r="L370" s="48" t="n">
        <f aca="false">MAX(0,MIN(L369,$E369)-MAX(L369-Months_In_Year,0))/$E369</f>
        <v>0</v>
      </c>
      <c r="M370" s="48" t="n">
        <f aca="false">MAX(0,MIN(M369,$E369)-MAX(M369-Months_In_Year,0))/$E369</f>
        <v>0.25</v>
      </c>
      <c r="N370" s="48" t="n">
        <f aca="false">MAX(0,MIN(N369,$E369)-MAX(N369-Months_In_Year,0))/$E369</f>
        <v>0.5</v>
      </c>
      <c r="O370" s="48" t="n">
        <f aca="false">MAX(0,MIN(O369,$E369)-MAX(O369-Months_In_Year,0))/$E369</f>
        <v>0.25</v>
      </c>
      <c r="P370" s="48" t="n">
        <f aca="false">MAX(0,MIN(P369,$E369)-MAX(P369-Months_In_Year,0))/$E369</f>
        <v>0</v>
      </c>
      <c r="Q370" s="48" t="n">
        <f aca="false">MAX(0,MIN(Q369,$E369)-MAX(Q369-Months_In_Year,0))/$E369</f>
        <v>0</v>
      </c>
      <c r="R370" s="48" t="n">
        <f aca="false">MAX(0,MIN(R369,$E369)-MAX(R369-Months_In_Year,0))/$E369</f>
        <v>0</v>
      </c>
      <c r="S370" s="48" t="n">
        <f aca="false">MAX(0,MIN(S369,$E369)-MAX(S369-Months_In_Year,0))/$E369</f>
        <v>0</v>
      </c>
      <c r="T370" s="48" t="n">
        <f aca="false">MAX(0,MIN(T369,$E369)-MAX(T369-Months_In_Year,0))/$E369</f>
        <v>0</v>
      </c>
      <c r="U370" s="48" t="n">
        <f aca="false">MAX(0,MIN(U369,$E369)-MAX(U369-Months_In_Year,0))/$E369</f>
        <v>0</v>
      </c>
      <c r="V370" s="48" t="n">
        <f aca="false">MAX(0,MIN(V369,$E369)-MAX(V369-Months_In_Year,0))/$E369</f>
        <v>0</v>
      </c>
      <c r="W370" s="48" t="n">
        <f aca="false">MAX(0,MIN(W369,$E369)-MAX(W369-Months_In_Year,0))/$E369</f>
        <v>0</v>
      </c>
      <c r="X370" s="48" t="n">
        <f aca="false">MAX(0,MIN(X369,$E369)-MAX(X369-Months_In_Year,0))/$E369</f>
        <v>0</v>
      </c>
      <c r="Y370" s="48" t="n">
        <f aca="false">MAX(0,MIN(Y369,$E369)-MAX(Y369-Months_In_Year,0))/$E369</f>
        <v>0</v>
      </c>
      <c r="Z370" s="48" t="n">
        <f aca="false">MAX(0,MIN(Z369,$E369)-MAX(Z369-Months_In_Year,0))/$E369</f>
        <v>0</v>
      </c>
      <c r="AA370" s="48" t="n">
        <f aca="false">MAX(0,MIN(AA369,$E369)-MAX(AA369-Months_In_Year,0))/$E369</f>
        <v>0</v>
      </c>
      <c r="AB370" s="48" t="n">
        <f aca="false">MAX(0,MIN(AB369,$E369)-MAX(AB369-Months_In_Year,0))/$E369</f>
        <v>0</v>
      </c>
      <c r="AC370" s="48" t="n">
        <f aca="false">MAX(0,MIN(AC369,$E369)-MAX(AC369-Months_In_Year,0))/$E369</f>
        <v>0</v>
      </c>
      <c r="AD370" s="48" t="n">
        <f aca="false">MAX(0,MIN(AD369,$E369)-MAX(AD369-Months_In_Year,0))/$E369</f>
        <v>0</v>
      </c>
      <c r="AE370" s="48" t="n">
        <f aca="false">MAX(0,MIN(AE369,$E369)-MAX(AE369-Months_In_Year,0))/$E369</f>
        <v>0</v>
      </c>
      <c r="AF370" s="48" t="n">
        <f aca="false">MAX(0,MIN(AF369,$E369)-MAX(AF369-Months_In_Year,0))/$E369</f>
        <v>0</v>
      </c>
      <c r="AG370" s="48" t="n">
        <f aca="false">MAX(0,MIN(AG369,$E369)-MAX(AG369-Months_In_Year,0))/$E369</f>
        <v>0</v>
      </c>
      <c r="AH370" s="48" t="n">
        <f aca="false">MAX(0,MIN(AH369,$E369)-MAX(AH369-Months_In_Year,0))/$E369</f>
        <v>0</v>
      </c>
      <c r="AI370" s="48" t="n">
        <f aca="false">MAX(0,MIN(AI369,$E369)-MAX(AI369-Months_In_Year,0))/$E369</f>
        <v>0</v>
      </c>
      <c r="AJ370" s="48" t="n">
        <f aca="false">MAX(0,MIN(AJ369,$E369)-MAX(AJ369-Months_In_Year,0))/$E369</f>
        <v>0</v>
      </c>
      <c r="AK370" s="48" t="n">
        <f aca="false">MAX(0,MIN(AK369,$E369)-MAX(AK369-Months_In_Year,0))/$E369</f>
        <v>0</v>
      </c>
      <c r="AL370" s="48" t="n">
        <f aca="false">MAX(0,MIN(AL369,$E369)-MAX(AL369-Months_In_Year,0))/$E369</f>
        <v>0</v>
      </c>
      <c r="AM370" s="48" t="n">
        <f aca="false">MAX(0,MIN(AM369,$E369)-MAX(AM369-Months_In_Year,0))/$E369</f>
        <v>0</v>
      </c>
      <c r="AN370" s="48" t="n">
        <f aca="false">MAX(0,MIN(AN369,$E369)-MAX(AN369-Months_In_Year,0))/$E369</f>
        <v>0</v>
      </c>
      <c r="AO370" s="48" t="n">
        <f aca="false">MAX(0,MIN(AO369,$E369)-MAX(AO369-Months_In_Year,0))/$E369</f>
        <v>0</v>
      </c>
      <c r="AP370" s="48" t="n">
        <f aca="false">MAX(0,MIN(AP369,$E369)-MAX(AP369-Months_In_Year,0))/$E369</f>
        <v>0</v>
      </c>
      <c r="AQ370" s="48" t="n">
        <f aca="false">MAX(0,MIN(AQ369,$E369)-MAX(AQ369-Months_In_Year,0))/$E369</f>
        <v>0</v>
      </c>
      <c r="AR370" s="48" t="n">
        <f aca="false">MAX(0,MIN(AR369,$E369)-MAX(AR369-Months_In_Year,0))/$E369</f>
        <v>0</v>
      </c>
      <c r="AS370" s="48" t="n">
        <f aca="false">MAX(0,MIN(AS369,$E369)-MAX(AS369-Months_In_Year,0))/$E369</f>
        <v>0</v>
      </c>
      <c r="AT370" s="48" t="n">
        <f aca="false">MAX(0,MIN(AT369,$E369)-MAX(AT369-Months_In_Year,0))/$E369</f>
        <v>0</v>
      </c>
      <c r="AU370" s="48" t="n">
        <f aca="false">MAX(0,MIN(AU369,$E369)-MAX(AU369-Months_In_Year,0))/$E369</f>
        <v>0</v>
      </c>
      <c r="AV370" s="48" t="n">
        <f aca="false">MAX(0,MIN(AV369,$E369)-MAX(AV369-Months_In_Year,0))/$E369</f>
        <v>0</v>
      </c>
      <c r="AW370" s="48" t="n">
        <f aca="false">MAX(0,MIN(AW369,$E369)-MAX(AW369-Months_In_Year,0))/$E369</f>
        <v>0</v>
      </c>
    </row>
    <row r="371" customFormat="false" ht="14.25" hidden="false" customHeight="false" outlineLevel="0" collapsed="false">
      <c r="C371" s="6" t="s">
        <v>297</v>
      </c>
      <c r="D371" s="2" t="s">
        <v>295</v>
      </c>
      <c r="E371" s="73" t="n">
        <f aca="false">Life*Months_In_Year</f>
        <v>360</v>
      </c>
      <c r="J371" s="73" t="n">
        <f aca="false">(J$364+1-YEAR(Inputs!$E$26))*Months_In_Year-MONTH(Inputs!$E$26)</f>
        <v>-54</v>
      </c>
      <c r="K371" s="73" t="n">
        <f aca="false">(K$364+1-YEAR(Inputs!$E$26))*Months_In_Year-MONTH(Inputs!$E$26)</f>
        <v>-42</v>
      </c>
      <c r="L371" s="73" t="n">
        <f aca="false">(L$364+1-YEAR(Inputs!$E$26))*Months_In_Year-MONTH(Inputs!$E$26)</f>
        <v>-30</v>
      </c>
      <c r="M371" s="73" t="n">
        <f aca="false">(M$364+1-YEAR(Inputs!$E$26))*Months_In_Year-MONTH(Inputs!$E$26)</f>
        <v>-18</v>
      </c>
      <c r="N371" s="73" t="n">
        <f aca="false">(N$364+1-YEAR(Inputs!$E$26))*Months_In_Year-MONTH(Inputs!$E$26)</f>
        <v>-6</v>
      </c>
      <c r="O371" s="73" t="n">
        <f aca="false">(O$364+1-YEAR(Inputs!$E$26))*Months_In_Year-MONTH(Inputs!$E$26)</f>
        <v>6</v>
      </c>
      <c r="P371" s="73" t="n">
        <f aca="false">(P$364+1-YEAR(Inputs!$E$26))*Months_In_Year-MONTH(Inputs!$E$26)</f>
        <v>18</v>
      </c>
      <c r="Q371" s="73" t="n">
        <f aca="false">(Q$364+1-YEAR(Inputs!$E$26))*Months_In_Year-MONTH(Inputs!$E$26)</f>
        <v>30</v>
      </c>
      <c r="R371" s="73" t="n">
        <f aca="false">(R$364+1-YEAR(Inputs!$E$26))*Months_In_Year-MONTH(Inputs!$E$26)</f>
        <v>42</v>
      </c>
      <c r="S371" s="73" t="n">
        <f aca="false">(S$364+1-YEAR(Inputs!$E$26))*Months_In_Year-MONTH(Inputs!$E$26)</f>
        <v>54</v>
      </c>
      <c r="T371" s="73" t="n">
        <f aca="false">(T$364+1-YEAR(Inputs!$E$26))*Months_In_Year-MONTH(Inputs!$E$26)</f>
        <v>66</v>
      </c>
      <c r="U371" s="73" t="n">
        <f aca="false">(U$364+1-YEAR(Inputs!$E$26))*Months_In_Year-MONTH(Inputs!$E$26)</f>
        <v>78</v>
      </c>
      <c r="V371" s="73" t="n">
        <f aca="false">(V$364+1-YEAR(Inputs!$E$26))*Months_In_Year-MONTH(Inputs!$E$26)</f>
        <v>90</v>
      </c>
      <c r="W371" s="73" t="n">
        <f aca="false">(W$364+1-YEAR(Inputs!$E$26))*Months_In_Year-MONTH(Inputs!$E$26)</f>
        <v>102</v>
      </c>
      <c r="X371" s="73" t="n">
        <f aca="false">(X$364+1-YEAR(Inputs!$E$26))*Months_In_Year-MONTH(Inputs!$E$26)</f>
        <v>114</v>
      </c>
      <c r="Y371" s="73" t="n">
        <f aca="false">(Y$364+1-YEAR(Inputs!$E$26))*Months_In_Year-MONTH(Inputs!$E$26)</f>
        <v>126</v>
      </c>
      <c r="Z371" s="73" t="n">
        <f aca="false">(Z$364+1-YEAR(Inputs!$E$26))*Months_In_Year-MONTH(Inputs!$E$26)</f>
        <v>138</v>
      </c>
      <c r="AA371" s="73" t="n">
        <f aca="false">(AA$364+1-YEAR(Inputs!$E$26))*Months_In_Year-MONTH(Inputs!$E$26)</f>
        <v>150</v>
      </c>
      <c r="AB371" s="73" t="n">
        <f aca="false">(AB$364+1-YEAR(Inputs!$E$26))*Months_In_Year-MONTH(Inputs!$E$26)</f>
        <v>162</v>
      </c>
      <c r="AC371" s="73" t="n">
        <f aca="false">(AC$364+1-YEAR(Inputs!$E$26))*Months_In_Year-MONTH(Inputs!$E$26)</f>
        <v>174</v>
      </c>
      <c r="AD371" s="73" t="n">
        <f aca="false">(AD$364+1-YEAR(Inputs!$E$26))*Months_In_Year-MONTH(Inputs!$E$26)</f>
        <v>186</v>
      </c>
      <c r="AE371" s="73" t="n">
        <f aca="false">(AE$364+1-YEAR(Inputs!$E$26))*Months_In_Year-MONTH(Inputs!$E$26)</f>
        <v>198</v>
      </c>
      <c r="AF371" s="73" t="n">
        <f aca="false">(AF$364+1-YEAR(Inputs!$E$26))*Months_In_Year-MONTH(Inputs!$E$26)</f>
        <v>210</v>
      </c>
      <c r="AG371" s="73" t="n">
        <f aca="false">(AG$364+1-YEAR(Inputs!$E$26))*Months_In_Year-MONTH(Inputs!$E$26)</f>
        <v>222</v>
      </c>
      <c r="AH371" s="73" t="n">
        <f aca="false">(AH$364+1-YEAR(Inputs!$E$26))*Months_In_Year-MONTH(Inputs!$E$26)</f>
        <v>234</v>
      </c>
      <c r="AI371" s="73" t="n">
        <f aca="false">(AI$364+1-YEAR(Inputs!$E$26))*Months_In_Year-MONTH(Inputs!$E$26)</f>
        <v>246</v>
      </c>
      <c r="AJ371" s="73" t="n">
        <f aca="false">(AJ$364+1-YEAR(Inputs!$E$26))*Months_In_Year-MONTH(Inputs!$E$26)</f>
        <v>258</v>
      </c>
      <c r="AK371" s="73" t="n">
        <f aca="false">(AK$364+1-YEAR(Inputs!$E$26))*Months_In_Year-MONTH(Inputs!$E$26)</f>
        <v>270</v>
      </c>
      <c r="AL371" s="73" t="n">
        <f aca="false">(AL$364+1-YEAR(Inputs!$E$26))*Months_In_Year-MONTH(Inputs!$E$26)</f>
        <v>282</v>
      </c>
      <c r="AM371" s="73" t="n">
        <f aca="false">(AM$364+1-YEAR(Inputs!$E$26))*Months_In_Year-MONTH(Inputs!$E$26)</f>
        <v>294</v>
      </c>
      <c r="AN371" s="73" t="n">
        <f aca="false">(AN$364+1-YEAR(Inputs!$E$26))*Months_In_Year-MONTH(Inputs!$E$26)</f>
        <v>306</v>
      </c>
      <c r="AO371" s="73" t="n">
        <f aca="false">(AO$364+1-YEAR(Inputs!$E$26))*Months_In_Year-MONTH(Inputs!$E$26)</f>
        <v>318</v>
      </c>
      <c r="AP371" s="73" t="n">
        <f aca="false">(AP$364+1-YEAR(Inputs!$E$26))*Months_In_Year-MONTH(Inputs!$E$26)</f>
        <v>330</v>
      </c>
      <c r="AQ371" s="73" t="n">
        <f aca="false">(AQ$364+1-YEAR(Inputs!$E$26))*Months_In_Year-MONTH(Inputs!$E$26)</f>
        <v>342</v>
      </c>
      <c r="AR371" s="73" t="n">
        <f aca="false">(AR$364+1-YEAR(Inputs!$E$26))*Months_In_Year-MONTH(Inputs!$E$26)</f>
        <v>354</v>
      </c>
      <c r="AS371" s="73" t="n">
        <f aca="false">(AS$364+1-YEAR(Inputs!$E$26))*Months_In_Year-MONTH(Inputs!$E$26)</f>
        <v>366</v>
      </c>
      <c r="AT371" s="73" t="n">
        <f aca="false">(AT$364+1-YEAR(Inputs!$E$26))*Months_In_Year-MONTH(Inputs!$E$26)</f>
        <v>378</v>
      </c>
      <c r="AU371" s="73" t="n">
        <f aca="false">(AU$364+1-YEAR(Inputs!$E$26))*Months_In_Year-MONTH(Inputs!$E$26)</f>
        <v>390</v>
      </c>
      <c r="AV371" s="73" t="n">
        <f aca="false">(AV$364+1-YEAR(Inputs!$E$26))*Months_In_Year-MONTH(Inputs!$E$26)</f>
        <v>402</v>
      </c>
      <c r="AW371" s="73" t="n">
        <f aca="false">(AW$364+1-YEAR(Inputs!$E$26))*Months_In_Year-MONTH(Inputs!$E$26)</f>
        <v>414</v>
      </c>
    </row>
    <row r="372" customFormat="false" ht="14.25" hidden="false" customHeight="false" outlineLevel="0" collapsed="false">
      <c r="C372" s="6" t="s">
        <v>298</v>
      </c>
      <c r="D372" s="2" t="s">
        <v>12</v>
      </c>
      <c r="H372" s="74" t="n">
        <f aca="false">SUM(J372:AW372)</f>
        <v>30</v>
      </c>
      <c r="J372" s="48" t="n">
        <f aca="false">MAX(0,MIN(J371,$E371)-MAX(J371-Months_In_Year,0))/Months_In_Year</f>
        <v>0</v>
      </c>
      <c r="K372" s="48" t="n">
        <f aca="false">MAX(0,MIN(K371,$E371)-MAX(K371-Months_In_Year,0))/Months_In_Year</f>
        <v>0</v>
      </c>
      <c r="L372" s="48" t="n">
        <f aca="false">MAX(0,MIN(L371,$E371)-MAX(L371-Months_In_Year,0))/Months_In_Year</f>
        <v>0</v>
      </c>
      <c r="M372" s="48" t="n">
        <f aca="false">MAX(0,MIN(M371,$E371)-MAX(M371-Months_In_Year,0))/Months_In_Year</f>
        <v>0</v>
      </c>
      <c r="N372" s="48" t="n">
        <f aca="false">MAX(0,MIN(N371,$E371)-MAX(N371-Months_In_Year,0))/Months_In_Year</f>
        <v>0</v>
      </c>
      <c r="O372" s="48" t="n">
        <f aca="false">MAX(0,MIN(O371,$E371)-MAX(O371-Months_In_Year,0))/Months_In_Year</f>
        <v>0.5</v>
      </c>
      <c r="P372" s="48" t="n">
        <f aca="false">MAX(0,MIN(P371,$E371)-MAX(P371-Months_In_Year,0))/Months_In_Year</f>
        <v>1</v>
      </c>
      <c r="Q372" s="48" t="n">
        <f aca="false">MAX(0,MIN(Q371,$E371)-MAX(Q371-Months_In_Year,0))/Months_In_Year</f>
        <v>1</v>
      </c>
      <c r="R372" s="48" t="n">
        <f aca="false">MAX(0,MIN(R371,$E371)-MAX(R371-Months_In_Year,0))/Months_In_Year</f>
        <v>1</v>
      </c>
      <c r="S372" s="48" t="n">
        <f aca="false">MAX(0,MIN(S371,$E371)-MAX(S371-Months_In_Year,0))/Months_In_Year</f>
        <v>1</v>
      </c>
      <c r="T372" s="48" t="n">
        <f aca="false">MAX(0,MIN(T371,$E371)-MAX(T371-Months_In_Year,0))/Months_In_Year</f>
        <v>1</v>
      </c>
      <c r="U372" s="48" t="n">
        <f aca="false">MAX(0,MIN(U371,$E371)-MAX(U371-Months_In_Year,0))/Months_In_Year</f>
        <v>1</v>
      </c>
      <c r="V372" s="48" t="n">
        <f aca="false">MAX(0,MIN(V371,$E371)-MAX(V371-Months_In_Year,0))/Months_In_Year</f>
        <v>1</v>
      </c>
      <c r="W372" s="48" t="n">
        <f aca="false">MAX(0,MIN(W371,$E371)-MAX(W371-Months_In_Year,0))/Months_In_Year</f>
        <v>1</v>
      </c>
      <c r="X372" s="48" t="n">
        <f aca="false">MAX(0,MIN(X371,$E371)-MAX(X371-Months_In_Year,0))/Months_In_Year</f>
        <v>1</v>
      </c>
      <c r="Y372" s="48" t="n">
        <f aca="false">MAX(0,MIN(Y371,$E371)-MAX(Y371-Months_In_Year,0))/Months_In_Year</f>
        <v>1</v>
      </c>
      <c r="Z372" s="48" t="n">
        <f aca="false">MAX(0,MIN(Z371,$E371)-MAX(Z371-Months_In_Year,0))/Months_In_Year</f>
        <v>1</v>
      </c>
      <c r="AA372" s="48" t="n">
        <f aca="false">MAX(0,MIN(AA371,$E371)-MAX(AA371-Months_In_Year,0))/Months_In_Year</f>
        <v>1</v>
      </c>
      <c r="AB372" s="48" t="n">
        <f aca="false">MAX(0,MIN(AB371,$E371)-MAX(AB371-Months_In_Year,0))/Months_In_Year</f>
        <v>1</v>
      </c>
      <c r="AC372" s="48" t="n">
        <f aca="false">MAX(0,MIN(AC371,$E371)-MAX(AC371-Months_In_Year,0))/Months_In_Year</f>
        <v>1</v>
      </c>
      <c r="AD372" s="48" t="n">
        <f aca="false">MAX(0,MIN(AD371,$E371)-MAX(AD371-Months_In_Year,0))/Months_In_Year</f>
        <v>1</v>
      </c>
      <c r="AE372" s="48" t="n">
        <f aca="false">MAX(0,MIN(AE371,$E371)-MAX(AE371-Months_In_Year,0))/Months_In_Year</f>
        <v>1</v>
      </c>
      <c r="AF372" s="48" t="n">
        <f aca="false">MAX(0,MIN(AF371,$E371)-MAX(AF371-Months_In_Year,0))/Months_In_Year</f>
        <v>1</v>
      </c>
      <c r="AG372" s="48" t="n">
        <f aca="false">MAX(0,MIN(AG371,$E371)-MAX(AG371-Months_In_Year,0))/Months_In_Year</f>
        <v>1</v>
      </c>
      <c r="AH372" s="48" t="n">
        <f aca="false">MAX(0,MIN(AH371,$E371)-MAX(AH371-Months_In_Year,0))/Months_In_Year</f>
        <v>1</v>
      </c>
      <c r="AI372" s="48" t="n">
        <f aca="false">MAX(0,MIN(AI371,$E371)-MAX(AI371-Months_In_Year,0))/Months_In_Year</f>
        <v>1</v>
      </c>
      <c r="AJ372" s="48" t="n">
        <f aca="false">MAX(0,MIN(AJ371,$E371)-MAX(AJ371-Months_In_Year,0))/Months_In_Year</f>
        <v>1</v>
      </c>
      <c r="AK372" s="48" t="n">
        <f aca="false">MAX(0,MIN(AK371,$E371)-MAX(AK371-Months_In_Year,0))/Months_In_Year</f>
        <v>1</v>
      </c>
      <c r="AL372" s="48" t="n">
        <f aca="false">MAX(0,MIN(AL371,$E371)-MAX(AL371-Months_In_Year,0))/Months_In_Year</f>
        <v>1</v>
      </c>
      <c r="AM372" s="48" t="n">
        <f aca="false">MAX(0,MIN(AM371,$E371)-MAX(AM371-Months_In_Year,0))/Months_In_Year</f>
        <v>1</v>
      </c>
      <c r="AN372" s="48" t="n">
        <f aca="false">MAX(0,MIN(AN371,$E371)-MAX(AN371-Months_In_Year,0))/Months_In_Year</f>
        <v>1</v>
      </c>
      <c r="AO372" s="48" t="n">
        <f aca="false">MAX(0,MIN(AO371,$E371)-MAX(AO371-Months_In_Year,0))/Months_In_Year</f>
        <v>1</v>
      </c>
      <c r="AP372" s="48" t="n">
        <f aca="false">MAX(0,MIN(AP371,$E371)-MAX(AP371-Months_In_Year,0))/Months_In_Year</f>
        <v>1</v>
      </c>
      <c r="AQ372" s="48" t="n">
        <f aca="false">MAX(0,MIN(AQ371,$E371)-MAX(AQ371-Months_In_Year,0))/Months_In_Year</f>
        <v>1</v>
      </c>
      <c r="AR372" s="48" t="n">
        <f aca="false">MAX(0,MIN(AR371,$E371)-MAX(AR371-Months_In_Year,0))/Months_In_Year</f>
        <v>1</v>
      </c>
      <c r="AS372" s="48" t="n">
        <f aca="false">MAX(0,MIN(AS371,$E371)-MAX(AS371-Months_In_Year,0))/Months_In_Year</f>
        <v>0.5</v>
      </c>
      <c r="AT372" s="48" t="n">
        <f aca="false">MAX(0,MIN(AT371,$E371)-MAX(AT371-Months_In_Year,0))/Months_In_Year</f>
        <v>0</v>
      </c>
      <c r="AU372" s="48" t="n">
        <f aca="false">MAX(0,MIN(AU371,$E371)-MAX(AU371-Months_In_Year,0))/Months_In_Year</f>
        <v>0</v>
      </c>
      <c r="AV372" s="48" t="n">
        <f aca="false">MAX(0,MIN(AV371,$E371)-MAX(AV371-Months_In_Year,0))/Months_In_Year</f>
        <v>0</v>
      </c>
      <c r="AW372" s="48" t="n">
        <f aca="false">MAX(0,MIN(AW371,$E371)-MAX(AW371-Months_In_Year,0))/Months_In_Year</f>
        <v>0</v>
      </c>
    </row>
    <row r="373" customFormat="false" ht="14.25" hidden="false" customHeight="false" outlineLevel="0" collapsed="false">
      <c r="C373" s="6" t="s">
        <v>299</v>
      </c>
      <c r="D373" s="2" t="s">
        <v>2</v>
      </c>
      <c r="J373" s="75" t="n">
        <f aca="false">N(J368=0)</f>
        <v>0</v>
      </c>
      <c r="K373" s="75" t="n">
        <f aca="false">N(K368=0)</f>
        <v>0</v>
      </c>
      <c r="L373" s="75" t="n">
        <f aca="false">N(L368=0)</f>
        <v>0</v>
      </c>
      <c r="M373" s="75" t="n">
        <f aca="false">N(M368=0)</f>
        <v>0</v>
      </c>
      <c r="N373" s="75" t="n">
        <f aca="false">N(N368=0)</f>
        <v>0</v>
      </c>
      <c r="O373" s="75" t="n">
        <f aca="false">N(O368=0)</f>
        <v>1</v>
      </c>
      <c r="P373" s="75" t="n">
        <f aca="false">N(P368=0)</f>
        <v>0</v>
      </c>
      <c r="Q373" s="75" t="n">
        <f aca="false">N(Q368=0)</f>
        <v>0</v>
      </c>
      <c r="R373" s="75" t="n">
        <f aca="false">N(R368=0)</f>
        <v>0</v>
      </c>
      <c r="S373" s="75" t="n">
        <f aca="false">N(S368=0)</f>
        <v>0</v>
      </c>
      <c r="T373" s="75" t="n">
        <f aca="false">N(T368=0)</f>
        <v>0</v>
      </c>
      <c r="U373" s="75" t="n">
        <f aca="false">N(U368=0)</f>
        <v>0</v>
      </c>
      <c r="V373" s="75" t="n">
        <f aca="false">N(V368=0)</f>
        <v>0</v>
      </c>
      <c r="W373" s="75" t="n">
        <f aca="false">N(W368=0)</f>
        <v>0</v>
      </c>
      <c r="X373" s="75" t="n">
        <f aca="false">N(X368=0)</f>
        <v>0</v>
      </c>
      <c r="Y373" s="75" t="n">
        <f aca="false">N(Y368=0)</f>
        <v>0</v>
      </c>
      <c r="Z373" s="75" t="n">
        <f aca="false">N(Z368=0)</f>
        <v>0</v>
      </c>
      <c r="AA373" s="75" t="n">
        <f aca="false">N(AA368=0)</f>
        <v>0</v>
      </c>
      <c r="AB373" s="75" t="n">
        <f aca="false">N(AB368=0)</f>
        <v>0</v>
      </c>
      <c r="AC373" s="75" t="n">
        <f aca="false">N(AC368=0)</f>
        <v>0</v>
      </c>
      <c r="AD373" s="75" t="n">
        <f aca="false">N(AD368=0)</f>
        <v>0</v>
      </c>
      <c r="AE373" s="75" t="n">
        <f aca="false">N(AE368=0)</f>
        <v>0</v>
      </c>
      <c r="AF373" s="75" t="n">
        <f aca="false">N(AF368=0)</f>
        <v>0</v>
      </c>
      <c r="AG373" s="75" t="n">
        <f aca="false">N(AG368=0)</f>
        <v>0</v>
      </c>
      <c r="AH373" s="75" t="n">
        <f aca="false">N(AH368=0)</f>
        <v>0</v>
      </c>
      <c r="AI373" s="75" t="n">
        <f aca="false">N(AI368=0)</f>
        <v>0</v>
      </c>
      <c r="AJ373" s="75" t="n">
        <f aca="false">N(AJ368=0)</f>
        <v>0</v>
      </c>
      <c r="AK373" s="75" t="n">
        <f aca="false">N(AK368=0)</f>
        <v>0</v>
      </c>
      <c r="AL373" s="75" t="n">
        <f aca="false">N(AL368=0)</f>
        <v>0</v>
      </c>
      <c r="AM373" s="75" t="n">
        <f aca="false">N(AM368=0)</f>
        <v>0</v>
      </c>
      <c r="AN373" s="75" t="n">
        <f aca="false">N(AN368=0)</f>
        <v>0</v>
      </c>
      <c r="AO373" s="75" t="n">
        <f aca="false">N(AO368=0)</f>
        <v>0</v>
      </c>
      <c r="AP373" s="75" t="n">
        <f aca="false">N(AP368=0)</f>
        <v>0</v>
      </c>
      <c r="AQ373" s="75" t="n">
        <f aca="false">N(AQ368=0)</f>
        <v>0</v>
      </c>
      <c r="AR373" s="75" t="n">
        <f aca="false">N(AR368=0)</f>
        <v>0</v>
      </c>
      <c r="AS373" s="75" t="n">
        <f aca="false">N(AS368=0)</f>
        <v>0</v>
      </c>
      <c r="AT373" s="75" t="n">
        <f aca="false">N(AT368=0)</f>
        <v>0</v>
      </c>
      <c r="AU373" s="75" t="n">
        <f aca="false">N(AU368=0)</f>
        <v>0</v>
      </c>
      <c r="AV373" s="75" t="n">
        <f aca="false">N(AV368=0)</f>
        <v>0</v>
      </c>
      <c r="AW373" s="75" t="n">
        <f aca="false">N(AW368=0)</f>
        <v>0</v>
      </c>
    </row>
    <row r="374" customFormat="false" ht="14.25" hidden="false" customHeight="false" outlineLevel="0" collapsed="false">
      <c r="C374" s="6" t="s">
        <v>300</v>
      </c>
      <c r="D374" s="2" t="s">
        <v>85</v>
      </c>
      <c r="H374" s="8" t="n">
        <f aca="false">SUM(J374:AW374)</f>
        <v>-20256.3995260274</v>
      </c>
      <c r="J374" s="8" t="n">
        <f aca="false">-($E$98+$E$68+$E$62+$E$63+$E$92)*(J$364=YEAR(Sale_Date))</f>
        <v>-0</v>
      </c>
      <c r="K374" s="8" t="n">
        <f aca="false">-($E$98+$E$68+$E$62+$E$63+$E$92)*(K$364=YEAR(Sale_Date))</f>
        <v>-0</v>
      </c>
      <c r="L374" s="8" t="n">
        <f aca="false">-($E$98+$E$68+$E$62+$E$63+$E$92)*(L$364=YEAR(Sale_Date))</f>
        <v>-0</v>
      </c>
      <c r="M374" s="8" t="n">
        <f aca="false">-($E$98+$E$68+$E$62+$E$63+$E$92)*(M$364=YEAR(Sale_Date))</f>
        <v>-20256.3995260274</v>
      </c>
      <c r="N374" s="8" t="n">
        <f aca="false">-($E$98+$E$68+$E$62+$E$63+$E$92)*(N$364=YEAR(Sale_Date))</f>
        <v>-0</v>
      </c>
      <c r="O374" s="8" t="n">
        <f aca="false">-($E$98+$E$68+$E$62+$E$63+$E$92)*(O$364=YEAR(Sale_Date))</f>
        <v>-0</v>
      </c>
      <c r="P374" s="8" t="n">
        <f aca="false">-($E$98+$E$68+$E$62+$E$63+$E$92)*(P$364=YEAR(Sale_Date))</f>
        <v>-0</v>
      </c>
      <c r="Q374" s="8" t="n">
        <f aca="false">-($E$98+$E$68+$E$62+$E$63+$E$92)*(Q$364=YEAR(Sale_Date))</f>
        <v>-0</v>
      </c>
      <c r="R374" s="8" t="n">
        <f aca="false">-($E$98+$E$68+$E$62+$E$63+$E$92)*(R$364=YEAR(Sale_Date))</f>
        <v>-0</v>
      </c>
      <c r="S374" s="8" t="n">
        <f aca="false">-($E$98+$E$68+$E$62+$E$63+$E$92)*(S$364=YEAR(Sale_Date))</f>
        <v>-0</v>
      </c>
      <c r="T374" s="8" t="n">
        <f aca="false">-($E$98+$E$68+$E$62+$E$63+$E$92)*(T$364=YEAR(Sale_Date))</f>
        <v>-0</v>
      </c>
      <c r="U374" s="8" t="n">
        <f aca="false">-($E$98+$E$68+$E$62+$E$63+$E$92)*(U$364=YEAR(Sale_Date))</f>
        <v>-0</v>
      </c>
      <c r="V374" s="8" t="n">
        <f aca="false">-($E$98+$E$68+$E$62+$E$63+$E$92)*(V$364=YEAR(Sale_Date))</f>
        <v>-0</v>
      </c>
      <c r="W374" s="8" t="n">
        <f aca="false">-($E$98+$E$68+$E$62+$E$63+$E$92)*(W$364=YEAR(Sale_Date))</f>
        <v>-0</v>
      </c>
      <c r="X374" s="8" t="n">
        <f aca="false">-($E$98+$E$68+$E$62+$E$63+$E$92)*(X$364=YEAR(Sale_Date))</f>
        <v>-0</v>
      </c>
      <c r="Y374" s="8" t="n">
        <f aca="false">-($E$98+$E$68+$E$62+$E$63+$E$92)*(Y$364=YEAR(Sale_Date))</f>
        <v>-0</v>
      </c>
      <c r="Z374" s="8" t="n">
        <f aca="false">-($E$98+$E$68+$E$62+$E$63+$E$92)*(Z$364=YEAR(Sale_Date))</f>
        <v>-0</v>
      </c>
      <c r="AA374" s="8" t="n">
        <f aca="false">-($E$98+$E$68+$E$62+$E$63+$E$92)*(AA$364=YEAR(Sale_Date))</f>
        <v>-0</v>
      </c>
      <c r="AB374" s="8" t="n">
        <f aca="false">-($E$98+$E$68+$E$62+$E$63+$E$92)*(AB$364=YEAR(Sale_Date))</f>
        <v>-0</v>
      </c>
      <c r="AC374" s="8" t="n">
        <f aca="false">-($E$98+$E$68+$E$62+$E$63+$E$92)*(AC$364=YEAR(Sale_Date))</f>
        <v>-0</v>
      </c>
      <c r="AD374" s="8" t="n">
        <f aca="false">-($E$98+$E$68+$E$62+$E$63+$E$92)*(AD$364=YEAR(Sale_Date))</f>
        <v>-0</v>
      </c>
      <c r="AE374" s="8" t="n">
        <f aca="false">-($E$98+$E$68+$E$62+$E$63+$E$92)*(AE$364=YEAR(Sale_Date))</f>
        <v>-0</v>
      </c>
      <c r="AF374" s="8" t="n">
        <f aca="false">-($E$98+$E$68+$E$62+$E$63+$E$92)*(AF$364=YEAR(Sale_Date))</f>
        <v>-0</v>
      </c>
      <c r="AG374" s="8" t="n">
        <f aca="false">-($E$98+$E$68+$E$62+$E$63+$E$92)*(AG$364=YEAR(Sale_Date))</f>
        <v>-0</v>
      </c>
      <c r="AH374" s="8" t="n">
        <f aca="false">-($E$98+$E$68+$E$62+$E$63+$E$92)*(AH$364=YEAR(Sale_Date))</f>
        <v>-0</v>
      </c>
      <c r="AI374" s="8" t="n">
        <f aca="false">-($E$98+$E$68+$E$62+$E$63+$E$92)*(AI$364=YEAR(Sale_Date))</f>
        <v>-0</v>
      </c>
      <c r="AJ374" s="8" t="n">
        <f aca="false">-($E$98+$E$68+$E$62+$E$63+$E$92)*(AJ$364=YEAR(Sale_Date))</f>
        <v>-0</v>
      </c>
      <c r="AK374" s="8" t="n">
        <f aca="false">-($E$98+$E$68+$E$62+$E$63+$E$92)*(AK$364=YEAR(Sale_Date))</f>
        <v>-0</v>
      </c>
      <c r="AL374" s="8" t="n">
        <f aca="false">-($E$98+$E$68+$E$62+$E$63+$E$92)*(AL$364=YEAR(Sale_Date))</f>
        <v>-0</v>
      </c>
      <c r="AM374" s="8" t="n">
        <f aca="false">-($E$98+$E$68+$E$62+$E$63+$E$92)*(AM$364=YEAR(Sale_Date))</f>
        <v>-0</v>
      </c>
      <c r="AN374" s="8" t="n">
        <f aca="false">-($E$98+$E$68+$E$62+$E$63+$E$92)*(AN$364=YEAR(Sale_Date))</f>
        <v>-0</v>
      </c>
      <c r="AO374" s="8" t="n">
        <f aca="false">-($E$98+$E$68+$E$62+$E$63+$E$92)*(AO$364=YEAR(Sale_Date))</f>
        <v>-0</v>
      </c>
      <c r="AP374" s="8" t="n">
        <f aca="false">-($E$98+$E$68+$E$62+$E$63+$E$92)*(AP$364=YEAR(Sale_Date))</f>
        <v>-0</v>
      </c>
      <c r="AQ374" s="8" t="n">
        <f aca="false">-($E$98+$E$68+$E$62+$E$63+$E$92)*(AQ$364=YEAR(Sale_Date))</f>
        <v>-0</v>
      </c>
      <c r="AR374" s="8" t="n">
        <f aca="false">-($E$98+$E$68+$E$62+$E$63+$E$92)*(AR$364=YEAR(Sale_Date))</f>
        <v>-0</v>
      </c>
      <c r="AS374" s="8" t="n">
        <f aca="false">-($E$98+$E$68+$E$62+$E$63+$E$92)*(AS$364=YEAR(Sale_Date))</f>
        <v>-0</v>
      </c>
      <c r="AT374" s="8" t="n">
        <f aca="false">-($E$98+$E$68+$E$62+$E$63+$E$92)*(AT$364=YEAR(Sale_Date))</f>
        <v>-0</v>
      </c>
      <c r="AU374" s="8" t="n">
        <f aca="false">-($E$98+$E$68+$E$62+$E$63+$E$92)*(AU$364=YEAR(Sale_Date))</f>
        <v>-0</v>
      </c>
      <c r="AV374" s="8" t="n">
        <f aca="false">-($E$98+$E$68+$E$62+$E$63+$E$92)*(AV$364=YEAR(Sale_Date))</f>
        <v>-0</v>
      </c>
      <c r="AW374" s="8" t="n">
        <f aca="false">-($E$98+$E$68+$E$62+$E$63+$E$92)*(AW$364=YEAR(Sale_Date))</f>
        <v>-0</v>
      </c>
    </row>
    <row r="375" customFormat="false" ht="14.25" hidden="false" customHeight="false" outlineLevel="0" collapsed="false">
      <c r="C375" s="6" t="s">
        <v>301</v>
      </c>
      <c r="D375" s="2" t="s">
        <v>85</v>
      </c>
      <c r="H375" s="8" t="n">
        <f aca="false">SUM(J375:AW375)</f>
        <v>1942.46575342466</v>
      </c>
      <c r="J375" s="8" t="n">
        <f aca="false">($E$62+$E$63)*(J$364=YEAR(Inputs!$E$27))</f>
        <v>0</v>
      </c>
      <c r="K375" s="8" t="n">
        <f aca="false">($E$62+$E$63)*(K$364=YEAR(Inputs!$E$27))</f>
        <v>0</v>
      </c>
      <c r="L375" s="8" t="n">
        <f aca="false">($E$62+$E$63)*(L$364=YEAR(Inputs!$E$27))</f>
        <v>0</v>
      </c>
      <c r="M375" s="8" t="n">
        <f aca="false">($E$62+$E$63)*(M$364=YEAR(Inputs!$E$27))</f>
        <v>0</v>
      </c>
      <c r="N375" s="8" t="n">
        <f aca="false">($E$62+$E$63)*(N$364=YEAR(Inputs!$E$27))</f>
        <v>0</v>
      </c>
      <c r="O375" s="8" t="n">
        <f aca="false">($E$62+$E$63)*(O$364=YEAR(Inputs!$E$27))</f>
        <v>0</v>
      </c>
      <c r="P375" s="8" t="n">
        <f aca="false">($E$62+$E$63)*(P$364=YEAR(Inputs!$E$27))</f>
        <v>0</v>
      </c>
      <c r="Q375" s="8" t="n">
        <f aca="false">($E$62+$E$63)*(Q$364=YEAR(Inputs!$E$27))</f>
        <v>1942.46575342466</v>
      </c>
      <c r="R375" s="8" t="n">
        <f aca="false">($E$62+$E$63)*(R$364=YEAR(Inputs!$E$27))</f>
        <v>0</v>
      </c>
      <c r="S375" s="8" t="n">
        <f aca="false">($E$62+$E$63)*(S$364=YEAR(Inputs!$E$27))</f>
        <v>0</v>
      </c>
      <c r="T375" s="8" t="n">
        <f aca="false">($E$62+$E$63)*(T$364=YEAR(Inputs!$E$27))</f>
        <v>0</v>
      </c>
      <c r="U375" s="8" t="n">
        <f aca="false">($E$62+$E$63)*(U$364=YEAR(Inputs!$E$27))</f>
        <v>0</v>
      </c>
      <c r="V375" s="8" t="n">
        <f aca="false">($E$62+$E$63)*(V$364=YEAR(Inputs!$E$27))</f>
        <v>0</v>
      </c>
      <c r="W375" s="8" t="n">
        <f aca="false">($E$62+$E$63)*(W$364=YEAR(Inputs!$E$27))</f>
        <v>0</v>
      </c>
      <c r="X375" s="8" t="n">
        <f aca="false">($E$62+$E$63)*(X$364=YEAR(Inputs!$E$27))</f>
        <v>0</v>
      </c>
      <c r="Y375" s="8" t="n">
        <f aca="false">($E$62+$E$63)*(Y$364=YEAR(Inputs!$E$27))</f>
        <v>0</v>
      </c>
      <c r="Z375" s="8" t="n">
        <f aca="false">($E$62+$E$63)*(Z$364=YEAR(Inputs!$E$27))</f>
        <v>0</v>
      </c>
      <c r="AA375" s="8" t="n">
        <f aca="false">($E$62+$E$63)*(AA$364=YEAR(Inputs!$E$27))</f>
        <v>0</v>
      </c>
      <c r="AB375" s="8" t="n">
        <f aca="false">($E$62+$E$63)*(AB$364=YEAR(Inputs!$E$27))</f>
        <v>0</v>
      </c>
      <c r="AC375" s="8" t="n">
        <f aca="false">($E$62+$E$63)*(AC$364=YEAR(Inputs!$E$27))</f>
        <v>0</v>
      </c>
      <c r="AD375" s="8" t="n">
        <f aca="false">($E$62+$E$63)*(AD$364=YEAR(Inputs!$E$27))</f>
        <v>0</v>
      </c>
      <c r="AE375" s="8" t="n">
        <f aca="false">($E$62+$E$63)*(AE$364=YEAR(Inputs!$E$27))</f>
        <v>0</v>
      </c>
      <c r="AF375" s="8" t="n">
        <f aca="false">($E$62+$E$63)*(AF$364=YEAR(Inputs!$E$27))</f>
        <v>0</v>
      </c>
      <c r="AG375" s="8" t="n">
        <f aca="false">($E$62+$E$63)*(AG$364=YEAR(Inputs!$E$27))</f>
        <v>0</v>
      </c>
      <c r="AH375" s="8" t="n">
        <f aca="false">($E$62+$E$63)*(AH$364=YEAR(Inputs!$E$27))</f>
        <v>0</v>
      </c>
      <c r="AI375" s="8" t="n">
        <f aca="false">($E$62+$E$63)*(AI$364=YEAR(Inputs!$E$27))</f>
        <v>0</v>
      </c>
      <c r="AJ375" s="8" t="n">
        <f aca="false">($E$62+$E$63)*(AJ$364=YEAR(Inputs!$E$27))</f>
        <v>0</v>
      </c>
      <c r="AK375" s="8" t="n">
        <f aca="false">($E$62+$E$63)*(AK$364=YEAR(Inputs!$E$27))</f>
        <v>0</v>
      </c>
      <c r="AL375" s="8" t="n">
        <f aca="false">($E$62+$E$63)*(AL$364=YEAR(Inputs!$E$27))</f>
        <v>0</v>
      </c>
      <c r="AM375" s="8" t="n">
        <f aca="false">($E$62+$E$63)*(AM$364=YEAR(Inputs!$E$27))</f>
        <v>0</v>
      </c>
      <c r="AN375" s="8" t="n">
        <f aca="false">($E$62+$E$63)*(AN$364=YEAR(Inputs!$E$27))</f>
        <v>0</v>
      </c>
      <c r="AO375" s="8" t="n">
        <f aca="false">($E$62+$E$63)*(AO$364=YEAR(Inputs!$E$27))</f>
        <v>0</v>
      </c>
      <c r="AP375" s="8" t="n">
        <f aca="false">($E$62+$E$63)*(AP$364=YEAR(Inputs!$E$27))</f>
        <v>0</v>
      </c>
      <c r="AQ375" s="8" t="n">
        <f aca="false">($E$62+$E$63)*(AQ$364=YEAR(Inputs!$E$27))</f>
        <v>0</v>
      </c>
      <c r="AR375" s="8" t="n">
        <f aca="false">($E$62+$E$63)*(AR$364=YEAR(Inputs!$E$27))</f>
        <v>0</v>
      </c>
      <c r="AS375" s="8" t="n">
        <f aca="false">($E$62+$E$63)*(AS$364=YEAR(Inputs!$E$27))</f>
        <v>0</v>
      </c>
      <c r="AT375" s="8" t="n">
        <f aca="false">($E$62+$E$63)*(AT$364=YEAR(Inputs!$E$27))</f>
        <v>0</v>
      </c>
      <c r="AU375" s="8" t="n">
        <f aca="false">($E$62+$E$63)*(AU$364=YEAR(Inputs!$E$27))</f>
        <v>0</v>
      </c>
      <c r="AV375" s="8" t="n">
        <f aca="false">($E$62+$E$63)*(AV$364=YEAR(Inputs!$E$27))</f>
        <v>0</v>
      </c>
      <c r="AW375" s="8" t="n">
        <f aca="false">($E$62+$E$63)*(AW$364=YEAR(Inputs!$E$27))</f>
        <v>0</v>
      </c>
    </row>
    <row r="376" customFormat="false" ht="14.25" hidden="false" customHeight="false" outlineLevel="0" collapsed="false">
      <c r="C376" s="6" t="s">
        <v>302</v>
      </c>
      <c r="D376" s="2" t="s">
        <v>85</v>
      </c>
      <c r="H376" s="8" t="n">
        <f aca="false">SUM(J376:AW376)</f>
        <v>-52778</v>
      </c>
      <c r="J376" s="8" t="n">
        <f aca="false">-$E$91*J370</f>
        <v>-0</v>
      </c>
      <c r="K376" s="8" t="n">
        <f aca="false">-$E$91*K370</f>
        <v>-0</v>
      </c>
      <c r="L376" s="8" t="n">
        <f aca="false">-$E$91*L370</f>
        <v>-0</v>
      </c>
      <c r="M376" s="8" t="n">
        <f aca="false">-$E$91*M370</f>
        <v>-13194.5</v>
      </c>
      <c r="N376" s="8" t="n">
        <f aca="false">-$E$91*N370</f>
        <v>-26389</v>
      </c>
      <c r="O376" s="8" t="n">
        <f aca="false">-$E$91*O370</f>
        <v>-13194.5</v>
      </c>
      <c r="P376" s="8" t="n">
        <f aca="false">-$E$91*P370</f>
        <v>-0</v>
      </c>
      <c r="Q376" s="8" t="n">
        <f aca="false">-$E$91*Q370</f>
        <v>-0</v>
      </c>
      <c r="R376" s="8" t="n">
        <f aca="false">-$E$91*R370</f>
        <v>-0</v>
      </c>
      <c r="S376" s="8" t="n">
        <f aca="false">-$E$91*S370</f>
        <v>-0</v>
      </c>
      <c r="T376" s="8" t="n">
        <f aca="false">-$E$91*T370</f>
        <v>-0</v>
      </c>
      <c r="U376" s="8" t="n">
        <f aca="false">-$E$91*U370</f>
        <v>-0</v>
      </c>
      <c r="V376" s="8" t="n">
        <f aca="false">-$E$91*V370</f>
        <v>-0</v>
      </c>
      <c r="W376" s="8" t="n">
        <f aca="false">-$E$91*W370</f>
        <v>-0</v>
      </c>
      <c r="X376" s="8" t="n">
        <f aca="false">-$E$91*X370</f>
        <v>-0</v>
      </c>
      <c r="Y376" s="8" t="n">
        <f aca="false">-$E$91*Y370</f>
        <v>-0</v>
      </c>
      <c r="Z376" s="8" t="n">
        <f aca="false">-$E$91*Z370</f>
        <v>-0</v>
      </c>
      <c r="AA376" s="8" t="n">
        <f aca="false">-$E$91*AA370</f>
        <v>-0</v>
      </c>
      <c r="AB376" s="8" t="n">
        <f aca="false">-$E$91*AB370</f>
        <v>-0</v>
      </c>
      <c r="AC376" s="8" t="n">
        <f aca="false">-$E$91*AC370</f>
        <v>-0</v>
      </c>
      <c r="AD376" s="8" t="n">
        <f aca="false">-$E$91*AD370</f>
        <v>-0</v>
      </c>
      <c r="AE376" s="8" t="n">
        <f aca="false">-$E$91*AE370</f>
        <v>-0</v>
      </c>
      <c r="AF376" s="8" t="n">
        <f aca="false">-$E$91*AF370</f>
        <v>-0</v>
      </c>
      <c r="AG376" s="8" t="n">
        <f aca="false">-$E$91*AG370</f>
        <v>-0</v>
      </c>
      <c r="AH376" s="8" t="n">
        <f aca="false">-$E$91*AH370</f>
        <v>-0</v>
      </c>
      <c r="AI376" s="8" t="n">
        <f aca="false">-$E$91*AI370</f>
        <v>-0</v>
      </c>
      <c r="AJ376" s="8" t="n">
        <f aca="false">-$E$91*AJ370</f>
        <v>-0</v>
      </c>
      <c r="AK376" s="8" t="n">
        <f aca="false">-$E$91*AK370</f>
        <v>-0</v>
      </c>
      <c r="AL376" s="8" t="n">
        <f aca="false">-$E$91*AL370</f>
        <v>-0</v>
      </c>
      <c r="AM376" s="8" t="n">
        <f aca="false">-$E$91*AM370</f>
        <v>-0</v>
      </c>
      <c r="AN376" s="8" t="n">
        <f aca="false">-$E$91*AN370</f>
        <v>-0</v>
      </c>
      <c r="AO376" s="8" t="n">
        <f aca="false">-$E$91*AO370</f>
        <v>-0</v>
      </c>
      <c r="AP376" s="8" t="n">
        <f aca="false">-$E$91*AP370</f>
        <v>-0</v>
      </c>
      <c r="AQ376" s="8" t="n">
        <f aca="false">-$E$91*AQ370</f>
        <v>-0</v>
      </c>
      <c r="AR376" s="8" t="n">
        <f aca="false">-$E$91*AR370</f>
        <v>-0</v>
      </c>
      <c r="AS376" s="8" t="n">
        <f aca="false">-$E$91*AS370</f>
        <v>-0</v>
      </c>
      <c r="AT376" s="8" t="n">
        <f aca="false">-$E$91*AT370</f>
        <v>-0</v>
      </c>
      <c r="AU376" s="8" t="n">
        <f aca="false">-$E$91*AU370</f>
        <v>-0</v>
      </c>
      <c r="AV376" s="8" t="n">
        <f aca="false">-$E$91*AV370</f>
        <v>-0</v>
      </c>
      <c r="AW376" s="8" t="n">
        <f aca="false">-$E$91*AW370</f>
        <v>-0</v>
      </c>
    </row>
    <row r="377" customFormat="false" ht="14.25" hidden="false" customHeight="false" outlineLevel="0" collapsed="false">
      <c r="C377" s="6" t="s">
        <v>303</v>
      </c>
      <c r="D377" s="2" t="s">
        <v>85</v>
      </c>
      <c r="H377" s="8" t="n">
        <f aca="false">SUM(J377:AW377)</f>
        <v>-1000</v>
      </c>
      <c r="J377" s="8" t="n">
        <f aca="false">-$E$96*J373</f>
        <v>-0</v>
      </c>
      <c r="K377" s="8" t="n">
        <f aca="false">-$E$96*K373</f>
        <v>-0</v>
      </c>
      <c r="L377" s="8" t="n">
        <f aca="false">-$E$96*L373</f>
        <v>-0</v>
      </c>
      <c r="M377" s="8" t="n">
        <f aca="false">-$E$96*M373</f>
        <v>-0</v>
      </c>
      <c r="N377" s="8" t="n">
        <f aca="false">-$E$96*N373</f>
        <v>-0</v>
      </c>
      <c r="O377" s="8" t="n">
        <f aca="false">-$E$96*O373</f>
        <v>-1000</v>
      </c>
      <c r="P377" s="8" t="n">
        <f aca="false">-$E$96*P373</f>
        <v>-0</v>
      </c>
      <c r="Q377" s="8" t="n">
        <f aca="false">-$E$96*Q373</f>
        <v>-0</v>
      </c>
      <c r="R377" s="8" t="n">
        <f aca="false">-$E$96*R373</f>
        <v>-0</v>
      </c>
      <c r="S377" s="8" t="n">
        <f aca="false">-$E$96*S373</f>
        <v>-0</v>
      </c>
      <c r="T377" s="8" t="n">
        <f aca="false">-$E$96*T373</f>
        <v>-0</v>
      </c>
      <c r="U377" s="8" t="n">
        <f aca="false">-$E$96*U373</f>
        <v>-0</v>
      </c>
      <c r="V377" s="8" t="n">
        <f aca="false">-$E$96*V373</f>
        <v>-0</v>
      </c>
      <c r="W377" s="8" t="n">
        <f aca="false">-$E$96*W373</f>
        <v>-0</v>
      </c>
      <c r="X377" s="8" t="n">
        <f aca="false">-$E$96*X373</f>
        <v>-0</v>
      </c>
      <c r="Y377" s="8" t="n">
        <f aca="false">-$E$96*Y373</f>
        <v>-0</v>
      </c>
      <c r="Z377" s="8" t="n">
        <f aca="false">-$E$96*Z373</f>
        <v>-0</v>
      </c>
      <c r="AA377" s="8" t="n">
        <f aca="false">-$E$96*AA373</f>
        <v>-0</v>
      </c>
      <c r="AB377" s="8" t="n">
        <f aca="false">-$E$96*AB373</f>
        <v>-0</v>
      </c>
      <c r="AC377" s="8" t="n">
        <f aca="false">-$E$96*AC373</f>
        <v>-0</v>
      </c>
      <c r="AD377" s="8" t="n">
        <f aca="false">-$E$96*AD373</f>
        <v>-0</v>
      </c>
      <c r="AE377" s="8" t="n">
        <f aca="false">-$E$96*AE373</f>
        <v>-0</v>
      </c>
      <c r="AF377" s="8" t="n">
        <f aca="false">-$E$96*AF373</f>
        <v>-0</v>
      </c>
      <c r="AG377" s="8" t="n">
        <f aca="false">-$E$96*AG373</f>
        <v>-0</v>
      </c>
      <c r="AH377" s="8" t="n">
        <f aca="false">-$E$96*AH373</f>
        <v>-0</v>
      </c>
      <c r="AI377" s="8" t="n">
        <f aca="false">-$E$96*AI373</f>
        <v>-0</v>
      </c>
      <c r="AJ377" s="8" t="n">
        <f aca="false">-$E$96*AJ373</f>
        <v>-0</v>
      </c>
      <c r="AK377" s="8" t="n">
        <f aca="false">-$E$96*AK373</f>
        <v>-0</v>
      </c>
      <c r="AL377" s="8" t="n">
        <f aca="false">-$E$96*AL373</f>
        <v>-0</v>
      </c>
      <c r="AM377" s="8" t="n">
        <f aca="false">-$E$96*AM373</f>
        <v>-0</v>
      </c>
      <c r="AN377" s="8" t="n">
        <f aca="false">-$E$96*AN373</f>
        <v>-0</v>
      </c>
      <c r="AO377" s="8" t="n">
        <f aca="false">-$E$96*AO373</f>
        <v>-0</v>
      </c>
      <c r="AP377" s="8" t="n">
        <f aca="false">-$E$96*AP373</f>
        <v>-0</v>
      </c>
      <c r="AQ377" s="8" t="n">
        <f aca="false">-$E$96*AQ373</f>
        <v>-0</v>
      </c>
      <c r="AR377" s="8" t="n">
        <f aca="false">-$E$96*AR373</f>
        <v>-0</v>
      </c>
      <c r="AS377" s="8" t="n">
        <f aca="false">-$E$96*AS373</f>
        <v>-0</v>
      </c>
      <c r="AT377" s="8" t="n">
        <f aca="false">-$E$96*AT373</f>
        <v>-0</v>
      </c>
      <c r="AU377" s="8" t="n">
        <f aca="false">-$E$96*AU373</f>
        <v>-0</v>
      </c>
      <c r="AV377" s="8" t="n">
        <f aca="false">-$E$96*AV373</f>
        <v>-0</v>
      </c>
      <c r="AW377" s="8" t="n">
        <f aca="false">-$E$96*AW373</f>
        <v>-0</v>
      </c>
    </row>
    <row r="378" customFormat="false" ht="14.25" hidden="false" customHeight="false" outlineLevel="0" collapsed="false">
      <c r="C378" s="1" t="s">
        <v>304</v>
      </c>
      <c r="D378" s="2" t="s">
        <v>85</v>
      </c>
      <c r="H378" s="15" t="n">
        <f aca="false">SUM(J378:AW378)</f>
        <v>-72091.9337726027</v>
      </c>
      <c r="J378" s="15" t="n">
        <f aca="false">SUM(J374:J377)</f>
        <v>0</v>
      </c>
      <c r="K378" s="15" t="n">
        <f aca="false">SUM(K374:K377)</f>
        <v>0</v>
      </c>
      <c r="L378" s="15" t="n">
        <f aca="false">SUM(L374:L377)</f>
        <v>0</v>
      </c>
      <c r="M378" s="15" t="n">
        <f aca="false">SUM(M374:M377)</f>
        <v>-33450.8995260274</v>
      </c>
      <c r="N378" s="15" t="n">
        <f aca="false">SUM(N374:N377)</f>
        <v>-26389</v>
      </c>
      <c r="O378" s="15" t="n">
        <f aca="false">SUM(O374:O377)</f>
        <v>-14194.5</v>
      </c>
      <c r="P378" s="15" t="n">
        <f aca="false">SUM(P374:P377)</f>
        <v>0</v>
      </c>
      <c r="Q378" s="15" t="n">
        <f aca="false">SUM(Q374:Q377)</f>
        <v>1942.46575342466</v>
      </c>
      <c r="R378" s="15" t="n">
        <f aca="false">SUM(R374:R377)</f>
        <v>0</v>
      </c>
      <c r="S378" s="15" t="n">
        <f aca="false">SUM(S374:S377)</f>
        <v>0</v>
      </c>
      <c r="T378" s="15" t="n">
        <f aca="false">SUM(T374:T377)</f>
        <v>0</v>
      </c>
      <c r="U378" s="15" t="n">
        <f aca="false">SUM(U374:U377)</f>
        <v>0</v>
      </c>
      <c r="V378" s="15" t="n">
        <f aca="false">SUM(V374:V377)</f>
        <v>0</v>
      </c>
      <c r="W378" s="15" t="n">
        <f aca="false">SUM(W374:W377)</f>
        <v>0</v>
      </c>
      <c r="X378" s="15" t="n">
        <f aca="false">SUM(X374:X377)</f>
        <v>0</v>
      </c>
      <c r="Y378" s="15" t="n">
        <f aca="false">SUM(Y374:Y377)</f>
        <v>0</v>
      </c>
      <c r="Z378" s="15" t="n">
        <f aca="false">SUM(Z374:Z377)</f>
        <v>0</v>
      </c>
      <c r="AA378" s="15" t="n">
        <f aca="false">SUM(AA374:AA377)</f>
        <v>0</v>
      </c>
      <c r="AB378" s="15" t="n">
        <f aca="false">SUM(AB374:AB377)</f>
        <v>0</v>
      </c>
      <c r="AC378" s="15" t="n">
        <f aca="false">SUM(AC374:AC377)</f>
        <v>0</v>
      </c>
      <c r="AD378" s="15" t="n">
        <f aca="false">SUM(AD374:AD377)</f>
        <v>0</v>
      </c>
      <c r="AE378" s="15" t="n">
        <f aca="false">SUM(AE374:AE377)</f>
        <v>0</v>
      </c>
      <c r="AF378" s="15" t="n">
        <f aca="false">SUM(AF374:AF377)</f>
        <v>0</v>
      </c>
      <c r="AG378" s="15" t="n">
        <f aca="false">SUM(AG374:AG377)</f>
        <v>0</v>
      </c>
      <c r="AH378" s="15" t="n">
        <f aca="false">SUM(AH374:AH377)</f>
        <v>0</v>
      </c>
      <c r="AI378" s="15" t="n">
        <f aca="false">SUM(AI374:AI377)</f>
        <v>0</v>
      </c>
      <c r="AJ378" s="15" t="n">
        <f aca="false">SUM(AJ374:AJ377)</f>
        <v>0</v>
      </c>
      <c r="AK378" s="15" t="n">
        <f aca="false">SUM(AK374:AK377)</f>
        <v>0</v>
      </c>
      <c r="AL378" s="15" t="n">
        <f aca="false">SUM(AL374:AL377)</f>
        <v>0</v>
      </c>
      <c r="AM378" s="15" t="n">
        <f aca="false">SUM(AM374:AM377)</f>
        <v>0</v>
      </c>
      <c r="AN378" s="15" t="n">
        <f aca="false">SUM(AN374:AN377)</f>
        <v>0</v>
      </c>
      <c r="AO378" s="15" t="n">
        <f aca="false">SUM(AO374:AO377)</f>
        <v>0</v>
      </c>
      <c r="AP378" s="15" t="n">
        <f aca="false">SUM(AP374:AP377)</f>
        <v>0</v>
      </c>
      <c r="AQ378" s="15" t="n">
        <f aca="false">SUM(AQ374:AQ377)</f>
        <v>0</v>
      </c>
      <c r="AR378" s="15" t="n">
        <f aca="false">SUM(AR374:AR377)</f>
        <v>0</v>
      </c>
      <c r="AS378" s="15" t="n">
        <f aca="false">SUM(AS374:AS377)</f>
        <v>0</v>
      </c>
      <c r="AT378" s="15" t="n">
        <f aca="false">SUM(AT374:AT377)</f>
        <v>0</v>
      </c>
      <c r="AU378" s="15" t="n">
        <f aca="false">SUM(AU374:AU377)</f>
        <v>0</v>
      </c>
      <c r="AV378" s="15" t="n">
        <f aca="false">SUM(AV374:AV377)</f>
        <v>0</v>
      </c>
      <c r="AW378" s="15" t="n">
        <f aca="false">SUM(AW374:AW377)</f>
        <v>0</v>
      </c>
    </row>
    <row r="379" customFormat="false" ht="14.25" hidden="false" customHeight="false" outlineLevel="0" collapsed="false">
      <c r="C379" s="6" t="s">
        <v>305</v>
      </c>
      <c r="D379" s="2" t="s">
        <v>3</v>
      </c>
      <c r="J379" s="76" t="n">
        <f aca="false">(1-Degradation)^MAX(J368-1,0)</f>
        <v>1</v>
      </c>
      <c r="K379" s="76" t="n">
        <f aca="false">(1-Degradation)^MAX(K368-1,0)</f>
        <v>1</v>
      </c>
      <c r="L379" s="76" t="n">
        <f aca="false">(1-Degradation)^MAX(L368-1,0)</f>
        <v>1</v>
      </c>
      <c r="M379" s="76" t="n">
        <f aca="false">(1-Degradation)^MAX(M368-1,0)</f>
        <v>1</v>
      </c>
      <c r="N379" s="76" t="n">
        <f aca="false">(1-Degradation)^MAX(N368-1,0)</f>
        <v>1</v>
      </c>
      <c r="O379" s="76" t="n">
        <f aca="false">(1-Degradation)^MAX(O368-1,0)</f>
        <v>1</v>
      </c>
      <c r="P379" s="76" t="n">
        <f aca="false">(1-Degradation)^MAX(P368-1,0)</f>
        <v>1</v>
      </c>
      <c r="Q379" s="76" t="n">
        <f aca="false">(1-Degradation)^MAX(Q368-1,0)</f>
        <v>0.997</v>
      </c>
      <c r="R379" s="76" t="n">
        <f aca="false">(1-Degradation)^MAX(R368-1,0)</f>
        <v>0.994009</v>
      </c>
      <c r="S379" s="76" t="n">
        <f aca="false">(1-Degradation)^MAX(S368-1,0)</f>
        <v>0.991026973</v>
      </c>
      <c r="T379" s="76" t="n">
        <f aca="false">(1-Degradation)^MAX(T368-1,0)</f>
        <v>0.988053892081</v>
      </c>
      <c r="U379" s="76" t="n">
        <f aca="false">(1-Degradation)^MAX(U368-1,0)</f>
        <v>0.985089730404757</v>
      </c>
      <c r="V379" s="76" t="n">
        <f aca="false">(1-Degradation)^MAX(V368-1,0)</f>
        <v>0.982134461213543</v>
      </c>
      <c r="W379" s="76" t="n">
        <f aca="false">(1-Degradation)^MAX(W368-1,0)</f>
        <v>0.979188057829902</v>
      </c>
      <c r="X379" s="76" t="n">
        <f aca="false">(1-Degradation)^MAX(X368-1,0)</f>
        <v>0.976250493656412</v>
      </c>
      <c r="Y379" s="76" t="n">
        <f aca="false">(1-Degradation)^MAX(Y368-1,0)</f>
        <v>0.973321742175443</v>
      </c>
      <c r="Z379" s="76" t="n">
        <f aca="false">(1-Degradation)^MAX(Z368-1,0)</f>
        <v>0.970401776948917</v>
      </c>
      <c r="AA379" s="76" t="n">
        <f aca="false">(1-Degradation)^MAX(AA368-1,0)</f>
        <v>0.96749057161807</v>
      </c>
      <c r="AB379" s="76" t="n">
        <f aca="false">(1-Degradation)^MAX(AB368-1,0)</f>
        <v>0.964588099903216</v>
      </c>
      <c r="AC379" s="76" t="n">
        <f aca="false">(1-Degradation)^MAX(AC368-1,0)</f>
        <v>0.961694335603506</v>
      </c>
      <c r="AD379" s="76" t="n">
        <f aca="false">(1-Degradation)^MAX(AD368-1,0)</f>
        <v>0.958809252596696</v>
      </c>
      <c r="AE379" s="76" t="n">
        <f aca="false">(1-Degradation)^MAX(AE368-1,0)</f>
        <v>0.955932824838906</v>
      </c>
      <c r="AF379" s="76" t="n">
        <f aca="false">(1-Degradation)^MAX(AF368-1,0)</f>
        <v>0.953065026364389</v>
      </c>
      <c r="AG379" s="76" t="n">
        <f aca="false">(1-Degradation)^MAX(AG368-1,0)</f>
        <v>0.950205831285296</v>
      </c>
      <c r="AH379" s="76" t="n">
        <f aca="false">(1-Degradation)^MAX(AH368-1,0)</f>
        <v>0.94735521379144</v>
      </c>
      <c r="AI379" s="76" t="n">
        <f aca="false">(1-Degradation)^MAX(AI368-1,0)</f>
        <v>0.944513148150066</v>
      </c>
      <c r="AJ379" s="76" t="n">
        <f aca="false">(1-Degradation)^MAX(AJ368-1,0)</f>
        <v>0.941679608705615</v>
      </c>
      <c r="AK379" s="76" t="n">
        <f aca="false">(1-Degradation)^MAX(AK368-1,0)</f>
        <v>0.938854569879498</v>
      </c>
      <c r="AL379" s="76" t="n">
        <f aca="false">(1-Degradation)^MAX(AL368-1,0)</f>
        <v>0.93603800616986</v>
      </c>
      <c r="AM379" s="76" t="n">
        <f aca="false">(1-Degradation)^MAX(AM368-1,0)</f>
        <v>0.93322989215135</v>
      </c>
      <c r="AN379" s="76" t="n">
        <f aca="false">(1-Degradation)^MAX(AN368-1,0)</f>
        <v>0.930430202474896</v>
      </c>
      <c r="AO379" s="76" t="n">
        <f aca="false">(1-Degradation)^MAX(AO368-1,0)</f>
        <v>0.927638911867472</v>
      </c>
      <c r="AP379" s="76" t="n">
        <f aca="false">(1-Degradation)^MAX(AP368-1,0)</f>
        <v>0.924855995131869</v>
      </c>
      <c r="AQ379" s="76" t="n">
        <f aca="false">(1-Degradation)^MAX(AQ368-1,0)</f>
        <v>0.922081427146474</v>
      </c>
      <c r="AR379" s="76" t="n">
        <f aca="false">(1-Degradation)^MAX(AR368-1,0)</f>
        <v>0.919315182865034</v>
      </c>
      <c r="AS379" s="76" t="n">
        <f aca="false">(1-Degradation)^MAX(AS368-1,0)</f>
        <v>0.916557237316439</v>
      </c>
      <c r="AT379" s="76" t="n">
        <f aca="false">(1-Degradation)^MAX(AT368-1,0)</f>
        <v>0.91380756560449</v>
      </c>
      <c r="AU379" s="76" t="n">
        <f aca="false">(1-Degradation)^MAX(AU368-1,0)</f>
        <v>0.911066142907676</v>
      </c>
      <c r="AV379" s="76" t="n">
        <f aca="false">(1-Degradation)^MAX(AV368-1,0)</f>
        <v>0.908332944478953</v>
      </c>
      <c r="AW379" s="76" t="n">
        <f aca="false">(1-Degradation)^MAX(AW368-1,0)</f>
        <v>0.905607945645516</v>
      </c>
    </row>
    <row r="380" customFormat="false" ht="14.25" hidden="false" customHeight="false" outlineLevel="0" collapsed="false">
      <c r="C380" s="6" t="s">
        <v>306</v>
      </c>
      <c r="D380" s="2" t="s">
        <v>307</v>
      </c>
      <c r="H380" s="17" t="n">
        <f aca="false">SUM(J380:AW380)</f>
        <v>3654.34185176978</v>
      </c>
      <c r="J380" s="17" t="n">
        <f aca="false">$E$46*$E$22*(1-Curtailment)*(1-Clipping)*J372*J379/Thousand</f>
        <v>0</v>
      </c>
      <c r="K380" s="17" t="n">
        <f aca="false">$E$46*$E$22*(1-Curtailment)*(1-Clipping)*K372*K379/Thousand</f>
        <v>0</v>
      </c>
      <c r="L380" s="17" t="n">
        <f aca="false">$E$46*$E$22*(1-Curtailment)*(1-Clipping)*L372*L379/Thousand</f>
        <v>0</v>
      </c>
      <c r="M380" s="17" t="n">
        <f aca="false">$E$46*$E$22*(1-Curtailment)*(1-Clipping)*M372*M379/Thousand</f>
        <v>0</v>
      </c>
      <c r="N380" s="17" t="n">
        <f aca="false">$E$46*$E$22*(1-Curtailment)*(1-Clipping)*N372*N379/Thousand</f>
        <v>0</v>
      </c>
      <c r="O380" s="17" t="n">
        <f aca="false">$E$46*$E$22*(1-Curtailment)*(1-Clipping)*O372*O379/Thousand</f>
        <v>63.504</v>
      </c>
      <c r="P380" s="17" t="n">
        <f aca="false">$E$46*$E$22*(1-Curtailment)*(1-Clipping)*P372*P379/Thousand</f>
        <v>127.008</v>
      </c>
      <c r="Q380" s="17" t="n">
        <f aca="false">$E$46*$E$22*(1-Curtailment)*(1-Clipping)*Q372*Q379/Thousand</f>
        <v>126.626976</v>
      </c>
      <c r="R380" s="17" t="n">
        <f aca="false">$E$46*$E$22*(1-Curtailment)*(1-Clipping)*R372*R379/Thousand</f>
        <v>126.247095072</v>
      </c>
      <c r="S380" s="17" t="n">
        <f aca="false">$E$46*$E$22*(1-Curtailment)*(1-Clipping)*S372*S379/Thousand</f>
        <v>125.868353786784</v>
      </c>
      <c r="T380" s="17" t="n">
        <f aca="false">$E$46*$E$22*(1-Curtailment)*(1-Clipping)*T372*T379/Thousand</f>
        <v>125.490748725424</v>
      </c>
      <c r="U380" s="17" t="n">
        <f aca="false">$E$46*$E$22*(1-Curtailment)*(1-Clipping)*U372*U379/Thousand</f>
        <v>125.114276479247</v>
      </c>
      <c r="V380" s="17" t="n">
        <f aca="false">$E$46*$E$22*(1-Curtailment)*(1-Clipping)*V372*V379/Thousand</f>
        <v>124.73893364981</v>
      </c>
      <c r="W380" s="17" t="n">
        <f aca="false">$E$46*$E$22*(1-Curtailment)*(1-Clipping)*W372*W379/Thousand</f>
        <v>124.36471684886</v>
      </c>
      <c r="X380" s="17" t="n">
        <f aca="false">$E$46*$E$22*(1-Curtailment)*(1-Clipping)*X372*X379/Thousand</f>
        <v>123.991622698314</v>
      </c>
      <c r="Y380" s="17" t="n">
        <f aca="false">$E$46*$E$22*(1-Curtailment)*(1-Clipping)*Y372*Y379/Thousand</f>
        <v>123.619647830219</v>
      </c>
      <c r="Z380" s="17" t="n">
        <f aca="false">$E$46*$E$22*(1-Curtailment)*(1-Clipping)*Z372*Z379/Thousand</f>
        <v>123.248788886728</v>
      </c>
      <c r="AA380" s="17" t="n">
        <f aca="false">$E$46*$E$22*(1-Curtailment)*(1-Clipping)*AA372*AA379/Thousand</f>
        <v>122.879042520068</v>
      </c>
      <c r="AB380" s="17" t="n">
        <f aca="false">$E$46*$E$22*(1-Curtailment)*(1-Clipping)*AB372*AB379/Thousand</f>
        <v>122.510405392508</v>
      </c>
      <c r="AC380" s="17" t="n">
        <f aca="false">$E$46*$E$22*(1-Curtailment)*(1-Clipping)*AC372*AC379/Thousand</f>
        <v>122.14287417633</v>
      </c>
      <c r="AD380" s="17" t="n">
        <f aca="false">$E$46*$E$22*(1-Curtailment)*(1-Clipping)*AD372*AD379/Thousand</f>
        <v>121.776445553801</v>
      </c>
      <c r="AE380" s="17" t="n">
        <f aca="false">$E$46*$E$22*(1-Curtailment)*(1-Clipping)*AE372*AE379/Thousand</f>
        <v>121.41111621714</v>
      </c>
      <c r="AF380" s="17" t="n">
        <f aca="false">$E$46*$E$22*(1-Curtailment)*(1-Clipping)*AF372*AF379/Thousand</f>
        <v>121.046882868488</v>
      </c>
      <c r="AG380" s="17" t="n">
        <f aca="false">$E$46*$E$22*(1-Curtailment)*(1-Clipping)*AG372*AG379/Thousand</f>
        <v>120.683742219883</v>
      </c>
      <c r="AH380" s="17" t="n">
        <f aca="false">$E$46*$E$22*(1-Curtailment)*(1-Clipping)*AH372*AH379/Thousand</f>
        <v>120.321690993223</v>
      </c>
      <c r="AI380" s="17" t="n">
        <f aca="false">$E$46*$E$22*(1-Curtailment)*(1-Clipping)*AI372*AI379/Thousand</f>
        <v>119.960725920244</v>
      </c>
      <c r="AJ380" s="17" t="n">
        <f aca="false">$E$46*$E$22*(1-Curtailment)*(1-Clipping)*AJ372*AJ379/Thousand</f>
        <v>119.600843742483</v>
      </c>
      <c r="AK380" s="17" t="n">
        <f aca="false">$E$46*$E$22*(1-Curtailment)*(1-Clipping)*AK372*AK379/Thousand</f>
        <v>119.242041211255</v>
      </c>
      <c r="AL380" s="17" t="n">
        <f aca="false">$E$46*$E$22*(1-Curtailment)*(1-Clipping)*AL372*AL379/Thousand</f>
        <v>118.884315087622</v>
      </c>
      <c r="AM380" s="17" t="n">
        <f aca="false">$E$46*$E$22*(1-Curtailment)*(1-Clipping)*AM372*AM379/Thousand</f>
        <v>118.527662142359</v>
      </c>
      <c r="AN380" s="17" t="n">
        <f aca="false">$E$46*$E$22*(1-Curtailment)*(1-Clipping)*AN372*AN379/Thousand</f>
        <v>118.172079155932</v>
      </c>
      <c r="AO380" s="17" t="n">
        <f aca="false">$E$46*$E$22*(1-Curtailment)*(1-Clipping)*AO372*AO379/Thousand</f>
        <v>117.817562918464</v>
      </c>
      <c r="AP380" s="17" t="n">
        <f aca="false">$E$46*$E$22*(1-Curtailment)*(1-Clipping)*AP372*AP379/Thousand</f>
        <v>117.464110229708</v>
      </c>
      <c r="AQ380" s="17" t="n">
        <f aca="false">$E$46*$E$22*(1-Curtailment)*(1-Clipping)*AQ372*AQ379/Thousand</f>
        <v>117.111717899019</v>
      </c>
      <c r="AR380" s="17" t="n">
        <f aca="false">$E$46*$E$22*(1-Curtailment)*(1-Clipping)*AR372*AR379/Thousand</f>
        <v>116.760382745322</v>
      </c>
      <c r="AS380" s="17" t="n">
        <f aca="false">$E$46*$E$22*(1-Curtailment)*(1-Clipping)*AS372*AS379/Thousand</f>
        <v>58.2050507985431</v>
      </c>
      <c r="AT380" s="17" t="n">
        <f aca="false">$E$46*$E$22*(1-Curtailment)*(1-Clipping)*AT372*AT379/Thousand</f>
        <v>0</v>
      </c>
      <c r="AU380" s="17" t="n">
        <f aca="false">$E$46*$E$22*(1-Curtailment)*(1-Clipping)*AU372*AU379/Thousand</f>
        <v>0</v>
      </c>
      <c r="AV380" s="17" t="n">
        <f aca="false">$E$46*$E$22*(1-Curtailment)*(1-Clipping)*AV372*AV379/Thousand</f>
        <v>0</v>
      </c>
      <c r="AW380" s="17" t="n">
        <f aca="false">$E$46*$E$22*(1-Curtailment)*(1-Clipping)*AW372*AW379/Thousand</f>
        <v>0</v>
      </c>
    </row>
    <row r="381" customFormat="false" ht="14.25" hidden="false" customHeight="false" outlineLevel="0" collapsed="false">
      <c r="C381" s="6" t="s">
        <v>308</v>
      </c>
      <c r="D381" s="2" t="s">
        <v>20</v>
      </c>
      <c r="J381" s="17" t="n">
        <f aca="false">Case_PPA*(1+PPA_Esc)^J368*(J372&gt;0)</f>
        <v>0</v>
      </c>
      <c r="K381" s="17" t="n">
        <f aca="false">Case_PPA*(1+PPA_Esc)^K368*(K372&gt;0)</f>
        <v>0</v>
      </c>
      <c r="L381" s="17" t="n">
        <f aca="false">Case_PPA*(1+PPA_Esc)^L368*(L372&gt;0)</f>
        <v>0</v>
      </c>
      <c r="M381" s="17" t="n">
        <f aca="false">Case_PPA*(1+PPA_Esc)^M368*(M372&gt;0)</f>
        <v>0</v>
      </c>
      <c r="N381" s="17" t="n">
        <f aca="false">Case_PPA*(1+PPA_Esc)^N368*(N372&gt;0)</f>
        <v>0</v>
      </c>
      <c r="O381" s="17" t="n">
        <f aca="false">Case_PPA*(1+PPA_Esc)^O368*(O372&gt;0)</f>
        <v>90</v>
      </c>
      <c r="P381" s="17" t="n">
        <f aca="false">Case_PPA*(1+PPA_Esc)^P368*(P372&gt;0)</f>
        <v>90.9</v>
      </c>
      <c r="Q381" s="17" t="n">
        <f aca="false">Case_PPA*(1+PPA_Esc)^Q368*(Q372&gt;0)</f>
        <v>91.809</v>
      </c>
      <c r="R381" s="17" t="n">
        <f aca="false">Case_PPA*(1+PPA_Esc)^R368*(R372&gt;0)</f>
        <v>92.72709</v>
      </c>
      <c r="S381" s="17" t="n">
        <f aca="false">Case_PPA*(1+PPA_Esc)^S368*(S372&gt;0)</f>
        <v>93.6543609</v>
      </c>
      <c r="T381" s="17" t="n">
        <f aca="false">Case_PPA*(1+PPA_Esc)^T368*(T372&gt;0)</f>
        <v>94.590904509</v>
      </c>
      <c r="U381" s="17" t="n">
        <f aca="false">Case_PPA*(1+PPA_Esc)^U368*(U372&gt;0)</f>
        <v>95.53681355409</v>
      </c>
      <c r="V381" s="17" t="n">
        <f aca="false">Case_PPA*(1+PPA_Esc)^V368*(V372&gt;0)</f>
        <v>96.4921816896309</v>
      </c>
      <c r="W381" s="17" t="n">
        <f aca="false">Case_PPA*(1+PPA_Esc)^W368*(W372&gt;0)</f>
        <v>97.4571035065272</v>
      </c>
      <c r="X381" s="17" t="n">
        <f aca="false">Case_PPA*(1+PPA_Esc)^X368*(X372&gt;0)</f>
        <v>98.4316745415925</v>
      </c>
      <c r="Y381" s="17" t="n">
        <f aca="false">Case_PPA*(1+PPA_Esc)^Y368*(Y372&gt;0)</f>
        <v>99.4159912870084</v>
      </c>
      <c r="Z381" s="17" t="n">
        <f aca="false">Case_PPA*(1+PPA_Esc)^Z368*(Z372&gt;0)</f>
        <v>100.410151199878</v>
      </c>
      <c r="AA381" s="17" t="n">
        <f aca="false">Case_PPA*(1+PPA_Esc)^AA368*(AA372&gt;0)</f>
        <v>101.414252711877</v>
      </c>
      <c r="AB381" s="17" t="n">
        <f aca="false">Case_PPA*(1+PPA_Esc)^AB368*(AB372&gt;0)</f>
        <v>102.428395238996</v>
      </c>
      <c r="AC381" s="17" t="n">
        <f aca="false">Case_PPA*(1+PPA_Esc)^AC368*(AC372&gt;0)</f>
        <v>103.452679191386</v>
      </c>
      <c r="AD381" s="17" t="n">
        <f aca="false">Case_PPA*(1+PPA_Esc)^AD368*(AD372&gt;0)</f>
        <v>104.4872059833</v>
      </c>
      <c r="AE381" s="17" t="n">
        <f aca="false">Case_PPA*(1+PPA_Esc)^AE368*(AE372&gt;0)</f>
        <v>105.532078043133</v>
      </c>
      <c r="AF381" s="17" t="n">
        <f aca="false">Case_PPA*(1+PPA_Esc)^AF368*(AF372&gt;0)</f>
        <v>106.587398823564</v>
      </c>
      <c r="AG381" s="17" t="n">
        <f aca="false">Case_PPA*(1+PPA_Esc)^AG368*(AG372&gt;0)</f>
        <v>107.6532728118</v>
      </c>
      <c r="AH381" s="17" t="n">
        <f aca="false">Case_PPA*(1+PPA_Esc)^AH368*(AH372&gt;0)</f>
        <v>108.729805539918</v>
      </c>
      <c r="AI381" s="17" t="n">
        <f aca="false">Case_PPA*(1+PPA_Esc)^AI368*(AI372&gt;0)</f>
        <v>109.817103595317</v>
      </c>
      <c r="AJ381" s="17" t="n">
        <f aca="false">Case_PPA*(1+PPA_Esc)^AJ368*(AJ372&gt;0)</f>
        <v>110.91527463127</v>
      </c>
      <c r="AK381" s="17" t="n">
        <f aca="false">Case_PPA*(1+PPA_Esc)^AK368*(AK372&gt;0)</f>
        <v>112.024427377583</v>
      </c>
      <c r="AL381" s="17" t="n">
        <f aca="false">Case_PPA*(1+PPA_Esc)^AL368*(AL372&gt;0)</f>
        <v>113.144671651359</v>
      </c>
      <c r="AM381" s="17" t="n">
        <f aca="false">Case_PPA*(1+PPA_Esc)^AM368*(AM372&gt;0)</f>
        <v>114.276118367872</v>
      </c>
      <c r="AN381" s="17" t="n">
        <f aca="false">Case_PPA*(1+PPA_Esc)^AN368*(AN372&gt;0)</f>
        <v>115.418879551551</v>
      </c>
      <c r="AO381" s="17" t="n">
        <f aca="false">Case_PPA*(1+PPA_Esc)^AO368*(AO372&gt;0)</f>
        <v>116.573068347067</v>
      </c>
      <c r="AP381" s="17" t="n">
        <f aca="false">Case_PPA*(1+PPA_Esc)^AP368*(AP372&gt;0)</f>
        <v>117.738799030537</v>
      </c>
      <c r="AQ381" s="17" t="n">
        <f aca="false">Case_PPA*(1+PPA_Esc)^AQ368*(AQ372&gt;0)</f>
        <v>118.916187020843</v>
      </c>
      <c r="AR381" s="17" t="n">
        <f aca="false">Case_PPA*(1+PPA_Esc)^AR368*(AR372&gt;0)</f>
        <v>120.105348891051</v>
      </c>
      <c r="AS381" s="17" t="n">
        <f aca="false">Case_PPA*(1+PPA_Esc)^AS368*(AS372&gt;0)</f>
        <v>121.306402379962</v>
      </c>
      <c r="AT381" s="17" t="n">
        <f aca="false">Case_PPA*(1+PPA_Esc)^AT368*(AT372&gt;0)</f>
        <v>0</v>
      </c>
      <c r="AU381" s="17" t="n">
        <f aca="false">Case_PPA*(1+PPA_Esc)^AU368*(AU372&gt;0)</f>
        <v>0</v>
      </c>
      <c r="AV381" s="17" t="n">
        <f aca="false">Case_PPA*(1+PPA_Esc)^AV368*(AV372&gt;0)</f>
        <v>0</v>
      </c>
      <c r="AW381" s="17" t="n">
        <f aca="false">Case_PPA*(1+PPA_Esc)^AW368*(AW372&gt;0)</f>
        <v>0</v>
      </c>
    </row>
    <row r="382" customFormat="false" ht="14.25" hidden="false" customHeight="false" outlineLevel="0" collapsed="false">
      <c r="C382" s="1" t="s">
        <v>158</v>
      </c>
      <c r="D382" s="2" t="s">
        <v>85</v>
      </c>
      <c r="H382" s="32" t="n">
        <f aca="false">SUM(J382:AW382)</f>
        <v>382397.730625247</v>
      </c>
      <c r="J382" s="32" t="n">
        <f aca="false">J380*J381</f>
        <v>0</v>
      </c>
      <c r="K382" s="32" t="n">
        <f aca="false">K380*K381</f>
        <v>0</v>
      </c>
      <c r="L382" s="32" t="n">
        <f aca="false">L380*L381</f>
        <v>0</v>
      </c>
      <c r="M382" s="32" t="n">
        <f aca="false">M380*M381</f>
        <v>0</v>
      </c>
      <c r="N382" s="32" t="n">
        <f aca="false">N380*N381</f>
        <v>0</v>
      </c>
      <c r="O382" s="32" t="n">
        <f aca="false">O380*O381</f>
        <v>5715.36</v>
      </c>
      <c r="P382" s="32" t="n">
        <f aca="false">P380*P381</f>
        <v>11545.0272</v>
      </c>
      <c r="Q382" s="32" t="n">
        <f aca="false">Q380*Q381</f>
        <v>11625.496039584</v>
      </c>
      <c r="R382" s="32" t="n">
        <f aca="false">R380*R381</f>
        <v>11706.5257469799</v>
      </c>
      <c r="S382" s="32" t="n">
        <f aca="false">S380*S381</f>
        <v>11788.1202314363</v>
      </c>
      <c r="T382" s="32" t="n">
        <f aca="false">T380*T381</f>
        <v>11870.2834294495</v>
      </c>
      <c r="U382" s="32" t="n">
        <f aca="false">U380*U381</f>
        <v>11953.0193049527</v>
      </c>
      <c r="V382" s="32" t="n">
        <f aca="false">V380*V381</f>
        <v>12036.3318495082</v>
      </c>
      <c r="W382" s="32" t="n">
        <f aca="false">W380*W381</f>
        <v>12120.2250824993</v>
      </c>
      <c r="X382" s="32" t="n">
        <f aca="false">X380*X381</f>
        <v>12204.7030513243</v>
      </c>
      <c r="Y382" s="32" t="n">
        <f aca="false">Y380*Y381</f>
        <v>12289.7698315921</v>
      </c>
      <c r="Z382" s="32" t="n">
        <f aca="false">Z380*Z381</f>
        <v>12375.4295273183</v>
      </c>
      <c r="AA382" s="32" t="n">
        <f aca="false">AA380*AA381</f>
        <v>12461.6862711237</v>
      </c>
      <c r="AB382" s="32" t="n">
        <f aca="false">AB380*AB381</f>
        <v>12548.5442244334</v>
      </c>
      <c r="AC382" s="32" t="n">
        <f aca="false">AC380*AC381</f>
        <v>12636.0075776777</v>
      </c>
      <c r="AD382" s="32" t="n">
        <f aca="false">AD380*AD381</f>
        <v>12724.0805504941</v>
      </c>
      <c r="AE382" s="32" t="n">
        <f aca="false">AE380*AE381</f>
        <v>12812.7673919311</v>
      </c>
      <c r="AF382" s="32" t="n">
        <f aca="false">AF380*AF381</f>
        <v>12902.0723806528</v>
      </c>
      <c r="AG382" s="32" t="n">
        <f aca="false">AG380*AG381</f>
        <v>12991.999825146</v>
      </c>
      <c r="AH382" s="32" t="n">
        <f aca="false">AH380*AH381</f>
        <v>13082.5540639272</v>
      </c>
      <c r="AI382" s="32" t="n">
        <f aca="false">AI380*AI381</f>
        <v>13173.7394657528</v>
      </c>
      <c r="AJ382" s="32" t="n">
        <f aca="false">AJ380*AJ381</f>
        <v>13265.5604298291</v>
      </c>
      <c r="AK382" s="32" t="n">
        <f aca="false">AK380*AK381</f>
        <v>13358.021386025</v>
      </c>
      <c r="AL382" s="32" t="n">
        <f aca="false">AL380*AL381</f>
        <v>13451.1267950856</v>
      </c>
      <c r="AM382" s="32" t="n">
        <f aca="false">AM380*AM381</f>
        <v>13544.8811488474</v>
      </c>
      <c r="AN382" s="32" t="n">
        <f aca="false">AN380*AN381</f>
        <v>13639.2889704548</v>
      </c>
      <c r="AO382" s="32" t="n">
        <f aca="false">AO380*AO381</f>
        <v>13734.3548145789</v>
      </c>
      <c r="AP382" s="32" t="n">
        <f aca="false">AP380*AP381</f>
        <v>13830.0832676365</v>
      </c>
      <c r="AQ382" s="32" t="n">
        <f aca="false">AQ380*AQ381</f>
        <v>13926.4789480119</v>
      </c>
      <c r="AR382" s="32" t="n">
        <f aca="false">AR380*AR381</f>
        <v>14023.5465062796</v>
      </c>
      <c r="AS382" s="32" t="n">
        <f aca="false">AS380*AS381</f>
        <v>7060.64531271418</v>
      </c>
      <c r="AT382" s="32" t="n">
        <f aca="false">AT380*AT381</f>
        <v>0</v>
      </c>
      <c r="AU382" s="32" t="n">
        <f aca="false">AU380*AU381</f>
        <v>0</v>
      </c>
      <c r="AV382" s="32" t="n">
        <f aca="false">AV380*AV381</f>
        <v>0</v>
      </c>
      <c r="AW382" s="32" t="n">
        <f aca="false">AW380*AW381</f>
        <v>0</v>
      </c>
    </row>
    <row r="383" customFormat="false" ht="14.25" hidden="false" customHeight="false" outlineLevel="0" collapsed="false">
      <c r="C383" s="6" t="s">
        <v>309</v>
      </c>
      <c r="D383" s="2" t="s">
        <v>3</v>
      </c>
      <c r="J383" s="76" t="n">
        <f aca="false">(1+Opex_Esc)^J368</f>
        <v>0.883854287609517</v>
      </c>
      <c r="K383" s="76" t="n">
        <f aca="false">(1+Opex_Esc)^K368</f>
        <v>0.905950644799755</v>
      </c>
      <c r="L383" s="76" t="n">
        <f aca="false">(1+Opex_Esc)^L368</f>
        <v>0.928599410919749</v>
      </c>
      <c r="M383" s="76" t="n">
        <f aca="false">(1+Opex_Esc)^M368</f>
        <v>0.951814396192743</v>
      </c>
      <c r="N383" s="76" t="n">
        <f aca="false">(1+Opex_Esc)^N368</f>
        <v>0.975609756097561</v>
      </c>
      <c r="O383" s="76" t="n">
        <f aca="false">(1+Opex_Esc)^O368</f>
        <v>1</v>
      </c>
      <c r="P383" s="76" t="n">
        <f aca="false">(1+Opex_Esc)^P368</f>
        <v>1.025</v>
      </c>
      <c r="Q383" s="76" t="n">
        <f aca="false">(1+Opex_Esc)^Q368</f>
        <v>1.050625</v>
      </c>
      <c r="R383" s="76" t="n">
        <f aca="false">(1+Opex_Esc)^R368</f>
        <v>1.076890625</v>
      </c>
      <c r="S383" s="76" t="n">
        <f aca="false">(1+Opex_Esc)^S368</f>
        <v>1.103812890625</v>
      </c>
      <c r="T383" s="76" t="n">
        <f aca="false">(1+Opex_Esc)^T368</f>
        <v>1.13140821289062</v>
      </c>
      <c r="U383" s="76" t="n">
        <f aca="false">(1+Opex_Esc)^U368</f>
        <v>1.15969341821289</v>
      </c>
      <c r="V383" s="76" t="n">
        <f aca="false">(1+Opex_Esc)^V368</f>
        <v>1.18868575366821</v>
      </c>
      <c r="W383" s="76" t="n">
        <f aca="false">(1+Opex_Esc)^W368</f>
        <v>1.21840289750992</v>
      </c>
      <c r="X383" s="76" t="n">
        <f aca="false">(1+Opex_Esc)^X368</f>
        <v>1.24886296994767</v>
      </c>
      <c r="Y383" s="76" t="n">
        <f aca="false">(1+Opex_Esc)^Y368</f>
        <v>1.28008454419636</v>
      </c>
      <c r="Z383" s="76" t="n">
        <f aca="false">(1+Opex_Esc)^Z368</f>
        <v>1.31208665780127</v>
      </c>
      <c r="AA383" s="76" t="n">
        <f aca="false">(1+Opex_Esc)^AA368</f>
        <v>1.3448888242463</v>
      </c>
      <c r="AB383" s="76" t="n">
        <f aca="false">(1+Opex_Esc)^AB368</f>
        <v>1.37851104485245</v>
      </c>
      <c r="AC383" s="76" t="n">
        <f aca="false">(1+Opex_Esc)^AC368</f>
        <v>1.41297382097377</v>
      </c>
      <c r="AD383" s="76" t="n">
        <f aca="false">(1+Opex_Esc)^AD368</f>
        <v>1.44829816649811</v>
      </c>
      <c r="AE383" s="76" t="n">
        <f aca="false">(1+Opex_Esc)^AE368</f>
        <v>1.48450562066056</v>
      </c>
      <c r="AF383" s="76" t="n">
        <f aca="false">(1+Opex_Esc)^AF368</f>
        <v>1.52161826117708</v>
      </c>
      <c r="AG383" s="76" t="n">
        <f aca="false">(1+Opex_Esc)^AG368</f>
        <v>1.5596587177065</v>
      </c>
      <c r="AH383" s="76" t="n">
        <f aca="false">(1+Opex_Esc)^AH368</f>
        <v>1.59865018564917</v>
      </c>
      <c r="AI383" s="76" t="n">
        <f aca="false">(1+Opex_Esc)^AI368</f>
        <v>1.63861644029039</v>
      </c>
      <c r="AJ383" s="76" t="n">
        <f aca="false">(1+Opex_Esc)^AJ368</f>
        <v>1.67958185129765</v>
      </c>
      <c r="AK383" s="76" t="n">
        <f aca="false">(1+Opex_Esc)^AK368</f>
        <v>1.7215713975801</v>
      </c>
      <c r="AL383" s="76" t="n">
        <f aca="false">(1+Opex_Esc)^AL368</f>
        <v>1.7646106825196</v>
      </c>
      <c r="AM383" s="76" t="n">
        <f aca="false">(1+Opex_Esc)^AM368</f>
        <v>1.80872594958259</v>
      </c>
      <c r="AN383" s="76" t="n">
        <f aca="false">(1+Opex_Esc)^AN368</f>
        <v>1.85394409832215</v>
      </c>
      <c r="AO383" s="76" t="n">
        <f aca="false">(1+Opex_Esc)^AO368</f>
        <v>1.90029270078021</v>
      </c>
      <c r="AP383" s="76" t="n">
        <f aca="false">(1+Opex_Esc)^AP368</f>
        <v>1.94780001829971</v>
      </c>
      <c r="AQ383" s="76" t="n">
        <f aca="false">(1+Opex_Esc)^AQ368</f>
        <v>1.9964950187572</v>
      </c>
      <c r="AR383" s="76" t="n">
        <f aca="false">(1+Opex_Esc)^AR368</f>
        <v>2.04640739422613</v>
      </c>
      <c r="AS383" s="76" t="n">
        <f aca="false">(1+Opex_Esc)^AS368</f>
        <v>2.09756757908179</v>
      </c>
      <c r="AT383" s="76" t="n">
        <f aca="false">(1+Opex_Esc)^AT368</f>
        <v>2.15000676855883</v>
      </c>
      <c r="AU383" s="76" t="n">
        <f aca="false">(1+Opex_Esc)^AU368</f>
        <v>2.2037569377728</v>
      </c>
      <c r="AV383" s="76" t="n">
        <f aca="false">(1+Opex_Esc)^AV368</f>
        <v>2.25885086121712</v>
      </c>
      <c r="AW383" s="76" t="n">
        <f aca="false">(1+Opex_Esc)^AW368</f>
        <v>2.31532213274755</v>
      </c>
    </row>
    <row r="384" customFormat="false" ht="14.25" hidden="false" customHeight="false" outlineLevel="0" collapsed="false">
      <c r="C384" s="6" t="s">
        <v>310</v>
      </c>
      <c r="D384" s="2" t="s">
        <v>85</v>
      </c>
      <c r="H384" s="8" t="n">
        <f aca="false">SUM(J384:AW384)</f>
        <v>-60009.5073862969</v>
      </c>
      <c r="J384" s="8" t="n">
        <f aca="false">-(Case_OM+SUM(Opex_Per_MW))*$E$46*J383*J372</f>
        <v>-0</v>
      </c>
      <c r="K384" s="8" t="n">
        <f aca="false">-(Case_OM+SUM(Opex_Per_MW))*$E$46*K383*K372</f>
        <v>-0</v>
      </c>
      <c r="L384" s="8" t="n">
        <f aca="false">-(Case_OM+SUM(Opex_Per_MW))*$E$46*L383*L372</f>
        <v>-0</v>
      </c>
      <c r="M384" s="8" t="n">
        <f aca="false">-(Case_OM+SUM(Opex_Per_MW))*$E$46*M383*M372</f>
        <v>-0</v>
      </c>
      <c r="N384" s="8" t="n">
        <f aca="false">-(Case_OM+SUM(Opex_Per_MW))*$E$46*N383*N372</f>
        <v>-0</v>
      </c>
      <c r="O384" s="8" t="n">
        <f aca="false">-(Case_OM+SUM(Opex_Per_MW))*$E$46*O383*O372</f>
        <v>-675</v>
      </c>
      <c r="P384" s="8" t="n">
        <f aca="false">-(Case_OM+SUM(Opex_Per_MW))*$E$46*P383*P372</f>
        <v>-1383.75</v>
      </c>
      <c r="Q384" s="8" t="n">
        <f aca="false">-(Case_OM+SUM(Opex_Per_MW))*$E$46*Q383*Q372</f>
        <v>-1418.34375</v>
      </c>
      <c r="R384" s="8" t="n">
        <f aca="false">-(Case_OM+SUM(Opex_Per_MW))*$E$46*R383*R372</f>
        <v>-1453.80234375</v>
      </c>
      <c r="S384" s="8" t="n">
        <f aca="false">-(Case_OM+SUM(Opex_Per_MW))*$E$46*S383*S372</f>
        <v>-1490.14740234375</v>
      </c>
      <c r="T384" s="8" t="n">
        <f aca="false">-(Case_OM+SUM(Opex_Per_MW))*$E$46*T383*T372</f>
        <v>-1527.40108740234</v>
      </c>
      <c r="U384" s="8" t="n">
        <f aca="false">-(Case_OM+SUM(Opex_Per_MW))*$E$46*U383*U372</f>
        <v>-1565.5861145874</v>
      </c>
      <c r="V384" s="8" t="n">
        <f aca="false">-(Case_OM+SUM(Opex_Per_MW))*$E$46*V383*V372</f>
        <v>-1604.72576745209</v>
      </c>
      <c r="W384" s="8" t="n">
        <f aca="false">-(Case_OM+SUM(Opex_Per_MW))*$E$46*W383*W372</f>
        <v>-1644.84391163839</v>
      </c>
      <c r="X384" s="8" t="n">
        <f aca="false">-(Case_OM+SUM(Opex_Per_MW))*$E$46*X383*X372</f>
        <v>-1685.96500942935</v>
      </c>
      <c r="Y384" s="8" t="n">
        <f aca="false">-(Case_OM+SUM(Opex_Per_MW))*$E$46*Y383*Y372</f>
        <v>-1728.11413466508</v>
      </c>
      <c r="Z384" s="8" t="n">
        <f aca="false">-(Case_OM+SUM(Opex_Per_MW))*$E$46*Z383*Z372</f>
        <v>-1771.31698803171</v>
      </c>
      <c r="AA384" s="8" t="n">
        <f aca="false">-(Case_OM+SUM(Opex_Per_MW))*$E$46*AA383*AA372</f>
        <v>-1815.5999127325</v>
      </c>
      <c r="AB384" s="8" t="n">
        <f aca="false">-(Case_OM+SUM(Opex_Per_MW))*$E$46*AB383*AB372</f>
        <v>-1860.98991055081</v>
      </c>
      <c r="AC384" s="8" t="n">
        <f aca="false">-(Case_OM+SUM(Opex_Per_MW))*$E$46*AC383*AC372</f>
        <v>-1907.51465831458</v>
      </c>
      <c r="AD384" s="8" t="n">
        <f aca="false">-(Case_OM+SUM(Opex_Per_MW))*$E$46*AD383*AD372</f>
        <v>-1955.20252477245</v>
      </c>
      <c r="AE384" s="8" t="n">
        <f aca="false">-(Case_OM+SUM(Opex_Per_MW))*$E$46*AE383*AE372</f>
        <v>-2004.08258789176</v>
      </c>
      <c r="AF384" s="8" t="n">
        <f aca="false">-(Case_OM+SUM(Opex_Per_MW))*$E$46*AF383*AF372</f>
        <v>-2054.18465258905</v>
      </c>
      <c r="AG384" s="8" t="n">
        <f aca="false">-(Case_OM+SUM(Opex_Per_MW))*$E$46*AG383*AG372</f>
        <v>-2105.53926890378</v>
      </c>
      <c r="AH384" s="8" t="n">
        <f aca="false">-(Case_OM+SUM(Opex_Per_MW))*$E$46*AH383*AH372</f>
        <v>-2158.17775062637</v>
      </c>
      <c r="AI384" s="8" t="n">
        <f aca="false">-(Case_OM+SUM(Opex_Per_MW))*$E$46*AI383*AI372</f>
        <v>-2212.13219439203</v>
      </c>
      <c r="AJ384" s="8" t="n">
        <f aca="false">-(Case_OM+SUM(Opex_Per_MW))*$E$46*AJ383*AJ372</f>
        <v>-2267.43549925183</v>
      </c>
      <c r="AK384" s="8" t="n">
        <f aca="false">-(Case_OM+SUM(Opex_Per_MW))*$E$46*AK383*AK372</f>
        <v>-2324.12138673313</v>
      </c>
      <c r="AL384" s="8" t="n">
        <f aca="false">-(Case_OM+SUM(Opex_Per_MW))*$E$46*AL383*AL372</f>
        <v>-2382.22442140146</v>
      </c>
      <c r="AM384" s="8" t="n">
        <f aca="false">-(Case_OM+SUM(Opex_Per_MW))*$E$46*AM383*AM372</f>
        <v>-2441.78003193649</v>
      </c>
      <c r="AN384" s="8" t="n">
        <f aca="false">-(Case_OM+SUM(Opex_Per_MW))*$E$46*AN383*AN372</f>
        <v>-2502.82453273491</v>
      </c>
      <c r="AO384" s="8" t="n">
        <f aca="false">-(Case_OM+SUM(Opex_Per_MW))*$E$46*AO383*AO372</f>
        <v>-2565.39514605328</v>
      </c>
      <c r="AP384" s="8" t="n">
        <f aca="false">-(Case_OM+SUM(Opex_Per_MW))*$E$46*AP383*AP372</f>
        <v>-2629.53002470461</v>
      </c>
      <c r="AQ384" s="8" t="n">
        <f aca="false">-(Case_OM+SUM(Opex_Per_MW))*$E$46*AQ383*AQ372</f>
        <v>-2695.26827532222</v>
      </c>
      <c r="AR384" s="8" t="n">
        <f aca="false">-(Case_OM+SUM(Opex_Per_MW))*$E$46*AR383*AR372</f>
        <v>-2762.64998220528</v>
      </c>
      <c r="AS384" s="8" t="n">
        <f aca="false">-(Case_OM+SUM(Opex_Per_MW))*$E$46*AS383*AS372</f>
        <v>-1415.85811588021</v>
      </c>
      <c r="AT384" s="8" t="n">
        <f aca="false">-(Case_OM+SUM(Opex_Per_MW))*$E$46*AT383*AT372</f>
        <v>-0</v>
      </c>
      <c r="AU384" s="8" t="n">
        <f aca="false">-(Case_OM+SUM(Opex_Per_MW))*$E$46*AU383*AU372</f>
        <v>-0</v>
      </c>
      <c r="AV384" s="8" t="n">
        <f aca="false">-(Case_OM+SUM(Opex_Per_MW))*$E$46*AV383*AV372</f>
        <v>-0</v>
      </c>
      <c r="AW384" s="8" t="n">
        <f aca="false">-(Case_OM+SUM(Opex_Per_MW))*$E$46*AW383*AW372</f>
        <v>-0</v>
      </c>
    </row>
    <row r="385" customFormat="false" ht="14.25" hidden="false" customHeight="false" outlineLevel="0" collapsed="false">
      <c r="C385" s="6" t="s">
        <v>311</v>
      </c>
      <c r="D385" s="2" t="s">
        <v>85</v>
      </c>
      <c r="H385" s="8" t="n">
        <f aca="false">SUM(J385:AW385)</f>
        <v>-1666.93076073047</v>
      </c>
      <c r="J385" s="8" t="n">
        <f aca="false">-Opex_Admin*$E$6/Lump_Basis*J383*J372</f>
        <v>-0</v>
      </c>
      <c r="K385" s="8" t="n">
        <f aca="false">-Opex_Admin*$E$6/Lump_Basis*K383*K372</f>
        <v>-0</v>
      </c>
      <c r="L385" s="8" t="n">
        <f aca="false">-Opex_Admin*$E$6/Lump_Basis*L383*L372</f>
        <v>-0</v>
      </c>
      <c r="M385" s="8" t="n">
        <f aca="false">-Opex_Admin*$E$6/Lump_Basis*M383*M372</f>
        <v>-0</v>
      </c>
      <c r="N385" s="8" t="n">
        <f aca="false">-Opex_Admin*$E$6/Lump_Basis*N383*N372</f>
        <v>-0</v>
      </c>
      <c r="O385" s="8" t="n">
        <f aca="false">-Opex_Admin*$E$6/Lump_Basis*O383*O372</f>
        <v>-18.75</v>
      </c>
      <c r="P385" s="8" t="n">
        <f aca="false">-Opex_Admin*$E$6/Lump_Basis*P383*P372</f>
        <v>-38.4375</v>
      </c>
      <c r="Q385" s="8" t="n">
        <f aca="false">-Opex_Admin*$E$6/Lump_Basis*Q383*Q372</f>
        <v>-39.3984375</v>
      </c>
      <c r="R385" s="8" t="n">
        <f aca="false">-Opex_Admin*$E$6/Lump_Basis*R383*R372</f>
        <v>-40.3833984375</v>
      </c>
      <c r="S385" s="8" t="n">
        <f aca="false">-Opex_Admin*$E$6/Lump_Basis*S383*S372</f>
        <v>-41.3929833984375</v>
      </c>
      <c r="T385" s="8" t="n">
        <f aca="false">-Opex_Admin*$E$6/Lump_Basis*T383*T372</f>
        <v>-42.4278079833984</v>
      </c>
      <c r="U385" s="8" t="n">
        <f aca="false">-Opex_Admin*$E$6/Lump_Basis*U383*U372</f>
        <v>-43.4885031829834</v>
      </c>
      <c r="V385" s="8" t="n">
        <f aca="false">-Opex_Admin*$E$6/Lump_Basis*V383*V372</f>
        <v>-44.575715762558</v>
      </c>
      <c r="W385" s="8" t="n">
        <f aca="false">-Opex_Admin*$E$6/Lump_Basis*W383*W372</f>
        <v>-45.6901086566219</v>
      </c>
      <c r="X385" s="8" t="n">
        <f aca="false">-Opex_Admin*$E$6/Lump_Basis*X383*X372</f>
        <v>-46.8323613730374</v>
      </c>
      <c r="Y385" s="8" t="n">
        <f aca="false">-Opex_Admin*$E$6/Lump_Basis*Y383*Y372</f>
        <v>-48.0031704073634</v>
      </c>
      <c r="Z385" s="8" t="n">
        <f aca="false">-Opex_Admin*$E$6/Lump_Basis*Z383*Z372</f>
        <v>-49.2032496675475</v>
      </c>
      <c r="AA385" s="8" t="n">
        <f aca="false">-Opex_Admin*$E$6/Lump_Basis*AA383*AA372</f>
        <v>-50.4333309092361</v>
      </c>
      <c r="AB385" s="8" t="n">
        <f aca="false">-Opex_Admin*$E$6/Lump_Basis*AB383*AB372</f>
        <v>-51.694164181967</v>
      </c>
      <c r="AC385" s="8" t="n">
        <f aca="false">-Opex_Admin*$E$6/Lump_Basis*AC383*AC372</f>
        <v>-52.9865182865162</v>
      </c>
      <c r="AD385" s="8" t="n">
        <f aca="false">-Opex_Admin*$E$6/Lump_Basis*AD383*AD372</f>
        <v>-54.3111812436791</v>
      </c>
      <c r="AE385" s="8" t="n">
        <f aca="false">-Opex_Admin*$E$6/Lump_Basis*AE383*AE372</f>
        <v>-55.6689607747711</v>
      </c>
      <c r="AF385" s="8" t="n">
        <f aca="false">-Opex_Admin*$E$6/Lump_Basis*AF383*AF372</f>
        <v>-57.0606847941404</v>
      </c>
      <c r="AG385" s="8" t="n">
        <f aca="false">-Opex_Admin*$E$6/Lump_Basis*AG383*AG372</f>
        <v>-58.4872019139939</v>
      </c>
      <c r="AH385" s="8" t="n">
        <f aca="false">-Opex_Admin*$E$6/Lump_Basis*AH383*AH372</f>
        <v>-59.9493819618437</v>
      </c>
      <c r="AI385" s="8" t="n">
        <f aca="false">-Opex_Admin*$E$6/Lump_Basis*AI383*AI372</f>
        <v>-61.4481165108898</v>
      </c>
      <c r="AJ385" s="8" t="n">
        <f aca="false">-Opex_Admin*$E$6/Lump_Basis*AJ383*AJ372</f>
        <v>-62.984319423662</v>
      </c>
      <c r="AK385" s="8" t="n">
        <f aca="false">-Opex_Admin*$E$6/Lump_Basis*AK383*AK372</f>
        <v>-64.5589274092536</v>
      </c>
      <c r="AL385" s="8" t="n">
        <f aca="false">-Opex_Admin*$E$6/Lump_Basis*AL383*AL372</f>
        <v>-66.1729005944849</v>
      </c>
      <c r="AM385" s="8" t="n">
        <f aca="false">-Opex_Admin*$E$6/Lump_Basis*AM383*AM372</f>
        <v>-67.827223109347</v>
      </c>
      <c r="AN385" s="8" t="n">
        <f aca="false">-Opex_Admin*$E$6/Lump_Basis*AN383*AN372</f>
        <v>-69.5229036870807</v>
      </c>
      <c r="AO385" s="8" t="n">
        <f aca="false">-Opex_Admin*$E$6/Lump_Basis*AO383*AO372</f>
        <v>-71.2609762792577</v>
      </c>
      <c r="AP385" s="8" t="n">
        <f aca="false">-Opex_Admin*$E$6/Lump_Basis*AP383*AP372</f>
        <v>-73.0425006862391</v>
      </c>
      <c r="AQ385" s="8" t="n">
        <f aca="false">-Opex_Admin*$E$6/Lump_Basis*AQ383*AQ372</f>
        <v>-74.8685632033951</v>
      </c>
      <c r="AR385" s="8" t="n">
        <f aca="false">-Opex_Admin*$E$6/Lump_Basis*AR383*AR372</f>
        <v>-76.74027728348</v>
      </c>
      <c r="AS385" s="8" t="n">
        <f aca="false">-Opex_Admin*$E$6/Lump_Basis*AS383*AS372</f>
        <v>-39.3293921077835</v>
      </c>
      <c r="AT385" s="8" t="n">
        <f aca="false">-Opex_Admin*$E$6/Lump_Basis*AT383*AT372</f>
        <v>-0</v>
      </c>
      <c r="AU385" s="8" t="n">
        <f aca="false">-Opex_Admin*$E$6/Lump_Basis*AU383*AU372</f>
        <v>-0</v>
      </c>
      <c r="AV385" s="8" t="n">
        <f aca="false">-Opex_Admin*$E$6/Lump_Basis*AV383*AV372</f>
        <v>-0</v>
      </c>
      <c r="AW385" s="8" t="n">
        <f aca="false">-Opex_Admin*$E$6/Lump_Basis*AW383*AW372</f>
        <v>-0</v>
      </c>
    </row>
    <row r="386" customFormat="false" ht="14.25" hidden="false" customHeight="false" outlineLevel="0" collapsed="false">
      <c r="C386" s="6" t="s">
        <v>312</v>
      </c>
      <c r="D386" s="2" t="s">
        <v>85</v>
      </c>
      <c r="H386" s="8" t="n">
        <f aca="false">SUM(J386:AW386)</f>
        <v>-26924.5113148159</v>
      </c>
      <c r="J386" s="8" t="n">
        <f aca="false">-J380*(Balancing+Grid_Charges)*J383</f>
        <v>-0</v>
      </c>
      <c r="K386" s="8" t="n">
        <f aca="false">-K380*(Balancing+Grid_Charges)*K383</f>
        <v>-0</v>
      </c>
      <c r="L386" s="8" t="n">
        <f aca="false">-L380*(Balancing+Grid_Charges)*L383</f>
        <v>-0</v>
      </c>
      <c r="M386" s="8" t="n">
        <f aca="false">-M380*(Balancing+Grid_Charges)*M383</f>
        <v>-0</v>
      </c>
      <c r="N386" s="8" t="n">
        <f aca="false">-N380*(Balancing+Grid_Charges)*N383</f>
        <v>-0</v>
      </c>
      <c r="O386" s="8" t="n">
        <f aca="false">-O380*(Balancing+Grid_Charges)*O383</f>
        <v>-317.52</v>
      </c>
      <c r="P386" s="8" t="n">
        <f aca="false">-P380*(Balancing+Grid_Charges)*P383</f>
        <v>-650.916</v>
      </c>
      <c r="Q386" s="8" t="n">
        <f aca="false">-Q380*(Balancing+Grid_Charges)*Q383</f>
        <v>-665.1873333</v>
      </c>
      <c r="R386" s="8" t="n">
        <f aca="false">-R380*(Balancing+Grid_Charges)*R383</f>
        <v>-679.771565582602</v>
      </c>
      <c r="S386" s="8" t="n">
        <f aca="false">-S380*(Balancing+Grid_Charges)*S383</f>
        <v>-694.675557158001</v>
      </c>
      <c r="T386" s="8" t="n">
        <f aca="false">-T380*(Balancing+Grid_Charges)*T383</f>
        <v>-709.90631874869</v>
      </c>
      <c r="U386" s="8" t="n">
        <f aca="false">-U380*(Balancing+Grid_Charges)*U383</f>
        <v>-725.471014787255</v>
      </c>
      <c r="V386" s="8" t="n">
        <f aca="false">-V380*(Balancing+Grid_Charges)*V383</f>
        <v>-741.376966786466</v>
      </c>
      <c r="W386" s="8" t="n">
        <f aca="false">-W380*(Balancing+Grid_Charges)*W383</f>
        <v>-757.631656783258</v>
      </c>
      <c r="X386" s="8" t="n">
        <f aca="false">-X380*(Balancing+Grid_Charges)*X383</f>
        <v>-774.242730858232</v>
      </c>
      <c r="Y386" s="8" t="n">
        <f aca="false">-Y380*(Balancing+Grid_Charges)*Y383</f>
        <v>-791.218002732298</v>
      </c>
      <c r="Z386" s="8" t="n">
        <f aca="false">-Z380*(Balancing+Grid_Charges)*Z383</f>
        <v>-808.565457442204</v>
      </c>
      <c r="AA386" s="8" t="n">
        <f aca="false">-AA380*(Balancing+Grid_Charges)*AA383</f>
        <v>-826.293255096624</v>
      </c>
      <c r="AB386" s="8" t="n">
        <f aca="false">-AB380*(Balancing+Grid_Charges)*AB383</f>
        <v>-844.409734714617</v>
      </c>
      <c r="AC386" s="8" t="n">
        <f aca="false">-AC380*(Balancing+Grid_Charges)*AC383</f>
        <v>-862.923418148235</v>
      </c>
      <c r="AD386" s="8" t="n">
        <f aca="false">-AD380*(Balancing+Grid_Charges)*AD383</f>
        <v>-881.843014091135</v>
      </c>
      <c r="AE386" s="8" t="n">
        <f aca="false">-AE380*(Balancing+Grid_Charges)*AE383</f>
        <v>-901.177422175083</v>
      </c>
      <c r="AF386" s="8" t="n">
        <f aca="false">-AF380*(Balancing+Grid_Charges)*AF383</f>
        <v>-920.935737156272</v>
      </c>
      <c r="AG386" s="8" t="n">
        <f aca="false">-AG380*(Balancing+Grid_Charges)*AG383</f>
        <v>-941.127253193423</v>
      </c>
      <c r="AH386" s="8" t="n">
        <f aca="false">-AH380*(Balancing+Grid_Charges)*AH383</f>
        <v>-961.761468219689</v>
      </c>
      <c r="AI386" s="8" t="n">
        <f aca="false">-AI380*(Balancing+Grid_Charges)*AI383</f>
        <v>-982.848088410405</v>
      </c>
      <c r="AJ386" s="8" t="n">
        <f aca="false">-AJ380*(Balancing+Grid_Charges)*AJ383</f>
        <v>-1004.3970327488</v>
      </c>
      <c r="AK386" s="8" t="n">
        <f aca="false">-AK380*(Balancing+Grid_Charges)*AK383</f>
        <v>-1026.41843769182</v>
      </c>
      <c r="AL386" s="8" t="n">
        <f aca="false">-AL380*(Balancing+Grid_Charges)*AL383</f>
        <v>-1048.92266193821</v>
      </c>
      <c r="AM386" s="8" t="n">
        <f aca="false">-AM380*(Balancing+Grid_Charges)*AM383</f>
        <v>-1071.92029130121</v>
      </c>
      <c r="AN386" s="8" t="n">
        <f aca="false">-AN380*(Balancing+Grid_Charges)*AN383</f>
        <v>-1095.42214368799</v>
      </c>
      <c r="AO386" s="8" t="n">
        <f aca="false">-AO380*(Balancing+Grid_Charges)*AO383</f>
        <v>-1119.43927418835</v>
      </c>
      <c r="AP386" s="8" t="n">
        <f aca="false">-AP380*(Balancing+Grid_Charges)*AP383</f>
        <v>-1143.98298027493</v>
      </c>
      <c r="AQ386" s="8" t="n">
        <f aca="false">-AQ380*(Balancing+Grid_Charges)*AQ383</f>
        <v>-1169.06480711745</v>
      </c>
      <c r="AR386" s="8" t="n">
        <f aca="false">-AR380*(Balancing+Grid_Charges)*AR383</f>
        <v>-1194.6965530135</v>
      </c>
      <c r="AS386" s="8" t="n">
        <f aca="false">-AS380*(Balancing+Grid_Charges)*AS383</f>
        <v>-610.445137469163</v>
      </c>
      <c r="AT386" s="8" t="n">
        <f aca="false">-AT380*(Balancing+Grid_Charges)*AT383</f>
        <v>-0</v>
      </c>
      <c r="AU386" s="8" t="n">
        <f aca="false">-AU380*(Balancing+Grid_Charges)*AU383</f>
        <v>-0</v>
      </c>
      <c r="AV386" s="8" t="n">
        <f aca="false">-AV380*(Balancing+Grid_Charges)*AV383</f>
        <v>-0</v>
      </c>
      <c r="AW386" s="8" t="n">
        <f aca="false">-AW380*(Balancing+Grid_Charges)*AW383</f>
        <v>-0</v>
      </c>
    </row>
    <row r="387" customFormat="false" ht="14.25" hidden="false" customHeight="false" outlineLevel="0" collapsed="false">
      <c r="C387" s="6" t="s">
        <v>313</v>
      </c>
      <c r="D387" s="2" t="s">
        <v>85</v>
      </c>
      <c r="H387" s="8" t="n">
        <f aca="false">SUM(J387:AW387)</f>
        <v>-382.397730625247</v>
      </c>
      <c r="J387" s="8" t="n">
        <f aca="false">-J382*MEKH_Fee</f>
        <v>-0</v>
      </c>
      <c r="K387" s="8" t="n">
        <f aca="false">-K382*MEKH_Fee</f>
        <v>-0</v>
      </c>
      <c r="L387" s="8" t="n">
        <f aca="false">-L382*MEKH_Fee</f>
        <v>-0</v>
      </c>
      <c r="M387" s="8" t="n">
        <f aca="false">-M382*MEKH_Fee</f>
        <v>-0</v>
      </c>
      <c r="N387" s="8" t="n">
        <f aca="false">-N382*MEKH_Fee</f>
        <v>-0</v>
      </c>
      <c r="O387" s="8" t="n">
        <f aca="false">-O382*MEKH_Fee</f>
        <v>-5.71536</v>
      </c>
      <c r="P387" s="8" t="n">
        <f aca="false">-P382*MEKH_Fee</f>
        <v>-11.5450272</v>
      </c>
      <c r="Q387" s="8" t="n">
        <f aca="false">-Q382*MEKH_Fee</f>
        <v>-11.625496039584</v>
      </c>
      <c r="R387" s="8" t="n">
        <f aca="false">-R382*MEKH_Fee</f>
        <v>-11.7065257469799</v>
      </c>
      <c r="S387" s="8" t="n">
        <f aca="false">-S382*MEKH_Fee</f>
        <v>-11.7881202314363</v>
      </c>
      <c r="T387" s="8" t="n">
        <f aca="false">-T382*MEKH_Fee</f>
        <v>-11.8702834294495</v>
      </c>
      <c r="U387" s="8" t="n">
        <f aca="false">-U382*MEKH_Fee</f>
        <v>-11.9530193049527</v>
      </c>
      <c r="V387" s="8" t="n">
        <f aca="false">-V382*MEKH_Fee</f>
        <v>-12.0363318495082</v>
      </c>
      <c r="W387" s="8" t="n">
        <f aca="false">-W382*MEKH_Fee</f>
        <v>-12.1202250824993</v>
      </c>
      <c r="X387" s="8" t="n">
        <f aca="false">-X382*MEKH_Fee</f>
        <v>-12.2047030513243</v>
      </c>
      <c r="Y387" s="8" t="n">
        <f aca="false">-Y382*MEKH_Fee</f>
        <v>-12.2897698315921</v>
      </c>
      <c r="Z387" s="8" t="n">
        <f aca="false">-Z382*MEKH_Fee</f>
        <v>-12.3754295273183</v>
      </c>
      <c r="AA387" s="8" t="n">
        <f aca="false">-AA382*MEKH_Fee</f>
        <v>-12.4616862711237</v>
      </c>
      <c r="AB387" s="8" t="n">
        <f aca="false">-AB382*MEKH_Fee</f>
        <v>-12.5485442244334</v>
      </c>
      <c r="AC387" s="8" t="n">
        <f aca="false">-AC382*MEKH_Fee</f>
        <v>-12.6360075776777</v>
      </c>
      <c r="AD387" s="8" t="n">
        <f aca="false">-AD382*MEKH_Fee</f>
        <v>-12.7240805504941</v>
      </c>
      <c r="AE387" s="8" t="n">
        <f aca="false">-AE382*MEKH_Fee</f>
        <v>-12.8127673919311</v>
      </c>
      <c r="AF387" s="8" t="n">
        <f aca="false">-AF382*MEKH_Fee</f>
        <v>-12.9020723806528</v>
      </c>
      <c r="AG387" s="8" t="n">
        <f aca="false">-AG382*MEKH_Fee</f>
        <v>-12.991999825146</v>
      </c>
      <c r="AH387" s="8" t="n">
        <f aca="false">-AH382*MEKH_Fee</f>
        <v>-13.0825540639272</v>
      </c>
      <c r="AI387" s="8" t="n">
        <f aca="false">-AI382*MEKH_Fee</f>
        <v>-13.1737394657528</v>
      </c>
      <c r="AJ387" s="8" t="n">
        <f aca="false">-AJ382*MEKH_Fee</f>
        <v>-13.2655604298291</v>
      </c>
      <c r="AK387" s="8" t="n">
        <f aca="false">-AK382*MEKH_Fee</f>
        <v>-13.358021386025</v>
      </c>
      <c r="AL387" s="8" t="n">
        <f aca="false">-AL382*MEKH_Fee</f>
        <v>-13.4511267950856</v>
      </c>
      <c r="AM387" s="8" t="n">
        <f aca="false">-AM382*MEKH_Fee</f>
        <v>-13.5448811488474</v>
      </c>
      <c r="AN387" s="8" t="n">
        <f aca="false">-AN382*MEKH_Fee</f>
        <v>-13.6392889704548</v>
      </c>
      <c r="AO387" s="8" t="n">
        <f aca="false">-AO382*MEKH_Fee</f>
        <v>-13.7343548145789</v>
      </c>
      <c r="AP387" s="8" t="n">
        <f aca="false">-AP382*MEKH_Fee</f>
        <v>-13.8300832676365</v>
      </c>
      <c r="AQ387" s="8" t="n">
        <f aca="false">-AQ382*MEKH_Fee</f>
        <v>-13.9264789480119</v>
      </c>
      <c r="AR387" s="8" t="n">
        <f aca="false">-AR382*MEKH_Fee</f>
        <v>-14.0235465062796</v>
      </c>
      <c r="AS387" s="8" t="n">
        <f aca="false">-AS382*MEKH_Fee</f>
        <v>-7.06064531271418</v>
      </c>
      <c r="AT387" s="8" t="n">
        <f aca="false">-AT382*MEKH_Fee</f>
        <v>-0</v>
      </c>
      <c r="AU387" s="8" t="n">
        <f aca="false">-AU382*MEKH_Fee</f>
        <v>-0</v>
      </c>
      <c r="AV387" s="8" t="n">
        <f aca="false">-AV382*MEKH_Fee</f>
        <v>-0</v>
      </c>
      <c r="AW387" s="8" t="n">
        <f aca="false">-AW382*MEKH_Fee</f>
        <v>-0</v>
      </c>
    </row>
    <row r="388" customFormat="false" ht="14.25" hidden="false" customHeight="false" outlineLevel="0" collapsed="false">
      <c r="C388" s="6" t="s">
        <v>314</v>
      </c>
      <c r="D388" s="2" t="s">
        <v>85</v>
      </c>
      <c r="H388" s="8" t="n">
        <f aca="false">SUM(J388:AW388)</f>
        <v>-4449.16735962342</v>
      </c>
      <c r="J388" s="8" t="n">
        <f aca="false">SUM(J384:J387)*Opex_Cont</f>
        <v>0</v>
      </c>
      <c r="K388" s="8" t="n">
        <f aca="false">SUM(K384:K387)*Opex_Cont</f>
        <v>0</v>
      </c>
      <c r="L388" s="8" t="n">
        <f aca="false">SUM(L384:L387)*Opex_Cont</f>
        <v>0</v>
      </c>
      <c r="M388" s="8" t="n">
        <f aca="false">SUM(M384:M387)*Opex_Cont</f>
        <v>0</v>
      </c>
      <c r="N388" s="8" t="n">
        <f aca="false">SUM(N384:N387)*Opex_Cont</f>
        <v>0</v>
      </c>
      <c r="O388" s="8" t="n">
        <f aca="false">SUM(O384:O387)*Opex_Cont</f>
        <v>-50.849268</v>
      </c>
      <c r="P388" s="8" t="n">
        <f aca="false">SUM(P384:P387)*Opex_Cont</f>
        <v>-104.23242636</v>
      </c>
      <c r="Q388" s="8" t="n">
        <f aca="false">SUM(Q384:Q387)*Opex_Cont</f>
        <v>-106.727750841979</v>
      </c>
      <c r="R388" s="8" t="n">
        <f aca="false">SUM(R384:R387)*Opex_Cont</f>
        <v>-109.283191675854</v>
      </c>
      <c r="S388" s="8" t="n">
        <f aca="false">SUM(S384:S387)*Opex_Cont</f>
        <v>-111.900203156581</v>
      </c>
      <c r="T388" s="8" t="n">
        <f aca="false">SUM(T384:T387)*Opex_Cont</f>
        <v>-114.580274878194</v>
      </c>
      <c r="U388" s="8" t="n">
        <f aca="false">SUM(U384:U387)*Opex_Cont</f>
        <v>-117.32493259313</v>
      </c>
      <c r="V388" s="8" t="n">
        <f aca="false">SUM(V384:V387)*Opex_Cont</f>
        <v>-120.135739092531</v>
      </c>
      <c r="W388" s="8" t="n">
        <f aca="false">SUM(W384:W387)*Opex_Cont</f>
        <v>-123.014295108038</v>
      </c>
      <c r="X388" s="8" t="n">
        <f aca="false">SUM(X384:X387)*Opex_Cont</f>
        <v>-125.962240235597</v>
      </c>
      <c r="Y388" s="8" t="n">
        <f aca="false">SUM(Y384:Y387)*Opex_Cont</f>
        <v>-128.981253881817</v>
      </c>
      <c r="Z388" s="8" t="n">
        <f aca="false">SUM(Z384:Z387)*Opex_Cont</f>
        <v>-132.073056233439</v>
      </c>
      <c r="AA388" s="8" t="n">
        <f aca="false">SUM(AA384:AA387)*Opex_Cont</f>
        <v>-135.239409250474</v>
      </c>
      <c r="AB388" s="8" t="n">
        <f aca="false">SUM(AB384:AB387)*Opex_Cont</f>
        <v>-138.482117683592</v>
      </c>
      <c r="AC388" s="8" t="n">
        <f aca="false">SUM(AC384:AC387)*Opex_Cont</f>
        <v>-141.803030116351</v>
      </c>
      <c r="AD388" s="8" t="n">
        <f aca="false">SUM(AD384:AD387)*Opex_Cont</f>
        <v>-145.204040032888</v>
      </c>
      <c r="AE388" s="8" t="n">
        <f aca="false">SUM(AE384:AE387)*Opex_Cont</f>
        <v>-148.687086911677</v>
      </c>
      <c r="AF388" s="8" t="n">
        <f aca="false">SUM(AF384:AF387)*Opex_Cont</f>
        <v>-152.254157346006</v>
      </c>
      <c r="AG388" s="8" t="n">
        <f aca="false">SUM(AG384:AG387)*Opex_Cont</f>
        <v>-155.907286191817</v>
      </c>
      <c r="AH388" s="8" t="n">
        <f aca="false">SUM(AH384:AH387)*Opex_Cont</f>
        <v>-159.648557743592</v>
      </c>
      <c r="AI388" s="8" t="n">
        <f aca="false">SUM(AI384:AI387)*Opex_Cont</f>
        <v>-163.480106938954</v>
      </c>
      <c r="AJ388" s="8" t="n">
        <f aca="false">SUM(AJ384:AJ387)*Opex_Cont</f>
        <v>-167.404120592706</v>
      </c>
      <c r="AK388" s="8" t="n">
        <f aca="false">SUM(AK384:AK387)*Opex_Cont</f>
        <v>-171.422838661011</v>
      </c>
      <c r="AL388" s="8" t="n">
        <f aca="false">SUM(AL384:AL387)*Opex_Cont</f>
        <v>-175.538555536462</v>
      </c>
      <c r="AM388" s="8" t="n">
        <f aca="false">SUM(AM384:AM387)*Opex_Cont</f>
        <v>-179.753621374795</v>
      </c>
      <c r="AN388" s="8" t="n">
        <f aca="false">SUM(AN384:AN387)*Opex_Cont</f>
        <v>-184.070443454021</v>
      </c>
      <c r="AO388" s="8" t="n">
        <f aca="false">SUM(AO384:AO387)*Opex_Cont</f>
        <v>-188.491487566773</v>
      </c>
      <c r="AP388" s="8" t="n">
        <f aca="false">SUM(AP384:AP387)*Opex_Cont</f>
        <v>-193.019279446671</v>
      </c>
      <c r="AQ388" s="8" t="n">
        <f aca="false">SUM(AQ384:AQ387)*Opex_Cont</f>
        <v>-197.656406229554</v>
      </c>
      <c r="AR388" s="8" t="n">
        <f aca="false">SUM(AR384:AR387)*Opex_Cont</f>
        <v>-202.405517950427</v>
      </c>
      <c r="AS388" s="8" t="n">
        <f aca="false">SUM(AS384:AS387)*Opex_Cont</f>
        <v>-103.634664538493</v>
      </c>
      <c r="AT388" s="8" t="n">
        <f aca="false">SUM(AT384:AT387)*Opex_Cont</f>
        <v>0</v>
      </c>
      <c r="AU388" s="8" t="n">
        <f aca="false">SUM(AU384:AU387)*Opex_Cont</f>
        <v>0</v>
      </c>
      <c r="AV388" s="8" t="n">
        <f aca="false">SUM(AV384:AV387)*Opex_Cont</f>
        <v>0</v>
      </c>
      <c r="AW388" s="8" t="n">
        <f aca="false">SUM(AW384:AW387)*Opex_Cont</f>
        <v>0</v>
      </c>
    </row>
    <row r="389" customFormat="false" ht="14.25" hidden="false" customHeight="false" outlineLevel="0" collapsed="false">
      <c r="C389" s="6" t="s">
        <v>315</v>
      </c>
      <c r="D389" s="2" t="s">
        <v>85</v>
      </c>
      <c r="H389" s="8" t="n">
        <f aca="false">SUM(J389:AW389)</f>
        <v>0</v>
      </c>
      <c r="J389" s="8" t="n">
        <f aca="false">-J380*$E$12</f>
        <v>-0</v>
      </c>
      <c r="K389" s="8" t="n">
        <f aca="false">-K380*$E$12</f>
        <v>-0</v>
      </c>
      <c r="L389" s="8" t="n">
        <f aca="false">-L380*$E$12</f>
        <v>-0</v>
      </c>
      <c r="M389" s="8" t="n">
        <f aca="false">-M380*$E$12</f>
        <v>-0</v>
      </c>
      <c r="N389" s="8" t="n">
        <f aca="false">-N380*$E$12</f>
        <v>-0</v>
      </c>
      <c r="O389" s="8" t="n">
        <f aca="false">-O380*$E$12</f>
        <v>-0</v>
      </c>
      <c r="P389" s="8" t="n">
        <f aca="false">-P380*$E$12</f>
        <v>-0</v>
      </c>
      <c r="Q389" s="8" t="n">
        <f aca="false">-Q380*$E$12</f>
        <v>-0</v>
      </c>
      <c r="R389" s="8" t="n">
        <f aca="false">-R380*$E$12</f>
        <v>-0</v>
      </c>
      <c r="S389" s="8" t="n">
        <f aca="false">-S380*$E$12</f>
        <v>-0</v>
      </c>
      <c r="T389" s="8" t="n">
        <f aca="false">-T380*$E$12</f>
        <v>-0</v>
      </c>
      <c r="U389" s="8" t="n">
        <f aca="false">-U380*$E$12</f>
        <v>-0</v>
      </c>
      <c r="V389" s="8" t="n">
        <f aca="false">-V380*$E$12</f>
        <v>-0</v>
      </c>
      <c r="W389" s="8" t="n">
        <f aca="false">-W380*$E$12</f>
        <v>-0</v>
      </c>
      <c r="X389" s="8" t="n">
        <f aca="false">-X380*$E$12</f>
        <v>-0</v>
      </c>
      <c r="Y389" s="8" t="n">
        <f aca="false">-Y380*$E$12</f>
        <v>-0</v>
      </c>
      <c r="Z389" s="8" t="n">
        <f aca="false">-Z380*$E$12</f>
        <v>-0</v>
      </c>
      <c r="AA389" s="8" t="n">
        <f aca="false">-AA380*$E$12</f>
        <v>-0</v>
      </c>
      <c r="AB389" s="8" t="n">
        <f aca="false">-AB380*$E$12</f>
        <v>-0</v>
      </c>
      <c r="AC389" s="8" t="n">
        <f aca="false">-AC380*$E$12</f>
        <v>-0</v>
      </c>
      <c r="AD389" s="8" t="n">
        <f aca="false">-AD380*$E$12</f>
        <v>-0</v>
      </c>
      <c r="AE389" s="8" t="n">
        <f aca="false">-AE380*$E$12</f>
        <v>-0</v>
      </c>
      <c r="AF389" s="8" t="n">
        <f aca="false">-AF380*$E$12</f>
        <v>-0</v>
      </c>
      <c r="AG389" s="8" t="n">
        <f aca="false">-AG380*$E$12</f>
        <v>-0</v>
      </c>
      <c r="AH389" s="8" t="n">
        <f aca="false">-AH380*$E$12</f>
        <v>-0</v>
      </c>
      <c r="AI389" s="8" t="n">
        <f aca="false">-AI380*$E$12</f>
        <v>-0</v>
      </c>
      <c r="AJ389" s="8" t="n">
        <f aca="false">-AJ380*$E$12</f>
        <v>-0</v>
      </c>
      <c r="AK389" s="8" t="n">
        <f aca="false">-AK380*$E$12</f>
        <v>-0</v>
      </c>
      <c r="AL389" s="8" t="n">
        <f aca="false">-AL380*$E$12</f>
        <v>-0</v>
      </c>
      <c r="AM389" s="8" t="n">
        <f aca="false">-AM380*$E$12</f>
        <v>-0</v>
      </c>
      <c r="AN389" s="8" t="n">
        <f aca="false">-AN380*$E$12</f>
        <v>-0</v>
      </c>
      <c r="AO389" s="8" t="n">
        <f aca="false">-AO380*$E$12</f>
        <v>-0</v>
      </c>
      <c r="AP389" s="8" t="n">
        <f aca="false">-AP380*$E$12</f>
        <v>-0</v>
      </c>
      <c r="AQ389" s="8" t="n">
        <f aca="false">-AQ380*$E$12</f>
        <v>-0</v>
      </c>
      <c r="AR389" s="8" t="n">
        <f aca="false">-AR380*$E$12</f>
        <v>-0</v>
      </c>
      <c r="AS389" s="8" t="n">
        <f aca="false">-AS380*$E$12</f>
        <v>-0</v>
      </c>
      <c r="AT389" s="8" t="n">
        <f aca="false">-AT380*$E$12</f>
        <v>-0</v>
      </c>
      <c r="AU389" s="8" t="n">
        <f aca="false">-AU380*$E$12</f>
        <v>-0</v>
      </c>
      <c r="AV389" s="8" t="n">
        <f aca="false">-AV380*$E$12</f>
        <v>-0</v>
      </c>
      <c r="AW389" s="8" t="n">
        <f aca="false">-AW380*$E$12</f>
        <v>-0</v>
      </c>
    </row>
    <row r="390" customFormat="false" ht="14.25" hidden="false" customHeight="false" outlineLevel="0" collapsed="false">
      <c r="C390" s="6" t="s">
        <v>316</v>
      </c>
      <c r="D390" s="2" t="s">
        <v>85</v>
      </c>
      <c r="H390" s="8" t="n">
        <f aca="false">SUM(J390:AW390)</f>
        <v>-7647.95461250493</v>
      </c>
      <c r="J390" s="8" t="n">
        <f aca="false">-J382*HIPA_Rate</f>
        <v>-0</v>
      </c>
      <c r="K390" s="8" t="n">
        <f aca="false">-K382*HIPA_Rate</f>
        <v>-0</v>
      </c>
      <c r="L390" s="8" t="n">
        <f aca="false">-L382*HIPA_Rate</f>
        <v>-0</v>
      </c>
      <c r="M390" s="8" t="n">
        <f aca="false">-M382*HIPA_Rate</f>
        <v>-0</v>
      </c>
      <c r="N390" s="8" t="n">
        <f aca="false">-N382*HIPA_Rate</f>
        <v>-0</v>
      </c>
      <c r="O390" s="8" t="n">
        <f aca="false">-O382*HIPA_Rate</f>
        <v>-114.3072</v>
      </c>
      <c r="P390" s="8" t="n">
        <f aca="false">-P382*HIPA_Rate</f>
        <v>-230.900544</v>
      </c>
      <c r="Q390" s="8" t="n">
        <f aca="false">-Q382*HIPA_Rate</f>
        <v>-232.50992079168</v>
      </c>
      <c r="R390" s="8" t="n">
        <f aca="false">-R382*HIPA_Rate</f>
        <v>-234.130514939598</v>
      </c>
      <c r="S390" s="8" t="n">
        <f aca="false">-S382*HIPA_Rate</f>
        <v>-235.762404628727</v>
      </c>
      <c r="T390" s="8" t="n">
        <f aca="false">-T382*HIPA_Rate</f>
        <v>-237.405668588989</v>
      </c>
      <c r="U390" s="8" t="n">
        <f aca="false">-U382*HIPA_Rate</f>
        <v>-239.060386099055</v>
      </c>
      <c r="V390" s="8" t="n">
        <f aca="false">-V382*HIPA_Rate</f>
        <v>-240.726636990165</v>
      </c>
      <c r="W390" s="8" t="n">
        <f aca="false">-W382*HIPA_Rate</f>
        <v>-242.404501649986</v>
      </c>
      <c r="X390" s="8" t="n">
        <f aca="false">-X382*HIPA_Rate</f>
        <v>-244.094061026487</v>
      </c>
      <c r="Y390" s="8" t="n">
        <f aca="false">-Y382*HIPA_Rate</f>
        <v>-245.795396631841</v>
      </c>
      <c r="Z390" s="8" t="n">
        <f aca="false">-Z382*HIPA_Rate</f>
        <v>-247.508590546365</v>
      </c>
      <c r="AA390" s="8" t="n">
        <f aca="false">-AA382*HIPA_Rate</f>
        <v>-249.233725422473</v>
      </c>
      <c r="AB390" s="8" t="n">
        <f aca="false">-AB382*HIPA_Rate</f>
        <v>-250.970884488668</v>
      </c>
      <c r="AC390" s="8" t="n">
        <f aca="false">-AC382*HIPA_Rate</f>
        <v>-252.720151553554</v>
      </c>
      <c r="AD390" s="8" t="n">
        <f aca="false">-AD382*HIPA_Rate</f>
        <v>-254.481611009882</v>
      </c>
      <c r="AE390" s="8" t="n">
        <f aca="false">-AE382*HIPA_Rate</f>
        <v>-256.255347838621</v>
      </c>
      <c r="AF390" s="8" t="n">
        <f aca="false">-AF382*HIPA_Rate</f>
        <v>-258.041447613056</v>
      </c>
      <c r="AG390" s="8" t="n">
        <f aca="false">-AG382*HIPA_Rate</f>
        <v>-259.83999650292</v>
      </c>
      <c r="AH390" s="8" t="n">
        <f aca="false">-AH382*HIPA_Rate</f>
        <v>-261.651081278545</v>
      </c>
      <c r="AI390" s="8" t="n">
        <f aca="false">-AI382*HIPA_Rate</f>
        <v>-263.474789315056</v>
      </c>
      <c r="AJ390" s="8" t="n">
        <f aca="false">-AJ382*HIPA_Rate</f>
        <v>-265.311208596582</v>
      </c>
      <c r="AK390" s="8" t="n">
        <f aca="false">-AK382*HIPA_Rate</f>
        <v>-267.1604277205</v>
      </c>
      <c r="AL390" s="8" t="n">
        <f aca="false">-AL382*HIPA_Rate</f>
        <v>-269.022535901712</v>
      </c>
      <c r="AM390" s="8" t="n">
        <f aca="false">-AM382*HIPA_Rate</f>
        <v>-270.897622976947</v>
      </c>
      <c r="AN390" s="8" t="n">
        <f aca="false">-AN382*HIPA_Rate</f>
        <v>-272.785779409097</v>
      </c>
      <c r="AO390" s="8" t="n">
        <f aca="false">-AO382*HIPA_Rate</f>
        <v>-274.687096291578</v>
      </c>
      <c r="AP390" s="8" t="n">
        <f aca="false">-AP382*HIPA_Rate</f>
        <v>-276.60166535273</v>
      </c>
      <c r="AQ390" s="8" t="n">
        <f aca="false">-AQ382*HIPA_Rate</f>
        <v>-278.529578960239</v>
      </c>
      <c r="AR390" s="8" t="n">
        <f aca="false">-AR382*HIPA_Rate</f>
        <v>-280.470930125592</v>
      </c>
      <c r="AS390" s="8" t="n">
        <f aca="false">-AS382*HIPA_Rate</f>
        <v>-141.212906254284</v>
      </c>
      <c r="AT390" s="8" t="n">
        <f aca="false">-AT382*HIPA_Rate</f>
        <v>-0</v>
      </c>
      <c r="AU390" s="8" t="n">
        <f aca="false">-AU382*HIPA_Rate</f>
        <v>-0</v>
      </c>
      <c r="AV390" s="8" t="n">
        <f aca="false">-AV382*HIPA_Rate</f>
        <v>-0</v>
      </c>
      <c r="AW390" s="8" t="n">
        <f aca="false">-AW382*HIPA_Rate</f>
        <v>-0</v>
      </c>
    </row>
    <row r="391" customFormat="false" ht="14.25" hidden="false" customHeight="false" outlineLevel="0" collapsed="false">
      <c r="C391" s="1" t="s">
        <v>317</v>
      </c>
      <c r="D391" s="2" t="s">
        <v>85</v>
      </c>
      <c r="H391" s="32" t="n">
        <f aca="false">SUM(J391:AW391)</f>
        <v>-101080.469164597</v>
      </c>
      <c r="J391" s="32" t="n">
        <f aca="false">SUM(J384:J390)</f>
        <v>0</v>
      </c>
      <c r="K391" s="32" t="n">
        <f aca="false">SUM(K384:K390)</f>
        <v>0</v>
      </c>
      <c r="L391" s="32" t="n">
        <f aca="false">SUM(L384:L390)</f>
        <v>0</v>
      </c>
      <c r="M391" s="32" t="n">
        <f aca="false">SUM(M384:M390)</f>
        <v>0</v>
      </c>
      <c r="N391" s="32" t="n">
        <f aca="false">SUM(N384:N390)</f>
        <v>0</v>
      </c>
      <c r="O391" s="32" t="n">
        <f aca="false">SUM(O384:O390)</f>
        <v>-1182.141828</v>
      </c>
      <c r="P391" s="32" t="n">
        <f aca="false">SUM(P384:P390)</f>
        <v>-2419.78149756</v>
      </c>
      <c r="Q391" s="32" t="n">
        <f aca="false">SUM(Q384:Q390)</f>
        <v>-2473.79268847324</v>
      </c>
      <c r="R391" s="32" t="n">
        <f aca="false">SUM(R384:R390)</f>
        <v>-2529.07754013253</v>
      </c>
      <c r="S391" s="32" t="n">
        <f aca="false">SUM(S384:S390)</f>
        <v>-2585.66667091693</v>
      </c>
      <c r="T391" s="32" t="n">
        <f aca="false">SUM(T384:T390)</f>
        <v>-2643.59144103106</v>
      </c>
      <c r="U391" s="32" t="n">
        <f aca="false">SUM(U384:U390)</f>
        <v>-2702.88397055478</v>
      </c>
      <c r="V391" s="32" t="n">
        <f aca="false">SUM(V384:V390)</f>
        <v>-2763.57715793331</v>
      </c>
      <c r="W391" s="32" t="n">
        <f aca="false">SUM(W384:W390)</f>
        <v>-2825.70469891879</v>
      </c>
      <c r="X391" s="32" t="n">
        <f aca="false">SUM(X384:X390)</f>
        <v>-2889.30110597403</v>
      </c>
      <c r="Y391" s="32" t="n">
        <f aca="false">SUM(Y384:Y390)</f>
        <v>-2954.40172814999</v>
      </c>
      <c r="Z391" s="32" t="n">
        <f aca="false">SUM(Z384:Z390)</f>
        <v>-3021.04277144858</v>
      </c>
      <c r="AA391" s="32" t="n">
        <f aca="false">SUM(AA384:AA390)</f>
        <v>-3089.26131968243</v>
      </c>
      <c r="AB391" s="32" t="n">
        <f aca="false">SUM(AB384:AB390)</f>
        <v>-3159.09535584409</v>
      </c>
      <c r="AC391" s="32" t="n">
        <f aca="false">SUM(AC384:AC390)</f>
        <v>-3230.58378399692</v>
      </c>
      <c r="AD391" s="32" t="n">
        <f aca="false">SUM(AD384:AD390)</f>
        <v>-3303.76645170053</v>
      </c>
      <c r="AE391" s="32" t="n">
        <f aca="false">SUM(AE384:AE390)</f>
        <v>-3378.68417298384</v>
      </c>
      <c r="AF391" s="32" t="n">
        <f aca="false">SUM(AF384:AF390)</f>
        <v>-3455.37875187918</v>
      </c>
      <c r="AG391" s="32" t="n">
        <f aca="false">SUM(AG384:AG390)</f>
        <v>-3533.89300653108</v>
      </c>
      <c r="AH391" s="32" t="n">
        <f aca="false">SUM(AH384:AH390)</f>
        <v>-3614.27079389397</v>
      </c>
      <c r="AI391" s="32" t="n">
        <f aca="false">SUM(AI384:AI390)</f>
        <v>-3696.55703503309</v>
      </c>
      <c r="AJ391" s="32" t="n">
        <f aca="false">SUM(AJ384:AJ390)</f>
        <v>-3780.79774104342</v>
      </c>
      <c r="AK391" s="32" t="n">
        <f aca="false">SUM(AK384:AK390)</f>
        <v>-3867.04003960174</v>
      </c>
      <c r="AL391" s="32" t="n">
        <f aca="false">SUM(AL384:AL390)</f>
        <v>-3955.33220216742</v>
      </c>
      <c r="AM391" s="32" t="n">
        <f aca="false">SUM(AM384:AM390)</f>
        <v>-4045.72367184764</v>
      </c>
      <c r="AN391" s="32" t="n">
        <f aca="false">SUM(AN384:AN390)</f>
        <v>-4138.26509194355</v>
      </c>
      <c r="AO391" s="32" t="n">
        <f aca="false">SUM(AO384:AO390)</f>
        <v>-4233.00833519381</v>
      </c>
      <c r="AP391" s="32" t="n">
        <f aca="false">SUM(AP384:AP390)</f>
        <v>-4330.00653373281</v>
      </c>
      <c r="AQ391" s="32" t="n">
        <f aca="false">SUM(AQ384:AQ390)</f>
        <v>-4429.31410978088</v>
      </c>
      <c r="AR391" s="32" t="n">
        <f aca="false">SUM(AR384:AR390)</f>
        <v>-4530.98680708456</v>
      </c>
      <c r="AS391" s="32" t="n">
        <f aca="false">SUM(AS384:AS390)</f>
        <v>-2317.54086156264</v>
      </c>
      <c r="AT391" s="32" t="n">
        <f aca="false">SUM(AT384:AT390)</f>
        <v>0</v>
      </c>
      <c r="AU391" s="32" t="n">
        <f aca="false">SUM(AU384:AU390)</f>
        <v>0</v>
      </c>
      <c r="AV391" s="32" t="n">
        <f aca="false">SUM(AV384:AV390)</f>
        <v>0</v>
      </c>
      <c r="AW391" s="32" t="n">
        <f aca="false">SUM(AW384:AW390)</f>
        <v>0</v>
      </c>
    </row>
    <row r="392" customFormat="false" ht="14.25" hidden="false" customHeight="false" outlineLevel="0" collapsed="false">
      <c r="C392" s="1" t="s">
        <v>160</v>
      </c>
      <c r="D392" s="2" t="s">
        <v>85</v>
      </c>
      <c r="H392" s="15" t="n">
        <f aca="false">SUM(J392:AW392)</f>
        <v>281317.26146065</v>
      </c>
      <c r="J392" s="15" t="n">
        <f aca="false">J382+J391</f>
        <v>0</v>
      </c>
      <c r="K392" s="15" t="n">
        <f aca="false">K382+K391</f>
        <v>0</v>
      </c>
      <c r="L392" s="15" t="n">
        <f aca="false">L382+L391</f>
        <v>0</v>
      </c>
      <c r="M392" s="15" t="n">
        <f aca="false">M382+M391</f>
        <v>0</v>
      </c>
      <c r="N392" s="15" t="n">
        <f aca="false">N382+N391</f>
        <v>0</v>
      </c>
      <c r="O392" s="15" t="n">
        <f aca="false">O382+O391</f>
        <v>4533.218172</v>
      </c>
      <c r="P392" s="15" t="n">
        <f aca="false">P382+P391</f>
        <v>9125.24570244</v>
      </c>
      <c r="Q392" s="15" t="n">
        <f aca="false">Q382+Q391</f>
        <v>9151.70335111076</v>
      </c>
      <c r="R392" s="15" t="n">
        <f aca="false">R382+R391</f>
        <v>9177.44820684737</v>
      </c>
      <c r="S392" s="15" t="n">
        <f aca="false">S382+S391</f>
        <v>9202.45356051942</v>
      </c>
      <c r="T392" s="15" t="n">
        <f aca="false">T382+T391</f>
        <v>9226.6919884184</v>
      </c>
      <c r="U392" s="15" t="n">
        <f aca="false">U382+U391</f>
        <v>9250.13533439795</v>
      </c>
      <c r="V392" s="15" t="n">
        <f aca="false">V382+V391</f>
        <v>9272.75469157493</v>
      </c>
      <c r="W392" s="15" t="n">
        <f aca="false">W382+W391</f>
        <v>9294.52038358052</v>
      </c>
      <c r="X392" s="15" t="n">
        <f aca="false">X382+X391</f>
        <v>9315.40194535031</v>
      </c>
      <c r="Y392" s="15" t="n">
        <f aca="false">Y382+Y391</f>
        <v>9335.36810344208</v>
      </c>
      <c r="Z392" s="15" t="n">
        <f aca="false">Z382+Z391</f>
        <v>9354.38675586968</v>
      </c>
      <c r="AA392" s="15" t="n">
        <f aca="false">AA382+AA391</f>
        <v>9372.42495144124</v>
      </c>
      <c r="AB392" s="15" t="n">
        <f aca="false">AB382+AB391</f>
        <v>9389.44886858932</v>
      </c>
      <c r="AC392" s="15" t="n">
        <f aca="false">AC382+AC391</f>
        <v>9405.42379368079</v>
      </c>
      <c r="AD392" s="15" t="n">
        <f aca="false">AD382+AD391</f>
        <v>9420.31409879359</v>
      </c>
      <c r="AE392" s="15" t="n">
        <f aca="false">AE382+AE391</f>
        <v>9434.08321894722</v>
      </c>
      <c r="AF392" s="15" t="n">
        <f aca="false">AF382+AF391</f>
        <v>9446.69362877364</v>
      </c>
      <c r="AG392" s="15" t="n">
        <f aca="false">AG382+AG391</f>
        <v>9458.1068186149</v>
      </c>
      <c r="AH392" s="15" t="n">
        <f aca="false">AH382+AH391</f>
        <v>9468.28327003328</v>
      </c>
      <c r="AI392" s="15" t="n">
        <f aca="false">AI382+AI391</f>
        <v>9477.18243071973</v>
      </c>
      <c r="AJ392" s="15" t="n">
        <f aca="false">AJ382+AJ391</f>
        <v>9484.7626887857</v>
      </c>
      <c r="AK392" s="15" t="n">
        <f aca="false">AK382+AK391</f>
        <v>9490.98134642328</v>
      </c>
      <c r="AL392" s="15" t="n">
        <f aca="false">AL382+AL391</f>
        <v>9495.7945929182</v>
      </c>
      <c r="AM392" s="15" t="n">
        <f aca="false">AM382+AM391</f>
        <v>9499.15747699973</v>
      </c>
      <c r="AN392" s="15" t="n">
        <f aca="false">AN382+AN391</f>
        <v>9501.02387851128</v>
      </c>
      <c r="AO392" s="15" t="n">
        <f aca="false">AO382+AO391</f>
        <v>9501.34647938509</v>
      </c>
      <c r="AP392" s="15" t="n">
        <f aca="false">AP382+AP391</f>
        <v>9500.07673390371</v>
      </c>
      <c r="AQ392" s="15" t="n">
        <f aca="false">AQ382+AQ391</f>
        <v>9497.16483823106</v>
      </c>
      <c r="AR392" s="15" t="n">
        <f aca="false">AR382+AR391</f>
        <v>9492.55969919502</v>
      </c>
      <c r="AS392" s="15" t="n">
        <f aca="false">AS382+AS391</f>
        <v>4743.10445115153</v>
      </c>
      <c r="AT392" s="15" t="n">
        <f aca="false">AT382+AT391</f>
        <v>0</v>
      </c>
      <c r="AU392" s="15" t="n">
        <f aca="false">AU382+AU391</f>
        <v>0</v>
      </c>
      <c r="AV392" s="15" t="n">
        <f aca="false">AV382+AV391</f>
        <v>0</v>
      </c>
      <c r="AW392" s="15" t="n">
        <f aca="false">AW382+AW391</f>
        <v>0</v>
      </c>
    </row>
    <row r="393" customFormat="false" ht="14.25" hidden="false" customHeight="false" outlineLevel="0" collapsed="false">
      <c r="C393" s="1" t="s">
        <v>318</v>
      </c>
      <c r="D393" s="2" t="s">
        <v>85</v>
      </c>
      <c r="H393" s="32" t="n">
        <f aca="false">SUM(J393:AW393)</f>
        <v>209225.327688047</v>
      </c>
      <c r="J393" s="32" t="n">
        <f aca="false">J378+J392</f>
        <v>0</v>
      </c>
      <c r="K393" s="32" t="n">
        <f aca="false">K378+K392</f>
        <v>0</v>
      </c>
      <c r="L393" s="32" t="n">
        <f aca="false">L378+L392</f>
        <v>0</v>
      </c>
      <c r="M393" s="32" t="n">
        <f aca="false">M378+M392</f>
        <v>-33450.8995260274</v>
      </c>
      <c r="N393" s="32" t="n">
        <f aca="false">N378+N392</f>
        <v>-26389</v>
      </c>
      <c r="O393" s="32" t="n">
        <f aca="false">O378+O392</f>
        <v>-9661.281828</v>
      </c>
      <c r="P393" s="32" t="n">
        <f aca="false">P378+P392</f>
        <v>9125.24570244</v>
      </c>
      <c r="Q393" s="32" t="n">
        <f aca="false">Q378+Q392</f>
        <v>11094.1691045354</v>
      </c>
      <c r="R393" s="32" t="n">
        <f aca="false">R378+R392</f>
        <v>9177.44820684737</v>
      </c>
      <c r="S393" s="32" t="n">
        <f aca="false">S378+S392</f>
        <v>9202.45356051942</v>
      </c>
      <c r="T393" s="32" t="n">
        <f aca="false">T378+T392</f>
        <v>9226.6919884184</v>
      </c>
      <c r="U393" s="32" t="n">
        <f aca="false">U378+U392</f>
        <v>9250.13533439795</v>
      </c>
      <c r="V393" s="32" t="n">
        <f aca="false">V378+V392</f>
        <v>9272.75469157493</v>
      </c>
      <c r="W393" s="32" t="n">
        <f aca="false">W378+W392</f>
        <v>9294.52038358052</v>
      </c>
      <c r="X393" s="32" t="n">
        <f aca="false">X378+X392</f>
        <v>9315.40194535031</v>
      </c>
      <c r="Y393" s="32" t="n">
        <f aca="false">Y378+Y392</f>
        <v>9335.36810344208</v>
      </c>
      <c r="Z393" s="32" t="n">
        <f aca="false">Z378+Z392</f>
        <v>9354.38675586968</v>
      </c>
      <c r="AA393" s="32" t="n">
        <f aca="false">AA378+AA392</f>
        <v>9372.42495144124</v>
      </c>
      <c r="AB393" s="32" t="n">
        <f aca="false">AB378+AB392</f>
        <v>9389.44886858932</v>
      </c>
      <c r="AC393" s="32" t="n">
        <f aca="false">AC378+AC392</f>
        <v>9405.42379368079</v>
      </c>
      <c r="AD393" s="32" t="n">
        <f aca="false">AD378+AD392</f>
        <v>9420.31409879359</v>
      </c>
      <c r="AE393" s="32" t="n">
        <f aca="false">AE378+AE392</f>
        <v>9434.08321894722</v>
      </c>
      <c r="AF393" s="32" t="n">
        <f aca="false">AF378+AF392</f>
        <v>9446.69362877364</v>
      </c>
      <c r="AG393" s="32" t="n">
        <f aca="false">AG378+AG392</f>
        <v>9458.1068186149</v>
      </c>
      <c r="AH393" s="32" t="n">
        <f aca="false">AH378+AH392</f>
        <v>9468.28327003328</v>
      </c>
      <c r="AI393" s="32" t="n">
        <f aca="false">AI378+AI392</f>
        <v>9477.18243071973</v>
      </c>
      <c r="AJ393" s="32" t="n">
        <f aca="false">AJ378+AJ392</f>
        <v>9484.7626887857</v>
      </c>
      <c r="AK393" s="32" t="n">
        <f aca="false">AK378+AK392</f>
        <v>9490.98134642328</v>
      </c>
      <c r="AL393" s="32" t="n">
        <f aca="false">AL378+AL392</f>
        <v>9495.7945929182</v>
      </c>
      <c r="AM393" s="32" t="n">
        <f aca="false">AM378+AM392</f>
        <v>9499.15747699973</v>
      </c>
      <c r="AN393" s="32" t="n">
        <f aca="false">AN378+AN392</f>
        <v>9501.02387851128</v>
      </c>
      <c r="AO393" s="32" t="n">
        <f aca="false">AO378+AO392</f>
        <v>9501.34647938509</v>
      </c>
      <c r="AP393" s="32" t="n">
        <f aca="false">AP378+AP392</f>
        <v>9500.07673390371</v>
      </c>
      <c r="AQ393" s="32" t="n">
        <f aca="false">AQ378+AQ392</f>
        <v>9497.16483823106</v>
      </c>
      <c r="AR393" s="32" t="n">
        <f aca="false">AR378+AR392</f>
        <v>9492.55969919502</v>
      </c>
      <c r="AS393" s="32" t="n">
        <f aca="false">AS378+AS392</f>
        <v>4743.10445115153</v>
      </c>
      <c r="AT393" s="32" t="n">
        <f aca="false">AT378+AT392</f>
        <v>0</v>
      </c>
      <c r="AU393" s="32" t="n">
        <f aca="false">AU378+AU392</f>
        <v>0</v>
      </c>
      <c r="AV393" s="32" t="n">
        <f aca="false">AV378+AV392</f>
        <v>0</v>
      </c>
      <c r="AW393" s="32" t="n">
        <f aca="false">AW378+AW392</f>
        <v>0</v>
      </c>
    </row>
    <row r="394" customFormat="false" ht="14.25" hidden="false" customHeight="false" outlineLevel="0" collapsed="false">
      <c r="C394" s="6" t="s">
        <v>319</v>
      </c>
      <c r="D394" s="2" t="s">
        <v>12</v>
      </c>
      <c r="H394" s="74" t="n">
        <f aca="false">SUM(J394:AW394)</f>
        <v>20</v>
      </c>
      <c r="J394" s="48" t="n">
        <f aca="false">MAX(0,MIN(J371,Tax_Dep_Life*Months_In_Year)-MAX(J371-Months_In_Year,0))/Months_In_Year</f>
        <v>0</v>
      </c>
      <c r="K394" s="48" t="n">
        <f aca="false">MAX(0,MIN(K371,Tax_Dep_Life*Months_In_Year)-MAX(K371-Months_In_Year,0))/Months_In_Year</f>
        <v>0</v>
      </c>
      <c r="L394" s="48" t="n">
        <f aca="false">MAX(0,MIN(L371,Tax_Dep_Life*Months_In_Year)-MAX(L371-Months_In_Year,0))/Months_In_Year</f>
        <v>0</v>
      </c>
      <c r="M394" s="48" t="n">
        <f aca="false">MAX(0,MIN(M371,Tax_Dep_Life*Months_In_Year)-MAX(M371-Months_In_Year,0))/Months_In_Year</f>
        <v>0</v>
      </c>
      <c r="N394" s="48" t="n">
        <f aca="false">MAX(0,MIN(N371,Tax_Dep_Life*Months_In_Year)-MAX(N371-Months_In_Year,0))/Months_In_Year</f>
        <v>0</v>
      </c>
      <c r="O394" s="48" t="n">
        <f aca="false">MAX(0,MIN(O371,Tax_Dep_Life*Months_In_Year)-MAX(O371-Months_In_Year,0))/Months_In_Year</f>
        <v>0.5</v>
      </c>
      <c r="P394" s="48" t="n">
        <f aca="false">MAX(0,MIN(P371,Tax_Dep_Life*Months_In_Year)-MAX(P371-Months_In_Year,0))/Months_In_Year</f>
        <v>1</v>
      </c>
      <c r="Q394" s="48" t="n">
        <f aca="false">MAX(0,MIN(Q371,Tax_Dep_Life*Months_In_Year)-MAX(Q371-Months_In_Year,0))/Months_In_Year</f>
        <v>1</v>
      </c>
      <c r="R394" s="48" t="n">
        <f aca="false">MAX(0,MIN(R371,Tax_Dep_Life*Months_In_Year)-MAX(R371-Months_In_Year,0))/Months_In_Year</f>
        <v>1</v>
      </c>
      <c r="S394" s="48" t="n">
        <f aca="false">MAX(0,MIN(S371,Tax_Dep_Life*Months_In_Year)-MAX(S371-Months_In_Year,0))/Months_In_Year</f>
        <v>1</v>
      </c>
      <c r="T394" s="48" t="n">
        <f aca="false">MAX(0,MIN(T371,Tax_Dep_Life*Months_In_Year)-MAX(T371-Months_In_Year,0))/Months_In_Year</f>
        <v>1</v>
      </c>
      <c r="U394" s="48" t="n">
        <f aca="false">MAX(0,MIN(U371,Tax_Dep_Life*Months_In_Year)-MAX(U371-Months_In_Year,0))/Months_In_Year</f>
        <v>1</v>
      </c>
      <c r="V394" s="48" t="n">
        <f aca="false">MAX(0,MIN(V371,Tax_Dep_Life*Months_In_Year)-MAX(V371-Months_In_Year,0))/Months_In_Year</f>
        <v>1</v>
      </c>
      <c r="W394" s="48" t="n">
        <f aca="false">MAX(0,MIN(W371,Tax_Dep_Life*Months_In_Year)-MAX(W371-Months_In_Year,0))/Months_In_Year</f>
        <v>1</v>
      </c>
      <c r="X394" s="48" t="n">
        <f aca="false">MAX(0,MIN(X371,Tax_Dep_Life*Months_In_Year)-MAX(X371-Months_In_Year,0))/Months_In_Year</f>
        <v>1</v>
      </c>
      <c r="Y394" s="48" t="n">
        <f aca="false">MAX(0,MIN(Y371,Tax_Dep_Life*Months_In_Year)-MAX(Y371-Months_In_Year,0))/Months_In_Year</f>
        <v>1</v>
      </c>
      <c r="Z394" s="48" t="n">
        <f aca="false">MAX(0,MIN(Z371,Tax_Dep_Life*Months_In_Year)-MAX(Z371-Months_In_Year,0))/Months_In_Year</f>
        <v>1</v>
      </c>
      <c r="AA394" s="48" t="n">
        <f aca="false">MAX(0,MIN(AA371,Tax_Dep_Life*Months_In_Year)-MAX(AA371-Months_In_Year,0))/Months_In_Year</f>
        <v>1</v>
      </c>
      <c r="AB394" s="48" t="n">
        <f aca="false">MAX(0,MIN(AB371,Tax_Dep_Life*Months_In_Year)-MAX(AB371-Months_In_Year,0))/Months_In_Year</f>
        <v>1</v>
      </c>
      <c r="AC394" s="48" t="n">
        <f aca="false">MAX(0,MIN(AC371,Tax_Dep_Life*Months_In_Year)-MAX(AC371-Months_In_Year,0))/Months_In_Year</f>
        <v>1</v>
      </c>
      <c r="AD394" s="48" t="n">
        <f aca="false">MAX(0,MIN(AD371,Tax_Dep_Life*Months_In_Year)-MAX(AD371-Months_In_Year,0))/Months_In_Year</f>
        <v>1</v>
      </c>
      <c r="AE394" s="48" t="n">
        <f aca="false">MAX(0,MIN(AE371,Tax_Dep_Life*Months_In_Year)-MAX(AE371-Months_In_Year,0))/Months_In_Year</f>
        <v>1</v>
      </c>
      <c r="AF394" s="48" t="n">
        <f aca="false">MAX(0,MIN(AF371,Tax_Dep_Life*Months_In_Year)-MAX(AF371-Months_In_Year,0))/Months_In_Year</f>
        <v>1</v>
      </c>
      <c r="AG394" s="48" t="n">
        <f aca="false">MAX(0,MIN(AG371,Tax_Dep_Life*Months_In_Year)-MAX(AG371-Months_In_Year,0))/Months_In_Year</f>
        <v>1</v>
      </c>
      <c r="AH394" s="48" t="n">
        <f aca="false">MAX(0,MIN(AH371,Tax_Dep_Life*Months_In_Year)-MAX(AH371-Months_In_Year,0))/Months_In_Year</f>
        <v>1</v>
      </c>
      <c r="AI394" s="48" t="n">
        <f aca="false">MAX(0,MIN(AI371,Tax_Dep_Life*Months_In_Year)-MAX(AI371-Months_In_Year,0))/Months_In_Year</f>
        <v>0.5</v>
      </c>
      <c r="AJ394" s="48" t="n">
        <f aca="false">MAX(0,MIN(AJ371,Tax_Dep_Life*Months_In_Year)-MAX(AJ371-Months_In_Year,0))/Months_In_Year</f>
        <v>0</v>
      </c>
      <c r="AK394" s="48" t="n">
        <f aca="false">MAX(0,MIN(AK371,Tax_Dep_Life*Months_In_Year)-MAX(AK371-Months_In_Year,0))/Months_In_Year</f>
        <v>0</v>
      </c>
      <c r="AL394" s="48" t="n">
        <f aca="false">MAX(0,MIN(AL371,Tax_Dep_Life*Months_In_Year)-MAX(AL371-Months_In_Year,0))/Months_In_Year</f>
        <v>0</v>
      </c>
      <c r="AM394" s="48" t="n">
        <f aca="false">MAX(0,MIN(AM371,Tax_Dep_Life*Months_In_Year)-MAX(AM371-Months_In_Year,0))/Months_In_Year</f>
        <v>0</v>
      </c>
      <c r="AN394" s="48" t="n">
        <f aca="false">MAX(0,MIN(AN371,Tax_Dep_Life*Months_In_Year)-MAX(AN371-Months_In_Year,0))/Months_In_Year</f>
        <v>0</v>
      </c>
      <c r="AO394" s="48" t="n">
        <f aca="false">MAX(0,MIN(AO371,Tax_Dep_Life*Months_In_Year)-MAX(AO371-Months_In_Year,0))/Months_In_Year</f>
        <v>0</v>
      </c>
      <c r="AP394" s="48" t="n">
        <f aca="false">MAX(0,MIN(AP371,Tax_Dep_Life*Months_In_Year)-MAX(AP371-Months_In_Year,0))/Months_In_Year</f>
        <v>0</v>
      </c>
      <c r="AQ394" s="48" t="n">
        <f aca="false">MAX(0,MIN(AQ371,Tax_Dep_Life*Months_In_Year)-MAX(AQ371-Months_In_Year,0))/Months_In_Year</f>
        <v>0</v>
      </c>
      <c r="AR394" s="48" t="n">
        <f aca="false">MAX(0,MIN(AR371,Tax_Dep_Life*Months_In_Year)-MAX(AR371-Months_In_Year,0))/Months_In_Year</f>
        <v>0</v>
      </c>
      <c r="AS394" s="48" t="n">
        <f aca="false">MAX(0,MIN(AS371,Tax_Dep_Life*Months_In_Year)-MAX(AS371-Months_In_Year,0))/Months_In_Year</f>
        <v>0</v>
      </c>
      <c r="AT394" s="48" t="n">
        <f aca="false">MAX(0,MIN(AT371,Tax_Dep_Life*Months_In_Year)-MAX(AT371-Months_In_Year,0))/Months_In_Year</f>
        <v>0</v>
      </c>
      <c r="AU394" s="48" t="n">
        <f aca="false">MAX(0,MIN(AU371,Tax_Dep_Life*Months_In_Year)-MAX(AU371-Months_In_Year,0))/Months_In_Year</f>
        <v>0</v>
      </c>
      <c r="AV394" s="48" t="n">
        <f aca="false">MAX(0,MIN(AV371,Tax_Dep_Life*Months_In_Year)-MAX(AV371-Months_In_Year,0))/Months_In_Year</f>
        <v>0</v>
      </c>
      <c r="AW394" s="48" t="n">
        <f aca="false">MAX(0,MIN(AW371,Tax_Dep_Life*Months_In_Year)-MAX(AW371-Months_In_Year,0))/Months_In_Year</f>
        <v>0</v>
      </c>
    </row>
    <row r="395" customFormat="false" ht="14.25" hidden="false" customHeight="false" outlineLevel="0" collapsed="false">
      <c r="C395" s="6" t="s">
        <v>320</v>
      </c>
      <c r="D395" s="2" t="s">
        <v>85</v>
      </c>
      <c r="E395" s="52" t="n">
        <f aca="false">E91+E92+E96</f>
        <v>64484.132060274</v>
      </c>
      <c r="H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</row>
    <row r="396" customFormat="false" ht="14.25" hidden="false" customHeight="false" outlineLevel="0" collapsed="false">
      <c r="C396" s="6" t="s">
        <v>321</v>
      </c>
      <c r="D396" s="2" t="s">
        <v>85</v>
      </c>
      <c r="H396" s="8" t="n">
        <f aca="false">SUM(J396:AW396)</f>
        <v>-64484.132060274</v>
      </c>
      <c r="J396" s="8" t="n">
        <f aca="false">-$E395/Tax_Dep_Life*J394</f>
        <v>-0</v>
      </c>
      <c r="K396" s="8" t="n">
        <f aca="false">-$E395/Tax_Dep_Life*K394</f>
        <v>-0</v>
      </c>
      <c r="L396" s="8" t="n">
        <f aca="false">-$E395/Tax_Dep_Life*L394</f>
        <v>-0</v>
      </c>
      <c r="M396" s="8" t="n">
        <f aca="false">-$E395/Tax_Dep_Life*M394</f>
        <v>-0</v>
      </c>
      <c r="N396" s="8" t="n">
        <f aca="false">-$E395/Tax_Dep_Life*N394</f>
        <v>-0</v>
      </c>
      <c r="O396" s="8" t="n">
        <f aca="false">-$E395/Tax_Dep_Life*O394</f>
        <v>-1612.10330150685</v>
      </c>
      <c r="P396" s="8" t="n">
        <f aca="false">-$E395/Tax_Dep_Life*P394</f>
        <v>-3224.2066030137</v>
      </c>
      <c r="Q396" s="8" t="n">
        <f aca="false">-$E395/Tax_Dep_Life*Q394</f>
        <v>-3224.2066030137</v>
      </c>
      <c r="R396" s="8" t="n">
        <f aca="false">-$E395/Tax_Dep_Life*R394</f>
        <v>-3224.2066030137</v>
      </c>
      <c r="S396" s="8" t="n">
        <f aca="false">-$E395/Tax_Dep_Life*S394</f>
        <v>-3224.2066030137</v>
      </c>
      <c r="T396" s="8" t="n">
        <f aca="false">-$E395/Tax_Dep_Life*T394</f>
        <v>-3224.2066030137</v>
      </c>
      <c r="U396" s="8" t="n">
        <f aca="false">-$E395/Tax_Dep_Life*U394</f>
        <v>-3224.2066030137</v>
      </c>
      <c r="V396" s="8" t="n">
        <f aca="false">-$E395/Tax_Dep_Life*V394</f>
        <v>-3224.2066030137</v>
      </c>
      <c r="W396" s="8" t="n">
        <f aca="false">-$E395/Tax_Dep_Life*W394</f>
        <v>-3224.2066030137</v>
      </c>
      <c r="X396" s="8" t="n">
        <f aca="false">-$E395/Tax_Dep_Life*X394</f>
        <v>-3224.2066030137</v>
      </c>
      <c r="Y396" s="8" t="n">
        <f aca="false">-$E395/Tax_Dep_Life*Y394</f>
        <v>-3224.2066030137</v>
      </c>
      <c r="Z396" s="8" t="n">
        <f aca="false">-$E395/Tax_Dep_Life*Z394</f>
        <v>-3224.2066030137</v>
      </c>
      <c r="AA396" s="8" t="n">
        <f aca="false">-$E395/Tax_Dep_Life*AA394</f>
        <v>-3224.2066030137</v>
      </c>
      <c r="AB396" s="8" t="n">
        <f aca="false">-$E395/Tax_Dep_Life*AB394</f>
        <v>-3224.2066030137</v>
      </c>
      <c r="AC396" s="8" t="n">
        <f aca="false">-$E395/Tax_Dep_Life*AC394</f>
        <v>-3224.2066030137</v>
      </c>
      <c r="AD396" s="8" t="n">
        <f aca="false">-$E395/Tax_Dep_Life*AD394</f>
        <v>-3224.2066030137</v>
      </c>
      <c r="AE396" s="8" t="n">
        <f aca="false">-$E395/Tax_Dep_Life*AE394</f>
        <v>-3224.2066030137</v>
      </c>
      <c r="AF396" s="8" t="n">
        <f aca="false">-$E395/Tax_Dep_Life*AF394</f>
        <v>-3224.2066030137</v>
      </c>
      <c r="AG396" s="8" t="n">
        <f aca="false">-$E395/Tax_Dep_Life*AG394</f>
        <v>-3224.2066030137</v>
      </c>
      <c r="AH396" s="8" t="n">
        <f aca="false">-$E395/Tax_Dep_Life*AH394</f>
        <v>-3224.2066030137</v>
      </c>
      <c r="AI396" s="8" t="n">
        <f aca="false">-$E395/Tax_Dep_Life*AI394</f>
        <v>-1612.10330150685</v>
      </c>
      <c r="AJ396" s="8" t="n">
        <f aca="false">-$E395/Tax_Dep_Life*AJ394</f>
        <v>-0</v>
      </c>
      <c r="AK396" s="8" t="n">
        <f aca="false">-$E395/Tax_Dep_Life*AK394</f>
        <v>-0</v>
      </c>
      <c r="AL396" s="8" t="n">
        <f aca="false">-$E395/Tax_Dep_Life*AL394</f>
        <v>-0</v>
      </c>
      <c r="AM396" s="8" t="n">
        <f aca="false">-$E395/Tax_Dep_Life*AM394</f>
        <v>-0</v>
      </c>
      <c r="AN396" s="8" t="n">
        <f aca="false">-$E395/Tax_Dep_Life*AN394</f>
        <v>-0</v>
      </c>
      <c r="AO396" s="8" t="n">
        <f aca="false">-$E395/Tax_Dep_Life*AO394</f>
        <v>-0</v>
      </c>
      <c r="AP396" s="8" t="n">
        <f aca="false">-$E395/Tax_Dep_Life*AP394</f>
        <v>-0</v>
      </c>
      <c r="AQ396" s="8" t="n">
        <f aca="false">-$E395/Tax_Dep_Life*AQ394</f>
        <v>-0</v>
      </c>
      <c r="AR396" s="8" t="n">
        <f aca="false">-$E395/Tax_Dep_Life*AR394</f>
        <v>-0</v>
      </c>
      <c r="AS396" s="8" t="n">
        <f aca="false">-$E395/Tax_Dep_Life*AS394</f>
        <v>-0</v>
      </c>
      <c r="AT396" s="8" t="n">
        <f aca="false">-$E395/Tax_Dep_Life*AT394</f>
        <v>-0</v>
      </c>
      <c r="AU396" s="8" t="n">
        <f aca="false">-$E395/Tax_Dep_Life*AU394</f>
        <v>-0</v>
      </c>
      <c r="AV396" s="8" t="n">
        <f aca="false">-$E395/Tax_Dep_Life*AV394</f>
        <v>-0</v>
      </c>
      <c r="AW396" s="8" t="n">
        <f aca="false">-$E395/Tax_Dep_Life*AW394</f>
        <v>-0</v>
      </c>
    </row>
    <row r="397" customFormat="false" ht="14.25" hidden="false" customHeight="false" outlineLevel="0" collapsed="false">
      <c r="C397" s="6" t="s">
        <v>322</v>
      </c>
      <c r="D397" s="2" t="s">
        <v>85</v>
      </c>
      <c r="H397" s="8" t="n">
        <f aca="false">SUM(J397:AW397)</f>
        <v>-32524.9694100564</v>
      </c>
      <c r="J397" s="8" t="n">
        <f aca="false">-MAX(0,J392+J396)*CIT_Rate</f>
        <v>-0</v>
      </c>
      <c r="K397" s="8" t="n">
        <f aca="false">-MAX(0,K392+K396)*CIT_Rate</f>
        <v>-0</v>
      </c>
      <c r="L397" s="8" t="n">
        <f aca="false">-MAX(0,L392+L396)*CIT_Rate</f>
        <v>-0</v>
      </c>
      <c r="M397" s="8" t="n">
        <f aca="false">-MAX(0,M392+M396)*CIT_Rate</f>
        <v>-0</v>
      </c>
      <c r="N397" s="8" t="n">
        <f aca="false">-MAX(0,N392+N396)*CIT_Rate</f>
        <v>-0</v>
      </c>
      <c r="O397" s="8" t="n">
        <f aca="false">-MAX(0,O392+O396)*CIT_Rate</f>
        <v>-438.167230573973</v>
      </c>
      <c r="P397" s="8" t="n">
        <f aca="false">-MAX(0,P392+P396)*CIT_Rate</f>
        <v>-885.155864913945</v>
      </c>
      <c r="Q397" s="8" t="n">
        <f aca="false">-MAX(0,Q392+Q396)*CIT_Rate</f>
        <v>-889.124512214558</v>
      </c>
      <c r="R397" s="8" t="n">
        <f aca="false">-MAX(0,R392+R396)*CIT_Rate</f>
        <v>-892.986240575051</v>
      </c>
      <c r="S397" s="8" t="n">
        <f aca="false">-MAX(0,S392+S396)*CIT_Rate</f>
        <v>-896.737043625858</v>
      </c>
      <c r="T397" s="8" t="n">
        <f aca="false">-MAX(0,T392+T396)*CIT_Rate</f>
        <v>-900.372807810705</v>
      </c>
      <c r="U397" s="8" t="n">
        <f aca="false">-MAX(0,U392+U396)*CIT_Rate</f>
        <v>-903.889309707638</v>
      </c>
      <c r="V397" s="8" t="n">
        <f aca="false">-MAX(0,V392+V396)*CIT_Rate</f>
        <v>-907.282213284185</v>
      </c>
      <c r="W397" s="8" t="n">
        <f aca="false">-MAX(0,W392+W396)*CIT_Rate</f>
        <v>-910.547067085024</v>
      </c>
      <c r="X397" s="8" t="n">
        <f aca="false">-MAX(0,X392+X396)*CIT_Rate</f>
        <v>-913.679301350492</v>
      </c>
      <c r="Y397" s="8" t="n">
        <f aca="false">-MAX(0,Y392+Y396)*CIT_Rate</f>
        <v>-916.674225064257</v>
      </c>
      <c r="Z397" s="8" t="n">
        <f aca="false">-MAX(0,Z392+Z396)*CIT_Rate</f>
        <v>-919.527022928398</v>
      </c>
      <c r="AA397" s="8" t="n">
        <f aca="false">-MAX(0,AA392+AA396)*CIT_Rate</f>
        <v>-922.232752264131</v>
      </c>
      <c r="AB397" s="8" t="n">
        <f aca="false">-MAX(0,AB392+AB396)*CIT_Rate</f>
        <v>-924.786339836343</v>
      </c>
      <c r="AC397" s="8" t="n">
        <f aca="false">-MAX(0,AC392+AC396)*CIT_Rate</f>
        <v>-927.182578600064</v>
      </c>
      <c r="AD397" s="8" t="n">
        <f aca="false">-MAX(0,AD392+AD396)*CIT_Rate</f>
        <v>-929.416124366984</v>
      </c>
      <c r="AE397" s="8" t="n">
        <f aca="false">-MAX(0,AE392+AE396)*CIT_Rate</f>
        <v>-931.481492390029</v>
      </c>
      <c r="AF397" s="8" t="n">
        <f aca="false">-MAX(0,AF392+AF396)*CIT_Rate</f>
        <v>-933.373053863992</v>
      </c>
      <c r="AG397" s="8" t="n">
        <f aca="false">-MAX(0,AG392+AG396)*CIT_Rate</f>
        <v>-935.08503234018</v>
      </c>
      <c r="AH397" s="8" t="n">
        <f aca="false">-MAX(0,AH392+AH396)*CIT_Rate</f>
        <v>-936.611500052936</v>
      </c>
      <c r="AI397" s="8" t="n">
        <f aca="false">-MAX(0,AI392+AI396)*CIT_Rate</f>
        <v>-1179.76186938193</v>
      </c>
      <c r="AJ397" s="8" t="n">
        <f aca="false">-MAX(0,AJ392+AJ396)*CIT_Rate</f>
        <v>-1422.71440331785</v>
      </c>
      <c r="AK397" s="8" t="n">
        <f aca="false">-MAX(0,AK392+AK396)*CIT_Rate</f>
        <v>-1423.64720196349</v>
      </c>
      <c r="AL397" s="8" t="n">
        <f aca="false">-MAX(0,AL392+AL396)*CIT_Rate</f>
        <v>-1424.36918893773</v>
      </c>
      <c r="AM397" s="8" t="n">
        <f aca="false">-MAX(0,AM392+AM396)*CIT_Rate</f>
        <v>-1424.87362154996</v>
      </c>
      <c r="AN397" s="8" t="n">
        <f aca="false">-MAX(0,AN392+AN396)*CIT_Rate</f>
        <v>-1425.15358177669</v>
      </c>
      <c r="AO397" s="8" t="n">
        <f aca="false">-MAX(0,AO392+AO396)*CIT_Rate</f>
        <v>-1425.20197190776</v>
      </c>
      <c r="AP397" s="8" t="n">
        <f aca="false">-MAX(0,AP392+AP396)*CIT_Rate</f>
        <v>-1425.01151008556</v>
      </c>
      <c r="AQ397" s="8" t="n">
        <f aca="false">-MAX(0,AQ392+AQ396)*CIT_Rate</f>
        <v>-1424.57472573466</v>
      </c>
      <c r="AR397" s="8" t="n">
        <f aca="false">-MAX(0,AR392+AR396)*CIT_Rate</f>
        <v>-1423.88395487925</v>
      </c>
      <c r="AS397" s="8" t="n">
        <f aca="false">-MAX(0,AS392+AS396)*CIT_Rate</f>
        <v>-711.46566767273</v>
      </c>
      <c r="AT397" s="8" t="n">
        <f aca="false">-MAX(0,AT392+AT396)*CIT_Rate</f>
        <v>-0</v>
      </c>
      <c r="AU397" s="8" t="n">
        <f aca="false">-MAX(0,AU392+AU396)*CIT_Rate</f>
        <v>-0</v>
      </c>
      <c r="AV397" s="8" t="n">
        <f aca="false">-MAX(0,AV392+AV396)*CIT_Rate</f>
        <v>-0</v>
      </c>
      <c r="AW397" s="8" t="n">
        <f aca="false">-MAX(0,AW392+AW396)*CIT_Rate</f>
        <v>-0</v>
      </c>
    </row>
    <row r="398" customFormat="false" ht="14.25" hidden="false" customHeight="false" outlineLevel="0" collapsed="false">
      <c r="C398" s="1" t="s">
        <v>323</v>
      </c>
      <c r="D398" s="2" t="s">
        <v>85</v>
      </c>
      <c r="H398" s="32" t="n">
        <f aca="false">SUM(J398:AW398)</f>
        <v>176700.358277991</v>
      </c>
      <c r="J398" s="32" t="n">
        <f aca="false">J393+J397</f>
        <v>0</v>
      </c>
      <c r="K398" s="32" t="n">
        <f aca="false">K393+K397</f>
        <v>0</v>
      </c>
      <c r="L398" s="32" t="n">
        <f aca="false">L393+L397</f>
        <v>0</v>
      </c>
      <c r="M398" s="32" t="n">
        <f aca="false">M393+M397</f>
        <v>-33450.8995260274</v>
      </c>
      <c r="N398" s="32" t="n">
        <f aca="false">N393+N397</f>
        <v>-26389</v>
      </c>
      <c r="O398" s="32" t="n">
        <f aca="false">O393+O397</f>
        <v>-10099.449058574</v>
      </c>
      <c r="P398" s="32" t="n">
        <f aca="false">P393+P397</f>
        <v>8240.08983752606</v>
      </c>
      <c r="Q398" s="32" t="n">
        <f aca="false">Q393+Q397</f>
        <v>10205.0445923209</v>
      </c>
      <c r="R398" s="32" t="n">
        <f aca="false">R393+R397</f>
        <v>8284.46196627232</v>
      </c>
      <c r="S398" s="32" t="n">
        <f aca="false">S393+S397</f>
        <v>8305.71651689356</v>
      </c>
      <c r="T398" s="32" t="n">
        <f aca="false">T393+T397</f>
        <v>8326.31918060769</v>
      </c>
      <c r="U398" s="32" t="n">
        <f aca="false">U393+U397</f>
        <v>8346.24602469031</v>
      </c>
      <c r="V398" s="32" t="n">
        <f aca="false">V393+V397</f>
        <v>8365.47247829075</v>
      </c>
      <c r="W398" s="32" t="n">
        <f aca="false">W393+W397</f>
        <v>8383.9733164955</v>
      </c>
      <c r="X398" s="32" t="n">
        <f aca="false">X393+X397</f>
        <v>8401.72264399982</v>
      </c>
      <c r="Y398" s="32" t="n">
        <f aca="false">Y393+Y397</f>
        <v>8418.69387837782</v>
      </c>
      <c r="Z398" s="32" t="n">
        <f aca="false">Z393+Z397</f>
        <v>8434.85973294128</v>
      </c>
      <c r="AA398" s="32" t="n">
        <f aca="false">AA393+AA397</f>
        <v>8450.19219917711</v>
      </c>
      <c r="AB398" s="32" t="n">
        <f aca="false">AB393+AB397</f>
        <v>8464.66252875297</v>
      </c>
      <c r="AC398" s="32" t="n">
        <f aca="false">AC393+AC397</f>
        <v>8478.24121508073</v>
      </c>
      <c r="AD398" s="32" t="n">
        <f aca="false">AD393+AD397</f>
        <v>8490.89797442661</v>
      </c>
      <c r="AE398" s="32" t="n">
        <f aca="false">AE393+AE397</f>
        <v>8502.6017265572</v>
      </c>
      <c r="AF398" s="32" t="n">
        <f aca="false">AF393+AF397</f>
        <v>8513.32057490965</v>
      </c>
      <c r="AG398" s="32" t="n">
        <f aca="false">AG393+AG397</f>
        <v>8523.02178627472</v>
      </c>
      <c r="AH398" s="32" t="n">
        <f aca="false">AH393+AH397</f>
        <v>8531.67176998034</v>
      </c>
      <c r="AI398" s="32" t="n">
        <f aca="false">AI393+AI397</f>
        <v>8297.4205613378</v>
      </c>
      <c r="AJ398" s="32" t="n">
        <f aca="false">AJ393+AJ397</f>
        <v>8062.04828546784</v>
      </c>
      <c r="AK398" s="32" t="n">
        <f aca="false">AK393+AK397</f>
        <v>8067.33414445979</v>
      </c>
      <c r="AL398" s="32" t="n">
        <f aca="false">AL393+AL397</f>
        <v>8071.42540398047</v>
      </c>
      <c r="AM398" s="32" t="n">
        <f aca="false">AM393+AM397</f>
        <v>8074.28385544977</v>
      </c>
      <c r="AN398" s="32" t="n">
        <f aca="false">AN393+AN397</f>
        <v>8075.87029673459</v>
      </c>
      <c r="AO398" s="32" t="n">
        <f aca="false">AO393+AO397</f>
        <v>8076.14450747733</v>
      </c>
      <c r="AP398" s="32" t="n">
        <f aca="false">AP393+AP397</f>
        <v>8075.06522381815</v>
      </c>
      <c r="AQ398" s="32" t="n">
        <f aca="false">AQ393+AQ397</f>
        <v>8072.5901124964</v>
      </c>
      <c r="AR398" s="32" t="n">
        <f aca="false">AR393+AR397</f>
        <v>8068.67574431577</v>
      </c>
      <c r="AS398" s="32" t="n">
        <f aca="false">AS393+AS397</f>
        <v>4031.6387834788</v>
      </c>
      <c r="AT398" s="32" t="n">
        <f aca="false">AT393+AT397</f>
        <v>0</v>
      </c>
      <c r="AU398" s="32" t="n">
        <f aca="false">AU393+AU397</f>
        <v>0</v>
      </c>
      <c r="AV398" s="32" t="n">
        <f aca="false">AV393+AV397</f>
        <v>0</v>
      </c>
      <c r="AW398" s="32" t="n">
        <f aca="false">AW393+AW397</f>
        <v>0</v>
      </c>
    </row>
    <row r="399" customFormat="false" ht="14.25" hidden="false" customHeight="false" outlineLevel="0" collapsed="false">
      <c r="C399" s="6" t="s">
        <v>324</v>
      </c>
      <c r="D399" s="2" t="s">
        <v>85</v>
      </c>
      <c r="E399" s="52" t="n">
        <f aca="false">E99*Gearing</f>
        <v>43255.1602635616</v>
      </c>
      <c r="H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</row>
    <row r="400" customFormat="false" ht="14.25" hidden="false" customHeight="false" outlineLevel="0" collapsed="false">
      <c r="C400" s="6" t="s">
        <v>325</v>
      </c>
      <c r="D400" s="2" t="s">
        <v>85</v>
      </c>
      <c r="H400" s="8" t="n">
        <f aca="false">SUM(J400:AW400)</f>
        <v>43255.1602635616</v>
      </c>
      <c r="J400" s="8" t="n">
        <f aca="false">$E399*J370</f>
        <v>0</v>
      </c>
      <c r="K400" s="8" t="n">
        <f aca="false">$E399*K370</f>
        <v>0</v>
      </c>
      <c r="L400" s="8" t="n">
        <f aca="false">$E399*L370</f>
        <v>0</v>
      </c>
      <c r="M400" s="8" t="n">
        <f aca="false">$E399*M370</f>
        <v>10813.7900658904</v>
      </c>
      <c r="N400" s="8" t="n">
        <f aca="false">$E399*N370</f>
        <v>21627.5801317808</v>
      </c>
      <c r="O400" s="8" t="n">
        <f aca="false">$E399*O370</f>
        <v>10813.7900658904</v>
      </c>
      <c r="P400" s="8" t="n">
        <f aca="false">$E399*P370</f>
        <v>0</v>
      </c>
      <c r="Q400" s="8" t="n">
        <f aca="false">$E399*Q370</f>
        <v>0</v>
      </c>
      <c r="R400" s="8" t="n">
        <f aca="false">$E399*R370</f>
        <v>0</v>
      </c>
      <c r="S400" s="8" t="n">
        <f aca="false">$E399*S370</f>
        <v>0</v>
      </c>
      <c r="T400" s="8" t="n">
        <f aca="false">$E399*T370</f>
        <v>0</v>
      </c>
      <c r="U400" s="8" t="n">
        <f aca="false">$E399*U370</f>
        <v>0</v>
      </c>
      <c r="V400" s="8" t="n">
        <f aca="false">$E399*V370</f>
        <v>0</v>
      </c>
      <c r="W400" s="8" t="n">
        <f aca="false">$E399*W370</f>
        <v>0</v>
      </c>
      <c r="X400" s="8" t="n">
        <f aca="false">$E399*X370</f>
        <v>0</v>
      </c>
      <c r="Y400" s="8" t="n">
        <f aca="false">$E399*Y370</f>
        <v>0</v>
      </c>
      <c r="Z400" s="8" t="n">
        <f aca="false">$E399*Z370</f>
        <v>0</v>
      </c>
      <c r="AA400" s="8" t="n">
        <f aca="false">$E399*AA370</f>
        <v>0</v>
      </c>
      <c r="AB400" s="8" t="n">
        <f aca="false">$E399*AB370</f>
        <v>0</v>
      </c>
      <c r="AC400" s="8" t="n">
        <f aca="false">$E399*AC370</f>
        <v>0</v>
      </c>
      <c r="AD400" s="8" t="n">
        <f aca="false">$E399*AD370</f>
        <v>0</v>
      </c>
      <c r="AE400" s="8" t="n">
        <f aca="false">$E399*AE370</f>
        <v>0</v>
      </c>
      <c r="AF400" s="8" t="n">
        <f aca="false">$E399*AF370</f>
        <v>0</v>
      </c>
      <c r="AG400" s="8" t="n">
        <f aca="false">$E399*AG370</f>
        <v>0</v>
      </c>
      <c r="AH400" s="8" t="n">
        <f aca="false">$E399*AH370</f>
        <v>0</v>
      </c>
      <c r="AI400" s="8" t="n">
        <f aca="false">$E399*AI370</f>
        <v>0</v>
      </c>
      <c r="AJ400" s="8" t="n">
        <f aca="false">$E399*AJ370</f>
        <v>0</v>
      </c>
      <c r="AK400" s="8" t="n">
        <f aca="false">$E399*AK370</f>
        <v>0</v>
      </c>
      <c r="AL400" s="8" t="n">
        <f aca="false">$E399*AL370</f>
        <v>0</v>
      </c>
      <c r="AM400" s="8" t="n">
        <f aca="false">$E399*AM370</f>
        <v>0</v>
      </c>
      <c r="AN400" s="8" t="n">
        <f aca="false">$E399*AN370</f>
        <v>0</v>
      </c>
      <c r="AO400" s="8" t="n">
        <f aca="false">$E399*AO370</f>
        <v>0</v>
      </c>
      <c r="AP400" s="8" t="n">
        <f aca="false">$E399*AP370</f>
        <v>0</v>
      </c>
      <c r="AQ400" s="8" t="n">
        <f aca="false">$E399*AQ370</f>
        <v>0</v>
      </c>
      <c r="AR400" s="8" t="n">
        <f aca="false">$E399*AR370</f>
        <v>0</v>
      </c>
      <c r="AS400" s="8" t="n">
        <f aca="false">$E399*AS370</f>
        <v>0</v>
      </c>
      <c r="AT400" s="8" t="n">
        <f aca="false">$E399*AT370</f>
        <v>0</v>
      </c>
      <c r="AU400" s="8" t="n">
        <f aca="false">$E399*AU370</f>
        <v>0</v>
      </c>
      <c r="AV400" s="8" t="n">
        <f aca="false">$E399*AV370</f>
        <v>0</v>
      </c>
      <c r="AW400" s="8" t="n">
        <f aca="false">$E399*AW370</f>
        <v>0</v>
      </c>
    </row>
    <row r="401" customFormat="false" ht="14.25" hidden="false" customHeight="false" outlineLevel="0" collapsed="false">
      <c r="C401" s="6" t="s">
        <v>326</v>
      </c>
      <c r="D401" s="2" t="s">
        <v>85</v>
      </c>
      <c r="H401" s="8" t="n">
        <f aca="false">SUM(J401:AW401)</f>
        <v>2200.09938199936</v>
      </c>
      <c r="J401" s="8" t="n">
        <f aca="false">(SUM($I400:I401)+J400*IDC_Draw_Share)*Debt_Rate*J370*$E369/Months_In_Year</f>
        <v>0</v>
      </c>
      <c r="K401" s="8" t="n">
        <f aca="false">(SUM($I400:J401)+K400*IDC_Draw_Share)*Debt_Rate*K370*$E369/Months_In_Year</f>
        <v>0</v>
      </c>
      <c r="L401" s="8" t="n">
        <f aca="false">(SUM($I400:K401)+L400*IDC_Draw_Share)*Debt_Rate*L370*$E369/Months_In_Year</f>
        <v>0</v>
      </c>
      <c r="M401" s="8" t="n">
        <f aca="false">(SUM($I400:L401)+M400*IDC_Draw_Share)*Debt_Rate*M370*$E369/Months_In_Year</f>
        <v>135.17237582363</v>
      </c>
      <c r="N401" s="8" t="n">
        <f aca="false">(SUM($I400:M401)+N400*IDC_Draw_Share)*Debt_Rate*N370*$E369/Months_In_Year</f>
        <v>1088.13762538022</v>
      </c>
      <c r="O401" s="8" t="n">
        <f aca="false">(SUM($I400:N401)+O400*IDC_Draw_Share)*Debt_Rate*O370*$E369/Months_In_Year</f>
        <v>976.789380795507</v>
      </c>
      <c r="P401" s="8" t="n">
        <f aca="false">(SUM($I400:O401)+P400*IDC_Draw_Share)*Debt_Rate*P370*$E369/Months_In_Year</f>
        <v>0</v>
      </c>
      <c r="Q401" s="8" t="n">
        <f aca="false">(SUM($I400:P401)+Q400*IDC_Draw_Share)*Debt_Rate*Q370*$E369/Months_In_Year</f>
        <v>0</v>
      </c>
      <c r="R401" s="8" t="n">
        <f aca="false">(SUM($I400:Q401)+R400*IDC_Draw_Share)*Debt_Rate*R370*$E369/Months_In_Year</f>
        <v>0</v>
      </c>
      <c r="S401" s="8" t="n">
        <f aca="false">(SUM($I400:R401)+S400*IDC_Draw_Share)*Debt_Rate*S370*$E369/Months_In_Year</f>
        <v>0</v>
      </c>
      <c r="T401" s="8" t="n">
        <f aca="false">(SUM($I400:S401)+T400*IDC_Draw_Share)*Debt_Rate*T370*$E369/Months_In_Year</f>
        <v>0</v>
      </c>
      <c r="U401" s="8" t="n">
        <f aca="false">(SUM($I400:T401)+U400*IDC_Draw_Share)*Debt_Rate*U370*$E369/Months_In_Year</f>
        <v>0</v>
      </c>
      <c r="V401" s="8" t="n">
        <f aca="false">(SUM($I400:U401)+V400*IDC_Draw_Share)*Debt_Rate*V370*$E369/Months_In_Year</f>
        <v>0</v>
      </c>
      <c r="W401" s="8" t="n">
        <f aca="false">(SUM($I400:V401)+W400*IDC_Draw_Share)*Debt_Rate*W370*$E369/Months_In_Year</f>
        <v>0</v>
      </c>
      <c r="X401" s="8" t="n">
        <f aca="false">(SUM($I400:W401)+X400*IDC_Draw_Share)*Debt_Rate*X370*$E369/Months_In_Year</f>
        <v>0</v>
      </c>
      <c r="Y401" s="8" t="n">
        <f aca="false">(SUM($I400:X401)+Y400*IDC_Draw_Share)*Debt_Rate*Y370*$E369/Months_In_Year</f>
        <v>0</v>
      </c>
      <c r="Z401" s="8" t="n">
        <f aca="false">(SUM($I400:Y401)+Z400*IDC_Draw_Share)*Debt_Rate*Z370*$E369/Months_In_Year</f>
        <v>0</v>
      </c>
      <c r="AA401" s="8" t="n">
        <f aca="false">(SUM($I400:Z401)+AA400*IDC_Draw_Share)*Debt_Rate*AA370*$E369/Months_In_Year</f>
        <v>0</v>
      </c>
      <c r="AB401" s="8" t="n">
        <f aca="false">(SUM($I400:AA401)+AB400*IDC_Draw_Share)*Debt_Rate*AB370*$E369/Months_In_Year</f>
        <v>0</v>
      </c>
      <c r="AC401" s="8" t="n">
        <f aca="false">(SUM($I400:AB401)+AC400*IDC_Draw_Share)*Debt_Rate*AC370*$E369/Months_In_Year</f>
        <v>0</v>
      </c>
      <c r="AD401" s="8" t="n">
        <f aca="false">(SUM($I400:AC401)+AD400*IDC_Draw_Share)*Debt_Rate*AD370*$E369/Months_In_Year</f>
        <v>0</v>
      </c>
      <c r="AE401" s="8" t="n">
        <f aca="false">(SUM($I400:AD401)+AE400*IDC_Draw_Share)*Debt_Rate*AE370*$E369/Months_In_Year</f>
        <v>0</v>
      </c>
      <c r="AF401" s="8" t="n">
        <f aca="false">(SUM($I400:AE401)+AF400*IDC_Draw_Share)*Debt_Rate*AF370*$E369/Months_In_Year</f>
        <v>0</v>
      </c>
      <c r="AG401" s="8" t="n">
        <f aca="false">(SUM($I400:AF401)+AG400*IDC_Draw_Share)*Debt_Rate*AG370*$E369/Months_In_Year</f>
        <v>0</v>
      </c>
      <c r="AH401" s="8" t="n">
        <f aca="false">(SUM($I400:AG401)+AH400*IDC_Draw_Share)*Debt_Rate*AH370*$E369/Months_In_Year</f>
        <v>0</v>
      </c>
      <c r="AI401" s="8" t="n">
        <f aca="false">(SUM($I400:AH401)+AI400*IDC_Draw_Share)*Debt_Rate*AI370*$E369/Months_In_Year</f>
        <v>0</v>
      </c>
      <c r="AJ401" s="8" t="n">
        <f aca="false">(SUM($I400:AI401)+AJ400*IDC_Draw_Share)*Debt_Rate*AJ370*$E369/Months_In_Year</f>
        <v>0</v>
      </c>
      <c r="AK401" s="8" t="n">
        <f aca="false">(SUM($I400:AJ401)+AK400*IDC_Draw_Share)*Debt_Rate*AK370*$E369/Months_In_Year</f>
        <v>0</v>
      </c>
      <c r="AL401" s="8" t="n">
        <f aca="false">(SUM($I400:AK401)+AL400*IDC_Draw_Share)*Debt_Rate*AL370*$E369/Months_In_Year</f>
        <v>0</v>
      </c>
      <c r="AM401" s="8" t="n">
        <f aca="false">(SUM($I400:AL401)+AM400*IDC_Draw_Share)*Debt_Rate*AM370*$E369/Months_In_Year</f>
        <v>0</v>
      </c>
      <c r="AN401" s="8" t="n">
        <f aca="false">(SUM($I400:AM401)+AN400*IDC_Draw_Share)*Debt_Rate*AN370*$E369/Months_In_Year</f>
        <v>0</v>
      </c>
      <c r="AO401" s="8" t="n">
        <f aca="false">(SUM($I400:AN401)+AO400*IDC_Draw_Share)*Debt_Rate*AO370*$E369/Months_In_Year</f>
        <v>0</v>
      </c>
      <c r="AP401" s="8" t="n">
        <f aca="false">(SUM($I400:AO401)+AP400*IDC_Draw_Share)*Debt_Rate*AP370*$E369/Months_In_Year</f>
        <v>0</v>
      </c>
      <c r="AQ401" s="8" t="n">
        <f aca="false">(SUM($I400:AP401)+AQ400*IDC_Draw_Share)*Debt_Rate*AQ370*$E369/Months_In_Year</f>
        <v>0</v>
      </c>
      <c r="AR401" s="8" t="n">
        <f aca="false">(SUM($I400:AQ401)+AR400*IDC_Draw_Share)*Debt_Rate*AR370*$E369/Months_In_Year</f>
        <v>0</v>
      </c>
      <c r="AS401" s="8" t="n">
        <f aca="false">(SUM($I400:AR401)+AS400*IDC_Draw_Share)*Debt_Rate*AS370*$E369/Months_In_Year</f>
        <v>0</v>
      </c>
      <c r="AT401" s="8" t="n">
        <f aca="false">(SUM($I400:AS401)+AT400*IDC_Draw_Share)*Debt_Rate*AT370*$E369/Months_In_Year</f>
        <v>0</v>
      </c>
      <c r="AU401" s="8" t="n">
        <f aca="false">(SUM($I400:AT401)+AU400*IDC_Draw_Share)*Debt_Rate*AU370*$E369/Months_In_Year</f>
        <v>0</v>
      </c>
      <c r="AV401" s="8" t="n">
        <f aca="false">(SUM($I400:AU401)+AV400*IDC_Draw_Share)*Debt_Rate*AV370*$E369/Months_In_Year</f>
        <v>0</v>
      </c>
      <c r="AW401" s="8" t="n">
        <f aca="false">(SUM($I400:AV401)+AW400*IDC_Draw_Share)*Debt_Rate*AW370*$E369/Months_In_Year</f>
        <v>0</v>
      </c>
    </row>
    <row r="402" customFormat="false" ht="14.25" hidden="false" customHeight="false" outlineLevel="0" collapsed="false">
      <c r="C402" s="6" t="s">
        <v>327</v>
      </c>
      <c r="D402" s="2" t="s">
        <v>85</v>
      </c>
      <c r="H402" s="8" t="n">
        <f aca="false">SUM(J402:AW402)</f>
        <v>-756.965304612329</v>
      </c>
      <c r="J402" s="8" t="n">
        <f aca="false">-$E399*Debt_Fee*(J370&gt;0)*(I370=0)</f>
        <v>-0</v>
      </c>
      <c r="K402" s="8" t="n">
        <f aca="false">-$E399*Debt_Fee*(K370&gt;0)*(J370=0)</f>
        <v>-0</v>
      </c>
      <c r="L402" s="8" t="n">
        <f aca="false">-$E399*Debt_Fee*(L370&gt;0)*(K370=0)</f>
        <v>-0</v>
      </c>
      <c r="M402" s="8" t="n">
        <f aca="false">-$E399*Debt_Fee*(M370&gt;0)*(L370=0)</f>
        <v>-756.965304612329</v>
      </c>
      <c r="N402" s="8" t="n">
        <f aca="false">-$E399*Debt_Fee*(N370&gt;0)*(M370=0)</f>
        <v>-0</v>
      </c>
      <c r="O402" s="8" t="n">
        <f aca="false">-$E399*Debt_Fee*(O370&gt;0)*(N370=0)</f>
        <v>-0</v>
      </c>
      <c r="P402" s="8" t="n">
        <f aca="false">-$E399*Debt_Fee*(P370&gt;0)*(O370=0)</f>
        <v>-0</v>
      </c>
      <c r="Q402" s="8" t="n">
        <f aca="false">-$E399*Debt_Fee*(Q370&gt;0)*(P370=0)</f>
        <v>-0</v>
      </c>
      <c r="R402" s="8" t="n">
        <f aca="false">-$E399*Debt_Fee*(R370&gt;0)*(Q370=0)</f>
        <v>-0</v>
      </c>
      <c r="S402" s="8" t="n">
        <f aca="false">-$E399*Debt_Fee*(S370&gt;0)*(R370=0)</f>
        <v>-0</v>
      </c>
      <c r="T402" s="8" t="n">
        <f aca="false">-$E399*Debt_Fee*(T370&gt;0)*(S370=0)</f>
        <v>-0</v>
      </c>
      <c r="U402" s="8" t="n">
        <f aca="false">-$E399*Debt_Fee*(U370&gt;0)*(T370=0)</f>
        <v>-0</v>
      </c>
      <c r="V402" s="8" t="n">
        <f aca="false">-$E399*Debt_Fee*(V370&gt;0)*(U370=0)</f>
        <v>-0</v>
      </c>
      <c r="W402" s="8" t="n">
        <f aca="false">-$E399*Debt_Fee*(W370&gt;0)*(V370=0)</f>
        <v>-0</v>
      </c>
      <c r="X402" s="8" t="n">
        <f aca="false">-$E399*Debt_Fee*(X370&gt;0)*(W370=0)</f>
        <v>-0</v>
      </c>
      <c r="Y402" s="8" t="n">
        <f aca="false">-$E399*Debt_Fee*(Y370&gt;0)*(X370=0)</f>
        <v>-0</v>
      </c>
      <c r="Z402" s="8" t="n">
        <f aca="false">-$E399*Debt_Fee*(Z370&gt;0)*(Y370=0)</f>
        <v>-0</v>
      </c>
      <c r="AA402" s="8" t="n">
        <f aca="false">-$E399*Debt_Fee*(AA370&gt;0)*(Z370=0)</f>
        <v>-0</v>
      </c>
      <c r="AB402" s="8" t="n">
        <f aca="false">-$E399*Debt_Fee*(AB370&gt;0)*(AA370=0)</f>
        <v>-0</v>
      </c>
      <c r="AC402" s="8" t="n">
        <f aca="false">-$E399*Debt_Fee*(AC370&gt;0)*(AB370=0)</f>
        <v>-0</v>
      </c>
      <c r="AD402" s="8" t="n">
        <f aca="false">-$E399*Debt_Fee*(AD370&gt;0)*(AC370=0)</f>
        <v>-0</v>
      </c>
      <c r="AE402" s="8" t="n">
        <f aca="false">-$E399*Debt_Fee*(AE370&gt;0)*(AD370=0)</f>
        <v>-0</v>
      </c>
      <c r="AF402" s="8" t="n">
        <f aca="false">-$E399*Debt_Fee*(AF370&gt;0)*(AE370=0)</f>
        <v>-0</v>
      </c>
      <c r="AG402" s="8" t="n">
        <f aca="false">-$E399*Debt_Fee*(AG370&gt;0)*(AF370=0)</f>
        <v>-0</v>
      </c>
      <c r="AH402" s="8" t="n">
        <f aca="false">-$E399*Debt_Fee*(AH370&gt;0)*(AG370=0)</f>
        <v>-0</v>
      </c>
      <c r="AI402" s="8" t="n">
        <f aca="false">-$E399*Debt_Fee*(AI370&gt;0)*(AH370=0)</f>
        <v>-0</v>
      </c>
      <c r="AJ402" s="8" t="n">
        <f aca="false">-$E399*Debt_Fee*(AJ370&gt;0)*(AI370=0)</f>
        <v>-0</v>
      </c>
      <c r="AK402" s="8" t="n">
        <f aca="false">-$E399*Debt_Fee*(AK370&gt;0)*(AJ370=0)</f>
        <v>-0</v>
      </c>
      <c r="AL402" s="8" t="n">
        <f aca="false">-$E399*Debt_Fee*(AL370&gt;0)*(AK370=0)</f>
        <v>-0</v>
      </c>
      <c r="AM402" s="8" t="n">
        <f aca="false">-$E399*Debt_Fee*(AM370&gt;0)*(AL370=0)</f>
        <v>-0</v>
      </c>
      <c r="AN402" s="8" t="n">
        <f aca="false">-$E399*Debt_Fee*(AN370&gt;0)*(AM370=0)</f>
        <v>-0</v>
      </c>
      <c r="AO402" s="8" t="n">
        <f aca="false">-$E399*Debt_Fee*(AO370&gt;0)*(AN370=0)</f>
        <v>-0</v>
      </c>
      <c r="AP402" s="8" t="n">
        <f aca="false">-$E399*Debt_Fee*(AP370&gt;0)*(AO370=0)</f>
        <v>-0</v>
      </c>
      <c r="AQ402" s="8" t="n">
        <f aca="false">-$E399*Debt_Fee*(AQ370&gt;0)*(AP370=0)</f>
        <v>-0</v>
      </c>
      <c r="AR402" s="8" t="n">
        <f aca="false">-$E399*Debt_Fee*(AR370&gt;0)*(AQ370=0)</f>
        <v>-0</v>
      </c>
      <c r="AS402" s="8" t="n">
        <f aca="false">-$E399*Debt_Fee*(AS370&gt;0)*(AR370=0)</f>
        <v>-0</v>
      </c>
      <c r="AT402" s="8" t="n">
        <f aca="false">-$E399*Debt_Fee*(AT370&gt;0)*(AS370=0)</f>
        <v>-0</v>
      </c>
      <c r="AU402" s="8" t="n">
        <f aca="false">-$E399*Debt_Fee*(AU370&gt;0)*(AT370=0)</f>
        <v>-0</v>
      </c>
      <c r="AV402" s="8" t="n">
        <f aca="false">-$E399*Debt_Fee*(AV370&gt;0)*(AU370=0)</f>
        <v>-0</v>
      </c>
      <c r="AW402" s="8" t="n">
        <f aca="false">-$E399*Debt_Fee*(AW370&gt;0)*(AV370=0)</f>
        <v>-0</v>
      </c>
    </row>
    <row r="403" customFormat="false" ht="14.25" hidden="false" customHeight="false" outlineLevel="0" collapsed="false">
      <c r="C403" s="6" t="s">
        <v>328</v>
      </c>
      <c r="D403" s="2" t="s">
        <v>85</v>
      </c>
      <c r="H403" s="8" t="n">
        <f aca="false">SUM(J403:AW403)</f>
        <v>-21370.0773174608</v>
      </c>
      <c r="J403" s="8" t="n">
        <f aca="false">-(I406+J400+J401)*Debt_Rate*J372</f>
        <v>-0</v>
      </c>
      <c r="K403" s="8" t="n">
        <f aca="false">-(J406+K400+K401)*Debt_Rate*K372</f>
        <v>-0</v>
      </c>
      <c r="L403" s="8" t="n">
        <f aca="false">-(K406+L400+L401)*Debt_Rate*L372</f>
        <v>-0</v>
      </c>
      <c r="M403" s="8" t="n">
        <f aca="false">-(L406+M400+M401)*Debt_Rate*M372</f>
        <v>-0</v>
      </c>
      <c r="N403" s="8" t="n">
        <f aca="false">-(M406+N400+N401)*Debt_Rate*N372</f>
        <v>-0</v>
      </c>
      <c r="O403" s="8" t="n">
        <f aca="false">-(N406+O400+O401)*Debt_Rate*O372</f>
        <v>-1136.38149113903</v>
      </c>
      <c r="P403" s="8" t="n">
        <f aca="false">-(O406+P400+P401)*Debt_Rate*P372</f>
        <v>-2272.76298227805</v>
      </c>
      <c r="Q403" s="8" t="n">
        <f aca="false">-(P406+Q400+Q401)*Debt_Rate*Q372</f>
        <v>-2167.43794648568</v>
      </c>
      <c r="R403" s="8" t="n">
        <f aca="false">-(Q406+R400+R401)*Debt_Rate*R372</f>
        <v>-2056.84665890368</v>
      </c>
      <c r="S403" s="8" t="n">
        <f aca="false">-(R406+S400+S401)*Debt_Rate*S372</f>
        <v>-1940.72580694259</v>
      </c>
      <c r="T403" s="8" t="n">
        <f aca="false">-(S406+T400+T401)*Debt_Rate*T372</f>
        <v>-1818.79891238345</v>
      </c>
      <c r="U403" s="8" t="n">
        <f aca="false">-(T406+U400+U401)*Debt_Rate*U372</f>
        <v>-1690.77567309634</v>
      </c>
      <c r="V403" s="8" t="n">
        <f aca="false">-(U406+V400+V401)*Debt_Rate*V372</f>
        <v>-1556.35127184488</v>
      </c>
      <c r="W403" s="8" t="n">
        <f aca="false">-(V406+W400+W401)*Debt_Rate*W372</f>
        <v>-1415.20565053085</v>
      </c>
      <c r="X403" s="8" t="n">
        <f aca="false">-(W406+X400+X401)*Debt_Rate*X372</f>
        <v>-1267.00274815112</v>
      </c>
      <c r="Y403" s="8" t="n">
        <f aca="false">-(X406+Y400+Y401)*Debt_Rate*Y372</f>
        <v>-1111.3897006524</v>
      </c>
      <c r="Z403" s="8" t="n">
        <f aca="false">-(Y406+Z400+Z401)*Debt_Rate*Z372</f>
        <v>-947.996000778743</v>
      </c>
      <c r="AA403" s="8" t="n">
        <f aca="false">-(Z406+AA400+AA401)*Debt_Rate*AA372</f>
        <v>-776.432615911404</v>
      </c>
      <c r="AB403" s="8" t="n">
        <f aca="false">-(AA406+AB400+AB401)*Debt_Rate*AB372</f>
        <v>-596.291061800699</v>
      </c>
      <c r="AC403" s="8" t="n">
        <f aca="false">-(AB406+AC400+AC401)*Debt_Rate*AC372</f>
        <v>-407.142429984458</v>
      </c>
      <c r="AD403" s="8" t="n">
        <f aca="false">-(AC406+AD400+AD401)*Debt_Rate*AD372</f>
        <v>-208.536366577405</v>
      </c>
      <c r="AE403" s="8" t="n">
        <f aca="false">-(AD406+AE400+AE401)*Debt_Rate*AE372</f>
        <v>1.09139364212751E-012</v>
      </c>
      <c r="AF403" s="8" t="n">
        <f aca="false">-(AE406+AF400+AF401)*Debt_Rate*AF372</f>
        <v>1.14596332423389E-012</v>
      </c>
      <c r="AG403" s="8" t="n">
        <f aca="false">-(AF406+AG400+AG401)*Debt_Rate*AG372</f>
        <v>1.20326149044558E-012</v>
      </c>
      <c r="AH403" s="8" t="n">
        <f aca="false">-(AG406+AH400+AH401)*Debt_Rate*AH372</f>
        <v>1.26342456496786E-012</v>
      </c>
      <c r="AI403" s="8" t="n">
        <f aca="false">-(AH406+AI400+AI401)*Debt_Rate*AI372</f>
        <v>1.32659579321626E-012</v>
      </c>
      <c r="AJ403" s="8" t="n">
        <f aca="false">-(AI406+AJ400+AJ401)*Debt_Rate*AJ372</f>
        <v>1.39292558287707E-012</v>
      </c>
      <c r="AK403" s="8" t="n">
        <f aca="false">-(AJ406+AK400+AK401)*Debt_Rate*AK372</f>
        <v>1.46257186202092E-012</v>
      </c>
      <c r="AL403" s="8" t="n">
        <f aca="false">-(AK406+AL400+AL401)*Debt_Rate*AL372</f>
        <v>1.53570045512197E-012</v>
      </c>
      <c r="AM403" s="8" t="n">
        <f aca="false">-(AL406+AM400+AM401)*Debt_Rate*AM372</f>
        <v>1.61248547787807E-012</v>
      </c>
      <c r="AN403" s="8" t="n">
        <f aca="false">-(AM406+AN400+AN401)*Debt_Rate*AN372</f>
        <v>1.69310975177197E-012</v>
      </c>
      <c r="AO403" s="8" t="n">
        <f aca="false">-(AN406+AO400+AO401)*Debt_Rate*AO372</f>
        <v>1.77776523936057E-012</v>
      </c>
      <c r="AP403" s="8" t="n">
        <f aca="false">-(AO406+AP400+AP401)*Debt_Rate*AP372</f>
        <v>1.8666535013286E-012</v>
      </c>
      <c r="AQ403" s="8" t="n">
        <f aca="false">-(AP406+AQ400+AQ401)*Debt_Rate*AQ372</f>
        <v>1.95998617639503E-012</v>
      </c>
      <c r="AR403" s="8" t="n">
        <f aca="false">-(AQ406+AR400+AR401)*Debt_Rate*AR372</f>
        <v>2.05798548521478E-012</v>
      </c>
      <c r="AS403" s="8" t="n">
        <f aca="false">-(AR406+AS400+AS401)*Debt_Rate*AS372</f>
        <v>1.08044237973776E-012</v>
      </c>
      <c r="AT403" s="8" t="n">
        <f aca="false">-(AS406+AT400+AT401)*Debt_Rate*AT372</f>
        <v>0</v>
      </c>
      <c r="AU403" s="8" t="n">
        <f aca="false">-(AT406+AU400+AU401)*Debt_Rate*AU372</f>
        <v>0</v>
      </c>
      <c r="AV403" s="8" t="n">
        <f aca="false">-(AU406+AV400+AV401)*Debt_Rate*AV372</f>
        <v>0</v>
      </c>
      <c r="AW403" s="8" t="n">
        <f aca="false">-(AV406+AW400+AW401)*Debt_Rate*AW372</f>
        <v>0</v>
      </c>
    </row>
    <row r="404" customFormat="false" ht="14.25" hidden="false" customHeight="false" outlineLevel="0" collapsed="false">
      <c r="C404" s="6" t="s">
        <v>329</v>
      </c>
      <c r="D404" s="2" t="s">
        <v>85</v>
      </c>
      <c r="H404" s="8" t="n">
        <f aca="false">SUM(J404:AW404)</f>
        <v>-66825.3369630218</v>
      </c>
      <c r="J404" s="8" t="n">
        <f aca="false">PMT(Debt_Rate,Debt_Tenor,$H400+$H401)*(J368&gt;=1)*(J368&lt;=Debt_Tenor)+J403*(J368=0)</f>
        <v>-0</v>
      </c>
      <c r="K404" s="8" t="n">
        <f aca="false">PMT(Debt_Rate,Debt_Tenor,$H400+$H401)*(K368&gt;=1)*(K368&lt;=Debt_Tenor)+K403*(K368=0)</f>
        <v>-0</v>
      </c>
      <c r="L404" s="8" t="n">
        <f aca="false">PMT(Debt_Rate,Debt_Tenor,$H400+$H401)*(L368&gt;=1)*(L368&lt;=Debt_Tenor)+L403*(L368=0)</f>
        <v>-0</v>
      </c>
      <c r="M404" s="8" t="n">
        <f aca="false">PMT(Debt_Rate,Debt_Tenor,$H400+$H401)*(M368&gt;=1)*(M368&lt;=Debt_Tenor)+M403*(M368=0)</f>
        <v>-0</v>
      </c>
      <c r="N404" s="8" t="n">
        <f aca="false">PMT(Debt_Rate,Debt_Tenor,$H400+$H401)*(N368&gt;=1)*(N368&lt;=Debt_Tenor)+N403*(N368=0)</f>
        <v>-0</v>
      </c>
      <c r="O404" s="8" t="n">
        <f aca="false">PMT(Debt_Rate,Debt_Tenor,$H400+$H401)*(O368&gt;=1)*(O368&lt;=Debt_Tenor)+O403*(O368=0)</f>
        <v>-1136.38149113903</v>
      </c>
      <c r="P404" s="8" t="n">
        <f aca="false">PMT(Debt_Rate,Debt_Tenor,$H400+$H401)*(P368&gt;=1)*(P368&lt;=Debt_Tenor)+P403*(P368=0)</f>
        <v>-4379.26369812552</v>
      </c>
      <c r="Q404" s="8" t="n">
        <f aca="false">PMT(Debt_Rate,Debt_Tenor,$H400+$H401)*(Q368&gt;=1)*(Q368&lt;=Debt_Tenor)+Q403*(Q368=0)</f>
        <v>-4379.26369812552</v>
      </c>
      <c r="R404" s="8" t="n">
        <f aca="false">PMT(Debt_Rate,Debt_Tenor,$H400+$H401)*(R368&gt;=1)*(R368&lt;=Debt_Tenor)+R403*(R368=0)</f>
        <v>-4379.26369812552</v>
      </c>
      <c r="S404" s="8" t="n">
        <f aca="false">PMT(Debt_Rate,Debt_Tenor,$H400+$H401)*(S368&gt;=1)*(S368&lt;=Debt_Tenor)+S403*(S368=0)</f>
        <v>-4379.26369812552</v>
      </c>
      <c r="T404" s="8" t="n">
        <f aca="false">PMT(Debt_Rate,Debt_Tenor,$H400+$H401)*(T368&gt;=1)*(T368&lt;=Debt_Tenor)+T403*(T368=0)</f>
        <v>-4379.26369812552</v>
      </c>
      <c r="U404" s="8" t="n">
        <f aca="false">PMT(Debt_Rate,Debt_Tenor,$H400+$H401)*(U368&gt;=1)*(U368&lt;=Debt_Tenor)+U403*(U368=0)</f>
        <v>-4379.26369812552</v>
      </c>
      <c r="V404" s="8" t="n">
        <f aca="false">PMT(Debt_Rate,Debt_Tenor,$H400+$H401)*(V368&gt;=1)*(V368&lt;=Debt_Tenor)+V403*(V368=0)</f>
        <v>-4379.26369812552</v>
      </c>
      <c r="W404" s="8" t="n">
        <f aca="false">PMT(Debt_Rate,Debt_Tenor,$H400+$H401)*(W368&gt;=1)*(W368&lt;=Debt_Tenor)+W403*(W368=0)</f>
        <v>-4379.26369812552</v>
      </c>
      <c r="X404" s="8" t="n">
        <f aca="false">PMT(Debt_Rate,Debt_Tenor,$H400+$H401)*(X368&gt;=1)*(X368&lt;=Debt_Tenor)+X403*(X368=0)</f>
        <v>-4379.26369812552</v>
      </c>
      <c r="Y404" s="8" t="n">
        <f aca="false">PMT(Debt_Rate,Debt_Tenor,$H400+$H401)*(Y368&gt;=1)*(Y368&lt;=Debt_Tenor)+Y403*(Y368=0)</f>
        <v>-4379.26369812552</v>
      </c>
      <c r="Z404" s="8" t="n">
        <f aca="false">PMT(Debt_Rate,Debt_Tenor,$H400+$H401)*(Z368&gt;=1)*(Z368&lt;=Debt_Tenor)+Z403*(Z368=0)</f>
        <v>-4379.26369812552</v>
      </c>
      <c r="AA404" s="8" t="n">
        <f aca="false">PMT(Debt_Rate,Debt_Tenor,$H400+$H401)*(AA368&gt;=1)*(AA368&lt;=Debt_Tenor)+AA403*(AA368=0)</f>
        <v>-4379.26369812552</v>
      </c>
      <c r="AB404" s="8" t="n">
        <f aca="false">PMT(Debt_Rate,Debt_Tenor,$H400+$H401)*(AB368&gt;=1)*(AB368&lt;=Debt_Tenor)+AB403*(AB368=0)</f>
        <v>-4379.26369812552</v>
      </c>
      <c r="AC404" s="8" t="n">
        <f aca="false">PMT(Debt_Rate,Debt_Tenor,$H400+$H401)*(AC368&gt;=1)*(AC368&lt;=Debt_Tenor)+AC403*(AC368=0)</f>
        <v>-4379.26369812552</v>
      </c>
      <c r="AD404" s="8" t="n">
        <f aca="false">PMT(Debt_Rate,Debt_Tenor,$H400+$H401)*(AD368&gt;=1)*(AD368&lt;=Debt_Tenor)+AD403*(AD368=0)</f>
        <v>-4379.26369812552</v>
      </c>
      <c r="AE404" s="8" t="n">
        <f aca="false">PMT(Debt_Rate,Debt_Tenor,$H400+$H401)*(AE368&gt;=1)*(AE368&lt;=Debt_Tenor)+AE403*(AE368=0)</f>
        <v>0</v>
      </c>
      <c r="AF404" s="8" t="n">
        <f aca="false">PMT(Debt_Rate,Debt_Tenor,$H400+$H401)*(AF368&gt;=1)*(AF368&lt;=Debt_Tenor)+AF403*(AF368=0)</f>
        <v>0</v>
      </c>
      <c r="AG404" s="8" t="n">
        <f aca="false">PMT(Debt_Rate,Debt_Tenor,$H400+$H401)*(AG368&gt;=1)*(AG368&lt;=Debt_Tenor)+AG403*(AG368=0)</f>
        <v>0</v>
      </c>
      <c r="AH404" s="8" t="n">
        <f aca="false">PMT(Debt_Rate,Debt_Tenor,$H400+$H401)*(AH368&gt;=1)*(AH368&lt;=Debt_Tenor)+AH403*(AH368=0)</f>
        <v>0</v>
      </c>
      <c r="AI404" s="8" t="n">
        <f aca="false">PMT(Debt_Rate,Debt_Tenor,$H400+$H401)*(AI368&gt;=1)*(AI368&lt;=Debt_Tenor)+AI403*(AI368=0)</f>
        <v>0</v>
      </c>
      <c r="AJ404" s="8" t="n">
        <f aca="false">PMT(Debt_Rate,Debt_Tenor,$H400+$H401)*(AJ368&gt;=1)*(AJ368&lt;=Debt_Tenor)+AJ403*(AJ368=0)</f>
        <v>0</v>
      </c>
      <c r="AK404" s="8" t="n">
        <f aca="false">PMT(Debt_Rate,Debt_Tenor,$H400+$H401)*(AK368&gt;=1)*(AK368&lt;=Debt_Tenor)+AK403*(AK368=0)</f>
        <v>0</v>
      </c>
      <c r="AL404" s="8" t="n">
        <f aca="false">PMT(Debt_Rate,Debt_Tenor,$H400+$H401)*(AL368&gt;=1)*(AL368&lt;=Debt_Tenor)+AL403*(AL368=0)</f>
        <v>0</v>
      </c>
      <c r="AM404" s="8" t="n">
        <f aca="false">PMT(Debt_Rate,Debt_Tenor,$H400+$H401)*(AM368&gt;=1)*(AM368&lt;=Debt_Tenor)+AM403*(AM368=0)</f>
        <v>0</v>
      </c>
      <c r="AN404" s="8" t="n">
        <f aca="false">PMT(Debt_Rate,Debt_Tenor,$H400+$H401)*(AN368&gt;=1)*(AN368&lt;=Debt_Tenor)+AN403*(AN368=0)</f>
        <v>0</v>
      </c>
      <c r="AO404" s="8" t="n">
        <f aca="false">PMT(Debt_Rate,Debt_Tenor,$H400+$H401)*(AO368&gt;=1)*(AO368&lt;=Debt_Tenor)+AO403*(AO368=0)</f>
        <v>0</v>
      </c>
      <c r="AP404" s="8" t="n">
        <f aca="false">PMT(Debt_Rate,Debt_Tenor,$H400+$H401)*(AP368&gt;=1)*(AP368&lt;=Debt_Tenor)+AP403*(AP368=0)</f>
        <v>0</v>
      </c>
      <c r="AQ404" s="8" t="n">
        <f aca="false">PMT(Debt_Rate,Debt_Tenor,$H400+$H401)*(AQ368&gt;=1)*(AQ368&lt;=Debt_Tenor)+AQ403*(AQ368=0)</f>
        <v>0</v>
      </c>
      <c r="AR404" s="8" t="n">
        <f aca="false">PMT(Debt_Rate,Debt_Tenor,$H400+$H401)*(AR368&gt;=1)*(AR368&lt;=Debt_Tenor)+AR403*(AR368=0)</f>
        <v>0</v>
      </c>
      <c r="AS404" s="8" t="n">
        <f aca="false">PMT(Debt_Rate,Debt_Tenor,$H400+$H401)*(AS368&gt;=1)*(AS368&lt;=Debt_Tenor)+AS403*(AS368=0)</f>
        <v>0</v>
      </c>
      <c r="AT404" s="8" t="n">
        <f aca="false">PMT(Debt_Rate,Debt_Tenor,$H400+$H401)*(AT368&gt;=1)*(AT368&lt;=Debt_Tenor)+AT403*(AT368=0)</f>
        <v>0</v>
      </c>
      <c r="AU404" s="8" t="n">
        <f aca="false">PMT(Debt_Rate,Debt_Tenor,$H400+$H401)*(AU368&gt;=1)*(AU368&lt;=Debt_Tenor)+AU403*(AU368=0)</f>
        <v>0</v>
      </c>
      <c r="AV404" s="8" t="n">
        <f aca="false">PMT(Debt_Rate,Debt_Tenor,$H400+$H401)*(AV368&gt;=1)*(AV368&lt;=Debt_Tenor)+AV403*(AV368=0)</f>
        <v>0</v>
      </c>
      <c r="AW404" s="8" t="n">
        <f aca="false">PMT(Debt_Rate,Debt_Tenor,$H400+$H401)*(AW368&gt;=1)*(AW368&lt;=Debt_Tenor)+AW403*(AW368=0)</f>
        <v>0</v>
      </c>
    </row>
    <row r="405" customFormat="false" ht="14.25" hidden="false" customHeight="false" outlineLevel="0" collapsed="false">
      <c r="C405" s="6" t="s">
        <v>330</v>
      </c>
      <c r="D405" s="2" t="s">
        <v>85</v>
      </c>
      <c r="H405" s="8" t="n">
        <f aca="false">SUM(J405:AW405)</f>
        <v>-45455.259645561</v>
      </c>
      <c r="J405" s="8" t="n">
        <f aca="false">J404-J403</f>
        <v>0</v>
      </c>
      <c r="K405" s="8" t="n">
        <f aca="false">K404-K403</f>
        <v>0</v>
      </c>
      <c r="L405" s="8" t="n">
        <f aca="false">L404-L403</f>
        <v>0</v>
      </c>
      <c r="M405" s="8" t="n">
        <f aca="false">M404-M403</f>
        <v>0</v>
      </c>
      <c r="N405" s="8" t="n">
        <f aca="false">N404-N403</f>
        <v>0</v>
      </c>
      <c r="O405" s="8" t="n">
        <f aca="false">O404-O403</f>
        <v>0</v>
      </c>
      <c r="P405" s="8" t="n">
        <f aca="false">P404-P403</f>
        <v>-2106.50071584747</v>
      </c>
      <c r="Q405" s="8" t="n">
        <f aca="false">Q404-Q403</f>
        <v>-2211.82575163984</v>
      </c>
      <c r="R405" s="8" t="n">
        <f aca="false">R404-R403</f>
        <v>-2322.41703922183</v>
      </c>
      <c r="S405" s="8" t="n">
        <f aca="false">S404-S403</f>
        <v>-2438.53789118293</v>
      </c>
      <c r="T405" s="8" t="n">
        <f aca="false">T404-T403</f>
        <v>-2560.46478574207</v>
      </c>
      <c r="U405" s="8" t="n">
        <f aca="false">U404-U403</f>
        <v>-2688.48802502917</v>
      </c>
      <c r="V405" s="8" t="n">
        <f aca="false">V404-V403</f>
        <v>-2822.91242628063</v>
      </c>
      <c r="W405" s="8" t="n">
        <f aca="false">W404-W403</f>
        <v>-2964.05804759467</v>
      </c>
      <c r="X405" s="8" t="n">
        <f aca="false">X404-X403</f>
        <v>-3112.2609499744</v>
      </c>
      <c r="Y405" s="8" t="n">
        <f aca="false">Y404-Y403</f>
        <v>-3267.87399747312</v>
      </c>
      <c r="Z405" s="8" t="n">
        <f aca="false">Z404-Z403</f>
        <v>-3431.26769734677</v>
      </c>
      <c r="AA405" s="8" t="n">
        <f aca="false">AA404-AA403</f>
        <v>-3602.83108221411</v>
      </c>
      <c r="AB405" s="8" t="n">
        <f aca="false">AB404-AB403</f>
        <v>-3782.97263632482</v>
      </c>
      <c r="AC405" s="8" t="n">
        <f aca="false">AC404-AC403</f>
        <v>-3972.12126814106</v>
      </c>
      <c r="AD405" s="8" t="n">
        <f aca="false">AD404-AD403</f>
        <v>-4170.72733154811</v>
      </c>
      <c r="AE405" s="8" t="n">
        <f aca="false">AE404-AE403</f>
        <v>-1.09139364212751E-012</v>
      </c>
      <c r="AF405" s="8" t="n">
        <f aca="false">AF404-AF403</f>
        <v>-1.14596332423389E-012</v>
      </c>
      <c r="AG405" s="8" t="n">
        <f aca="false">AG404-AG403</f>
        <v>-1.20326149044558E-012</v>
      </c>
      <c r="AH405" s="8" t="n">
        <f aca="false">AH404-AH403</f>
        <v>-1.26342456496786E-012</v>
      </c>
      <c r="AI405" s="8" t="n">
        <f aca="false">AI404-AI403</f>
        <v>-1.32659579321626E-012</v>
      </c>
      <c r="AJ405" s="8" t="n">
        <f aca="false">AJ404-AJ403</f>
        <v>-1.39292558287707E-012</v>
      </c>
      <c r="AK405" s="8" t="n">
        <f aca="false">AK404-AK403</f>
        <v>-1.46257186202092E-012</v>
      </c>
      <c r="AL405" s="8" t="n">
        <f aca="false">AL404-AL403</f>
        <v>-1.53570045512197E-012</v>
      </c>
      <c r="AM405" s="8" t="n">
        <f aca="false">AM404-AM403</f>
        <v>-1.61248547787807E-012</v>
      </c>
      <c r="AN405" s="8" t="n">
        <f aca="false">AN404-AN403</f>
        <v>-1.69310975177197E-012</v>
      </c>
      <c r="AO405" s="8" t="n">
        <f aca="false">AO404-AO403</f>
        <v>-1.77776523936057E-012</v>
      </c>
      <c r="AP405" s="8" t="n">
        <f aca="false">AP404-AP403</f>
        <v>-1.8666535013286E-012</v>
      </c>
      <c r="AQ405" s="8" t="n">
        <f aca="false">AQ404-AQ403</f>
        <v>-1.95998617639503E-012</v>
      </c>
      <c r="AR405" s="8" t="n">
        <f aca="false">AR404-AR403</f>
        <v>-2.05798548521478E-012</v>
      </c>
      <c r="AS405" s="8" t="n">
        <f aca="false">AS404-AS403</f>
        <v>-1.08044237973776E-012</v>
      </c>
      <c r="AT405" s="8" t="n">
        <f aca="false">AT404-AT403</f>
        <v>0</v>
      </c>
      <c r="AU405" s="8" t="n">
        <f aca="false">AU404-AU403</f>
        <v>0</v>
      </c>
      <c r="AV405" s="8" t="n">
        <f aca="false">AV404-AV403</f>
        <v>0</v>
      </c>
      <c r="AW405" s="8" t="n">
        <f aca="false">AW404-AW403</f>
        <v>0</v>
      </c>
    </row>
    <row r="406" customFormat="false" ht="14.25" hidden="false" customHeight="false" outlineLevel="0" collapsed="false">
      <c r="C406" s="6" t="s">
        <v>331</v>
      </c>
      <c r="D406" s="2" t="s">
        <v>85</v>
      </c>
      <c r="H406" s="8"/>
      <c r="J406" s="8" t="n">
        <f aca="false">I406+J400+J401+J405</f>
        <v>0</v>
      </c>
      <c r="K406" s="8" t="n">
        <f aca="false">J406+K400+K401+K405</f>
        <v>0</v>
      </c>
      <c r="L406" s="8" t="n">
        <f aca="false">K406+L400+L401+L405</f>
        <v>0</v>
      </c>
      <c r="M406" s="8" t="n">
        <f aca="false">L406+M400+M401+M405</f>
        <v>10948.962441714</v>
      </c>
      <c r="N406" s="8" t="n">
        <f aca="false">M406+N400+N401+N405</f>
        <v>33664.6801988751</v>
      </c>
      <c r="O406" s="8" t="n">
        <f aca="false">N406+O400+O401+O405</f>
        <v>45455.259645561</v>
      </c>
      <c r="P406" s="8" t="n">
        <f aca="false">O406+P400+P401+P405</f>
        <v>43348.7589297135</v>
      </c>
      <c r="Q406" s="8" t="n">
        <f aca="false">P406+Q400+Q401+Q405</f>
        <v>41136.9331780737</v>
      </c>
      <c r="R406" s="8" t="n">
        <f aca="false">Q406+R400+R401+R405</f>
        <v>38814.5161388518</v>
      </c>
      <c r="S406" s="8" t="n">
        <f aca="false">R406+S400+S401+S405</f>
        <v>36375.9782476689</v>
      </c>
      <c r="T406" s="8" t="n">
        <f aca="false">S406+T400+T401+T405</f>
        <v>33815.5134619269</v>
      </c>
      <c r="U406" s="8" t="n">
        <f aca="false">T406+U400+U401+U405</f>
        <v>31127.0254368977</v>
      </c>
      <c r="V406" s="8" t="n">
        <f aca="false">U406+V400+V401+V405</f>
        <v>28304.113010617</v>
      </c>
      <c r="W406" s="8" t="n">
        <f aca="false">V406+W400+W401+W405</f>
        <v>25340.0549630224</v>
      </c>
      <c r="X406" s="8" t="n">
        <f aca="false">W406+X400+X401+X405</f>
        <v>22227.794013048</v>
      </c>
      <c r="Y406" s="8" t="n">
        <f aca="false">X406+Y400+Y401+Y405</f>
        <v>18959.9200155749</v>
      </c>
      <c r="Z406" s="8" t="n">
        <f aca="false">Y406+Z400+Z401+Z405</f>
        <v>15528.6523182281</v>
      </c>
      <c r="AA406" s="8" t="n">
        <f aca="false">Z406+AA400+AA401+AA405</f>
        <v>11925.821236014</v>
      </c>
      <c r="AB406" s="8" t="n">
        <f aca="false">AA406+AB400+AB401+AB405</f>
        <v>8142.84859968915</v>
      </c>
      <c r="AC406" s="8" t="n">
        <f aca="false">AB406+AC400+AC401+AC405</f>
        <v>4170.72733154809</v>
      </c>
      <c r="AD406" s="8" t="n">
        <f aca="false">AC406+AD400+AD401+AD405</f>
        <v>-2.18278728425503E-011</v>
      </c>
      <c r="AE406" s="8" t="n">
        <f aca="false">AD406+AE400+AE401+AE405</f>
        <v>-2.29192664846778E-011</v>
      </c>
      <c r="AF406" s="8" t="n">
        <f aca="false">AE406+AF400+AF401+AF405</f>
        <v>-2.40652298089117E-011</v>
      </c>
      <c r="AG406" s="8" t="n">
        <f aca="false">AF406+AG400+AG401+AG405</f>
        <v>-2.52684912993573E-011</v>
      </c>
      <c r="AH406" s="8" t="n">
        <f aca="false">AG406+AH400+AH401+AH405</f>
        <v>-2.65319158643251E-011</v>
      </c>
      <c r="AI406" s="8" t="n">
        <f aca="false">AH406+AI400+AI401+AI405</f>
        <v>-2.78585116575414E-011</v>
      </c>
      <c r="AJ406" s="8" t="n">
        <f aca="false">AI406+AJ400+AJ401+AJ405</f>
        <v>-2.92514372404185E-011</v>
      </c>
      <c r="AK406" s="8" t="n">
        <f aca="false">AJ406+AK400+AK401+AK405</f>
        <v>-3.07140091024394E-011</v>
      </c>
      <c r="AL406" s="8" t="n">
        <f aca="false">AK406+AL400+AL401+AL405</f>
        <v>-3.22497095575613E-011</v>
      </c>
      <c r="AM406" s="8" t="n">
        <f aca="false">AL406+AM400+AM401+AM405</f>
        <v>-3.38621950354394E-011</v>
      </c>
      <c r="AN406" s="8" t="n">
        <f aca="false">AM406+AN400+AN401+AN405</f>
        <v>-3.55553047872114E-011</v>
      </c>
      <c r="AO406" s="8" t="n">
        <f aca="false">AN406+AO400+AO401+AO405</f>
        <v>-3.7333070026572E-011</v>
      </c>
      <c r="AP406" s="8" t="n">
        <f aca="false">AO406+AP400+AP401+AP405</f>
        <v>-3.91997235279006E-011</v>
      </c>
      <c r="AQ406" s="8" t="n">
        <f aca="false">AP406+AQ400+AQ401+AQ405</f>
        <v>-4.11597097042956E-011</v>
      </c>
      <c r="AR406" s="8" t="n">
        <f aca="false">AQ406+AR400+AR401+AR405</f>
        <v>-4.32176951895104E-011</v>
      </c>
      <c r="AS406" s="8" t="n">
        <f aca="false">AR406+AS400+AS401+AS405</f>
        <v>-4.42981375692481E-011</v>
      </c>
      <c r="AT406" s="8" t="n">
        <f aca="false">AS406+AT400+AT401+AT405</f>
        <v>-4.42981375692481E-011</v>
      </c>
      <c r="AU406" s="8" t="n">
        <f aca="false">AT406+AU400+AU401+AU405</f>
        <v>-4.42981375692481E-011</v>
      </c>
      <c r="AV406" s="8" t="n">
        <f aca="false">AU406+AV400+AV401+AV405</f>
        <v>-4.42981375692481E-011</v>
      </c>
      <c r="AW406" s="8" t="n">
        <f aca="false">AV406+AW400+AW401+AW405</f>
        <v>-4.42981375692481E-011</v>
      </c>
    </row>
    <row r="407" customFormat="false" ht="14.25" hidden="false" customHeight="false" outlineLevel="0" collapsed="false">
      <c r="C407" s="6" t="s">
        <v>332</v>
      </c>
      <c r="D407" s="2" t="s">
        <v>85</v>
      </c>
      <c r="H407" s="8" t="n">
        <f aca="false">SUM(J407:AW407)</f>
        <v>-2200.09938199936</v>
      </c>
      <c r="J407" s="8" t="n">
        <f aca="false">-$H401/Tax_Dep_Life*J394</f>
        <v>-0</v>
      </c>
      <c r="K407" s="8" t="n">
        <f aca="false">-$H401/Tax_Dep_Life*K394</f>
        <v>-0</v>
      </c>
      <c r="L407" s="8" t="n">
        <f aca="false">-$H401/Tax_Dep_Life*L394</f>
        <v>-0</v>
      </c>
      <c r="M407" s="8" t="n">
        <f aca="false">-$H401/Tax_Dep_Life*M394</f>
        <v>-0</v>
      </c>
      <c r="N407" s="8" t="n">
        <f aca="false">-$H401/Tax_Dep_Life*N394</f>
        <v>-0</v>
      </c>
      <c r="O407" s="8" t="n">
        <f aca="false">-$H401/Tax_Dep_Life*O394</f>
        <v>-55.002484549984</v>
      </c>
      <c r="P407" s="8" t="n">
        <f aca="false">-$H401/Tax_Dep_Life*P394</f>
        <v>-110.004969099968</v>
      </c>
      <c r="Q407" s="8" t="n">
        <f aca="false">-$H401/Tax_Dep_Life*Q394</f>
        <v>-110.004969099968</v>
      </c>
      <c r="R407" s="8" t="n">
        <f aca="false">-$H401/Tax_Dep_Life*R394</f>
        <v>-110.004969099968</v>
      </c>
      <c r="S407" s="8" t="n">
        <f aca="false">-$H401/Tax_Dep_Life*S394</f>
        <v>-110.004969099968</v>
      </c>
      <c r="T407" s="8" t="n">
        <f aca="false">-$H401/Tax_Dep_Life*T394</f>
        <v>-110.004969099968</v>
      </c>
      <c r="U407" s="8" t="n">
        <f aca="false">-$H401/Tax_Dep_Life*U394</f>
        <v>-110.004969099968</v>
      </c>
      <c r="V407" s="8" t="n">
        <f aca="false">-$H401/Tax_Dep_Life*V394</f>
        <v>-110.004969099968</v>
      </c>
      <c r="W407" s="8" t="n">
        <f aca="false">-$H401/Tax_Dep_Life*W394</f>
        <v>-110.004969099968</v>
      </c>
      <c r="X407" s="8" t="n">
        <f aca="false">-$H401/Tax_Dep_Life*X394</f>
        <v>-110.004969099968</v>
      </c>
      <c r="Y407" s="8" t="n">
        <f aca="false">-$H401/Tax_Dep_Life*Y394</f>
        <v>-110.004969099968</v>
      </c>
      <c r="Z407" s="8" t="n">
        <f aca="false">-$H401/Tax_Dep_Life*Z394</f>
        <v>-110.004969099968</v>
      </c>
      <c r="AA407" s="8" t="n">
        <f aca="false">-$H401/Tax_Dep_Life*AA394</f>
        <v>-110.004969099968</v>
      </c>
      <c r="AB407" s="8" t="n">
        <f aca="false">-$H401/Tax_Dep_Life*AB394</f>
        <v>-110.004969099968</v>
      </c>
      <c r="AC407" s="8" t="n">
        <f aca="false">-$H401/Tax_Dep_Life*AC394</f>
        <v>-110.004969099968</v>
      </c>
      <c r="AD407" s="8" t="n">
        <f aca="false">-$H401/Tax_Dep_Life*AD394</f>
        <v>-110.004969099968</v>
      </c>
      <c r="AE407" s="8" t="n">
        <f aca="false">-$H401/Tax_Dep_Life*AE394</f>
        <v>-110.004969099968</v>
      </c>
      <c r="AF407" s="8" t="n">
        <f aca="false">-$H401/Tax_Dep_Life*AF394</f>
        <v>-110.004969099968</v>
      </c>
      <c r="AG407" s="8" t="n">
        <f aca="false">-$H401/Tax_Dep_Life*AG394</f>
        <v>-110.004969099968</v>
      </c>
      <c r="AH407" s="8" t="n">
        <f aca="false">-$H401/Tax_Dep_Life*AH394</f>
        <v>-110.004969099968</v>
      </c>
      <c r="AI407" s="8" t="n">
        <f aca="false">-$H401/Tax_Dep_Life*AI394</f>
        <v>-55.002484549984</v>
      </c>
      <c r="AJ407" s="8" t="n">
        <f aca="false">-$H401/Tax_Dep_Life*AJ394</f>
        <v>-0</v>
      </c>
      <c r="AK407" s="8" t="n">
        <f aca="false">-$H401/Tax_Dep_Life*AK394</f>
        <v>-0</v>
      </c>
      <c r="AL407" s="8" t="n">
        <f aca="false">-$H401/Tax_Dep_Life*AL394</f>
        <v>-0</v>
      </c>
      <c r="AM407" s="8" t="n">
        <f aca="false">-$H401/Tax_Dep_Life*AM394</f>
        <v>-0</v>
      </c>
      <c r="AN407" s="8" t="n">
        <f aca="false">-$H401/Tax_Dep_Life*AN394</f>
        <v>-0</v>
      </c>
      <c r="AO407" s="8" t="n">
        <f aca="false">-$H401/Tax_Dep_Life*AO394</f>
        <v>-0</v>
      </c>
      <c r="AP407" s="8" t="n">
        <f aca="false">-$H401/Tax_Dep_Life*AP394</f>
        <v>-0</v>
      </c>
      <c r="AQ407" s="8" t="n">
        <f aca="false">-$H401/Tax_Dep_Life*AQ394</f>
        <v>-0</v>
      </c>
      <c r="AR407" s="8" t="n">
        <f aca="false">-$H401/Tax_Dep_Life*AR394</f>
        <v>-0</v>
      </c>
      <c r="AS407" s="8" t="n">
        <f aca="false">-$H401/Tax_Dep_Life*AS394</f>
        <v>-0</v>
      </c>
      <c r="AT407" s="8" t="n">
        <f aca="false">-$H401/Tax_Dep_Life*AT394</f>
        <v>-0</v>
      </c>
      <c r="AU407" s="8" t="n">
        <f aca="false">-$H401/Tax_Dep_Life*AU394</f>
        <v>-0</v>
      </c>
      <c r="AV407" s="8" t="n">
        <f aca="false">-$H401/Tax_Dep_Life*AV394</f>
        <v>-0</v>
      </c>
      <c r="AW407" s="8" t="n">
        <f aca="false">-$H401/Tax_Dep_Life*AW394</f>
        <v>-0</v>
      </c>
    </row>
    <row r="408" customFormat="false" ht="14.25" hidden="false" customHeight="false" outlineLevel="0" collapsed="false">
      <c r="C408" s="6" t="s">
        <v>333</v>
      </c>
      <c r="D408" s="2" t="s">
        <v>85</v>
      </c>
      <c r="H408" s="8" t="n">
        <f aca="false">SUM(J408:AW408)</f>
        <v>-28989.4429051373</v>
      </c>
      <c r="J408" s="8" t="n">
        <f aca="false">-MAX(0,J392+J396+J407+J403+J402)*CIT_Rate</f>
        <v>-0</v>
      </c>
      <c r="K408" s="8" t="n">
        <f aca="false">-MAX(0,K392+K396+K407+K403+K402)*CIT_Rate</f>
        <v>-0</v>
      </c>
      <c r="L408" s="8" t="n">
        <f aca="false">-MAX(0,L392+L396+L407+L403+L402)*CIT_Rate</f>
        <v>-0</v>
      </c>
      <c r="M408" s="8" t="n">
        <f aca="false">-MAX(0,M392+M396+M407+M403+M402)*CIT_Rate</f>
        <v>-0</v>
      </c>
      <c r="N408" s="8" t="n">
        <f aca="false">-MAX(0,N392+N396+N407+N403+N402)*CIT_Rate</f>
        <v>-0</v>
      </c>
      <c r="O408" s="8" t="n">
        <f aca="false">-MAX(0,O392+O396+O407+O403+O402)*CIT_Rate</f>
        <v>-259.459634220621</v>
      </c>
      <c r="P408" s="8" t="n">
        <f aca="false">-MAX(0,P392+P396+P407+P403+P402)*CIT_Rate</f>
        <v>-527.740672207243</v>
      </c>
      <c r="Q408" s="8" t="n">
        <f aca="false">-MAX(0,Q392+Q396+Q407+Q403+Q402)*CIT_Rate</f>
        <v>-547.508074876712</v>
      </c>
      <c r="R408" s="8" t="n">
        <f aca="false">-MAX(0,R392+R396+R407+R403+R402)*CIT_Rate</f>
        <v>-567.958496374503</v>
      </c>
      <c r="S408" s="8" t="n">
        <f aca="false">-MAX(0,S392+S396+S407+S403+S402)*CIT_Rate</f>
        <v>-589.127427219474</v>
      </c>
      <c r="T408" s="8" t="n">
        <f aca="false">-MAX(0,T392+T396+T407+T403+T402)*CIT_Rate</f>
        <v>-611.052225588193</v>
      </c>
      <c r="U408" s="8" t="n">
        <f aca="false">-MAX(0,U392+U396+U407+U403+U402)*CIT_Rate</f>
        <v>-633.772213378191</v>
      </c>
      <c r="V408" s="8" t="n">
        <f aca="false">-MAX(0,V392+V396+V407+V403+V402)*CIT_Rate</f>
        <v>-657.328777142457</v>
      </c>
      <c r="W408" s="8" t="n">
        <f aca="false">-MAX(0,W392+W396+W407+W403+W402)*CIT_Rate</f>
        <v>-681.765474140401</v>
      </c>
      <c r="X408" s="8" t="n">
        <f aca="false">-MAX(0,X392+X396+X407+X403+X402)*CIT_Rate</f>
        <v>-707.128143762829</v>
      </c>
      <c r="Y408" s="8" t="n">
        <f aca="false">-MAX(0,Y392+Y396+Y407+Y403+Y402)*CIT_Rate</f>
        <v>-733.465024601401</v>
      </c>
      <c r="Z408" s="8" t="n">
        <f aca="false">-MAX(0,Z392+Z396+Z407+Z403+Z402)*CIT_Rate</f>
        <v>-760.826877446591</v>
      </c>
      <c r="AA408" s="8" t="n">
        <f aca="false">-MAX(0,AA392+AA396+AA407+AA403+AA402)*CIT_Rate</f>
        <v>-789.267114512426</v>
      </c>
      <c r="AB408" s="8" t="n">
        <f aca="false">-MAX(0,AB392+AB396+AB407+AB403+AB402)*CIT_Rate</f>
        <v>-818.841935201243</v>
      </c>
      <c r="AC408" s="8" t="n">
        <f aca="false">-MAX(0,AC392+AC396+AC407+AC403+AC402)*CIT_Rate</f>
        <v>-849.6104687374</v>
      </c>
      <c r="AD408" s="8" t="n">
        <f aca="false">-MAX(0,AD392+AD396+AD407+AD403+AD402)*CIT_Rate</f>
        <v>-881.634924015378</v>
      </c>
      <c r="AE408" s="8" t="n">
        <f aca="false">-MAX(0,AE392+AE396+AE407+AE403+AE402)*CIT_Rate</f>
        <v>-914.980747025034</v>
      </c>
      <c r="AF408" s="8" t="n">
        <f aca="false">-MAX(0,AF392+AF396+AF407+AF403+AF402)*CIT_Rate</f>
        <v>-916.872308498997</v>
      </c>
      <c r="AG408" s="8" t="n">
        <f aca="false">-MAX(0,AG392+AG396+AG407+AG403+AG402)*CIT_Rate</f>
        <v>-918.584286975185</v>
      </c>
      <c r="AH408" s="8" t="n">
        <f aca="false">-MAX(0,AH392+AH396+AH407+AH403+AH402)*CIT_Rate</f>
        <v>-920.110754687941</v>
      </c>
      <c r="AI408" s="8" t="n">
        <f aca="false">-MAX(0,AI392+AI396+AI407+AI403+AI402)*CIT_Rate</f>
        <v>-1171.51149669943</v>
      </c>
      <c r="AJ408" s="8" t="n">
        <f aca="false">-MAX(0,AJ392+AJ396+AJ407+AJ403+AJ402)*CIT_Rate</f>
        <v>-1422.71440331785</v>
      </c>
      <c r="AK408" s="8" t="n">
        <f aca="false">-MAX(0,AK392+AK396+AK407+AK403+AK402)*CIT_Rate</f>
        <v>-1423.64720196349</v>
      </c>
      <c r="AL408" s="8" t="n">
        <f aca="false">-MAX(0,AL392+AL396+AL407+AL403+AL402)*CIT_Rate</f>
        <v>-1424.36918893773</v>
      </c>
      <c r="AM408" s="8" t="n">
        <f aca="false">-MAX(0,AM392+AM396+AM407+AM403+AM402)*CIT_Rate</f>
        <v>-1424.87362154996</v>
      </c>
      <c r="AN408" s="8" t="n">
        <f aca="false">-MAX(0,AN392+AN396+AN407+AN403+AN402)*CIT_Rate</f>
        <v>-1425.15358177669</v>
      </c>
      <c r="AO408" s="8" t="n">
        <f aca="false">-MAX(0,AO392+AO396+AO407+AO403+AO402)*CIT_Rate</f>
        <v>-1425.20197190776</v>
      </c>
      <c r="AP408" s="8" t="n">
        <f aca="false">-MAX(0,AP392+AP396+AP407+AP403+AP402)*CIT_Rate</f>
        <v>-1425.01151008556</v>
      </c>
      <c r="AQ408" s="8" t="n">
        <f aca="false">-MAX(0,AQ392+AQ396+AQ407+AQ403+AQ402)*CIT_Rate</f>
        <v>-1424.57472573466</v>
      </c>
      <c r="AR408" s="8" t="n">
        <f aca="false">-MAX(0,AR392+AR396+AR407+AR403+AR402)*CIT_Rate</f>
        <v>-1423.88395487925</v>
      </c>
      <c r="AS408" s="8" t="n">
        <f aca="false">-MAX(0,AS392+AS396+AS407+AS403+AS402)*CIT_Rate</f>
        <v>-711.46566767273</v>
      </c>
      <c r="AT408" s="8" t="n">
        <f aca="false">-MAX(0,AT392+AT396+AT407+AT403+AT402)*CIT_Rate</f>
        <v>-0</v>
      </c>
      <c r="AU408" s="8" t="n">
        <f aca="false">-MAX(0,AU392+AU396+AU407+AU403+AU402)*CIT_Rate</f>
        <v>-0</v>
      </c>
      <c r="AV408" s="8" t="n">
        <f aca="false">-MAX(0,AV392+AV396+AV407+AV403+AV402)*CIT_Rate</f>
        <v>-0</v>
      </c>
      <c r="AW408" s="8" t="n">
        <f aca="false">-MAX(0,AW392+AW396+AW407+AW403+AW402)*CIT_Rate</f>
        <v>-0</v>
      </c>
    </row>
    <row r="409" customFormat="false" ht="14.25" hidden="false" customHeight="false" outlineLevel="0" collapsed="false">
      <c r="C409" s="1" t="s">
        <v>163</v>
      </c>
      <c r="D409" s="2" t="s">
        <v>85</v>
      </c>
      <c r="H409" s="32" t="n">
        <f aca="false">SUM(J409:AW409)</f>
        <v>155908.742778837</v>
      </c>
      <c r="J409" s="32" t="n">
        <f aca="false">J393+J400+J402+J404+J408</f>
        <v>0</v>
      </c>
      <c r="K409" s="32" t="n">
        <f aca="false">K393+K400+K402+K404+K408</f>
        <v>0</v>
      </c>
      <c r="L409" s="32" t="n">
        <f aca="false">L393+L400+L402+L404+L408</f>
        <v>0</v>
      </c>
      <c r="M409" s="32" t="n">
        <f aca="false">M393+M400+M402+M404+M408</f>
        <v>-23394.0747647493</v>
      </c>
      <c r="N409" s="32" t="n">
        <f aca="false">N393+N400+N402+N404+N408</f>
        <v>-4761.41986821918</v>
      </c>
      <c r="O409" s="32" t="n">
        <f aca="false">O393+O400+O402+O404+O408</f>
        <v>-243.332887469236</v>
      </c>
      <c r="P409" s="32" t="n">
        <f aca="false">P393+P400+P402+P404+P408</f>
        <v>4218.24133210724</v>
      </c>
      <c r="Q409" s="32" t="n">
        <f aca="false">Q393+Q400+Q402+Q404+Q408</f>
        <v>6167.39733153318</v>
      </c>
      <c r="R409" s="32" t="n">
        <f aca="false">R393+R400+R402+R404+R408</f>
        <v>4230.22601234735</v>
      </c>
      <c r="S409" s="32" t="n">
        <f aca="false">S393+S400+S402+S404+S408</f>
        <v>4234.06243517443</v>
      </c>
      <c r="T409" s="32" t="n">
        <f aca="false">T393+T400+T402+T404+T408</f>
        <v>4236.37606470469</v>
      </c>
      <c r="U409" s="32" t="n">
        <f aca="false">U393+U400+U402+U404+U408</f>
        <v>4237.09942289424</v>
      </c>
      <c r="V409" s="32" t="n">
        <f aca="false">V393+V400+V402+V404+V408</f>
        <v>4236.16221630696</v>
      </c>
      <c r="W409" s="32" t="n">
        <f aca="false">W393+W400+W402+W404+W408</f>
        <v>4233.49121131461</v>
      </c>
      <c r="X409" s="32" t="n">
        <f aca="false">X393+X400+X402+X404+X408</f>
        <v>4229.01010346197</v>
      </c>
      <c r="Y409" s="32" t="n">
        <f aca="false">Y393+Y400+Y402+Y404+Y408</f>
        <v>4222.63938071516</v>
      </c>
      <c r="Z409" s="32" t="n">
        <f aca="false">Z393+Z400+Z402+Z404+Z408</f>
        <v>4214.29618029757</v>
      </c>
      <c r="AA409" s="32" t="n">
        <f aca="false">AA393+AA400+AA402+AA404+AA408</f>
        <v>4203.8941388033</v>
      </c>
      <c r="AB409" s="32" t="n">
        <f aca="false">AB393+AB400+AB402+AB404+AB408</f>
        <v>4191.34323526256</v>
      </c>
      <c r="AC409" s="32" t="n">
        <f aca="false">AC393+AC400+AC402+AC404+AC408</f>
        <v>4176.54962681787</v>
      </c>
      <c r="AD409" s="32" t="n">
        <f aca="false">AD393+AD400+AD402+AD404+AD408</f>
        <v>4159.4154766527</v>
      </c>
      <c r="AE409" s="32" t="n">
        <f aca="false">AE393+AE400+AE402+AE404+AE408</f>
        <v>8519.10247192219</v>
      </c>
      <c r="AF409" s="32" t="n">
        <f aca="false">AF393+AF400+AF402+AF404+AF408</f>
        <v>8529.82132027465</v>
      </c>
      <c r="AG409" s="32" t="n">
        <f aca="false">AG393+AG400+AG402+AG404+AG408</f>
        <v>8539.52253163971</v>
      </c>
      <c r="AH409" s="32" t="n">
        <f aca="false">AH393+AH400+AH402+AH404+AH408</f>
        <v>8548.17251534533</v>
      </c>
      <c r="AI409" s="32" t="n">
        <f aca="false">AI393+AI400+AI402+AI404+AI408</f>
        <v>8305.67093402029</v>
      </c>
      <c r="AJ409" s="32" t="n">
        <f aca="false">AJ393+AJ400+AJ402+AJ404+AJ408</f>
        <v>8062.04828546784</v>
      </c>
      <c r="AK409" s="32" t="n">
        <f aca="false">AK393+AK400+AK402+AK404+AK408</f>
        <v>8067.33414445979</v>
      </c>
      <c r="AL409" s="32" t="n">
        <f aca="false">AL393+AL400+AL402+AL404+AL408</f>
        <v>8071.42540398047</v>
      </c>
      <c r="AM409" s="32" t="n">
        <f aca="false">AM393+AM400+AM402+AM404+AM408</f>
        <v>8074.28385544977</v>
      </c>
      <c r="AN409" s="32" t="n">
        <f aca="false">AN393+AN400+AN402+AN404+AN408</f>
        <v>8075.87029673459</v>
      </c>
      <c r="AO409" s="32" t="n">
        <f aca="false">AO393+AO400+AO402+AO404+AO408</f>
        <v>8076.14450747733</v>
      </c>
      <c r="AP409" s="32" t="n">
        <f aca="false">AP393+AP400+AP402+AP404+AP408</f>
        <v>8075.06522381815</v>
      </c>
      <c r="AQ409" s="32" t="n">
        <f aca="false">AQ393+AQ400+AQ402+AQ404+AQ408</f>
        <v>8072.5901124964</v>
      </c>
      <c r="AR409" s="32" t="n">
        <f aca="false">AR393+AR400+AR402+AR404+AR408</f>
        <v>8068.67574431577</v>
      </c>
      <c r="AS409" s="32" t="n">
        <f aca="false">AS393+AS400+AS402+AS404+AS408</f>
        <v>4031.6387834788</v>
      </c>
      <c r="AT409" s="32" t="n">
        <f aca="false">AT393+AT400+AT402+AT404+AT408</f>
        <v>0</v>
      </c>
      <c r="AU409" s="32" t="n">
        <f aca="false">AU393+AU400+AU402+AU404+AU408</f>
        <v>0</v>
      </c>
      <c r="AV409" s="32" t="n">
        <f aca="false">AV393+AV400+AV402+AV404+AV408</f>
        <v>0</v>
      </c>
      <c r="AW409" s="32" t="n">
        <f aca="false">AW393+AW400+AW402+AW404+AW408</f>
        <v>0</v>
      </c>
    </row>
    <row r="410" customFormat="false" ht="14.25" hidden="false" customHeight="false" outlineLevel="0" collapsed="false">
      <c r="C410" s="6" t="s">
        <v>334</v>
      </c>
      <c r="D410" s="2" t="s">
        <v>3</v>
      </c>
      <c r="H410" s="47" t="n">
        <f aca="false">MIN(J410:AW410)</f>
        <v>1.94979790288333</v>
      </c>
      <c r="J410" s="47" t="str">
        <f aca="false">IF(J404&lt;0,-(J392+J408)/J404,"")</f>
        <v/>
      </c>
      <c r="K410" s="47" t="str">
        <f aca="false">IF(K404&lt;0,-(K392+K408)/K404,"")</f>
        <v/>
      </c>
      <c r="L410" s="47" t="str">
        <f aca="false">IF(L404&lt;0,-(L392+L408)/L404,"")</f>
        <v/>
      </c>
      <c r="M410" s="47" t="str">
        <f aca="false">IF(M404&lt;0,-(M392+M408)/M404,"")</f>
        <v/>
      </c>
      <c r="N410" s="47" t="str">
        <f aca="false">IF(N404&lt;0,-(N392+N408)/N404,"")</f>
        <v/>
      </c>
      <c r="O410" s="47" t="n">
        <f aca="false">IF(O404&lt;0,-(O392+O408)/O404,"")</f>
        <v>3.76084842203447</v>
      </c>
      <c r="P410" s="47" t="n">
        <f aca="false">IF(P404&lt;0,-(P392+P408)/P404,"")</f>
        <v>1.96323072161944</v>
      </c>
      <c r="Q410" s="47" t="n">
        <f aca="false">IF(Q404&lt;0,-(Q392+Q408)/Q404,"")</f>
        <v>1.96475843186081</v>
      </c>
      <c r="R410" s="47" t="n">
        <f aca="false">IF(R404&lt;0,-(R392+R408)/R404,"")</f>
        <v>1.965967410037</v>
      </c>
      <c r="S410" s="47" t="n">
        <f aca="false">IF(S404&lt;0,-(S392+S408)/S404,"")</f>
        <v>1.9668434529272</v>
      </c>
      <c r="T410" s="47" t="n">
        <f aca="false">IF(T404&lt;0,-(T392+T408)/T404,"")</f>
        <v>1.96737176765994</v>
      </c>
      <c r="U410" s="47" t="n">
        <f aca="false">IF(U404&lt;0,-(U392+U408)/U404,"")</f>
        <v>1.96753694569886</v>
      </c>
      <c r="V410" s="47" t="n">
        <f aca="false">IF(V404&lt;0,-(V392+V408)/V404,"")</f>
        <v>1.96732293561591</v>
      </c>
      <c r="W410" s="47" t="n">
        <f aca="false">IF(W404&lt;0,-(W392+W408)/W404,"")</f>
        <v>1.96671301459346</v>
      </c>
      <c r="X410" s="47" t="n">
        <f aca="false">IF(X404&lt;0,-(X392+X408)/X404,"")</f>
        <v>1.96568975859392</v>
      </c>
      <c r="Y410" s="47" t="n">
        <f aca="false">IF(Y404&lt;0,-(Y392+Y408)/Y404,"")</f>
        <v>1.96423501113272</v>
      </c>
      <c r="Z410" s="47" t="n">
        <f aca="false">IF(Z404&lt;0,-(Z392+Z408)/Z404,"")</f>
        <v>1.96232985058686</v>
      </c>
      <c r="AA410" s="47" t="n">
        <f aca="false">IF(AA404&lt;0,-(AA392+AA408)/AA404,"")</f>
        <v>1.95995455596856</v>
      </c>
      <c r="AB410" s="47" t="n">
        <f aca="false">IF(AB404&lt;0,-(AB392+AB408)/AB404,"")</f>
        <v>1.95708857108938</v>
      </c>
      <c r="AC410" s="47" t="n">
        <f aca="false">IF(AC404&lt;0,-(AC392+AC408)/AC404,"")</f>
        <v>1.95371046703709</v>
      </c>
      <c r="AD410" s="47" t="n">
        <f aca="false">IF(AD404&lt;0,-(AD392+AD408)/AD404,"")</f>
        <v>1.94979790288333</v>
      </c>
      <c r="AE410" s="47" t="str">
        <f aca="false">IF(AE404&lt;0,-(AE392+AE408)/AE404,"")</f>
        <v/>
      </c>
      <c r="AF410" s="47" t="str">
        <f aca="false">IF(AF404&lt;0,-(AF392+AF408)/AF404,"")</f>
        <v/>
      </c>
      <c r="AG410" s="47" t="str">
        <f aca="false">IF(AG404&lt;0,-(AG392+AG408)/AG404,"")</f>
        <v/>
      </c>
      <c r="AH410" s="47" t="str">
        <f aca="false">IF(AH404&lt;0,-(AH392+AH408)/AH404,"")</f>
        <v/>
      </c>
      <c r="AI410" s="47" t="str">
        <f aca="false">IF(AI404&lt;0,-(AI392+AI408)/AI404,"")</f>
        <v/>
      </c>
      <c r="AJ410" s="47" t="str">
        <f aca="false">IF(AJ404&lt;0,-(AJ392+AJ408)/AJ404,"")</f>
        <v/>
      </c>
      <c r="AK410" s="47" t="str">
        <f aca="false">IF(AK404&lt;0,-(AK392+AK408)/AK404,"")</f>
        <v/>
      </c>
      <c r="AL410" s="47" t="str">
        <f aca="false">IF(AL404&lt;0,-(AL392+AL408)/AL404,"")</f>
        <v/>
      </c>
      <c r="AM410" s="47" t="str">
        <f aca="false">IF(AM404&lt;0,-(AM392+AM408)/AM404,"")</f>
        <v/>
      </c>
      <c r="AN410" s="47" t="str">
        <f aca="false">IF(AN404&lt;0,-(AN392+AN408)/AN404,"")</f>
        <v/>
      </c>
      <c r="AO410" s="47" t="str">
        <f aca="false">IF(AO404&lt;0,-(AO392+AO408)/AO404,"")</f>
        <v/>
      </c>
      <c r="AP410" s="47" t="str">
        <f aca="false">IF(AP404&lt;0,-(AP392+AP408)/AP404,"")</f>
        <v/>
      </c>
      <c r="AQ410" s="47" t="str">
        <f aca="false">IF(AQ404&lt;0,-(AQ392+AQ408)/AQ404,"")</f>
        <v/>
      </c>
      <c r="AR410" s="47" t="str">
        <f aca="false">IF(AR404&lt;0,-(AR392+AR408)/AR404,"")</f>
        <v/>
      </c>
      <c r="AS410" s="47" t="str">
        <f aca="false">IF(AS404&lt;0,-(AS392+AS408)/AS404,"")</f>
        <v/>
      </c>
      <c r="AT410" s="47" t="str">
        <f aca="false">IF(AT404&lt;0,-(AT392+AT408)/AT404,"")</f>
        <v/>
      </c>
      <c r="AU410" s="47" t="str">
        <f aca="false">IF(AU404&lt;0,-(AU392+AU408)/AU404,"")</f>
        <v/>
      </c>
      <c r="AV410" s="47" t="str">
        <f aca="false">IF(AV404&lt;0,-(AV392+AV408)/AV404,"")</f>
        <v/>
      </c>
      <c r="AW410" s="47" t="str">
        <f aca="false">IF(AW404&lt;0,-(AW392+AW408)/AW404,"")</f>
        <v/>
      </c>
    </row>
    <row r="411" customFormat="false" ht="14.25" hidden="false" customHeight="false" outlineLevel="0" collapsed="false">
      <c r="C411" s="6" t="s">
        <v>335</v>
      </c>
      <c r="D411" s="2" t="s">
        <v>3</v>
      </c>
      <c r="J411" s="76" t="n">
        <f aca="false">(1+Discount_Rate)^((Inputs!$E$26-J$365)/Days_In_Year)</f>
        <v>1.41371255107938</v>
      </c>
      <c r="K411" s="76" t="n">
        <f aca="false">(1+Discount_Rate)^((Inputs!$E$26-K$365)/Days_In_Year)</f>
        <v>1.30899310285128</v>
      </c>
      <c r="L411" s="76" t="n">
        <f aca="false">(1+Discount_Rate)^((Inputs!$E$26-L$365)/Days_In_Year)</f>
        <v>1.21177511843915</v>
      </c>
      <c r="M411" s="76" t="n">
        <f aca="false">(1+Discount_Rate)^((Inputs!$E$26-M$365)/Days_In_Year)</f>
        <v>1.12201399855477</v>
      </c>
      <c r="N411" s="76" t="n">
        <f aca="false">(1+Discount_Rate)^((Inputs!$E$26-N$365)/Days_In_Year)</f>
        <v>1.03890185051367</v>
      </c>
      <c r="O411" s="76" t="n">
        <f aca="false">(1+Discount_Rate)^((Inputs!$E$26-O$365)/Days_In_Year)</f>
        <v>0.961946157883031</v>
      </c>
      <c r="P411" s="76" t="n">
        <f aca="false">(1+Discount_Rate)^((Inputs!$E$26-P$365)/Days_In_Year)</f>
        <v>0.890503102622714</v>
      </c>
      <c r="Q411" s="76" t="n">
        <f aca="false">(1+Discount_Rate)^((Inputs!$E$26-Q$365)/Days_In_Year)</f>
        <v>0.824539909835846</v>
      </c>
      <c r="R411" s="76" t="n">
        <f aca="false">(1+Discount_Rate)^((Inputs!$E$26-R$365)/Days_In_Year)</f>
        <v>0.763462879477635</v>
      </c>
      <c r="S411" s="76" t="n">
        <f aca="false">(1+Discount_Rate)^((Inputs!$E$26-S$365)/Days_In_Year)</f>
        <v>0.706910073590403</v>
      </c>
      <c r="T411" s="76" t="n">
        <f aca="false">(1+Discount_Rate)^((Inputs!$E$26-T$365)/Days_In_Year)</f>
        <v>0.654408366464987</v>
      </c>
      <c r="U411" s="76" t="n">
        <f aca="false">(1+Discount_Rate)^((Inputs!$E$26-U$365)/Days_In_Year)</f>
        <v>0.605933672652766</v>
      </c>
      <c r="V411" s="76" t="n">
        <f aca="false">(1+Discount_Rate)^((Inputs!$E$26-V$365)/Days_In_Year)</f>
        <v>0.561049696900709</v>
      </c>
      <c r="W411" s="76" t="n">
        <f aca="false">(1+Discount_Rate)^((Inputs!$E$26-W$365)/Days_In_Year)</f>
        <v>0.519490460093249</v>
      </c>
      <c r="X411" s="76" t="n">
        <f aca="false">(1+Discount_Rate)^((Inputs!$E$26-X$365)/Days_In_Year)</f>
        <v>0.480908274028566</v>
      </c>
      <c r="Y411" s="76" t="n">
        <f aca="false">(1+Discount_Rate)^((Inputs!$E$26-Y$365)/Days_In_Year)</f>
        <v>0.445285438915339</v>
      </c>
      <c r="Z411" s="76" t="n">
        <f aca="false">(1+Discount_Rate)^((Inputs!$E$26-Z$365)/Days_In_Year)</f>
        <v>0.412301332329018</v>
      </c>
      <c r="AA411" s="76" t="n">
        <f aca="false">(1+Discount_Rate)^((Inputs!$E$26-AA$365)/Days_In_Year)</f>
        <v>0.381760492897239</v>
      </c>
      <c r="AB411" s="76" t="n">
        <f aca="false">(1+Discount_Rate)^((Inputs!$E$26-AB$365)/Days_In_Year)</f>
        <v>0.353407413292154</v>
      </c>
      <c r="AC411" s="76" t="n">
        <f aca="false">(1+Discount_Rate)^((Inputs!$E$26-AC$365)/Days_In_Year)</f>
        <v>0.327229086381624</v>
      </c>
      <c r="AD411" s="76" t="n">
        <f aca="false">(1+Discount_Rate)^((Inputs!$E$26-AD$365)/Days_In_Year)</f>
        <v>0.3029898947978</v>
      </c>
      <c r="AE411" s="76" t="n">
        <f aca="false">(1+Discount_Rate)^((Inputs!$E$26-AE$365)/Days_In_Year)</f>
        <v>0.280546198886852</v>
      </c>
      <c r="AF411" s="76" t="n">
        <f aca="false">(1+Discount_Rate)^((Inputs!$E$26-AF$365)/Days_In_Year)</f>
        <v>0.259710232730228</v>
      </c>
      <c r="AG411" s="76" t="n">
        <f aca="false">(1+Discount_Rate)^((Inputs!$E$26-AG$365)/Days_In_Year)</f>
        <v>0.240472437713174</v>
      </c>
      <c r="AH411" s="76" t="n">
        <f aca="false">(1+Discount_Rate)^((Inputs!$E$26-AH$365)/Days_In_Year)</f>
        <v>0.222659664549235</v>
      </c>
      <c r="AI411" s="76" t="n">
        <f aca="false">(1+Discount_Rate)^((Inputs!$E$26-AI$365)/Days_In_Year)</f>
        <v>0.206166356064106</v>
      </c>
      <c r="AJ411" s="76" t="n">
        <f aca="false">(1+Discount_Rate)^((Inputs!$E$26-AJ$365)/Days_In_Year)</f>
        <v>0.190854527799705</v>
      </c>
      <c r="AK411" s="76" t="n">
        <f aca="false">(1+Discount_Rate)^((Inputs!$E$26-AK$365)/Days_In_Year)</f>
        <v>0.176717155370097</v>
      </c>
      <c r="AL411" s="76" t="n">
        <f aca="false">(1+Discount_Rate)^((Inputs!$E$26-AL$365)/Days_In_Year)</f>
        <v>0.163626995713053</v>
      </c>
      <c r="AM411" s="76" t="n">
        <f aca="false">(1+Discount_Rate)^((Inputs!$E$26-AM$365)/Days_In_Year)</f>
        <v>0.151506477512086</v>
      </c>
      <c r="AN411" s="76" t="n">
        <f aca="false">(1+Discount_Rate)^((Inputs!$E$26-AN$365)/Days_In_Year)</f>
        <v>0.140254199454224</v>
      </c>
      <c r="AO411" s="76" t="n">
        <f aca="false">(1+Discount_Rate)^((Inputs!$E$26-AO$365)/Days_In_Year)</f>
        <v>0.129864999494652</v>
      </c>
      <c r="AP411" s="76" t="n">
        <f aca="false">(1+Discount_Rate)^((Inputs!$E$26-AP$365)/Days_In_Year)</f>
        <v>0.120245369902455</v>
      </c>
      <c r="AQ411" s="76" t="n">
        <f aca="false">(1+Discount_Rate)^((Inputs!$E$26-AQ$365)/Days_In_Year)</f>
        <v>0.111338305465236</v>
      </c>
      <c r="AR411" s="76" t="n">
        <f aca="false">(1+Discount_Rate)^((Inputs!$E$26-AR$365)/Days_In_Year)</f>
        <v>0.103069288904634</v>
      </c>
      <c r="AS411" s="76" t="n">
        <f aca="false">(1+Discount_Rate)^((Inputs!$E$26-AS$365)/Days_In_Year)</f>
        <v>0.0954345267635496</v>
      </c>
      <c r="AT411" s="76" t="n">
        <f aca="false">(1+Discount_Rate)^((Inputs!$E$26-AT$365)/Days_In_Year)</f>
        <v>0.0883653025588422</v>
      </c>
      <c r="AU411" s="76" t="n">
        <f aca="false">(1+Discount_Rate)^((Inputs!$E$26-AU$365)/Days_In_Year)</f>
        <v>0.0818197245915205</v>
      </c>
      <c r="AV411" s="76" t="n">
        <f aca="false">(1+Discount_Rate)^((Inputs!$E$26-AV$365)/Days_In_Year)</f>
        <v>0.0757430319851068</v>
      </c>
      <c r="AW411" s="76" t="n">
        <f aca="false">(1+Discount_Rate)^((Inputs!$E$26-AW$365)/Days_In_Year)</f>
        <v>0.070132437023247</v>
      </c>
    </row>
    <row r="412" customFormat="false" ht="14.25" hidden="false" customHeight="false" outlineLevel="0" collapsed="false">
      <c r="C412" s="6" t="s">
        <v>336</v>
      </c>
      <c r="D412" s="2" t="s">
        <v>85</v>
      </c>
      <c r="H412" s="8" t="n">
        <f aca="false">SUM(J412:AW412)</f>
        <v>93704.5637567043</v>
      </c>
      <c r="J412" s="8" t="n">
        <f aca="false">(J392+J397)*J411</f>
        <v>0</v>
      </c>
      <c r="K412" s="8" t="n">
        <f aca="false">(K392+K397)*K411</f>
        <v>0</v>
      </c>
      <c r="L412" s="8" t="n">
        <f aca="false">(L392+L397)*L411</f>
        <v>0</v>
      </c>
      <c r="M412" s="8" t="n">
        <f aca="false">(M392+M397)*M411</f>
        <v>0</v>
      </c>
      <c r="N412" s="8" t="n">
        <f aca="false">(N392+N397)*N411</f>
        <v>0</v>
      </c>
      <c r="O412" s="8" t="n">
        <f aca="false">(O392+O397)*O411</f>
        <v>3939.21851944005</v>
      </c>
      <c r="P412" s="8" t="n">
        <f aca="false">(P392+P397)*P411</f>
        <v>7337.82556620684</v>
      </c>
      <c r="Q412" s="8" t="n">
        <f aca="false">(Q392+Q397)*Q411</f>
        <v>6812.82601083504</v>
      </c>
      <c r="R412" s="8" t="n">
        <f aca="false">(R392+R397)*R411</f>
        <v>6324.87918769322</v>
      </c>
      <c r="S412" s="8" t="n">
        <f aca="false">(S392+S397)*S411</f>
        <v>5871.39467417825</v>
      </c>
      <c r="T412" s="8" t="n">
        <f aca="false">(T392+T397)*T411</f>
        <v>5448.81293364757</v>
      </c>
      <c r="U412" s="8" t="n">
        <f aca="false">(U392+U397)*U411</f>
        <v>5057.27150660415</v>
      </c>
      <c r="V412" s="8" t="n">
        <f aca="false">(V392+V397)*V411</f>
        <v>4693.44579837625</v>
      </c>
      <c r="W412" s="8" t="n">
        <f aca="false">(W392+W397)*W411</f>
        <v>4355.39415559577</v>
      </c>
      <c r="X412" s="8" t="n">
        <f aca="false">(X392+X397)*X411</f>
        <v>4040.45793559268</v>
      </c>
      <c r="Y412" s="8" t="n">
        <f aca="false">(Y392+Y397)*Y411</f>
        <v>3748.72179872735</v>
      </c>
      <c r="Z412" s="8" t="n">
        <f aca="false">(Z392+Z397)*Z411</f>
        <v>3477.70390590008</v>
      </c>
      <c r="AA412" s="8" t="n">
        <f aca="false">(AA392+AA397)*AA411</f>
        <v>3225.94953903426</v>
      </c>
      <c r="AB412" s="8" t="n">
        <f aca="false">(AB392+AB397)*AB411</f>
        <v>2991.47448867761</v>
      </c>
      <c r="AC412" s="8" t="n">
        <f aca="false">(AC392+AC397)*AC411</f>
        <v>2774.32712693389</v>
      </c>
      <c r="AD412" s="8" t="n">
        <f aca="false">(AD392+AD397)*AD411</f>
        <v>2572.65628401037</v>
      </c>
      <c r="AE412" s="8" t="n">
        <f aca="false">(AE392+AE397)*AE411</f>
        <v>2385.3725950344</v>
      </c>
      <c r="AF412" s="8" t="n">
        <f aca="false">(AF392+AF397)*AF411</f>
        <v>2210.99646781682</v>
      </c>
      <c r="AG412" s="8" t="n">
        <f aca="false">(AG392+AG397)*AG411</f>
        <v>2049.55182562797</v>
      </c>
      <c r="AH412" s="8" t="n">
        <f aca="false">(AH392+AH397)*AH411</f>
        <v>1899.659174348</v>
      </c>
      <c r="AI412" s="8" t="n">
        <f aca="false">(AI392+AI397)*AI411</f>
        <v>1710.64896186241</v>
      </c>
      <c r="AJ412" s="8" t="n">
        <f aca="false">(AJ392+AJ397)*AJ411</f>
        <v>1538.67841862138</v>
      </c>
      <c r="AK412" s="8" t="n">
        <f aca="false">(AK392+AK397)*AK411</f>
        <v>1425.63634142899</v>
      </c>
      <c r="AL412" s="8" t="n">
        <f aca="false">(AL392+AL397)*AL411</f>
        <v>1320.70308997534</v>
      </c>
      <c r="AM412" s="8" t="n">
        <f aca="false">(AM392+AM397)*AM411</f>
        <v>1223.3063053719</v>
      </c>
      <c r="AN412" s="8" t="n">
        <f aca="false">(AN392+AN397)*AN411</f>
        <v>1132.67472336465</v>
      </c>
      <c r="AO412" s="8" t="n">
        <f aca="false">(AO392+AO397)*AO411</f>
        <v>1048.80850238228</v>
      </c>
      <c r="AP412" s="8" t="n">
        <f aca="false">(AP392+AP397)*AP411</f>
        <v>970.989204824465</v>
      </c>
      <c r="AQ412" s="8" t="n">
        <f aca="false">(AQ392+AQ397)*AQ411</f>
        <v>898.78850384077</v>
      </c>
      <c r="AR412" s="8" t="n">
        <f aca="false">(AR392+AR397)*AR411</f>
        <v>831.632671368691</v>
      </c>
      <c r="AS412" s="8" t="n">
        <f aca="false">(AS392+AS397)*AS411</f>
        <v>384.757539382872</v>
      </c>
      <c r="AT412" s="8" t="n">
        <f aca="false">(AT392+AT397)*AT411</f>
        <v>0</v>
      </c>
      <c r="AU412" s="8" t="n">
        <f aca="false">(AU392+AU397)*AU411</f>
        <v>0</v>
      </c>
      <c r="AV412" s="8" t="n">
        <f aca="false">(AV392+AV397)*AV411</f>
        <v>0</v>
      </c>
      <c r="AW412" s="8" t="n">
        <f aca="false">(AW392+AW397)*AW411</f>
        <v>0</v>
      </c>
    </row>
    <row r="413" customFormat="false" ht="14.25" hidden="false" customHeight="false" outlineLevel="0" collapsed="false">
      <c r="C413" s="1" t="s">
        <v>337</v>
      </c>
      <c r="D413" s="2" t="s">
        <v>85</v>
      </c>
      <c r="H413" s="32" t="n">
        <f aca="false">SUM(J413:AW413)</f>
        <v>21612.6299841015</v>
      </c>
      <c r="J413" s="32" t="n">
        <f aca="false">J378*(J368&lt;=0)+J373*($H412+$E$62+$E$63)</f>
        <v>0</v>
      </c>
      <c r="K413" s="32" t="n">
        <f aca="false">K378*(K368&lt;=0)+K373*($H412+$E$62+$E$63)</f>
        <v>0</v>
      </c>
      <c r="L413" s="32" t="n">
        <f aca="false">L378*(L368&lt;=0)+L373*($H412+$E$62+$E$63)</f>
        <v>0</v>
      </c>
      <c r="M413" s="32" t="n">
        <f aca="false">M378*(M368&lt;=0)+M373*($H412+$E$62+$E$63)</f>
        <v>-33450.8995260274</v>
      </c>
      <c r="N413" s="32" t="n">
        <f aca="false">N378*(N368&lt;=0)+N373*($H412+$E$62+$E$63)</f>
        <v>-26389</v>
      </c>
      <c r="O413" s="32" t="n">
        <f aca="false">O378*(O368&lt;=0)+O373*($H412+$E$62+$E$63)</f>
        <v>81452.5295101289</v>
      </c>
      <c r="P413" s="32" t="n">
        <f aca="false">P378*(P368&lt;=0)+P373*($H412+$E$62+$E$63)</f>
        <v>0</v>
      </c>
      <c r="Q413" s="32" t="n">
        <f aca="false">Q378*(Q368&lt;=0)+Q373*($H412+$E$62+$E$63)</f>
        <v>0</v>
      </c>
      <c r="R413" s="32" t="n">
        <f aca="false">R378*(R368&lt;=0)+R373*($H412+$E$62+$E$63)</f>
        <v>0</v>
      </c>
      <c r="S413" s="32" t="n">
        <f aca="false">S378*(S368&lt;=0)+S373*($H412+$E$62+$E$63)</f>
        <v>0</v>
      </c>
      <c r="T413" s="32" t="n">
        <f aca="false">T378*(T368&lt;=0)+T373*($H412+$E$62+$E$63)</f>
        <v>0</v>
      </c>
      <c r="U413" s="32" t="n">
        <f aca="false">U378*(U368&lt;=0)+U373*($H412+$E$62+$E$63)</f>
        <v>0</v>
      </c>
      <c r="V413" s="32" t="n">
        <f aca="false">V378*(V368&lt;=0)+V373*($H412+$E$62+$E$63)</f>
        <v>0</v>
      </c>
      <c r="W413" s="32" t="n">
        <f aca="false">W378*(W368&lt;=0)+W373*($H412+$E$62+$E$63)</f>
        <v>0</v>
      </c>
      <c r="X413" s="32" t="n">
        <f aca="false">X378*(X368&lt;=0)+X373*($H412+$E$62+$E$63)</f>
        <v>0</v>
      </c>
      <c r="Y413" s="32" t="n">
        <f aca="false">Y378*(Y368&lt;=0)+Y373*($H412+$E$62+$E$63)</f>
        <v>0</v>
      </c>
      <c r="Z413" s="32" t="n">
        <f aca="false">Z378*(Z368&lt;=0)+Z373*($H412+$E$62+$E$63)</f>
        <v>0</v>
      </c>
      <c r="AA413" s="32" t="n">
        <f aca="false">AA378*(AA368&lt;=0)+AA373*($H412+$E$62+$E$63)</f>
        <v>0</v>
      </c>
      <c r="AB413" s="32" t="n">
        <f aca="false">AB378*(AB368&lt;=0)+AB373*($H412+$E$62+$E$63)</f>
        <v>0</v>
      </c>
      <c r="AC413" s="32" t="n">
        <f aca="false">AC378*(AC368&lt;=0)+AC373*($H412+$E$62+$E$63)</f>
        <v>0</v>
      </c>
      <c r="AD413" s="32" t="n">
        <f aca="false">AD378*(AD368&lt;=0)+AD373*($H412+$E$62+$E$63)</f>
        <v>0</v>
      </c>
      <c r="AE413" s="32" t="n">
        <f aca="false">AE378*(AE368&lt;=0)+AE373*($H412+$E$62+$E$63)</f>
        <v>0</v>
      </c>
      <c r="AF413" s="32" t="n">
        <f aca="false">AF378*(AF368&lt;=0)+AF373*($H412+$E$62+$E$63)</f>
        <v>0</v>
      </c>
      <c r="AG413" s="32" t="n">
        <f aca="false">AG378*(AG368&lt;=0)+AG373*($H412+$E$62+$E$63)</f>
        <v>0</v>
      </c>
      <c r="AH413" s="32" t="n">
        <f aca="false">AH378*(AH368&lt;=0)+AH373*($H412+$E$62+$E$63)</f>
        <v>0</v>
      </c>
      <c r="AI413" s="32" t="n">
        <f aca="false">AI378*(AI368&lt;=0)+AI373*($H412+$E$62+$E$63)</f>
        <v>0</v>
      </c>
      <c r="AJ413" s="32" t="n">
        <f aca="false">AJ378*(AJ368&lt;=0)+AJ373*($H412+$E$62+$E$63)</f>
        <v>0</v>
      </c>
      <c r="AK413" s="32" t="n">
        <f aca="false">AK378*(AK368&lt;=0)+AK373*($H412+$E$62+$E$63)</f>
        <v>0</v>
      </c>
      <c r="AL413" s="32" t="n">
        <f aca="false">AL378*(AL368&lt;=0)+AL373*($H412+$E$62+$E$63)</f>
        <v>0</v>
      </c>
      <c r="AM413" s="32" t="n">
        <f aca="false">AM378*(AM368&lt;=0)+AM373*($H412+$E$62+$E$63)</f>
        <v>0</v>
      </c>
      <c r="AN413" s="32" t="n">
        <f aca="false">AN378*(AN368&lt;=0)+AN373*($H412+$E$62+$E$63)</f>
        <v>0</v>
      </c>
      <c r="AO413" s="32" t="n">
        <f aca="false">AO378*(AO368&lt;=0)+AO373*($H412+$E$62+$E$63)</f>
        <v>0</v>
      </c>
      <c r="AP413" s="32" t="n">
        <f aca="false">AP378*(AP368&lt;=0)+AP373*($H412+$E$62+$E$63)</f>
        <v>0</v>
      </c>
      <c r="AQ413" s="32" t="n">
        <f aca="false">AQ378*(AQ368&lt;=0)+AQ373*($H412+$E$62+$E$63)</f>
        <v>0</v>
      </c>
      <c r="AR413" s="32" t="n">
        <f aca="false">AR378*(AR368&lt;=0)+AR373*($H412+$E$62+$E$63)</f>
        <v>0</v>
      </c>
      <c r="AS413" s="32" t="n">
        <f aca="false">AS378*(AS368&lt;=0)+AS373*($H412+$E$62+$E$63)</f>
        <v>0</v>
      </c>
      <c r="AT413" s="32" t="n">
        <f aca="false">AT378*(AT368&lt;=0)+AT373*($H412+$E$62+$E$63)</f>
        <v>0</v>
      </c>
      <c r="AU413" s="32" t="n">
        <f aca="false">AU378*(AU368&lt;=0)+AU373*($H412+$E$62+$E$63)</f>
        <v>0</v>
      </c>
      <c r="AV413" s="32" t="n">
        <f aca="false">AV378*(AV368&lt;=0)+AV373*($H412+$E$62+$E$63)</f>
        <v>0</v>
      </c>
      <c r="AW413" s="32" t="n">
        <f aca="false">AW378*(AW368&lt;=0)+AW373*($H412+$E$62+$E$63)</f>
        <v>0</v>
      </c>
    </row>
    <row r="414" customFormat="false" ht="14.25" hidden="false" customHeight="false" outlineLevel="0" collapsed="false">
      <c r="C414" s="41" t="s">
        <v>338</v>
      </c>
      <c r="D414" s="42"/>
      <c r="E414" s="43"/>
      <c r="F414" s="43"/>
      <c r="G414" s="43"/>
      <c r="H414" s="43"/>
    </row>
    <row r="415" customFormat="false" ht="14.25" hidden="false" customHeight="false" outlineLevel="0" collapsed="false">
      <c r="C415" s="6" t="s">
        <v>339</v>
      </c>
      <c r="D415" s="2" t="s">
        <v>85</v>
      </c>
      <c r="H415" s="8"/>
      <c r="J415" s="8" t="n">
        <f aca="false">(I415*(1+Rate_Cash)-SUMPRODUCT($E346:$E351*$M346:$M351*(YEAR($J346:$J351)=J364)))*(J365&lt;$E190)*$E21</f>
        <v>404.929164946519</v>
      </c>
      <c r="K415" s="8" t="n">
        <f aca="false">(J415*(1+Rate_Cash)-SUMPRODUCT($E346:$E351*$M346:$M351*(YEAR($J346:$J351)=K364)))*(K365&lt;$E190)*$E21</f>
        <v>2874.39110197035</v>
      </c>
      <c r="L415" s="8" t="n">
        <f aca="false">(K415*(1+Rate_Cash)-SUMPRODUCT($E346:$E351*$M346:$M351*(YEAR($J346:$J351)=L364)))*(L365&lt;$E190)*$E21</f>
        <v>13614.1904191201</v>
      </c>
      <c r="M415" s="8" t="n">
        <f aca="false">(L415*(1+Rate_Cash)-SUMPRODUCT($E346:$E351*$M346:$M351*(YEAR($J346:$J351)=M364)))*(M365&lt;$E190)*$E21</f>
        <v>0</v>
      </c>
      <c r="N415" s="8" t="n">
        <f aca="false">(M415*(1+Rate_Cash)-SUMPRODUCT($E346:$E351*$M346:$M351*(YEAR($J346:$J351)=N364)))*(N365&lt;$E190)*$E21</f>
        <v>0</v>
      </c>
      <c r="O415" s="8" t="n">
        <f aca="false">(N415*(1+Rate_Cash)-SUMPRODUCT($E346:$E351*$M346:$M351*(YEAR($J346:$J351)=O364)))*(O365&lt;$E190)*$E21</f>
        <v>0</v>
      </c>
      <c r="P415" s="8" t="n">
        <f aca="false">(O415*(1+Rate_Cash)-SUMPRODUCT($E346:$E351*$M346:$M351*(YEAR($J346:$J351)=P364)))*(P365&lt;$E190)*$E21</f>
        <v>0</v>
      </c>
      <c r="Q415" s="8" t="n">
        <f aca="false">(P415*(1+Rate_Cash)-SUMPRODUCT($E346:$E351*$M346:$M351*(YEAR($J346:$J351)=Q364)))*(Q365&lt;$E190)*$E21</f>
        <v>0</v>
      </c>
      <c r="R415" s="8" t="n">
        <f aca="false">(Q415*(1+Rate_Cash)-SUMPRODUCT($E346:$E351*$M346:$M351*(YEAR($J346:$J351)=R364)))*(R365&lt;$E190)*$E21</f>
        <v>0</v>
      </c>
      <c r="S415" s="8" t="n">
        <f aca="false">(R415*(1+Rate_Cash)-SUMPRODUCT($E346:$E351*$M346:$M351*(YEAR($J346:$J351)=S364)))*(S365&lt;$E190)*$E21</f>
        <v>0</v>
      </c>
      <c r="T415" s="8" t="n">
        <f aca="false">(S415*(1+Rate_Cash)-SUMPRODUCT($E346:$E351*$M346:$M351*(YEAR($J346:$J351)=T364)))*(T365&lt;$E190)*$E21</f>
        <v>0</v>
      </c>
      <c r="U415" s="8" t="n">
        <f aca="false">(T415*(1+Rate_Cash)-SUMPRODUCT($E346:$E351*$M346:$M351*(YEAR($J346:$J351)=U364)))*(U365&lt;$E190)*$E21</f>
        <v>0</v>
      </c>
      <c r="V415" s="8" t="n">
        <f aca="false">(U415*(1+Rate_Cash)-SUMPRODUCT($E346:$E351*$M346:$M351*(YEAR($J346:$J351)=V364)))*(V365&lt;$E190)*$E21</f>
        <v>0</v>
      </c>
      <c r="W415" s="8" t="n">
        <f aca="false">(V415*(1+Rate_Cash)-SUMPRODUCT($E346:$E351*$M346:$M351*(YEAR($J346:$J351)=W364)))*(W365&lt;$E190)*$E21</f>
        <v>0</v>
      </c>
      <c r="X415" s="8" t="n">
        <f aca="false">(W415*(1+Rate_Cash)-SUMPRODUCT($E346:$E351*$M346:$M351*(YEAR($J346:$J351)=X364)))*(X365&lt;$E190)*$E21</f>
        <v>0</v>
      </c>
      <c r="Y415" s="8" t="n">
        <f aca="false">(X415*(1+Rate_Cash)-SUMPRODUCT($E346:$E351*$M346:$M351*(YEAR($J346:$J351)=Y364)))*(Y365&lt;$E190)*$E21</f>
        <v>0</v>
      </c>
      <c r="Z415" s="8" t="n">
        <f aca="false">(Y415*(1+Rate_Cash)-SUMPRODUCT($E346:$E351*$M346:$M351*(YEAR($J346:$J351)=Z364)))*(Z365&lt;$E190)*$E21</f>
        <v>0</v>
      </c>
      <c r="AA415" s="8" t="n">
        <f aca="false">(Z415*(1+Rate_Cash)-SUMPRODUCT($E346:$E351*$M346:$M351*(YEAR($J346:$J351)=AA364)))*(AA365&lt;$E190)*$E21</f>
        <v>0</v>
      </c>
      <c r="AB415" s="8" t="n">
        <f aca="false">(AA415*(1+Rate_Cash)-SUMPRODUCT($E346:$E351*$M346:$M351*(YEAR($J346:$J351)=AB364)))*(AB365&lt;$E190)*$E21</f>
        <v>0</v>
      </c>
      <c r="AC415" s="8" t="n">
        <f aca="false">(AB415*(1+Rate_Cash)-SUMPRODUCT($E346:$E351*$M346:$M351*(YEAR($J346:$J351)=AC364)))*(AC365&lt;$E190)*$E21</f>
        <v>0</v>
      </c>
      <c r="AD415" s="8" t="n">
        <f aca="false">(AC415*(1+Rate_Cash)-SUMPRODUCT($E346:$E351*$M346:$M351*(YEAR($J346:$J351)=AD364)))*(AD365&lt;$E190)*$E21</f>
        <v>0</v>
      </c>
      <c r="AE415" s="8" t="n">
        <f aca="false">(AD415*(1+Rate_Cash)-SUMPRODUCT($E346:$E351*$M346:$M351*(YEAR($J346:$J351)=AE364)))*(AE365&lt;$E190)*$E21</f>
        <v>0</v>
      </c>
      <c r="AF415" s="8" t="n">
        <f aca="false">(AE415*(1+Rate_Cash)-SUMPRODUCT($E346:$E351*$M346:$M351*(YEAR($J346:$J351)=AF364)))*(AF365&lt;$E190)*$E21</f>
        <v>0</v>
      </c>
      <c r="AG415" s="8" t="n">
        <f aca="false">(AF415*(1+Rate_Cash)-SUMPRODUCT($E346:$E351*$M346:$M351*(YEAR($J346:$J351)=AG364)))*(AG365&lt;$E190)*$E21</f>
        <v>0</v>
      </c>
      <c r="AH415" s="8" t="n">
        <f aca="false">(AG415*(1+Rate_Cash)-SUMPRODUCT($E346:$E351*$M346:$M351*(YEAR($J346:$J351)=AH364)))*(AH365&lt;$E190)*$E21</f>
        <v>0</v>
      </c>
      <c r="AI415" s="8" t="n">
        <f aca="false">(AH415*(1+Rate_Cash)-SUMPRODUCT($E346:$E351*$M346:$M351*(YEAR($J346:$J351)=AI364)))*(AI365&lt;$E190)*$E21</f>
        <v>0</v>
      </c>
      <c r="AJ415" s="8" t="n">
        <f aca="false">(AI415*(1+Rate_Cash)-SUMPRODUCT($E346:$E351*$M346:$M351*(YEAR($J346:$J351)=AJ364)))*(AJ365&lt;$E190)*$E21</f>
        <v>0</v>
      </c>
      <c r="AK415" s="8" t="n">
        <f aca="false">(AJ415*(1+Rate_Cash)-SUMPRODUCT($E346:$E351*$M346:$M351*(YEAR($J346:$J351)=AK364)))*(AK365&lt;$E190)*$E21</f>
        <v>0</v>
      </c>
      <c r="AL415" s="8" t="n">
        <f aca="false">(AK415*(1+Rate_Cash)-SUMPRODUCT($E346:$E351*$M346:$M351*(YEAR($J346:$J351)=AL364)))*(AL365&lt;$E190)*$E21</f>
        <v>0</v>
      </c>
      <c r="AM415" s="8" t="n">
        <f aca="false">(AL415*(1+Rate_Cash)-SUMPRODUCT($E346:$E351*$M346:$M351*(YEAR($J346:$J351)=AM364)))*(AM365&lt;$E190)*$E21</f>
        <v>0</v>
      </c>
      <c r="AN415" s="8" t="n">
        <f aca="false">(AM415*(1+Rate_Cash)-SUMPRODUCT($E346:$E351*$M346:$M351*(YEAR($J346:$J351)=AN364)))*(AN365&lt;$E190)*$E21</f>
        <v>0</v>
      </c>
      <c r="AO415" s="8" t="n">
        <f aca="false">(AN415*(1+Rate_Cash)-SUMPRODUCT($E346:$E351*$M346:$M351*(YEAR($J346:$J351)=AO364)))*(AO365&lt;$E190)*$E21</f>
        <v>0</v>
      </c>
      <c r="AP415" s="8" t="n">
        <f aca="false">(AO415*(1+Rate_Cash)-SUMPRODUCT($E346:$E351*$M346:$M351*(YEAR($J346:$J351)=AP364)))*(AP365&lt;$E190)*$E21</f>
        <v>0</v>
      </c>
      <c r="AQ415" s="8" t="n">
        <f aca="false">(AP415*(1+Rate_Cash)-SUMPRODUCT($E346:$E351*$M346:$M351*(YEAR($J346:$J351)=AQ364)))*(AQ365&lt;$E190)*$E21</f>
        <v>0</v>
      </c>
      <c r="AR415" s="8" t="n">
        <f aca="false">(AQ415*(1+Rate_Cash)-SUMPRODUCT($E346:$E351*$M346:$M351*(YEAR($J346:$J351)=AR364)))*(AR365&lt;$E190)*$E21</f>
        <v>0</v>
      </c>
      <c r="AS415" s="8" t="n">
        <f aca="false">(AR415*(1+Rate_Cash)-SUMPRODUCT($E346:$E351*$M346:$M351*(YEAR($J346:$J351)=AS364)))*(AS365&lt;$E190)*$E21</f>
        <v>0</v>
      </c>
      <c r="AT415" s="8" t="n">
        <f aca="false">(AS415*(1+Rate_Cash)-SUMPRODUCT($E346:$E351*$M346:$M351*(YEAR($J346:$J351)=AT364)))*(AT365&lt;$E190)*$E21</f>
        <v>0</v>
      </c>
      <c r="AU415" s="8" t="n">
        <f aca="false">(AT415*(1+Rate_Cash)-SUMPRODUCT($E346:$E351*$M346:$M351*(YEAR($J346:$J351)=AU364)))*(AU365&lt;$E190)*$E21</f>
        <v>0</v>
      </c>
      <c r="AV415" s="8" t="n">
        <f aca="false">(AU415*(1+Rate_Cash)-SUMPRODUCT($E346:$E351*$M346:$M351*(YEAR($J346:$J351)=AV364)))*(AV365&lt;$E190)*$E21</f>
        <v>0</v>
      </c>
      <c r="AW415" s="8" t="n">
        <f aca="false">(AV415*(1+Rate_Cash)-SUMPRODUCT($E346:$E351*$M346:$M351*(YEAR($J346:$J351)=AW364)))*(AW365&lt;$E190)*$E21</f>
        <v>0</v>
      </c>
    </row>
    <row r="416" customFormat="false" ht="14.25" hidden="false" customHeight="false" outlineLevel="0" collapsed="false">
      <c r="C416" s="6" t="s">
        <v>340</v>
      </c>
      <c r="D416" s="2" t="s">
        <v>85</v>
      </c>
      <c r="H416" s="8"/>
      <c r="J416" s="8" t="n">
        <f aca="false">(I416*(1+Rate_Devex)-SUMPRODUCT($E352:$E353*$M352:$M353*(YEAR($J352:$J353)=J364)))*(J365&lt;$E190)*$E21</f>
        <v>0</v>
      </c>
      <c r="K416" s="8" t="n">
        <f aca="false">(J416*(1+Rate_Devex)-SUMPRODUCT($E352:$E353*$M352:$M353*(YEAR($J352:$J353)=K364)))*(K365&lt;$E190)*$E21</f>
        <v>716.033459724017</v>
      </c>
      <c r="L416" s="8" t="n">
        <f aca="false">(K416*(1+Rate_Devex)-SUMPRODUCT($E352:$E353*$M352:$M353*(YEAR($J352:$J353)=L364)))*(L365&lt;$E190)*$E21</f>
        <v>981.326219036057</v>
      </c>
      <c r="M416" s="8" t="n">
        <f aca="false">(L416*(1+Rate_Devex)-SUMPRODUCT($E352:$E353*$M352:$M353*(YEAR($J352:$J353)=M364)))*(M365&lt;$E190)*$E21</f>
        <v>0</v>
      </c>
      <c r="N416" s="8" t="n">
        <f aca="false">(M416*(1+Rate_Devex)-SUMPRODUCT($E352:$E353*$M352:$M353*(YEAR($J352:$J353)=N364)))*(N365&lt;$E190)*$E21</f>
        <v>0</v>
      </c>
      <c r="O416" s="8" t="n">
        <f aca="false">(N416*(1+Rate_Devex)-SUMPRODUCT($E352:$E353*$M352:$M353*(YEAR($J352:$J353)=O364)))*(O365&lt;$E190)*$E21</f>
        <v>0</v>
      </c>
      <c r="P416" s="8" t="n">
        <f aca="false">(O416*(1+Rate_Devex)-SUMPRODUCT($E352:$E353*$M352:$M353*(YEAR($J352:$J353)=P364)))*(P365&lt;$E190)*$E21</f>
        <v>0</v>
      </c>
      <c r="Q416" s="8" t="n">
        <f aca="false">(P416*(1+Rate_Devex)-SUMPRODUCT($E352:$E353*$M352:$M353*(YEAR($J352:$J353)=Q364)))*(Q365&lt;$E190)*$E21</f>
        <v>0</v>
      </c>
      <c r="R416" s="8" t="n">
        <f aca="false">(Q416*(1+Rate_Devex)-SUMPRODUCT($E352:$E353*$M352:$M353*(YEAR($J352:$J353)=R364)))*(R365&lt;$E190)*$E21</f>
        <v>0</v>
      </c>
      <c r="S416" s="8" t="n">
        <f aca="false">(R416*(1+Rate_Devex)-SUMPRODUCT($E352:$E353*$M352:$M353*(YEAR($J352:$J353)=S364)))*(S365&lt;$E190)*$E21</f>
        <v>0</v>
      </c>
      <c r="T416" s="8" t="n">
        <f aca="false">(S416*(1+Rate_Devex)-SUMPRODUCT($E352:$E353*$M352:$M353*(YEAR($J352:$J353)=T364)))*(T365&lt;$E190)*$E21</f>
        <v>0</v>
      </c>
      <c r="U416" s="8" t="n">
        <f aca="false">(T416*(1+Rate_Devex)-SUMPRODUCT($E352:$E353*$M352:$M353*(YEAR($J352:$J353)=U364)))*(U365&lt;$E190)*$E21</f>
        <v>0</v>
      </c>
      <c r="V416" s="8" t="n">
        <f aca="false">(U416*(1+Rate_Devex)-SUMPRODUCT($E352:$E353*$M352:$M353*(YEAR($J352:$J353)=V364)))*(V365&lt;$E190)*$E21</f>
        <v>0</v>
      </c>
      <c r="W416" s="8" t="n">
        <f aca="false">(V416*(1+Rate_Devex)-SUMPRODUCT($E352:$E353*$M352:$M353*(YEAR($J352:$J353)=W364)))*(W365&lt;$E190)*$E21</f>
        <v>0</v>
      </c>
      <c r="X416" s="8" t="n">
        <f aca="false">(W416*(1+Rate_Devex)-SUMPRODUCT($E352:$E353*$M352:$M353*(YEAR($J352:$J353)=X364)))*(X365&lt;$E190)*$E21</f>
        <v>0</v>
      </c>
      <c r="Y416" s="8" t="n">
        <f aca="false">(X416*(1+Rate_Devex)-SUMPRODUCT($E352:$E353*$M352:$M353*(YEAR($J352:$J353)=Y364)))*(Y365&lt;$E190)*$E21</f>
        <v>0</v>
      </c>
      <c r="Z416" s="8" t="n">
        <f aca="false">(Y416*(1+Rate_Devex)-SUMPRODUCT($E352:$E353*$M352:$M353*(YEAR($J352:$J353)=Z364)))*(Z365&lt;$E190)*$E21</f>
        <v>0</v>
      </c>
      <c r="AA416" s="8" t="n">
        <f aca="false">(Z416*(1+Rate_Devex)-SUMPRODUCT($E352:$E353*$M352:$M353*(YEAR($J352:$J353)=AA364)))*(AA365&lt;$E190)*$E21</f>
        <v>0</v>
      </c>
      <c r="AB416" s="8" t="n">
        <f aca="false">(AA416*(1+Rate_Devex)-SUMPRODUCT($E352:$E353*$M352:$M353*(YEAR($J352:$J353)=AB364)))*(AB365&lt;$E190)*$E21</f>
        <v>0</v>
      </c>
      <c r="AC416" s="8" t="n">
        <f aca="false">(AB416*(1+Rate_Devex)-SUMPRODUCT($E352:$E353*$M352:$M353*(YEAR($J352:$J353)=AC364)))*(AC365&lt;$E190)*$E21</f>
        <v>0</v>
      </c>
      <c r="AD416" s="8" t="n">
        <f aca="false">(AC416*(1+Rate_Devex)-SUMPRODUCT($E352:$E353*$M352:$M353*(YEAR($J352:$J353)=AD364)))*(AD365&lt;$E190)*$E21</f>
        <v>0</v>
      </c>
      <c r="AE416" s="8" t="n">
        <f aca="false">(AD416*(1+Rate_Devex)-SUMPRODUCT($E352:$E353*$M352:$M353*(YEAR($J352:$J353)=AE364)))*(AE365&lt;$E190)*$E21</f>
        <v>0</v>
      </c>
      <c r="AF416" s="8" t="n">
        <f aca="false">(AE416*(1+Rate_Devex)-SUMPRODUCT($E352:$E353*$M352:$M353*(YEAR($J352:$J353)=AF364)))*(AF365&lt;$E190)*$E21</f>
        <v>0</v>
      </c>
      <c r="AG416" s="8" t="n">
        <f aca="false">(AF416*(1+Rate_Devex)-SUMPRODUCT($E352:$E353*$M352:$M353*(YEAR($J352:$J353)=AG364)))*(AG365&lt;$E190)*$E21</f>
        <v>0</v>
      </c>
      <c r="AH416" s="8" t="n">
        <f aca="false">(AG416*(1+Rate_Devex)-SUMPRODUCT($E352:$E353*$M352:$M353*(YEAR($J352:$J353)=AH364)))*(AH365&lt;$E190)*$E21</f>
        <v>0</v>
      </c>
      <c r="AI416" s="8" t="n">
        <f aca="false">(AH416*(1+Rate_Devex)-SUMPRODUCT($E352:$E353*$M352:$M353*(YEAR($J352:$J353)=AI364)))*(AI365&lt;$E190)*$E21</f>
        <v>0</v>
      </c>
      <c r="AJ416" s="8" t="n">
        <f aca="false">(AI416*(1+Rate_Devex)-SUMPRODUCT($E352:$E353*$M352:$M353*(YEAR($J352:$J353)=AJ364)))*(AJ365&lt;$E190)*$E21</f>
        <v>0</v>
      </c>
      <c r="AK416" s="8" t="n">
        <f aca="false">(AJ416*(1+Rate_Devex)-SUMPRODUCT($E352:$E353*$M352:$M353*(YEAR($J352:$J353)=AK364)))*(AK365&lt;$E190)*$E21</f>
        <v>0</v>
      </c>
      <c r="AL416" s="8" t="n">
        <f aca="false">(AK416*(1+Rate_Devex)-SUMPRODUCT($E352:$E353*$M352:$M353*(YEAR($J352:$J353)=AL364)))*(AL365&lt;$E190)*$E21</f>
        <v>0</v>
      </c>
      <c r="AM416" s="8" t="n">
        <f aca="false">(AL416*(1+Rate_Devex)-SUMPRODUCT($E352:$E353*$M352:$M353*(YEAR($J352:$J353)=AM364)))*(AM365&lt;$E190)*$E21</f>
        <v>0</v>
      </c>
      <c r="AN416" s="8" t="n">
        <f aca="false">(AM416*(1+Rate_Devex)-SUMPRODUCT($E352:$E353*$M352:$M353*(YEAR($J352:$J353)=AN364)))*(AN365&lt;$E190)*$E21</f>
        <v>0</v>
      </c>
      <c r="AO416" s="8" t="n">
        <f aca="false">(AN416*(1+Rate_Devex)-SUMPRODUCT($E352:$E353*$M352:$M353*(YEAR($J352:$J353)=AO364)))*(AO365&lt;$E190)*$E21</f>
        <v>0</v>
      </c>
      <c r="AP416" s="8" t="n">
        <f aca="false">(AO416*(1+Rate_Devex)-SUMPRODUCT($E352:$E353*$M352:$M353*(YEAR($J352:$J353)=AP364)))*(AP365&lt;$E190)*$E21</f>
        <v>0</v>
      </c>
      <c r="AQ416" s="8" t="n">
        <f aca="false">(AP416*(1+Rate_Devex)-SUMPRODUCT($E352:$E353*$M352:$M353*(YEAR($J352:$J353)=AQ364)))*(AQ365&lt;$E190)*$E21</f>
        <v>0</v>
      </c>
      <c r="AR416" s="8" t="n">
        <f aca="false">(AQ416*(1+Rate_Devex)-SUMPRODUCT($E352:$E353*$M352:$M353*(YEAR($J352:$J353)=AR364)))*(AR365&lt;$E190)*$E21</f>
        <v>0</v>
      </c>
      <c r="AS416" s="8" t="n">
        <f aca="false">(AR416*(1+Rate_Devex)-SUMPRODUCT($E352:$E353*$M352:$M353*(YEAR($J352:$J353)=AS364)))*(AS365&lt;$E190)*$E21</f>
        <v>0</v>
      </c>
      <c r="AT416" s="8" t="n">
        <f aca="false">(AS416*(1+Rate_Devex)-SUMPRODUCT($E352:$E353*$M352:$M353*(YEAR($J352:$J353)=AT364)))*(AT365&lt;$E190)*$E21</f>
        <v>0</v>
      </c>
      <c r="AU416" s="8" t="n">
        <f aca="false">(AT416*(1+Rate_Devex)-SUMPRODUCT($E352:$E353*$M352:$M353*(YEAR($J352:$J353)=AU364)))*(AU365&lt;$E190)*$E21</f>
        <v>0</v>
      </c>
      <c r="AV416" s="8" t="n">
        <f aca="false">(AU416*(1+Rate_Devex)-SUMPRODUCT($E352:$E353*$M352:$M353*(YEAR($J352:$J353)=AV364)))*(AV365&lt;$E190)*$E21</f>
        <v>0</v>
      </c>
      <c r="AW416" s="8" t="n">
        <f aca="false">(AV416*(1+Rate_Devex)-SUMPRODUCT($E352:$E353*$M352:$M353*(YEAR($J352:$J353)=AW364)))*(AW365&lt;$E190)*$E21</f>
        <v>0</v>
      </c>
    </row>
    <row r="417" customFormat="false" ht="14.25" hidden="false" customHeight="false" outlineLevel="0" collapsed="false">
      <c r="C417" s="6" t="s">
        <v>341</v>
      </c>
      <c r="D417" s="2" t="s">
        <v>85</v>
      </c>
      <c r="H417" s="8" t="n">
        <f aca="false">SUM(J417:AW417)</f>
        <v>13465.7175204585</v>
      </c>
      <c r="J417" s="8" t="n">
        <f aca="false">-SUMPRODUCT($E346:$E353*(YEAR($J346:$J353)=J364))*(J365&lt;$E190)*$E21</f>
        <v>396.712328767123</v>
      </c>
      <c r="K417" s="8" t="n">
        <f aca="false">-SUMPRODUCT($E346:$E353*(YEAR($J346:$J353)=K364))*(K365&lt;$E190)*$E21</f>
        <v>2871.50977525301</v>
      </c>
      <c r="L417" s="8" t="n">
        <f aca="false">-SUMPRODUCT($E346:$E353*(YEAR($J346:$J353)=L364))*(L365&lt;$E190)*$E21</f>
        <v>10197.4954164384</v>
      </c>
      <c r="M417" s="8" t="n">
        <f aca="false">-SUMPRODUCT($E346:$E353*(YEAR($J346:$J353)=M364))*(M365&lt;$E190)*$E21</f>
        <v>-0</v>
      </c>
      <c r="N417" s="8" t="n">
        <f aca="false">-SUMPRODUCT($E346:$E353*(YEAR($J346:$J353)=N364))*(N365&lt;$E190)*$E21</f>
        <v>-0</v>
      </c>
      <c r="O417" s="8" t="n">
        <f aca="false">-SUMPRODUCT($E346:$E353*(YEAR($J346:$J353)=O364))*(O365&lt;$E190)*$E21</f>
        <v>-0</v>
      </c>
      <c r="P417" s="8" t="n">
        <f aca="false">-SUMPRODUCT($E346:$E353*(YEAR($J346:$J353)=P364))*(P365&lt;$E190)*$E21</f>
        <v>-0</v>
      </c>
      <c r="Q417" s="8" t="n">
        <f aca="false">-SUMPRODUCT($E346:$E353*(YEAR($J346:$J353)=Q364))*(Q365&lt;$E190)*$E21</f>
        <v>-0</v>
      </c>
      <c r="R417" s="8" t="n">
        <f aca="false">-SUMPRODUCT($E346:$E353*(YEAR($J346:$J353)=R364))*(R365&lt;$E190)*$E21</f>
        <v>-0</v>
      </c>
      <c r="S417" s="8" t="n">
        <f aca="false">-SUMPRODUCT($E346:$E353*(YEAR($J346:$J353)=S364))*(S365&lt;$E190)*$E21</f>
        <v>-0</v>
      </c>
      <c r="T417" s="8" t="n">
        <f aca="false">-SUMPRODUCT($E346:$E353*(YEAR($J346:$J353)=T364))*(T365&lt;$E190)*$E21</f>
        <v>-0</v>
      </c>
      <c r="U417" s="8" t="n">
        <f aca="false">-SUMPRODUCT($E346:$E353*(YEAR($J346:$J353)=U364))*(U365&lt;$E190)*$E21</f>
        <v>-0</v>
      </c>
      <c r="V417" s="8" t="n">
        <f aca="false">-SUMPRODUCT($E346:$E353*(YEAR($J346:$J353)=V364))*(V365&lt;$E190)*$E21</f>
        <v>-0</v>
      </c>
      <c r="W417" s="8" t="n">
        <f aca="false">-SUMPRODUCT($E346:$E353*(YEAR($J346:$J353)=W364))*(W365&lt;$E190)*$E21</f>
        <v>-0</v>
      </c>
      <c r="X417" s="8" t="n">
        <f aca="false">-SUMPRODUCT($E346:$E353*(YEAR($J346:$J353)=X364))*(X365&lt;$E190)*$E21</f>
        <v>-0</v>
      </c>
      <c r="Y417" s="8" t="n">
        <f aca="false">-SUMPRODUCT($E346:$E353*(YEAR($J346:$J353)=Y364))*(Y365&lt;$E190)*$E21</f>
        <v>-0</v>
      </c>
      <c r="Z417" s="8" t="n">
        <f aca="false">-SUMPRODUCT($E346:$E353*(YEAR($J346:$J353)=Z364))*(Z365&lt;$E190)*$E21</f>
        <v>-0</v>
      </c>
      <c r="AA417" s="8" t="n">
        <f aca="false">-SUMPRODUCT($E346:$E353*(YEAR($J346:$J353)=AA364))*(AA365&lt;$E190)*$E21</f>
        <v>-0</v>
      </c>
      <c r="AB417" s="8" t="n">
        <f aca="false">-SUMPRODUCT($E346:$E353*(YEAR($J346:$J353)=AB364))*(AB365&lt;$E190)*$E21</f>
        <v>-0</v>
      </c>
      <c r="AC417" s="8" t="n">
        <f aca="false">-SUMPRODUCT($E346:$E353*(YEAR($J346:$J353)=AC364))*(AC365&lt;$E190)*$E21</f>
        <v>-0</v>
      </c>
      <c r="AD417" s="8" t="n">
        <f aca="false">-SUMPRODUCT($E346:$E353*(YEAR($J346:$J353)=AD364))*(AD365&lt;$E190)*$E21</f>
        <v>-0</v>
      </c>
      <c r="AE417" s="8" t="n">
        <f aca="false">-SUMPRODUCT($E346:$E353*(YEAR($J346:$J353)=AE364))*(AE365&lt;$E190)*$E21</f>
        <v>-0</v>
      </c>
      <c r="AF417" s="8" t="n">
        <f aca="false">-SUMPRODUCT($E346:$E353*(YEAR($J346:$J353)=AF364))*(AF365&lt;$E190)*$E21</f>
        <v>-0</v>
      </c>
      <c r="AG417" s="8" t="n">
        <f aca="false">-SUMPRODUCT($E346:$E353*(YEAR($J346:$J353)=AG364))*(AG365&lt;$E190)*$E21</f>
        <v>-0</v>
      </c>
      <c r="AH417" s="8" t="n">
        <f aca="false">-SUMPRODUCT($E346:$E353*(YEAR($J346:$J353)=AH364))*(AH365&lt;$E190)*$E21</f>
        <v>-0</v>
      </c>
      <c r="AI417" s="8" t="n">
        <f aca="false">-SUMPRODUCT($E346:$E353*(YEAR($J346:$J353)=AI364))*(AI365&lt;$E190)*$E21</f>
        <v>-0</v>
      </c>
      <c r="AJ417" s="8" t="n">
        <f aca="false">-SUMPRODUCT($E346:$E353*(YEAR($J346:$J353)=AJ364))*(AJ365&lt;$E190)*$E21</f>
        <v>-0</v>
      </c>
      <c r="AK417" s="8" t="n">
        <f aca="false">-SUMPRODUCT($E346:$E353*(YEAR($J346:$J353)=AK364))*(AK365&lt;$E190)*$E21</f>
        <v>-0</v>
      </c>
      <c r="AL417" s="8" t="n">
        <f aca="false">-SUMPRODUCT($E346:$E353*(YEAR($J346:$J353)=AL364))*(AL365&lt;$E190)*$E21</f>
        <v>-0</v>
      </c>
      <c r="AM417" s="8" t="n">
        <f aca="false">-SUMPRODUCT($E346:$E353*(YEAR($J346:$J353)=AM364))*(AM365&lt;$E190)*$E21</f>
        <v>-0</v>
      </c>
      <c r="AN417" s="8" t="n">
        <f aca="false">-SUMPRODUCT($E346:$E353*(YEAR($J346:$J353)=AN364))*(AN365&lt;$E190)*$E21</f>
        <v>-0</v>
      </c>
      <c r="AO417" s="8" t="n">
        <f aca="false">-SUMPRODUCT($E346:$E353*(YEAR($J346:$J353)=AO364))*(AO365&lt;$E190)*$E21</f>
        <v>-0</v>
      </c>
      <c r="AP417" s="8" t="n">
        <f aca="false">-SUMPRODUCT($E346:$E353*(YEAR($J346:$J353)=AP364))*(AP365&lt;$E190)*$E21</f>
        <v>-0</v>
      </c>
      <c r="AQ417" s="8" t="n">
        <f aca="false">-SUMPRODUCT($E346:$E353*(YEAR($J346:$J353)=AQ364))*(AQ365&lt;$E190)*$E21</f>
        <v>-0</v>
      </c>
      <c r="AR417" s="8" t="n">
        <f aca="false">-SUMPRODUCT($E346:$E353*(YEAR($J346:$J353)=AR364))*(AR365&lt;$E190)*$E21</f>
        <v>-0</v>
      </c>
      <c r="AS417" s="8" t="n">
        <f aca="false">-SUMPRODUCT($E346:$E353*(YEAR($J346:$J353)=AS364))*(AS365&lt;$E190)*$E21</f>
        <v>-0</v>
      </c>
      <c r="AT417" s="8" t="n">
        <f aca="false">-SUMPRODUCT($E346:$E353*(YEAR($J346:$J353)=AT364))*(AT365&lt;$E190)*$E21</f>
        <v>-0</v>
      </c>
      <c r="AU417" s="8" t="n">
        <f aca="false">-SUMPRODUCT($E346:$E353*(YEAR($J346:$J353)=AU364))*(AU365&lt;$E190)*$E21</f>
        <v>-0</v>
      </c>
      <c r="AV417" s="8" t="n">
        <f aca="false">-SUMPRODUCT($E346:$E353*(YEAR($J346:$J353)=AV364))*(AV365&lt;$E190)*$E21</f>
        <v>-0</v>
      </c>
      <c r="AW417" s="8" t="n">
        <f aca="false">-SUMPRODUCT($E346:$E353*(YEAR($J346:$J353)=AW364))*(AW365&lt;$E190)*$E21</f>
        <v>-0</v>
      </c>
    </row>
    <row r="418" customFormat="false" ht="14.25" hidden="false" customHeight="false" outlineLevel="0" collapsed="false">
      <c r="C418" s="6" t="s">
        <v>342</v>
      </c>
      <c r="D418" s="2" t="s">
        <v>85</v>
      </c>
      <c r="H418" s="8" t="n">
        <f aca="false">SUM(J418:AW418)</f>
        <v>1129.7991176977</v>
      </c>
      <c r="J418" s="8" t="n">
        <f aca="false">(J415+J416-I415-I416-J417)*(J365&lt;$E190)*$E21</f>
        <v>8.21683617939578</v>
      </c>
      <c r="K418" s="8" t="n">
        <f aca="false">(K415+K416-J415-J416-K417)*(K365&lt;$E190)*$E21</f>
        <v>313.985621494844</v>
      </c>
      <c r="L418" s="8" t="n">
        <f aca="false">(L415+L416-K415-K416-L417)*(L365&lt;$E190)*$E21</f>
        <v>807.596660023464</v>
      </c>
      <c r="M418" s="8" t="n">
        <f aca="false">(M415+M416-L415-L416-M417)*(M365&lt;$E190)*$E21</f>
        <v>-0</v>
      </c>
      <c r="N418" s="8" t="n">
        <f aca="false">(N415+N416-M415-M416-N417)*(N365&lt;$E190)*$E21</f>
        <v>0</v>
      </c>
      <c r="O418" s="8" t="n">
        <f aca="false">(O415+O416-N415-N416-O417)*(O365&lt;$E190)*$E21</f>
        <v>0</v>
      </c>
      <c r="P418" s="8" t="n">
        <f aca="false">(P415+P416-O415-O416-P417)*(P365&lt;$E190)*$E21</f>
        <v>0</v>
      </c>
      <c r="Q418" s="8" t="n">
        <f aca="false">(Q415+Q416-P415-P416-Q417)*(Q365&lt;$E190)*$E21</f>
        <v>0</v>
      </c>
      <c r="R418" s="8" t="n">
        <f aca="false">(R415+R416-Q415-Q416-R417)*(R365&lt;$E190)*$E21</f>
        <v>0</v>
      </c>
      <c r="S418" s="8" t="n">
        <f aca="false">(S415+S416-R415-R416-S417)*(S365&lt;$E190)*$E21</f>
        <v>0</v>
      </c>
      <c r="T418" s="8" t="n">
        <f aca="false">(T415+T416-S415-S416-T417)*(T365&lt;$E190)*$E21</f>
        <v>0</v>
      </c>
      <c r="U418" s="8" t="n">
        <f aca="false">(U415+U416-T415-T416-U417)*(U365&lt;$E190)*$E21</f>
        <v>0</v>
      </c>
      <c r="V418" s="8" t="n">
        <f aca="false">(V415+V416-U415-U416-V417)*(V365&lt;$E190)*$E21</f>
        <v>0</v>
      </c>
      <c r="W418" s="8" t="n">
        <f aca="false">(W415+W416-V415-V416-W417)*(W365&lt;$E190)*$E21</f>
        <v>0</v>
      </c>
      <c r="X418" s="8" t="n">
        <f aca="false">(X415+X416-W415-W416-X417)*(X365&lt;$E190)*$E21</f>
        <v>0</v>
      </c>
      <c r="Y418" s="8" t="n">
        <f aca="false">(Y415+Y416-X415-X416-Y417)*(Y365&lt;$E190)*$E21</f>
        <v>0</v>
      </c>
      <c r="Z418" s="8" t="n">
        <f aca="false">(Z415+Z416-Y415-Y416-Z417)*(Z365&lt;$E190)*$E21</f>
        <v>0</v>
      </c>
      <c r="AA418" s="8" t="n">
        <f aca="false">(AA415+AA416-Z415-Z416-AA417)*(AA365&lt;$E190)*$E21</f>
        <v>0</v>
      </c>
      <c r="AB418" s="8" t="n">
        <f aca="false">(AB415+AB416-AA415-AA416-AB417)*(AB365&lt;$E190)*$E21</f>
        <v>0</v>
      </c>
      <c r="AC418" s="8" t="n">
        <f aca="false">(AC415+AC416-AB415-AB416-AC417)*(AC365&lt;$E190)*$E21</f>
        <v>0</v>
      </c>
      <c r="AD418" s="8" t="n">
        <f aca="false">(AD415+AD416-AC415-AC416-AD417)*(AD365&lt;$E190)*$E21</f>
        <v>0</v>
      </c>
      <c r="AE418" s="8" t="n">
        <f aca="false">(AE415+AE416-AD415-AD416-AE417)*(AE365&lt;$E190)*$E21</f>
        <v>0</v>
      </c>
      <c r="AF418" s="8" t="n">
        <f aca="false">(AF415+AF416-AE415-AE416-AF417)*(AF365&lt;$E190)*$E21</f>
        <v>0</v>
      </c>
      <c r="AG418" s="8" t="n">
        <f aca="false">(AG415+AG416-AF415-AF416-AG417)*(AG365&lt;$E190)*$E21</f>
        <v>0</v>
      </c>
      <c r="AH418" s="8" t="n">
        <f aca="false">(AH415+AH416-AG415-AG416-AH417)*(AH365&lt;$E190)*$E21</f>
        <v>0</v>
      </c>
      <c r="AI418" s="8" t="n">
        <f aca="false">(AI415+AI416-AH415-AH416-AI417)*(AI365&lt;$E190)*$E21</f>
        <v>0</v>
      </c>
      <c r="AJ418" s="8" t="n">
        <f aca="false">(AJ415+AJ416-AI415-AI416-AJ417)*(AJ365&lt;$E190)*$E21</f>
        <v>0</v>
      </c>
      <c r="AK418" s="8" t="n">
        <f aca="false">(AK415+AK416-AJ415-AJ416-AK417)*(AK365&lt;$E190)*$E21</f>
        <v>0</v>
      </c>
      <c r="AL418" s="8" t="n">
        <f aca="false">(AL415+AL416-AK415-AK416-AL417)*(AL365&lt;$E190)*$E21</f>
        <v>0</v>
      </c>
      <c r="AM418" s="8" t="n">
        <f aca="false">(AM415+AM416-AL415-AL416-AM417)*(AM365&lt;$E190)*$E21</f>
        <v>0</v>
      </c>
      <c r="AN418" s="8" t="n">
        <f aca="false">(AN415+AN416-AM415-AM416-AN417)*(AN365&lt;$E190)*$E21</f>
        <v>0</v>
      </c>
      <c r="AO418" s="8" t="n">
        <f aca="false">(AO415+AO416-AN415-AN416-AO417)*(AO365&lt;$E190)*$E21</f>
        <v>0</v>
      </c>
      <c r="AP418" s="8" t="n">
        <f aca="false">(AP415+AP416-AO415-AO416-AP417)*(AP365&lt;$E190)*$E21</f>
        <v>0</v>
      </c>
      <c r="AQ418" s="8" t="n">
        <f aca="false">(AQ415+AQ416-AP415-AP416-AQ417)*(AQ365&lt;$E190)*$E21</f>
        <v>0</v>
      </c>
      <c r="AR418" s="8" t="n">
        <f aca="false">(AR415+AR416-AQ415-AQ416-AR417)*(AR365&lt;$E190)*$E21</f>
        <v>0</v>
      </c>
      <c r="AS418" s="8" t="n">
        <f aca="false">(AS415+AS416-AR415-AR416-AS417)*(AS365&lt;$E190)*$E21</f>
        <v>0</v>
      </c>
      <c r="AT418" s="8" t="n">
        <f aca="false">(AT415+AT416-AS415-AS416-AT417)*(AT365&lt;$E190)*$E21</f>
        <v>0</v>
      </c>
      <c r="AU418" s="8" t="n">
        <f aca="false">(AU415+AU416-AT415-AT416-AU417)*(AU365&lt;$E190)*$E21</f>
        <v>0</v>
      </c>
      <c r="AV418" s="8" t="n">
        <f aca="false">(AV415+AV416-AU415-AU416-AV417)*(AV365&lt;$E190)*$E21</f>
        <v>0</v>
      </c>
      <c r="AW418" s="8" t="n">
        <f aca="false">(AW415+AW416-AV415-AV416-AW417)*(AW365&lt;$E190)*$E21</f>
        <v>0</v>
      </c>
    </row>
    <row r="419" customFormat="false" ht="14.25" hidden="false" customHeight="false" outlineLevel="0" collapsed="false">
      <c r="C419" s="6" t="s">
        <v>343</v>
      </c>
      <c r="D419" s="2" t="s">
        <v>85</v>
      </c>
      <c r="H419" s="8"/>
      <c r="J419" s="8" t="n">
        <f aca="false">(I419*(1+Rate_Cash)-SUMPRODUCT($E293:$E296*$M293:$M296*(YEAR($J293:$J296)=J364)))*(J365&lt;$E230)*$E21</f>
        <v>404.929164946519</v>
      </c>
      <c r="K419" s="8" t="n">
        <f aca="false">(J419*(1+Rate_Cash)-SUMPRODUCT($E293:$E296*$M293:$M296*(YEAR($J293:$J296)=K364)))*(K365&lt;$E230)*$E21</f>
        <v>2874.39110197035</v>
      </c>
      <c r="L419" s="8" t="n">
        <f aca="false">(K419*(1+Rate_Cash)-SUMPRODUCT($E293:$E296*$M293:$M296*(YEAR($J293:$J296)=L364)))*(L365&lt;$E230)*$E21</f>
        <v>0</v>
      </c>
      <c r="M419" s="8" t="n">
        <f aca="false">(L419*(1+Rate_Cash)-SUMPRODUCT($E293:$E296*$M293:$M296*(YEAR($J293:$J296)=M364)))*(M365&lt;$E230)*$E21</f>
        <v>0</v>
      </c>
      <c r="N419" s="8" t="n">
        <f aca="false">(M419*(1+Rate_Cash)-SUMPRODUCT($E293:$E296*$M293:$M296*(YEAR($J293:$J296)=N364)))*(N365&lt;$E230)*$E21</f>
        <v>0</v>
      </c>
      <c r="O419" s="8" t="n">
        <f aca="false">(N419*(1+Rate_Cash)-SUMPRODUCT($E293:$E296*$M293:$M296*(YEAR($J293:$J296)=O364)))*(O365&lt;$E230)*$E21</f>
        <v>0</v>
      </c>
      <c r="P419" s="8" t="n">
        <f aca="false">(O419*(1+Rate_Cash)-SUMPRODUCT($E293:$E296*$M293:$M296*(YEAR($J293:$J296)=P364)))*(P365&lt;$E230)*$E21</f>
        <v>0</v>
      </c>
      <c r="Q419" s="8" t="n">
        <f aca="false">(P419*(1+Rate_Cash)-SUMPRODUCT($E293:$E296*$M293:$M296*(YEAR($J293:$J296)=Q364)))*(Q365&lt;$E230)*$E21</f>
        <v>0</v>
      </c>
      <c r="R419" s="8" t="n">
        <f aca="false">(Q419*(1+Rate_Cash)-SUMPRODUCT($E293:$E296*$M293:$M296*(YEAR($J293:$J296)=R364)))*(R365&lt;$E230)*$E21</f>
        <v>0</v>
      </c>
      <c r="S419" s="8" t="n">
        <f aca="false">(R419*(1+Rate_Cash)-SUMPRODUCT($E293:$E296*$M293:$M296*(YEAR($J293:$J296)=S364)))*(S365&lt;$E230)*$E21</f>
        <v>0</v>
      </c>
      <c r="T419" s="8" t="n">
        <f aca="false">(S419*(1+Rate_Cash)-SUMPRODUCT($E293:$E296*$M293:$M296*(YEAR($J293:$J296)=T364)))*(T365&lt;$E230)*$E21</f>
        <v>0</v>
      </c>
      <c r="U419" s="8" t="n">
        <f aca="false">(T419*(1+Rate_Cash)-SUMPRODUCT($E293:$E296*$M293:$M296*(YEAR($J293:$J296)=U364)))*(U365&lt;$E230)*$E21</f>
        <v>0</v>
      </c>
      <c r="V419" s="8" t="n">
        <f aca="false">(U419*(1+Rate_Cash)-SUMPRODUCT($E293:$E296*$M293:$M296*(YEAR($J293:$J296)=V364)))*(V365&lt;$E230)*$E21</f>
        <v>0</v>
      </c>
      <c r="W419" s="8" t="n">
        <f aca="false">(V419*(1+Rate_Cash)-SUMPRODUCT($E293:$E296*$M293:$M296*(YEAR($J293:$J296)=W364)))*(W365&lt;$E230)*$E21</f>
        <v>0</v>
      </c>
      <c r="X419" s="8" t="n">
        <f aca="false">(W419*(1+Rate_Cash)-SUMPRODUCT($E293:$E296*$M293:$M296*(YEAR($J293:$J296)=X364)))*(X365&lt;$E230)*$E21</f>
        <v>0</v>
      </c>
      <c r="Y419" s="8" t="n">
        <f aca="false">(X419*(1+Rate_Cash)-SUMPRODUCT($E293:$E296*$M293:$M296*(YEAR($J293:$J296)=Y364)))*(Y365&lt;$E230)*$E21</f>
        <v>0</v>
      </c>
      <c r="Z419" s="8" t="n">
        <f aca="false">(Y419*(1+Rate_Cash)-SUMPRODUCT($E293:$E296*$M293:$M296*(YEAR($J293:$J296)=Z364)))*(Z365&lt;$E230)*$E21</f>
        <v>0</v>
      </c>
      <c r="AA419" s="8" t="n">
        <f aca="false">(Z419*(1+Rate_Cash)-SUMPRODUCT($E293:$E296*$M293:$M296*(YEAR($J293:$J296)=AA364)))*(AA365&lt;$E230)*$E21</f>
        <v>0</v>
      </c>
      <c r="AB419" s="8" t="n">
        <f aca="false">(AA419*(1+Rate_Cash)-SUMPRODUCT($E293:$E296*$M293:$M296*(YEAR($J293:$J296)=AB364)))*(AB365&lt;$E230)*$E21</f>
        <v>0</v>
      </c>
      <c r="AC419" s="8" t="n">
        <f aca="false">(AB419*(1+Rate_Cash)-SUMPRODUCT($E293:$E296*$M293:$M296*(YEAR($J293:$J296)=AC364)))*(AC365&lt;$E230)*$E21</f>
        <v>0</v>
      </c>
      <c r="AD419" s="8" t="n">
        <f aca="false">(AC419*(1+Rate_Cash)-SUMPRODUCT($E293:$E296*$M293:$M296*(YEAR($J293:$J296)=AD364)))*(AD365&lt;$E230)*$E21</f>
        <v>0</v>
      </c>
      <c r="AE419" s="8" t="n">
        <f aca="false">(AD419*(1+Rate_Cash)-SUMPRODUCT($E293:$E296*$M293:$M296*(YEAR($J293:$J296)=AE364)))*(AE365&lt;$E230)*$E21</f>
        <v>0</v>
      </c>
      <c r="AF419" s="8" t="n">
        <f aca="false">(AE419*(1+Rate_Cash)-SUMPRODUCT($E293:$E296*$M293:$M296*(YEAR($J293:$J296)=AF364)))*(AF365&lt;$E230)*$E21</f>
        <v>0</v>
      </c>
      <c r="AG419" s="8" t="n">
        <f aca="false">(AF419*(1+Rate_Cash)-SUMPRODUCT($E293:$E296*$M293:$M296*(YEAR($J293:$J296)=AG364)))*(AG365&lt;$E230)*$E21</f>
        <v>0</v>
      </c>
      <c r="AH419" s="8" t="n">
        <f aca="false">(AG419*(1+Rate_Cash)-SUMPRODUCT($E293:$E296*$M293:$M296*(YEAR($J293:$J296)=AH364)))*(AH365&lt;$E230)*$E21</f>
        <v>0</v>
      </c>
      <c r="AI419" s="8" t="n">
        <f aca="false">(AH419*(1+Rate_Cash)-SUMPRODUCT($E293:$E296*$M293:$M296*(YEAR($J293:$J296)=AI364)))*(AI365&lt;$E230)*$E21</f>
        <v>0</v>
      </c>
      <c r="AJ419" s="8" t="n">
        <f aca="false">(AI419*(1+Rate_Cash)-SUMPRODUCT($E293:$E296*$M293:$M296*(YEAR($J293:$J296)=AJ364)))*(AJ365&lt;$E230)*$E21</f>
        <v>0</v>
      </c>
      <c r="AK419" s="8" t="n">
        <f aca="false">(AJ419*(1+Rate_Cash)-SUMPRODUCT($E293:$E296*$M293:$M296*(YEAR($J293:$J296)=AK364)))*(AK365&lt;$E230)*$E21</f>
        <v>0</v>
      </c>
      <c r="AL419" s="8" t="n">
        <f aca="false">(AK419*(1+Rate_Cash)-SUMPRODUCT($E293:$E296*$M293:$M296*(YEAR($J293:$J296)=AL364)))*(AL365&lt;$E230)*$E21</f>
        <v>0</v>
      </c>
      <c r="AM419" s="8" t="n">
        <f aca="false">(AL419*(1+Rate_Cash)-SUMPRODUCT($E293:$E296*$M293:$M296*(YEAR($J293:$J296)=AM364)))*(AM365&lt;$E230)*$E21</f>
        <v>0</v>
      </c>
      <c r="AN419" s="8" t="n">
        <f aca="false">(AM419*(1+Rate_Cash)-SUMPRODUCT($E293:$E296*$M293:$M296*(YEAR($J293:$J296)=AN364)))*(AN365&lt;$E230)*$E21</f>
        <v>0</v>
      </c>
      <c r="AO419" s="8" t="n">
        <f aca="false">(AN419*(1+Rate_Cash)-SUMPRODUCT($E293:$E296*$M293:$M296*(YEAR($J293:$J296)=AO364)))*(AO365&lt;$E230)*$E21</f>
        <v>0</v>
      </c>
      <c r="AP419" s="8" t="n">
        <f aca="false">(AO419*(1+Rate_Cash)-SUMPRODUCT($E293:$E296*$M293:$M296*(YEAR($J293:$J296)=AP364)))*(AP365&lt;$E230)*$E21</f>
        <v>0</v>
      </c>
      <c r="AQ419" s="8" t="n">
        <f aca="false">(AP419*(1+Rate_Cash)-SUMPRODUCT($E293:$E296*$M293:$M296*(YEAR($J293:$J296)=AQ364)))*(AQ365&lt;$E230)*$E21</f>
        <v>0</v>
      </c>
      <c r="AR419" s="8" t="n">
        <f aca="false">(AQ419*(1+Rate_Cash)-SUMPRODUCT($E293:$E296*$M293:$M296*(YEAR($J293:$J296)=AR364)))*(AR365&lt;$E230)*$E21</f>
        <v>0</v>
      </c>
      <c r="AS419" s="8" t="n">
        <f aca="false">(AR419*(1+Rate_Cash)-SUMPRODUCT($E293:$E296*$M293:$M296*(YEAR($J293:$J296)=AS364)))*(AS365&lt;$E230)*$E21</f>
        <v>0</v>
      </c>
      <c r="AT419" s="8" t="n">
        <f aca="false">(AS419*(1+Rate_Cash)-SUMPRODUCT($E293:$E296*$M293:$M296*(YEAR($J293:$J296)=AT364)))*(AT365&lt;$E230)*$E21</f>
        <v>0</v>
      </c>
      <c r="AU419" s="8" t="n">
        <f aca="false">(AT419*(1+Rate_Cash)-SUMPRODUCT($E293:$E296*$M293:$M296*(YEAR($J293:$J296)=AU364)))*(AU365&lt;$E230)*$E21</f>
        <v>0</v>
      </c>
      <c r="AV419" s="8" t="n">
        <f aca="false">(AU419*(1+Rate_Cash)-SUMPRODUCT($E293:$E296*$M293:$M296*(YEAR($J293:$J296)=AV364)))*(AV365&lt;$E230)*$E21</f>
        <v>0</v>
      </c>
      <c r="AW419" s="8" t="n">
        <f aca="false">(AV419*(1+Rate_Cash)-SUMPRODUCT($E293:$E296*$M293:$M296*(YEAR($J293:$J296)=AW364)))*(AW365&lt;$E230)*$E21</f>
        <v>0</v>
      </c>
    </row>
    <row r="420" customFormat="false" ht="14.25" hidden="false" customHeight="false" outlineLevel="0" collapsed="false">
      <c r="C420" s="6" t="s">
        <v>344</v>
      </c>
      <c r="D420" s="2" t="s">
        <v>85</v>
      </c>
      <c r="H420" s="8"/>
      <c r="J420" s="8" t="n">
        <f aca="false">(I420*(1+Rate_Devex)-SUMPRODUCT($E297:$E298*$M297:$M298*(YEAR($J297:$J298)=J364)))*(J365&lt;$E230)*$E21</f>
        <v>0</v>
      </c>
      <c r="K420" s="8" t="n">
        <f aca="false">(J420*(1+Rate_Devex)-SUMPRODUCT($E297:$E298*$M297:$M298*(YEAR($J297:$J298)=K364)))*(K365&lt;$E230)*$E21</f>
        <v>751.660032627003</v>
      </c>
      <c r="L420" s="8" t="n">
        <f aca="false">(K420*(1+Rate_Devex)-SUMPRODUCT($E297:$E298*$M297:$M298*(YEAR($J297:$J298)=L364)))*(L365&lt;$E230)*$E21</f>
        <v>0</v>
      </c>
      <c r="M420" s="8" t="n">
        <f aca="false">(L420*(1+Rate_Devex)-SUMPRODUCT($E297:$E298*$M297:$M298*(YEAR($J297:$J298)=M364)))*(M365&lt;$E230)*$E21</f>
        <v>0</v>
      </c>
      <c r="N420" s="8" t="n">
        <f aca="false">(M420*(1+Rate_Devex)-SUMPRODUCT($E297:$E298*$M297:$M298*(YEAR($J297:$J298)=N364)))*(N365&lt;$E230)*$E21</f>
        <v>0</v>
      </c>
      <c r="O420" s="8" t="n">
        <f aca="false">(N420*(1+Rate_Devex)-SUMPRODUCT($E297:$E298*$M297:$M298*(YEAR($J297:$J298)=O364)))*(O365&lt;$E230)*$E21</f>
        <v>0</v>
      </c>
      <c r="P420" s="8" t="n">
        <f aca="false">(O420*(1+Rate_Devex)-SUMPRODUCT($E297:$E298*$M297:$M298*(YEAR($J297:$J298)=P364)))*(P365&lt;$E230)*$E21</f>
        <v>0</v>
      </c>
      <c r="Q420" s="8" t="n">
        <f aca="false">(P420*(1+Rate_Devex)-SUMPRODUCT($E297:$E298*$M297:$M298*(YEAR($J297:$J298)=Q364)))*(Q365&lt;$E230)*$E21</f>
        <v>0</v>
      </c>
      <c r="R420" s="8" t="n">
        <f aca="false">(Q420*(1+Rate_Devex)-SUMPRODUCT($E297:$E298*$M297:$M298*(YEAR($J297:$J298)=R364)))*(R365&lt;$E230)*$E21</f>
        <v>0</v>
      </c>
      <c r="S420" s="8" t="n">
        <f aca="false">(R420*(1+Rate_Devex)-SUMPRODUCT($E297:$E298*$M297:$M298*(YEAR($J297:$J298)=S364)))*(S365&lt;$E230)*$E21</f>
        <v>0</v>
      </c>
      <c r="T420" s="8" t="n">
        <f aca="false">(S420*(1+Rate_Devex)-SUMPRODUCT($E297:$E298*$M297:$M298*(YEAR($J297:$J298)=T364)))*(T365&lt;$E230)*$E21</f>
        <v>0</v>
      </c>
      <c r="U420" s="8" t="n">
        <f aca="false">(T420*(1+Rate_Devex)-SUMPRODUCT($E297:$E298*$M297:$M298*(YEAR($J297:$J298)=U364)))*(U365&lt;$E230)*$E21</f>
        <v>0</v>
      </c>
      <c r="V420" s="8" t="n">
        <f aca="false">(U420*(1+Rate_Devex)-SUMPRODUCT($E297:$E298*$M297:$M298*(YEAR($J297:$J298)=V364)))*(V365&lt;$E230)*$E21</f>
        <v>0</v>
      </c>
      <c r="W420" s="8" t="n">
        <f aca="false">(V420*(1+Rate_Devex)-SUMPRODUCT($E297:$E298*$M297:$M298*(YEAR($J297:$J298)=W364)))*(W365&lt;$E230)*$E21</f>
        <v>0</v>
      </c>
      <c r="X420" s="8" t="n">
        <f aca="false">(W420*(1+Rate_Devex)-SUMPRODUCT($E297:$E298*$M297:$M298*(YEAR($J297:$J298)=X364)))*(X365&lt;$E230)*$E21</f>
        <v>0</v>
      </c>
      <c r="Y420" s="8" t="n">
        <f aca="false">(X420*(1+Rate_Devex)-SUMPRODUCT($E297:$E298*$M297:$M298*(YEAR($J297:$J298)=Y364)))*(Y365&lt;$E230)*$E21</f>
        <v>0</v>
      </c>
      <c r="Z420" s="8" t="n">
        <f aca="false">(Y420*(1+Rate_Devex)-SUMPRODUCT($E297:$E298*$M297:$M298*(YEAR($J297:$J298)=Z364)))*(Z365&lt;$E230)*$E21</f>
        <v>0</v>
      </c>
      <c r="AA420" s="8" t="n">
        <f aca="false">(Z420*(1+Rate_Devex)-SUMPRODUCT($E297:$E298*$M297:$M298*(YEAR($J297:$J298)=AA364)))*(AA365&lt;$E230)*$E21</f>
        <v>0</v>
      </c>
      <c r="AB420" s="8" t="n">
        <f aca="false">(AA420*(1+Rate_Devex)-SUMPRODUCT($E297:$E298*$M297:$M298*(YEAR($J297:$J298)=AB364)))*(AB365&lt;$E230)*$E21</f>
        <v>0</v>
      </c>
      <c r="AC420" s="8" t="n">
        <f aca="false">(AB420*(1+Rate_Devex)-SUMPRODUCT($E297:$E298*$M297:$M298*(YEAR($J297:$J298)=AC364)))*(AC365&lt;$E230)*$E21</f>
        <v>0</v>
      </c>
      <c r="AD420" s="8" t="n">
        <f aca="false">(AC420*(1+Rate_Devex)-SUMPRODUCT($E297:$E298*$M297:$M298*(YEAR($J297:$J298)=AD364)))*(AD365&lt;$E230)*$E21</f>
        <v>0</v>
      </c>
      <c r="AE420" s="8" t="n">
        <f aca="false">(AD420*(1+Rate_Devex)-SUMPRODUCT($E297:$E298*$M297:$M298*(YEAR($J297:$J298)=AE364)))*(AE365&lt;$E230)*$E21</f>
        <v>0</v>
      </c>
      <c r="AF420" s="8" t="n">
        <f aca="false">(AE420*(1+Rate_Devex)-SUMPRODUCT($E297:$E298*$M297:$M298*(YEAR($J297:$J298)=AF364)))*(AF365&lt;$E230)*$E21</f>
        <v>0</v>
      </c>
      <c r="AG420" s="8" t="n">
        <f aca="false">(AF420*(1+Rate_Devex)-SUMPRODUCT($E297:$E298*$M297:$M298*(YEAR($J297:$J298)=AG364)))*(AG365&lt;$E230)*$E21</f>
        <v>0</v>
      </c>
      <c r="AH420" s="8" t="n">
        <f aca="false">(AG420*(1+Rate_Devex)-SUMPRODUCT($E297:$E298*$M297:$M298*(YEAR($J297:$J298)=AH364)))*(AH365&lt;$E230)*$E21</f>
        <v>0</v>
      </c>
      <c r="AI420" s="8" t="n">
        <f aca="false">(AH420*(1+Rate_Devex)-SUMPRODUCT($E297:$E298*$M297:$M298*(YEAR($J297:$J298)=AI364)))*(AI365&lt;$E230)*$E21</f>
        <v>0</v>
      </c>
      <c r="AJ420" s="8" t="n">
        <f aca="false">(AI420*(1+Rate_Devex)-SUMPRODUCT($E297:$E298*$M297:$M298*(YEAR($J297:$J298)=AJ364)))*(AJ365&lt;$E230)*$E21</f>
        <v>0</v>
      </c>
      <c r="AK420" s="8" t="n">
        <f aca="false">(AJ420*(1+Rate_Devex)-SUMPRODUCT($E297:$E298*$M297:$M298*(YEAR($J297:$J298)=AK364)))*(AK365&lt;$E230)*$E21</f>
        <v>0</v>
      </c>
      <c r="AL420" s="8" t="n">
        <f aca="false">(AK420*(1+Rate_Devex)-SUMPRODUCT($E297:$E298*$M297:$M298*(YEAR($J297:$J298)=AL364)))*(AL365&lt;$E230)*$E21</f>
        <v>0</v>
      </c>
      <c r="AM420" s="8" t="n">
        <f aca="false">(AL420*(1+Rate_Devex)-SUMPRODUCT($E297:$E298*$M297:$M298*(YEAR($J297:$J298)=AM364)))*(AM365&lt;$E230)*$E21</f>
        <v>0</v>
      </c>
      <c r="AN420" s="8" t="n">
        <f aca="false">(AM420*(1+Rate_Devex)-SUMPRODUCT($E297:$E298*$M297:$M298*(YEAR($J297:$J298)=AN364)))*(AN365&lt;$E230)*$E21</f>
        <v>0</v>
      </c>
      <c r="AO420" s="8" t="n">
        <f aca="false">(AN420*(1+Rate_Devex)-SUMPRODUCT($E297:$E298*$M297:$M298*(YEAR($J297:$J298)=AO364)))*(AO365&lt;$E230)*$E21</f>
        <v>0</v>
      </c>
      <c r="AP420" s="8" t="n">
        <f aca="false">(AO420*(1+Rate_Devex)-SUMPRODUCT($E297:$E298*$M297:$M298*(YEAR($J297:$J298)=AP364)))*(AP365&lt;$E230)*$E21</f>
        <v>0</v>
      </c>
      <c r="AQ420" s="8" t="n">
        <f aca="false">(AP420*(1+Rate_Devex)-SUMPRODUCT($E297:$E298*$M297:$M298*(YEAR($J297:$J298)=AQ364)))*(AQ365&lt;$E230)*$E21</f>
        <v>0</v>
      </c>
      <c r="AR420" s="8" t="n">
        <f aca="false">(AQ420*(1+Rate_Devex)-SUMPRODUCT($E297:$E298*$M297:$M298*(YEAR($J297:$J298)=AR364)))*(AR365&lt;$E230)*$E21</f>
        <v>0</v>
      </c>
      <c r="AS420" s="8" t="n">
        <f aca="false">(AR420*(1+Rate_Devex)-SUMPRODUCT($E297:$E298*$M297:$M298*(YEAR($J297:$J298)=AS364)))*(AS365&lt;$E230)*$E21</f>
        <v>0</v>
      </c>
      <c r="AT420" s="8" t="n">
        <f aca="false">(AS420*(1+Rate_Devex)-SUMPRODUCT($E297:$E298*$M297:$M298*(YEAR($J297:$J298)=AT364)))*(AT365&lt;$E230)*$E21</f>
        <v>0</v>
      </c>
      <c r="AU420" s="8" t="n">
        <f aca="false">(AT420*(1+Rate_Devex)-SUMPRODUCT($E297:$E298*$M297:$M298*(YEAR($J297:$J298)=AU364)))*(AU365&lt;$E230)*$E21</f>
        <v>0</v>
      </c>
      <c r="AV420" s="8" t="n">
        <f aca="false">(AU420*(1+Rate_Devex)-SUMPRODUCT($E297:$E298*$M297:$M298*(YEAR($J297:$J298)=AV364)))*(AV365&lt;$E230)*$E21</f>
        <v>0</v>
      </c>
      <c r="AW420" s="8" t="n">
        <f aca="false">(AV420*(1+Rate_Devex)-SUMPRODUCT($E297:$E298*$M297:$M298*(YEAR($J297:$J298)=AW364)))*(AW365&lt;$E230)*$E21</f>
        <v>0</v>
      </c>
    </row>
    <row r="421" customFormat="false" ht="14.25" hidden="false" customHeight="false" outlineLevel="0" collapsed="false">
      <c r="C421" s="6" t="s">
        <v>345</v>
      </c>
      <c r="D421" s="2" t="s">
        <v>85</v>
      </c>
      <c r="H421" s="8" t="n">
        <f aca="false">SUM(J421:AW421)</f>
        <v>3291.64025470506</v>
      </c>
      <c r="J421" s="8" t="n">
        <f aca="false">-SUMPRODUCT($E293:$E298*(YEAR($J293:$J298)=J364))*(J365&lt;$E230)*$E21</f>
        <v>396.712328767123</v>
      </c>
      <c r="K421" s="8" t="n">
        <f aca="false">-SUMPRODUCT($E293:$E298*(YEAR($J293:$J298)=K364))*(K365&lt;$E230)*$E21</f>
        <v>2894.92792593794</v>
      </c>
      <c r="L421" s="8" t="n">
        <f aca="false">-SUMPRODUCT($E293:$E298*(YEAR($J293:$J298)=L364))*(L365&lt;$E230)*$E21</f>
        <v>-0</v>
      </c>
      <c r="M421" s="8" t="n">
        <f aca="false">-SUMPRODUCT($E293:$E298*(YEAR($J293:$J298)=M364))*(M365&lt;$E230)*$E21</f>
        <v>-0</v>
      </c>
      <c r="N421" s="8" t="n">
        <f aca="false">-SUMPRODUCT($E293:$E298*(YEAR($J293:$J298)=N364))*(N365&lt;$E230)*$E21</f>
        <v>-0</v>
      </c>
      <c r="O421" s="8" t="n">
        <f aca="false">-SUMPRODUCT($E293:$E298*(YEAR($J293:$J298)=O364))*(O365&lt;$E230)*$E21</f>
        <v>-0</v>
      </c>
      <c r="P421" s="8" t="n">
        <f aca="false">-SUMPRODUCT($E293:$E298*(YEAR($J293:$J298)=P364))*(P365&lt;$E230)*$E21</f>
        <v>-0</v>
      </c>
      <c r="Q421" s="8" t="n">
        <f aca="false">-SUMPRODUCT($E293:$E298*(YEAR($J293:$J298)=Q364))*(Q365&lt;$E230)*$E21</f>
        <v>-0</v>
      </c>
      <c r="R421" s="8" t="n">
        <f aca="false">-SUMPRODUCT($E293:$E298*(YEAR($J293:$J298)=R364))*(R365&lt;$E230)*$E21</f>
        <v>-0</v>
      </c>
      <c r="S421" s="8" t="n">
        <f aca="false">-SUMPRODUCT($E293:$E298*(YEAR($J293:$J298)=S364))*(S365&lt;$E230)*$E21</f>
        <v>-0</v>
      </c>
      <c r="T421" s="8" t="n">
        <f aca="false">-SUMPRODUCT($E293:$E298*(YEAR($J293:$J298)=T364))*(T365&lt;$E230)*$E21</f>
        <v>-0</v>
      </c>
      <c r="U421" s="8" t="n">
        <f aca="false">-SUMPRODUCT($E293:$E298*(YEAR($J293:$J298)=U364))*(U365&lt;$E230)*$E21</f>
        <v>-0</v>
      </c>
      <c r="V421" s="8" t="n">
        <f aca="false">-SUMPRODUCT($E293:$E298*(YEAR($J293:$J298)=V364))*(V365&lt;$E230)*$E21</f>
        <v>-0</v>
      </c>
      <c r="W421" s="8" t="n">
        <f aca="false">-SUMPRODUCT($E293:$E298*(YEAR($J293:$J298)=W364))*(W365&lt;$E230)*$E21</f>
        <v>-0</v>
      </c>
      <c r="X421" s="8" t="n">
        <f aca="false">-SUMPRODUCT($E293:$E298*(YEAR($J293:$J298)=X364))*(X365&lt;$E230)*$E21</f>
        <v>-0</v>
      </c>
      <c r="Y421" s="8" t="n">
        <f aca="false">-SUMPRODUCT($E293:$E298*(YEAR($J293:$J298)=Y364))*(Y365&lt;$E230)*$E21</f>
        <v>-0</v>
      </c>
      <c r="Z421" s="8" t="n">
        <f aca="false">-SUMPRODUCT($E293:$E298*(YEAR($J293:$J298)=Z364))*(Z365&lt;$E230)*$E21</f>
        <v>-0</v>
      </c>
      <c r="AA421" s="8" t="n">
        <f aca="false">-SUMPRODUCT($E293:$E298*(YEAR($J293:$J298)=AA364))*(AA365&lt;$E230)*$E21</f>
        <v>-0</v>
      </c>
      <c r="AB421" s="8" t="n">
        <f aca="false">-SUMPRODUCT($E293:$E298*(YEAR($J293:$J298)=AB364))*(AB365&lt;$E230)*$E21</f>
        <v>-0</v>
      </c>
      <c r="AC421" s="8" t="n">
        <f aca="false">-SUMPRODUCT($E293:$E298*(YEAR($J293:$J298)=AC364))*(AC365&lt;$E230)*$E21</f>
        <v>-0</v>
      </c>
      <c r="AD421" s="8" t="n">
        <f aca="false">-SUMPRODUCT($E293:$E298*(YEAR($J293:$J298)=AD364))*(AD365&lt;$E230)*$E21</f>
        <v>-0</v>
      </c>
      <c r="AE421" s="8" t="n">
        <f aca="false">-SUMPRODUCT($E293:$E298*(YEAR($J293:$J298)=AE364))*(AE365&lt;$E230)*$E21</f>
        <v>-0</v>
      </c>
      <c r="AF421" s="8" t="n">
        <f aca="false">-SUMPRODUCT($E293:$E298*(YEAR($J293:$J298)=AF364))*(AF365&lt;$E230)*$E21</f>
        <v>-0</v>
      </c>
      <c r="AG421" s="8" t="n">
        <f aca="false">-SUMPRODUCT($E293:$E298*(YEAR($J293:$J298)=AG364))*(AG365&lt;$E230)*$E21</f>
        <v>-0</v>
      </c>
      <c r="AH421" s="8" t="n">
        <f aca="false">-SUMPRODUCT($E293:$E298*(YEAR($J293:$J298)=AH364))*(AH365&lt;$E230)*$E21</f>
        <v>-0</v>
      </c>
      <c r="AI421" s="8" t="n">
        <f aca="false">-SUMPRODUCT($E293:$E298*(YEAR($J293:$J298)=AI364))*(AI365&lt;$E230)*$E21</f>
        <v>-0</v>
      </c>
      <c r="AJ421" s="8" t="n">
        <f aca="false">-SUMPRODUCT($E293:$E298*(YEAR($J293:$J298)=AJ364))*(AJ365&lt;$E230)*$E21</f>
        <v>-0</v>
      </c>
      <c r="AK421" s="8" t="n">
        <f aca="false">-SUMPRODUCT($E293:$E298*(YEAR($J293:$J298)=AK364))*(AK365&lt;$E230)*$E21</f>
        <v>-0</v>
      </c>
      <c r="AL421" s="8" t="n">
        <f aca="false">-SUMPRODUCT($E293:$E298*(YEAR($J293:$J298)=AL364))*(AL365&lt;$E230)*$E21</f>
        <v>-0</v>
      </c>
      <c r="AM421" s="8" t="n">
        <f aca="false">-SUMPRODUCT($E293:$E298*(YEAR($J293:$J298)=AM364))*(AM365&lt;$E230)*$E21</f>
        <v>-0</v>
      </c>
      <c r="AN421" s="8" t="n">
        <f aca="false">-SUMPRODUCT($E293:$E298*(YEAR($J293:$J298)=AN364))*(AN365&lt;$E230)*$E21</f>
        <v>-0</v>
      </c>
      <c r="AO421" s="8" t="n">
        <f aca="false">-SUMPRODUCT($E293:$E298*(YEAR($J293:$J298)=AO364))*(AO365&lt;$E230)*$E21</f>
        <v>-0</v>
      </c>
      <c r="AP421" s="8" t="n">
        <f aca="false">-SUMPRODUCT($E293:$E298*(YEAR($J293:$J298)=AP364))*(AP365&lt;$E230)*$E21</f>
        <v>-0</v>
      </c>
      <c r="AQ421" s="8" t="n">
        <f aca="false">-SUMPRODUCT($E293:$E298*(YEAR($J293:$J298)=AQ364))*(AQ365&lt;$E230)*$E21</f>
        <v>-0</v>
      </c>
      <c r="AR421" s="8" t="n">
        <f aca="false">-SUMPRODUCT($E293:$E298*(YEAR($J293:$J298)=AR364))*(AR365&lt;$E230)*$E21</f>
        <v>-0</v>
      </c>
      <c r="AS421" s="8" t="n">
        <f aca="false">-SUMPRODUCT($E293:$E298*(YEAR($J293:$J298)=AS364))*(AS365&lt;$E230)*$E21</f>
        <v>-0</v>
      </c>
      <c r="AT421" s="8" t="n">
        <f aca="false">-SUMPRODUCT($E293:$E298*(YEAR($J293:$J298)=AT364))*(AT365&lt;$E230)*$E21</f>
        <v>-0</v>
      </c>
      <c r="AU421" s="8" t="n">
        <f aca="false">-SUMPRODUCT($E293:$E298*(YEAR($J293:$J298)=AU364))*(AU365&lt;$E230)*$E21</f>
        <v>-0</v>
      </c>
      <c r="AV421" s="8" t="n">
        <f aca="false">-SUMPRODUCT($E293:$E298*(YEAR($J293:$J298)=AV364))*(AV365&lt;$E230)*$E21</f>
        <v>-0</v>
      </c>
      <c r="AW421" s="8" t="n">
        <f aca="false">-SUMPRODUCT($E293:$E298*(YEAR($J293:$J298)=AW364))*(AW365&lt;$E230)*$E21</f>
        <v>-0</v>
      </c>
    </row>
    <row r="422" customFormat="false" ht="14.25" hidden="false" customHeight="false" outlineLevel="0" collapsed="false">
      <c r="C422" s="6" t="s">
        <v>346</v>
      </c>
      <c r="D422" s="2" t="s">
        <v>85</v>
      </c>
      <c r="H422" s="8" t="n">
        <f aca="false">SUM(J422:AW422)</f>
        <v>334.410879892294</v>
      </c>
      <c r="J422" s="8" t="n">
        <f aca="false">(J419+J420-I419-I420-J421)*(J365&lt;$E230)*$E21</f>
        <v>8.21683617939578</v>
      </c>
      <c r="K422" s="8" t="n">
        <f aca="false">(K419+K420-J419-J420-K421)*(K365&lt;$E230)*$E21</f>
        <v>326.194043712898</v>
      </c>
      <c r="L422" s="8" t="n">
        <f aca="false">(L419+L420-K419-K420-L421)*(L365&lt;$E230)*$E21</f>
        <v>-0</v>
      </c>
      <c r="M422" s="8" t="n">
        <f aca="false">(M419+M420-L419-L420-M421)*(M365&lt;$E230)*$E21</f>
        <v>0</v>
      </c>
      <c r="N422" s="8" t="n">
        <f aca="false">(N419+N420-M419-M420-N421)*(N365&lt;$E230)*$E21</f>
        <v>0</v>
      </c>
      <c r="O422" s="8" t="n">
        <f aca="false">(O419+O420-N419-N420-O421)*(O365&lt;$E230)*$E21</f>
        <v>0</v>
      </c>
      <c r="P422" s="8" t="n">
        <f aca="false">(P419+P420-O419-O420-P421)*(P365&lt;$E230)*$E21</f>
        <v>0</v>
      </c>
      <c r="Q422" s="8" t="n">
        <f aca="false">(Q419+Q420-P419-P420-Q421)*(Q365&lt;$E230)*$E21</f>
        <v>0</v>
      </c>
      <c r="R422" s="8" t="n">
        <f aca="false">(R419+R420-Q419-Q420-R421)*(R365&lt;$E230)*$E21</f>
        <v>0</v>
      </c>
      <c r="S422" s="8" t="n">
        <f aca="false">(S419+S420-R419-R420-S421)*(S365&lt;$E230)*$E21</f>
        <v>0</v>
      </c>
      <c r="T422" s="8" t="n">
        <f aca="false">(T419+T420-S419-S420-T421)*(T365&lt;$E230)*$E21</f>
        <v>0</v>
      </c>
      <c r="U422" s="8" t="n">
        <f aca="false">(U419+U420-T419-T420-U421)*(U365&lt;$E230)*$E21</f>
        <v>0</v>
      </c>
      <c r="V422" s="8" t="n">
        <f aca="false">(V419+V420-U419-U420-V421)*(V365&lt;$E230)*$E21</f>
        <v>0</v>
      </c>
      <c r="W422" s="8" t="n">
        <f aca="false">(W419+W420-V419-V420-W421)*(W365&lt;$E230)*$E21</f>
        <v>0</v>
      </c>
      <c r="X422" s="8" t="n">
        <f aca="false">(X419+X420-W419-W420-X421)*(X365&lt;$E230)*$E21</f>
        <v>0</v>
      </c>
      <c r="Y422" s="8" t="n">
        <f aca="false">(Y419+Y420-X419-X420-Y421)*(Y365&lt;$E230)*$E21</f>
        <v>0</v>
      </c>
      <c r="Z422" s="8" t="n">
        <f aca="false">(Z419+Z420-Y419-Y420-Z421)*(Z365&lt;$E230)*$E21</f>
        <v>0</v>
      </c>
      <c r="AA422" s="8" t="n">
        <f aca="false">(AA419+AA420-Z419-Z420-AA421)*(AA365&lt;$E230)*$E21</f>
        <v>0</v>
      </c>
      <c r="AB422" s="8" t="n">
        <f aca="false">(AB419+AB420-AA419-AA420-AB421)*(AB365&lt;$E230)*$E21</f>
        <v>0</v>
      </c>
      <c r="AC422" s="8" t="n">
        <f aca="false">(AC419+AC420-AB419-AB420-AC421)*(AC365&lt;$E230)*$E21</f>
        <v>0</v>
      </c>
      <c r="AD422" s="8" t="n">
        <f aca="false">(AD419+AD420-AC419-AC420-AD421)*(AD365&lt;$E230)*$E21</f>
        <v>0</v>
      </c>
      <c r="AE422" s="8" t="n">
        <f aca="false">(AE419+AE420-AD419-AD420-AE421)*(AE365&lt;$E230)*$E21</f>
        <v>0</v>
      </c>
      <c r="AF422" s="8" t="n">
        <f aca="false">(AF419+AF420-AE419-AE420-AF421)*(AF365&lt;$E230)*$E21</f>
        <v>0</v>
      </c>
      <c r="AG422" s="8" t="n">
        <f aca="false">(AG419+AG420-AF419-AF420-AG421)*(AG365&lt;$E230)*$E21</f>
        <v>0</v>
      </c>
      <c r="AH422" s="8" t="n">
        <f aca="false">(AH419+AH420-AG419-AG420-AH421)*(AH365&lt;$E230)*$E21</f>
        <v>0</v>
      </c>
      <c r="AI422" s="8" t="n">
        <f aca="false">(AI419+AI420-AH419-AH420-AI421)*(AI365&lt;$E230)*$E21</f>
        <v>0</v>
      </c>
      <c r="AJ422" s="8" t="n">
        <f aca="false">(AJ419+AJ420-AI419-AI420-AJ421)*(AJ365&lt;$E230)*$E21</f>
        <v>0</v>
      </c>
      <c r="AK422" s="8" t="n">
        <f aca="false">(AK419+AK420-AJ419-AJ420-AK421)*(AK365&lt;$E230)*$E21</f>
        <v>0</v>
      </c>
      <c r="AL422" s="8" t="n">
        <f aca="false">(AL419+AL420-AK419-AK420-AL421)*(AL365&lt;$E230)*$E21</f>
        <v>0</v>
      </c>
      <c r="AM422" s="8" t="n">
        <f aca="false">(AM419+AM420-AL419-AL420-AM421)*(AM365&lt;$E230)*$E21</f>
        <v>0</v>
      </c>
      <c r="AN422" s="8" t="n">
        <f aca="false">(AN419+AN420-AM419-AM420-AN421)*(AN365&lt;$E230)*$E21</f>
        <v>0</v>
      </c>
      <c r="AO422" s="8" t="n">
        <f aca="false">(AO419+AO420-AN419-AN420-AO421)*(AO365&lt;$E230)*$E21</f>
        <v>0</v>
      </c>
      <c r="AP422" s="8" t="n">
        <f aca="false">(AP419+AP420-AO419-AO420-AP421)*(AP365&lt;$E230)*$E21</f>
        <v>0</v>
      </c>
      <c r="AQ422" s="8" t="n">
        <f aca="false">(AQ419+AQ420-AP419-AP420-AQ421)*(AQ365&lt;$E230)*$E21</f>
        <v>0</v>
      </c>
      <c r="AR422" s="8" t="n">
        <f aca="false">(AR419+AR420-AQ419-AQ420-AR421)*(AR365&lt;$E230)*$E21</f>
        <v>0</v>
      </c>
      <c r="AS422" s="8" t="n">
        <f aca="false">(AS419+AS420-AR419-AR420-AS421)*(AS365&lt;$E230)*$E21</f>
        <v>0</v>
      </c>
      <c r="AT422" s="8" t="n">
        <f aca="false">(AT419+AT420-AS419-AS420-AT421)*(AT365&lt;$E230)*$E21</f>
        <v>0</v>
      </c>
      <c r="AU422" s="8" t="n">
        <f aca="false">(AU419+AU420-AT419-AT420-AU421)*(AU365&lt;$E230)*$E21</f>
        <v>0</v>
      </c>
      <c r="AV422" s="8" t="n">
        <f aca="false">(AV419+AV420-AU419-AU420-AV421)*(AV365&lt;$E230)*$E21</f>
        <v>0</v>
      </c>
      <c r="AW422" s="8" t="n">
        <f aca="false">(AW419+AW420-AV419-AV420-AW421)*(AW365&lt;$E230)*$E21</f>
        <v>0</v>
      </c>
    </row>
    <row r="424" customFormat="false" ht="14.25" hidden="false" customHeight="false" outlineLevel="0" collapsed="false">
      <c r="B424" s="4" t="s">
        <v>3</v>
      </c>
      <c r="C424" s="4" t="s">
        <v>347</v>
      </c>
      <c r="D424" s="4"/>
      <c r="E424" s="5"/>
      <c r="F424" s="5" t="s">
        <v>291</v>
      </c>
      <c r="G424" s="5"/>
      <c r="H424" s="5" t="s">
        <v>8</v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 customFormat="false" ht="14.25" hidden="false" customHeight="false" outlineLevel="0" collapsed="false">
      <c r="C425" s="6" t="s">
        <v>292</v>
      </c>
      <c r="D425" s="2" t="s">
        <v>293</v>
      </c>
      <c r="J425" s="73" t="n">
        <f aca="false">J$364-YEAR(Inputs!$F$26)</f>
        <v>-5</v>
      </c>
      <c r="K425" s="73" t="n">
        <f aca="false">K$364-YEAR(Inputs!$F$26)</f>
        <v>-4</v>
      </c>
      <c r="L425" s="73" t="n">
        <f aca="false">L$364-YEAR(Inputs!$F$26)</f>
        <v>-3</v>
      </c>
      <c r="M425" s="73" t="n">
        <f aca="false">M$364-YEAR(Inputs!$F$26)</f>
        <v>-2</v>
      </c>
      <c r="N425" s="73" t="n">
        <f aca="false">N$364-YEAR(Inputs!$F$26)</f>
        <v>-1</v>
      </c>
      <c r="O425" s="73" t="n">
        <f aca="false">O$364-YEAR(Inputs!$F$26)</f>
        <v>0</v>
      </c>
      <c r="P425" s="73" t="n">
        <f aca="false">P$364-YEAR(Inputs!$F$26)</f>
        <v>1</v>
      </c>
      <c r="Q425" s="73" t="n">
        <f aca="false">Q$364-YEAR(Inputs!$F$26)</f>
        <v>2</v>
      </c>
      <c r="R425" s="73" t="n">
        <f aca="false">R$364-YEAR(Inputs!$F$26)</f>
        <v>3</v>
      </c>
      <c r="S425" s="73" t="n">
        <f aca="false">S$364-YEAR(Inputs!$F$26)</f>
        <v>4</v>
      </c>
      <c r="T425" s="73" t="n">
        <f aca="false">T$364-YEAR(Inputs!$F$26)</f>
        <v>5</v>
      </c>
      <c r="U425" s="73" t="n">
        <f aca="false">U$364-YEAR(Inputs!$F$26)</f>
        <v>6</v>
      </c>
      <c r="V425" s="73" t="n">
        <f aca="false">V$364-YEAR(Inputs!$F$26)</f>
        <v>7</v>
      </c>
      <c r="W425" s="73" t="n">
        <f aca="false">W$364-YEAR(Inputs!$F$26)</f>
        <v>8</v>
      </c>
      <c r="X425" s="73" t="n">
        <f aca="false">X$364-YEAR(Inputs!$F$26)</f>
        <v>9</v>
      </c>
      <c r="Y425" s="73" t="n">
        <f aca="false">Y$364-YEAR(Inputs!$F$26)</f>
        <v>10</v>
      </c>
      <c r="Z425" s="73" t="n">
        <f aca="false">Z$364-YEAR(Inputs!$F$26)</f>
        <v>11</v>
      </c>
      <c r="AA425" s="73" t="n">
        <f aca="false">AA$364-YEAR(Inputs!$F$26)</f>
        <v>12</v>
      </c>
      <c r="AB425" s="73" t="n">
        <f aca="false">AB$364-YEAR(Inputs!$F$26)</f>
        <v>13</v>
      </c>
      <c r="AC425" s="73" t="n">
        <f aca="false">AC$364-YEAR(Inputs!$F$26)</f>
        <v>14</v>
      </c>
      <c r="AD425" s="73" t="n">
        <f aca="false">AD$364-YEAR(Inputs!$F$26)</f>
        <v>15</v>
      </c>
      <c r="AE425" s="73" t="n">
        <f aca="false">AE$364-YEAR(Inputs!$F$26)</f>
        <v>16</v>
      </c>
      <c r="AF425" s="73" t="n">
        <f aca="false">AF$364-YEAR(Inputs!$F$26)</f>
        <v>17</v>
      </c>
      <c r="AG425" s="73" t="n">
        <f aca="false">AG$364-YEAR(Inputs!$F$26)</f>
        <v>18</v>
      </c>
      <c r="AH425" s="73" t="n">
        <f aca="false">AH$364-YEAR(Inputs!$F$26)</f>
        <v>19</v>
      </c>
      <c r="AI425" s="73" t="n">
        <f aca="false">AI$364-YEAR(Inputs!$F$26)</f>
        <v>20</v>
      </c>
      <c r="AJ425" s="73" t="n">
        <f aca="false">AJ$364-YEAR(Inputs!$F$26)</f>
        <v>21</v>
      </c>
      <c r="AK425" s="73" t="n">
        <f aca="false">AK$364-YEAR(Inputs!$F$26)</f>
        <v>22</v>
      </c>
      <c r="AL425" s="73" t="n">
        <f aca="false">AL$364-YEAR(Inputs!$F$26)</f>
        <v>23</v>
      </c>
      <c r="AM425" s="73" t="n">
        <f aca="false">AM$364-YEAR(Inputs!$F$26)</f>
        <v>24</v>
      </c>
      <c r="AN425" s="73" t="n">
        <f aca="false">AN$364-YEAR(Inputs!$F$26)</f>
        <v>25</v>
      </c>
      <c r="AO425" s="73" t="n">
        <f aca="false">AO$364-YEAR(Inputs!$F$26)</f>
        <v>26</v>
      </c>
      <c r="AP425" s="73" t="n">
        <f aca="false">AP$364-YEAR(Inputs!$F$26)</f>
        <v>27</v>
      </c>
      <c r="AQ425" s="73" t="n">
        <f aca="false">AQ$364-YEAR(Inputs!$F$26)</f>
        <v>28</v>
      </c>
      <c r="AR425" s="73" t="n">
        <f aca="false">AR$364-YEAR(Inputs!$F$26)</f>
        <v>29</v>
      </c>
      <c r="AS425" s="73" t="n">
        <f aca="false">AS$364-YEAR(Inputs!$F$26)</f>
        <v>30</v>
      </c>
      <c r="AT425" s="73" t="n">
        <f aca="false">AT$364-YEAR(Inputs!$F$26)</f>
        <v>31</v>
      </c>
      <c r="AU425" s="73" t="n">
        <f aca="false">AU$364-YEAR(Inputs!$F$26)</f>
        <v>32</v>
      </c>
      <c r="AV425" s="73" t="n">
        <f aca="false">AV$364-YEAR(Inputs!$F$26)</f>
        <v>33</v>
      </c>
      <c r="AW425" s="73" t="n">
        <f aca="false">AW$364-YEAR(Inputs!$F$26)</f>
        <v>34</v>
      </c>
    </row>
    <row r="426" customFormat="false" ht="14.25" hidden="false" customHeight="false" outlineLevel="0" collapsed="false">
      <c r="C426" s="6" t="s">
        <v>294</v>
      </c>
      <c r="D426" s="2" t="s">
        <v>295</v>
      </c>
      <c r="F426" s="73" t="n">
        <f aca="false">DATEDIF(Inputs!$F$25,Inputs!$F$26,"m")</f>
        <v>24</v>
      </c>
      <c r="J426" s="73" t="n">
        <f aca="false">(J$364+1-YEAR(Inputs!$F$25))*Months_In_Year-MONTH(Inputs!$F$25)</f>
        <v>-30</v>
      </c>
      <c r="K426" s="73" t="n">
        <f aca="false">(K$364+1-YEAR(Inputs!$F$25))*Months_In_Year-MONTH(Inputs!$F$25)</f>
        <v>-18</v>
      </c>
      <c r="L426" s="73" t="n">
        <f aca="false">(L$364+1-YEAR(Inputs!$F$25))*Months_In_Year-MONTH(Inputs!$F$25)</f>
        <v>-6</v>
      </c>
      <c r="M426" s="73" t="n">
        <f aca="false">(M$364+1-YEAR(Inputs!$F$25))*Months_In_Year-MONTH(Inputs!$F$25)</f>
        <v>6</v>
      </c>
      <c r="N426" s="73" t="n">
        <f aca="false">(N$364+1-YEAR(Inputs!$F$25))*Months_In_Year-MONTH(Inputs!$F$25)</f>
        <v>18</v>
      </c>
      <c r="O426" s="73" t="n">
        <f aca="false">(O$364+1-YEAR(Inputs!$F$25))*Months_In_Year-MONTH(Inputs!$F$25)</f>
        <v>30</v>
      </c>
      <c r="P426" s="73" t="n">
        <f aca="false">(P$364+1-YEAR(Inputs!$F$25))*Months_In_Year-MONTH(Inputs!$F$25)</f>
        <v>42</v>
      </c>
      <c r="Q426" s="73" t="n">
        <f aca="false">(Q$364+1-YEAR(Inputs!$F$25))*Months_In_Year-MONTH(Inputs!$F$25)</f>
        <v>54</v>
      </c>
      <c r="R426" s="73" t="n">
        <f aca="false">(R$364+1-YEAR(Inputs!$F$25))*Months_In_Year-MONTH(Inputs!$F$25)</f>
        <v>66</v>
      </c>
      <c r="S426" s="73" t="n">
        <f aca="false">(S$364+1-YEAR(Inputs!$F$25))*Months_In_Year-MONTH(Inputs!$F$25)</f>
        <v>78</v>
      </c>
      <c r="T426" s="73" t="n">
        <f aca="false">(T$364+1-YEAR(Inputs!$F$25))*Months_In_Year-MONTH(Inputs!$F$25)</f>
        <v>90</v>
      </c>
      <c r="U426" s="73" t="n">
        <f aca="false">(U$364+1-YEAR(Inputs!$F$25))*Months_In_Year-MONTH(Inputs!$F$25)</f>
        <v>102</v>
      </c>
      <c r="V426" s="73" t="n">
        <f aca="false">(V$364+1-YEAR(Inputs!$F$25))*Months_In_Year-MONTH(Inputs!$F$25)</f>
        <v>114</v>
      </c>
      <c r="W426" s="73" t="n">
        <f aca="false">(W$364+1-YEAR(Inputs!$F$25))*Months_In_Year-MONTH(Inputs!$F$25)</f>
        <v>126</v>
      </c>
      <c r="X426" s="73" t="n">
        <f aca="false">(X$364+1-YEAR(Inputs!$F$25))*Months_In_Year-MONTH(Inputs!$F$25)</f>
        <v>138</v>
      </c>
      <c r="Y426" s="73" t="n">
        <f aca="false">(Y$364+1-YEAR(Inputs!$F$25))*Months_In_Year-MONTH(Inputs!$F$25)</f>
        <v>150</v>
      </c>
      <c r="Z426" s="73" t="n">
        <f aca="false">(Z$364+1-YEAR(Inputs!$F$25))*Months_In_Year-MONTH(Inputs!$F$25)</f>
        <v>162</v>
      </c>
      <c r="AA426" s="73" t="n">
        <f aca="false">(AA$364+1-YEAR(Inputs!$F$25))*Months_In_Year-MONTH(Inputs!$F$25)</f>
        <v>174</v>
      </c>
      <c r="AB426" s="73" t="n">
        <f aca="false">(AB$364+1-YEAR(Inputs!$F$25))*Months_In_Year-MONTH(Inputs!$F$25)</f>
        <v>186</v>
      </c>
      <c r="AC426" s="73" t="n">
        <f aca="false">(AC$364+1-YEAR(Inputs!$F$25))*Months_In_Year-MONTH(Inputs!$F$25)</f>
        <v>198</v>
      </c>
      <c r="AD426" s="73" t="n">
        <f aca="false">(AD$364+1-YEAR(Inputs!$F$25))*Months_In_Year-MONTH(Inputs!$F$25)</f>
        <v>210</v>
      </c>
      <c r="AE426" s="73" t="n">
        <f aca="false">(AE$364+1-YEAR(Inputs!$F$25))*Months_In_Year-MONTH(Inputs!$F$25)</f>
        <v>222</v>
      </c>
      <c r="AF426" s="73" t="n">
        <f aca="false">(AF$364+1-YEAR(Inputs!$F$25))*Months_In_Year-MONTH(Inputs!$F$25)</f>
        <v>234</v>
      </c>
      <c r="AG426" s="73" t="n">
        <f aca="false">(AG$364+1-YEAR(Inputs!$F$25))*Months_In_Year-MONTH(Inputs!$F$25)</f>
        <v>246</v>
      </c>
      <c r="AH426" s="73" t="n">
        <f aca="false">(AH$364+1-YEAR(Inputs!$F$25))*Months_In_Year-MONTH(Inputs!$F$25)</f>
        <v>258</v>
      </c>
      <c r="AI426" s="73" t="n">
        <f aca="false">(AI$364+1-YEAR(Inputs!$F$25))*Months_In_Year-MONTH(Inputs!$F$25)</f>
        <v>270</v>
      </c>
      <c r="AJ426" s="73" t="n">
        <f aca="false">(AJ$364+1-YEAR(Inputs!$F$25))*Months_In_Year-MONTH(Inputs!$F$25)</f>
        <v>282</v>
      </c>
      <c r="AK426" s="73" t="n">
        <f aca="false">(AK$364+1-YEAR(Inputs!$F$25))*Months_In_Year-MONTH(Inputs!$F$25)</f>
        <v>294</v>
      </c>
      <c r="AL426" s="73" t="n">
        <f aca="false">(AL$364+1-YEAR(Inputs!$F$25))*Months_In_Year-MONTH(Inputs!$F$25)</f>
        <v>306</v>
      </c>
      <c r="AM426" s="73" t="n">
        <f aca="false">(AM$364+1-YEAR(Inputs!$F$25))*Months_In_Year-MONTH(Inputs!$F$25)</f>
        <v>318</v>
      </c>
      <c r="AN426" s="73" t="n">
        <f aca="false">(AN$364+1-YEAR(Inputs!$F$25))*Months_In_Year-MONTH(Inputs!$F$25)</f>
        <v>330</v>
      </c>
      <c r="AO426" s="73" t="n">
        <f aca="false">(AO$364+1-YEAR(Inputs!$F$25))*Months_In_Year-MONTH(Inputs!$F$25)</f>
        <v>342</v>
      </c>
      <c r="AP426" s="73" t="n">
        <f aca="false">(AP$364+1-YEAR(Inputs!$F$25))*Months_In_Year-MONTH(Inputs!$F$25)</f>
        <v>354</v>
      </c>
      <c r="AQ426" s="73" t="n">
        <f aca="false">(AQ$364+1-YEAR(Inputs!$F$25))*Months_In_Year-MONTH(Inputs!$F$25)</f>
        <v>366</v>
      </c>
      <c r="AR426" s="73" t="n">
        <f aca="false">(AR$364+1-YEAR(Inputs!$F$25))*Months_In_Year-MONTH(Inputs!$F$25)</f>
        <v>378</v>
      </c>
      <c r="AS426" s="73" t="n">
        <f aca="false">(AS$364+1-YEAR(Inputs!$F$25))*Months_In_Year-MONTH(Inputs!$F$25)</f>
        <v>390</v>
      </c>
      <c r="AT426" s="73" t="n">
        <f aca="false">(AT$364+1-YEAR(Inputs!$F$25))*Months_In_Year-MONTH(Inputs!$F$25)</f>
        <v>402</v>
      </c>
      <c r="AU426" s="73" t="n">
        <f aca="false">(AU$364+1-YEAR(Inputs!$F$25))*Months_In_Year-MONTH(Inputs!$F$25)</f>
        <v>414</v>
      </c>
      <c r="AV426" s="73" t="n">
        <f aca="false">(AV$364+1-YEAR(Inputs!$F$25))*Months_In_Year-MONTH(Inputs!$F$25)</f>
        <v>426</v>
      </c>
      <c r="AW426" s="73" t="n">
        <f aca="false">(AW$364+1-YEAR(Inputs!$F$25))*Months_In_Year-MONTH(Inputs!$F$25)</f>
        <v>438</v>
      </c>
    </row>
    <row r="427" customFormat="false" ht="14.25" hidden="false" customHeight="false" outlineLevel="0" collapsed="false">
      <c r="C427" s="6" t="s">
        <v>296</v>
      </c>
      <c r="D427" s="2" t="s">
        <v>12</v>
      </c>
      <c r="H427" s="74" t="n">
        <f aca="false">SUM(J427:AW427)</f>
        <v>1</v>
      </c>
      <c r="J427" s="48" t="n">
        <f aca="false">MAX(0,MIN(J426,$F426)-MAX(J426-Months_In_Year,0))/$F426</f>
        <v>0</v>
      </c>
      <c r="K427" s="48" t="n">
        <f aca="false">MAX(0,MIN(K426,$F426)-MAX(K426-Months_In_Year,0))/$F426</f>
        <v>0</v>
      </c>
      <c r="L427" s="48" t="n">
        <f aca="false">MAX(0,MIN(L426,$F426)-MAX(L426-Months_In_Year,0))/$F426</f>
        <v>0</v>
      </c>
      <c r="M427" s="48" t="n">
        <f aca="false">MAX(0,MIN(M426,$F426)-MAX(M426-Months_In_Year,0))/$F426</f>
        <v>0.25</v>
      </c>
      <c r="N427" s="48" t="n">
        <f aca="false">MAX(0,MIN(N426,$F426)-MAX(N426-Months_In_Year,0))/$F426</f>
        <v>0.5</v>
      </c>
      <c r="O427" s="48" t="n">
        <f aca="false">MAX(0,MIN(O426,$F426)-MAX(O426-Months_In_Year,0))/$F426</f>
        <v>0.25</v>
      </c>
      <c r="P427" s="48" t="n">
        <f aca="false">MAX(0,MIN(P426,$F426)-MAX(P426-Months_In_Year,0))/$F426</f>
        <v>0</v>
      </c>
      <c r="Q427" s="48" t="n">
        <f aca="false">MAX(0,MIN(Q426,$F426)-MAX(Q426-Months_In_Year,0))/$F426</f>
        <v>0</v>
      </c>
      <c r="R427" s="48" t="n">
        <f aca="false">MAX(0,MIN(R426,$F426)-MAX(R426-Months_In_Year,0))/$F426</f>
        <v>0</v>
      </c>
      <c r="S427" s="48" t="n">
        <f aca="false">MAX(0,MIN(S426,$F426)-MAX(S426-Months_In_Year,0))/$F426</f>
        <v>0</v>
      </c>
      <c r="T427" s="48" t="n">
        <f aca="false">MAX(0,MIN(T426,$F426)-MAX(T426-Months_In_Year,0))/$F426</f>
        <v>0</v>
      </c>
      <c r="U427" s="48" t="n">
        <f aca="false">MAX(0,MIN(U426,$F426)-MAX(U426-Months_In_Year,0))/$F426</f>
        <v>0</v>
      </c>
      <c r="V427" s="48" t="n">
        <f aca="false">MAX(0,MIN(V426,$F426)-MAX(V426-Months_In_Year,0))/$F426</f>
        <v>0</v>
      </c>
      <c r="W427" s="48" t="n">
        <f aca="false">MAX(0,MIN(W426,$F426)-MAX(W426-Months_In_Year,0))/$F426</f>
        <v>0</v>
      </c>
      <c r="X427" s="48" t="n">
        <f aca="false">MAX(0,MIN(X426,$F426)-MAX(X426-Months_In_Year,0))/$F426</f>
        <v>0</v>
      </c>
      <c r="Y427" s="48" t="n">
        <f aca="false">MAX(0,MIN(Y426,$F426)-MAX(Y426-Months_In_Year,0))/$F426</f>
        <v>0</v>
      </c>
      <c r="Z427" s="48" t="n">
        <f aca="false">MAX(0,MIN(Z426,$F426)-MAX(Z426-Months_In_Year,0))/$F426</f>
        <v>0</v>
      </c>
      <c r="AA427" s="48" t="n">
        <f aca="false">MAX(0,MIN(AA426,$F426)-MAX(AA426-Months_In_Year,0))/$F426</f>
        <v>0</v>
      </c>
      <c r="AB427" s="48" t="n">
        <f aca="false">MAX(0,MIN(AB426,$F426)-MAX(AB426-Months_In_Year,0))/$F426</f>
        <v>0</v>
      </c>
      <c r="AC427" s="48" t="n">
        <f aca="false">MAX(0,MIN(AC426,$F426)-MAX(AC426-Months_In_Year,0))/$F426</f>
        <v>0</v>
      </c>
      <c r="AD427" s="48" t="n">
        <f aca="false">MAX(0,MIN(AD426,$F426)-MAX(AD426-Months_In_Year,0))/$F426</f>
        <v>0</v>
      </c>
      <c r="AE427" s="48" t="n">
        <f aca="false">MAX(0,MIN(AE426,$F426)-MAX(AE426-Months_In_Year,0))/$F426</f>
        <v>0</v>
      </c>
      <c r="AF427" s="48" t="n">
        <f aca="false">MAX(0,MIN(AF426,$F426)-MAX(AF426-Months_In_Year,0))/$F426</f>
        <v>0</v>
      </c>
      <c r="AG427" s="48" t="n">
        <f aca="false">MAX(0,MIN(AG426,$F426)-MAX(AG426-Months_In_Year,0))/$F426</f>
        <v>0</v>
      </c>
      <c r="AH427" s="48" t="n">
        <f aca="false">MAX(0,MIN(AH426,$F426)-MAX(AH426-Months_In_Year,0))/$F426</f>
        <v>0</v>
      </c>
      <c r="AI427" s="48" t="n">
        <f aca="false">MAX(0,MIN(AI426,$F426)-MAX(AI426-Months_In_Year,0))/$F426</f>
        <v>0</v>
      </c>
      <c r="AJ427" s="48" t="n">
        <f aca="false">MAX(0,MIN(AJ426,$F426)-MAX(AJ426-Months_In_Year,0))/$F426</f>
        <v>0</v>
      </c>
      <c r="AK427" s="48" t="n">
        <f aca="false">MAX(0,MIN(AK426,$F426)-MAX(AK426-Months_In_Year,0))/$F426</f>
        <v>0</v>
      </c>
      <c r="AL427" s="48" t="n">
        <f aca="false">MAX(0,MIN(AL426,$F426)-MAX(AL426-Months_In_Year,0))/$F426</f>
        <v>0</v>
      </c>
      <c r="AM427" s="48" t="n">
        <f aca="false">MAX(0,MIN(AM426,$F426)-MAX(AM426-Months_In_Year,0))/$F426</f>
        <v>0</v>
      </c>
      <c r="AN427" s="48" t="n">
        <f aca="false">MAX(0,MIN(AN426,$F426)-MAX(AN426-Months_In_Year,0))/$F426</f>
        <v>0</v>
      </c>
      <c r="AO427" s="48" t="n">
        <f aca="false">MAX(0,MIN(AO426,$F426)-MAX(AO426-Months_In_Year,0))/$F426</f>
        <v>0</v>
      </c>
      <c r="AP427" s="48" t="n">
        <f aca="false">MAX(0,MIN(AP426,$F426)-MAX(AP426-Months_In_Year,0))/$F426</f>
        <v>0</v>
      </c>
      <c r="AQ427" s="48" t="n">
        <f aca="false">MAX(0,MIN(AQ426,$F426)-MAX(AQ426-Months_In_Year,0))/$F426</f>
        <v>0</v>
      </c>
      <c r="AR427" s="48" t="n">
        <f aca="false">MAX(0,MIN(AR426,$F426)-MAX(AR426-Months_In_Year,0))/$F426</f>
        <v>0</v>
      </c>
      <c r="AS427" s="48" t="n">
        <f aca="false">MAX(0,MIN(AS426,$F426)-MAX(AS426-Months_In_Year,0))/$F426</f>
        <v>0</v>
      </c>
      <c r="AT427" s="48" t="n">
        <f aca="false">MAX(0,MIN(AT426,$F426)-MAX(AT426-Months_In_Year,0))/$F426</f>
        <v>0</v>
      </c>
      <c r="AU427" s="48" t="n">
        <f aca="false">MAX(0,MIN(AU426,$F426)-MAX(AU426-Months_In_Year,0))/$F426</f>
        <v>0</v>
      </c>
      <c r="AV427" s="48" t="n">
        <f aca="false">MAX(0,MIN(AV426,$F426)-MAX(AV426-Months_In_Year,0))/$F426</f>
        <v>0</v>
      </c>
      <c r="AW427" s="48" t="n">
        <f aca="false">MAX(0,MIN(AW426,$F426)-MAX(AW426-Months_In_Year,0))/$F426</f>
        <v>0</v>
      </c>
    </row>
    <row r="428" customFormat="false" ht="14.25" hidden="false" customHeight="false" outlineLevel="0" collapsed="false">
      <c r="C428" s="6" t="s">
        <v>297</v>
      </c>
      <c r="D428" s="2" t="s">
        <v>295</v>
      </c>
      <c r="F428" s="73" t="n">
        <f aca="false">Life*Months_In_Year</f>
        <v>360</v>
      </c>
      <c r="J428" s="73" t="n">
        <f aca="false">(J$364+1-YEAR(Inputs!$F$26))*Months_In_Year-MONTH(Inputs!$F$26)</f>
        <v>-54</v>
      </c>
      <c r="K428" s="73" t="n">
        <f aca="false">(K$364+1-YEAR(Inputs!$F$26))*Months_In_Year-MONTH(Inputs!$F$26)</f>
        <v>-42</v>
      </c>
      <c r="L428" s="73" t="n">
        <f aca="false">(L$364+1-YEAR(Inputs!$F$26))*Months_In_Year-MONTH(Inputs!$F$26)</f>
        <v>-30</v>
      </c>
      <c r="M428" s="73" t="n">
        <f aca="false">(M$364+1-YEAR(Inputs!$F$26))*Months_In_Year-MONTH(Inputs!$F$26)</f>
        <v>-18</v>
      </c>
      <c r="N428" s="73" t="n">
        <f aca="false">(N$364+1-YEAR(Inputs!$F$26))*Months_In_Year-MONTH(Inputs!$F$26)</f>
        <v>-6</v>
      </c>
      <c r="O428" s="73" t="n">
        <f aca="false">(O$364+1-YEAR(Inputs!$F$26))*Months_In_Year-MONTH(Inputs!$F$26)</f>
        <v>6</v>
      </c>
      <c r="P428" s="73" t="n">
        <f aca="false">(P$364+1-YEAR(Inputs!$F$26))*Months_In_Year-MONTH(Inputs!$F$26)</f>
        <v>18</v>
      </c>
      <c r="Q428" s="73" t="n">
        <f aca="false">(Q$364+1-YEAR(Inputs!$F$26))*Months_In_Year-MONTH(Inputs!$F$26)</f>
        <v>30</v>
      </c>
      <c r="R428" s="73" t="n">
        <f aca="false">(R$364+1-YEAR(Inputs!$F$26))*Months_In_Year-MONTH(Inputs!$F$26)</f>
        <v>42</v>
      </c>
      <c r="S428" s="73" t="n">
        <f aca="false">(S$364+1-YEAR(Inputs!$F$26))*Months_In_Year-MONTH(Inputs!$F$26)</f>
        <v>54</v>
      </c>
      <c r="T428" s="73" t="n">
        <f aca="false">(T$364+1-YEAR(Inputs!$F$26))*Months_In_Year-MONTH(Inputs!$F$26)</f>
        <v>66</v>
      </c>
      <c r="U428" s="73" t="n">
        <f aca="false">(U$364+1-YEAR(Inputs!$F$26))*Months_In_Year-MONTH(Inputs!$F$26)</f>
        <v>78</v>
      </c>
      <c r="V428" s="73" t="n">
        <f aca="false">(V$364+1-YEAR(Inputs!$F$26))*Months_In_Year-MONTH(Inputs!$F$26)</f>
        <v>90</v>
      </c>
      <c r="W428" s="73" t="n">
        <f aca="false">(W$364+1-YEAR(Inputs!$F$26))*Months_In_Year-MONTH(Inputs!$F$26)</f>
        <v>102</v>
      </c>
      <c r="X428" s="73" t="n">
        <f aca="false">(X$364+1-YEAR(Inputs!$F$26))*Months_In_Year-MONTH(Inputs!$F$26)</f>
        <v>114</v>
      </c>
      <c r="Y428" s="73" t="n">
        <f aca="false">(Y$364+1-YEAR(Inputs!$F$26))*Months_In_Year-MONTH(Inputs!$F$26)</f>
        <v>126</v>
      </c>
      <c r="Z428" s="73" t="n">
        <f aca="false">(Z$364+1-YEAR(Inputs!$F$26))*Months_In_Year-MONTH(Inputs!$F$26)</f>
        <v>138</v>
      </c>
      <c r="AA428" s="73" t="n">
        <f aca="false">(AA$364+1-YEAR(Inputs!$F$26))*Months_In_Year-MONTH(Inputs!$F$26)</f>
        <v>150</v>
      </c>
      <c r="AB428" s="73" t="n">
        <f aca="false">(AB$364+1-YEAR(Inputs!$F$26))*Months_In_Year-MONTH(Inputs!$F$26)</f>
        <v>162</v>
      </c>
      <c r="AC428" s="73" t="n">
        <f aca="false">(AC$364+1-YEAR(Inputs!$F$26))*Months_In_Year-MONTH(Inputs!$F$26)</f>
        <v>174</v>
      </c>
      <c r="AD428" s="73" t="n">
        <f aca="false">(AD$364+1-YEAR(Inputs!$F$26))*Months_In_Year-MONTH(Inputs!$F$26)</f>
        <v>186</v>
      </c>
      <c r="AE428" s="73" t="n">
        <f aca="false">(AE$364+1-YEAR(Inputs!$F$26))*Months_In_Year-MONTH(Inputs!$F$26)</f>
        <v>198</v>
      </c>
      <c r="AF428" s="73" t="n">
        <f aca="false">(AF$364+1-YEAR(Inputs!$F$26))*Months_In_Year-MONTH(Inputs!$F$26)</f>
        <v>210</v>
      </c>
      <c r="AG428" s="73" t="n">
        <f aca="false">(AG$364+1-YEAR(Inputs!$F$26))*Months_In_Year-MONTH(Inputs!$F$26)</f>
        <v>222</v>
      </c>
      <c r="AH428" s="73" t="n">
        <f aca="false">(AH$364+1-YEAR(Inputs!$F$26))*Months_In_Year-MONTH(Inputs!$F$26)</f>
        <v>234</v>
      </c>
      <c r="AI428" s="73" t="n">
        <f aca="false">(AI$364+1-YEAR(Inputs!$F$26))*Months_In_Year-MONTH(Inputs!$F$26)</f>
        <v>246</v>
      </c>
      <c r="AJ428" s="73" t="n">
        <f aca="false">(AJ$364+1-YEAR(Inputs!$F$26))*Months_In_Year-MONTH(Inputs!$F$26)</f>
        <v>258</v>
      </c>
      <c r="AK428" s="73" t="n">
        <f aca="false">(AK$364+1-YEAR(Inputs!$F$26))*Months_In_Year-MONTH(Inputs!$F$26)</f>
        <v>270</v>
      </c>
      <c r="AL428" s="73" t="n">
        <f aca="false">(AL$364+1-YEAR(Inputs!$F$26))*Months_In_Year-MONTH(Inputs!$F$26)</f>
        <v>282</v>
      </c>
      <c r="AM428" s="73" t="n">
        <f aca="false">(AM$364+1-YEAR(Inputs!$F$26))*Months_In_Year-MONTH(Inputs!$F$26)</f>
        <v>294</v>
      </c>
      <c r="AN428" s="73" t="n">
        <f aca="false">(AN$364+1-YEAR(Inputs!$F$26))*Months_In_Year-MONTH(Inputs!$F$26)</f>
        <v>306</v>
      </c>
      <c r="AO428" s="73" t="n">
        <f aca="false">(AO$364+1-YEAR(Inputs!$F$26))*Months_In_Year-MONTH(Inputs!$F$26)</f>
        <v>318</v>
      </c>
      <c r="AP428" s="73" t="n">
        <f aca="false">(AP$364+1-YEAR(Inputs!$F$26))*Months_In_Year-MONTH(Inputs!$F$26)</f>
        <v>330</v>
      </c>
      <c r="AQ428" s="73" t="n">
        <f aca="false">(AQ$364+1-YEAR(Inputs!$F$26))*Months_In_Year-MONTH(Inputs!$F$26)</f>
        <v>342</v>
      </c>
      <c r="AR428" s="73" t="n">
        <f aca="false">(AR$364+1-YEAR(Inputs!$F$26))*Months_In_Year-MONTH(Inputs!$F$26)</f>
        <v>354</v>
      </c>
      <c r="AS428" s="73" t="n">
        <f aca="false">(AS$364+1-YEAR(Inputs!$F$26))*Months_In_Year-MONTH(Inputs!$F$26)</f>
        <v>366</v>
      </c>
      <c r="AT428" s="73" t="n">
        <f aca="false">(AT$364+1-YEAR(Inputs!$F$26))*Months_In_Year-MONTH(Inputs!$F$26)</f>
        <v>378</v>
      </c>
      <c r="AU428" s="73" t="n">
        <f aca="false">(AU$364+1-YEAR(Inputs!$F$26))*Months_In_Year-MONTH(Inputs!$F$26)</f>
        <v>390</v>
      </c>
      <c r="AV428" s="73" t="n">
        <f aca="false">(AV$364+1-YEAR(Inputs!$F$26))*Months_In_Year-MONTH(Inputs!$F$26)</f>
        <v>402</v>
      </c>
      <c r="AW428" s="73" t="n">
        <f aca="false">(AW$364+1-YEAR(Inputs!$F$26))*Months_In_Year-MONTH(Inputs!$F$26)</f>
        <v>414</v>
      </c>
    </row>
    <row r="429" customFormat="false" ht="14.25" hidden="false" customHeight="false" outlineLevel="0" collapsed="false">
      <c r="C429" s="6" t="s">
        <v>298</v>
      </c>
      <c r="D429" s="2" t="s">
        <v>12</v>
      </c>
      <c r="H429" s="74" t="n">
        <f aca="false">SUM(J429:AW429)</f>
        <v>30</v>
      </c>
      <c r="J429" s="48" t="n">
        <f aca="false">MAX(0,MIN(J428,$F428)-MAX(J428-Months_In_Year,0))/Months_In_Year</f>
        <v>0</v>
      </c>
      <c r="K429" s="48" t="n">
        <f aca="false">MAX(0,MIN(K428,$F428)-MAX(K428-Months_In_Year,0))/Months_In_Year</f>
        <v>0</v>
      </c>
      <c r="L429" s="48" t="n">
        <f aca="false">MAX(0,MIN(L428,$F428)-MAX(L428-Months_In_Year,0))/Months_In_Year</f>
        <v>0</v>
      </c>
      <c r="M429" s="48" t="n">
        <f aca="false">MAX(0,MIN(M428,$F428)-MAX(M428-Months_In_Year,0))/Months_In_Year</f>
        <v>0</v>
      </c>
      <c r="N429" s="48" t="n">
        <f aca="false">MAX(0,MIN(N428,$F428)-MAX(N428-Months_In_Year,0))/Months_In_Year</f>
        <v>0</v>
      </c>
      <c r="O429" s="48" t="n">
        <f aca="false">MAX(0,MIN(O428,$F428)-MAX(O428-Months_In_Year,0))/Months_In_Year</f>
        <v>0.5</v>
      </c>
      <c r="P429" s="48" t="n">
        <f aca="false">MAX(0,MIN(P428,$F428)-MAX(P428-Months_In_Year,0))/Months_In_Year</f>
        <v>1</v>
      </c>
      <c r="Q429" s="48" t="n">
        <f aca="false">MAX(0,MIN(Q428,$F428)-MAX(Q428-Months_In_Year,0))/Months_In_Year</f>
        <v>1</v>
      </c>
      <c r="R429" s="48" t="n">
        <f aca="false">MAX(0,MIN(R428,$F428)-MAX(R428-Months_In_Year,0))/Months_In_Year</f>
        <v>1</v>
      </c>
      <c r="S429" s="48" t="n">
        <f aca="false">MAX(0,MIN(S428,$F428)-MAX(S428-Months_In_Year,0))/Months_In_Year</f>
        <v>1</v>
      </c>
      <c r="T429" s="48" t="n">
        <f aca="false">MAX(0,MIN(T428,$F428)-MAX(T428-Months_In_Year,0))/Months_In_Year</f>
        <v>1</v>
      </c>
      <c r="U429" s="48" t="n">
        <f aca="false">MAX(0,MIN(U428,$F428)-MAX(U428-Months_In_Year,0))/Months_In_Year</f>
        <v>1</v>
      </c>
      <c r="V429" s="48" t="n">
        <f aca="false">MAX(0,MIN(V428,$F428)-MAX(V428-Months_In_Year,0))/Months_In_Year</f>
        <v>1</v>
      </c>
      <c r="W429" s="48" t="n">
        <f aca="false">MAX(0,MIN(W428,$F428)-MAX(W428-Months_In_Year,0))/Months_In_Year</f>
        <v>1</v>
      </c>
      <c r="X429" s="48" t="n">
        <f aca="false">MAX(0,MIN(X428,$F428)-MAX(X428-Months_In_Year,0))/Months_In_Year</f>
        <v>1</v>
      </c>
      <c r="Y429" s="48" t="n">
        <f aca="false">MAX(0,MIN(Y428,$F428)-MAX(Y428-Months_In_Year,0))/Months_In_Year</f>
        <v>1</v>
      </c>
      <c r="Z429" s="48" t="n">
        <f aca="false">MAX(0,MIN(Z428,$F428)-MAX(Z428-Months_In_Year,0))/Months_In_Year</f>
        <v>1</v>
      </c>
      <c r="AA429" s="48" t="n">
        <f aca="false">MAX(0,MIN(AA428,$F428)-MAX(AA428-Months_In_Year,0))/Months_In_Year</f>
        <v>1</v>
      </c>
      <c r="AB429" s="48" t="n">
        <f aca="false">MAX(0,MIN(AB428,$F428)-MAX(AB428-Months_In_Year,0))/Months_In_Year</f>
        <v>1</v>
      </c>
      <c r="AC429" s="48" t="n">
        <f aca="false">MAX(0,MIN(AC428,$F428)-MAX(AC428-Months_In_Year,0))/Months_In_Year</f>
        <v>1</v>
      </c>
      <c r="AD429" s="48" t="n">
        <f aca="false">MAX(0,MIN(AD428,$F428)-MAX(AD428-Months_In_Year,0))/Months_In_Year</f>
        <v>1</v>
      </c>
      <c r="AE429" s="48" t="n">
        <f aca="false">MAX(0,MIN(AE428,$F428)-MAX(AE428-Months_In_Year,0))/Months_In_Year</f>
        <v>1</v>
      </c>
      <c r="AF429" s="48" t="n">
        <f aca="false">MAX(0,MIN(AF428,$F428)-MAX(AF428-Months_In_Year,0))/Months_In_Year</f>
        <v>1</v>
      </c>
      <c r="AG429" s="48" t="n">
        <f aca="false">MAX(0,MIN(AG428,$F428)-MAX(AG428-Months_In_Year,0))/Months_In_Year</f>
        <v>1</v>
      </c>
      <c r="AH429" s="48" t="n">
        <f aca="false">MAX(0,MIN(AH428,$F428)-MAX(AH428-Months_In_Year,0))/Months_In_Year</f>
        <v>1</v>
      </c>
      <c r="AI429" s="48" t="n">
        <f aca="false">MAX(0,MIN(AI428,$F428)-MAX(AI428-Months_In_Year,0))/Months_In_Year</f>
        <v>1</v>
      </c>
      <c r="AJ429" s="48" t="n">
        <f aca="false">MAX(0,MIN(AJ428,$F428)-MAX(AJ428-Months_In_Year,0))/Months_In_Year</f>
        <v>1</v>
      </c>
      <c r="AK429" s="48" t="n">
        <f aca="false">MAX(0,MIN(AK428,$F428)-MAX(AK428-Months_In_Year,0))/Months_In_Year</f>
        <v>1</v>
      </c>
      <c r="AL429" s="48" t="n">
        <f aca="false">MAX(0,MIN(AL428,$F428)-MAX(AL428-Months_In_Year,0))/Months_In_Year</f>
        <v>1</v>
      </c>
      <c r="AM429" s="48" t="n">
        <f aca="false">MAX(0,MIN(AM428,$F428)-MAX(AM428-Months_In_Year,0))/Months_In_Year</f>
        <v>1</v>
      </c>
      <c r="AN429" s="48" t="n">
        <f aca="false">MAX(0,MIN(AN428,$F428)-MAX(AN428-Months_In_Year,0))/Months_In_Year</f>
        <v>1</v>
      </c>
      <c r="AO429" s="48" t="n">
        <f aca="false">MAX(0,MIN(AO428,$F428)-MAX(AO428-Months_In_Year,0))/Months_In_Year</f>
        <v>1</v>
      </c>
      <c r="AP429" s="48" t="n">
        <f aca="false">MAX(0,MIN(AP428,$F428)-MAX(AP428-Months_In_Year,0))/Months_In_Year</f>
        <v>1</v>
      </c>
      <c r="AQ429" s="48" t="n">
        <f aca="false">MAX(0,MIN(AQ428,$F428)-MAX(AQ428-Months_In_Year,0))/Months_In_Year</f>
        <v>1</v>
      </c>
      <c r="AR429" s="48" t="n">
        <f aca="false">MAX(0,MIN(AR428,$F428)-MAX(AR428-Months_In_Year,0))/Months_In_Year</f>
        <v>1</v>
      </c>
      <c r="AS429" s="48" t="n">
        <f aca="false">MAX(0,MIN(AS428,$F428)-MAX(AS428-Months_In_Year,0))/Months_In_Year</f>
        <v>0.5</v>
      </c>
      <c r="AT429" s="48" t="n">
        <f aca="false">MAX(0,MIN(AT428,$F428)-MAX(AT428-Months_In_Year,0))/Months_In_Year</f>
        <v>0</v>
      </c>
      <c r="AU429" s="48" t="n">
        <f aca="false">MAX(0,MIN(AU428,$F428)-MAX(AU428-Months_In_Year,0))/Months_In_Year</f>
        <v>0</v>
      </c>
      <c r="AV429" s="48" t="n">
        <f aca="false">MAX(0,MIN(AV428,$F428)-MAX(AV428-Months_In_Year,0))/Months_In_Year</f>
        <v>0</v>
      </c>
      <c r="AW429" s="48" t="n">
        <f aca="false">MAX(0,MIN(AW428,$F428)-MAX(AW428-Months_In_Year,0))/Months_In_Year</f>
        <v>0</v>
      </c>
    </row>
    <row r="430" customFormat="false" ht="14.25" hidden="false" customHeight="false" outlineLevel="0" collapsed="false">
      <c r="C430" s="6" t="s">
        <v>299</v>
      </c>
      <c r="D430" s="2" t="s">
        <v>2</v>
      </c>
      <c r="J430" s="75" t="n">
        <f aca="false">N(J425=0)</f>
        <v>0</v>
      </c>
      <c r="K430" s="75" t="n">
        <f aca="false">N(K425=0)</f>
        <v>0</v>
      </c>
      <c r="L430" s="75" t="n">
        <f aca="false">N(L425=0)</f>
        <v>0</v>
      </c>
      <c r="M430" s="75" t="n">
        <f aca="false">N(M425=0)</f>
        <v>0</v>
      </c>
      <c r="N430" s="75" t="n">
        <f aca="false">N(N425=0)</f>
        <v>0</v>
      </c>
      <c r="O430" s="75" t="n">
        <f aca="false">N(O425=0)</f>
        <v>1</v>
      </c>
      <c r="P430" s="75" t="n">
        <f aca="false">N(P425=0)</f>
        <v>0</v>
      </c>
      <c r="Q430" s="75" t="n">
        <f aca="false">N(Q425=0)</f>
        <v>0</v>
      </c>
      <c r="R430" s="75" t="n">
        <f aca="false">N(R425=0)</f>
        <v>0</v>
      </c>
      <c r="S430" s="75" t="n">
        <f aca="false">N(S425=0)</f>
        <v>0</v>
      </c>
      <c r="T430" s="75" t="n">
        <f aca="false">N(T425=0)</f>
        <v>0</v>
      </c>
      <c r="U430" s="75" t="n">
        <f aca="false">N(U425=0)</f>
        <v>0</v>
      </c>
      <c r="V430" s="75" t="n">
        <f aca="false">N(V425=0)</f>
        <v>0</v>
      </c>
      <c r="W430" s="75" t="n">
        <f aca="false">N(W425=0)</f>
        <v>0</v>
      </c>
      <c r="X430" s="75" t="n">
        <f aca="false">N(X425=0)</f>
        <v>0</v>
      </c>
      <c r="Y430" s="75" t="n">
        <f aca="false">N(Y425=0)</f>
        <v>0</v>
      </c>
      <c r="Z430" s="75" t="n">
        <f aca="false">N(Z425=0)</f>
        <v>0</v>
      </c>
      <c r="AA430" s="75" t="n">
        <f aca="false">N(AA425=0)</f>
        <v>0</v>
      </c>
      <c r="AB430" s="75" t="n">
        <f aca="false">N(AB425=0)</f>
        <v>0</v>
      </c>
      <c r="AC430" s="75" t="n">
        <f aca="false">N(AC425=0)</f>
        <v>0</v>
      </c>
      <c r="AD430" s="75" t="n">
        <f aca="false">N(AD425=0)</f>
        <v>0</v>
      </c>
      <c r="AE430" s="75" t="n">
        <f aca="false">N(AE425=0)</f>
        <v>0</v>
      </c>
      <c r="AF430" s="75" t="n">
        <f aca="false">N(AF425=0)</f>
        <v>0</v>
      </c>
      <c r="AG430" s="75" t="n">
        <f aca="false">N(AG425=0)</f>
        <v>0</v>
      </c>
      <c r="AH430" s="75" t="n">
        <f aca="false">N(AH425=0)</f>
        <v>0</v>
      </c>
      <c r="AI430" s="75" t="n">
        <f aca="false">N(AI425=0)</f>
        <v>0</v>
      </c>
      <c r="AJ430" s="75" t="n">
        <f aca="false">N(AJ425=0)</f>
        <v>0</v>
      </c>
      <c r="AK430" s="75" t="n">
        <f aca="false">N(AK425=0)</f>
        <v>0</v>
      </c>
      <c r="AL430" s="75" t="n">
        <f aca="false">N(AL425=0)</f>
        <v>0</v>
      </c>
      <c r="AM430" s="75" t="n">
        <f aca="false">N(AM425=0)</f>
        <v>0</v>
      </c>
      <c r="AN430" s="75" t="n">
        <f aca="false">N(AN425=0)</f>
        <v>0</v>
      </c>
      <c r="AO430" s="75" t="n">
        <f aca="false">N(AO425=0)</f>
        <v>0</v>
      </c>
      <c r="AP430" s="75" t="n">
        <f aca="false">N(AP425=0)</f>
        <v>0</v>
      </c>
      <c r="AQ430" s="75" t="n">
        <f aca="false">N(AQ425=0)</f>
        <v>0</v>
      </c>
      <c r="AR430" s="75" t="n">
        <f aca="false">N(AR425=0)</f>
        <v>0</v>
      </c>
      <c r="AS430" s="75" t="n">
        <f aca="false">N(AS425=0)</f>
        <v>0</v>
      </c>
      <c r="AT430" s="75" t="n">
        <f aca="false">N(AT425=0)</f>
        <v>0</v>
      </c>
      <c r="AU430" s="75" t="n">
        <f aca="false">N(AU425=0)</f>
        <v>0</v>
      </c>
      <c r="AV430" s="75" t="n">
        <f aca="false">N(AV425=0)</f>
        <v>0</v>
      </c>
      <c r="AW430" s="75" t="n">
        <f aca="false">N(AW425=0)</f>
        <v>0</v>
      </c>
    </row>
    <row r="431" customFormat="false" ht="14.25" hidden="false" customHeight="false" outlineLevel="0" collapsed="false">
      <c r="C431" s="6" t="s">
        <v>300</v>
      </c>
      <c r="D431" s="2" t="s">
        <v>85</v>
      </c>
      <c r="H431" s="8" t="n">
        <f aca="false">SUM(J431:AW431)</f>
        <v>-14078.5797945205</v>
      </c>
      <c r="J431" s="8" t="n">
        <f aca="false">-($F$98+$F$68+$F$62+$F$63+$F$92)*(J$364=YEAR(Sale_Date))</f>
        <v>-0</v>
      </c>
      <c r="K431" s="8" t="n">
        <f aca="false">-($F$98+$F$68+$F$62+$F$63+$F$92)*(K$364=YEAR(Sale_Date))</f>
        <v>-0</v>
      </c>
      <c r="L431" s="8" t="n">
        <f aca="false">-($F$98+$F$68+$F$62+$F$63+$F$92)*(L$364=YEAR(Sale_Date))</f>
        <v>-0</v>
      </c>
      <c r="M431" s="8" t="n">
        <f aca="false">-($F$98+$F$68+$F$62+$F$63+$F$92)*(M$364=YEAR(Sale_Date))</f>
        <v>-14078.5797945205</v>
      </c>
      <c r="N431" s="8" t="n">
        <f aca="false">-($F$98+$F$68+$F$62+$F$63+$F$92)*(N$364=YEAR(Sale_Date))</f>
        <v>-0</v>
      </c>
      <c r="O431" s="8" t="n">
        <f aca="false">-($F$98+$F$68+$F$62+$F$63+$F$92)*(O$364=YEAR(Sale_Date))</f>
        <v>-0</v>
      </c>
      <c r="P431" s="8" t="n">
        <f aca="false">-($F$98+$F$68+$F$62+$F$63+$F$92)*(P$364=YEAR(Sale_Date))</f>
        <v>-0</v>
      </c>
      <c r="Q431" s="8" t="n">
        <f aca="false">-($F$98+$F$68+$F$62+$F$63+$F$92)*(Q$364=YEAR(Sale_Date))</f>
        <v>-0</v>
      </c>
      <c r="R431" s="8" t="n">
        <f aca="false">-($F$98+$F$68+$F$62+$F$63+$F$92)*(R$364=YEAR(Sale_Date))</f>
        <v>-0</v>
      </c>
      <c r="S431" s="8" t="n">
        <f aca="false">-($F$98+$F$68+$F$62+$F$63+$F$92)*(S$364=YEAR(Sale_Date))</f>
        <v>-0</v>
      </c>
      <c r="T431" s="8" t="n">
        <f aca="false">-($F$98+$F$68+$F$62+$F$63+$F$92)*(T$364=YEAR(Sale_Date))</f>
        <v>-0</v>
      </c>
      <c r="U431" s="8" t="n">
        <f aca="false">-($F$98+$F$68+$F$62+$F$63+$F$92)*(U$364=YEAR(Sale_Date))</f>
        <v>-0</v>
      </c>
      <c r="V431" s="8" t="n">
        <f aca="false">-($F$98+$F$68+$F$62+$F$63+$F$92)*(V$364=YEAR(Sale_Date))</f>
        <v>-0</v>
      </c>
      <c r="W431" s="8" t="n">
        <f aca="false">-($F$98+$F$68+$F$62+$F$63+$F$92)*(W$364=YEAR(Sale_Date))</f>
        <v>-0</v>
      </c>
      <c r="X431" s="8" t="n">
        <f aca="false">-($F$98+$F$68+$F$62+$F$63+$F$92)*(X$364=YEAR(Sale_Date))</f>
        <v>-0</v>
      </c>
      <c r="Y431" s="8" t="n">
        <f aca="false">-($F$98+$F$68+$F$62+$F$63+$F$92)*(Y$364=YEAR(Sale_Date))</f>
        <v>-0</v>
      </c>
      <c r="Z431" s="8" t="n">
        <f aca="false">-($F$98+$F$68+$F$62+$F$63+$F$92)*(Z$364=YEAR(Sale_Date))</f>
        <v>-0</v>
      </c>
      <c r="AA431" s="8" t="n">
        <f aca="false">-($F$98+$F$68+$F$62+$F$63+$F$92)*(AA$364=YEAR(Sale_Date))</f>
        <v>-0</v>
      </c>
      <c r="AB431" s="8" t="n">
        <f aca="false">-($F$98+$F$68+$F$62+$F$63+$F$92)*(AB$364=YEAR(Sale_Date))</f>
        <v>-0</v>
      </c>
      <c r="AC431" s="8" t="n">
        <f aca="false">-($F$98+$F$68+$F$62+$F$63+$F$92)*(AC$364=YEAR(Sale_Date))</f>
        <v>-0</v>
      </c>
      <c r="AD431" s="8" t="n">
        <f aca="false">-($F$98+$F$68+$F$62+$F$63+$F$92)*(AD$364=YEAR(Sale_Date))</f>
        <v>-0</v>
      </c>
      <c r="AE431" s="8" t="n">
        <f aca="false">-($F$98+$F$68+$F$62+$F$63+$F$92)*(AE$364=YEAR(Sale_Date))</f>
        <v>-0</v>
      </c>
      <c r="AF431" s="8" t="n">
        <f aca="false">-($F$98+$F$68+$F$62+$F$63+$F$92)*(AF$364=YEAR(Sale_Date))</f>
        <v>-0</v>
      </c>
      <c r="AG431" s="8" t="n">
        <f aca="false">-($F$98+$F$68+$F$62+$F$63+$F$92)*(AG$364=YEAR(Sale_Date))</f>
        <v>-0</v>
      </c>
      <c r="AH431" s="8" t="n">
        <f aca="false">-($F$98+$F$68+$F$62+$F$63+$F$92)*(AH$364=YEAR(Sale_Date))</f>
        <v>-0</v>
      </c>
      <c r="AI431" s="8" t="n">
        <f aca="false">-($F$98+$F$68+$F$62+$F$63+$F$92)*(AI$364=YEAR(Sale_Date))</f>
        <v>-0</v>
      </c>
      <c r="AJ431" s="8" t="n">
        <f aca="false">-($F$98+$F$68+$F$62+$F$63+$F$92)*(AJ$364=YEAR(Sale_Date))</f>
        <v>-0</v>
      </c>
      <c r="AK431" s="8" t="n">
        <f aca="false">-($F$98+$F$68+$F$62+$F$63+$F$92)*(AK$364=YEAR(Sale_Date))</f>
        <v>-0</v>
      </c>
      <c r="AL431" s="8" t="n">
        <f aca="false">-($F$98+$F$68+$F$62+$F$63+$F$92)*(AL$364=YEAR(Sale_Date))</f>
        <v>-0</v>
      </c>
      <c r="AM431" s="8" t="n">
        <f aca="false">-($F$98+$F$68+$F$62+$F$63+$F$92)*(AM$364=YEAR(Sale_Date))</f>
        <v>-0</v>
      </c>
      <c r="AN431" s="8" t="n">
        <f aca="false">-($F$98+$F$68+$F$62+$F$63+$F$92)*(AN$364=YEAR(Sale_Date))</f>
        <v>-0</v>
      </c>
      <c r="AO431" s="8" t="n">
        <f aca="false">-($F$98+$F$68+$F$62+$F$63+$F$92)*(AO$364=YEAR(Sale_Date))</f>
        <v>-0</v>
      </c>
      <c r="AP431" s="8" t="n">
        <f aca="false">-($F$98+$F$68+$F$62+$F$63+$F$92)*(AP$364=YEAR(Sale_Date))</f>
        <v>-0</v>
      </c>
      <c r="AQ431" s="8" t="n">
        <f aca="false">-($F$98+$F$68+$F$62+$F$63+$F$92)*(AQ$364=YEAR(Sale_Date))</f>
        <v>-0</v>
      </c>
      <c r="AR431" s="8" t="n">
        <f aca="false">-($F$98+$F$68+$F$62+$F$63+$F$92)*(AR$364=YEAR(Sale_Date))</f>
        <v>-0</v>
      </c>
      <c r="AS431" s="8" t="n">
        <f aca="false">-($F$98+$F$68+$F$62+$F$63+$F$92)*(AS$364=YEAR(Sale_Date))</f>
        <v>-0</v>
      </c>
      <c r="AT431" s="8" t="n">
        <f aca="false">-($F$98+$F$68+$F$62+$F$63+$F$92)*(AT$364=YEAR(Sale_Date))</f>
        <v>-0</v>
      </c>
      <c r="AU431" s="8" t="n">
        <f aca="false">-($F$98+$F$68+$F$62+$F$63+$F$92)*(AU$364=YEAR(Sale_Date))</f>
        <v>-0</v>
      </c>
      <c r="AV431" s="8" t="n">
        <f aca="false">-($F$98+$F$68+$F$62+$F$63+$F$92)*(AV$364=YEAR(Sale_Date))</f>
        <v>-0</v>
      </c>
      <c r="AW431" s="8" t="n">
        <f aca="false">-($F$98+$F$68+$F$62+$F$63+$F$92)*(AW$364=YEAR(Sale_Date))</f>
        <v>-0</v>
      </c>
    </row>
    <row r="432" customFormat="false" ht="14.25" hidden="false" customHeight="false" outlineLevel="0" collapsed="false">
      <c r="C432" s="6" t="s">
        <v>301</v>
      </c>
      <c r="D432" s="2" t="s">
        <v>85</v>
      </c>
      <c r="H432" s="8" t="n">
        <f aca="false">SUM(J432:AW432)</f>
        <v>2494.52054794521</v>
      </c>
      <c r="J432" s="8" t="n">
        <f aca="false">($F$62+$F$63)*(J$364=YEAR(Inputs!$F$27))</f>
        <v>0</v>
      </c>
      <c r="K432" s="8" t="n">
        <f aca="false">($F$62+$F$63)*(K$364=YEAR(Inputs!$F$27))</f>
        <v>0</v>
      </c>
      <c r="L432" s="8" t="n">
        <f aca="false">($F$62+$F$63)*(L$364=YEAR(Inputs!$F$27))</f>
        <v>0</v>
      </c>
      <c r="M432" s="8" t="n">
        <f aca="false">($F$62+$F$63)*(M$364=YEAR(Inputs!$F$27))</f>
        <v>0</v>
      </c>
      <c r="N432" s="8" t="n">
        <f aca="false">($F$62+$F$63)*(N$364=YEAR(Inputs!$F$27))</f>
        <v>0</v>
      </c>
      <c r="O432" s="8" t="n">
        <f aca="false">($F$62+$F$63)*(O$364=YEAR(Inputs!$F$27))</f>
        <v>0</v>
      </c>
      <c r="P432" s="8" t="n">
        <f aca="false">($F$62+$F$63)*(P$364=YEAR(Inputs!$F$27))</f>
        <v>0</v>
      </c>
      <c r="Q432" s="8" t="n">
        <f aca="false">($F$62+$F$63)*(Q$364=YEAR(Inputs!$F$27))</f>
        <v>2494.52054794521</v>
      </c>
      <c r="R432" s="8" t="n">
        <f aca="false">($F$62+$F$63)*(R$364=YEAR(Inputs!$F$27))</f>
        <v>0</v>
      </c>
      <c r="S432" s="8" t="n">
        <f aca="false">($F$62+$F$63)*(S$364=YEAR(Inputs!$F$27))</f>
        <v>0</v>
      </c>
      <c r="T432" s="8" t="n">
        <f aca="false">($F$62+$F$63)*(T$364=YEAR(Inputs!$F$27))</f>
        <v>0</v>
      </c>
      <c r="U432" s="8" t="n">
        <f aca="false">($F$62+$F$63)*(U$364=YEAR(Inputs!$F$27))</f>
        <v>0</v>
      </c>
      <c r="V432" s="8" t="n">
        <f aca="false">($F$62+$F$63)*(V$364=YEAR(Inputs!$F$27))</f>
        <v>0</v>
      </c>
      <c r="W432" s="8" t="n">
        <f aca="false">($F$62+$F$63)*(W$364=YEAR(Inputs!$F$27))</f>
        <v>0</v>
      </c>
      <c r="X432" s="8" t="n">
        <f aca="false">($F$62+$F$63)*(X$364=YEAR(Inputs!$F$27))</f>
        <v>0</v>
      </c>
      <c r="Y432" s="8" t="n">
        <f aca="false">($F$62+$F$63)*(Y$364=YEAR(Inputs!$F$27))</f>
        <v>0</v>
      </c>
      <c r="Z432" s="8" t="n">
        <f aca="false">($F$62+$F$63)*(Z$364=YEAR(Inputs!$F$27))</f>
        <v>0</v>
      </c>
      <c r="AA432" s="8" t="n">
        <f aca="false">($F$62+$F$63)*(AA$364=YEAR(Inputs!$F$27))</f>
        <v>0</v>
      </c>
      <c r="AB432" s="8" t="n">
        <f aca="false">($F$62+$F$63)*(AB$364=YEAR(Inputs!$F$27))</f>
        <v>0</v>
      </c>
      <c r="AC432" s="8" t="n">
        <f aca="false">($F$62+$F$63)*(AC$364=YEAR(Inputs!$F$27))</f>
        <v>0</v>
      </c>
      <c r="AD432" s="8" t="n">
        <f aca="false">($F$62+$F$63)*(AD$364=YEAR(Inputs!$F$27))</f>
        <v>0</v>
      </c>
      <c r="AE432" s="8" t="n">
        <f aca="false">($F$62+$F$63)*(AE$364=YEAR(Inputs!$F$27))</f>
        <v>0</v>
      </c>
      <c r="AF432" s="8" t="n">
        <f aca="false">($F$62+$F$63)*(AF$364=YEAR(Inputs!$F$27))</f>
        <v>0</v>
      </c>
      <c r="AG432" s="8" t="n">
        <f aca="false">($F$62+$F$63)*(AG$364=YEAR(Inputs!$F$27))</f>
        <v>0</v>
      </c>
      <c r="AH432" s="8" t="n">
        <f aca="false">($F$62+$F$63)*(AH$364=YEAR(Inputs!$F$27))</f>
        <v>0</v>
      </c>
      <c r="AI432" s="8" t="n">
        <f aca="false">($F$62+$F$63)*(AI$364=YEAR(Inputs!$F$27))</f>
        <v>0</v>
      </c>
      <c r="AJ432" s="8" t="n">
        <f aca="false">($F$62+$F$63)*(AJ$364=YEAR(Inputs!$F$27))</f>
        <v>0</v>
      </c>
      <c r="AK432" s="8" t="n">
        <f aca="false">($F$62+$F$63)*(AK$364=YEAR(Inputs!$F$27))</f>
        <v>0</v>
      </c>
      <c r="AL432" s="8" t="n">
        <f aca="false">($F$62+$F$63)*(AL$364=YEAR(Inputs!$F$27))</f>
        <v>0</v>
      </c>
      <c r="AM432" s="8" t="n">
        <f aca="false">($F$62+$F$63)*(AM$364=YEAR(Inputs!$F$27))</f>
        <v>0</v>
      </c>
      <c r="AN432" s="8" t="n">
        <f aca="false">($F$62+$F$63)*(AN$364=YEAR(Inputs!$F$27))</f>
        <v>0</v>
      </c>
      <c r="AO432" s="8" t="n">
        <f aca="false">($F$62+$F$63)*(AO$364=YEAR(Inputs!$F$27))</f>
        <v>0</v>
      </c>
      <c r="AP432" s="8" t="n">
        <f aca="false">($F$62+$F$63)*(AP$364=YEAR(Inputs!$F$27))</f>
        <v>0</v>
      </c>
      <c r="AQ432" s="8" t="n">
        <f aca="false">($F$62+$F$63)*(AQ$364=YEAR(Inputs!$F$27))</f>
        <v>0</v>
      </c>
      <c r="AR432" s="8" t="n">
        <f aca="false">($F$62+$F$63)*(AR$364=YEAR(Inputs!$F$27))</f>
        <v>0</v>
      </c>
      <c r="AS432" s="8" t="n">
        <f aca="false">($F$62+$F$63)*(AS$364=YEAR(Inputs!$F$27))</f>
        <v>0</v>
      </c>
      <c r="AT432" s="8" t="n">
        <f aca="false">($F$62+$F$63)*(AT$364=YEAR(Inputs!$F$27))</f>
        <v>0</v>
      </c>
      <c r="AU432" s="8" t="n">
        <f aca="false">($F$62+$F$63)*(AU$364=YEAR(Inputs!$F$27))</f>
        <v>0</v>
      </c>
      <c r="AV432" s="8" t="n">
        <f aca="false">($F$62+$F$63)*(AV$364=YEAR(Inputs!$F$27))</f>
        <v>0</v>
      </c>
      <c r="AW432" s="8" t="n">
        <f aca="false">($F$62+$F$63)*(AW$364=YEAR(Inputs!$F$27))</f>
        <v>0</v>
      </c>
    </row>
    <row r="433" customFormat="false" ht="14.25" hidden="false" customHeight="false" outlineLevel="0" collapsed="false">
      <c r="C433" s="6" t="s">
        <v>302</v>
      </c>
      <c r="D433" s="2" t="s">
        <v>85</v>
      </c>
      <c r="H433" s="8" t="n">
        <f aca="false">SUM(J433:AW433)</f>
        <v>-62716</v>
      </c>
      <c r="J433" s="8" t="n">
        <f aca="false">-$F$91*J427</f>
        <v>-0</v>
      </c>
      <c r="K433" s="8" t="n">
        <f aca="false">-$F$91*K427</f>
        <v>-0</v>
      </c>
      <c r="L433" s="8" t="n">
        <f aca="false">-$F$91*L427</f>
        <v>-0</v>
      </c>
      <c r="M433" s="8" t="n">
        <f aca="false">-$F$91*M427</f>
        <v>-15679</v>
      </c>
      <c r="N433" s="8" t="n">
        <f aca="false">-$F$91*N427</f>
        <v>-31358</v>
      </c>
      <c r="O433" s="8" t="n">
        <f aca="false">-$F$91*O427</f>
        <v>-15679</v>
      </c>
      <c r="P433" s="8" t="n">
        <f aca="false">-$F$91*P427</f>
        <v>-0</v>
      </c>
      <c r="Q433" s="8" t="n">
        <f aca="false">-$F$91*Q427</f>
        <v>-0</v>
      </c>
      <c r="R433" s="8" t="n">
        <f aca="false">-$F$91*R427</f>
        <v>-0</v>
      </c>
      <c r="S433" s="8" t="n">
        <f aca="false">-$F$91*S427</f>
        <v>-0</v>
      </c>
      <c r="T433" s="8" t="n">
        <f aca="false">-$F$91*T427</f>
        <v>-0</v>
      </c>
      <c r="U433" s="8" t="n">
        <f aca="false">-$F$91*U427</f>
        <v>-0</v>
      </c>
      <c r="V433" s="8" t="n">
        <f aca="false">-$F$91*V427</f>
        <v>-0</v>
      </c>
      <c r="W433" s="8" t="n">
        <f aca="false">-$F$91*W427</f>
        <v>-0</v>
      </c>
      <c r="X433" s="8" t="n">
        <f aca="false">-$F$91*X427</f>
        <v>-0</v>
      </c>
      <c r="Y433" s="8" t="n">
        <f aca="false">-$F$91*Y427</f>
        <v>-0</v>
      </c>
      <c r="Z433" s="8" t="n">
        <f aca="false">-$F$91*Z427</f>
        <v>-0</v>
      </c>
      <c r="AA433" s="8" t="n">
        <f aca="false">-$F$91*AA427</f>
        <v>-0</v>
      </c>
      <c r="AB433" s="8" t="n">
        <f aca="false">-$F$91*AB427</f>
        <v>-0</v>
      </c>
      <c r="AC433" s="8" t="n">
        <f aca="false">-$F$91*AC427</f>
        <v>-0</v>
      </c>
      <c r="AD433" s="8" t="n">
        <f aca="false">-$F$91*AD427</f>
        <v>-0</v>
      </c>
      <c r="AE433" s="8" t="n">
        <f aca="false">-$F$91*AE427</f>
        <v>-0</v>
      </c>
      <c r="AF433" s="8" t="n">
        <f aca="false">-$F$91*AF427</f>
        <v>-0</v>
      </c>
      <c r="AG433" s="8" t="n">
        <f aca="false">-$F$91*AG427</f>
        <v>-0</v>
      </c>
      <c r="AH433" s="8" t="n">
        <f aca="false">-$F$91*AH427</f>
        <v>-0</v>
      </c>
      <c r="AI433" s="8" t="n">
        <f aca="false">-$F$91*AI427</f>
        <v>-0</v>
      </c>
      <c r="AJ433" s="8" t="n">
        <f aca="false">-$F$91*AJ427</f>
        <v>-0</v>
      </c>
      <c r="AK433" s="8" t="n">
        <f aca="false">-$F$91*AK427</f>
        <v>-0</v>
      </c>
      <c r="AL433" s="8" t="n">
        <f aca="false">-$F$91*AL427</f>
        <v>-0</v>
      </c>
      <c r="AM433" s="8" t="n">
        <f aca="false">-$F$91*AM427</f>
        <v>-0</v>
      </c>
      <c r="AN433" s="8" t="n">
        <f aca="false">-$F$91*AN427</f>
        <v>-0</v>
      </c>
      <c r="AO433" s="8" t="n">
        <f aca="false">-$F$91*AO427</f>
        <v>-0</v>
      </c>
      <c r="AP433" s="8" t="n">
        <f aca="false">-$F$91*AP427</f>
        <v>-0</v>
      </c>
      <c r="AQ433" s="8" t="n">
        <f aca="false">-$F$91*AQ427</f>
        <v>-0</v>
      </c>
      <c r="AR433" s="8" t="n">
        <f aca="false">-$F$91*AR427</f>
        <v>-0</v>
      </c>
      <c r="AS433" s="8" t="n">
        <f aca="false">-$F$91*AS427</f>
        <v>-0</v>
      </c>
      <c r="AT433" s="8" t="n">
        <f aca="false">-$F$91*AT427</f>
        <v>-0</v>
      </c>
      <c r="AU433" s="8" t="n">
        <f aca="false">-$F$91*AU427</f>
        <v>-0</v>
      </c>
      <c r="AV433" s="8" t="n">
        <f aca="false">-$F$91*AV427</f>
        <v>-0</v>
      </c>
      <c r="AW433" s="8" t="n">
        <f aca="false">-$F$91*AW427</f>
        <v>-0</v>
      </c>
    </row>
    <row r="434" customFormat="false" ht="14.25" hidden="false" customHeight="false" outlineLevel="0" collapsed="false">
      <c r="C434" s="6" t="s">
        <v>303</v>
      </c>
      <c r="D434" s="2" t="s">
        <v>85</v>
      </c>
      <c r="H434" s="8" t="n">
        <f aca="false">SUM(J434:AW434)</f>
        <v>-2500</v>
      </c>
      <c r="J434" s="8" t="n">
        <f aca="false">-$F$96*J430</f>
        <v>-0</v>
      </c>
      <c r="K434" s="8" t="n">
        <f aca="false">-$F$96*K430</f>
        <v>-0</v>
      </c>
      <c r="L434" s="8" t="n">
        <f aca="false">-$F$96*L430</f>
        <v>-0</v>
      </c>
      <c r="M434" s="8" t="n">
        <f aca="false">-$F$96*M430</f>
        <v>-0</v>
      </c>
      <c r="N434" s="8" t="n">
        <f aca="false">-$F$96*N430</f>
        <v>-0</v>
      </c>
      <c r="O434" s="8" t="n">
        <f aca="false">-$F$96*O430</f>
        <v>-2500</v>
      </c>
      <c r="P434" s="8" t="n">
        <f aca="false">-$F$96*P430</f>
        <v>-0</v>
      </c>
      <c r="Q434" s="8" t="n">
        <f aca="false">-$F$96*Q430</f>
        <v>-0</v>
      </c>
      <c r="R434" s="8" t="n">
        <f aca="false">-$F$96*R430</f>
        <v>-0</v>
      </c>
      <c r="S434" s="8" t="n">
        <f aca="false">-$F$96*S430</f>
        <v>-0</v>
      </c>
      <c r="T434" s="8" t="n">
        <f aca="false">-$F$96*T430</f>
        <v>-0</v>
      </c>
      <c r="U434" s="8" t="n">
        <f aca="false">-$F$96*U430</f>
        <v>-0</v>
      </c>
      <c r="V434" s="8" t="n">
        <f aca="false">-$F$96*V430</f>
        <v>-0</v>
      </c>
      <c r="W434" s="8" t="n">
        <f aca="false">-$F$96*W430</f>
        <v>-0</v>
      </c>
      <c r="X434" s="8" t="n">
        <f aca="false">-$F$96*X430</f>
        <v>-0</v>
      </c>
      <c r="Y434" s="8" t="n">
        <f aca="false">-$F$96*Y430</f>
        <v>-0</v>
      </c>
      <c r="Z434" s="8" t="n">
        <f aca="false">-$F$96*Z430</f>
        <v>-0</v>
      </c>
      <c r="AA434" s="8" t="n">
        <f aca="false">-$F$96*AA430</f>
        <v>-0</v>
      </c>
      <c r="AB434" s="8" t="n">
        <f aca="false">-$F$96*AB430</f>
        <v>-0</v>
      </c>
      <c r="AC434" s="8" t="n">
        <f aca="false">-$F$96*AC430</f>
        <v>-0</v>
      </c>
      <c r="AD434" s="8" t="n">
        <f aca="false">-$F$96*AD430</f>
        <v>-0</v>
      </c>
      <c r="AE434" s="8" t="n">
        <f aca="false">-$F$96*AE430</f>
        <v>-0</v>
      </c>
      <c r="AF434" s="8" t="n">
        <f aca="false">-$F$96*AF430</f>
        <v>-0</v>
      </c>
      <c r="AG434" s="8" t="n">
        <f aca="false">-$F$96*AG430</f>
        <v>-0</v>
      </c>
      <c r="AH434" s="8" t="n">
        <f aca="false">-$F$96*AH430</f>
        <v>-0</v>
      </c>
      <c r="AI434" s="8" t="n">
        <f aca="false">-$F$96*AI430</f>
        <v>-0</v>
      </c>
      <c r="AJ434" s="8" t="n">
        <f aca="false">-$F$96*AJ430</f>
        <v>-0</v>
      </c>
      <c r="AK434" s="8" t="n">
        <f aca="false">-$F$96*AK430</f>
        <v>-0</v>
      </c>
      <c r="AL434" s="8" t="n">
        <f aca="false">-$F$96*AL430</f>
        <v>-0</v>
      </c>
      <c r="AM434" s="8" t="n">
        <f aca="false">-$F$96*AM430</f>
        <v>-0</v>
      </c>
      <c r="AN434" s="8" t="n">
        <f aca="false">-$F$96*AN430</f>
        <v>-0</v>
      </c>
      <c r="AO434" s="8" t="n">
        <f aca="false">-$F$96*AO430</f>
        <v>-0</v>
      </c>
      <c r="AP434" s="8" t="n">
        <f aca="false">-$F$96*AP430</f>
        <v>-0</v>
      </c>
      <c r="AQ434" s="8" t="n">
        <f aca="false">-$F$96*AQ430</f>
        <v>-0</v>
      </c>
      <c r="AR434" s="8" t="n">
        <f aca="false">-$F$96*AR430</f>
        <v>-0</v>
      </c>
      <c r="AS434" s="8" t="n">
        <f aca="false">-$F$96*AS430</f>
        <v>-0</v>
      </c>
      <c r="AT434" s="8" t="n">
        <f aca="false">-$F$96*AT430</f>
        <v>-0</v>
      </c>
      <c r="AU434" s="8" t="n">
        <f aca="false">-$F$96*AU430</f>
        <v>-0</v>
      </c>
      <c r="AV434" s="8" t="n">
        <f aca="false">-$F$96*AV430</f>
        <v>-0</v>
      </c>
      <c r="AW434" s="8" t="n">
        <f aca="false">-$F$96*AW430</f>
        <v>-0</v>
      </c>
    </row>
    <row r="435" customFormat="false" ht="14.25" hidden="false" customHeight="false" outlineLevel="0" collapsed="false">
      <c r="C435" s="1" t="s">
        <v>304</v>
      </c>
      <c r="D435" s="2" t="s">
        <v>85</v>
      </c>
      <c r="H435" s="15" t="n">
        <f aca="false">SUM(J435:AW435)</f>
        <v>-76800.0592465753</v>
      </c>
      <c r="J435" s="15" t="n">
        <f aca="false">SUM(J431:J434)</f>
        <v>0</v>
      </c>
      <c r="K435" s="15" t="n">
        <f aca="false">SUM(K431:K434)</f>
        <v>0</v>
      </c>
      <c r="L435" s="15" t="n">
        <f aca="false">SUM(L431:L434)</f>
        <v>0</v>
      </c>
      <c r="M435" s="15" t="n">
        <f aca="false">SUM(M431:M434)</f>
        <v>-29757.5797945206</v>
      </c>
      <c r="N435" s="15" t="n">
        <f aca="false">SUM(N431:N434)</f>
        <v>-31358</v>
      </c>
      <c r="O435" s="15" t="n">
        <f aca="false">SUM(O431:O434)</f>
        <v>-18179</v>
      </c>
      <c r="P435" s="15" t="n">
        <f aca="false">SUM(P431:P434)</f>
        <v>0</v>
      </c>
      <c r="Q435" s="15" t="n">
        <f aca="false">SUM(Q431:Q434)</f>
        <v>2494.52054794521</v>
      </c>
      <c r="R435" s="15" t="n">
        <f aca="false">SUM(R431:R434)</f>
        <v>0</v>
      </c>
      <c r="S435" s="15" t="n">
        <f aca="false">SUM(S431:S434)</f>
        <v>0</v>
      </c>
      <c r="T435" s="15" t="n">
        <f aca="false">SUM(T431:T434)</f>
        <v>0</v>
      </c>
      <c r="U435" s="15" t="n">
        <f aca="false">SUM(U431:U434)</f>
        <v>0</v>
      </c>
      <c r="V435" s="15" t="n">
        <f aca="false">SUM(V431:V434)</f>
        <v>0</v>
      </c>
      <c r="W435" s="15" t="n">
        <f aca="false">SUM(W431:W434)</f>
        <v>0</v>
      </c>
      <c r="X435" s="15" t="n">
        <f aca="false">SUM(X431:X434)</f>
        <v>0</v>
      </c>
      <c r="Y435" s="15" t="n">
        <f aca="false">SUM(Y431:Y434)</f>
        <v>0</v>
      </c>
      <c r="Z435" s="15" t="n">
        <f aca="false">SUM(Z431:Z434)</f>
        <v>0</v>
      </c>
      <c r="AA435" s="15" t="n">
        <f aca="false">SUM(AA431:AA434)</f>
        <v>0</v>
      </c>
      <c r="AB435" s="15" t="n">
        <f aca="false">SUM(AB431:AB434)</f>
        <v>0</v>
      </c>
      <c r="AC435" s="15" t="n">
        <f aca="false">SUM(AC431:AC434)</f>
        <v>0</v>
      </c>
      <c r="AD435" s="15" t="n">
        <f aca="false">SUM(AD431:AD434)</f>
        <v>0</v>
      </c>
      <c r="AE435" s="15" t="n">
        <f aca="false">SUM(AE431:AE434)</f>
        <v>0</v>
      </c>
      <c r="AF435" s="15" t="n">
        <f aca="false">SUM(AF431:AF434)</f>
        <v>0</v>
      </c>
      <c r="AG435" s="15" t="n">
        <f aca="false">SUM(AG431:AG434)</f>
        <v>0</v>
      </c>
      <c r="AH435" s="15" t="n">
        <f aca="false">SUM(AH431:AH434)</f>
        <v>0</v>
      </c>
      <c r="AI435" s="15" t="n">
        <f aca="false">SUM(AI431:AI434)</f>
        <v>0</v>
      </c>
      <c r="AJ435" s="15" t="n">
        <f aca="false">SUM(AJ431:AJ434)</f>
        <v>0</v>
      </c>
      <c r="AK435" s="15" t="n">
        <f aca="false">SUM(AK431:AK434)</f>
        <v>0</v>
      </c>
      <c r="AL435" s="15" t="n">
        <f aca="false">SUM(AL431:AL434)</f>
        <v>0</v>
      </c>
      <c r="AM435" s="15" t="n">
        <f aca="false">SUM(AM431:AM434)</f>
        <v>0</v>
      </c>
      <c r="AN435" s="15" t="n">
        <f aca="false">SUM(AN431:AN434)</f>
        <v>0</v>
      </c>
      <c r="AO435" s="15" t="n">
        <f aca="false">SUM(AO431:AO434)</f>
        <v>0</v>
      </c>
      <c r="AP435" s="15" t="n">
        <f aca="false">SUM(AP431:AP434)</f>
        <v>0</v>
      </c>
      <c r="AQ435" s="15" t="n">
        <f aca="false">SUM(AQ431:AQ434)</f>
        <v>0</v>
      </c>
      <c r="AR435" s="15" t="n">
        <f aca="false">SUM(AR431:AR434)</f>
        <v>0</v>
      </c>
      <c r="AS435" s="15" t="n">
        <f aca="false">SUM(AS431:AS434)</f>
        <v>0</v>
      </c>
      <c r="AT435" s="15" t="n">
        <f aca="false">SUM(AT431:AT434)</f>
        <v>0</v>
      </c>
      <c r="AU435" s="15" t="n">
        <f aca="false">SUM(AU431:AU434)</f>
        <v>0</v>
      </c>
      <c r="AV435" s="15" t="n">
        <f aca="false">SUM(AV431:AV434)</f>
        <v>0</v>
      </c>
      <c r="AW435" s="15" t="n">
        <f aca="false">SUM(AW431:AW434)</f>
        <v>0</v>
      </c>
    </row>
    <row r="436" customFormat="false" ht="14.25" hidden="false" customHeight="false" outlineLevel="0" collapsed="false">
      <c r="C436" s="6" t="s">
        <v>305</v>
      </c>
      <c r="D436" s="2" t="s">
        <v>3</v>
      </c>
      <c r="J436" s="76" t="n">
        <f aca="false">(1-Degradation)^MAX(J425-1,0)</f>
        <v>1</v>
      </c>
      <c r="K436" s="76" t="n">
        <f aca="false">(1-Degradation)^MAX(K425-1,0)</f>
        <v>1</v>
      </c>
      <c r="L436" s="76" t="n">
        <f aca="false">(1-Degradation)^MAX(L425-1,0)</f>
        <v>1</v>
      </c>
      <c r="M436" s="76" t="n">
        <f aca="false">(1-Degradation)^MAX(M425-1,0)</f>
        <v>1</v>
      </c>
      <c r="N436" s="76" t="n">
        <f aca="false">(1-Degradation)^MAX(N425-1,0)</f>
        <v>1</v>
      </c>
      <c r="O436" s="76" t="n">
        <f aca="false">(1-Degradation)^MAX(O425-1,0)</f>
        <v>1</v>
      </c>
      <c r="P436" s="76" t="n">
        <f aca="false">(1-Degradation)^MAX(P425-1,0)</f>
        <v>1</v>
      </c>
      <c r="Q436" s="76" t="n">
        <f aca="false">(1-Degradation)^MAX(Q425-1,0)</f>
        <v>0.997</v>
      </c>
      <c r="R436" s="76" t="n">
        <f aca="false">(1-Degradation)^MAX(R425-1,0)</f>
        <v>0.994009</v>
      </c>
      <c r="S436" s="76" t="n">
        <f aca="false">(1-Degradation)^MAX(S425-1,0)</f>
        <v>0.991026973</v>
      </c>
      <c r="T436" s="76" t="n">
        <f aca="false">(1-Degradation)^MAX(T425-1,0)</f>
        <v>0.988053892081</v>
      </c>
      <c r="U436" s="76" t="n">
        <f aca="false">(1-Degradation)^MAX(U425-1,0)</f>
        <v>0.985089730404757</v>
      </c>
      <c r="V436" s="76" t="n">
        <f aca="false">(1-Degradation)^MAX(V425-1,0)</f>
        <v>0.982134461213543</v>
      </c>
      <c r="W436" s="76" t="n">
        <f aca="false">(1-Degradation)^MAX(W425-1,0)</f>
        <v>0.979188057829902</v>
      </c>
      <c r="X436" s="76" t="n">
        <f aca="false">(1-Degradation)^MAX(X425-1,0)</f>
        <v>0.976250493656412</v>
      </c>
      <c r="Y436" s="76" t="n">
        <f aca="false">(1-Degradation)^MAX(Y425-1,0)</f>
        <v>0.973321742175443</v>
      </c>
      <c r="Z436" s="76" t="n">
        <f aca="false">(1-Degradation)^MAX(Z425-1,0)</f>
        <v>0.970401776948917</v>
      </c>
      <c r="AA436" s="76" t="n">
        <f aca="false">(1-Degradation)^MAX(AA425-1,0)</f>
        <v>0.96749057161807</v>
      </c>
      <c r="AB436" s="76" t="n">
        <f aca="false">(1-Degradation)^MAX(AB425-1,0)</f>
        <v>0.964588099903216</v>
      </c>
      <c r="AC436" s="76" t="n">
        <f aca="false">(1-Degradation)^MAX(AC425-1,0)</f>
        <v>0.961694335603506</v>
      </c>
      <c r="AD436" s="76" t="n">
        <f aca="false">(1-Degradation)^MAX(AD425-1,0)</f>
        <v>0.958809252596696</v>
      </c>
      <c r="AE436" s="76" t="n">
        <f aca="false">(1-Degradation)^MAX(AE425-1,0)</f>
        <v>0.955932824838906</v>
      </c>
      <c r="AF436" s="76" t="n">
        <f aca="false">(1-Degradation)^MAX(AF425-1,0)</f>
        <v>0.953065026364389</v>
      </c>
      <c r="AG436" s="76" t="n">
        <f aca="false">(1-Degradation)^MAX(AG425-1,0)</f>
        <v>0.950205831285296</v>
      </c>
      <c r="AH436" s="76" t="n">
        <f aca="false">(1-Degradation)^MAX(AH425-1,0)</f>
        <v>0.94735521379144</v>
      </c>
      <c r="AI436" s="76" t="n">
        <f aca="false">(1-Degradation)^MAX(AI425-1,0)</f>
        <v>0.944513148150066</v>
      </c>
      <c r="AJ436" s="76" t="n">
        <f aca="false">(1-Degradation)^MAX(AJ425-1,0)</f>
        <v>0.941679608705615</v>
      </c>
      <c r="AK436" s="76" t="n">
        <f aca="false">(1-Degradation)^MAX(AK425-1,0)</f>
        <v>0.938854569879498</v>
      </c>
      <c r="AL436" s="76" t="n">
        <f aca="false">(1-Degradation)^MAX(AL425-1,0)</f>
        <v>0.93603800616986</v>
      </c>
      <c r="AM436" s="76" t="n">
        <f aca="false">(1-Degradation)^MAX(AM425-1,0)</f>
        <v>0.93322989215135</v>
      </c>
      <c r="AN436" s="76" t="n">
        <f aca="false">(1-Degradation)^MAX(AN425-1,0)</f>
        <v>0.930430202474896</v>
      </c>
      <c r="AO436" s="76" t="n">
        <f aca="false">(1-Degradation)^MAX(AO425-1,0)</f>
        <v>0.927638911867472</v>
      </c>
      <c r="AP436" s="76" t="n">
        <f aca="false">(1-Degradation)^MAX(AP425-1,0)</f>
        <v>0.924855995131869</v>
      </c>
      <c r="AQ436" s="76" t="n">
        <f aca="false">(1-Degradation)^MAX(AQ425-1,0)</f>
        <v>0.922081427146474</v>
      </c>
      <c r="AR436" s="76" t="n">
        <f aca="false">(1-Degradation)^MAX(AR425-1,0)</f>
        <v>0.919315182865034</v>
      </c>
      <c r="AS436" s="76" t="n">
        <f aca="false">(1-Degradation)^MAX(AS425-1,0)</f>
        <v>0.916557237316439</v>
      </c>
      <c r="AT436" s="76" t="n">
        <f aca="false">(1-Degradation)^MAX(AT425-1,0)</f>
        <v>0.91380756560449</v>
      </c>
      <c r="AU436" s="76" t="n">
        <f aca="false">(1-Degradation)^MAX(AU425-1,0)</f>
        <v>0.911066142907676</v>
      </c>
      <c r="AV436" s="76" t="n">
        <f aca="false">(1-Degradation)^MAX(AV425-1,0)</f>
        <v>0.908332944478953</v>
      </c>
      <c r="AW436" s="76" t="n">
        <f aca="false">(1-Degradation)^MAX(AW425-1,0)</f>
        <v>0.905607945645516</v>
      </c>
    </row>
    <row r="437" customFormat="false" ht="14.25" hidden="false" customHeight="false" outlineLevel="0" collapsed="false">
      <c r="C437" s="6" t="s">
        <v>306</v>
      </c>
      <c r="D437" s="2" t="s">
        <v>307</v>
      </c>
      <c r="H437" s="17" t="n">
        <f aca="false">SUM(J437:AW437)</f>
        <v>4263.39882706474</v>
      </c>
      <c r="J437" s="17" t="n">
        <f aca="false">$F$46*$F$22*(1-Curtailment)*(1-Clipping)*J429*J436/Thousand</f>
        <v>0</v>
      </c>
      <c r="K437" s="17" t="n">
        <f aca="false">$F$46*$F$22*(1-Curtailment)*(1-Clipping)*K429*K436/Thousand</f>
        <v>0</v>
      </c>
      <c r="L437" s="17" t="n">
        <f aca="false">$F$46*$F$22*(1-Curtailment)*(1-Clipping)*L429*L436/Thousand</f>
        <v>0</v>
      </c>
      <c r="M437" s="17" t="n">
        <f aca="false">$F$46*$F$22*(1-Curtailment)*(1-Clipping)*M429*M436/Thousand</f>
        <v>0</v>
      </c>
      <c r="N437" s="17" t="n">
        <f aca="false">$F$46*$F$22*(1-Curtailment)*(1-Clipping)*N429*N436/Thousand</f>
        <v>0</v>
      </c>
      <c r="O437" s="17" t="n">
        <f aca="false">$F$46*$F$22*(1-Curtailment)*(1-Clipping)*O429*O436/Thousand</f>
        <v>74.088</v>
      </c>
      <c r="P437" s="17" t="n">
        <f aca="false">$F$46*$F$22*(1-Curtailment)*(1-Clipping)*P429*P436/Thousand</f>
        <v>148.176</v>
      </c>
      <c r="Q437" s="17" t="n">
        <f aca="false">$F$46*$F$22*(1-Curtailment)*(1-Clipping)*Q429*Q436/Thousand</f>
        <v>147.731472</v>
      </c>
      <c r="R437" s="17" t="n">
        <f aca="false">$F$46*$F$22*(1-Curtailment)*(1-Clipping)*R429*R436/Thousand</f>
        <v>147.288277584</v>
      </c>
      <c r="S437" s="17" t="n">
        <f aca="false">$F$46*$F$22*(1-Curtailment)*(1-Clipping)*S429*S436/Thousand</f>
        <v>146.846412751248</v>
      </c>
      <c r="T437" s="17" t="n">
        <f aca="false">$F$46*$F$22*(1-Curtailment)*(1-Clipping)*T429*T436/Thousand</f>
        <v>146.405873512994</v>
      </c>
      <c r="U437" s="17" t="n">
        <f aca="false">$F$46*$F$22*(1-Curtailment)*(1-Clipping)*U429*U436/Thousand</f>
        <v>145.966655892455</v>
      </c>
      <c r="V437" s="17" t="n">
        <f aca="false">$F$46*$F$22*(1-Curtailment)*(1-Clipping)*V429*V436/Thousand</f>
        <v>145.528755924778</v>
      </c>
      <c r="W437" s="17" t="n">
        <f aca="false">$F$46*$F$22*(1-Curtailment)*(1-Clipping)*W429*W436/Thousand</f>
        <v>145.092169657004</v>
      </c>
      <c r="X437" s="17" t="n">
        <f aca="false">$F$46*$F$22*(1-Curtailment)*(1-Clipping)*X429*X436/Thousand</f>
        <v>144.656893148033</v>
      </c>
      <c r="Y437" s="17" t="n">
        <f aca="false">$F$46*$F$22*(1-Curtailment)*(1-Clipping)*Y429*Y436/Thousand</f>
        <v>144.222922468588</v>
      </c>
      <c r="Z437" s="17" t="n">
        <f aca="false">$F$46*$F$22*(1-Curtailment)*(1-Clipping)*Z429*Z436/Thousand</f>
        <v>143.790253701183</v>
      </c>
      <c r="AA437" s="17" t="n">
        <f aca="false">$F$46*$F$22*(1-Curtailment)*(1-Clipping)*AA429*AA436/Thousand</f>
        <v>143.358882940079</v>
      </c>
      <c r="AB437" s="17" t="n">
        <f aca="false">$F$46*$F$22*(1-Curtailment)*(1-Clipping)*AB429*AB436/Thousand</f>
        <v>142.928806291259</v>
      </c>
      <c r="AC437" s="17" t="n">
        <f aca="false">$F$46*$F$22*(1-Curtailment)*(1-Clipping)*AC429*AC436/Thousand</f>
        <v>142.500019872385</v>
      </c>
      <c r="AD437" s="17" t="n">
        <f aca="false">$F$46*$F$22*(1-Curtailment)*(1-Clipping)*AD429*AD436/Thousand</f>
        <v>142.072519812768</v>
      </c>
      <c r="AE437" s="17" t="n">
        <f aca="false">$F$46*$F$22*(1-Curtailment)*(1-Clipping)*AE429*AE436/Thousand</f>
        <v>141.64630225333</v>
      </c>
      <c r="AF437" s="17" t="n">
        <f aca="false">$F$46*$F$22*(1-Curtailment)*(1-Clipping)*AF429*AF436/Thousand</f>
        <v>141.22136334657</v>
      </c>
      <c r="AG437" s="17" t="n">
        <f aca="false">$F$46*$F$22*(1-Curtailment)*(1-Clipping)*AG429*AG436/Thousand</f>
        <v>140.79769925653</v>
      </c>
      <c r="AH437" s="17" t="n">
        <f aca="false">$F$46*$F$22*(1-Curtailment)*(1-Clipping)*AH429*AH436/Thousand</f>
        <v>140.37530615876</v>
      </c>
      <c r="AI437" s="17" t="n">
        <f aca="false">$F$46*$F$22*(1-Curtailment)*(1-Clipping)*AI429*AI436/Thousand</f>
        <v>139.954180240284</v>
      </c>
      <c r="AJ437" s="17" t="n">
        <f aca="false">$F$46*$F$22*(1-Curtailment)*(1-Clipping)*AJ429*AJ436/Thousand</f>
        <v>139.534317699563</v>
      </c>
      <c r="AK437" s="17" t="n">
        <f aca="false">$F$46*$F$22*(1-Curtailment)*(1-Clipping)*AK429*AK436/Thousand</f>
        <v>139.115714746465</v>
      </c>
      <c r="AL437" s="17" t="n">
        <f aca="false">$F$46*$F$22*(1-Curtailment)*(1-Clipping)*AL429*AL436/Thousand</f>
        <v>138.698367602225</v>
      </c>
      <c r="AM437" s="17" t="n">
        <f aca="false">$F$46*$F$22*(1-Curtailment)*(1-Clipping)*AM429*AM436/Thousand</f>
        <v>138.282272499419</v>
      </c>
      <c r="AN437" s="17" t="n">
        <f aca="false">$F$46*$F$22*(1-Curtailment)*(1-Clipping)*AN429*AN436/Thousand</f>
        <v>137.86742568192</v>
      </c>
      <c r="AO437" s="17" t="n">
        <f aca="false">$F$46*$F$22*(1-Curtailment)*(1-Clipping)*AO429*AO436/Thousand</f>
        <v>137.453823404874</v>
      </c>
      <c r="AP437" s="17" t="n">
        <f aca="false">$F$46*$F$22*(1-Curtailment)*(1-Clipping)*AP429*AP436/Thousand</f>
        <v>137.04146193466</v>
      </c>
      <c r="AQ437" s="17" t="n">
        <f aca="false">$F$46*$F$22*(1-Curtailment)*(1-Clipping)*AQ429*AQ436/Thousand</f>
        <v>136.630337548856</v>
      </c>
      <c r="AR437" s="17" t="n">
        <f aca="false">$F$46*$F$22*(1-Curtailment)*(1-Clipping)*AR429*AR436/Thousand</f>
        <v>136.220446536209</v>
      </c>
      <c r="AS437" s="17" t="n">
        <f aca="false">$F$46*$F$22*(1-Curtailment)*(1-Clipping)*AS429*AS436/Thousand</f>
        <v>67.9058925983003</v>
      </c>
      <c r="AT437" s="17" t="n">
        <f aca="false">$F$46*$F$22*(1-Curtailment)*(1-Clipping)*AT429*AT436/Thousand</f>
        <v>0</v>
      </c>
      <c r="AU437" s="17" t="n">
        <f aca="false">$F$46*$F$22*(1-Curtailment)*(1-Clipping)*AU429*AU436/Thousand</f>
        <v>0</v>
      </c>
      <c r="AV437" s="17" t="n">
        <f aca="false">$F$46*$F$22*(1-Curtailment)*(1-Clipping)*AV429*AV436/Thousand</f>
        <v>0</v>
      </c>
      <c r="AW437" s="17" t="n">
        <f aca="false">$F$46*$F$22*(1-Curtailment)*(1-Clipping)*AW429*AW436/Thousand</f>
        <v>0</v>
      </c>
    </row>
    <row r="438" customFormat="false" ht="14.25" hidden="false" customHeight="false" outlineLevel="0" collapsed="false">
      <c r="C438" s="6" t="s">
        <v>308</v>
      </c>
      <c r="D438" s="2" t="s">
        <v>20</v>
      </c>
      <c r="J438" s="17" t="n">
        <f aca="false">Case_PPA*(1+PPA_Esc)^J425*(J429&gt;0)</f>
        <v>0</v>
      </c>
      <c r="K438" s="17" t="n">
        <f aca="false">Case_PPA*(1+PPA_Esc)^K425*(K429&gt;0)</f>
        <v>0</v>
      </c>
      <c r="L438" s="17" t="n">
        <f aca="false">Case_PPA*(1+PPA_Esc)^L425*(L429&gt;0)</f>
        <v>0</v>
      </c>
      <c r="M438" s="17" t="n">
        <f aca="false">Case_PPA*(1+PPA_Esc)^M425*(M429&gt;0)</f>
        <v>0</v>
      </c>
      <c r="N438" s="17" t="n">
        <f aca="false">Case_PPA*(1+PPA_Esc)^N425*(N429&gt;0)</f>
        <v>0</v>
      </c>
      <c r="O438" s="17" t="n">
        <f aca="false">Case_PPA*(1+PPA_Esc)^O425*(O429&gt;0)</f>
        <v>90</v>
      </c>
      <c r="P438" s="17" t="n">
        <f aca="false">Case_PPA*(1+PPA_Esc)^P425*(P429&gt;0)</f>
        <v>90.9</v>
      </c>
      <c r="Q438" s="17" t="n">
        <f aca="false">Case_PPA*(1+PPA_Esc)^Q425*(Q429&gt;0)</f>
        <v>91.809</v>
      </c>
      <c r="R438" s="17" t="n">
        <f aca="false">Case_PPA*(1+PPA_Esc)^R425*(R429&gt;0)</f>
        <v>92.72709</v>
      </c>
      <c r="S438" s="17" t="n">
        <f aca="false">Case_PPA*(1+PPA_Esc)^S425*(S429&gt;0)</f>
        <v>93.6543609</v>
      </c>
      <c r="T438" s="17" t="n">
        <f aca="false">Case_PPA*(1+PPA_Esc)^T425*(T429&gt;0)</f>
        <v>94.590904509</v>
      </c>
      <c r="U438" s="17" t="n">
        <f aca="false">Case_PPA*(1+PPA_Esc)^U425*(U429&gt;0)</f>
        <v>95.53681355409</v>
      </c>
      <c r="V438" s="17" t="n">
        <f aca="false">Case_PPA*(1+PPA_Esc)^V425*(V429&gt;0)</f>
        <v>96.4921816896309</v>
      </c>
      <c r="W438" s="17" t="n">
        <f aca="false">Case_PPA*(1+PPA_Esc)^W425*(W429&gt;0)</f>
        <v>97.4571035065272</v>
      </c>
      <c r="X438" s="17" t="n">
        <f aca="false">Case_PPA*(1+PPA_Esc)^X425*(X429&gt;0)</f>
        <v>98.4316745415925</v>
      </c>
      <c r="Y438" s="17" t="n">
        <f aca="false">Case_PPA*(1+PPA_Esc)^Y425*(Y429&gt;0)</f>
        <v>99.4159912870084</v>
      </c>
      <c r="Z438" s="17" t="n">
        <f aca="false">Case_PPA*(1+PPA_Esc)^Z425*(Z429&gt;0)</f>
        <v>100.410151199878</v>
      </c>
      <c r="AA438" s="17" t="n">
        <f aca="false">Case_PPA*(1+PPA_Esc)^AA425*(AA429&gt;0)</f>
        <v>101.414252711877</v>
      </c>
      <c r="AB438" s="17" t="n">
        <f aca="false">Case_PPA*(1+PPA_Esc)^AB425*(AB429&gt;0)</f>
        <v>102.428395238996</v>
      </c>
      <c r="AC438" s="17" t="n">
        <f aca="false">Case_PPA*(1+PPA_Esc)^AC425*(AC429&gt;0)</f>
        <v>103.452679191386</v>
      </c>
      <c r="AD438" s="17" t="n">
        <f aca="false">Case_PPA*(1+PPA_Esc)^AD425*(AD429&gt;0)</f>
        <v>104.4872059833</v>
      </c>
      <c r="AE438" s="17" t="n">
        <f aca="false">Case_PPA*(1+PPA_Esc)^AE425*(AE429&gt;0)</f>
        <v>105.532078043133</v>
      </c>
      <c r="AF438" s="17" t="n">
        <f aca="false">Case_PPA*(1+PPA_Esc)^AF425*(AF429&gt;0)</f>
        <v>106.587398823564</v>
      </c>
      <c r="AG438" s="17" t="n">
        <f aca="false">Case_PPA*(1+PPA_Esc)^AG425*(AG429&gt;0)</f>
        <v>107.6532728118</v>
      </c>
      <c r="AH438" s="17" t="n">
        <f aca="false">Case_PPA*(1+PPA_Esc)^AH425*(AH429&gt;0)</f>
        <v>108.729805539918</v>
      </c>
      <c r="AI438" s="17" t="n">
        <f aca="false">Case_PPA*(1+PPA_Esc)^AI425*(AI429&gt;0)</f>
        <v>109.817103595317</v>
      </c>
      <c r="AJ438" s="17" t="n">
        <f aca="false">Case_PPA*(1+PPA_Esc)^AJ425*(AJ429&gt;0)</f>
        <v>110.91527463127</v>
      </c>
      <c r="AK438" s="17" t="n">
        <f aca="false">Case_PPA*(1+PPA_Esc)^AK425*(AK429&gt;0)</f>
        <v>112.024427377583</v>
      </c>
      <c r="AL438" s="17" t="n">
        <f aca="false">Case_PPA*(1+PPA_Esc)^AL425*(AL429&gt;0)</f>
        <v>113.144671651359</v>
      </c>
      <c r="AM438" s="17" t="n">
        <f aca="false">Case_PPA*(1+PPA_Esc)^AM425*(AM429&gt;0)</f>
        <v>114.276118367872</v>
      </c>
      <c r="AN438" s="17" t="n">
        <f aca="false">Case_PPA*(1+PPA_Esc)^AN425*(AN429&gt;0)</f>
        <v>115.418879551551</v>
      </c>
      <c r="AO438" s="17" t="n">
        <f aca="false">Case_PPA*(1+PPA_Esc)^AO425*(AO429&gt;0)</f>
        <v>116.573068347067</v>
      </c>
      <c r="AP438" s="17" t="n">
        <f aca="false">Case_PPA*(1+PPA_Esc)^AP425*(AP429&gt;0)</f>
        <v>117.738799030537</v>
      </c>
      <c r="AQ438" s="17" t="n">
        <f aca="false">Case_PPA*(1+PPA_Esc)^AQ425*(AQ429&gt;0)</f>
        <v>118.916187020843</v>
      </c>
      <c r="AR438" s="17" t="n">
        <f aca="false">Case_PPA*(1+PPA_Esc)^AR425*(AR429&gt;0)</f>
        <v>120.105348891051</v>
      </c>
      <c r="AS438" s="17" t="n">
        <f aca="false">Case_PPA*(1+PPA_Esc)^AS425*(AS429&gt;0)</f>
        <v>121.306402379962</v>
      </c>
      <c r="AT438" s="17" t="n">
        <f aca="false">Case_PPA*(1+PPA_Esc)^AT425*(AT429&gt;0)</f>
        <v>0</v>
      </c>
      <c r="AU438" s="17" t="n">
        <f aca="false">Case_PPA*(1+PPA_Esc)^AU425*(AU429&gt;0)</f>
        <v>0</v>
      </c>
      <c r="AV438" s="17" t="n">
        <f aca="false">Case_PPA*(1+PPA_Esc)^AV425*(AV429&gt;0)</f>
        <v>0</v>
      </c>
      <c r="AW438" s="17" t="n">
        <f aca="false">Case_PPA*(1+PPA_Esc)^AW425*(AW429&gt;0)</f>
        <v>0</v>
      </c>
    </row>
    <row r="439" customFormat="false" ht="14.25" hidden="false" customHeight="false" outlineLevel="0" collapsed="false">
      <c r="C439" s="1" t="s">
        <v>158</v>
      </c>
      <c r="D439" s="2" t="s">
        <v>85</v>
      </c>
      <c r="H439" s="32" t="n">
        <f aca="false">SUM(J439:AW439)</f>
        <v>446130.685729454</v>
      </c>
      <c r="J439" s="32" t="n">
        <f aca="false">J437*J438</f>
        <v>0</v>
      </c>
      <c r="K439" s="32" t="n">
        <f aca="false">K437*K438</f>
        <v>0</v>
      </c>
      <c r="L439" s="32" t="n">
        <f aca="false">L437*L438</f>
        <v>0</v>
      </c>
      <c r="M439" s="32" t="n">
        <f aca="false">M437*M438</f>
        <v>0</v>
      </c>
      <c r="N439" s="32" t="n">
        <f aca="false">N437*N438</f>
        <v>0</v>
      </c>
      <c r="O439" s="32" t="n">
        <f aca="false">O437*O438</f>
        <v>6667.92</v>
      </c>
      <c r="P439" s="32" t="n">
        <f aca="false">P437*P438</f>
        <v>13469.1984</v>
      </c>
      <c r="Q439" s="32" t="n">
        <f aca="false">Q437*Q438</f>
        <v>13563.078712848</v>
      </c>
      <c r="R439" s="32" t="n">
        <f aca="false">R437*R438</f>
        <v>13657.6133714766</v>
      </c>
      <c r="S439" s="32" t="n">
        <f aca="false">S437*S438</f>
        <v>13752.8069366757</v>
      </c>
      <c r="T439" s="32" t="n">
        <f aca="false">T437*T438</f>
        <v>13848.6640010244</v>
      </c>
      <c r="U439" s="32" t="n">
        <f aca="false">U437*U438</f>
        <v>13945.1891891115</v>
      </c>
      <c r="V439" s="32" t="n">
        <f aca="false">V437*V438</f>
        <v>14042.3871577596</v>
      </c>
      <c r="W439" s="32" t="n">
        <f aca="false">W437*W438</f>
        <v>14140.2625962492</v>
      </c>
      <c r="X439" s="32" t="n">
        <f aca="false">X437*X438</f>
        <v>14238.8202265451</v>
      </c>
      <c r="Y439" s="32" t="n">
        <f aca="false">Y437*Y438</f>
        <v>14338.0648035241</v>
      </c>
      <c r="Z439" s="32" t="n">
        <f aca="false">Z437*Z438</f>
        <v>14438.0011152046</v>
      </c>
      <c r="AA439" s="32" t="n">
        <f aca="false">AA437*AA438</f>
        <v>14538.6339829776</v>
      </c>
      <c r="AB439" s="32" t="n">
        <f aca="false">AB437*AB438</f>
        <v>14639.968261839</v>
      </c>
      <c r="AC439" s="32" t="n">
        <f aca="false">AC437*AC438</f>
        <v>14742.008840624</v>
      </c>
      <c r="AD439" s="32" t="n">
        <f aca="false">AD437*AD438</f>
        <v>14844.7606422431</v>
      </c>
      <c r="AE439" s="32" t="n">
        <f aca="false">AE437*AE438</f>
        <v>14948.2286239196</v>
      </c>
      <c r="AF439" s="32" t="n">
        <f aca="false">AF437*AF438</f>
        <v>15052.4177774283</v>
      </c>
      <c r="AG439" s="32" t="n">
        <f aca="false">AG437*AG438</f>
        <v>15157.333129337</v>
      </c>
      <c r="AH439" s="32" t="n">
        <f aca="false">AH437*AH438</f>
        <v>15262.9797412485</v>
      </c>
      <c r="AI439" s="32" t="n">
        <f aca="false">AI437*AI438</f>
        <v>15369.362710045</v>
      </c>
      <c r="AJ439" s="32" t="n">
        <f aca="false">AJ437*AJ438</f>
        <v>15476.487168134</v>
      </c>
      <c r="AK439" s="32" t="n">
        <f aca="false">AK437*AK438</f>
        <v>15584.3582836959</v>
      </c>
      <c r="AL439" s="32" t="n">
        <f aca="false">AL437*AL438</f>
        <v>15692.9812609332</v>
      </c>
      <c r="AM439" s="32" t="n">
        <f aca="false">AM437*AM438</f>
        <v>15802.3613403219</v>
      </c>
      <c r="AN439" s="32" t="n">
        <f aca="false">AN437*AN438</f>
        <v>15912.503798864</v>
      </c>
      <c r="AO439" s="32" t="n">
        <f aca="false">AO437*AO438</f>
        <v>16023.4139503421</v>
      </c>
      <c r="AP439" s="32" t="n">
        <f aca="false">AP437*AP438</f>
        <v>16135.0971455759</v>
      </c>
      <c r="AQ439" s="32" t="n">
        <f aca="false">AQ437*AQ438</f>
        <v>16247.5587726806</v>
      </c>
      <c r="AR439" s="32" t="n">
        <f aca="false">AR437*AR438</f>
        <v>16360.8042573262</v>
      </c>
      <c r="AS439" s="32" t="n">
        <f aca="false">AS437*AS438</f>
        <v>8237.41953149987</v>
      </c>
      <c r="AT439" s="32" t="n">
        <f aca="false">AT437*AT438</f>
        <v>0</v>
      </c>
      <c r="AU439" s="32" t="n">
        <f aca="false">AU437*AU438</f>
        <v>0</v>
      </c>
      <c r="AV439" s="32" t="n">
        <f aca="false">AV437*AV438</f>
        <v>0</v>
      </c>
      <c r="AW439" s="32" t="n">
        <f aca="false">AW437*AW438</f>
        <v>0</v>
      </c>
    </row>
    <row r="440" customFormat="false" ht="14.25" hidden="false" customHeight="false" outlineLevel="0" collapsed="false">
      <c r="C440" s="6" t="s">
        <v>309</v>
      </c>
      <c r="D440" s="2" t="s">
        <v>3</v>
      </c>
      <c r="J440" s="76" t="n">
        <f aca="false">(1+Opex_Esc)^J425</f>
        <v>0.883854287609517</v>
      </c>
      <c r="K440" s="76" t="n">
        <f aca="false">(1+Opex_Esc)^K425</f>
        <v>0.905950644799755</v>
      </c>
      <c r="L440" s="76" t="n">
        <f aca="false">(1+Opex_Esc)^L425</f>
        <v>0.928599410919749</v>
      </c>
      <c r="M440" s="76" t="n">
        <f aca="false">(1+Opex_Esc)^M425</f>
        <v>0.951814396192743</v>
      </c>
      <c r="N440" s="76" t="n">
        <f aca="false">(1+Opex_Esc)^N425</f>
        <v>0.975609756097561</v>
      </c>
      <c r="O440" s="76" t="n">
        <f aca="false">(1+Opex_Esc)^O425</f>
        <v>1</v>
      </c>
      <c r="P440" s="76" t="n">
        <f aca="false">(1+Opex_Esc)^P425</f>
        <v>1.025</v>
      </c>
      <c r="Q440" s="76" t="n">
        <f aca="false">(1+Opex_Esc)^Q425</f>
        <v>1.050625</v>
      </c>
      <c r="R440" s="76" t="n">
        <f aca="false">(1+Opex_Esc)^R425</f>
        <v>1.076890625</v>
      </c>
      <c r="S440" s="76" t="n">
        <f aca="false">(1+Opex_Esc)^S425</f>
        <v>1.103812890625</v>
      </c>
      <c r="T440" s="76" t="n">
        <f aca="false">(1+Opex_Esc)^T425</f>
        <v>1.13140821289062</v>
      </c>
      <c r="U440" s="76" t="n">
        <f aca="false">(1+Opex_Esc)^U425</f>
        <v>1.15969341821289</v>
      </c>
      <c r="V440" s="76" t="n">
        <f aca="false">(1+Opex_Esc)^V425</f>
        <v>1.18868575366821</v>
      </c>
      <c r="W440" s="76" t="n">
        <f aca="false">(1+Opex_Esc)^W425</f>
        <v>1.21840289750992</v>
      </c>
      <c r="X440" s="76" t="n">
        <f aca="false">(1+Opex_Esc)^X425</f>
        <v>1.24886296994767</v>
      </c>
      <c r="Y440" s="76" t="n">
        <f aca="false">(1+Opex_Esc)^Y425</f>
        <v>1.28008454419636</v>
      </c>
      <c r="Z440" s="76" t="n">
        <f aca="false">(1+Opex_Esc)^Z425</f>
        <v>1.31208665780127</v>
      </c>
      <c r="AA440" s="76" t="n">
        <f aca="false">(1+Opex_Esc)^AA425</f>
        <v>1.3448888242463</v>
      </c>
      <c r="AB440" s="76" t="n">
        <f aca="false">(1+Opex_Esc)^AB425</f>
        <v>1.37851104485245</v>
      </c>
      <c r="AC440" s="76" t="n">
        <f aca="false">(1+Opex_Esc)^AC425</f>
        <v>1.41297382097377</v>
      </c>
      <c r="AD440" s="76" t="n">
        <f aca="false">(1+Opex_Esc)^AD425</f>
        <v>1.44829816649811</v>
      </c>
      <c r="AE440" s="76" t="n">
        <f aca="false">(1+Opex_Esc)^AE425</f>
        <v>1.48450562066056</v>
      </c>
      <c r="AF440" s="76" t="n">
        <f aca="false">(1+Opex_Esc)^AF425</f>
        <v>1.52161826117708</v>
      </c>
      <c r="AG440" s="76" t="n">
        <f aca="false">(1+Opex_Esc)^AG425</f>
        <v>1.5596587177065</v>
      </c>
      <c r="AH440" s="76" t="n">
        <f aca="false">(1+Opex_Esc)^AH425</f>
        <v>1.59865018564917</v>
      </c>
      <c r="AI440" s="76" t="n">
        <f aca="false">(1+Opex_Esc)^AI425</f>
        <v>1.63861644029039</v>
      </c>
      <c r="AJ440" s="76" t="n">
        <f aca="false">(1+Opex_Esc)^AJ425</f>
        <v>1.67958185129765</v>
      </c>
      <c r="AK440" s="76" t="n">
        <f aca="false">(1+Opex_Esc)^AK425</f>
        <v>1.7215713975801</v>
      </c>
      <c r="AL440" s="76" t="n">
        <f aca="false">(1+Opex_Esc)^AL425</f>
        <v>1.7646106825196</v>
      </c>
      <c r="AM440" s="76" t="n">
        <f aca="false">(1+Opex_Esc)^AM425</f>
        <v>1.80872594958259</v>
      </c>
      <c r="AN440" s="76" t="n">
        <f aca="false">(1+Opex_Esc)^AN425</f>
        <v>1.85394409832215</v>
      </c>
      <c r="AO440" s="76" t="n">
        <f aca="false">(1+Opex_Esc)^AO425</f>
        <v>1.90029270078021</v>
      </c>
      <c r="AP440" s="76" t="n">
        <f aca="false">(1+Opex_Esc)^AP425</f>
        <v>1.94780001829971</v>
      </c>
      <c r="AQ440" s="76" t="n">
        <f aca="false">(1+Opex_Esc)^AQ425</f>
        <v>1.9964950187572</v>
      </c>
      <c r="AR440" s="76" t="n">
        <f aca="false">(1+Opex_Esc)^AR425</f>
        <v>2.04640739422613</v>
      </c>
      <c r="AS440" s="76" t="n">
        <f aca="false">(1+Opex_Esc)^AS425</f>
        <v>2.09756757908179</v>
      </c>
      <c r="AT440" s="76" t="n">
        <f aca="false">(1+Opex_Esc)^AT425</f>
        <v>2.15000676855883</v>
      </c>
      <c r="AU440" s="76" t="n">
        <f aca="false">(1+Opex_Esc)^AU425</f>
        <v>2.2037569377728</v>
      </c>
      <c r="AV440" s="76" t="n">
        <f aca="false">(1+Opex_Esc)^AV425</f>
        <v>2.25885086121712</v>
      </c>
      <c r="AW440" s="76" t="n">
        <f aca="false">(1+Opex_Esc)^AW425</f>
        <v>2.31532213274755</v>
      </c>
    </row>
    <row r="441" customFormat="false" ht="14.25" hidden="false" customHeight="false" outlineLevel="0" collapsed="false">
      <c r="C441" s="6" t="s">
        <v>310</v>
      </c>
      <c r="D441" s="2" t="s">
        <v>85</v>
      </c>
      <c r="H441" s="8" t="n">
        <f aca="false">SUM(J441:AW441)</f>
        <v>-70011.0919506797</v>
      </c>
      <c r="J441" s="8" t="n">
        <f aca="false">-(Case_OM+SUM(Opex_Per_MW))*$F$46*J440*J429</f>
        <v>-0</v>
      </c>
      <c r="K441" s="8" t="n">
        <f aca="false">-(Case_OM+SUM(Opex_Per_MW))*$F$46*K440*K429</f>
        <v>-0</v>
      </c>
      <c r="L441" s="8" t="n">
        <f aca="false">-(Case_OM+SUM(Opex_Per_MW))*$F$46*L440*L429</f>
        <v>-0</v>
      </c>
      <c r="M441" s="8" t="n">
        <f aca="false">-(Case_OM+SUM(Opex_Per_MW))*$F$46*M440*M429</f>
        <v>-0</v>
      </c>
      <c r="N441" s="8" t="n">
        <f aca="false">-(Case_OM+SUM(Opex_Per_MW))*$F$46*N440*N429</f>
        <v>-0</v>
      </c>
      <c r="O441" s="8" t="n">
        <f aca="false">-(Case_OM+SUM(Opex_Per_MW))*$F$46*O440*O429</f>
        <v>-787.5</v>
      </c>
      <c r="P441" s="8" t="n">
        <f aca="false">-(Case_OM+SUM(Opex_Per_MW))*$F$46*P440*P429</f>
        <v>-1614.375</v>
      </c>
      <c r="Q441" s="8" t="n">
        <f aca="false">-(Case_OM+SUM(Opex_Per_MW))*$F$46*Q440*Q429</f>
        <v>-1654.734375</v>
      </c>
      <c r="R441" s="8" t="n">
        <f aca="false">-(Case_OM+SUM(Opex_Per_MW))*$F$46*R440*R429</f>
        <v>-1696.102734375</v>
      </c>
      <c r="S441" s="8" t="n">
        <f aca="false">-(Case_OM+SUM(Opex_Per_MW))*$F$46*S440*S429</f>
        <v>-1738.50530273437</v>
      </c>
      <c r="T441" s="8" t="n">
        <f aca="false">-(Case_OM+SUM(Opex_Per_MW))*$F$46*T440*T429</f>
        <v>-1781.96793530273</v>
      </c>
      <c r="U441" s="8" t="n">
        <f aca="false">-(Case_OM+SUM(Opex_Per_MW))*$F$46*U440*U429</f>
        <v>-1826.5171336853</v>
      </c>
      <c r="V441" s="8" t="n">
        <f aca="false">-(Case_OM+SUM(Opex_Per_MW))*$F$46*V440*V429</f>
        <v>-1872.18006202743</v>
      </c>
      <c r="W441" s="8" t="n">
        <f aca="false">-(Case_OM+SUM(Opex_Per_MW))*$F$46*W440*W429</f>
        <v>-1918.98456357812</v>
      </c>
      <c r="X441" s="8" t="n">
        <f aca="false">-(Case_OM+SUM(Opex_Per_MW))*$F$46*X440*X429</f>
        <v>-1966.95917766757</v>
      </c>
      <c r="Y441" s="8" t="n">
        <f aca="false">-(Case_OM+SUM(Opex_Per_MW))*$F$46*Y440*Y429</f>
        <v>-2016.13315710926</v>
      </c>
      <c r="Z441" s="8" t="n">
        <f aca="false">-(Case_OM+SUM(Opex_Per_MW))*$F$46*Z440*Z429</f>
        <v>-2066.53648603699</v>
      </c>
      <c r="AA441" s="8" t="n">
        <f aca="false">-(Case_OM+SUM(Opex_Per_MW))*$F$46*AA440*AA429</f>
        <v>-2118.19989818792</v>
      </c>
      <c r="AB441" s="8" t="n">
        <f aca="false">-(Case_OM+SUM(Opex_Per_MW))*$F$46*AB440*AB429</f>
        <v>-2171.15489564262</v>
      </c>
      <c r="AC441" s="8" t="n">
        <f aca="false">-(Case_OM+SUM(Opex_Per_MW))*$F$46*AC440*AC429</f>
        <v>-2225.43376803368</v>
      </c>
      <c r="AD441" s="8" t="n">
        <f aca="false">-(Case_OM+SUM(Opex_Per_MW))*$F$46*AD440*AD429</f>
        <v>-2281.06961223452</v>
      </c>
      <c r="AE441" s="8" t="n">
        <f aca="false">-(Case_OM+SUM(Opex_Per_MW))*$F$46*AE440*AE429</f>
        <v>-2338.09635254039</v>
      </c>
      <c r="AF441" s="8" t="n">
        <f aca="false">-(Case_OM+SUM(Opex_Per_MW))*$F$46*AF440*AF429</f>
        <v>-2396.5487613539</v>
      </c>
      <c r="AG441" s="8" t="n">
        <f aca="false">-(Case_OM+SUM(Opex_Per_MW))*$F$46*AG440*AG429</f>
        <v>-2456.46248038774</v>
      </c>
      <c r="AH441" s="8" t="n">
        <f aca="false">-(Case_OM+SUM(Opex_Per_MW))*$F$46*AH440*AH429</f>
        <v>-2517.87404239744</v>
      </c>
      <c r="AI441" s="8" t="n">
        <f aca="false">-(Case_OM+SUM(Opex_Per_MW))*$F$46*AI440*AI429</f>
        <v>-2580.82089345737</v>
      </c>
      <c r="AJ441" s="8" t="n">
        <f aca="false">-(Case_OM+SUM(Opex_Per_MW))*$F$46*AJ440*AJ429</f>
        <v>-2645.34141579381</v>
      </c>
      <c r="AK441" s="8" t="n">
        <f aca="false">-(Case_OM+SUM(Opex_Per_MW))*$F$46*AK440*AK429</f>
        <v>-2711.47495118865</v>
      </c>
      <c r="AL441" s="8" t="n">
        <f aca="false">-(Case_OM+SUM(Opex_Per_MW))*$F$46*AL440*AL429</f>
        <v>-2779.26182496837</v>
      </c>
      <c r="AM441" s="8" t="n">
        <f aca="false">-(Case_OM+SUM(Opex_Per_MW))*$F$46*AM440*AM429</f>
        <v>-2848.74337059257</v>
      </c>
      <c r="AN441" s="8" t="n">
        <f aca="false">-(Case_OM+SUM(Opex_Per_MW))*$F$46*AN440*AN429</f>
        <v>-2919.96195485739</v>
      </c>
      <c r="AO441" s="8" t="n">
        <f aca="false">-(Case_OM+SUM(Opex_Per_MW))*$F$46*AO440*AO429</f>
        <v>-2992.96100372882</v>
      </c>
      <c r="AP441" s="8" t="n">
        <f aca="false">-(Case_OM+SUM(Opex_Per_MW))*$F$46*AP440*AP429</f>
        <v>-3067.78502882204</v>
      </c>
      <c r="AQ441" s="8" t="n">
        <f aca="false">-(Case_OM+SUM(Opex_Per_MW))*$F$46*AQ440*AQ429</f>
        <v>-3144.47965454259</v>
      </c>
      <c r="AR441" s="8" t="n">
        <f aca="false">-(Case_OM+SUM(Opex_Per_MW))*$F$46*AR440*AR429</f>
        <v>-3223.09164590616</v>
      </c>
      <c r="AS441" s="8" t="n">
        <f aca="false">-(Case_OM+SUM(Opex_Per_MW))*$F$46*AS440*AS429</f>
        <v>-1651.83446852691</v>
      </c>
      <c r="AT441" s="8" t="n">
        <f aca="false">-(Case_OM+SUM(Opex_Per_MW))*$F$46*AT440*AT429</f>
        <v>-0</v>
      </c>
      <c r="AU441" s="8" t="n">
        <f aca="false">-(Case_OM+SUM(Opex_Per_MW))*$F$46*AU440*AU429</f>
        <v>-0</v>
      </c>
      <c r="AV441" s="8" t="n">
        <f aca="false">-(Case_OM+SUM(Opex_Per_MW))*$F$46*AV440*AV429</f>
        <v>-0</v>
      </c>
      <c r="AW441" s="8" t="n">
        <f aca="false">-(Case_OM+SUM(Opex_Per_MW))*$F$46*AW440*AW429</f>
        <v>-0</v>
      </c>
    </row>
    <row r="442" customFormat="false" ht="14.25" hidden="false" customHeight="false" outlineLevel="0" collapsed="false">
      <c r="C442" s="6" t="s">
        <v>311</v>
      </c>
      <c r="D442" s="2" t="s">
        <v>85</v>
      </c>
      <c r="H442" s="8" t="n">
        <f aca="false">SUM(J442:AW442)</f>
        <v>-1666.93076073047</v>
      </c>
      <c r="J442" s="8" t="n">
        <f aca="false">-Opex_Admin*$F$6/Lump_Basis*J440*J429</f>
        <v>-0</v>
      </c>
      <c r="K442" s="8" t="n">
        <f aca="false">-Opex_Admin*$F$6/Lump_Basis*K440*K429</f>
        <v>-0</v>
      </c>
      <c r="L442" s="8" t="n">
        <f aca="false">-Opex_Admin*$F$6/Lump_Basis*L440*L429</f>
        <v>-0</v>
      </c>
      <c r="M442" s="8" t="n">
        <f aca="false">-Opex_Admin*$F$6/Lump_Basis*M440*M429</f>
        <v>-0</v>
      </c>
      <c r="N442" s="8" t="n">
        <f aca="false">-Opex_Admin*$F$6/Lump_Basis*N440*N429</f>
        <v>-0</v>
      </c>
      <c r="O442" s="8" t="n">
        <f aca="false">-Opex_Admin*$F$6/Lump_Basis*O440*O429</f>
        <v>-18.75</v>
      </c>
      <c r="P442" s="8" t="n">
        <f aca="false">-Opex_Admin*$F$6/Lump_Basis*P440*P429</f>
        <v>-38.4375</v>
      </c>
      <c r="Q442" s="8" t="n">
        <f aca="false">-Opex_Admin*$F$6/Lump_Basis*Q440*Q429</f>
        <v>-39.3984375</v>
      </c>
      <c r="R442" s="8" t="n">
        <f aca="false">-Opex_Admin*$F$6/Lump_Basis*R440*R429</f>
        <v>-40.3833984375</v>
      </c>
      <c r="S442" s="8" t="n">
        <f aca="false">-Opex_Admin*$F$6/Lump_Basis*S440*S429</f>
        <v>-41.3929833984375</v>
      </c>
      <c r="T442" s="8" t="n">
        <f aca="false">-Opex_Admin*$F$6/Lump_Basis*T440*T429</f>
        <v>-42.4278079833984</v>
      </c>
      <c r="U442" s="8" t="n">
        <f aca="false">-Opex_Admin*$F$6/Lump_Basis*U440*U429</f>
        <v>-43.4885031829834</v>
      </c>
      <c r="V442" s="8" t="n">
        <f aca="false">-Opex_Admin*$F$6/Lump_Basis*V440*V429</f>
        <v>-44.575715762558</v>
      </c>
      <c r="W442" s="8" t="n">
        <f aca="false">-Opex_Admin*$F$6/Lump_Basis*W440*W429</f>
        <v>-45.6901086566219</v>
      </c>
      <c r="X442" s="8" t="n">
        <f aca="false">-Opex_Admin*$F$6/Lump_Basis*X440*X429</f>
        <v>-46.8323613730374</v>
      </c>
      <c r="Y442" s="8" t="n">
        <f aca="false">-Opex_Admin*$F$6/Lump_Basis*Y440*Y429</f>
        <v>-48.0031704073634</v>
      </c>
      <c r="Z442" s="8" t="n">
        <f aca="false">-Opex_Admin*$F$6/Lump_Basis*Z440*Z429</f>
        <v>-49.2032496675475</v>
      </c>
      <c r="AA442" s="8" t="n">
        <f aca="false">-Opex_Admin*$F$6/Lump_Basis*AA440*AA429</f>
        <v>-50.4333309092361</v>
      </c>
      <c r="AB442" s="8" t="n">
        <f aca="false">-Opex_Admin*$F$6/Lump_Basis*AB440*AB429</f>
        <v>-51.694164181967</v>
      </c>
      <c r="AC442" s="8" t="n">
        <f aca="false">-Opex_Admin*$F$6/Lump_Basis*AC440*AC429</f>
        <v>-52.9865182865162</v>
      </c>
      <c r="AD442" s="8" t="n">
        <f aca="false">-Opex_Admin*$F$6/Lump_Basis*AD440*AD429</f>
        <v>-54.3111812436791</v>
      </c>
      <c r="AE442" s="8" t="n">
        <f aca="false">-Opex_Admin*$F$6/Lump_Basis*AE440*AE429</f>
        <v>-55.6689607747711</v>
      </c>
      <c r="AF442" s="8" t="n">
        <f aca="false">-Opex_Admin*$F$6/Lump_Basis*AF440*AF429</f>
        <v>-57.0606847941404</v>
      </c>
      <c r="AG442" s="8" t="n">
        <f aca="false">-Opex_Admin*$F$6/Lump_Basis*AG440*AG429</f>
        <v>-58.4872019139939</v>
      </c>
      <c r="AH442" s="8" t="n">
        <f aca="false">-Opex_Admin*$F$6/Lump_Basis*AH440*AH429</f>
        <v>-59.9493819618437</v>
      </c>
      <c r="AI442" s="8" t="n">
        <f aca="false">-Opex_Admin*$F$6/Lump_Basis*AI440*AI429</f>
        <v>-61.4481165108898</v>
      </c>
      <c r="AJ442" s="8" t="n">
        <f aca="false">-Opex_Admin*$F$6/Lump_Basis*AJ440*AJ429</f>
        <v>-62.984319423662</v>
      </c>
      <c r="AK442" s="8" t="n">
        <f aca="false">-Opex_Admin*$F$6/Lump_Basis*AK440*AK429</f>
        <v>-64.5589274092536</v>
      </c>
      <c r="AL442" s="8" t="n">
        <f aca="false">-Opex_Admin*$F$6/Lump_Basis*AL440*AL429</f>
        <v>-66.1729005944849</v>
      </c>
      <c r="AM442" s="8" t="n">
        <f aca="false">-Opex_Admin*$F$6/Lump_Basis*AM440*AM429</f>
        <v>-67.827223109347</v>
      </c>
      <c r="AN442" s="8" t="n">
        <f aca="false">-Opex_Admin*$F$6/Lump_Basis*AN440*AN429</f>
        <v>-69.5229036870807</v>
      </c>
      <c r="AO442" s="8" t="n">
        <f aca="false">-Opex_Admin*$F$6/Lump_Basis*AO440*AO429</f>
        <v>-71.2609762792577</v>
      </c>
      <c r="AP442" s="8" t="n">
        <f aca="false">-Opex_Admin*$F$6/Lump_Basis*AP440*AP429</f>
        <v>-73.0425006862391</v>
      </c>
      <c r="AQ442" s="8" t="n">
        <f aca="false">-Opex_Admin*$F$6/Lump_Basis*AQ440*AQ429</f>
        <v>-74.8685632033951</v>
      </c>
      <c r="AR442" s="8" t="n">
        <f aca="false">-Opex_Admin*$F$6/Lump_Basis*AR440*AR429</f>
        <v>-76.74027728348</v>
      </c>
      <c r="AS442" s="8" t="n">
        <f aca="false">-Opex_Admin*$F$6/Lump_Basis*AS440*AS429</f>
        <v>-39.3293921077835</v>
      </c>
      <c r="AT442" s="8" t="n">
        <f aca="false">-Opex_Admin*$F$6/Lump_Basis*AT440*AT429</f>
        <v>-0</v>
      </c>
      <c r="AU442" s="8" t="n">
        <f aca="false">-Opex_Admin*$F$6/Lump_Basis*AU440*AU429</f>
        <v>-0</v>
      </c>
      <c r="AV442" s="8" t="n">
        <f aca="false">-Opex_Admin*$F$6/Lump_Basis*AV440*AV429</f>
        <v>-0</v>
      </c>
      <c r="AW442" s="8" t="n">
        <f aca="false">-Opex_Admin*$F$6/Lump_Basis*AW440*AW429</f>
        <v>-0</v>
      </c>
    </row>
    <row r="443" customFormat="false" ht="14.25" hidden="false" customHeight="false" outlineLevel="0" collapsed="false">
      <c r="C443" s="6" t="s">
        <v>312</v>
      </c>
      <c r="D443" s="2" t="s">
        <v>85</v>
      </c>
      <c r="H443" s="8" t="n">
        <f aca="false">SUM(J443:AW443)</f>
        <v>-31411.9298672852</v>
      </c>
      <c r="J443" s="8" t="n">
        <f aca="false">-J437*(Balancing+Grid_Charges)*J440</f>
        <v>-0</v>
      </c>
      <c r="K443" s="8" t="n">
        <f aca="false">-K437*(Balancing+Grid_Charges)*K440</f>
        <v>-0</v>
      </c>
      <c r="L443" s="8" t="n">
        <f aca="false">-L437*(Balancing+Grid_Charges)*L440</f>
        <v>-0</v>
      </c>
      <c r="M443" s="8" t="n">
        <f aca="false">-M437*(Balancing+Grid_Charges)*M440</f>
        <v>-0</v>
      </c>
      <c r="N443" s="8" t="n">
        <f aca="false">-N437*(Balancing+Grid_Charges)*N440</f>
        <v>-0</v>
      </c>
      <c r="O443" s="8" t="n">
        <f aca="false">-O437*(Balancing+Grid_Charges)*O440</f>
        <v>-370.44</v>
      </c>
      <c r="P443" s="8" t="n">
        <f aca="false">-P437*(Balancing+Grid_Charges)*P440</f>
        <v>-759.402</v>
      </c>
      <c r="Q443" s="8" t="n">
        <f aca="false">-Q437*(Balancing+Grid_Charges)*Q440</f>
        <v>-776.05188885</v>
      </c>
      <c r="R443" s="8" t="n">
        <f aca="false">-R437*(Balancing+Grid_Charges)*R440</f>
        <v>-793.066826513036</v>
      </c>
      <c r="S443" s="8" t="n">
        <f aca="false">-S437*(Balancing+Grid_Charges)*S440</f>
        <v>-810.454816684334</v>
      </c>
      <c r="T443" s="8" t="n">
        <f aca="false">-T437*(Balancing+Grid_Charges)*T440</f>
        <v>-828.224038540138</v>
      </c>
      <c r="U443" s="8" t="n">
        <f aca="false">-U437*(Balancing+Grid_Charges)*U440</f>
        <v>-846.382850585131</v>
      </c>
      <c r="V443" s="8" t="n">
        <f aca="false">-V437*(Balancing+Grid_Charges)*V440</f>
        <v>-864.93979458421</v>
      </c>
      <c r="W443" s="8" t="n">
        <f aca="false">-W437*(Balancing+Grid_Charges)*W440</f>
        <v>-883.903599580468</v>
      </c>
      <c r="X443" s="8" t="n">
        <f aca="false">-X437*(Balancing+Grid_Charges)*X440</f>
        <v>-903.28318600127</v>
      </c>
      <c r="Y443" s="8" t="n">
        <f aca="false">-Y437*(Balancing+Grid_Charges)*Y440</f>
        <v>-923.087669854348</v>
      </c>
      <c r="Z443" s="8" t="n">
        <f aca="false">-Z437*(Balancing+Grid_Charges)*Z440</f>
        <v>-943.326367015904</v>
      </c>
      <c r="AA443" s="8" t="n">
        <f aca="false">-AA437*(Balancing+Grid_Charges)*AA440</f>
        <v>-964.008797612728</v>
      </c>
      <c r="AB443" s="8" t="n">
        <f aca="false">-AB437*(Balancing+Grid_Charges)*AB440</f>
        <v>-985.144690500387</v>
      </c>
      <c r="AC443" s="8" t="n">
        <f aca="false">-AC437*(Balancing+Grid_Charges)*AC440</f>
        <v>-1006.74398783961</v>
      </c>
      <c r="AD443" s="8" t="n">
        <f aca="false">-AD437*(Balancing+Grid_Charges)*AD440</f>
        <v>-1028.81684977299</v>
      </c>
      <c r="AE443" s="8" t="n">
        <f aca="false">-AE437*(Balancing+Grid_Charges)*AE440</f>
        <v>-1051.37365920426</v>
      </c>
      <c r="AF443" s="8" t="n">
        <f aca="false">-AF437*(Balancing+Grid_Charges)*AF440</f>
        <v>-1074.42502668232</v>
      </c>
      <c r="AG443" s="8" t="n">
        <f aca="false">-AG437*(Balancing+Grid_Charges)*AG440</f>
        <v>-1097.98179539233</v>
      </c>
      <c r="AH443" s="8" t="n">
        <f aca="false">-AH437*(Balancing+Grid_Charges)*AH440</f>
        <v>-1122.0550462563</v>
      </c>
      <c r="AI443" s="8" t="n">
        <f aca="false">-AI437*(Balancing+Grid_Charges)*AI440</f>
        <v>-1146.65610314547</v>
      </c>
      <c r="AJ443" s="8" t="n">
        <f aca="false">-AJ437*(Balancing+Grid_Charges)*AJ440</f>
        <v>-1171.79653820694</v>
      </c>
      <c r="AK443" s="8" t="n">
        <f aca="false">-AK437*(Balancing+Grid_Charges)*AK440</f>
        <v>-1197.48817730712</v>
      </c>
      <c r="AL443" s="8" t="n">
        <f aca="false">-AL437*(Balancing+Grid_Charges)*AL440</f>
        <v>-1223.74310559458</v>
      </c>
      <c r="AM443" s="8" t="n">
        <f aca="false">-AM437*(Balancing+Grid_Charges)*AM440</f>
        <v>-1250.57367318474</v>
      </c>
      <c r="AN443" s="8" t="n">
        <f aca="false">-AN437*(Balancing+Grid_Charges)*AN440</f>
        <v>-1277.99250096932</v>
      </c>
      <c r="AO443" s="8" t="n">
        <f aca="false">-AO437*(Balancing+Grid_Charges)*AO440</f>
        <v>-1306.01248655307</v>
      </c>
      <c r="AP443" s="8" t="n">
        <f aca="false">-AP437*(Balancing+Grid_Charges)*AP440</f>
        <v>-1334.64681032075</v>
      </c>
      <c r="AQ443" s="8" t="n">
        <f aca="false">-AQ437*(Balancing+Grid_Charges)*AQ440</f>
        <v>-1363.90894163703</v>
      </c>
      <c r="AR443" s="8" t="n">
        <f aca="false">-AR437*(Balancing+Grid_Charges)*AR440</f>
        <v>-1393.81264518242</v>
      </c>
      <c r="AS443" s="8" t="n">
        <f aca="false">-AS437*(Balancing+Grid_Charges)*AS440</f>
        <v>-712.185993714023</v>
      </c>
      <c r="AT443" s="8" t="n">
        <f aca="false">-AT437*(Balancing+Grid_Charges)*AT440</f>
        <v>-0</v>
      </c>
      <c r="AU443" s="8" t="n">
        <f aca="false">-AU437*(Balancing+Grid_Charges)*AU440</f>
        <v>-0</v>
      </c>
      <c r="AV443" s="8" t="n">
        <f aca="false">-AV437*(Balancing+Grid_Charges)*AV440</f>
        <v>-0</v>
      </c>
      <c r="AW443" s="8" t="n">
        <f aca="false">-AW437*(Balancing+Grid_Charges)*AW440</f>
        <v>-0</v>
      </c>
    </row>
    <row r="444" customFormat="false" ht="14.25" hidden="false" customHeight="false" outlineLevel="0" collapsed="false">
      <c r="C444" s="6" t="s">
        <v>313</v>
      </c>
      <c r="D444" s="2" t="s">
        <v>85</v>
      </c>
      <c r="H444" s="8" t="n">
        <f aca="false">SUM(J444:AW444)</f>
        <v>-446.130685729454</v>
      </c>
      <c r="J444" s="8" t="n">
        <f aca="false">-J439*MEKH_Fee</f>
        <v>-0</v>
      </c>
      <c r="K444" s="8" t="n">
        <f aca="false">-K439*MEKH_Fee</f>
        <v>-0</v>
      </c>
      <c r="L444" s="8" t="n">
        <f aca="false">-L439*MEKH_Fee</f>
        <v>-0</v>
      </c>
      <c r="M444" s="8" t="n">
        <f aca="false">-M439*MEKH_Fee</f>
        <v>-0</v>
      </c>
      <c r="N444" s="8" t="n">
        <f aca="false">-N439*MEKH_Fee</f>
        <v>-0</v>
      </c>
      <c r="O444" s="8" t="n">
        <f aca="false">-O439*MEKH_Fee</f>
        <v>-6.66792</v>
      </c>
      <c r="P444" s="8" t="n">
        <f aca="false">-P439*MEKH_Fee</f>
        <v>-13.4691984</v>
      </c>
      <c r="Q444" s="8" t="n">
        <f aca="false">-Q439*MEKH_Fee</f>
        <v>-13.563078712848</v>
      </c>
      <c r="R444" s="8" t="n">
        <f aca="false">-R439*MEKH_Fee</f>
        <v>-13.6576133714766</v>
      </c>
      <c r="S444" s="8" t="n">
        <f aca="false">-S439*MEKH_Fee</f>
        <v>-13.7528069366757</v>
      </c>
      <c r="T444" s="8" t="n">
        <f aca="false">-T439*MEKH_Fee</f>
        <v>-13.8486640010244</v>
      </c>
      <c r="U444" s="8" t="n">
        <f aca="false">-U439*MEKH_Fee</f>
        <v>-13.9451891891115</v>
      </c>
      <c r="V444" s="8" t="n">
        <f aca="false">-V439*MEKH_Fee</f>
        <v>-14.0423871577596</v>
      </c>
      <c r="W444" s="8" t="n">
        <f aca="false">-W439*MEKH_Fee</f>
        <v>-14.1402625962492</v>
      </c>
      <c r="X444" s="8" t="n">
        <f aca="false">-X439*MEKH_Fee</f>
        <v>-14.2388202265451</v>
      </c>
      <c r="Y444" s="8" t="n">
        <f aca="false">-Y439*MEKH_Fee</f>
        <v>-14.3380648035241</v>
      </c>
      <c r="Z444" s="8" t="n">
        <f aca="false">-Z439*MEKH_Fee</f>
        <v>-14.4380011152046</v>
      </c>
      <c r="AA444" s="8" t="n">
        <f aca="false">-AA439*MEKH_Fee</f>
        <v>-14.5386339829776</v>
      </c>
      <c r="AB444" s="8" t="n">
        <f aca="false">-AB439*MEKH_Fee</f>
        <v>-14.639968261839</v>
      </c>
      <c r="AC444" s="8" t="n">
        <f aca="false">-AC439*MEKH_Fee</f>
        <v>-14.742008840624</v>
      </c>
      <c r="AD444" s="8" t="n">
        <f aca="false">-AD439*MEKH_Fee</f>
        <v>-14.8447606422431</v>
      </c>
      <c r="AE444" s="8" t="n">
        <f aca="false">-AE439*MEKH_Fee</f>
        <v>-14.9482286239196</v>
      </c>
      <c r="AF444" s="8" t="n">
        <f aca="false">-AF439*MEKH_Fee</f>
        <v>-15.0524177774283</v>
      </c>
      <c r="AG444" s="8" t="n">
        <f aca="false">-AG439*MEKH_Fee</f>
        <v>-15.157333129337</v>
      </c>
      <c r="AH444" s="8" t="n">
        <f aca="false">-AH439*MEKH_Fee</f>
        <v>-15.2629797412485</v>
      </c>
      <c r="AI444" s="8" t="n">
        <f aca="false">-AI439*MEKH_Fee</f>
        <v>-15.369362710045</v>
      </c>
      <c r="AJ444" s="8" t="n">
        <f aca="false">-AJ439*MEKH_Fee</f>
        <v>-15.476487168134</v>
      </c>
      <c r="AK444" s="8" t="n">
        <f aca="false">-AK439*MEKH_Fee</f>
        <v>-15.5843582836959</v>
      </c>
      <c r="AL444" s="8" t="n">
        <f aca="false">-AL439*MEKH_Fee</f>
        <v>-15.6929812609332</v>
      </c>
      <c r="AM444" s="8" t="n">
        <f aca="false">-AM439*MEKH_Fee</f>
        <v>-15.8023613403219</v>
      </c>
      <c r="AN444" s="8" t="n">
        <f aca="false">-AN439*MEKH_Fee</f>
        <v>-15.912503798864</v>
      </c>
      <c r="AO444" s="8" t="n">
        <f aca="false">-AO439*MEKH_Fee</f>
        <v>-16.0234139503421</v>
      </c>
      <c r="AP444" s="8" t="n">
        <f aca="false">-AP439*MEKH_Fee</f>
        <v>-16.1350971455759</v>
      </c>
      <c r="AQ444" s="8" t="n">
        <f aca="false">-AQ439*MEKH_Fee</f>
        <v>-16.2475587726806</v>
      </c>
      <c r="AR444" s="8" t="n">
        <f aca="false">-AR439*MEKH_Fee</f>
        <v>-16.3608042573262</v>
      </c>
      <c r="AS444" s="8" t="n">
        <f aca="false">-AS439*MEKH_Fee</f>
        <v>-8.23741953149987</v>
      </c>
      <c r="AT444" s="8" t="n">
        <f aca="false">-AT439*MEKH_Fee</f>
        <v>-0</v>
      </c>
      <c r="AU444" s="8" t="n">
        <f aca="false">-AU439*MEKH_Fee</f>
        <v>-0</v>
      </c>
      <c r="AV444" s="8" t="n">
        <f aca="false">-AV439*MEKH_Fee</f>
        <v>-0</v>
      </c>
      <c r="AW444" s="8" t="n">
        <f aca="false">-AW439*MEKH_Fee</f>
        <v>-0</v>
      </c>
    </row>
    <row r="445" customFormat="false" ht="14.25" hidden="false" customHeight="false" outlineLevel="0" collapsed="false">
      <c r="C445" s="6" t="s">
        <v>314</v>
      </c>
      <c r="D445" s="2" t="s">
        <v>85</v>
      </c>
      <c r="H445" s="8" t="n">
        <f aca="false">SUM(J445:AW445)</f>
        <v>-5176.80416322124</v>
      </c>
      <c r="J445" s="8" t="n">
        <f aca="false">SUM(J441:J444)*Opex_Cont</f>
        <v>0</v>
      </c>
      <c r="K445" s="8" t="n">
        <f aca="false">SUM(K441:K444)*Opex_Cont</f>
        <v>0</v>
      </c>
      <c r="L445" s="8" t="n">
        <f aca="false">SUM(L441:L444)*Opex_Cont</f>
        <v>0</v>
      </c>
      <c r="M445" s="8" t="n">
        <f aca="false">SUM(M441:M444)*Opex_Cont</f>
        <v>0</v>
      </c>
      <c r="N445" s="8" t="n">
        <f aca="false">SUM(N441:N444)*Opex_Cont</f>
        <v>0</v>
      </c>
      <c r="O445" s="8" t="n">
        <f aca="false">SUM(O441:O444)*Opex_Cont</f>
        <v>-59.167896</v>
      </c>
      <c r="P445" s="8" t="n">
        <f aca="false">SUM(P441:P444)*Opex_Cont</f>
        <v>-121.28418492</v>
      </c>
      <c r="Q445" s="8" t="n">
        <f aca="false">SUM(Q441:Q444)*Opex_Cont</f>
        <v>-124.187389003142</v>
      </c>
      <c r="R445" s="8" t="n">
        <f aca="false">SUM(R441:R444)*Opex_Cont</f>
        <v>-127.160528634851</v>
      </c>
      <c r="S445" s="8" t="n">
        <f aca="false">SUM(S441:S444)*Opex_Cont</f>
        <v>-130.205295487691</v>
      </c>
      <c r="T445" s="8" t="n">
        <f aca="false">SUM(T441:T444)*Opex_Cont</f>
        <v>-133.323422291365</v>
      </c>
      <c r="U445" s="8" t="n">
        <f aca="false">SUM(U441:U444)*Opex_Cont</f>
        <v>-136.516683832126</v>
      </c>
      <c r="V445" s="8" t="n">
        <f aca="false">SUM(V441:V444)*Opex_Cont</f>
        <v>-139.786897976598</v>
      </c>
      <c r="W445" s="8" t="n">
        <f aca="false">SUM(W441:W444)*Opex_Cont</f>
        <v>-143.135926720573</v>
      </c>
      <c r="X445" s="8" t="n">
        <f aca="false">SUM(X441:X444)*Opex_Cont</f>
        <v>-146.565677263421</v>
      </c>
      <c r="Y445" s="8" t="n">
        <f aca="false">SUM(Y441:Y444)*Opex_Cont</f>
        <v>-150.078103108725</v>
      </c>
      <c r="Z445" s="8" t="n">
        <f aca="false">SUM(Z441:Z444)*Opex_Cont</f>
        <v>-153.675205191783</v>
      </c>
      <c r="AA445" s="8" t="n">
        <f aca="false">SUM(AA441:AA444)*Opex_Cont</f>
        <v>-157.359033034643</v>
      </c>
      <c r="AB445" s="8" t="n">
        <f aca="false">SUM(AB441:AB444)*Opex_Cont</f>
        <v>-161.13168592934</v>
      </c>
      <c r="AC445" s="8" t="n">
        <f aca="false">SUM(AC441:AC444)*Opex_Cont</f>
        <v>-164.995314150021</v>
      </c>
      <c r="AD445" s="8" t="n">
        <f aca="false">SUM(AD441:AD444)*Opex_Cont</f>
        <v>-168.952120194672</v>
      </c>
      <c r="AE445" s="8" t="n">
        <f aca="false">SUM(AE441:AE444)*Opex_Cont</f>
        <v>-173.004360057167</v>
      </c>
      <c r="AF445" s="8" t="n">
        <f aca="false">SUM(AF441:AF444)*Opex_Cont</f>
        <v>-177.154344530389</v>
      </c>
      <c r="AG445" s="8" t="n">
        <f aca="false">SUM(AG441:AG444)*Opex_Cont</f>
        <v>-181.40444054117</v>
      </c>
      <c r="AH445" s="8" t="n">
        <f aca="false">SUM(AH441:AH444)*Opex_Cont</f>
        <v>-185.757072517842</v>
      </c>
      <c r="AI445" s="8" t="n">
        <f aca="false">SUM(AI441:AI444)*Opex_Cont</f>
        <v>-190.214723791189</v>
      </c>
      <c r="AJ445" s="8" t="n">
        <f aca="false">SUM(AJ441:AJ444)*Opex_Cont</f>
        <v>-194.779938029627</v>
      </c>
      <c r="AK445" s="8" t="n">
        <f aca="false">SUM(AK441:AK444)*Opex_Cont</f>
        <v>-199.455320709436</v>
      </c>
      <c r="AL445" s="8" t="n">
        <f aca="false">SUM(AL441:AL444)*Opex_Cont</f>
        <v>-204.243540620918</v>
      </c>
      <c r="AM445" s="8" t="n">
        <f aca="false">SUM(AM441:AM444)*Opex_Cont</f>
        <v>-209.147331411349</v>
      </c>
      <c r="AN445" s="8" t="n">
        <f aca="false">SUM(AN441:AN444)*Opex_Cont</f>
        <v>-214.169493165633</v>
      </c>
      <c r="AO445" s="8" t="n">
        <f aca="false">SUM(AO441:AO444)*Opex_Cont</f>
        <v>-219.312894025575</v>
      </c>
      <c r="AP445" s="8" t="n">
        <f aca="false">SUM(AP441:AP444)*Opex_Cont</f>
        <v>-224.58047184873</v>
      </c>
      <c r="AQ445" s="8" t="n">
        <f aca="false">SUM(AQ441:AQ444)*Opex_Cont</f>
        <v>-229.975235907785</v>
      </c>
      <c r="AR445" s="8" t="n">
        <f aca="false">SUM(AR441:AR444)*Opex_Cont</f>
        <v>-235.500268631469</v>
      </c>
      <c r="AS445" s="8" t="n">
        <f aca="false">SUM(AS441:AS444)*Opex_Cont</f>
        <v>-120.579363694011</v>
      </c>
      <c r="AT445" s="8" t="n">
        <f aca="false">SUM(AT441:AT444)*Opex_Cont</f>
        <v>0</v>
      </c>
      <c r="AU445" s="8" t="n">
        <f aca="false">SUM(AU441:AU444)*Opex_Cont</f>
        <v>0</v>
      </c>
      <c r="AV445" s="8" t="n">
        <f aca="false">SUM(AV441:AV444)*Opex_Cont</f>
        <v>0</v>
      </c>
      <c r="AW445" s="8" t="n">
        <f aca="false">SUM(AW441:AW444)*Opex_Cont</f>
        <v>0</v>
      </c>
    </row>
    <row r="446" customFormat="false" ht="14.25" hidden="false" customHeight="false" outlineLevel="0" collapsed="false">
      <c r="C446" s="6" t="s">
        <v>315</v>
      </c>
      <c r="D446" s="2" t="s">
        <v>85</v>
      </c>
      <c r="H446" s="8" t="n">
        <f aca="false">SUM(J446:AW446)</f>
        <v>-12790.1964811942</v>
      </c>
      <c r="J446" s="8" t="n">
        <f aca="false">-J437*$F$12</f>
        <v>-0</v>
      </c>
      <c r="K446" s="8" t="n">
        <f aca="false">-K437*$F$12</f>
        <v>-0</v>
      </c>
      <c r="L446" s="8" t="n">
        <f aca="false">-L437*$F$12</f>
        <v>-0</v>
      </c>
      <c r="M446" s="8" t="n">
        <f aca="false">-M437*$F$12</f>
        <v>-0</v>
      </c>
      <c r="N446" s="8" t="n">
        <f aca="false">-N437*$F$12</f>
        <v>-0</v>
      </c>
      <c r="O446" s="8" t="n">
        <f aca="false">-O437*$F$12</f>
        <v>-222.264</v>
      </c>
      <c r="P446" s="8" t="n">
        <f aca="false">-P437*$F$12</f>
        <v>-444.528</v>
      </c>
      <c r="Q446" s="8" t="n">
        <f aca="false">-Q437*$F$12</f>
        <v>-443.194416</v>
      </c>
      <c r="R446" s="8" t="n">
        <f aca="false">-R437*$F$12</f>
        <v>-441.864832752</v>
      </c>
      <c r="S446" s="8" t="n">
        <f aca="false">-S437*$F$12</f>
        <v>-440.539238253744</v>
      </c>
      <c r="T446" s="8" t="n">
        <f aca="false">-T437*$F$12</f>
        <v>-439.217620538983</v>
      </c>
      <c r="U446" s="8" t="n">
        <f aca="false">-U437*$F$12</f>
        <v>-437.899967677366</v>
      </c>
      <c r="V446" s="8" t="n">
        <f aca="false">-V437*$F$12</f>
        <v>-436.586267774334</v>
      </c>
      <c r="W446" s="8" t="n">
        <f aca="false">-W437*$F$12</f>
        <v>-435.276508971011</v>
      </c>
      <c r="X446" s="8" t="n">
        <f aca="false">-X437*$F$12</f>
        <v>-433.970679444098</v>
      </c>
      <c r="Y446" s="8" t="n">
        <f aca="false">-Y437*$F$12</f>
        <v>-432.668767405765</v>
      </c>
      <c r="Z446" s="8" t="n">
        <f aca="false">-Z437*$F$12</f>
        <v>-431.370761103548</v>
      </c>
      <c r="AA446" s="8" t="n">
        <f aca="false">-AA437*$F$12</f>
        <v>-430.076648820237</v>
      </c>
      <c r="AB446" s="8" t="n">
        <f aca="false">-AB437*$F$12</f>
        <v>-428.786418873777</v>
      </c>
      <c r="AC446" s="8" t="n">
        <f aca="false">-AC437*$F$12</f>
        <v>-427.500059617155</v>
      </c>
      <c r="AD446" s="8" t="n">
        <f aca="false">-AD437*$F$12</f>
        <v>-426.217559438304</v>
      </c>
      <c r="AE446" s="8" t="n">
        <f aca="false">-AE437*$F$12</f>
        <v>-424.938906759989</v>
      </c>
      <c r="AF446" s="8" t="n">
        <f aca="false">-AF437*$F$12</f>
        <v>-423.664090039709</v>
      </c>
      <c r="AG446" s="8" t="n">
        <f aca="false">-AG437*$F$12</f>
        <v>-422.39309776959</v>
      </c>
      <c r="AH446" s="8" t="n">
        <f aca="false">-AH437*$F$12</f>
        <v>-421.125918476281</v>
      </c>
      <c r="AI446" s="8" t="n">
        <f aca="false">-AI437*$F$12</f>
        <v>-419.862540720852</v>
      </c>
      <c r="AJ446" s="8" t="n">
        <f aca="false">-AJ437*$F$12</f>
        <v>-418.60295309869</v>
      </c>
      <c r="AK446" s="8" t="n">
        <f aca="false">-AK437*$F$12</f>
        <v>-417.347144239394</v>
      </c>
      <c r="AL446" s="8" t="n">
        <f aca="false">-AL437*$F$12</f>
        <v>-416.095102806675</v>
      </c>
      <c r="AM446" s="8" t="n">
        <f aca="false">-AM437*$F$12</f>
        <v>-414.846817498256</v>
      </c>
      <c r="AN446" s="8" t="n">
        <f aca="false">-AN437*$F$12</f>
        <v>-413.602277045761</v>
      </c>
      <c r="AO446" s="8" t="n">
        <f aca="false">-AO437*$F$12</f>
        <v>-412.361470214623</v>
      </c>
      <c r="AP446" s="8" t="n">
        <f aca="false">-AP437*$F$12</f>
        <v>-411.12438580398</v>
      </c>
      <c r="AQ446" s="8" t="n">
        <f aca="false">-AQ437*$F$12</f>
        <v>-409.891012646568</v>
      </c>
      <c r="AR446" s="8" t="n">
        <f aca="false">-AR437*$F$12</f>
        <v>-408.661339608628</v>
      </c>
      <c r="AS446" s="8" t="n">
        <f aca="false">-AS437*$F$12</f>
        <v>-203.717677794901</v>
      </c>
      <c r="AT446" s="8" t="n">
        <f aca="false">-AT437*$F$12</f>
        <v>-0</v>
      </c>
      <c r="AU446" s="8" t="n">
        <f aca="false">-AU437*$F$12</f>
        <v>-0</v>
      </c>
      <c r="AV446" s="8" t="n">
        <f aca="false">-AV437*$F$12</f>
        <v>-0</v>
      </c>
      <c r="AW446" s="8" t="n">
        <f aca="false">-AW437*$F$12</f>
        <v>-0</v>
      </c>
    </row>
    <row r="447" customFormat="false" ht="14.25" hidden="false" customHeight="false" outlineLevel="0" collapsed="false">
      <c r="C447" s="6" t="s">
        <v>316</v>
      </c>
      <c r="D447" s="2" t="s">
        <v>85</v>
      </c>
      <c r="H447" s="8" t="n">
        <f aca="false">SUM(J447:AW447)</f>
        <v>-8922.61371458909</v>
      </c>
      <c r="J447" s="8" t="n">
        <f aca="false">-J439*HIPA_Rate</f>
        <v>-0</v>
      </c>
      <c r="K447" s="8" t="n">
        <f aca="false">-K439*HIPA_Rate</f>
        <v>-0</v>
      </c>
      <c r="L447" s="8" t="n">
        <f aca="false">-L439*HIPA_Rate</f>
        <v>-0</v>
      </c>
      <c r="M447" s="8" t="n">
        <f aca="false">-M439*HIPA_Rate</f>
        <v>-0</v>
      </c>
      <c r="N447" s="8" t="n">
        <f aca="false">-N439*HIPA_Rate</f>
        <v>-0</v>
      </c>
      <c r="O447" s="8" t="n">
        <f aca="false">-O439*HIPA_Rate</f>
        <v>-133.3584</v>
      </c>
      <c r="P447" s="8" t="n">
        <f aca="false">-P439*HIPA_Rate</f>
        <v>-269.383968</v>
      </c>
      <c r="Q447" s="8" t="n">
        <f aca="false">-Q439*HIPA_Rate</f>
        <v>-271.26157425696</v>
      </c>
      <c r="R447" s="8" t="n">
        <f aca="false">-R439*HIPA_Rate</f>
        <v>-273.152267429531</v>
      </c>
      <c r="S447" s="8" t="n">
        <f aca="false">-S439*HIPA_Rate</f>
        <v>-275.056138733515</v>
      </c>
      <c r="T447" s="8" t="n">
        <f aca="false">-T439*HIPA_Rate</f>
        <v>-276.973280020488</v>
      </c>
      <c r="U447" s="8" t="n">
        <f aca="false">-U439*HIPA_Rate</f>
        <v>-278.90378378223</v>
      </c>
      <c r="V447" s="8" t="n">
        <f aca="false">-V439*HIPA_Rate</f>
        <v>-280.847743155192</v>
      </c>
      <c r="W447" s="8" t="n">
        <f aca="false">-W439*HIPA_Rate</f>
        <v>-282.805251924984</v>
      </c>
      <c r="X447" s="8" t="n">
        <f aca="false">-X439*HIPA_Rate</f>
        <v>-284.776404530901</v>
      </c>
      <c r="Y447" s="8" t="n">
        <f aca="false">-Y439*HIPA_Rate</f>
        <v>-286.761296070482</v>
      </c>
      <c r="Z447" s="8" t="n">
        <f aca="false">-Z439*HIPA_Rate</f>
        <v>-288.760022304093</v>
      </c>
      <c r="AA447" s="8" t="n">
        <f aca="false">-AA439*HIPA_Rate</f>
        <v>-290.772679659552</v>
      </c>
      <c r="AB447" s="8" t="n">
        <f aca="false">-AB439*HIPA_Rate</f>
        <v>-292.799365236779</v>
      </c>
      <c r="AC447" s="8" t="n">
        <f aca="false">-AC439*HIPA_Rate</f>
        <v>-294.84017681248</v>
      </c>
      <c r="AD447" s="8" t="n">
        <f aca="false">-AD439*HIPA_Rate</f>
        <v>-296.895212844863</v>
      </c>
      <c r="AE447" s="8" t="n">
        <f aca="false">-AE439*HIPA_Rate</f>
        <v>-298.964572478392</v>
      </c>
      <c r="AF447" s="8" t="n">
        <f aca="false">-AF439*HIPA_Rate</f>
        <v>-301.048355548566</v>
      </c>
      <c r="AG447" s="8" t="n">
        <f aca="false">-AG439*HIPA_Rate</f>
        <v>-303.146662586739</v>
      </c>
      <c r="AH447" s="8" t="n">
        <f aca="false">-AH439*HIPA_Rate</f>
        <v>-305.259594824969</v>
      </c>
      <c r="AI447" s="8" t="n">
        <f aca="false">-AI439*HIPA_Rate</f>
        <v>-307.387254200899</v>
      </c>
      <c r="AJ447" s="8" t="n">
        <f aca="false">-AJ439*HIPA_Rate</f>
        <v>-309.529743362679</v>
      </c>
      <c r="AK447" s="8" t="n">
        <f aca="false">-AK439*HIPA_Rate</f>
        <v>-311.687165673917</v>
      </c>
      <c r="AL447" s="8" t="n">
        <f aca="false">-AL439*HIPA_Rate</f>
        <v>-313.859625218664</v>
      </c>
      <c r="AM447" s="8" t="n">
        <f aca="false">-AM439*HIPA_Rate</f>
        <v>-316.047226806439</v>
      </c>
      <c r="AN447" s="8" t="n">
        <f aca="false">-AN439*HIPA_Rate</f>
        <v>-318.250075977279</v>
      </c>
      <c r="AO447" s="8" t="n">
        <f aca="false">-AO439*HIPA_Rate</f>
        <v>-320.468279006841</v>
      </c>
      <c r="AP447" s="8" t="n">
        <f aca="false">-AP439*HIPA_Rate</f>
        <v>-322.701942911519</v>
      </c>
      <c r="AQ447" s="8" t="n">
        <f aca="false">-AQ439*HIPA_Rate</f>
        <v>-324.951175453612</v>
      </c>
      <c r="AR447" s="8" t="n">
        <f aca="false">-AR439*HIPA_Rate</f>
        <v>-327.216085146524</v>
      </c>
      <c r="AS447" s="8" t="n">
        <f aca="false">-AS439*HIPA_Rate</f>
        <v>-164.748390629997</v>
      </c>
      <c r="AT447" s="8" t="n">
        <f aca="false">-AT439*HIPA_Rate</f>
        <v>-0</v>
      </c>
      <c r="AU447" s="8" t="n">
        <f aca="false">-AU439*HIPA_Rate</f>
        <v>-0</v>
      </c>
      <c r="AV447" s="8" t="n">
        <f aca="false">-AV439*HIPA_Rate</f>
        <v>-0</v>
      </c>
      <c r="AW447" s="8" t="n">
        <f aca="false">-AW439*HIPA_Rate</f>
        <v>-0</v>
      </c>
    </row>
    <row r="448" customFormat="false" ht="14.25" hidden="false" customHeight="false" outlineLevel="0" collapsed="false">
      <c r="C448" s="1" t="s">
        <v>317</v>
      </c>
      <c r="D448" s="2" t="s">
        <v>85</v>
      </c>
      <c r="H448" s="32" t="n">
        <f aca="false">SUM(J448:AW448)</f>
        <v>-130425.697623429</v>
      </c>
      <c r="J448" s="32" t="n">
        <f aca="false">SUM(J441:J447)</f>
        <v>0</v>
      </c>
      <c r="K448" s="32" t="n">
        <f aca="false">SUM(K441:K447)</f>
        <v>0</v>
      </c>
      <c r="L448" s="32" t="n">
        <f aca="false">SUM(L441:L447)</f>
        <v>0</v>
      </c>
      <c r="M448" s="32" t="n">
        <f aca="false">SUM(M441:M447)</f>
        <v>0</v>
      </c>
      <c r="N448" s="32" t="n">
        <f aca="false">SUM(N441:N447)</f>
        <v>0</v>
      </c>
      <c r="O448" s="32" t="n">
        <f aca="false">SUM(O441:O447)</f>
        <v>-1598.148216</v>
      </c>
      <c r="P448" s="32" t="n">
        <f aca="false">SUM(P441:P447)</f>
        <v>-3260.87985132</v>
      </c>
      <c r="Q448" s="32" t="n">
        <f aca="false">SUM(Q441:Q447)</f>
        <v>-3322.39115932295</v>
      </c>
      <c r="R448" s="32" t="n">
        <f aca="false">SUM(R441:R447)</f>
        <v>-3385.38820151339</v>
      </c>
      <c r="S448" s="32" t="n">
        <f aca="false">SUM(S441:S447)</f>
        <v>-3449.90658222877</v>
      </c>
      <c r="T448" s="32" t="n">
        <f aca="false">SUM(T441:T447)</f>
        <v>-3515.98276867813</v>
      </c>
      <c r="U448" s="32" t="n">
        <f aca="false">SUM(U441:U447)</f>
        <v>-3583.65411193425</v>
      </c>
      <c r="V448" s="32" t="n">
        <f aca="false">SUM(V441:V447)</f>
        <v>-3652.95886843809</v>
      </c>
      <c r="W448" s="32" t="n">
        <f aca="false">SUM(W441:W447)</f>
        <v>-3723.93622202803</v>
      </c>
      <c r="X448" s="32" t="n">
        <f aca="false">SUM(X441:X447)</f>
        <v>-3796.62630650685</v>
      </c>
      <c r="Y448" s="32" t="n">
        <f aca="false">SUM(Y441:Y447)</f>
        <v>-3871.07022875947</v>
      </c>
      <c r="Z448" s="32" t="n">
        <f aca="false">SUM(Z441:Z447)</f>
        <v>-3947.31009243507</v>
      </c>
      <c r="AA448" s="32" t="n">
        <f aca="false">SUM(AA441:AA447)</f>
        <v>-4025.38902220729</v>
      </c>
      <c r="AB448" s="32" t="n">
        <f aca="false">SUM(AB441:AB447)</f>
        <v>-4105.3511886267</v>
      </c>
      <c r="AC448" s="32" t="n">
        <f aca="false">SUM(AC441:AC447)</f>
        <v>-4187.24183358009</v>
      </c>
      <c r="AD448" s="32" t="n">
        <f aca="false">SUM(AD441:AD447)</f>
        <v>-4271.10729637127</v>
      </c>
      <c r="AE448" s="32" t="n">
        <f aca="false">SUM(AE441:AE447)</f>
        <v>-4356.99504043889</v>
      </c>
      <c r="AF448" s="32" t="n">
        <f aca="false">SUM(AF441:AF447)</f>
        <v>-4444.95368072645</v>
      </c>
      <c r="AG448" s="32" t="n">
        <f aca="false">SUM(AG441:AG447)</f>
        <v>-4535.0330117209</v>
      </c>
      <c r="AH448" s="32" t="n">
        <f aca="false">SUM(AH441:AH447)</f>
        <v>-4627.28403617592</v>
      </c>
      <c r="AI448" s="32" t="n">
        <f aca="false">SUM(AI441:AI447)</f>
        <v>-4721.75899453672</v>
      </c>
      <c r="AJ448" s="32" t="n">
        <f aca="false">SUM(AJ441:AJ447)</f>
        <v>-4818.51139508354</v>
      </c>
      <c r="AK448" s="32" t="n">
        <f aca="false">SUM(AK441:AK447)</f>
        <v>-4917.59604481147</v>
      </c>
      <c r="AL448" s="32" t="n">
        <f aca="false">SUM(AL441:AL447)</f>
        <v>-5019.06908106463</v>
      </c>
      <c r="AM448" s="32" t="n">
        <f aca="false">SUM(AM441:AM447)</f>
        <v>-5122.98800394303</v>
      </c>
      <c r="AN448" s="32" t="n">
        <f aca="false">SUM(AN441:AN447)</f>
        <v>-5229.41170950133</v>
      </c>
      <c r="AO448" s="32" t="n">
        <f aca="false">SUM(AO441:AO447)</f>
        <v>-5338.40052375853</v>
      </c>
      <c r="AP448" s="32" t="n">
        <f aca="false">SUM(AP441:AP447)</f>
        <v>-5450.01623753884</v>
      </c>
      <c r="AQ448" s="32" t="n">
        <f aca="false">SUM(AQ441:AQ447)</f>
        <v>-5564.32214216366</v>
      </c>
      <c r="AR448" s="32" t="n">
        <f aca="false">SUM(AR441:AR447)</f>
        <v>-5681.38306601601</v>
      </c>
      <c r="AS448" s="32" t="n">
        <f aca="false">SUM(AS441:AS447)</f>
        <v>-2900.63270599912</v>
      </c>
      <c r="AT448" s="32" t="n">
        <f aca="false">SUM(AT441:AT447)</f>
        <v>0</v>
      </c>
      <c r="AU448" s="32" t="n">
        <f aca="false">SUM(AU441:AU447)</f>
        <v>0</v>
      </c>
      <c r="AV448" s="32" t="n">
        <f aca="false">SUM(AV441:AV447)</f>
        <v>0</v>
      </c>
      <c r="AW448" s="32" t="n">
        <f aca="false">SUM(AW441:AW447)</f>
        <v>0</v>
      </c>
    </row>
    <row r="449" customFormat="false" ht="14.25" hidden="false" customHeight="false" outlineLevel="0" collapsed="false">
      <c r="C449" s="1" t="s">
        <v>160</v>
      </c>
      <c r="D449" s="2" t="s">
        <v>85</v>
      </c>
      <c r="H449" s="15" t="n">
        <f aca="false">SUM(J449:AW449)</f>
        <v>315704.988106025</v>
      </c>
      <c r="J449" s="15" t="n">
        <f aca="false">J439+J448</f>
        <v>0</v>
      </c>
      <c r="K449" s="15" t="n">
        <f aca="false">K439+K448</f>
        <v>0</v>
      </c>
      <c r="L449" s="15" t="n">
        <f aca="false">L439+L448</f>
        <v>0</v>
      </c>
      <c r="M449" s="15" t="n">
        <f aca="false">M439+M448</f>
        <v>0</v>
      </c>
      <c r="N449" s="15" t="n">
        <f aca="false">N439+N448</f>
        <v>0</v>
      </c>
      <c r="O449" s="15" t="n">
        <f aca="false">O439+O448</f>
        <v>5069.771784</v>
      </c>
      <c r="P449" s="15" t="n">
        <f aca="false">P439+P448</f>
        <v>10208.31854868</v>
      </c>
      <c r="Q449" s="15" t="n">
        <f aca="false">Q439+Q448</f>
        <v>10240.6875535251</v>
      </c>
      <c r="R449" s="15" t="n">
        <f aca="false">R439+R448</f>
        <v>10272.2251699632</v>
      </c>
      <c r="S449" s="15" t="n">
        <f aca="false">S439+S448</f>
        <v>10302.900354447</v>
      </c>
      <c r="T449" s="15" t="n">
        <f aca="false">T439+T448</f>
        <v>10332.6812323462</v>
      </c>
      <c r="U449" s="15" t="n">
        <f aca="false">U439+U448</f>
        <v>10361.5350771773</v>
      </c>
      <c r="V449" s="15" t="n">
        <f aca="false">V439+V448</f>
        <v>10389.4282893215</v>
      </c>
      <c r="W449" s="15" t="n">
        <f aca="false">W439+W448</f>
        <v>10416.3263742212</v>
      </c>
      <c r="X449" s="15" t="n">
        <f aca="false">X439+X448</f>
        <v>10442.1939200382</v>
      </c>
      <c r="Y449" s="15" t="n">
        <f aca="false">Y439+Y448</f>
        <v>10466.9945747646</v>
      </c>
      <c r="Z449" s="15" t="n">
        <f aca="false">Z439+Z448</f>
        <v>10490.6910227696</v>
      </c>
      <c r="AA449" s="15" t="n">
        <f aca="false">AA439+AA448</f>
        <v>10513.2449607703</v>
      </c>
      <c r="AB449" s="15" t="n">
        <f aca="false">AB439+AB448</f>
        <v>10534.6170732123</v>
      </c>
      <c r="AC449" s="15" t="n">
        <f aca="false">AC439+AC448</f>
        <v>10554.7670070439</v>
      </c>
      <c r="AD449" s="15" t="n">
        <f aca="false">AD439+AD448</f>
        <v>10573.6533458719</v>
      </c>
      <c r="AE449" s="15" t="n">
        <f aca="false">AE439+AE448</f>
        <v>10591.2335834807</v>
      </c>
      <c r="AF449" s="15" t="n">
        <f aca="false">AF439+AF448</f>
        <v>10607.4640967019</v>
      </c>
      <c r="AG449" s="15" t="n">
        <f aca="false">AG439+AG448</f>
        <v>10622.3001176161</v>
      </c>
      <c r="AH449" s="15" t="n">
        <f aca="false">AH439+AH448</f>
        <v>10635.6957050725</v>
      </c>
      <c r="AI449" s="15" t="n">
        <f aca="false">AI439+AI448</f>
        <v>10647.6037155082</v>
      </c>
      <c r="AJ449" s="15" t="n">
        <f aca="false">AJ439+AJ448</f>
        <v>10657.9757730504</v>
      </c>
      <c r="AK449" s="15" t="n">
        <f aca="false">AK439+AK448</f>
        <v>10666.7622388844</v>
      </c>
      <c r="AL449" s="15" t="n">
        <f aca="false">AL439+AL448</f>
        <v>10673.9121798686</v>
      </c>
      <c r="AM449" s="15" t="n">
        <f aca="false">AM439+AM448</f>
        <v>10679.3733363789</v>
      </c>
      <c r="AN449" s="15" t="n">
        <f aca="false">AN439+AN448</f>
        <v>10683.0920893626</v>
      </c>
      <c r="AO449" s="15" t="n">
        <f aca="false">AO439+AO448</f>
        <v>10685.0134265835</v>
      </c>
      <c r="AP449" s="15" t="n">
        <f aca="false">AP439+AP448</f>
        <v>10685.0809080371</v>
      </c>
      <c r="AQ449" s="15" t="n">
        <f aca="false">AQ439+AQ448</f>
        <v>10683.2366305169</v>
      </c>
      <c r="AR449" s="15" t="n">
        <f aca="false">AR439+AR448</f>
        <v>10679.4211913102</v>
      </c>
      <c r="AS449" s="15" t="n">
        <f aca="false">AS439+AS448</f>
        <v>5336.78682550075</v>
      </c>
      <c r="AT449" s="15" t="n">
        <f aca="false">AT439+AT448</f>
        <v>0</v>
      </c>
      <c r="AU449" s="15" t="n">
        <f aca="false">AU439+AU448</f>
        <v>0</v>
      </c>
      <c r="AV449" s="15" t="n">
        <f aca="false">AV439+AV448</f>
        <v>0</v>
      </c>
      <c r="AW449" s="15" t="n">
        <f aca="false">AW439+AW448</f>
        <v>0</v>
      </c>
    </row>
    <row r="450" customFormat="false" ht="14.25" hidden="false" customHeight="false" outlineLevel="0" collapsed="false">
      <c r="C450" s="1" t="s">
        <v>318</v>
      </c>
      <c r="D450" s="2" t="s">
        <v>85</v>
      </c>
      <c r="H450" s="32" t="n">
        <f aca="false">SUM(J450:AW450)</f>
        <v>238904.92885945</v>
      </c>
      <c r="J450" s="32" t="n">
        <f aca="false">J435+J449</f>
        <v>0</v>
      </c>
      <c r="K450" s="32" t="n">
        <f aca="false">K435+K449</f>
        <v>0</v>
      </c>
      <c r="L450" s="32" t="n">
        <f aca="false">L435+L449</f>
        <v>0</v>
      </c>
      <c r="M450" s="32" t="n">
        <f aca="false">M435+M449</f>
        <v>-29757.5797945206</v>
      </c>
      <c r="N450" s="32" t="n">
        <f aca="false">N435+N449</f>
        <v>-31358</v>
      </c>
      <c r="O450" s="32" t="n">
        <f aca="false">O435+O449</f>
        <v>-13109.228216</v>
      </c>
      <c r="P450" s="32" t="n">
        <f aca="false">P435+P449</f>
        <v>10208.31854868</v>
      </c>
      <c r="Q450" s="32" t="n">
        <f aca="false">Q435+Q449</f>
        <v>12735.2081014703</v>
      </c>
      <c r="R450" s="32" t="n">
        <f aca="false">R435+R449</f>
        <v>10272.2251699632</v>
      </c>
      <c r="S450" s="32" t="n">
        <f aca="false">S435+S449</f>
        <v>10302.900354447</v>
      </c>
      <c r="T450" s="32" t="n">
        <f aca="false">T435+T449</f>
        <v>10332.6812323462</v>
      </c>
      <c r="U450" s="32" t="n">
        <f aca="false">U435+U449</f>
        <v>10361.5350771773</v>
      </c>
      <c r="V450" s="32" t="n">
        <f aca="false">V435+V449</f>
        <v>10389.4282893215</v>
      </c>
      <c r="W450" s="32" t="n">
        <f aca="false">W435+W449</f>
        <v>10416.3263742212</v>
      </c>
      <c r="X450" s="32" t="n">
        <f aca="false">X435+X449</f>
        <v>10442.1939200382</v>
      </c>
      <c r="Y450" s="32" t="n">
        <f aca="false">Y435+Y449</f>
        <v>10466.9945747646</v>
      </c>
      <c r="Z450" s="32" t="n">
        <f aca="false">Z435+Z449</f>
        <v>10490.6910227696</v>
      </c>
      <c r="AA450" s="32" t="n">
        <f aca="false">AA435+AA449</f>
        <v>10513.2449607703</v>
      </c>
      <c r="AB450" s="32" t="n">
        <f aca="false">AB435+AB449</f>
        <v>10534.6170732123</v>
      </c>
      <c r="AC450" s="32" t="n">
        <f aca="false">AC435+AC449</f>
        <v>10554.7670070439</v>
      </c>
      <c r="AD450" s="32" t="n">
        <f aca="false">AD435+AD449</f>
        <v>10573.6533458719</v>
      </c>
      <c r="AE450" s="32" t="n">
        <f aca="false">AE435+AE449</f>
        <v>10591.2335834807</v>
      </c>
      <c r="AF450" s="32" t="n">
        <f aca="false">AF435+AF449</f>
        <v>10607.4640967019</v>
      </c>
      <c r="AG450" s="32" t="n">
        <f aca="false">AG435+AG449</f>
        <v>10622.3001176161</v>
      </c>
      <c r="AH450" s="32" t="n">
        <f aca="false">AH435+AH449</f>
        <v>10635.6957050725</v>
      </c>
      <c r="AI450" s="32" t="n">
        <f aca="false">AI435+AI449</f>
        <v>10647.6037155082</v>
      </c>
      <c r="AJ450" s="32" t="n">
        <f aca="false">AJ435+AJ449</f>
        <v>10657.9757730504</v>
      </c>
      <c r="AK450" s="32" t="n">
        <f aca="false">AK435+AK449</f>
        <v>10666.7622388844</v>
      </c>
      <c r="AL450" s="32" t="n">
        <f aca="false">AL435+AL449</f>
        <v>10673.9121798686</v>
      </c>
      <c r="AM450" s="32" t="n">
        <f aca="false">AM435+AM449</f>
        <v>10679.3733363789</v>
      </c>
      <c r="AN450" s="32" t="n">
        <f aca="false">AN435+AN449</f>
        <v>10683.0920893626</v>
      </c>
      <c r="AO450" s="32" t="n">
        <f aca="false">AO435+AO449</f>
        <v>10685.0134265835</v>
      </c>
      <c r="AP450" s="32" t="n">
        <f aca="false">AP435+AP449</f>
        <v>10685.0809080371</v>
      </c>
      <c r="AQ450" s="32" t="n">
        <f aca="false">AQ435+AQ449</f>
        <v>10683.2366305169</v>
      </c>
      <c r="AR450" s="32" t="n">
        <f aca="false">AR435+AR449</f>
        <v>10679.4211913102</v>
      </c>
      <c r="AS450" s="32" t="n">
        <f aca="false">AS435+AS449</f>
        <v>5336.78682550075</v>
      </c>
      <c r="AT450" s="32" t="n">
        <f aca="false">AT435+AT449</f>
        <v>0</v>
      </c>
      <c r="AU450" s="32" t="n">
        <f aca="false">AU435+AU449</f>
        <v>0</v>
      </c>
      <c r="AV450" s="32" t="n">
        <f aca="false">AV435+AV449</f>
        <v>0</v>
      </c>
      <c r="AW450" s="32" t="n">
        <f aca="false">AW435+AW449</f>
        <v>0</v>
      </c>
    </row>
    <row r="451" customFormat="false" ht="14.25" hidden="false" customHeight="false" outlineLevel="0" collapsed="false">
      <c r="C451" s="6" t="s">
        <v>319</v>
      </c>
      <c r="D451" s="2" t="s">
        <v>12</v>
      </c>
      <c r="H451" s="74" t="n">
        <f aca="false">SUM(J451:AW451)</f>
        <v>20</v>
      </c>
      <c r="J451" s="48" t="n">
        <f aca="false">MAX(0,MIN(J428,Tax_Dep_Life*Months_In_Year)-MAX(J428-Months_In_Year,0))/Months_In_Year</f>
        <v>0</v>
      </c>
      <c r="K451" s="48" t="n">
        <f aca="false">MAX(0,MIN(K428,Tax_Dep_Life*Months_In_Year)-MAX(K428-Months_In_Year,0))/Months_In_Year</f>
        <v>0</v>
      </c>
      <c r="L451" s="48" t="n">
        <f aca="false">MAX(0,MIN(L428,Tax_Dep_Life*Months_In_Year)-MAX(L428-Months_In_Year,0))/Months_In_Year</f>
        <v>0</v>
      </c>
      <c r="M451" s="48" t="n">
        <f aca="false">MAX(0,MIN(M428,Tax_Dep_Life*Months_In_Year)-MAX(M428-Months_In_Year,0))/Months_In_Year</f>
        <v>0</v>
      </c>
      <c r="N451" s="48" t="n">
        <f aca="false">MAX(0,MIN(N428,Tax_Dep_Life*Months_In_Year)-MAX(N428-Months_In_Year,0))/Months_In_Year</f>
        <v>0</v>
      </c>
      <c r="O451" s="48" t="n">
        <f aca="false">MAX(0,MIN(O428,Tax_Dep_Life*Months_In_Year)-MAX(O428-Months_In_Year,0))/Months_In_Year</f>
        <v>0.5</v>
      </c>
      <c r="P451" s="48" t="n">
        <f aca="false">MAX(0,MIN(P428,Tax_Dep_Life*Months_In_Year)-MAX(P428-Months_In_Year,0))/Months_In_Year</f>
        <v>1</v>
      </c>
      <c r="Q451" s="48" t="n">
        <f aca="false">MAX(0,MIN(Q428,Tax_Dep_Life*Months_In_Year)-MAX(Q428-Months_In_Year,0))/Months_In_Year</f>
        <v>1</v>
      </c>
      <c r="R451" s="48" t="n">
        <f aca="false">MAX(0,MIN(R428,Tax_Dep_Life*Months_In_Year)-MAX(R428-Months_In_Year,0))/Months_In_Year</f>
        <v>1</v>
      </c>
      <c r="S451" s="48" t="n">
        <f aca="false">MAX(0,MIN(S428,Tax_Dep_Life*Months_In_Year)-MAX(S428-Months_In_Year,0))/Months_In_Year</f>
        <v>1</v>
      </c>
      <c r="T451" s="48" t="n">
        <f aca="false">MAX(0,MIN(T428,Tax_Dep_Life*Months_In_Year)-MAX(T428-Months_In_Year,0))/Months_In_Year</f>
        <v>1</v>
      </c>
      <c r="U451" s="48" t="n">
        <f aca="false">MAX(0,MIN(U428,Tax_Dep_Life*Months_In_Year)-MAX(U428-Months_In_Year,0))/Months_In_Year</f>
        <v>1</v>
      </c>
      <c r="V451" s="48" t="n">
        <f aca="false">MAX(0,MIN(V428,Tax_Dep_Life*Months_In_Year)-MAX(V428-Months_In_Year,0))/Months_In_Year</f>
        <v>1</v>
      </c>
      <c r="W451" s="48" t="n">
        <f aca="false">MAX(0,MIN(W428,Tax_Dep_Life*Months_In_Year)-MAX(W428-Months_In_Year,0))/Months_In_Year</f>
        <v>1</v>
      </c>
      <c r="X451" s="48" t="n">
        <f aca="false">MAX(0,MIN(X428,Tax_Dep_Life*Months_In_Year)-MAX(X428-Months_In_Year,0))/Months_In_Year</f>
        <v>1</v>
      </c>
      <c r="Y451" s="48" t="n">
        <f aca="false">MAX(0,MIN(Y428,Tax_Dep_Life*Months_In_Year)-MAX(Y428-Months_In_Year,0))/Months_In_Year</f>
        <v>1</v>
      </c>
      <c r="Z451" s="48" t="n">
        <f aca="false">MAX(0,MIN(Z428,Tax_Dep_Life*Months_In_Year)-MAX(Z428-Months_In_Year,0))/Months_In_Year</f>
        <v>1</v>
      </c>
      <c r="AA451" s="48" t="n">
        <f aca="false">MAX(0,MIN(AA428,Tax_Dep_Life*Months_In_Year)-MAX(AA428-Months_In_Year,0))/Months_In_Year</f>
        <v>1</v>
      </c>
      <c r="AB451" s="48" t="n">
        <f aca="false">MAX(0,MIN(AB428,Tax_Dep_Life*Months_In_Year)-MAX(AB428-Months_In_Year,0))/Months_In_Year</f>
        <v>1</v>
      </c>
      <c r="AC451" s="48" t="n">
        <f aca="false">MAX(0,MIN(AC428,Tax_Dep_Life*Months_In_Year)-MAX(AC428-Months_In_Year,0))/Months_In_Year</f>
        <v>1</v>
      </c>
      <c r="AD451" s="48" t="n">
        <f aca="false">MAX(0,MIN(AD428,Tax_Dep_Life*Months_In_Year)-MAX(AD428-Months_In_Year,0))/Months_In_Year</f>
        <v>1</v>
      </c>
      <c r="AE451" s="48" t="n">
        <f aca="false">MAX(0,MIN(AE428,Tax_Dep_Life*Months_In_Year)-MAX(AE428-Months_In_Year,0))/Months_In_Year</f>
        <v>1</v>
      </c>
      <c r="AF451" s="48" t="n">
        <f aca="false">MAX(0,MIN(AF428,Tax_Dep_Life*Months_In_Year)-MAX(AF428-Months_In_Year,0))/Months_In_Year</f>
        <v>1</v>
      </c>
      <c r="AG451" s="48" t="n">
        <f aca="false">MAX(0,MIN(AG428,Tax_Dep_Life*Months_In_Year)-MAX(AG428-Months_In_Year,0))/Months_In_Year</f>
        <v>1</v>
      </c>
      <c r="AH451" s="48" t="n">
        <f aca="false">MAX(0,MIN(AH428,Tax_Dep_Life*Months_In_Year)-MAX(AH428-Months_In_Year,0))/Months_In_Year</f>
        <v>1</v>
      </c>
      <c r="AI451" s="48" t="n">
        <f aca="false">MAX(0,MIN(AI428,Tax_Dep_Life*Months_In_Year)-MAX(AI428-Months_In_Year,0))/Months_In_Year</f>
        <v>0.5</v>
      </c>
      <c r="AJ451" s="48" t="n">
        <f aca="false">MAX(0,MIN(AJ428,Tax_Dep_Life*Months_In_Year)-MAX(AJ428-Months_In_Year,0))/Months_In_Year</f>
        <v>0</v>
      </c>
      <c r="AK451" s="48" t="n">
        <f aca="false">MAX(0,MIN(AK428,Tax_Dep_Life*Months_In_Year)-MAX(AK428-Months_In_Year,0))/Months_In_Year</f>
        <v>0</v>
      </c>
      <c r="AL451" s="48" t="n">
        <f aca="false">MAX(0,MIN(AL428,Tax_Dep_Life*Months_In_Year)-MAX(AL428-Months_In_Year,0))/Months_In_Year</f>
        <v>0</v>
      </c>
      <c r="AM451" s="48" t="n">
        <f aca="false">MAX(0,MIN(AM428,Tax_Dep_Life*Months_In_Year)-MAX(AM428-Months_In_Year,0))/Months_In_Year</f>
        <v>0</v>
      </c>
      <c r="AN451" s="48" t="n">
        <f aca="false">MAX(0,MIN(AN428,Tax_Dep_Life*Months_In_Year)-MAX(AN428-Months_In_Year,0))/Months_In_Year</f>
        <v>0</v>
      </c>
      <c r="AO451" s="48" t="n">
        <f aca="false">MAX(0,MIN(AO428,Tax_Dep_Life*Months_In_Year)-MAX(AO428-Months_In_Year,0))/Months_In_Year</f>
        <v>0</v>
      </c>
      <c r="AP451" s="48" t="n">
        <f aca="false">MAX(0,MIN(AP428,Tax_Dep_Life*Months_In_Year)-MAX(AP428-Months_In_Year,0))/Months_In_Year</f>
        <v>0</v>
      </c>
      <c r="AQ451" s="48" t="n">
        <f aca="false">MAX(0,MIN(AQ428,Tax_Dep_Life*Months_In_Year)-MAX(AQ428-Months_In_Year,0))/Months_In_Year</f>
        <v>0</v>
      </c>
      <c r="AR451" s="48" t="n">
        <f aca="false">MAX(0,MIN(AR428,Tax_Dep_Life*Months_In_Year)-MAX(AR428-Months_In_Year,0))/Months_In_Year</f>
        <v>0</v>
      </c>
      <c r="AS451" s="48" t="n">
        <f aca="false">MAX(0,MIN(AS428,Tax_Dep_Life*Months_In_Year)-MAX(AS428-Months_In_Year,0))/Months_In_Year</f>
        <v>0</v>
      </c>
      <c r="AT451" s="48" t="n">
        <f aca="false">MAX(0,MIN(AT428,Tax_Dep_Life*Months_In_Year)-MAX(AT428-Months_In_Year,0))/Months_In_Year</f>
        <v>0</v>
      </c>
      <c r="AU451" s="48" t="n">
        <f aca="false">MAX(0,MIN(AU428,Tax_Dep_Life*Months_In_Year)-MAX(AU428-Months_In_Year,0))/Months_In_Year</f>
        <v>0</v>
      </c>
      <c r="AV451" s="48" t="n">
        <f aca="false">MAX(0,MIN(AV428,Tax_Dep_Life*Months_In_Year)-MAX(AV428-Months_In_Year,0))/Months_In_Year</f>
        <v>0</v>
      </c>
      <c r="AW451" s="48" t="n">
        <f aca="false">MAX(0,MIN(AW428,Tax_Dep_Life*Months_In_Year)-MAX(AW428-Months_In_Year,0))/Months_In_Year</f>
        <v>0</v>
      </c>
    </row>
    <row r="452" customFormat="false" ht="14.25" hidden="false" customHeight="false" outlineLevel="0" collapsed="false">
      <c r="C452" s="6" t="s">
        <v>320</v>
      </c>
      <c r="D452" s="2" t="s">
        <v>85</v>
      </c>
      <c r="F452" s="52" t="n">
        <f aca="false">F91+F92+F96</f>
        <v>69192.2575342466</v>
      </c>
      <c r="H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</row>
    <row r="453" customFormat="false" ht="14.25" hidden="false" customHeight="false" outlineLevel="0" collapsed="false">
      <c r="C453" s="6" t="s">
        <v>321</v>
      </c>
      <c r="D453" s="2" t="s">
        <v>85</v>
      </c>
      <c r="H453" s="8" t="n">
        <f aca="false">SUM(J453:AW453)</f>
        <v>-69192.2575342466</v>
      </c>
      <c r="J453" s="8" t="n">
        <f aca="false">-$F452/Tax_Dep_Life*J451</f>
        <v>-0</v>
      </c>
      <c r="K453" s="8" t="n">
        <f aca="false">-$F452/Tax_Dep_Life*K451</f>
        <v>-0</v>
      </c>
      <c r="L453" s="8" t="n">
        <f aca="false">-$F452/Tax_Dep_Life*L451</f>
        <v>-0</v>
      </c>
      <c r="M453" s="8" t="n">
        <f aca="false">-$F452/Tax_Dep_Life*M451</f>
        <v>-0</v>
      </c>
      <c r="N453" s="8" t="n">
        <f aca="false">-$F452/Tax_Dep_Life*N451</f>
        <v>-0</v>
      </c>
      <c r="O453" s="8" t="n">
        <f aca="false">-$F452/Tax_Dep_Life*O451</f>
        <v>-1729.80643835616</v>
      </c>
      <c r="P453" s="8" t="n">
        <f aca="false">-$F452/Tax_Dep_Life*P451</f>
        <v>-3459.61287671233</v>
      </c>
      <c r="Q453" s="8" t="n">
        <f aca="false">-$F452/Tax_Dep_Life*Q451</f>
        <v>-3459.61287671233</v>
      </c>
      <c r="R453" s="8" t="n">
        <f aca="false">-$F452/Tax_Dep_Life*R451</f>
        <v>-3459.61287671233</v>
      </c>
      <c r="S453" s="8" t="n">
        <f aca="false">-$F452/Tax_Dep_Life*S451</f>
        <v>-3459.61287671233</v>
      </c>
      <c r="T453" s="8" t="n">
        <f aca="false">-$F452/Tax_Dep_Life*T451</f>
        <v>-3459.61287671233</v>
      </c>
      <c r="U453" s="8" t="n">
        <f aca="false">-$F452/Tax_Dep_Life*U451</f>
        <v>-3459.61287671233</v>
      </c>
      <c r="V453" s="8" t="n">
        <f aca="false">-$F452/Tax_Dep_Life*V451</f>
        <v>-3459.61287671233</v>
      </c>
      <c r="W453" s="8" t="n">
        <f aca="false">-$F452/Tax_Dep_Life*W451</f>
        <v>-3459.61287671233</v>
      </c>
      <c r="X453" s="8" t="n">
        <f aca="false">-$F452/Tax_Dep_Life*X451</f>
        <v>-3459.61287671233</v>
      </c>
      <c r="Y453" s="8" t="n">
        <f aca="false">-$F452/Tax_Dep_Life*Y451</f>
        <v>-3459.61287671233</v>
      </c>
      <c r="Z453" s="8" t="n">
        <f aca="false">-$F452/Tax_Dep_Life*Z451</f>
        <v>-3459.61287671233</v>
      </c>
      <c r="AA453" s="8" t="n">
        <f aca="false">-$F452/Tax_Dep_Life*AA451</f>
        <v>-3459.61287671233</v>
      </c>
      <c r="AB453" s="8" t="n">
        <f aca="false">-$F452/Tax_Dep_Life*AB451</f>
        <v>-3459.61287671233</v>
      </c>
      <c r="AC453" s="8" t="n">
        <f aca="false">-$F452/Tax_Dep_Life*AC451</f>
        <v>-3459.61287671233</v>
      </c>
      <c r="AD453" s="8" t="n">
        <f aca="false">-$F452/Tax_Dep_Life*AD451</f>
        <v>-3459.61287671233</v>
      </c>
      <c r="AE453" s="8" t="n">
        <f aca="false">-$F452/Tax_Dep_Life*AE451</f>
        <v>-3459.61287671233</v>
      </c>
      <c r="AF453" s="8" t="n">
        <f aca="false">-$F452/Tax_Dep_Life*AF451</f>
        <v>-3459.61287671233</v>
      </c>
      <c r="AG453" s="8" t="n">
        <f aca="false">-$F452/Tax_Dep_Life*AG451</f>
        <v>-3459.61287671233</v>
      </c>
      <c r="AH453" s="8" t="n">
        <f aca="false">-$F452/Tax_Dep_Life*AH451</f>
        <v>-3459.61287671233</v>
      </c>
      <c r="AI453" s="8" t="n">
        <f aca="false">-$F452/Tax_Dep_Life*AI451</f>
        <v>-1729.80643835616</v>
      </c>
      <c r="AJ453" s="8" t="n">
        <f aca="false">-$F452/Tax_Dep_Life*AJ451</f>
        <v>-0</v>
      </c>
      <c r="AK453" s="8" t="n">
        <f aca="false">-$F452/Tax_Dep_Life*AK451</f>
        <v>-0</v>
      </c>
      <c r="AL453" s="8" t="n">
        <f aca="false">-$F452/Tax_Dep_Life*AL451</f>
        <v>-0</v>
      </c>
      <c r="AM453" s="8" t="n">
        <f aca="false">-$F452/Tax_Dep_Life*AM451</f>
        <v>-0</v>
      </c>
      <c r="AN453" s="8" t="n">
        <f aca="false">-$F452/Tax_Dep_Life*AN451</f>
        <v>-0</v>
      </c>
      <c r="AO453" s="8" t="n">
        <f aca="false">-$F452/Tax_Dep_Life*AO451</f>
        <v>-0</v>
      </c>
      <c r="AP453" s="8" t="n">
        <f aca="false">-$F452/Tax_Dep_Life*AP451</f>
        <v>-0</v>
      </c>
      <c r="AQ453" s="8" t="n">
        <f aca="false">-$F452/Tax_Dep_Life*AQ451</f>
        <v>-0</v>
      </c>
      <c r="AR453" s="8" t="n">
        <f aca="false">-$F452/Tax_Dep_Life*AR451</f>
        <v>-0</v>
      </c>
      <c r="AS453" s="8" t="n">
        <f aca="false">-$F452/Tax_Dep_Life*AS451</f>
        <v>-0</v>
      </c>
      <c r="AT453" s="8" t="n">
        <f aca="false">-$F452/Tax_Dep_Life*AT451</f>
        <v>-0</v>
      </c>
      <c r="AU453" s="8" t="n">
        <f aca="false">-$F452/Tax_Dep_Life*AU451</f>
        <v>-0</v>
      </c>
      <c r="AV453" s="8" t="n">
        <f aca="false">-$F452/Tax_Dep_Life*AV451</f>
        <v>-0</v>
      </c>
      <c r="AW453" s="8" t="n">
        <f aca="false">-$F452/Tax_Dep_Life*AW451</f>
        <v>-0</v>
      </c>
    </row>
    <row r="454" customFormat="false" ht="14.25" hidden="false" customHeight="false" outlineLevel="0" collapsed="false">
      <c r="C454" s="6" t="s">
        <v>322</v>
      </c>
      <c r="D454" s="2" t="s">
        <v>85</v>
      </c>
      <c r="H454" s="8" t="n">
        <f aca="false">SUM(J454:AW454)</f>
        <v>-36976.9095857668</v>
      </c>
      <c r="J454" s="8" t="n">
        <f aca="false">-MAX(0,J449+J453)*CIT_Rate</f>
        <v>-0</v>
      </c>
      <c r="K454" s="8" t="n">
        <f aca="false">-MAX(0,K449+K453)*CIT_Rate</f>
        <v>-0</v>
      </c>
      <c r="L454" s="8" t="n">
        <f aca="false">-MAX(0,L449+L453)*CIT_Rate</f>
        <v>-0</v>
      </c>
      <c r="M454" s="8" t="n">
        <f aca="false">-MAX(0,M449+M453)*CIT_Rate</f>
        <v>-0</v>
      </c>
      <c r="N454" s="8" t="n">
        <f aca="false">-MAX(0,N449+N453)*CIT_Rate</f>
        <v>-0</v>
      </c>
      <c r="O454" s="8" t="n">
        <f aca="false">-MAX(0,O449+O453)*CIT_Rate</f>
        <v>-500.994801846575</v>
      </c>
      <c r="P454" s="8" t="n">
        <f aca="false">-MAX(0,P449+P453)*CIT_Rate</f>
        <v>-1012.30585079515</v>
      </c>
      <c r="Q454" s="8" t="n">
        <f aca="false">-MAX(0,Q449+Q453)*CIT_Rate</f>
        <v>-1017.16120152191</v>
      </c>
      <c r="R454" s="8" t="n">
        <f aca="false">-MAX(0,R449+R453)*CIT_Rate</f>
        <v>-1021.89184398762</v>
      </c>
      <c r="S454" s="8" t="n">
        <f aca="false">-MAX(0,S449+S453)*CIT_Rate</f>
        <v>-1026.4931216602</v>
      </c>
      <c r="T454" s="8" t="n">
        <f aca="false">-MAX(0,T449+T453)*CIT_Rate</f>
        <v>-1030.96025334509</v>
      </c>
      <c r="U454" s="8" t="n">
        <f aca="false">-MAX(0,U449+U453)*CIT_Rate</f>
        <v>-1035.28833006974</v>
      </c>
      <c r="V454" s="8" t="n">
        <f aca="false">-MAX(0,V449+V453)*CIT_Rate</f>
        <v>-1039.47231189138</v>
      </c>
      <c r="W454" s="8" t="n">
        <f aca="false">-MAX(0,W449+W453)*CIT_Rate</f>
        <v>-1043.50702462633</v>
      </c>
      <c r="X454" s="8" t="n">
        <f aca="false">-MAX(0,X449+X453)*CIT_Rate</f>
        <v>-1047.38715649888</v>
      </c>
      <c r="Y454" s="8" t="n">
        <f aca="false">-MAX(0,Y449+Y453)*CIT_Rate</f>
        <v>-1051.10725470784</v>
      </c>
      <c r="Z454" s="8" t="n">
        <f aca="false">-MAX(0,Z449+Z453)*CIT_Rate</f>
        <v>-1054.66172190859</v>
      </c>
      <c r="AA454" s="8" t="n">
        <f aca="false">-MAX(0,AA449+AA453)*CIT_Rate</f>
        <v>-1058.0448126087</v>
      </c>
      <c r="AB454" s="8" t="n">
        <f aca="false">-MAX(0,AB449+AB453)*CIT_Rate</f>
        <v>-1061.25062947499</v>
      </c>
      <c r="AC454" s="8" t="n">
        <f aca="false">-MAX(0,AC449+AC453)*CIT_Rate</f>
        <v>-1064.27311954974</v>
      </c>
      <c r="AD454" s="8" t="n">
        <f aca="false">-MAX(0,AD449+AD453)*CIT_Rate</f>
        <v>-1067.10607037393</v>
      </c>
      <c r="AE454" s="8" t="n">
        <f aca="false">-MAX(0,AE449+AE453)*CIT_Rate</f>
        <v>-1069.74310601525</v>
      </c>
      <c r="AF454" s="8" t="n">
        <f aca="false">-MAX(0,AF449+AF453)*CIT_Rate</f>
        <v>-1072.17768299843</v>
      </c>
      <c r="AG454" s="8" t="n">
        <f aca="false">-MAX(0,AG449+AG453)*CIT_Rate</f>
        <v>-1074.40308613556</v>
      </c>
      <c r="AH454" s="8" t="n">
        <f aca="false">-MAX(0,AH449+AH453)*CIT_Rate</f>
        <v>-1076.41242425403</v>
      </c>
      <c r="AI454" s="8" t="n">
        <f aca="false">-MAX(0,AI449+AI453)*CIT_Rate</f>
        <v>-1337.66959157281</v>
      </c>
      <c r="AJ454" s="8" t="n">
        <f aca="false">-MAX(0,AJ449+AJ453)*CIT_Rate</f>
        <v>-1598.69636595756</v>
      </c>
      <c r="AK454" s="8" t="n">
        <f aca="false">-MAX(0,AK449+AK453)*CIT_Rate</f>
        <v>-1600.01433583266</v>
      </c>
      <c r="AL454" s="8" t="n">
        <f aca="false">-MAX(0,AL449+AL453)*CIT_Rate</f>
        <v>-1601.08682698029</v>
      </c>
      <c r="AM454" s="8" t="n">
        <f aca="false">-MAX(0,AM449+AM453)*CIT_Rate</f>
        <v>-1601.90600045683</v>
      </c>
      <c r="AN454" s="8" t="n">
        <f aca="false">-MAX(0,AN449+AN453)*CIT_Rate</f>
        <v>-1602.4638134044</v>
      </c>
      <c r="AO454" s="8" t="n">
        <f aca="false">-MAX(0,AO449+AO453)*CIT_Rate</f>
        <v>-1602.75201398753</v>
      </c>
      <c r="AP454" s="8" t="n">
        <f aca="false">-MAX(0,AP449+AP453)*CIT_Rate</f>
        <v>-1602.76213620557</v>
      </c>
      <c r="AQ454" s="8" t="n">
        <f aca="false">-MAX(0,AQ449+AQ453)*CIT_Rate</f>
        <v>-1602.48549457754</v>
      </c>
      <c r="AR454" s="8" t="n">
        <f aca="false">-MAX(0,AR449+AR453)*CIT_Rate</f>
        <v>-1601.91317869653</v>
      </c>
      <c r="AS454" s="8" t="n">
        <f aca="false">-MAX(0,AS449+AS453)*CIT_Rate</f>
        <v>-800.518023825112</v>
      </c>
      <c r="AT454" s="8" t="n">
        <f aca="false">-MAX(0,AT449+AT453)*CIT_Rate</f>
        <v>-0</v>
      </c>
      <c r="AU454" s="8" t="n">
        <f aca="false">-MAX(0,AU449+AU453)*CIT_Rate</f>
        <v>-0</v>
      </c>
      <c r="AV454" s="8" t="n">
        <f aca="false">-MAX(0,AV449+AV453)*CIT_Rate</f>
        <v>-0</v>
      </c>
      <c r="AW454" s="8" t="n">
        <f aca="false">-MAX(0,AW449+AW453)*CIT_Rate</f>
        <v>-0</v>
      </c>
    </row>
    <row r="455" customFormat="false" ht="14.25" hidden="false" customHeight="false" outlineLevel="0" collapsed="false">
      <c r="C455" s="1" t="s">
        <v>323</v>
      </c>
      <c r="D455" s="2" t="s">
        <v>85</v>
      </c>
      <c r="H455" s="32" t="n">
        <f aca="false">SUM(J455:AW455)</f>
        <v>201928.019273683</v>
      </c>
      <c r="J455" s="32" t="n">
        <f aca="false">J450+J454</f>
        <v>0</v>
      </c>
      <c r="K455" s="32" t="n">
        <f aca="false">K450+K454</f>
        <v>0</v>
      </c>
      <c r="L455" s="32" t="n">
        <f aca="false">L450+L454</f>
        <v>0</v>
      </c>
      <c r="M455" s="32" t="n">
        <f aca="false">M450+M454</f>
        <v>-29757.5797945206</v>
      </c>
      <c r="N455" s="32" t="n">
        <f aca="false">N450+N454</f>
        <v>-31358</v>
      </c>
      <c r="O455" s="32" t="n">
        <f aca="false">O450+O454</f>
        <v>-13610.2230178466</v>
      </c>
      <c r="P455" s="32" t="n">
        <f aca="false">P450+P454</f>
        <v>9196.01269788485</v>
      </c>
      <c r="Q455" s="32" t="n">
        <f aca="false">Q450+Q454</f>
        <v>11718.0468999483</v>
      </c>
      <c r="R455" s="32" t="n">
        <f aca="false">R450+R454</f>
        <v>9250.33332597553</v>
      </c>
      <c r="S455" s="32" t="n">
        <f aca="false">S450+S454</f>
        <v>9276.40723278677</v>
      </c>
      <c r="T455" s="32" t="n">
        <f aca="false">T450+T454</f>
        <v>9301.72097900116</v>
      </c>
      <c r="U455" s="32" t="n">
        <f aca="false">U450+U454</f>
        <v>9326.24674710753</v>
      </c>
      <c r="V455" s="32" t="n">
        <f aca="false">V450+V454</f>
        <v>9349.95597743015</v>
      </c>
      <c r="W455" s="32" t="n">
        <f aca="false">W450+W454</f>
        <v>9372.81934959485</v>
      </c>
      <c r="X455" s="32" t="n">
        <f aca="false">X450+X454</f>
        <v>9394.80676353933</v>
      </c>
      <c r="Y455" s="32" t="n">
        <f aca="false">Y450+Y454</f>
        <v>9415.88732005677</v>
      </c>
      <c r="Z455" s="32" t="n">
        <f aca="false">Z450+Z454</f>
        <v>9436.02930086098</v>
      </c>
      <c r="AA455" s="32" t="n">
        <f aca="false">AA450+AA454</f>
        <v>9455.20014816163</v>
      </c>
      <c r="AB455" s="32" t="n">
        <f aca="false">AB450+AB454</f>
        <v>9473.36644373728</v>
      </c>
      <c r="AC455" s="32" t="n">
        <f aca="false">AC450+AC454</f>
        <v>9490.49388749417</v>
      </c>
      <c r="AD455" s="32" t="n">
        <f aca="false">AD450+AD454</f>
        <v>9506.54727549794</v>
      </c>
      <c r="AE455" s="32" t="n">
        <f aca="false">AE450+AE454</f>
        <v>9521.49047746544</v>
      </c>
      <c r="AF455" s="32" t="n">
        <f aca="false">AF450+AF454</f>
        <v>9535.28641370342</v>
      </c>
      <c r="AG455" s="32" t="n">
        <f aca="false">AG450+AG454</f>
        <v>9547.89703148051</v>
      </c>
      <c r="AH455" s="32" t="n">
        <f aca="false">AH450+AH454</f>
        <v>9559.2832808185</v>
      </c>
      <c r="AI455" s="32" t="n">
        <f aca="false">AI450+AI454</f>
        <v>9309.93412393542</v>
      </c>
      <c r="AJ455" s="32" t="n">
        <f aca="false">AJ450+AJ454</f>
        <v>9059.27940709287</v>
      </c>
      <c r="AK455" s="32" t="n">
        <f aca="false">AK450+AK454</f>
        <v>9066.74790305173</v>
      </c>
      <c r="AL455" s="32" t="n">
        <f aca="false">AL450+AL454</f>
        <v>9072.8253528883</v>
      </c>
      <c r="AM455" s="32" t="n">
        <f aca="false">AM450+AM454</f>
        <v>9077.46733592206</v>
      </c>
      <c r="AN455" s="32" t="n">
        <f aca="false">AN450+AN454</f>
        <v>9080.62827595824</v>
      </c>
      <c r="AO455" s="32" t="n">
        <f aca="false">AO450+AO454</f>
        <v>9082.26141259599</v>
      </c>
      <c r="AP455" s="32" t="n">
        <f aca="false">AP450+AP454</f>
        <v>9082.31877183154</v>
      </c>
      <c r="AQ455" s="32" t="n">
        <f aca="false">AQ450+AQ454</f>
        <v>9080.75113593939</v>
      </c>
      <c r="AR455" s="32" t="n">
        <f aca="false">AR450+AR454</f>
        <v>9077.50801261365</v>
      </c>
      <c r="AS455" s="32" t="n">
        <f aca="false">AS450+AS454</f>
        <v>4536.26880167564</v>
      </c>
      <c r="AT455" s="32" t="n">
        <f aca="false">AT450+AT454</f>
        <v>0</v>
      </c>
      <c r="AU455" s="32" t="n">
        <f aca="false">AU450+AU454</f>
        <v>0</v>
      </c>
      <c r="AV455" s="32" t="n">
        <f aca="false">AV450+AV454</f>
        <v>0</v>
      </c>
      <c r="AW455" s="32" t="n">
        <f aca="false">AW450+AW454</f>
        <v>0</v>
      </c>
    </row>
    <row r="456" customFormat="false" ht="14.25" hidden="false" customHeight="false" outlineLevel="0" collapsed="false">
      <c r="C456" s="6" t="s">
        <v>324</v>
      </c>
      <c r="D456" s="2" t="s">
        <v>85</v>
      </c>
      <c r="F456" s="52" t="n">
        <f aca="false">F99*Gearing</f>
        <v>46080.0355479452</v>
      </c>
      <c r="H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</row>
    <row r="457" customFormat="false" ht="14.25" hidden="false" customHeight="false" outlineLevel="0" collapsed="false">
      <c r="C457" s="6" t="s">
        <v>325</v>
      </c>
      <c r="D457" s="2" t="s">
        <v>85</v>
      </c>
      <c r="H457" s="8" t="n">
        <f aca="false">SUM(J457:AW457)</f>
        <v>46080.0355479452</v>
      </c>
      <c r="J457" s="8" t="n">
        <f aca="false">$F456*J427</f>
        <v>0</v>
      </c>
      <c r="K457" s="8" t="n">
        <f aca="false">$F456*K427</f>
        <v>0</v>
      </c>
      <c r="L457" s="8" t="n">
        <f aca="false">$F456*L427</f>
        <v>0</v>
      </c>
      <c r="M457" s="8" t="n">
        <f aca="false">$F456*M427</f>
        <v>11520.0088869863</v>
      </c>
      <c r="N457" s="8" t="n">
        <f aca="false">$F456*N427</f>
        <v>23040.0177739726</v>
      </c>
      <c r="O457" s="8" t="n">
        <f aca="false">$F456*O427</f>
        <v>11520.0088869863</v>
      </c>
      <c r="P457" s="8" t="n">
        <f aca="false">$F456*P427</f>
        <v>0</v>
      </c>
      <c r="Q457" s="8" t="n">
        <f aca="false">$F456*Q427</f>
        <v>0</v>
      </c>
      <c r="R457" s="8" t="n">
        <f aca="false">$F456*R427</f>
        <v>0</v>
      </c>
      <c r="S457" s="8" t="n">
        <f aca="false">$F456*S427</f>
        <v>0</v>
      </c>
      <c r="T457" s="8" t="n">
        <f aca="false">$F456*T427</f>
        <v>0</v>
      </c>
      <c r="U457" s="8" t="n">
        <f aca="false">$F456*U427</f>
        <v>0</v>
      </c>
      <c r="V457" s="8" t="n">
        <f aca="false">$F456*V427</f>
        <v>0</v>
      </c>
      <c r="W457" s="8" t="n">
        <f aca="false">$F456*W427</f>
        <v>0</v>
      </c>
      <c r="X457" s="8" t="n">
        <f aca="false">$F456*X427</f>
        <v>0</v>
      </c>
      <c r="Y457" s="8" t="n">
        <f aca="false">$F456*Y427</f>
        <v>0</v>
      </c>
      <c r="Z457" s="8" t="n">
        <f aca="false">$F456*Z427</f>
        <v>0</v>
      </c>
      <c r="AA457" s="8" t="n">
        <f aca="false">$F456*AA427</f>
        <v>0</v>
      </c>
      <c r="AB457" s="8" t="n">
        <f aca="false">$F456*AB427</f>
        <v>0</v>
      </c>
      <c r="AC457" s="8" t="n">
        <f aca="false">$F456*AC427</f>
        <v>0</v>
      </c>
      <c r="AD457" s="8" t="n">
        <f aca="false">$F456*AD427</f>
        <v>0</v>
      </c>
      <c r="AE457" s="8" t="n">
        <f aca="false">$F456*AE427</f>
        <v>0</v>
      </c>
      <c r="AF457" s="8" t="n">
        <f aca="false">$F456*AF427</f>
        <v>0</v>
      </c>
      <c r="AG457" s="8" t="n">
        <f aca="false">$F456*AG427</f>
        <v>0</v>
      </c>
      <c r="AH457" s="8" t="n">
        <f aca="false">$F456*AH427</f>
        <v>0</v>
      </c>
      <c r="AI457" s="8" t="n">
        <f aca="false">$F456*AI427</f>
        <v>0</v>
      </c>
      <c r="AJ457" s="8" t="n">
        <f aca="false">$F456*AJ427</f>
        <v>0</v>
      </c>
      <c r="AK457" s="8" t="n">
        <f aca="false">$F456*AK427</f>
        <v>0</v>
      </c>
      <c r="AL457" s="8" t="n">
        <f aca="false">$F456*AL427</f>
        <v>0</v>
      </c>
      <c r="AM457" s="8" t="n">
        <f aca="false">$F456*AM427</f>
        <v>0</v>
      </c>
      <c r="AN457" s="8" t="n">
        <f aca="false">$F456*AN427</f>
        <v>0</v>
      </c>
      <c r="AO457" s="8" t="n">
        <f aca="false">$F456*AO427</f>
        <v>0</v>
      </c>
      <c r="AP457" s="8" t="n">
        <f aca="false">$F456*AP427</f>
        <v>0</v>
      </c>
      <c r="AQ457" s="8" t="n">
        <f aca="false">$F456*AQ427</f>
        <v>0</v>
      </c>
      <c r="AR457" s="8" t="n">
        <f aca="false">$F456*AR427</f>
        <v>0</v>
      </c>
      <c r="AS457" s="8" t="n">
        <f aca="false">$F456*AS427</f>
        <v>0</v>
      </c>
      <c r="AT457" s="8" t="n">
        <f aca="false">$F456*AT427</f>
        <v>0</v>
      </c>
      <c r="AU457" s="8" t="n">
        <f aca="false">$F456*AU427</f>
        <v>0</v>
      </c>
      <c r="AV457" s="8" t="n">
        <f aca="false">$F456*AV427</f>
        <v>0</v>
      </c>
      <c r="AW457" s="8" t="n">
        <f aca="false">$F456*AW427</f>
        <v>0</v>
      </c>
    </row>
    <row r="458" customFormat="false" ht="14.25" hidden="false" customHeight="false" outlineLevel="0" collapsed="false">
      <c r="C458" s="6" t="s">
        <v>326</v>
      </c>
      <c r="D458" s="2" t="s">
        <v>85</v>
      </c>
      <c r="H458" s="8" t="n">
        <f aca="false">SUM(J458:AW458)</f>
        <v>2343.78180808514</v>
      </c>
      <c r="J458" s="8" t="n">
        <f aca="false">(SUM($I457:I458)+J457*IDC_Draw_Share)*Debt_Rate*J427*$F426/Months_In_Year</f>
        <v>0</v>
      </c>
      <c r="K458" s="8" t="n">
        <f aca="false">(SUM($I457:J458)+K457*IDC_Draw_Share)*Debt_Rate*K427*$F426/Months_In_Year</f>
        <v>0</v>
      </c>
      <c r="L458" s="8" t="n">
        <f aca="false">(SUM($I457:K458)+L457*IDC_Draw_Share)*Debt_Rate*L427*$F426/Months_In_Year</f>
        <v>0</v>
      </c>
      <c r="M458" s="8" t="n">
        <f aca="false">(SUM($I457:L458)+M457*IDC_Draw_Share)*Debt_Rate*M427*$F426/Months_In_Year</f>
        <v>144.000111087329</v>
      </c>
      <c r="N458" s="8" t="n">
        <f aca="false">(SUM($I457:M458)+N457*IDC_Draw_Share)*Debt_Rate*N427*$F426/Months_In_Year</f>
        <v>1159.200894253</v>
      </c>
      <c r="O458" s="8" t="n">
        <f aca="false">(SUM($I457:N458)+O457*IDC_Draw_Share)*Debt_Rate*O427*$F426/Months_In_Year</f>
        <v>1040.58080274481</v>
      </c>
      <c r="P458" s="8" t="n">
        <f aca="false">(SUM($I457:O458)+P457*IDC_Draw_Share)*Debt_Rate*P427*$F426/Months_In_Year</f>
        <v>0</v>
      </c>
      <c r="Q458" s="8" t="n">
        <f aca="false">(SUM($I457:P458)+Q457*IDC_Draw_Share)*Debt_Rate*Q427*$F426/Months_In_Year</f>
        <v>0</v>
      </c>
      <c r="R458" s="8" t="n">
        <f aca="false">(SUM($I457:Q458)+R457*IDC_Draw_Share)*Debt_Rate*R427*$F426/Months_In_Year</f>
        <v>0</v>
      </c>
      <c r="S458" s="8" t="n">
        <f aca="false">(SUM($I457:R458)+S457*IDC_Draw_Share)*Debt_Rate*S427*$F426/Months_In_Year</f>
        <v>0</v>
      </c>
      <c r="T458" s="8" t="n">
        <f aca="false">(SUM($I457:S458)+T457*IDC_Draw_Share)*Debt_Rate*T427*$F426/Months_In_Year</f>
        <v>0</v>
      </c>
      <c r="U458" s="8" t="n">
        <f aca="false">(SUM($I457:T458)+U457*IDC_Draw_Share)*Debt_Rate*U427*$F426/Months_In_Year</f>
        <v>0</v>
      </c>
      <c r="V458" s="8" t="n">
        <f aca="false">(SUM($I457:U458)+V457*IDC_Draw_Share)*Debt_Rate*V427*$F426/Months_In_Year</f>
        <v>0</v>
      </c>
      <c r="W458" s="8" t="n">
        <f aca="false">(SUM($I457:V458)+W457*IDC_Draw_Share)*Debt_Rate*W427*$F426/Months_In_Year</f>
        <v>0</v>
      </c>
      <c r="X458" s="8" t="n">
        <f aca="false">(SUM($I457:W458)+X457*IDC_Draw_Share)*Debt_Rate*X427*$F426/Months_In_Year</f>
        <v>0</v>
      </c>
      <c r="Y458" s="8" t="n">
        <f aca="false">(SUM($I457:X458)+Y457*IDC_Draw_Share)*Debt_Rate*Y427*$F426/Months_In_Year</f>
        <v>0</v>
      </c>
      <c r="Z458" s="8" t="n">
        <f aca="false">(SUM($I457:Y458)+Z457*IDC_Draw_Share)*Debt_Rate*Z427*$F426/Months_In_Year</f>
        <v>0</v>
      </c>
      <c r="AA458" s="8" t="n">
        <f aca="false">(SUM($I457:Z458)+AA457*IDC_Draw_Share)*Debt_Rate*AA427*$F426/Months_In_Year</f>
        <v>0</v>
      </c>
      <c r="AB458" s="8" t="n">
        <f aca="false">(SUM($I457:AA458)+AB457*IDC_Draw_Share)*Debt_Rate*AB427*$F426/Months_In_Year</f>
        <v>0</v>
      </c>
      <c r="AC458" s="8" t="n">
        <f aca="false">(SUM($I457:AB458)+AC457*IDC_Draw_Share)*Debt_Rate*AC427*$F426/Months_In_Year</f>
        <v>0</v>
      </c>
      <c r="AD458" s="8" t="n">
        <f aca="false">(SUM($I457:AC458)+AD457*IDC_Draw_Share)*Debt_Rate*AD427*$F426/Months_In_Year</f>
        <v>0</v>
      </c>
      <c r="AE458" s="8" t="n">
        <f aca="false">(SUM($I457:AD458)+AE457*IDC_Draw_Share)*Debt_Rate*AE427*$F426/Months_In_Year</f>
        <v>0</v>
      </c>
      <c r="AF458" s="8" t="n">
        <f aca="false">(SUM($I457:AE458)+AF457*IDC_Draw_Share)*Debt_Rate*AF427*$F426/Months_In_Year</f>
        <v>0</v>
      </c>
      <c r="AG458" s="8" t="n">
        <f aca="false">(SUM($I457:AF458)+AG457*IDC_Draw_Share)*Debt_Rate*AG427*$F426/Months_In_Year</f>
        <v>0</v>
      </c>
      <c r="AH458" s="8" t="n">
        <f aca="false">(SUM($I457:AG458)+AH457*IDC_Draw_Share)*Debt_Rate*AH427*$F426/Months_In_Year</f>
        <v>0</v>
      </c>
      <c r="AI458" s="8" t="n">
        <f aca="false">(SUM($I457:AH458)+AI457*IDC_Draw_Share)*Debt_Rate*AI427*$F426/Months_In_Year</f>
        <v>0</v>
      </c>
      <c r="AJ458" s="8" t="n">
        <f aca="false">(SUM($I457:AI458)+AJ457*IDC_Draw_Share)*Debt_Rate*AJ427*$F426/Months_In_Year</f>
        <v>0</v>
      </c>
      <c r="AK458" s="8" t="n">
        <f aca="false">(SUM($I457:AJ458)+AK457*IDC_Draw_Share)*Debt_Rate*AK427*$F426/Months_In_Year</f>
        <v>0</v>
      </c>
      <c r="AL458" s="8" t="n">
        <f aca="false">(SUM($I457:AK458)+AL457*IDC_Draw_Share)*Debt_Rate*AL427*$F426/Months_In_Year</f>
        <v>0</v>
      </c>
      <c r="AM458" s="8" t="n">
        <f aca="false">(SUM($I457:AL458)+AM457*IDC_Draw_Share)*Debt_Rate*AM427*$F426/Months_In_Year</f>
        <v>0</v>
      </c>
      <c r="AN458" s="8" t="n">
        <f aca="false">(SUM($I457:AM458)+AN457*IDC_Draw_Share)*Debt_Rate*AN427*$F426/Months_In_Year</f>
        <v>0</v>
      </c>
      <c r="AO458" s="8" t="n">
        <f aca="false">(SUM($I457:AN458)+AO457*IDC_Draw_Share)*Debt_Rate*AO427*$F426/Months_In_Year</f>
        <v>0</v>
      </c>
      <c r="AP458" s="8" t="n">
        <f aca="false">(SUM($I457:AO458)+AP457*IDC_Draw_Share)*Debt_Rate*AP427*$F426/Months_In_Year</f>
        <v>0</v>
      </c>
      <c r="AQ458" s="8" t="n">
        <f aca="false">(SUM($I457:AP458)+AQ457*IDC_Draw_Share)*Debt_Rate*AQ427*$F426/Months_In_Year</f>
        <v>0</v>
      </c>
      <c r="AR458" s="8" t="n">
        <f aca="false">(SUM($I457:AQ458)+AR457*IDC_Draw_Share)*Debt_Rate*AR427*$F426/Months_In_Year</f>
        <v>0</v>
      </c>
      <c r="AS458" s="8" t="n">
        <f aca="false">(SUM($I457:AR458)+AS457*IDC_Draw_Share)*Debt_Rate*AS427*$F426/Months_In_Year</f>
        <v>0</v>
      </c>
      <c r="AT458" s="8" t="n">
        <f aca="false">(SUM($I457:AS458)+AT457*IDC_Draw_Share)*Debt_Rate*AT427*$F426/Months_In_Year</f>
        <v>0</v>
      </c>
      <c r="AU458" s="8" t="n">
        <f aca="false">(SUM($I457:AT458)+AU457*IDC_Draw_Share)*Debt_Rate*AU427*$F426/Months_In_Year</f>
        <v>0</v>
      </c>
      <c r="AV458" s="8" t="n">
        <f aca="false">(SUM($I457:AU458)+AV457*IDC_Draw_Share)*Debt_Rate*AV427*$F426/Months_In_Year</f>
        <v>0</v>
      </c>
      <c r="AW458" s="8" t="n">
        <f aca="false">(SUM($I457:AV458)+AW457*IDC_Draw_Share)*Debt_Rate*AW427*$F426/Months_In_Year</f>
        <v>0</v>
      </c>
    </row>
    <row r="459" customFormat="false" ht="14.25" hidden="false" customHeight="false" outlineLevel="0" collapsed="false">
      <c r="C459" s="6" t="s">
        <v>327</v>
      </c>
      <c r="D459" s="2" t="s">
        <v>85</v>
      </c>
      <c r="H459" s="8" t="n">
        <f aca="false">SUM(J459:AW459)</f>
        <v>-806.400622089041</v>
      </c>
      <c r="J459" s="8" t="n">
        <f aca="false">-$F456*Debt_Fee*(J427&gt;0)*(I427=0)</f>
        <v>-0</v>
      </c>
      <c r="K459" s="8" t="n">
        <f aca="false">-$F456*Debt_Fee*(K427&gt;0)*(J427=0)</f>
        <v>-0</v>
      </c>
      <c r="L459" s="8" t="n">
        <f aca="false">-$F456*Debt_Fee*(L427&gt;0)*(K427=0)</f>
        <v>-0</v>
      </c>
      <c r="M459" s="8" t="n">
        <f aca="false">-$F456*Debt_Fee*(M427&gt;0)*(L427=0)</f>
        <v>-806.400622089041</v>
      </c>
      <c r="N459" s="8" t="n">
        <f aca="false">-$F456*Debt_Fee*(N427&gt;0)*(M427=0)</f>
        <v>-0</v>
      </c>
      <c r="O459" s="8" t="n">
        <f aca="false">-$F456*Debt_Fee*(O427&gt;0)*(N427=0)</f>
        <v>-0</v>
      </c>
      <c r="P459" s="8" t="n">
        <f aca="false">-$F456*Debt_Fee*(P427&gt;0)*(O427=0)</f>
        <v>-0</v>
      </c>
      <c r="Q459" s="8" t="n">
        <f aca="false">-$F456*Debt_Fee*(Q427&gt;0)*(P427=0)</f>
        <v>-0</v>
      </c>
      <c r="R459" s="8" t="n">
        <f aca="false">-$F456*Debt_Fee*(R427&gt;0)*(Q427=0)</f>
        <v>-0</v>
      </c>
      <c r="S459" s="8" t="n">
        <f aca="false">-$F456*Debt_Fee*(S427&gt;0)*(R427=0)</f>
        <v>-0</v>
      </c>
      <c r="T459" s="8" t="n">
        <f aca="false">-$F456*Debt_Fee*(T427&gt;0)*(S427=0)</f>
        <v>-0</v>
      </c>
      <c r="U459" s="8" t="n">
        <f aca="false">-$F456*Debt_Fee*(U427&gt;0)*(T427=0)</f>
        <v>-0</v>
      </c>
      <c r="V459" s="8" t="n">
        <f aca="false">-$F456*Debt_Fee*(V427&gt;0)*(U427=0)</f>
        <v>-0</v>
      </c>
      <c r="W459" s="8" t="n">
        <f aca="false">-$F456*Debt_Fee*(W427&gt;0)*(V427=0)</f>
        <v>-0</v>
      </c>
      <c r="X459" s="8" t="n">
        <f aca="false">-$F456*Debt_Fee*(X427&gt;0)*(W427=0)</f>
        <v>-0</v>
      </c>
      <c r="Y459" s="8" t="n">
        <f aca="false">-$F456*Debt_Fee*(Y427&gt;0)*(X427=0)</f>
        <v>-0</v>
      </c>
      <c r="Z459" s="8" t="n">
        <f aca="false">-$F456*Debt_Fee*(Z427&gt;0)*(Y427=0)</f>
        <v>-0</v>
      </c>
      <c r="AA459" s="8" t="n">
        <f aca="false">-$F456*Debt_Fee*(AA427&gt;0)*(Z427=0)</f>
        <v>-0</v>
      </c>
      <c r="AB459" s="8" t="n">
        <f aca="false">-$F456*Debt_Fee*(AB427&gt;0)*(AA427=0)</f>
        <v>-0</v>
      </c>
      <c r="AC459" s="8" t="n">
        <f aca="false">-$F456*Debt_Fee*(AC427&gt;0)*(AB427=0)</f>
        <v>-0</v>
      </c>
      <c r="AD459" s="8" t="n">
        <f aca="false">-$F456*Debt_Fee*(AD427&gt;0)*(AC427=0)</f>
        <v>-0</v>
      </c>
      <c r="AE459" s="8" t="n">
        <f aca="false">-$F456*Debt_Fee*(AE427&gt;0)*(AD427=0)</f>
        <v>-0</v>
      </c>
      <c r="AF459" s="8" t="n">
        <f aca="false">-$F456*Debt_Fee*(AF427&gt;0)*(AE427=0)</f>
        <v>-0</v>
      </c>
      <c r="AG459" s="8" t="n">
        <f aca="false">-$F456*Debt_Fee*(AG427&gt;0)*(AF427=0)</f>
        <v>-0</v>
      </c>
      <c r="AH459" s="8" t="n">
        <f aca="false">-$F456*Debt_Fee*(AH427&gt;0)*(AG427=0)</f>
        <v>-0</v>
      </c>
      <c r="AI459" s="8" t="n">
        <f aca="false">-$F456*Debt_Fee*(AI427&gt;0)*(AH427=0)</f>
        <v>-0</v>
      </c>
      <c r="AJ459" s="8" t="n">
        <f aca="false">-$F456*Debt_Fee*(AJ427&gt;0)*(AI427=0)</f>
        <v>-0</v>
      </c>
      <c r="AK459" s="8" t="n">
        <f aca="false">-$F456*Debt_Fee*(AK427&gt;0)*(AJ427=0)</f>
        <v>-0</v>
      </c>
      <c r="AL459" s="8" t="n">
        <f aca="false">-$F456*Debt_Fee*(AL427&gt;0)*(AK427=0)</f>
        <v>-0</v>
      </c>
      <c r="AM459" s="8" t="n">
        <f aca="false">-$F456*Debt_Fee*(AM427&gt;0)*(AL427=0)</f>
        <v>-0</v>
      </c>
      <c r="AN459" s="8" t="n">
        <f aca="false">-$F456*Debt_Fee*(AN427&gt;0)*(AM427=0)</f>
        <v>-0</v>
      </c>
      <c r="AO459" s="8" t="n">
        <f aca="false">-$F456*Debt_Fee*(AO427&gt;0)*(AN427=0)</f>
        <v>-0</v>
      </c>
      <c r="AP459" s="8" t="n">
        <f aca="false">-$F456*Debt_Fee*(AP427&gt;0)*(AO427=0)</f>
        <v>-0</v>
      </c>
      <c r="AQ459" s="8" t="n">
        <f aca="false">-$F456*Debt_Fee*(AQ427&gt;0)*(AP427=0)</f>
        <v>-0</v>
      </c>
      <c r="AR459" s="8" t="n">
        <f aca="false">-$F456*Debt_Fee*(AR427&gt;0)*(AQ427=0)</f>
        <v>-0</v>
      </c>
      <c r="AS459" s="8" t="n">
        <f aca="false">-$F456*Debt_Fee*(AS427&gt;0)*(AR427=0)</f>
        <v>-0</v>
      </c>
      <c r="AT459" s="8" t="n">
        <f aca="false">-$F456*Debt_Fee*(AT427&gt;0)*(AS427=0)</f>
        <v>-0</v>
      </c>
      <c r="AU459" s="8" t="n">
        <f aca="false">-$F456*Debt_Fee*(AU427&gt;0)*(AT427=0)</f>
        <v>-0</v>
      </c>
      <c r="AV459" s="8" t="n">
        <f aca="false">-$F456*Debt_Fee*(AV427&gt;0)*(AU427=0)</f>
        <v>-0</v>
      </c>
      <c r="AW459" s="8" t="n">
        <f aca="false">-$F456*Debt_Fee*(AW427&gt;0)*(AV427=0)</f>
        <v>-0</v>
      </c>
    </row>
    <row r="460" customFormat="false" ht="14.25" hidden="false" customHeight="false" outlineLevel="0" collapsed="false">
      <c r="C460" s="6" t="s">
        <v>328</v>
      </c>
      <c r="D460" s="2" t="s">
        <v>85</v>
      </c>
      <c r="H460" s="8" t="n">
        <f aca="false">SUM(J460:AW460)</f>
        <v>-22765.6981606533</v>
      </c>
      <c r="J460" s="8" t="n">
        <f aca="false">-(I463+J457+J458)*Debt_Rate*J429</f>
        <v>-0</v>
      </c>
      <c r="K460" s="8" t="n">
        <f aca="false">-(J463+K457+K458)*Debt_Rate*K429</f>
        <v>-0</v>
      </c>
      <c r="L460" s="8" t="n">
        <f aca="false">-(K463+L457+L458)*Debt_Rate*L429</f>
        <v>-0</v>
      </c>
      <c r="M460" s="8" t="n">
        <f aca="false">-(L463+M457+M458)*Debt_Rate*M429</f>
        <v>-0</v>
      </c>
      <c r="N460" s="8" t="n">
        <f aca="false">-(M463+N457+N458)*Debt_Rate*N429</f>
        <v>-0</v>
      </c>
      <c r="O460" s="8" t="n">
        <f aca="false">-(N463+O457+O458)*Debt_Rate*O429</f>
        <v>-1210.59543390076</v>
      </c>
      <c r="P460" s="8" t="n">
        <f aca="false">-(O463+P457+P458)*Debt_Rate*P429</f>
        <v>-2421.19086780152</v>
      </c>
      <c r="Q460" s="8" t="n">
        <f aca="false">-(P463+Q457+Q458)*Debt_Rate*Q429</f>
        <v>-2308.98734424898</v>
      </c>
      <c r="R460" s="8" t="n">
        <f aca="false">-(Q463+R457+R458)*Debt_Rate*R429</f>
        <v>-2191.17364451882</v>
      </c>
      <c r="S460" s="8" t="n">
        <f aca="false">-(R463+S457+S458)*Debt_Rate*S429</f>
        <v>-2067.46925980215</v>
      </c>
      <c r="T460" s="8" t="n">
        <f aca="false">-(S463+T457+T458)*Debt_Rate*T429</f>
        <v>-1937.57965584965</v>
      </c>
      <c r="U460" s="8" t="n">
        <f aca="false">-(T463+U457+U458)*Debt_Rate*U429</f>
        <v>-1801.19557169952</v>
      </c>
      <c r="V460" s="8" t="n">
        <f aca="false">-(U463+V457+V458)*Debt_Rate*V429</f>
        <v>-1657.99228334189</v>
      </c>
      <c r="W460" s="8" t="n">
        <f aca="false">-(V463+W457+W458)*Debt_Rate*W429</f>
        <v>-1507.62883056638</v>
      </c>
      <c r="X460" s="8" t="n">
        <f aca="false">-(W463+X457+X458)*Debt_Rate*X429</f>
        <v>-1349.74720515208</v>
      </c>
      <c r="Y460" s="8" t="n">
        <f aca="false">-(X463+Y457+Y458)*Debt_Rate*Y429</f>
        <v>-1183.97149846708</v>
      </c>
      <c r="Z460" s="8" t="n">
        <f aca="false">-(Y463+Z457+Z458)*Debt_Rate*Z429</f>
        <v>-1009.90700644782</v>
      </c>
      <c r="AA460" s="8" t="n">
        <f aca="false">-(Z463+AA457+AA458)*Debt_Rate*AA429</f>
        <v>-827.139289827604</v>
      </c>
      <c r="AB460" s="8" t="n">
        <f aca="false">-(AA463+AB457+AB458)*Debt_Rate*AB429</f>
        <v>-635.233187376375</v>
      </c>
      <c r="AC460" s="8" t="n">
        <f aca="false">-(AB463+AC457+AC458)*Debt_Rate*AC429</f>
        <v>-433.731779802584</v>
      </c>
      <c r="AD460" s="8" t="n">
        <f aca="false">-(AC463+AD457+AD458)*Debt_Rate*AD429</f>
        <v>-222.155301850103</v>
      </c>
      <c r="AE460" s="8" t="n">
        <f aca="false">-(AD463+AE457+AE458)*Debt_Rate*AE429</f>
        <v>1.31876731757075E-012</v>
      </c>
      <c r="AF460" s="8" t="n">
        <f aca="false">-(AE463+AF457+AF458)*Debt_Rate*AF429</f>
        <v>1.38470568344928E-012</v>
      </c>
      <c r="AG460" s="8" t="n">
        <f aca="false">-(AF463+AG457+AG458)*Debt_Rate*AG429</f>
        <v>1.45394096762175E-012</v>
      </c>
      <c r="AH460" s="8" t="n">
        <f aca="false">-(AG463+AH457+AH458)*Debt_Rate*AH429</f>
        <v>1.52663801600284E-012</v>
      </c>
      <c r="AI460" s="8" t="n">
        <f aca="false">-(AH463+AI457+AI458)*Debt_Rate*AI429</f>
        <v>1.60296991680298E-012</v>
      </c>
      <c r="AJ460" s="8" t="n">
        <f aca="false">-(AI463+AJ457+AJ458)*Debt_Rate*AJ429</f>
        <v>1.68311841264313E-012</v>
      </c>
      <c r="AK460" s="8" t="n">
        <f aca="false">-(AJ463+AK457+AK458)*Debt_Rate*AK429</f>
        <v>1.76727433327528E-012</v>
      </c>
      <c r="AL460" s="8" t="n">
        <f aca="false">-(AK463+AL457+AL458)*Debt_Rate*AL429</f>
        <v>1.85563804993905E-012</v>
      </c>
      <c r="AM460" s="8" t="n">
        <f aca="false">-(AL463+AM457+AM458)*Debt_Rate*AM429</f>
        <v>1.948419952436E-012</v>
      </c>
      <c r="AN460" s="8" t="n">
        <f aca="false">-(AM463+AN457+AN458)*Debt_Rate*AN429</f>
        <v>2.0458409500578E-012</v>
      </c>
      <c r="AO460" s="8" t="n">
        <f aca="false">-(AN463+AO457+AO458)*Debt_Rate*AO429</f>
        <v>2.14813299756069E-012</v>
      </c>
      <c r="AP460" s="8" t="n">
        <f aca="false">-(AO463+AP457+AP458)*Debt_Rate*AP429</f>
        <v>2.25553964743872E-012</v>
      </c>
      <c r="AQ460" s="8" t="n">
        <f aca="false">-(AP463+AQ457+AQ458)*Debt_Rate*AQ429</f>
        <v>2.36831662981066E-012</v>
      </c>
      <c r="AR460" s="8" t="n">
        <f aca="false">-(AQ463+AR457+AR458)*Debt_Rate*AR429</f>
        <v>2.48673246130119E-012</v>
      </c>
      <c r="AS460" s="8" t="n">
        <f aca="false">-(AR463+AS457+AS458)*Debt_Rate*AS429</f>
        <v>1.30553454218313E-012</v>
      </c>
      <c r="AT460" s="8" t="n">
        <f aca="false">-(AS463+AT457+AT458)*Debt_Rate*AT429</f>
        <v>0</v>
      </c>
      <c r="AU460" s="8" t="n">
        <f aca="false">-(AT463+AU457+AU458)*Debt_Rate*AU429</f>
        <v>0</v>
      </c>
      <c r="AV460" s="8" t="n">
        <f aca="false">-(AU463+AV457+AV458)*Debt_Rate*AV429</f>
        <v>0</v>
      </c>
      <c r="AW460" s="8" t="n">
        <f aca="false">-(AV463+AW457+AW458)*Debt_Rate*AW429</f>
        <v>0</v>
      </c>
    </row>
    <row r="461" customFormat="false" ht="14.25" hidden="false" customHeight="false" outlineLevel="0" collapsed="false">
      <c r="C461" s="6" t="s">
        <v>329</v>
      </c>
      <c r="D461" s="2" t="s">
        <v>85</v>
      </c>
      <c r="H461" s="8" t="n">
        <f aca="false">SUM(J461:AW461)</f>
        <v>-71189.5155166837</v>
      </c>
      <c r="J461" s="8" t="n">
        <f aca="false">PMT(Debt_Rate,Debt_Tenor,$H457+$H458)*(J425&gt;=1)*(J425&lt;=Debt_Tenor)+J460*(J425=0)</f>
        <v>-0</v>
      </c>
      <c r="K461" s="8" t="n">
        <f aca="false">PMT(Debt_Rate,Debt_Tenor,$H457+$H458)*(K425&gt;=1)*(K425&lt;=Debt_Tenor)+K460*(K425=0)</f>
        <v>-0</v>
      </c>
      <c r="L461" s="8" t="n">
        <f aca="false">PMT(Debt_Rate,Debt_Tenor,$H457+$H458)*(L425&gt;=1)*(L425&lt;=Debt_Tenor)+L460*(L425=0)</f>
        <v>-0</v>
      </c>
      <c r="M461" s="8" t="n">
        <f aca="false">PMT(Debt_Rate,Debt_Tenor,$H457+$H458)*(M425&gt;=1)*(M425&lt;=Debt_Tenor)+M460*(M425=0)</f>
        <v>-0</v>
      </c>
      <c r="N461" s="8" t="n">
        <f aca="false">PMT(Debt_Rate,Debt_Tenor,$H457+$H458)*(N425&gt;=1)*(N425&lt;=Debt_Tenor)+N460*(N425=0)</f>
        <v>-0</v>
      </c>
      <c r="O461" s="8" t="n">
        <f aca="false">PMT(Debt_Rate,Debt_Tenor,$H457+$H458)*(O425&gt;=1)*(O425&lt;=Debt_Tenor)+O460*(O425=0)</f>
        <v>-1210.59543390076</v>
      </c>
      <c r="P461" s="8" t="n">
        <f aca="false">PMT(Debt_Rate,Debt_Tenor,$H457+$H458)*(P425&gt;=1)*(P425&lt;=Debt_Tenor)+P460*(P425=0)</f>
        <v>-4665.2613388522</v>
      </c>
      <c r="Q461" s="8" t="n">
        <f aca="false">PMT(Debt_Rate,Debt_Tenor,$H457+$H458)*(Q425&gt;=1)*(Q425&lt;=Debt_Tenor)+Q460*(Q425=0)</f>
        <v>-4665.2613388522</v>
      </c>
      <c r="R461" s="8" t="n">
        <f aca="false">PMT(Debt_Rate,Debt_Tenor,$H457+$H458)*(R425&gt;=1)*(R425&lt;=Debt_Tenor)+R460*(R425=0)</f>
        <v>-4665.2613388522</v>
      </c>
      <c r="S461" s="8" t="n">
        <f aca="false">PMT(Debt_Rate,Debt_Tenor,$H457+$H458)*(S425&gt;=1)*(S425&lt;=Debt_Tenor)+S460*(S425=0)</f>
        <v>-4665.2613388522</v>
      </c>
      <c r="T461" s="8" t="n">
        <f aca="false">PMT(Debt_Rate,Debt_Tenor,$H457+$H458)*(T425&gt;=1)*(T425&lt;=Debt_Tenor)+T460*(T425=0)</f>
        <v>-4665.2613388522</v>
      </c>
      <c r="U461" s="8" t="n">
        <f aca="false">PMT(Debt_Rate,Debt_Tenor,$H457+$H458)*(U425&gt;=1)*(U425&lt;=Debt_Tenor)+U460*(U425=0)</f>
        <v>-4665.2613388522</v>
      </c>
      <c r="V461" s="8" t="n">
        <f aca="false">PMT(Debt_Rate,Debt_Tenor,$H457+$H458)*(V425&gt;=1)*(V425&lt;=Debt_Tenor)+V460*(V425=0)</f>
        <v>-4665.2613388522</v>
      </c>
      <c r="W461" s="8" t="n">
        <f aca="false">PMT(Debt_Rate,Debt_Tenor,$H457+$H458)*(W425&gt;=1)*(W425&lt;=Debt_Tenor)+W460*(W425=0)</f>
        <v>-4665.2613388522</v>
      </c>
      <c r="X461" s="8" t="n">
        <f aca="false">PMT(Debt_Rate,Debt_Tenor,$H457+$H458)*(X425&gt;=1)*(X425&lt;=Debt_Tenor)+X460*(X425=0)</f>
        <v>-4665.2613388522</v>
      </c>
      <c r="Y461" s="8" t="n">
        <f aca="false">PMT(Debt_Rate,Debt_Tenor,$H457+$H458)*(Y425&gt;=1)*(Y425&lt;=Debt_Tenor)+Y460*(Y425=0)</f>
        <v>-4665.2613388522</v>
      </c>
      <c r="Z461" s="8" t="n">
        <f aca="false">PMT(Debt_Rate,Debt_Tenor,$H457+$H458)*(Z425&gt;=1)*(Z425&lt;=Debt_Tenor)+Z460*(Z425=0)</f>
        <v>-4665.2613388522</v>
      </c>
      <c r="AA461" s="8" t="n">
        <f aca="false">PMT(Debt_Rate,Debt_Tenor,$H457+$H458)*(AA425&gt;=1)*(AA425&lt;=Debt_Tenor)+AA460*(AA425=0)</f>
        <v>-4665.2613388522</v>
      </c>
      <c r="AB461" s="8" t="n">
        <f aca="false">PMT(Debt_Rate,Debt_Tenor,$H457+$H458)*(AB425&gt;=1)*(AB425&lt;=Debt_Tenor)+AB460*(AB425=0)</f>
        <v>-4665.2613388522</v>
      </c>
      <c r="AC461" s="8" t="n">
        <f aca="false">PMT(Debt_Rate,Debt_Tenor,$H457+$H458)*(AC425&gt;=1)*(AC425&lt;=Debt_Tenor)+AC460*(AC425=0)</f>
        <v>-4665.2613388522</v>
      </c>
      <c r="AD461" s="8" t="n">
        <f aca="false">PMT(Debt_Rate,Debt_Tenor,$H457+$H458)*(AD425&gt;=1)*(AD425&lt;=Debt_Tenor)+AD460*(AD425=0)</f>
        <v>-4665.2613388522</v>
      </c>
      <c r="AE461" s="8" t="n">
        <f aca="false">PMT(Debt_Rate,Debt_Tenor,$H457+$H458)*(AE425&gt;=1)*(AE425&lt;=Debt_Tenor)+AE460*(AE425=0)</f>
        <v>0</v>
      </c>
      <c r="AF461" s="8" t="n">
        <f aca="false">PMT(Debt_Rate,Debt_Tenor,$H457+$H458)*(AF425&gt;=1)*(AF425&lt;=Debt_Tenor)+AF460*(AF425=0)</f>
        <v>0</v>
      </c>
      <c r="AG461" s="8" t="n">
        <f aca="false">PMT(Debt_Rate,Debt_Tenor,$H457+$H458)*(AG425&gt;=1)*(AG425&lt;=Debt_Tenor)+AG460*(AG425=0)</f>
        <v>0</v>
      </c>
      <c r="AH461" s="8" t="n">
        <f aca="false">PMT(Debt_Rate,Debt_Tenor,$H457+$H458)*(AH425&gt;=1)*(AH425&lt;=Debt_Tenor)+AH460*(AH425=0)</f>
        <v>0</v>
      </c>
      <c r="AI461" s="8" t="n">
        <f aca="false">PMT(Debt_Rate,Debt_Tenor,$H457+$H458)*(AI425&gt;=1)*(AI425&lt;=Debt_Tenor)+AI460*(AI425=0)</f>
        <v>0</v>
      </c>
      <c r="AJ461" s="8" t="n">
        <f aca="false">PMT(Debt_Rate,Debt_Tenor,$H457+$H458)*(AJ425&gt;=1)*(AJ425&lt;=Debt_Tenor)+AJ460*(AJ425=0)</f>
        <v>0</v>
      </c>
      <c r="AK461" s="8" t="n">
        <f aca="false">PMT(Debt_Rate,Debt_Tenor,$H457+$H458)*(AK425&gt;=1)*(AK425&lt;=Debt_Tenor)+AK460*(AK425=0)</f>
        <v>0</v>
      </c>
      <c r="AL461" s="8" t="n">
        <f aca="false">PMT(Debt_Rate,Debt_Tenor,$H457+$H458)*(AL425&gt;=1)*(AL425&lt;=Debt_Tenor)+AL460*(AL425=0)</f>
        <v>0</v>
      </c>
      <c r="AM461" s="8" t="n">
        <f aca="false">PMT(Debt_Rate,Debt_Tenor,$H457+$H458)*(AM425&gt;=1)*(AM425&lt;=Debt_Tenor)+AM460*(AM425=0)</f>
        <v>0</v>
      </c>
      <c r="AN461" s="8" t="n">
        <f aca="false">PMT(Debt_Rate,Debt_Tenor,$H457+$H458)*(AN425&gt;=1)*(AN425&lt;=Debt_Tenor)+AN460*(AN425=0)</f>
        <v>0</v>
      </c>
      <c r="AO461" s="8" t="n">
        <f aca="false">PMT(Debt_Rate,Debt_Tenor,$H457+$H458)*(AO425&gt;=1)*(AO425&lt;=Debt_Tenor)+AO460*(AO425=0)</f>
        <v>0</v>
      </c>
      <c r="AP461" s="8" t="n">
        <f aca="false">PMT(Debt_Rate,Debt_Tenor,$H457+$H458)*(AP425&gt;=1)*(AP425&lt;=Debt_Tenor)+AP460*(AP425=0)</f>
        <v>0</v>
      </c>
      <c r="AQ461" s="8" t="n">
        <f aca="false">PMT(Debt_Rate,Debt_Tenor,$H457+$H458)*(AQ425&gt;=1)*(AQ425&lt;=Debt_Tenor)+AQ460*(AQ425=0)</f>
        <v>0</v>
      </c>
      <c r="AR461" s="8" t="n">
        <f aca="false">PMT(Debt_Rate,Debt_Tenor,$H457+$H458)*(AR425&gt;=1)*(AR425&lt;=Debt_Tenor)+AR460*(AR425=0)</f>
        <v>0</v>
      </c>
      <c r="AS461" s="8" t="n">
        <f aca="false">PMT(Debt_Rate,Debt_Tenor,$H457+$H458)*(AS425&gt;=1)*(AS425&lt;=Debt_Tenor)+AS460*(AS425=0)</f>
        <v>0</v>
      </c>
      <c r="AT461" s="8" t="n">
        <f aca="false">PMT(Debt_Rate,Debt_Tenor,$H457+$H458)*(AT425&gt;=1)*(AT425&lt;=Debt_Tenor)+AT460*(AT425=0)</f>
        <v>0</v>
      </c>
      <c r="AU461" s="8" t="n">
        <f aca="false">PMT(Debt_Rate,Debt_Tenor,$H457+$H458)*(AU425&gt;=1)*(AU425&lt;=Debt_Tenor)+AU460*(AU425=0)</f>
        <v>0</v>
      </c>
      <c r="AV461" s="8" t="n">
        <f aca="false">PMT(Debt_Rate,Debt_Tenor,$H457+$H458)*(AV425&gt;=1)*(AV425&lt;=Debt_Tenor)+AV460*(AV425=0)</f>
        <v>0</v>
      </c>
      <c r="AW461" s="8" t="n">
        <f aca="false">PMT(Debt_Rate,Debt_Tenor,$H457+$H458)*(AW425&gt;=1)*(AW425&lt;=Debt_Tenor)+AW460*(AW425=0)</f>
        <v>0</v>
      </c>
    </row>
    <row r="462" customFormat="false" ht="14.25" hidden="false" customHeight="false" outlineLevel="0" collapsed="false">
      <c r="C462" s="6" t="s">
        <v>330</v>
      </c>
      <c r="D462" s="2" t="s">
        <v>85</v>
      </c>
      <c r="H462" s="8" t="n">
        <f aca="false">SUM(J462:AW462)</f>
        <v>-48423.8173560304</v>
      </c>
      <c r="J462" s="8" t="n">
        <f aca="false">J461-J460</f>
        <v>0</v>
      </c>
      <c r="K462" s="8" t="n">
        <f aca="false">K461-K460</f>
        <v>0</v>
      </c>
      <c r="L462" s="8" t="n">
        <f aca="false">L461-L460</f>
        <v>0</v>
      </c>
      <c r="M462" s="8" t="n">
        <f aca="false">M461-M460</f>
        <v>0</v>
      </c>
      <c r="N462" s="8" t="n">
        <f aca="false">N461-N460</f>
        <v>0</v>
      </c>
      <c r="O462" s="8" t="n">
        <f aca="false">O461-O460</f>
        <v>0</v>
      </c>
      <c r="P462" s="8" t="n">
        <f aca="false">P461-P460</f>
        <v>-2244.07047105068</v>
      </c>
      <c r="Q462" s="8" t="n">
        <f aca="false">Q461-Q460</f>
        <v>-2356.27399460321</v>
      </c>
      <c r="R462" s="8" t="n">
        <f aca="false">R461-R460</f>
        <v>-2474.08769433337</v>
      </c>
      <c r="S462" s="8" t="n">
        <f aca="false">S461-S460</f>
        <v>-2597.79207905004</v>
      </c>
      <c r="T462" s="8" t="n">
        <f aca="false">T461-T460</f>
        <v>-2727.68168300254</v>
      </c>
      <c r="U462" s="8" t="n">
        <f aca="false">U461-U460</f>
        <v>-2864.06576715267</v>
      </c>
      <c r="V462" s="8" t="n">
        <f aca="false">V461-V460</f>
        <v>-3007.26905551031</v>
      </c>
      <c r="W462" s="8" t="n">
        <f aca="false">W461-W460</f>
        <v>-3157.63250828582</v>
      </c>
      <c r="X462" s="8" t="n">
        <f aca="false">X461-X460</f>
        <v>-3315.51413370011</v>
      </c>
      <c r="Y462" s="8" t="n">
        <f aca="false">Y461-Y460</f>
        <v>-3481.28984038512</v>
      </c>
      <c r="Z462" s="8" t="n">
        <f aca="false">Z461-Z460</f>
        <v>-3655.35433240437</v>
      </c>
      <c r="AA462" s="8" t="n">
        <f aca="false">AA461-AA460</f>
        <v>-3838.12204902459</v>
      </c>
      <c r="AB462" s="8" t="n">
        <f aca="false">AB461-AB460</f>
        <v>-4030.02815147582</v>
      </c>
      <c r="AC462" s="8" t="n">
        <f aca="false">AC461-AC460</f>
        <v>-4231.52955904961</v>
      </c>
      <c r="AD462" s="8" t="n">
        <f aca="false">AD461-AD460</f>
        <v>-4443.10603700209</v>
      </c>
      <c r="AE462" s="8" t="n">
        <f aca="false">AE461-AE460</f>
        <v>-1.31876731757075E-012</v>
      </c>
      <c r="AF462" s="8" t="n">
        <f aca="false">AF461-AF460</f>
        <v>-1.38470568344928E-012</v>
      </c>
      <c r="AG462" s="8" t="n">
        <f aca="false">AG461-AG460</f>
        <v>-1.45394096762175E-012</v>
      </c>
      <c r="AH462" s="8" t="n">
        <f aca="false">AH461-AH460</f>
        <v>-1.52663801600284E-012</v>
      </c>
      <c r="AI462" s="8" t="n">
        <f aca="false">AI461-AI460</f>
        <v>-1.60296991680298E-012</v>
      </c>
      <c r="AJ462" s="8" t="n">
        <f aca="false">AJ461-AJ460</f>
        <v>-1.68311841264313E-012</v>
      </c>
      <c r="AK462" s="8" t="n">
        <f aca="false">AK461-AK460</f>
        <v>-1.76727433327528E-012</v>
      </c>
      <c r="AL462" s="8" t="n">
        <f aca="false">AL461-AL460</f>
        <v>-1.85563804993905E-012</v>
      </c>
      <c r="AM462" s="8" t="n">
        <f aca="false">AM461-AM460</f>
        <v>-1.948419952436E-012</v>
      </c>
      <c r="AN462" s="8" t="n">
        <f aca="false">AN461-AN460</f>
        <v>-2.0458409500578E-012</v>
      </c>
      <c r="AO462" s="8" t="n">
        <f aca="false">AO461-AO460</f>
        <v>-2.14813299756069E-012</v>
      </c>
      <c r="AP462" s="8" t="n">
        <f aca="false">AP461-AP460</f>
        <v>-2.25553964743872E-012</v>
      </c>
      <c r="AQ462" s="8" t="n">
        <f aca="false">AQ461-AQ460</f>
        <v>-2.36831662981066E-012</v>
      </c>
      <c r="AR462" s="8" t="n">
        <f aca="false">AR461-AR460</f>
        <v>-2.48673246130119E-012</v>
      </c>
      <c r="AS462" s="8" t="n">
        <f aca="false">AS461-AS460</f>
        <v>-1.30553454218313E-012</v>
      </c>
      <c r="AT462" s="8" t="n">
        <f aca="false">AT461-AT460</f>
        <v>0</v>
      </c>
      <c r="AU462" s="8" t="n">
        <f aca="false">AU461-AU460</f>
        <v>0</v>
      </c>
      <c r="AV462" s="8" t="n">
        <f aca="false">AV461-AV460</f>
        <v>0</v>
      </c>
      <c r="AW462" s="8" t="n">
        <f aca="false">AW461-AW460</f>
        <v>0</v>
      </c>
    </row>
    <row r="463" customFormat="false" ht="14.25" hidden="false" customHeight="false" outlineLevel="0" collapsed="false">
      <c r="C463" s="6" t="s">
        <v>331</v>
      </c>
      <c r="D463" s="2" t="s">
        <v>85</v>
      </c>
      <c r="H463" s="8"/>
      <c r="J463" s="8" t="n">
        <f aca="false">I463+J457+J458+J462</f>
        <v>0</v>
      </c>
      <c r="K463" s="8" t="n">
        <f aca="false">J463+K457+K458+K462</f>
        <v>0</v>
      </c>
      <c r="L463" s="8" t="n">
        <f aca="false">K463+L457+L458+L462</f>
        <v>0</v>
      </c>
      <c r="M463" s="8" t="n">
        <f aca="false">L463+M457+M458+M462</f>
        <v>11664.0089980736</v>
      </c>
      <c r="N463" s="8" t="n">
        <f aca="false">M463+N457+N458+N462</f>
        <v>35863.2276662992</v>
      </c>
      <c r="O463" s="8" t="n">
        <f aca="false">N463+O457+O458+O462</f>
        <v>48423.8173560303</v>
      </c>
      <c r="P463" s="8" t="n">
        <f aca="false">O463+P457+P458+P462</f>
        <v>46179.7468849797</v>
      </c>
      <c r="Q463" s="8" t="n">
        <f aca="false">P463+Q457+Q458+Q462</f>
        <v>43823.4728903764</v>
      </c>
      <c r="R463" s="8" t="n">
        <f aca="false">Q463+R457+R458+R462</f>
        <v>41349.3851960431</v>
      </c>
      <c r="S463" s="8" t="n">
        <f aca="false">R463+S457+S458+S462</f>
        <v>38751.593116993</v>
      </c>
      <c r="T463" s="8" t="n">
        <f aca="false">S463+T457+T458+T462</f>
        <v>36023.9114339905</v>
      </c>
      <c r="U463" s="8" t="n">
        <f aca="false">T463+U457+U458+U462</f>
        <v>33159.8456668378</v>
      </c>
      <c r="V463" s="8" t="n">
        <f aca="false">U463+V457+V458+V462</f>
        <v>30152.5766113275</v>
      </c>
      <c r="W463" s="8" t="n">
        <f aca="false">V463+W457+W458+W462</f>
        <v>26994.9441030417</v>
      </c>
      <c r="X463" s="8" t="n">
        <f aca="false">W463+X457+X458+X462</f>
        <v>23679.4299693416</v>
      </c>
      <c r="Y463" s="8" t="n">
        <f aca="false">X463+Y457+Y458+Y462</f>
        <v>20198.1401289565</v>
      </c>
      <c r="Z463" s="8" t="n">
        <f aca="false">Y463+Z457+Z458+Z462</f>
        <v>16542.7857965521</v>
      </c>
      <c r="AA463" s="8" t="n">
        <f aca="false">Z463+AA457+AA458+AA462</f>
        <v>12704.6637475275</v>
      </c>
      <c r="AB463" s="8" t="n">
        <f aca="false">AA463+AB457+AB458+AB462</f>
        <v>8674.63559605168</v>
      </c>
      <c r="AC463" s="8" t="n">
        <f aca="false">AB463+AC457+AC458+AC462</f>
        <v>4443.10603700207</v>
      </c>
      <c r="AD463" s="8" t="n">
        <f aca="false">AC463+AD457+AD458+AD462</f>
        <v>-2.63753463514149E-011</v>
      </c>
      <c r="AE463" s="8" t="n">
        <f aca="false">AD463+AE457+AE458+AE462</f>
        <v>-2.76941136689857E-011</v>
      </c>
      <c r="AF463" s="8" t="n">
        <f aca="false">AE463+AF457+AF458+AF462</f>
        <v>-2.90788193524349E-011</v>
      </c>
      <c r="AG463" s="8" t="n">
        <f aca="false">AF463+AG457+AG458+AG462</f>
        <v>-3.05327603200567E-011</v>
      </c>
      <c r="AH463" s="8" t="n">
        <f aca="false">AG463+AH457+AH458+AH462</f>
        <v>-3.20593983360595E-011</v>
      </c>
      <c r="AI463" s="8" t="n">
        <f aca="false">AH463+AI457+AI458+AI462</f>
        <v>-3.36623682528625E-011</v>
      </c>
      <c r="AJ463" s="8" t="n">
        <f aca="false">AI463+AJ457+AJ458+AJ462</f>
        <v>-3.53454866655056E-011</v>
      </c>
      <c r="AK463" s="8" t="n">
        <f aca="false">AJ463+AK457+AK458+AK462</f>
        <v>-3.71127609987809E-011</v>
      </c>
      <c r="AL463" s="8" t="n">
        <f aca="false">AK463+AL457+AL458+AL462</f>
        <v>-3.896839904872E-011</v>
      </c>
      <c r="AM463" s="8" t="n">
        <f aca="false">AL463+AM457+AM458+AM462</f>
        <v>-4.0916819001156E-011</v>
      </c>
      <c r="AN463" s="8" t="n">
        <f aca="false">AM463+AN457+AN458+AN462</f>
        <v>-4.29626599512138E-011</v>
      </c>
      <c r="AO463" s="8" t="n">
        <f aca="false">AN463+AO457+AO458+AO462</f>
        <v>-4.51107929487745E-011</v>
      </c>
      <c r="AP463" s="8" t="n">
        <f aca="false">AO463+AP457+AP458+AP462</f>
        <v>-4.73663325962132E-011</v>
      </c>
      <c r="AQ463" s="8" t="n">
        <f aca="false">AP463+AQ457+AQ458+AQ462</f>
        <v>-4.97346492260238E-011</v>
      </c>
      <c r="AR463" s="8" t="n">
        <f aca="false">AQ463+AR457+AR458+AR462</f>
        <v>-5.2221381687325E-011</v>
      </c>
      <c r="AS463" s="8" t="n">
        <f aca="false">AR463+AS457+AS458+AS462</f>
        <v>-5.35269162295081E-011</v>
      </c>
      <c r="AT463" s="8" t="n">
        <f aca="false">AS463+AT457+AT458+AT462</f>
        <v>-5.35269162295081E-011</v>
      </c>
      <c r="AU463" s="8" t="n">
        <f aca="false">AT463+AU457+AU458+AU462</f>
        <v>-5.35269162295081E-011</v>
      </c>
      <c r="AV463" s="8" t="n">
        <f aca="false">AU463+AV457+AV458+AV462</f>
        <v>-5.35269162295081E-011</v>
      </c>
      <c r="AW463" s="8" t="n">
        <f aca="false">AV463+AW457+AW458+AW462</f>
        <v>-5.35269162295081E-011</v>
      </c>
    </row>
    <row r="464" customFormat="false" ht="14.25" hidden="false" customHeight="false" outlineLevel="0" collapsed="false">
      <c r="C464" s="6" t="s">
        <v>332</v>
      </c>
      <c r="D464" s="2" t="s">
        <v>85</v>
      </c>
      <c r="H464" s="8" t="n">
        <f aca="false">SUM(J464:AW464)</f>
        <v>-2343.78180808514</v>
      </c>
      <c r="J464" s="8" t="n">
        <f aca="false">-$H458/Tax_Dep_Life*J451</f>
        <v>-0</v>
      </c>
      <c r="K464" s="8" t="n">
        <f aca="false">-$H458/Tax_Dep_Life*K451</f>
        <v>-0</v>
      </c>
      <c r="L464" s="8" t="n">
        <f aca="false">-$H458/Tax_Dep_Life*L451</f>
        <v>-0</v>
      </c>
      <c r="M464" s="8" t="n">
        <f aca="false">-$H458/Tax_Dep_Life*M451</f>
        <v>-0</v>
      </c>
      <c r="N464" s="8" t="n">
        <f aca="false">-$H458/Tax_Dep_Life*N451</f>
        <v>-0</v>
      </c>
      <c r="O464" s="8" t="n">
        <f aca="false">-$H458/Tax_Dep_Life*O451</f>
        <v>-58.5945452021284</v>
      </c>
      <c r="P464" s="8" t="n">
        <f aca="false">-$H458/Tax_Dep_Life*P451</f>
        <v>-117.189090404257</v>
      </c>
      <c r="Q464" s="8" t="n">
        <f aca="false">-$H458/Tax_Dep_Life*Q451</f>
        <v>-117.189090404257</v>
      </c>
      <c r="R464" s="8" t="n">
        <f aca="false">-$H458/Tax_Dep_Life*R451</f>
        <v>-117.189090404257</v>
      </c>
      <c r="S464" s="8" t="n">
        <f aca="false">-$H458/Tax_Dep_Life*S451</f>
        <v>-117.189090404257</v>
      </c>
      <c r="T464" s="8" t="n">
        <f aca="false">-$H458/Tax_Dep_Life*T451</f>
        <v>-117.189090404257</v>
      </c>
      <c r="U464" s="8" t="n">
        <f aca="false">-$H458/Tax_Dep_Life*U451</f>
        <v>-117.189090404257</v>
      </c>
      <c r="V464" s="8" t="n">
        <f aca="false">-$H458/Tax_Dep_Life*V451</f>
        <v>-117.189090404257</v>
      </c>
      <c r="W464" s="8" t="n">
        <f aca="false">-$H458/Tax_Dep_Life*W451</f>
        <v>-117.189090404257</v>
      </c>
      <c r="X464" s="8" t="n">
        <f aca="false">-$H458/Tax_Dep_Life*X451</f>
        <v>-117.189090404257</v>
      </c>
      <c r="Y464" s="8" t="n">
        <f aca="false">-$H458/Tax_Dep_Life*Y451</f>
        <v>-117.189090404257</v>
      </c>
      <c r="Z464" s="8" t="n">
        <f aca="false">-$H458/Tax_Dep_Life*Z451</f>
        <v>-117.189090404257</v>
      </c>
      <c r="AA464" s="8" t="n">
        <f aca="false">-$H458/Tax_Dep_Life*AA451</f>
        <v>-117.189090404257</v>
      </c>
      <c r="AB464" s="8" t="n">
        <f aca="false">-$H458/Tax_Dep_Life*AB451</f>
        <v>-117.189090404257</v>
      </c>
      <c r="AC464" s="8" t="n">
        <f aca="false">-$H458/Tax_Dep_Life*AC451</f>
        <v>-117.189090404257</v>
      </c>
      <c r="AD464" s="8" t="n">
        <f aca="false">-$H458/Tax_Dep_Life*AD451</f>
        <v>-117.189090404257</v>
      </c>
      <c r="AE464" s="8" t="n">
        <f aca="false">-$H458/Tax_Dep_Life*AE451</f>
        <v>-117.189090404257</v>
      </c>
      <c r="AF464" s="8" t="n">
        <f aca="false">-$H458/Tax_Dep_Life*AF451</f>
        <v>-117.189090404257</v>
      </c>
      <c r="AG464" s="8" t="n">
        <f aca="false">-$H458/Tax_Dep_Life*AG451</f>
        <v>-117.189090404257</v>
      </c>
      <c r="AH464" s="8" t="n">
        <f aca="false">-$H458/Tax_Dep_Life*AH451</f>
        <v>-117.189090404257</v>
      </c>
      <c r="AI464" s="8" t="n">
        <f aca="false">-$H458/Tax_Dep_Life*AI451</f>
        <v>-58.5945452021284</v>
      </c>
      <c r="AJ464" s="8" t="n">
        <f aca="false">-$H458/Tax_Dep_Life*AJ451</f>
        <v>-0</v>
      </c>
      <c r="AK464" s="8" t="n">
        <f aca="false">-$H458/Tax_Dep_Life*AK451</f>
        <v>-0</v>
      </c>
      <c r="AL464" s="8" t="n">
        <f aca="false">-$H458/Tax_Dep_Life*AL451</f>
        <v>-0</v>
      </c>
      <c r="AM464" s="8" t="n">
        <f aca="false">-$H458/Tax_Dep_Life*AM451</f>
        <v>-0</v>
      </c>
      <c r="AN464" s="8" t="n">
        <f aca="false">-$H458/Tax_Dep_Life*AN451</f>
        <v>-0</v>
      </c>
      <c r="AO464" s="8" t="n">
        <f aca="false">-$H458/Tax_Dep_Life*AO451</f>
        <v>-0</v>
      </c>
      <c r="AP464" s="8" t="n">
        <f aca="false">-$H458/Tax_Dep_Life*AP451</f>
        <v>-0</v>
      </c>
      <c r="AQ464" s="8" t="n">
        <f aca="false">-$H458/Tax_Dep_Life*AQ451</f>
        <v>-0</v>
      </c>
      <c r="AR464" s="8" t="n">
        <f aca="false">-$H458/Tax_Dep_Life*AR451</f>
        <v>-0</v>
      </c>
      <c r="AS464" s="8" t="n">
        <f aca="false">-$H458/Tax_Dep_Life*AS451</f>
        <v>-0</v>
      </c>
      <c r="AT464" s="8" t="n">
        <f aca="false">-$H458/Tax_Dep_Life*AT451</f>
        <v>-0</v>
      </c>
      <c r="AU464" s="8" t="n">
        <f aca="false">-$H458/Tax_Dep_Life*AU451</f>
        <v>-0</v>
      </c>
      <c r="AV464" s="8" t="n">
        <f aca="false">-$H458/Tax_Dep_Life*AV451</f>
        <v>-0</v>
      </c>
      <c r="AW464" s="8" t="n">
        <f aca="false">-$H458/Tax_Dep_Life*AW451</f>
        <v>-0</v>
      </c>
    </row>
    <row r="465" customFormat="false" ht="14.25" hidden="false" customHeight="false" outlineLevel="0" collapsed="false">
      <c r="C465" s="6" t="s">
        <v>333</v>
      </c>
      <c r="D465" s="2" t="s">
        <v>85</v>
      </c>
      <c r="H465" s="8" t="n">
        <f aca="false">SUM(J465:AW465)</f>
        <v>-33210.487590456</v>
      </c>
      <c r="J465" s="8" t="n">
        <f aca="false">-MAX(0,J449+J453+J464+J460+J459)*CIT_Rate</f>
        <v>-0</v>
      </c>
      <c r="K465" s="8" t="n">
        <f aca="false">-MAX(0,K449+K453+K464+K460+K459)*CIT_Rate</f>
        <v>-0</v>
      </c>
      <c r="L465" s="8" t="n">
        <f aca="false">-MAX(0,L449+L453+L464+L460+L459)*CIT_Rate</f>
        <v>-0</v>
      </c>
      <c r="M465" s="8" t="n">
        <f aca="false">-MAX(0,M449+M453+M464+M460+M459)*CIT_Rate</f>
        <v>-0</v>
      </c>
      <c r="N465" s="8" t="n">
        <f aca="false">-MAX(0,N449+N453+N464+N460+N459)*CIT_Rate</f>
        <v>-0</v>
      </c>
      <c r="O465" s="8" t="n">
        <f aca="false">-MAX(0,O449+O453+O464+O460+O459)*CIT_Rate</f>
        <v>-310.616304981142</v>
      </c>
      <c r="P465" s="8" t="n">
        <f aca="false">-MAX(0,P449+P453+P464+P460+P459)*CIT_Rate</f>
        <v>-631.548857064285</v>
      </c>
      <c r="Q465" s="8" t="n">
        <f aca="false">-MAX(0,Q449+Q453+Q464+Q460+Q459)*CIT_Rate</f>
        <v>-653.234736323922</v>
      </c>
      <c r="R465" s="8" t="n">
        <f aca="false">-MAX(0,R449+R453+R464+R460+R459)*CIT_Rate</f>
        <v>-675.637433749163</v>
      </c>
      <c r="S465" s="8" t="n">
        <f aca="false">-MAX(0,S449+S453+S464+S460+S459)*CIT_Rate</f>
        <v>-698.794369129235</v>
      </c>
      <c r="T465" s="8" t="n">
        <f aca="false">-MAX(0,T449+T453+T464+T460+T459)*CIT_Rate</f>
        <v>-722.744941407001</v>
      </c>
      <c r="U465" s="8" t="n">
        <f aca="false">-MAX(0,U449+U453+U464+U460+U459)*CIT_Rate</f>
        <v>-747.530630754174</v>
      </c>
      <c r="V465" s="8" t="n">
        <f aca="false">-MAX(0,V449+V453+V464+V460+V459)*CIT_Rate</f>
        <v>-773.195105829459</v>
      </c>
      <c r="W465" s="8" t="n">
        <f aca="false">-MAX(0,W449+W453+W464+W460+W459)*CIT_Rate</f>
        <v>-799.784336480733</v>
      </c>
      <c r="X465" s="8" t="n">
        <f aca="false">-MAX(0,X449+X453+X464+X460+X459)*CIT_Rate</f>
        <v>-827.346712165432</v>
      </c>
      <c r="Y465" s="8" t="n">
        <f aca="false">-MAX(0,Y449+Y453+Y464+Y460+Y459)*CIT_Rate</f>
        <v>-855.933166377142</v>
      </c>
      <c r="Z465" s="8" t="n">
        <f aca="false">-MAX(0,Z449+Z453+Z464+Z460+Z459)*CIT_Rate</f>
        <v>-885.597307380774</v>
      </c>
      <c r="AA465" s="8" t="n">
        <f aca="false">-MAX(0,AA449+AA453+AA464+AA460+AA459)*CIT_Rate</f>
        <v>-916.395555573921</v>
      </c>
      <c r="AB465" s="8" t="n">
        <f aca="false">-MAX(0,AB449+AB453+AB464+AB460+AB459)*CIT_Rate</f>
        <v>-948.387287807896</v>
      </c>
      <c r="AC465" s="8" t="n">
        <f aca="false">-MAX(0,AC449+AC453+AC464+AC460+AC459)*CIT_Rate</f>
        <v>-981.634989018711</v>
      </c>
      <c r="AD465" s="8" t="n">
        <f aca="false">-MAX(0,AD449+AD453+AD464+AD460+AD459)*CIT_Rate</f>
        <v>-1016.20441153578</v>
      </c>
      <c r="AE465" s="8" t="n">
        <f aca="false">-MAX(0,AE449+AE453+AE464+AE460+AE459)*CIT_Rate</f>
        <v>-1052.16474245462</v>
      </c>
      <c r="AF465" s="8" t="n">
        <f aca="false">-MAX(0,AF449+AF453+AF464+AF460+AF459)*CIT_Rate</f>
        <v>-1054.59931943779</v>
      </c>
      <c r="AG465" s="8" t="n">
        <f aca="false">-MAX(0,AG449+AG453+AG464+AG460+AG459)*CIT_Rate</f>
        <v>-1056.82472257492</v>
      </c>
      <c r="AH465" s="8" t="n">
        <f aca="false">-MAX(0,AH449+AH453+AH464+AH460+AH459)*CIT_Rate</f>
        <v>-1058.83406069339</v>
      </c>
      <c r="AI465" s="8" t="n">
        <f aca="false">-MAX(0,AI449+AI453+AI464+AI460+AI459)*CIT_Rate</f>
        <v>-1328.88040979249</v>
      </c>
      <c r="AJ465" s="8" t="n">
        <f aca="false">-MAX(0,AJ449+AJ453+AJ464+AJ460+AJ459)*CIT_Rate</f>
        <v>-1598.69636595756</v>
      </c>
      <c r="AK465" s="8" t="n">
        <f aca="false">-MAX(0,AK449+AK453+AK464+AK460+AK459)*CIT_Rate</f>
        <v>-1600.01433583266</v>
      </c>
      <c r="AL465" s="8" t="n">
        <f aca="false">-MAX(0,AL449+AL453+AL464+AL460+AL459)*CIT_Rate</f>
        <v>-1601.08682698029</v>
      </c>
      <c r="AM465" s="8" t="n">
        <f aca="false">-MAX(0,AM449+AM453+AM464+AM460+AM459)*CIT_Rate</f>
        <v>-1601.90600045683</v>
      </c>
      <c r="AN465" s="8" t="n">
        <f aca="false">-MAX(0,AN449+AN453+AN464+AN460+AN459)*CIT_Rate</f>
        <v>-1602.4638134044</v>
      </c>
      <c r="AO465" s="8" t="n">
        <f aca="false">-MAX(0,AO449+AO453+AO464+AO460+AO459)*CIT_Rate</f>
        <v>-1602.75201398753</v>
      </c>
      <c r="AP465" s="8" t="n">
        <f aca="false">-MAX(0,AP449+AP453+AP464+AP460+AP459)*CIT_Rate</f>
        <v>-1602.76213620557</v>
      </c>
      <c r="AQ465" s="8" t="n">
        <f aca="false">-MAX(0,AQ449+AQ453+AQ464+AQ460+AQ459)*CIT_Rate</f>
        <v>-1602.48549457754</v>
      </c>
      <c r="AR465" s="8" t="n">
        <f aca="false">-MAX(0,AR449+AR453+AR464+AR460+AR459)*CIT_Rate</f>
        <v>-1601.91317869653</v>
      </c>
      <c r="AS465" s="8" t="n">
        <f aca="false">-MAX(0,AS449+AS453+AS464+AS460+AS459)*CIT_Rate</f>
        <v>-800.518023825112</v>
      </c>
      <c r="AT465" s="8" t="n">
        <f aca="false">-MAX(0,AT449+AT453+AT464+AT460+AT459)*CIT_Rate</f>
        <v>-0</v>
      </c>
      <c r="AU465" s="8" t="n">
        <f aca="false">-MAX(0,AU449+AU453+AU464+AU460+AU459)*CIT_Rate</f>
        <v>-0</v>
      </c>
      <c r="AV465" s="8" t="n">
        <f aca="false">-MAX(0,AV449+AV453+AV464+AV460+AV459)*CIT_Rate</f>
        <v>-0</v>
      </c>
      <c r="AW465" s="8" t="n">
        <f aca="false">-MAX(0,AW449+AW453+AW464+AW460+AW459)*CIT_Rate</f>
        <v>-0</v>
      </c>
    </row>
    <row r="466" customFormat="false" ht="14.25" hidden="false" customHeight="false" outlineLevel="0" collapsed="false">
      <c r="C466" s="1" t="s">
        <v>163</v>
      </c>
      <c r="D466" s="2" t="s">
        <v>85</v>
      </c>
      <c r="H466" s="32" t="n">
        <f aca="false">SUM(J466:AW466)</f>
        <v>179778.560678166</v>
      </c>
      <c r="J466" s="32" t="n">
        <f aca="false">J450+J457+J459+J461+J465</f>
        <v>0</v>
      </c>
      <c r="K466" s="32" t="n">
        <f aca="false">K450+K457+K459+K461+K465</f>
        <v>0</v>
      </c>
      <c r="L466" s="32" t="n">
        <f aca="false">L450+L457+L459+L461+L465</f>
        <v>0</v>
      </c>
      <c r="M466" s="32" t="n">
        <f aca="false">M450+M457+M459+M461+M465</f>
        <v>-19043.9715296233</v>
      </c>
      <c r="N466" s="32" t="n">
        <f aca="false">N450+N457+N459+N461+N465</f>
        <v>-8317.9822260274</v>
      </c>
      <c r="O466" s="32" t="n">
        <f aca="false">O450+O457+O459+O461+O465</f>
        <v>-3110.4310678956</v>
      </c>
      <c r="P466" s="32" t="n">
        <f aca="false">P450+P457+P459+P461+P465</f>
        <v>4911.50835276352</v>
      </c>
      <c r="Q466" s="32" t="n">
        <f aca="false">Q450+Q457+Q459+Q461+Q465</f>
        <v>7416.71202629414</v>
      </c>
      <c r="R466" s="32" t="n">
        <f aca="false">R450+R457+R459+R461+R465</f>
        <v>4931.3263973618</v>
      </c>
      <c r="S466" s="32" t="n">
        <f aca="false">S450+S457+S459+S461+S465</f>
        <v>4938.84464646554</v>
      </c>
      <c r="T466" s="32" t="n">
        <f aca="false">T450+T457+T459+T461+T465</f>
        <v>4944.67495208705</v>
      </c>
      <c r="U466" s="32" t="n">
        <f aca="false">U450+U457+U459+U461+U465</f>
        <v>4948.7431075709</v>
      </c>
      <c r="V466" s="32" t="n">
        <f aca="false">V450+V457+V459+V461+V465</f>
        <v>4950.97184463988</v>
      </c>
      <c r="W466" s="32" t="n">
        <f aca="false">W450+W457+W459+W461+W465</f>
        <v>4951.28069888825</v>
      </c>
      <c r="X466" s="32" t="n">
        <f aca="false">X450+X457+X459+X461+X465</f>
        <v>4949.58586902059</v>
      </c>
      <c r="Y466" s="32" t="n">
        <f aca="false">Y450+Y457+Y459+Y461+Y465</f>
        <v>4945.80006953527</v>
      </c>
      <c r="Z466" s="32" t="n">
        <f aca="false">Z450+Z457+Z459+Z461+Z465</f>
        <v>4939.8323765366</v>
      </c>
      <c r="AA466" s="32" t="n">
        <f aca="false">AA450+AA457+AA459+AA461+AA465</f>
        <v>4931.58806634421</v>
      </c>
      <c r="AB466" s="32" t="n">
        <f aca="false">AB450+AB457+AB459+AB461+AB465</f>
        <v>4920.96844655218</v>
      </c>
      <c r="AC466" s="32" t="n">
        <f aca="false">AC450+AC457+AC459+AC461+AC465</f>
        <v>4907.870679173</v>
      </c>
      <c r="AD466" s="32" t="n">
        <f aca="false">AD450+AD457+AD459+AD461+AD465</f>
        <v>4892.18759548389</v>
      </c>
      <c r="AE466" s="32" t="n">
        <f aca="false">AE450+AE457+AE459+AE461+AE465</f>
        <v>9539.06884102607</v>
      </c>
      <c r="AF466" s="32" t="n">
        <f aca="false">AF450+AF457+AF459+AF461+AF465</f>
        <v>9552.86477726406</v>
      </c>
      <c r="AG466" s="32" t="n">
        <f aca="false">AG450+AG457+AG459+AG461+AG465</f>
        <v>9565.47539504115</v>
      </c>
      <c r="AH466" s="32" t="n">
        <f aca="false">AH450+AH457+AH459+AH461+AH465</f>
        <v>9576.86164437914</v>
      </c>
      <c r="AI466" s="32" t="n">
        <f aca="false">AI450+AI457+AI459+AI461+AI465</f>
        <v>9318.72330571574</v>
      </c>
      <c r="AJ466" s="32" t="n">
        <f aca="false">AJ450+AJ457+AJ459+AJ461+AJ465</f>
        <v>9059.27940709287</v>
      </c>
      <c r="AK466" s="32" t="n">
        <f aca="false">AK450+AK457+AK459+AK461+AK465</f>
        <v>9066.74790305173</v>
      </c>
      <c r="AL466" s="32" t="n">
        <f aca="false">AL450+AL457+AL459+AL461+AL465</f>
        <v>9072.8253528883</v>
      </c>
      <c r="AM466" s="32" t="n">
        <f aca="false">AM450+AM457+AM459+AM461+AM465</f>
        <v>9077.46733592206</v>
      </c>
      <c r="AN466" s="32" t="n">
        <f aca="false">AN450+AN457+AN459+AN461+AN465</f>
        <v>9080.62827595824</v>
      </c>
      <c r="AO466" s="32" t="n">
        <f aca="false">AO450+AO457+AO459+AO461+AO465</f>
        <v>9082.26141259599</v>
      </c>
      <c r="AP466" s="32" t="n">
        <f aca="false">AP450+AP457+AP459+AP461+AP465</f>
        <v>9082.31877183154</v>
      </c>
      <c r="AQ466" s="32" t="n">
        <f aca="false">AQ450+AQ457+AQ459+AQ461+AQ465</f>
        <v>9080.75113593939</v>
      </c>
      <c r="AR466" s="32" t="n">
        <f aca="false">AR450+AR457+AR459+AR461+AR465</f>
        <v>9077.50801261365</v>
      </c>
      <c r="AS466" s="32" t="n">
        <f aca="false">AS450+AS457+AS459+AS461+AS465</f>
        <v>4536.26880167564</v>
      </c>
      <c r="AT466" s="32" t="n">
        <f aca="false">AT450+AT457+AT459+AT461+AT465</f>
        <v>0</v>
      </c>
      <c r="AU466" s="32" t="n">
        <f aca="false">AU450+AU457+AU459+AU461+AU465</f>
        <v>0</v>
      </c>
      <c r="AV466" s="32" t="n">
        <f aca="false">AV450+AV457+AV459+AV461+AV465</f>
        <v>0</v>
      </c>
      <c r="AW466" s="32" t="n">
        <f aca="false">AW450+AW457+AW459+AW461+AW465</f>
        <v>0</v>
      </c>
    </row>
    <row r="467" customFormat="false" ht="14.25" hidden="false" customHeight="false" outlineLevel="0" collapsed="false">
      <c r="C467" s="6" t="s">
        <v>334</v>
      </c>
      <c r="D467" s="2" t="s">
        <v>3</v>
      </c>
      <c r="H467" s="47" t="n">
        <f aca="false">MIN(J467:AW467)</f>
        <v>2.04864170303641</v>
      </c>
      <c r="J467" s="47" t="str">
        <f aca="false">IF(J461&lt;0,-(J449+J465)/J461,"")</f>
        <v/>
      </c>
      <c r="K467" s="47" t="str">
        <f aca="false">IF(K461&lt;0,-(K449+K465)/K461,"")</f>
        <v/>
      </c>
      <c r="L467" s="47" t="str">
        <f aca="false">IF(L461&lt;0,-(L449+L465)/L461,"")</f>
        <v/>
      </c>
      <c r="M467" s="47" t="str">
        <f aca="false">IF(M461&lt;0,-(M449+M465)/M461,"")</f>
        <v/>
      </c>
      <c r="N467" s="47" t="str">
        <f aca="false">IF(N461&lt;0,-(N449+N465)/N461,"")</f>
        <v/>
      </c>
      <c r="O467" s="47" t="n">
        <f aca="false">IF(O461&lt;0,-(O449+O465)/O461,"")</f>
        <v>3.93125180035084</v>
      </c>
      <c r="P467" s="47" t="n">
        <f aca="false">IF(P461&lt;0,-(P449+P465)/P461,"")</f>
        <v>2.05278311246159</v>
      </c>
      <c r="Q467" s="47" t="n">
        <f aca="false">IF(Q461&lt;0,-(Q449+Q465)/Q461,"")</f>
        <v>2.05507304325205</v>
      </c>
      <c r="R467" s="47" t="n">
        <f aca="false">IF(R461&lt;0,-(R449+R465)/R461,"")</f>
        <v>2.05703111555484</v>
      </c>
      <c r="S467" s="47" t="n">
        <f aca="false">IF(S461&lt;0,-(S449+S465)/S461,"")</f>
        <v>2.05864265423567</v>
      </c>
      <c r="T467" s="47" t="n">
        <f aca="false">IF(T461&lt;0,-(T449+T465)/T461,"")</f>
        <v>2.05989238178533</v>
      </c>
      <c r="U467" s="47" t="n">
        <f aca="false">IF(U461&lt;0,-(U449+U465)/U461,"")</f>
        <v>2.06076439198762</v>
      </c>
      <c r="V467" s="47" t="n">
        <f aca="false">IF(V461&lt;0,-(V449+V465)/V461,"")</f>
        <v>2.06124212236693</v>
      </c>
      <c r="W467" s="47" t="n">
        <f aca="false">IF(W461&lt;0,-(W449+W465)/W461,"")</f>
        <v>2.06130832535663</v>
      </c>
      <c r="X467" s="47" t="n">
        <f aca="false">IF(X461&lt;0,-(X449+X465)/X461,"")</f>
        <v>2.06094503812692</v>
      </c>
      <c r="Y467" s="47" t="n">
        <f aca="false">IF(Y461&lt;0,-(Y449+Y465)/Y461,"")</f>
        <v>2.06013355100748</v>
      </c>
      <c r="Z467" s="47" t="n">
        <f aca="false">IF(Z461&lt;0,-(Z449+Z465)/Z461,"")</f>
        <v>2.05885437443724</v>
      </c>
      <c r="AA467" s="47" t="n">
        <f aca="false">IF(AA461&lt;0,-(AA449+AA465)/AA461,"")</f>
        <v>2.05708720437032</v>
      </c>
      <c r="AB467" s="47" t="n">
        <f aca="false">IF(AB461&lt;0,-(AB449+AB465)/AB461,"")</f>
        <v>2.05481088606344</v>
      </c>
      <c r="AC467" s="47" t="n">
        <f aca="false">IF(AC461&lt;0,-(AC449+AC465)/AC461,"")</f>
        <v>2.05200337616681</v>
      </c>
      <c r="AD467" s="47" t="n">
        <f aca="false">IF(AD461&lt;0,-(AD449+AD465)/AD461,"")</f>
        <v>2.04864170303641</v>
      </c>
      <c r="AE467" s="47" t="str">
        <f aca="false">IF(AE461&lt;0,-(AE449+AE465)/AE461,"")</f>
        <v/>
      </c>
      <c r="AF467" s="47" t="str">
        <f aca="false">IF(AF461&lt;0,-(AF449+AF465)/AF461,"")</f>
        <v/>
      </c>
      <c r="AG467" s="47" t="str">
        <f aca="false">IF(AG461&lt;0,-(AG449+AG465)/AG461,"")</f>
        <v/>
      </c>
      <c r="AH467" s="47" t="str">
        <f aca="false">IF(AH461&lt;0,-(AH449+AH465)/AH461,"")</f>
        <v/>
      </c>
      <c r="AI467" s="47" t="str">
        <f aca="false">IF(AI461&lt;0,-(AI449+AI465)/AI461,"")</f>
        <v/>
      </c>
      <c r="AJ467" s="47" t="str">
        <f aca="false">IF(AJ461&lt;0,-(AJ449+AJ465)/AJ461,"")</f>
        <v/>
      </c>
      <c r="AK467" s="47" t="str">
        <f aca="false">IF(AK461&lt;0,-(AK449+AK465)/AK461,"")</f>
        <v/>
      </c>
      <c r="AL467" s="47" t="str">
        <f aca="false">IF(AL461&lt;0,-(AL449+AL465)/AL461,"")</f>
        <v/>
      </c>
      <c r="AM467" s="47" t="str">
        <f aca="false">IF(AM461&lt;0,-(AM449+AM465)/AM461,"")</f>
        <v/>
      </c>
      <c r="AN467" s="47" t="str">
        <f aca="false">IF(AN461&lt;0,-(AN449+AN465)/AN461,"")</f>
        <v/>
      </c>
      <c r="AO467" s="47" t="str">
        <f aca="false">IF(AO461&lt;0,-(AO449+AO465)/AO461,"")</f>
        <v/>
      </c>
      <c r="AP467" s="47" t="str">
        <f aca="false">IF(AP461&lt;0,-(AP449+AP465)/AP461,"")</f>
        <v/>
      </c>
      <c r="AQ467" s="47" t="str">
        <f aca="false">IF(AQ461&lt;0,-(AQ449+AQ465)/AQ461,"")</f>
        <v/>
      </c>
      <c r="AR467" s="47" t="str">
        <f aca="false">IF(AR461&lt;0,-(AR449+AR465)/AR461,"")</f>
        <v/>
      </c>
      <c r="AS467" s="47" t="str">
        <f aca="false">IF(AS461&lt;0,-(AS449+AS465)/AS461,"")</f>
        <v/>
      </c>
      <c r="AT467" s="47" t="str">
        <f aca="false">IF(AT461&lt;0,-(AT449+AT465)/AT461,"")</f>
        <v/>
      </c>
      <c r="AU467" s="47" t="str">
        <f aca="false">IF(AU461&lt;0,-(AU449+AU465)/AU461,"")</f>
        <v/>
      </c>
      <c r="AV467" s="47" t="str">
        <f aca="false">IF(AV461&lt;0,-(AV449+AV465)/AV461,"")</f>
        <v/>
      </c>
      <c r="AW467" s="47" t="str">
        <f aca="false">IF(AW461&lt;0,-(AW449+AW465)/AW461,"")</f>
        <v/>
      </c>
    </row>
    <row r="468" customFormat="false" ht="14.25" hidden="false" customHeight="false" outlineLevel="0" collapsed="false">
      <c r="C468" s="6" t="s">
        <v>335</v>
      </c>
      <c r="D468" s="2" t="s">
        <v>3</v>
      </c>
      <c r="J468" s="76" t="n">
        <f aca="false">(1+Discount_Rate)^((Inputs!$F$26-J$365)/Days_In_Year)</f>
        <v>1.41371255107938</v>
      </c>
      <c r="K468" s="76" t="n">
        <f aca="false">(1+Discount_Rate)^((Inputs!$F$26-K$365)/Days_In_Year)</f>
        <v>1.30899310285128</v>
      </c>
      <c r="L468" s="76" t="n">
        <f aca="false">(1+Discount_Rate)^((Inputs!$F$26-L$365)/Days_In_Year)</f>
        <v>1.21177511843915</v>
      </c>
      <c r="M468" s="76" t="n">
        <f aca="false">(1+Discount_Rate)^((Inputs!$F$26-M$365)/Days_In_Year)</f>
        <v>1.12201399855477</v>
      </c>
      <c r="N468" s="76" t="n">
        <f aca="false">(1+Discount_Rate)^((Inputs!$F$26-N$365)/Days_In_Year)</f>
        <v>1.03890185051367</v>
      </c>
      <c r="O468" s="76" t="n">
        <f aca="false">(1+Discount_Rate)^((Inputs!$F$26-O$365)/Days_In_Year)</f>
        <v>0.961946157883031</v>
      </c>
      <c r="P468" s="76" t="n">
        <f aca="false">(1+Discount_Rate)^((Inputs!$F$26-P$365)/Days_In_Year)</f>
        <v>0.890503102622714</v>
      </c>
      <c r="Q468" s="76" t="n">
        <f aca="false">(1+Discount_Rate)^((Inputs!$F$26-Q$365)/Days_In_Year)</f>
        <v>0.824539909835846</v>
      </c>
      <c r="R468" s="76" t="n">
        <f aca="false">(1+Discount_Rate)^((Inputs!$F$26-R$365)/Days_In_Year)</f>
        <v>0.763462879477635</v>
      </c>
      <c r="S468" s="76" t="n">
        <f aca="false">(1+Discount_Rate)^((Inputs!$F$26-S$365)/Days_In_Year)</f>
        <v>0.706910073590403</v>
      </c>
      <c r="T468" s="76" t="n">
        <f aca="false">(1+Discount_Rate)^((Inputs!$F$26-T$365)/Days_In_Year)</f>
        <v>0.654408366464987</v>
      </c>
      <c r="U468" s="76" t="n">
        <f aca="false">(1+Discount_Rate)^((Inputs!$F$26-U$365)/Days_In_Year)</f>
        <v>0.605933672652766</v>
      </c>
      <c r="V468" s="76" t="n">
        <f aca="false">(1+Discount_Rate)^((Inputs!$F$26-V$365)/Days_In_Year)</f>
        <v>0.561049696900709</v>
      </c>
      <c r="W468" s="76" t="n">
        <f aca="false">(1+Discount_Rate)^((Inputs!$F$26-W$365)/Days_In_Year)</f>
        <v>0.519490460093249</v>
      </c>
      <c r="X468" s="76" t="n">
        <f aca="false">(1+Discount_Rate)^((Inputs!$F$26-X$365)/Days_In_Year)</f>
        <v>0.480908274028566</v>
      </c>
      <c r="Y468" s="76" t="n">
        <f aca="false">(1+Discount_Rate)^((Inputs!$F$26-Y$365)/Days_In_Year)</f>
        <v>0.445285438915339</v>
      </c>
      <c r="Z468" s="76" t="n">
        <f aca="false">(1+Discount_Rate)^((Inputs!$F$26-Z$365)/Days_In_Year)</f>
        <v>0.412301332329018</v>
      </c>
      <c r="AA468" s="76" t="n">
        <f aca="false">(1+Discount_Rate)^((Inputs!$F$26-AA$365)/Days_In_Year)</f>
        <v>0.381760492897239</v>
      </c>
      <c r="AB468" s="76" t="n">
        <f aca="false">(1+Discount_Rate)^((Inputs!$F$26-AB$365)/Days_In_Year)</f>
        <v>0.353407413292154</v>
      </c>
      <c r="AC468" s="76" t="n">
        <f aca="false">(1+Discount_Rate)^((Inputs!$F$26-AC$365)/Days_In_Year)</f>
        <v>0.327229086381624</v>
      </c>
      <c r="AD468" s="76" t="n">
        <f aca="false">(1+Discount_Rate)^((Inputs!$F$26-AD$365)/Days_In_Year)</f>
        <v>0.3029898947978</v>
      </c>
      <c r="AE468" s="76" t="n">
        <f aca="false">(1+Discount_Rate)^((Inputs!$F$26-AE$365)/Days_In_Year)</f>
        <v>0.280546198886852</v>
      </c>
      <c r="AF468" s="76" t="n">
        <f aca="false">(1+Discount_Rate)^((Inputs!$F$26-AF$365)/Days_In_Year)</f>
        <v>0.259710232730228</v>
      </c>
      <c r="AG468" s="76" t="n">
        <f aca="false">(1+Discount_Rate)^((Inputs!$F$26-AG$365)/Days_In_Year)</f>
        <v>0.240472437713174</v>
      </c>
      <c r="AH468" s="76" t="n">
        <f aca="false">(1+Discount_Rate)^((Inputs!$F$26-AH$365)/Days_In_Year)</f>
        <v>0.222659664549235</v>
      </c>
      <c r="AI468" s="76" t="n">
        <f aca="false">(1+Discount_Rate)^((Inputs!$F$26-AI$365)/Days_In_Year)</f>
        <v>0.206166356064106</v>
      </c>
      <c r="AJ468" s="76" t="n">
        <f aca="false">(1+Discount_Rate)^((Inputs!$F$26-AJ$365)/Days_In_Year)</f>
        <v>0.190854527799705</v>
      </c>
      <c r="AK468" s="76" t="n">
        <f aca="false">(1+Discount_Rate)^((Inputs!$F$26-AK$365)/Days_In_Year)</f>
        <v>0.176717155370097</v>
      </c>
      <c r="AL468" s="76" t="n">
        <f aca="false">(1+Discount_Rate)^((Inputs!$F$26-AL$365)/Days_In_Year)</f>
        <v>0.163626995713053</v>
      </c>
      <c r="AM468" s="76" t="n">
        <f aca="false">(1+Discount_Rate)^((Inputs!$F$26-AM$365)/Days_In_Year)</f>
        <v>0.151506477512086</v>
      </c>
      <c r="AN468" s="76" t="n">
        <f aca="false">(1+Discount_Rate)^((Inputs!$F$26-AN$365)/Days_In_Year)</f>
        <v>0.140254199454224</v>
      </c>
      <c r="AO468" s="76" t="n">
        <f aca="false">(1+Discount_Rate)^((Inputs!$F$26-AO$365)/Days_In_Year)</f>
        <v>0.129864999494652</v>
      </c>
      <c r="AP468" s="76" t="n">
        <f aca="false">(1+Discount_Rate)^((Inputs!$F$26-AP$365)/Days_In_Year)</f>
        <v>0.120245369902455</v>
      </c>
      <c r="AQ468" s="76" t="n">
        <f aca="false">(1+Discount_Rate)^((Inputs!$F$26-AQ$365)/Days_In_Year)</f>
        <v>0.111338305465236</v>
      </c>
      <c r="AR468" s="76" t="n">
        <f aca="false">(1+Discount_Rate)^((Inputs!$F$26-AR$365)/Days_In_Year)</f>
        <v>0.103069288904634</v>
      </c>
      <c r="AS468" s="76" t="n">
        <f aca="false">(1+Discount_Rate)^((Inputs!$F$26-AS$365)/Days_In_Year)</f>
        <v>0.0954345267635496</v>
      </c>
      <c r="AT468" s="76" t="n">
        <f aca="false">(1+Discount_Rate)^((Inputs!$F$26-AT$365)/Days_In_Year)</f>
        <v>0.0883653025588422</v>
      </c>
      <c r="AU468" s="76" t="n">
        <f aca="false">(1+Discount_Rate)^((Inputs!$F$26-AU$365)/Days_In_Year)</f>
        <v>0.0818197245915205</v>
      </c>
      <c r="AV468" s="76" t="n">
        <f aca="false">(1+Discount_Rate)^((Inputs!$F$26-AV$365)/Days_In_Year)</f>
        <v>0.0757430319851068</v>
      </c>
      <c r="AW468" s="76" t="n">
        <f aca="false">(1+Discount_Rate)^((Inputs!$F$26-AW$365)/Days_In_Year)</f>
        <v>0.070132437023247</v>
      </c>
    </row>
    <row r="469" customFormat="false" ht="14.25" hidden="false" customHeight="false" outlineLevel="0" collapsed="false">
      <c r="C469" s="6" t="s">
        <v>336</v>
      </c>
      <c r="D469" s="2" t="s">
        <v>85</v>
      </c>
      <c r="H469" s="8" t="n">
        <f aca="false">SUM(J469:AW469)</f>
        <v>104814.283831267</v>
      </c>
      <c r="J469" s="8" t="n">
        <f aca="false">(J449+J454)*J468</f>
        <v>0</v>
      </c>
      <c r="K469" s="8" t="n">
        <f aca="false">(K449+K454)*K468</f>
        <v>0</v>
      </c>
      <c r="L469" s="8" t="n">
        <f aca="false">(L449+L454)*L468</f>
        <v>0</v>
      </c>
      <c r="M469" s="8" t="n">
        <f aca="false">(M449+M454)*M468</f>
        <v>0</v>
      </c>
      <c r="N469" s="8" t="n">
        <f aca="false">(N449+N454)*N468</f>
        <v>0</v>
      </c>
      <c r="O469" s="8" t="n">
        <f aca="false">(O449+O454)*O468</f>
        <v>4394.91746420691</v>
      </c>
      <c r="P469" s="8" t="n">
        <f aca="false">(P449+P454)*P468</f>
        <v>8189.07783922433</v>
      </c>
      <c r="Q469" s="8" t="n">
        <f aca="false">(Q449+Q454)*Q468</f>
        <v>7605.16558664922</v>
      </c>
      <c r="R469" s="8" t="n">
        <f aca="false">(R449+R454)*R468</f>
        <v>7062.28611717721</v>
      </c>
      <c r="S469" s="8" t="n">
        <f aca="false">(S449+S454)*S468</f>
        <v>6557.58571958384</v>
      </c>
      <c r="T469" s="8" t="n">
        <f aca="false">(T449+T454)*T468</f>
        <v>6087.12403118125</v>
      </c>
      <c r="U469" s="8" t="n">
        <f aca="false">(U449+U454)*U468</f>
        <v>5651.08694354077</v>
      </c>
      <c r="V469" s="8" t="n">
        <f aca="false">(V449+V454)*V468</f>
        <v>5245.78996717216</v>
      </c>
      <c r="W469" s="8" t="n">
        <f aca="false">(W449+W454)*W468</f>
        <v>4869.09023629193</v>
      </c>
      <c r="X469" s="8" t="n">
        <f aca="false">(X449+X454)*X468</f>
        <v>4518.0403054856</v>
      </c>
      <c r="Y469" s="8" t="n">
        <f aca="false">(Y449+Y454)*Y468</f>
        <v>4192.75751808886</v>
      </c>
      <c r="Z469" s="8" t="n">
        <f aca="false">(Z449+Z454)*Z468</f>
        <v>3890.48745264063</v>
      </c>
      <c r="AA469" s="8" t="n">
        <f aca="false">(AA449+AA454)*AA468</f>
        <v>3609.62186900423</v>
      </c>
      <c r="AB469" s="8" t="n">
        <f aca="false">(AB449+AB454)*AB468</f>
        <v>3347.95793004988</v>
      </c>
      <c r="AC469" s="8" t="n">
        <f aca="false">(AC449+AC454)*AC468</f>
        <v>3105.5656441151</v>
      </c>
      <c r="AD469" s="8" t="n">
        <f aca="false">(AD449+AD454)*AD468</f>
        <v>2880.38775889343</v>
      </c>
      <c r="AE469" s="8" t="n">
        <f aca="false">(AE449+AE454)*AE468</f>
        <v>2671.21796119028</v>
      </c>
      <c r="AF469" s="8" t="n">
        <f aca="false">(AF449+AF454)*AF468</f>
        <v>2476.41145365229</v>
      </c>
      <c r="AG469" s="8" t="n">
        <f aca="false">(AG449+AG454)*AG468</f>
        <v>2296.00607419449</v>
      </c>
      <c r="AH469" s="8" t="n">
        <f aca="false">(AH449+AH454)*AH468</f>
        <v>2128.46680863816</v>
      </c>
      <c r="AI469" s="8" t="n">
        <f aca="false">(AI449+AI454)*AI468</f>
        <v>1919.39519352865</v>
      </c>
      <c r="AJ469" s="8" t="n">
        <f aca="false">(AJ449+AJ454)*AJ468</f>
        <v>1729.0044934463</v>
      </c>
      <c r="AK469" s="8" t="n">
        <f aca="false">(AK449+AK454)*AK468</f>
        <v>1602.24989788509</v>
      </c>
      <c r="AL469" s="8" t="n">
        <f aca="false">(AL449+AL454)*AL468</f>
        <v>1484.55915512233</v>
      </c>
      <c r="AM469" s="8" t="n">
        <f aca="false">(AM449+AM454)*AM468</f>
        <v>1375.29510079657</v>
      </c>
      <c r="AN469" s="8" t="n">
        <f aca="false">(AN449+AN454)*AN468</f>
        <v>1273.59624938591</v>
      </c>
      <c r="AO469" s="8" t="n">
        <f aca="false">(AO449+AO454)*AO468</f>
        <v>1179.46787375707</v>
      </c>
      <c r="AP469" s="8" t="n">
        <f aca="false">(AP449+AP454)*AP468</f>
        <v>1092.1067802909</v>
      </c>
      <c r="AQ469" s="8" t="n">
        <f aca="false">(AQ449+AQ454)*AQ468</f>
        <v>1011.03544382701</v>
      </c>
      <c r="AR469" s="8" t="n">
        <f aca="false">(AR449+AR454)*AR468</f>
        <v>935.612295886202</v>
      </c>
      <c r="AS469" s="8" t="n">
        <f aca="false">(AS449+AS454)*AS468</f>
        <v>432.916666360168</v>
      </c>
      <c r="AT469" s="8" t="n">
        <f aca="false">(AT449+AT454)*AT468</f>
        <v>0</v>
      </c>
      <c r="AU469" s="8" t="n">
        <f aca="false">(AU449+AU454)*AU468</f>
        <v>0</v>
      </c>
      <c r="AV469" s="8" t="n">
        <f aca="false">(AV449+AV454)*AV468</f>
        <v>0</v>
      </c>
      <c r="AW469" s="8" t="n">
        <f aca="false">(AW449+AW454)*AW468</f>
        <v>0</v>
      </c>
    </row>
    <row r="470" customFormat="false" ht="14.25" hidden="false" customHeight="false" outlineLevel="0" collapsed="false">
      <c r="C470" s="1" t="s">
        <v>337</v>
      </c>
      <c r="D470" s="2" t="s">
        <v>85</v>
      </c>
      <c r="H470" s="32" t="n">
        <f aca="false">SUM(J470:AW470)</f>
        <v>28014.2245846914</v>
      </c>
      <c r="J470" s="32" t="n">
        <f aca="false">J435*(J425&lt;=0)+J430*($H469+$F$62+$F$63)</f>
        <v>0</v>
      </c>
      <c r="K470" s="32" t="n">
        <f aca="false">K435*(K425&lt;=0)+K430*($H469+$F$62+$F$63)</f>
        <v>0</v>
      </c>
      <c r="L470" s="32" t="n">
        <f aca="false">L435*(L425&lt;=0)+L430*($H469+$F$62+$F$63)</f>
        <v>0</v>
      </c>
      <c r="M470" s="32" t="n">
        <f aca="false">M435*(M425&lt;=0)+M430*($H469+$F$62+$F$63)</f>
        <v>-29757.5797945206</v>
      </c>
      <c r="N470" s="32" t="n">
        <f aca="false">N435*(N425&lt;=0)+N430*($H469+$F$62+$F$63)</f>
        <v>-31358</v>
      </c>
      <c r="O470" s="32" t="n">
        <f aca="false">O435*(O425&lt;=0)+O430*($H469+$F$62+$F$63)</f>
        <v>89129.804379212</v>
      </c>
      <c r="P470" s="32" t="n">
        <f aca="false">P435*(P425&lt;=0)+P430*($H469+$F$62+$F$63)</f>
        <v>0</v>
      </c>
      <c r="Q470" s="32" t="n">
        <f aca="false">Q435*(Q425&lt;=0)+Q430*($H469+$F$62+$F$63)</f>
        <v>0</v>
      </c>
      <c r="R470" s="32" t="n">
        <f aca="false">R435*(R425&lt;=0)+R430*($H469+$F$62+$F$63)</f>
        <v>0</v>
      </c>
      <c r="S470" s="32" t="n">
        <f aca="false">S435*(S425&lt;=0)+S430*($H469+$F$62+$F$63)</f>
        <v>0</v>
      </c>
      <c r="T470" s="32" t="n">
        <f aca="false">T435*(T425&lt;=0)+T430*($H469+$F$62+$F$63)</f>
        <v>0</v>
      </c>
      <c r="U470" s="32" t="n">
        <f aca="false">U435*(U425&lt;=0)+U430*($H469+$F$62+$F$63)</f>
        <v>0</v>
      </c>
      <c r="V470" s="32" t="n">
        <f aca="false">V435*(V425&lt;=0)+V430*($H469+$F$62+$F$63)</f>
        <v>0</v>
      </c>
      <c r="W470" s="32" t="n">
        <f aca="false">W435*(W425&lt;=0)+W430*($H469+$F$62+$F$63)</f>
        <v>0</v>
      </c>
      <c r="X470" s="32" t="n">
        <f aca="false">X435*(X425&lt;=0)+X430*($H469+$F$62+$F$63)</f>
        <v>0</v>
      </c>
      <c r="Y470" s="32" t="n">
        <f aca="false">Y435*(Y425&lt;=0)+Y430*($H469+$F$62+$F$63)</f>
        <v>0</v>
      </c>
      <c r="Z470" s="32" t="n">
        <f aca="false">Z435*(Z425&lt;=0)+Z430*($H469+$F$62+$F$63)</f>
        <v>0</v>
      </c>
      <c r="AA470" s="32" t="n">
        <f aca="false">AA435*(AA425&lt;=0)+AA430*($H469+$F$62+$F$63)</f>
        <v>0</v>
      </c>
      <c r="AB470" s="32" t="n">
        <f aca="false">AB435*(AB425&lt;=0)+AB430*($H469+$F$62+$F$63)</f>
        <v>0</v>
      </c>
      <c r="AC470" s="32" t="n">
        <f aca="false">AC435*(AC425&lt;=0)+AC430*($H469+$F$62+$F$63)</f>
        <v>0</v>
      </c>
      <c r="AD470" s="32" t="n">
        <f aca="false">AD435*(AD425&lt;=0)+AD430*($H469+$F$62+$F$63)</f>
        <v>0</v>
      </c>
      <c r="AE470" s="32" t="n">
        <f aca="false">AE435*(AE425&lt;=0)+AE430*($H469+$F$62+$F$63)</f>
        <v>0</v>
      </c>
      <c r="AF470" s="32" t="n">
        <f aca="false">AF435*(AF425&lt;=0)+AF430*($H469+$F$62+$F$63)</f>
        <v>0</v>
      </c>
      <c r="AG470" s="32" t="n">
        <f aca="false">AG435*(AG425&lt;=0)+AG430*($H469+$F$62+$F$63)</f>
        <v>0</v>
      </c>
      <c r="AH470" s="32" t="n">
        <f aca="false">AH435*(AH425&lt;=0)+AH430*($H469+$F$62+$F$63)</f>
        <v>0</v>
      </c>
      <c r="AI470" s="32" t="n">
        <f aca="false">AI435*(AI425&lt;=0)+AI430*($H469+$F$62+$F$63)</f>
        <v>0</v>
      </c>
      <c r="AJ470" s="32" t="n">
        <f aca="false">AJ435*(AJ425&lt;=0)+AJ430*($H469+$F$62+$F$63)</f>
        <v>0</v>
      </c>
      <c r="AK470" s="32" t="n">
        <f aca="false">AK435*(AK425&lt;=0)+AK430*($H469+$F$62+$F$63)</f>
        <v>0</v>
      </c>
      <c r="AL470" s="32" t="n">
        <f aca="false">AL435*(AL425&lt;=0)+AL430*($H469+$F$62+$F$63)</f>
        <v>0</v>
      </c>
      <c r="AM470" s="32" t="n">
        <f aca="false">AM435*(AM425&lt;=0)+AM430*($H469+$F$62+$F$63)</f>
        <v>0</v>
      </c>
      <c r="AN470" s="32" t="n">
        <f aca="false">AN435*(AN425&lt;=0)+AN430*($H469+$F$62+$F$63)</f>
        <v>0</v>
      </c>
      <c r="AO470" s="32" t="n">
        <f aca="false">AO435*(AO425&lt;=0)+AO430*($H469+$F$62+$F$63)</f>
        <v>0</v>
      </c>
      <c r="AP470" s="32" t="n">
        <f aca="false">AP435*(AP425&lt;=0)+AP430*($H469+$F$62+$F$63)</f>
        <v>0</v>
      </c>
      <c r="AQ470" s="32" t="n">
        <f aca="false">AQ435*(AQ425&lt;=0)+AQ430*($H469+$F$62+$F$63)</f>
        <v>0</v>
      </c>
      <c r="AR470" s="32" t="n">
        <f aca="false">AR435*(AR425&lt;=0)+AR430*($H469+$F$62+$F$63)</f>
        <v>0</v>
      </c>
      <c r="AS470" s="32" t="n">
        <f aca="false">AS435*(AS425&lt;=0)+AS430*($H469+$F$62+$F$63)</f>
        <v>0</v>
      </c>
      <c r="AT470" s="32" t="n">
        <f aca="false">AT435*(AT425&lt;=0)+AT430*($H469+$F$62+$F$63)</f>
        <v>0</v>
      </c>
      <c r="AU470" s="32" t="n">
        <f aca="false">AU435*(AU425&lt;=0)+AU430*($H469+$F$62+$F$63)</f>
        <v>0</v>
      </c>
      <c r="AV470" s="32" t="n">
        <f aca="false">AV435*(AV425&lt;=0)+AV430*($H469+$F$62+$F$63)</f>
        <v>0</v>
      </c>
      <c r="AW470" s="32" t="n">
        <f aca="false">AW435*(AW425&lt;=0)+AW430*($H469+$F$62+$F$63)</f>
        <v>0</v>
      </c>
    </row>
    <row r="471" customFormat="false" ht="14.25" hidden="false" customHeight="false" outlineLevel="0" collapsed="false">
      <c r="C471" s="41" t="s">
        <v>338</v>
      </c>
      <c r="D471" s="42"/>
      <c r="E471" s="43"/>
      <c r="F471" s="43"/>
      <c r="G471" s="43"/>
      <c r="H471" s="43"/>
    </row>
    <row r="472" customFormat="false" ht="14.25" hidden="false" customHeight="false" outlineLevel="0" collapsed="false">
      <c r="C472" s="6" t="s">
        <v>339</v>
      </c>
      <c r="D472" s="2" t="s">
        <v>85</v>
      </c>
      <c r="H472" s="8"/>
      <c r="J472" s="8" t="n">
        <f aca="false">(I472*(1+Rate_Cash)-SUMPRODUCT($F346:$F351*$N346:$N351*(YEAR($K346:$K351)=J364)))*(J365&lt;$F190)*$F21</f>
        <v>0</v>
      </c>
      <c r="K472" s="8" t="n">
        <f aca="false">(J472*(1+Rate_Cash)-SUMPRODUCT($F346:$F351*$N346:$N351*(YEAR($K346:$K351)=K364)))*(K365&lt;$F190)*$F21</f>
        <v>0</v>
      </c>
      <c r="L472" s="8" t="n">
        <f aca="false">(K472*(1+Rate_Cash)-SUMPRODUCT($F346:$F351*$N346:$N351*(YEAR($K346:$K351)=L364)))*(L365&lt;$F190)*$F21</f>
        <v>0</v>
      </c>
      <c r="M472" s="8" t="n">
        <f aca="false">(L472*(1+Rate_Cash)-SUMPRODUCT($F346:$F351*$N346:$N351*(YEAR($K346:$K351)=M364)))*(M365&lt;$F190)*$F21</f>
        <v>0</v>
      </c>
      <c r="N472" s="8" t="n">
        <f aca="false">(M472*(1+Rate_Cash)-SUMPRODUCT($F346:$F351*$N346:$N351*(YEAR($K346:$K351)=N364)))*(N365&lt;$F190)*$F21</f>
        <v>0</v>
      </c>
      <c r="O472" s="8" t="n">
        <f aca="false">(N472*(1+Rate_Cash)-SUMPRODUCT($F346:$F351*$N346:$N351*(YEAR($K346:$K351)=O364)))*(O365&lt;$F190)*$F21</f>
        <v>0</v>
      </c>
      <c r="P472" s="8" t="n">
        <f aca="false">(O472*(1+Rate_Cash)-SUMPRODUCT($F346:$F351*$N346:$N351*(YEAR($K346:$K351)=P364)))*(P365&lt;$F190)*$F21</f>
        <v>0</v>
      </c>
      <c r="Q472" s="8" t="n">
        <f aca="false">(P472*(1+Rate_Cash)-SUMPRODUCT($F346:$F351*$N346:$N351*(YEAR($K346:$K351)=Q364)))*(Q365&lt;$F190)*$F21</f>
        <v>0</v>
      </c>
      <c r="R472" s="8" t="n">
        <f aca="false">(Q472*(1+Rate_Cash)-SUMPRODUCT($F346:$F351*$N346:$N351*(YEAR($K346:$K351)=R364)))*(R365&lt;$F190)*$F21</f>
        <v>0</v>
      </c>
      <c r="S472" s="8" t="n">
        <f aca="false">(R472*(1+Rate_Cash)-SUMPRODUCT($F346:$F351*$N346:$N351*(YEAR($K346:$K351)=S364)))*(S365&lt;$F190)*$F21</f>
        <v>0</v>
      </c>
      <c r="T472" s="8" t="n">
        <f aca="false">(S472*(1+Rate_Cash)-SUMPRODUCT($F346:$F351*$N346:$N351*(YEAR($K346:$K351)=T364)))*(T365&lt;$F190)*$F21</f>
        <v>0</v>
      </c>
      <c r="U472" s="8" t="n">
        <f aca="false">(T472*(1+Rate_Cash)-SUMPRODUCT($F346:$F351*$N346:$N351*(YEAR($K346:$K351)=U364)))*(U365&lt;$F190)*$F21</f>
        <v>0</v>
      </c>
      <c r="V472" s="8" t="n">
        <f aca="false">(U472*(1+Rate_Cash)-SUMPRODUCT($F346:$F351*$N346:$N351*(YEAR($K346:$K351)=V364)))*(V365&lt;$F190)*$F21</f>
        <v>0</v>
      </c>
      <c r="W472" s="8" t="n">
        <f aca="false">(V472*(1+Rate_Cash)-SUMPRODUCT($F346:$F351*$N346:$N351*(YEAR($K346:$K351)=W364)))*(W365&lt;$F190)*$F21</f>
        <v>0</v>
      </c>
      <c r="X472" s="8" t="n">
        <f aca="false">(W472*(1+Rate_Cash)-SUMPRODUCT($F346:$F351*$N346:$N351*(YEAR($K346:$K351)=X364)))*(X365&lt;$F190)*$F21</f>
        <v>0</v>
      </c>
      <c r="Y472" s="8" t="n">
        <f aca="false">(X472*(1+Rate_Cash)-SUMPRODUCT($F346:$F351*$N346:$N351*(YEAR($K346:$K351)=Y364)))*(Y365&lt;$F190)*$F21</f>
        <v>0</v>
      </c>
      <c r="Z472" s="8" t="n">
        <f aca="false">(Y472*(1+Rate_Cash)-SUMPRODUCT($F346:$F351*$N346:$N351*(YEAR($K346:$K351)=Z364)))*(Z365&lt;$F190)*$F21</f>
        <v>0</v>
      </c>
      <c r="AA472" s="8" t="n">
        <f aca="false">(Z472*(1+Rate_Cash)-SUMPRODUCT($F346:$F351*$N346:$N351*(YEAR($K346:$K351)=AA364)))*(AA365&lt;$F190)*$F21</f>
        <v>0</v>
      </c>
      <c r="AB472" s="8" t="n">
        <f aca="false">(AA472*(1+Rate_Cash)-SUMPRODUCT($F346:$F351*$N346:$N351*(YEAR($K346:$K351)=AB364)))*(AB365&lt;$F190)*$F21</f>
        <v>0</v>
      </c>
      <c r="AC472" s="8" t="n">
        <f aca="false">(AB472*(1+Rate_Cash)-SUMPRODUCT($F346:$F351*$N346:$N351*(YEAR($K346:$K351)=AC364)))*(AC365&lt;$F190)*$F21</f>
        <v>0</v>
      </c>
      <c r="AD472" s="8" t="n">
        <f aca="false">(AC472*(1+Rate_Cash)-SUMPRODUCT($F346:$F351*$N346:$N351*(YEAR($K346:$K351)=AD364)))*(AD365&lt;$F190)*$F21</f>
        <v>0</v>
      </c>
      <c r="AE472" s="8" t="n">
        <f aca="false">(AD472*(1+Rate_Cash)-SUMPRODUCT($F346:$F351*$N346:$N351*(YEAR($K346:$K351)=AE364)))*(AE365&lt;$F190)*$F21</f>
        <v>0</v>
      </c>
      <c r="AF472" s="8" t="n">
        <f aca="false">(AE472*(1+Rate_Cash)-SUMPRODUCT($F346:$F351*$N346:$N351*(YEAR($K346:$K351)=AF364)))*(AF365&lt;$F190)*$F21</f>
        <v>0</v>
      </c>
      <c r="AG472" s="8" t="n">
        <f aca="false">(AF472*(1+Rate_Cash)-SUMPRODUCT($F346:$F351*$N346:$N351*(YEAR($K346:$K351)=AG364)))*(AG365&lt;$F190)*$F21</f>
        <v>0</v>
      </c>
      <c r="AH472" s="8" t="n">
        <f aca="false">(AG472*(1+Rate_Cash)-SUMPRODUCT($F346:$F351*$N346:$N351*(YEAR($K346:$K351)=AH364)))*(AH365&lt;$F190)*$F21</f>
        <v>0</v>
      </c>
      <c r="AI472" s="8" t="n">
        <f aca="false">(AH472*(1+Rate_Cash)-SUMPRODUCT($F346:$F351*$N346:$N351*(YEAR($K346:$K351)=AI364)))*(AI365&lt;$F190)*$F21</f>
        <v>0</v>
      </c>
      <c r="AJ472" s="8" t="n">
        <f aca="false">(AI472*(1+Rate_Cash)-SUMPRODUCT($F346:$F351*$N346:$N351*(YEAR($K346:$K351)=AJ364)))*(AJ365&lt;$F190)*$F21</f>
        <v>0</v>
      </c>
      <c r="AK472" s="8" t="n">
        <f aca="false">(AJ472*(1+Rate_Cash)-SUMPRODUCT($F346:$F351*$N346:$N351*(YEAR($K346:$K351)=AK364)))*(AK365&lt;$F190)*$F21</f>
        <v>0</v>
      </c>
      <c r="AL472" s="8" t="n">
        <f aca="false">(AK472*(1+Rate_Cash)-SUMPRODUCT($F346:$F351*$N346:$N351*(YEAR($K346:$K351)=AL364)))*(AL365&lt;$F190)*$F21</f>
        <v>0</v>
      </c>
      <c r="AM472" s="8" t="n">
        <f aca="false">(AL472*(1+Rate_Cash)-SUMPRODUCT($F346:$F351*$N346:$N351*(YEAR($K346:$K351)=AM364)))*(AM365&lt;$F190)*$F21</f>
        <v>0</v>
      </c>
      <c r="AN472" s="8" t="n">
        <f aca="false">(AM472*(1+Rate_Cash)-SUMPRODUCT($F346:$F351*$N346:$N351*(YEAR($K346:$K351)=AN364)))*(AN365&lt;$F190)*$F21</f>
        <v>0</v>
      </c>
      <c r="AO472" s="8" t="n">
        <f aca="false">(AN472*(1+Rate_Cash)-SUMPRODUCT($F346:$F351*$N346:$N351*(YEAR($K346:$K351)=AO364)))*(AO365&lt;$F190)*$F21</f>
        <v>0</v>
      </c>
      <c r="AP472" s="8" t="n">
        <f aca="false">(AO472*(1+Rate_Cash)-SUMPRODUCT($F346:$F351*$N346:$N351*(YEAR($K346:$K351)=AP364)))*(AP365&lt;$F190)*$F21</f>
        <v>0</v>
      </c>
      <c r="AQ472" s="8" t="n">
        <f aca="false">(AP472*(1+Rate_Cash)-SUMPRODUCT($F346:$F351*$N346:$N351*(YEAR($K346:$K351)=AQ364)))*(AQ365&lt;$F190)*$F21</f>
        <v>0</v>
      </c>
      <c r="AR472" s="8" t="n">
        <f aca="false">(AQ472*(1+Rate_Cash)-SUMPRODUCT($F346:$F351*$N346:$N351*(YEAR($K346:$K351)=AR364)))*(AR365&lt;$F190)*$F21</f>
        <v>0</v>
      </c>
      <c r="AS472" s="8" t="n">
        <f aca="false">(AR472*(1+Rate_Cash)-SUMPRODUCT($F346:$F351*$N346:$N351*(YEAR($K346:$K351)=AS364)))*(AS365&lt;$F190)*$F21</f>
        <v>0</v>
      </c>
      <c r="AT472" s="8" t="n">
        <f aca="false">(AS472*(1+Rate_Cash)-SUMPRODUCT($F346:$F351*$N346:$N351*(YEAR($K346:$K351)=AT364)))*(AT365&lt;$F190)*$F21</f>
        <v>0</v>
      </c>
      <c r="AU472" s="8" t="n">
        <f aca="false">(AT472*(1+Rate_Cash)-SUMPRODUCT($F346:$F351*$N346:$N351*(YEAR($K346:$K351)=AU364)))*(AU365&lt;$F190)*$F21</f>
        <v>0</v>
      </c>
      <c r="AV472" s="8" t="n">
        <f aca="false">(AU472*(1+Rate_Cash)-SUMPRODUCT($F346:$F351*$N346:$N351*(YEAR($K346:$K351)=AV364)))*(AV365&lt;$F190)*$F21</f>
        <v>0</v>
      </c>
      <c r="AW472" s="8" t="n">
        <f aca="false">(AV472*(1+Rate_Cash)-SUMPRODUCT($F346:$F351*$N346:$N351*(YEAR($K346:$K351)=AW364)))*(AW365&lt;$F190)*$F21</f>
        <v>0</v>
      </c>
    </row>
    <row r="473" customFormat="false" ht="14.25" hidden="false" customHeight="false" outlineLevel="0" collapsed="false">
      <c r="C473" s="6" t="s">
        <v>340</v>
      </c>
      <c r="D473" s="2" t="s">
        <v>85</v>
      </c>
      <c r="H473" s="8"/>
      <c r="J473" s="8" t="n">
        <f aca="false">(I473*(1+Rate_Devex)-SUMPRODUCT($F352:$F353*$N352:$N353*(YEAR($K352:$K353)=J364)))*(J365&lt;$F190)*$F21</f>
        <v>0</v>
      </c>
      <c r="K473" s="8" t="n">
        <f aca="false">(J473*(1+Rate_Devex)-SUMPRODUCT($F352:$F353*$N352:$N353*(YEAR($K352:$K353)=K364)))*(K365&lt;$F190)*$F21</f>
        <v>0</v>
      </c>
      <c r="L473" s="8" t="n">
        <f aca="false">(K473*(1+Rate_Devex)-SUMPRODUCT($F352:$F353*$N352:$N353*(YEAR($K352:$K353)=L364)))*(L365&lt;$F190)*$F21</f>
        <v>0</v>
      </c>
      <c r="M473" s="8" t="n">
        <f aca="false">(L473*(1+Rate_Devex)-SUMPRODUCT($F352:$F353*$N352:$N353*(YEAR($K352:$K353)=M364)))*(M365&lt;$F190)*$F21</f>
        <v>0</v>
      </c>
      <c r="N473" s="8" t="n">
        <f aca="false">(M473*(1+Rate_Devex)-SUMPRODUCT($F352:$F353*$N352:$N353*(YEAR($K352:$K353)=N364)))*(N365&lt;$F190)*$F21</f>
        <v>0</v>
      </c>
      <c r="O473" s="8" t="n">
        <f aca="false">(N473*(1+Rate_Devex)-SUMPRODUCT($F352:$F353*$N352:$N353*(YEAR($K352:$K353)=O364)))*(O365&lt;$F190)*$F21</f>
        <v>0</v>
      </c>
      <c r="P473" s="8" t="n">
        <f aca="false">(O473*(1+Rate_Devex)-SUMPRODUCT($F352:$F353*$N352:$N353*(YEAR($K352:$K353)=P364)))*(P365&lt;$F190)*$F21</f>
        <v>0</v>
      </c>
      <c r="Q473" s="8" t="n">
        <f aca="false">(P473*(1+Rate_Devex)-SUMPRODUCT($F352:$F353*$N352:$N353*(YEAR($K352:$K353)=Q364)))*(Q365&lt;$F190)*$F21</f>
        <v>0</v>
      </c>
      <c r="R473" s="8" t="n">
        <f aca="false">(Q473*(1+Rate_Devex)-SUMPRODUCT($F352:$F353*$N352:$N353*(YEAR($K352:$K353)=R364)))*(R365&lt;$F190)*$F21</f>
        <v>0</v>
      </c>
      <c r="S473" s="8" t="n">
        <f aca="false">(R473*(1+Rate_Devex)-SUMPRODUCT($F352:$F353*$N352:$N353*(YEAR($K352:$K353)=S364)))*(S365&lt;$F190)*$F21</f>
        <v>0</v>
      </c>
      <c r="T473" s="8" t="n">
        <f aca="false">(S473*(1+Rate_Devex)-SUMPRODUCT($F352:$F353*$N352:$N353*(YEAR($K352:$K353)=T364)))*(T365&lt;$F190)*$F21</f>
        <v>0</v>
      </c>
      <c r="U473" s="8" t="n">
        <f aca="false">(T473*(1+Rate_Devex)-SUMPRODUCT($F352:$F353*$N352:$N353*(YEAR($K352:$K353)=U364)))*(U365&lt;$F190)*$F21</f>
        <v>0</v>
      </c>
      <c r="V473" s="8" t="n">
        <f aca="false">(U473*(1+Rate_Devex)-SUMPRODUCT($F352:$F353*$N352:$N353*(YEAR($K352:$K353)=V364)))*(V365&lt;$F190)*$F21</f>
        <v>0</v>
      </c>
      <c r="W473" s="8" t="n">
        <f aca="false">(V473*(1+Rate_Devex)-SUMPRODUCT($F352:$F353*$N352:$N353*(YEAR($K352:$K353)=W364)))*(W365&lt;$F190)*$F21</f>
        <v>0</v>
      </c>
      <c r="X473" s="8" t="n">
        <f aca="false">(W473*(1+Rate_Devex)-SUMPRODUCT($F352:$F353*$N352:$N353*(YEAR($K352:$K353)=X364)))*(X365&lt;$F190)*$F21</f>
        <v>0</v>
      </c>
      <c r="Y473" s="8" t="n">
        <f aca="false">(X473*(1+Rate_Devex)-SUMPRODUCT($F352:$F353*$N352:$N353*(YEAR($K352:$K353)=Y364)))*(Y365&lt;$F190)*$F21</f>
        <v>0</v>
      </c>
      <c r="Z473" s="8" t="n">
        <f aca="false">(Y473*(1+Rate_Devex)-SUMPRODUCT($F352:$F353*$N352:$N353*(YEAR($K352:$K353)=Z364)))*(Z365&lt;$F190)*$F21</f>
        <v>0</v>
      </c>
      <c r="AA473" s="8" t="n">
        <f aca="false">(Z473*(1+Rate_Devex)-SUMPRODUCT($F352:$F353*$N352:$N353*(YEAR($K352:$K353)=AA364)))*(AA365&lt;$F190)*$F21</f>
        <v>0</v>
      </c>
      <c r="AB473" s="8" t="n">
        <f aca="false">(AA473*(1+Rate_Devex)-SUMPRODUCT($F352:$F353*$N352:$N353*(YEAR($K352:$K353)=AB364)))*(AB365&lt;$F190)*$F21</f>
        <v>0</v>
      </c>
      <c r="AC473" s="8" t="n">
        <f aca="false">(AB473*(1+Rate_Devex)-SUMPRODUCT($F352:$F353*$N352:$N353*(YEAR($K352:$K353)=AC364)))*(AC365&lt;$F190)*$F21</f>
        <v>0</v>
      </c>
      <c r="AD473" s="8" t="n">
        <f aca="false">(AC473*(1+Rate_Devex)-SUMPRODUCT($F352:$F353*$N352:$N353*(YEAR($K352:$K353)=AD364)))*(AD365&lt;$F190)*$F21</f>
        <v>0</v>
      </c>
      <c r="AE473" s="8" t="n">
        <f aca="false">(AD473*(1+Rate_Devex)-SUMPRODUCT($F352:$F353*$N352:$N353*(YEAR($K352:$K353)=AE364)))*(AE365&lt;$F190)*$F21</f>
        <v>0</v>
      </c>
      <c r="AF473" s="8" t="n">
        <f aca="false">(AE473*(1+Rate_Devex)-SUMPRODUCT($F352:$F353*$N352:$N353*(YEAR($K352:$K353)=AF364)))*(AF365&lt;$F190)*$F21</f>
        <v>0</v>
      </c>
      <c r="AG473" s="8" t="n">
        <f aca="false">(AF473*(1+Rate_Devex)-SUMPRODUCT($F352:$F353*$N352:$N353*(YEAR($K352:$K353)=AG364)))*(AG365&lt;$F190)*$F21</f>
        <v>0</v>
      </c>
      <c r="AH473" s="8" t="n">
        <f aca="false">(AG473*(1+Rate_Devex)-SUMPRODUCT($F352:$F353*$N352:$N353*(YEAR($K352:$K353)=AH364)))*(AH365&lt;$F190)*$F21</f>
        <v>0</v>
      </c>
      <c r="AI473" s="8" t="n">
        <f aca="false">(AH473*(1+Rate_Devex)-SUMPRODUCT($F352:$F353*$N352:$N353*(YEAR($K352:$K353)=AI364)))*(AI365&lt;$F190)*$F21</f>
        <v>0</v>
      </c>
      <c r="AJ473" s="8" t="n">
        <f aca="false">(AI473*(1+Rate_Devex)-SUMPRODUCT($F352:$F353*$N352:$N353*(YEAR($K352:$K353)=AJ364)))*(AJ365&lt;$F190)*$F21</f>
        <v>0</v>
      </c>
      <c r="AK473" s="8" t="n">
        <f aca="false">(AJ473*(1+Rate_Devex)-SUMPRODUCT($F352:$F353*$N352:$N353*(YEAR($K352:$K353)=AK364)))*(AK365&lt;$F190)*$F21</f>
        <v>0</v>
      </c>
      <c r="AL473" s="8" t="n">
        <f aca="false">(AK473*(1+Rate_Devex)-SUMPRODUCT($F352:$F353*$N352:$N353*(YEAR($K352:$K353)=AL364)))*(AL365&lt;$F190)*$F21</f>
        <v>0</v>
      </c>
      <c r="AM473" s="8" t="n">
        <f aca="false">(AL473*(1+Rate_Devex)-SUMPRODUCT($F352:$F353*$N352:$N353*(YEAR($K352:$K353)=AM364)))*(AM365&lt;$F190)*$F21</f>
        <v>0</v>
      </c>
      <c r="AN473" s="8" t="n">
        <f aca="false">(AM473*(1+Rate_Devex)-SUMPRODUCT($F352:$F353*$N352:$N353*(YEAR($K352:$K353)=AN364)))*(AN365&lt;$F190)*$F21</f>
        <v>0</v>
      </c>
      <c r="AO473" s="8" t="n">
        <f aca="false">(AN473*(1+Rate_Devex)-SUMPRODUCT($F352:$F353*$N352:$N353*(YEAR($K352:$K353)=AO364)))*(AO365&lt;$F190)*$F21</f>
        <v>0</v>
      </c>
      <c r="AP473" s="8" t="n">
        <f aca="false">(AO473*(1+Rate_Devex)-SUMPRODUCT($F352:$F353*$N352:$N353*(YEAR($K352:$K353)=AP364)))*(AP365&lt;$F190)*$F21</f>
        <v>0</v>
      </c>
      <c r="AQ473" s="8" t="n">
        <f aca="false">(AP473*(1+Rate_Devex)-SUMPRODUCT($F352:$F353*$N352:$N353*(YEAR($K352:$K353)=AQ364)))*(AQ365&lt;$F190)*$F21</f>
        <v>0</v>
      </c>
      <c r="AR473" s="8" t="n">
        <f aca="false">(AQ473*(1+Rate_Devex)-SUMPRODUCT($F352:$F353*$N352:$N353*(YEAR($K352:$K353)=AR364)))*(AR365&lt;$F190)*$F21</f>
        <v>0</v>
      </c>
      <c r="AS473" s="8" t="n">
        <f aca="false">(AR473*(1+Rate_Devex)-SUMPRODUCT($F352:$F353*$N352:$N353*(YEAR($K352:$K353)=AS364)))*(AS365&lt;$F190)*$F21</f>
        <v>0</v>
      </c>
      <c r="AT473" s="8" t="n">
        <f aca="false">(AS473*(1+Rate_Devex)-SUMPRODUCT($F352:$F353*$N352:$N353*(YEAR($K352:$K353)=AT364)))*(AT365&lt;$F190)*$F21</f>
        <v>0</v>
      </c>
      <c r="AU473" s="8" t="n">
        <f aca="false">(AT473*(1+Rate_Devex)-SUMPRODUCT($F352:$F353*$N352:$N353*(YEAR($K352:$K353)=AU364)))*(AU365&lt;$F190)*$F21</f>
        <v>0</v>
      </c>
      <c r="AV473" s="8" t="n">
        <f aca="false">(AU473*(1+Rate_Devex)-SUMPRODUCT($F352:$F353*$N352:$N353*(YEAR($K352:$K353)=AV364)))*(AV365&lt;$F190)*$F21</f>
        <v>0</v>
      </c>
      <c r="AW473" s="8" t="n">
        <f aca="false">(AV473*(1+Rate_Devex)-SUMPRODUCT($F352:$F353*$N352:$N353*(YEAR($K352:$K353)=AW364)))*(AW365&lt;$F190)*$F21</f>
        <v>0</v>
      </c>
    </row>
    <row r="474" customFormat="false" ht="14.25" hidden="false" customHeight="false" outlineLevel="0" collapsed="false">
      <c r="C474" s="6" t="s">
        <v>341</v>
      </c>
      <c r="D474" s="2" t="s">
        <v>85</v>
      </c>
      <c r="H474" s="8" t="n">
        <f aca="false">SUM(J474:AW474)</f>
        <v>0</v>
      </c>
      <c r="J474" s="8" t="n">
        <f aca="false">-SUMPRODUCT($F346:$F353*(YEAR($K346:$K353)=J364))*(J365&lt;$F190)*$F21</f>
        <v>0</v>
      </c>
      <c r="K474" s="8" t="n">
        <f aca="false">-SUMPRODUCT($F346:$F353*(YEAR($K346:$K353)=K364))*(K365&lt;$F190)*$F21</f>
        <v>0</v>
      </c>
      <c r="L474" s="8" t="n">
        <f aca="false">-SUMPRODUCT($F346:$F353*(YEAR($K346:$K353)=L364))*(L365&lt;$F190)*$F21</f>
        <v>0</v>
      </c>
      <c r="M474" s="8" t="n">
        <f aca="false">-SUMPRODUCT($F346:$F353*(YEAR($K346:$K353)=M364))*(M365&lt;$F190)*$F21</f>
        <v>-0</v>
      </c>
      <c r="N474" s="8" t="n">
        <f aca="false">-SUMPRODUCT($F346:$F353*(YEAR($K346:$K353)=N364))*(N365&lt;$F190)*$F21</f>
        <v>-0</v>
      </c>
      <c r="O474" s="8" t="n">
        <f aca="false">-SUMPRODUCT($F346:$F353*(YEAR($K346:$K353)=O364))*(O365&lt;$F190)*$F21</f>
        <v>-0</v>
      </c>
      <c r="P474" s="8" t="n">
        <f aca="false">-SUMPRODUCT($F346:$F353*(YEAR($K346:$K353)=P364))*(P365&lt;$F190)*$F21</f>
        <v>-0</v>
      </c>
      <c r="Q474" s="8" t="n">
        <f aca="false">-SUMPRODUCT($F346:$F353*(YEAR($K346:$K353)=Q364))*(Q365&lt;$F190)*$F21</f>
        <v>-0</v>
      </c>
      <c r="R474" s="8" t="n">
        <f aca="false">-SUMPRODUCT($F346:$F353*(YEAR($K346:$K353)=R364))*(R365&lt;$F190)*$F21</f>
        <v>-0</v>
      </c>
      <c r="S474" s="8" t="n">
        <f aca="false">-SUMPRODUCT($F346:$F353*(YEAR($K346:$K353)=S364))*(S365&lt;$F190)*$F21</f>
        <v>-0</v>
      </c>
      <c r="T474" s="8" t="n">
        <f aca="false">-SUMPRODUCT($F346:$F353*(YEAR($K346:$K353)=T364))*(T365&lt;$F190)*$F21</f>
        <v>-0</v>
      </c>
      <c r="U474" s="8" t="n">
        <f aca="false">-SUMPRODUCT($F346:$F353*(YEAR($K346:$K353)=U364))*(U365&lt;$F190)*$F21</f>
        <v>-0</v>
      </c>
      <c r="V474" s="8" t="n">
        <f aca="false">-SUMPRODUCT($F346:$F353*(YEAR($K346:$K353)=V364))*(V365&lt;$F190)*$F21</f>
        <v>-0</v>
      </c>
      <c r="W474" s="8" t="n">
        <f aca="false">-SUMPRODUCT($F346:$F353*(YEAR($K346:$K353)=W364))*(W365&lt;$F190)*$F21</f>
        <v>-0</v>
      </c>
      <c r="X474" s="8" t="n">
        <f aca="false">-SUMPRODUCT($F346:$F353*(YEAR($K346:$K353)=X364))*(X365&lt;$F190)*$F21</f>
        <v>-0</v>
      </c>
      <c r="Y474" s="8" t="n">
        <f aca="false">-SUMPRODUCT($F346:$F353*(YEAR($K346:$K353)=Y364))*(Y365&lt;$F190)*$F21</f>
        <v>-0</v>
      </c>
      <c r="Z474" s="8" t="n">
        <f aca="false">-SUMPRODUCT($F346:$F353*(YEAR($K346:$K353)=Z364))*(Z365&lt;$F190)*$F21</f>
        <v>-0</v>
      </c>
      <c r="AA474" s="8" t="n">
        <f aca="false">-SUMPRODUCT($F346:$F353*(YEAR($K346:$K353)=AA364))*(AA365&lt;$F190)*$F21</f>
        <v>-0</v>
      </c>
      <c r="AB474" s="8" t="n">
        <f aca="false">-SUMPRODUCT($F346:$F353*(YEAR($K346:$K353)=AB364))*(AB365&lt;$F190)*$F21</f>
        <v>-0</v>
      </c>
      <c r="AC474" s="8" t="n">
        <f aca="false">-SUMPRODUCT($F346:$F353*(YEAR($K346:$K353)=AC364))*(AC365&lt;$F190)*$F21</f>
        <v>-0</v>
      </c>
      <c r="AD474" s="8" t="n">
        <f aca="false">-SUMPRODUCT($F346:$F353*(YEAR($K346:$K353)=AD364))*(AD365&lt;$F190)*$F21</f>
        <v>-0</v>
      </c>
      <c r="AE474" s="8" t="n">
        <f aca="false">-SUMPRODUCT($F346:$F353*(YEAR($K346:$K353)=AE364))*(AE365&lt;$F190)*$F21</f>
        <v>-0</v>
      </c>
      <c r="AF474" s="8" t="n">
        <f aca="false">-SUMPRODUCT($F346:$F353*(YEAR($K346:$K353)=AF364))*(AF365&lt;$F190)*$F21</f>
        <v>-0</v>
      </c>
      <c r="AG474" s="8" t="n">
        <f aca="false">-SUMPRODUCT($F346:$F353*(YEAR($K346:$K353)=AG364))*(AG365&lt;$F190)*$F21</f>
        <v>-0</v>
      </c>
      <c r="AH474" s="8" t="n">
        <f aca="false">-SUMPRODUCT($F346:$F353*(YEAR($K346:$K353)=AH364))*(AH365&lt;$F190)*$F21</f>
        <v>-0</v>
      </c>
      <c r="AI474" s="8" t="n">
        <f aca="false">-SUMPRODUCT($F346:$F353*(YEAR($K346:$K353)=AI364))*(AI365&lt;$F190)*$F21</f>
        <v>-0</v>
      </c>
      <c r="AJ474" s="8" t="n">
        <f aca="false">-SUMPRODUCT($F346:$F353*(YEAR($K346:$K353)=AJ364))*(AJ365&lt;$F190)*$F21</f>
        <v>-0</v>
      </c>
      <c r="AK474" s="8" t="n">
        <f aca="false">-SUMPRODUCT($F346:$F353*(YEAR($K346:$K353)=AK364))*(AK365&lt;$F190)*$F21</f>
        <v>-0</v>
      </c>
      <c r="AL474" s="8" t="n">
        <f aca="false">-SUMPRODUCT($F346:$F353*(YEAR($K346:$K353)=AL364))*(AL365&lt;$F190)*$F21</f>
        <v>-0</v>
      </c>
      <c r="AM474" s="8" t="n">
        <f aca="false">-SUMPRODUCT($F346:$F353*(YEAR($K346:$K353)=AM364))*(AM365&lt;$F190)*$F21</f>
        <v>-0</v>
      </c>
      <c r="AN474" s="8" t="n">
        <f aca="false">-SUMPRODUCT($F346:$F353*(YEAR($K346:$K353)=AN364))*(AN365&lt;$F190)*$F21</f>
        <v>-0</v>
      </c>
      <c r="AO474" s="8" t="n">
        <f aca="false">-SUMPRODUCT($F346:$F353*(YEAR($K346:$K353)=AO364))*(AO365&lt;$F190)*$F21</f>
        <v>-0</v>
      </c>
      <c r="AP474" s="8" t="n">
        <f aca="false">-SUMPRODUCT($F346:$F353*(YEAR($K346:$K353)=AP364))*(AP365&lt;$F190)*$F21</f>
        <v>-0</v>
      </c>
      <c r="AQ474" s="8" t="n">
        <f aca="false">-SUMPRODUCT($F346:$F353*(YEAR($K346:$K353)=AQ364))*(AQ365&lt;$F190)*$F21</f>
        <v>-0</v>
      </c>
      <c r="AR474" s="8" t="n">
        <f aca="false">-SUMPRODUCT($F346:$F353*(YEAR($K346:$K353)=AR364))*(AR365&lt;$F190)*$F21</f>
        <v>-0</v>
      </c>
      <c r="AS474" s="8" t="n">
        <f aca="false">-SUMPRODUCT($F346:$F353*(YEAR($K346:$K353)=AS364))*(AS365&lt;$F190)*$F21</f>
        <v>-0</v>
      </c>
      <c r="AT474" s="8" t="n">
        <f aca="false">-SUMPRODUCT($F346:$F353*(YEAR($K346:$K353)=AT364))*(AT365&lt;$F190)*$F21</f>
        <v>-0</v>
      </c>
      <c r="AU474" s="8" t="n">
        <f aca="false">-SUMPRODUCT($F346:$F353*(YEAR($K346:$K353)=AU364))*(AU365&lt;$F190)*$F21</f>
        <v>-0</v>
      </c>
      <c r="AV474" s="8" t="n">
        <f aca="false">-SUMPRODUCT($F346:$F353*(YEAR($K346:$K353)=AV364))*(AV365&lt;$F190)*$F21</f>
        <v>-0</v>
      </c>
      <c r="AW474" s="8" t="n">
        <f aca="false">-SUMPRODUCT($F346:$F353*(YEAR($K346:$K353)=AW364))*(AW365&lt;$F190)*$F21</f>
        <v>-0</v>
      </c>
    </row>
    <row r="475" customFormat="false" ht="14.25" hidden="false" customHeight="false" outlineLevel="0" collapsed="false">
      <c r="C475" s="6" t="s">
        <v>342</v>
      </c>
      <c r="D475" s="2" t="s">
        <v>85</v>
      </c>
      <c r="H475" s="8" t="n">
        <f aca="false">SUM(J475:AW475)</f>
        <v>0</v>
      </c>
      <c r="J475" s="8" t="n">
        <f aca="false">(J472+J473-I472-I473-J474)*(J365&lt;$F190)*$F21</f>
        <v>0</v>
      </c>
      <c r="K475" s="8" t="n">
        <f aca="false">(K472+K473-J472-J473-K474)*(K365&lt;$F190)*$F21</f>
        <v>0</v>
      </c>
      <c r="L475" s="8" t="n">
        <f aca="false">(L472+L473-K472-K473-L474)*(L365&lt;$F190)*$F21</f>
        <v>0</v>
      </c>
      <c r="M475" s="8" t="n">
        <f aca="false">(M472+M473-L472-L473-M474)*(M365&lt;$F190)*$F21</f>
        <v>0</v>
      </c>
      <c r="N475" s="8" t="n">
        <f aca="false">(N472+N473-M472-M473-N474)*(N365&lt;$F190)*$F21</f>
        <v>0</v>
      </c>
      <c r="O475" s="8" t="n">
        <f aca="false">(O472+O473-N472-N473-O474)*(O365&lt;$F190)*$F21</f>
        <v>0</v>
      </c>
      <c r="P475" s="8" t="n">
        <f aca="false">(P472+P473-O472-O473-P474)*(P365&lt;$F190)*$F21</f>
        <v>0</v>
      </c>
      <c r="Q475" s="8" t="n">
        <f aca="false">(Q472+Q473-P472-P473-Q474)*(Q365&lt;$F190)*$F21</f>
        <v>0</v>
      </c>
      <c r="R475" s="8" t="n">
        <f aca="false">(R472+R473-Q472-Q473-R474)*(R365&lt;$F190)*$F21</f>
        <v>0</v>
      </c>
      <c r="S475" s="8" t="n">
        <f aca="false">(S472+S473-R472-R473-S474)*(S365&lt;$F190)*$F21</f>
        <v>0</v>
      </c>
      <c r="T475" s="8" t="n">
        <f aca="false">(T472+T473-S472-S473-T474)*(T365&lt;$F190)*$F21</f>
        <v>0</v>
      </c>
      <c r="U475" s="8" t="n">
        <f aca="false">(U472+U473-T472-T473-U474)*(U365&lt;$F190)*$F21</f>
        <v>0</v>
      </c>
      <c r="V475" s="8" t="n">
        <f aca="false">(V472+V473-U472-U473-V474)*(V365&lt;$F190)*$F21</f>
        <v>0</v>
      </c>
      <c r="W475" s="8" t="n">
        <f aca="false">(W472+W473-V472-V473-W474)*(W365&lt;$F190)*$F21</f>
        <v>0</v>
      </c>
      <c r="X475" s="8" t="n">
        <f aca="false">(X472+X473-W472-W473-X474)*(X365&lt;$F190)*$F21</f>
        <v>0</v>
      </c>
      <c r="Y475" s="8" t="n">
        <f aca="false">(Y472+Y473-X472-X473-Y474)*(Y365&lt;$F190)*$F21</f>
        <v>0</v>
      </c>
      <c r="Z475" s="8" t="n">
        <f aca="false">(Z472+Z473-Y472-Y473-Z474)*(Z365&lt;$F190)*$F21</f>
        <v>0</v>
      </c>
      <c r="AA475" s="8" t="n">
        <f aca="false">(AA472+AA473-Z472-Z473-AA474)*(AA365&lt;$F190)*$F21</f>
        <v>0</v>
      </c>
      <c r="AB475" s="8" t="n">
        <f aca="false">(AB472+AB473-AA472-AA473-AB474)*(AB365&lt;$F190)*$F21</f>
        <v>0</v>
      </c>
      <c r="AC475" s="8" t="n">
        <f aca="false">(AC472+AC473-AB472-AB473-AC474)*(AC365&lt;$F190)*$F21</f>
        <v>0</v>
      </c>
      <c r="AD475" s="8" t="n">
        <f aca="false">(AD472+AD473-AC472-AC473-AD474)*(AD365&lt;$F190)*$F21</f>
        <v>0</v>
      </c>
      <c r="AE475" s="8" t="n">
        <f aca="false">(AE472+AE473-AD472-AD473-AE474)*(AE365&lt;$F190)*$F21</f>
        <v>0</v>
      </c>
      <c r="AF475" s="8" t="n">
        <f aca="false">(AF472+AF473-AE472-AE473-AF474)*(AF365&lt;$F190)*$F21</f>
        <v>0</v>
      </c>
      <c r="AG475" s="8" t="n">
        <f aca="false">(AG472+AG473-AF472-AF473-AG474)*(AG365&lt;$F190)*$F21</f>
        <v>0</v>
      </c>
      <c r="AH475" s="8" t="n">
        <f aca="false">(AH472+AH473-AG472-AG473-AH474)*(AH365&lt;$F190)*$F21</f>
        <v>0</v>
      </c>
      <c r="AI475" s="8" t="n">
        <f aca="false">(AI472+AI473-AH472-AH473-AI474)*(AI365&lt;$F190)*$F21</f>
        <v>0</v>
      </c>
      <c r="AJ475" s="8" t="n">
        <f aca="false">(AJ472+AJ473-AI472-AI473-AJ474)*(AJ365&lt;$F190)*$F21</f>
        <v>0</v>
      </c>
      <c r="AK475" s="8" t="n">
        <f aca="false">(AK472+AK473-AJ472-AJ473-AK474)*(AK365&lt;$F190)*$F21</f>
        <v>0</v>
      </c>
      <c r="AL475" s="8" t="n">
        <f aca="false">(AL472+AL473-AK472-AK473-AL474)*(AL365&lt;$F190)*$F21</f>
        <v>0</v>
      </c>
      <c r="AM475" s="8" t="n">
        <f aca="false">(AM472+AM473-AL472-AL473-AM474)*(AM365&lt;$F190)*$F21</f>
        <v>0</v>
      </c>
      <c r="AN475" s="8" t="n">
        <f aca="false">(AN472+AN473-AM472-AM473-AN474)*(AN365&lt;$F190)*$F21</f>
        <v>0</v>
      </c>
      <c r="AO475" s="8" t="n">
        <f aca="false">(AO472+AO473-AN472-AN473-AO474)*(AO365&lt;$F190)*$F21</f>
        <v>0</v>
      </c>
      <c r="AP475" s="8" t="n">
        <f aca="false">(AP472+AP473-AO472-AO473-AP474)*(AP365&lt;$F190)*$F21</f>
        <v>0</v>
      </c>
      <c r="AQ475" s="8" t="n">
        <f aca="false">(AQ472+AQ473-AP472-AP473-AQ474)*(AQ365&lt;$F190)*$F21</f>
        <v>0</v>
      </c>
      <c r="AR475" s="8" t="n">
        <f aca="false">(AR472+AR473-AQ472-AQ473-AR474)*(AR365&lt;$F190)*$F21</f>
        <v>0</v>
      </c>
      <c r="AS475" s="8" t="n">
        <f aca="false">(AS472+AS473-AR472-AR473-AS474)*(AS365&lt;$F190)*$F21</f>
        <v>0</v>
      </c>
      <c r="AT475" s="8" t="n">
        <f aca="false">(AT472+AT473-AS472-AS473-AT474)*(AT365&lt;$F190)*$F21</f>
        <v>0</v>
      </c>
      <c r="AU475" s="8" t="n">
        <f aca="false">(AU472+AU473-AT472-AT473-AU474)*(AU365&lt;$F190)*$F21</f>
        <v>0</v>
      </c>
      <c r="AV475" s="8" t="n">
        <f aca="false">(AV472+AV473-AU472-AU473-AV474)*(AV365&lt;$F190)*$F21</f>
        <v>0</v>
      </c>
      <c r="AW475" s="8" t="n">
        <f aca="false">(AW472+AW473-AV472-AV473-AW474)*(AW365&lt;$F190)*$F21</f>
        <v>0</v>
      </c>
    </row>
    <row r="476" customFormat="false" ht="14.25" hidden="false" customHeight="false" outlineLevel="0" collapsed="false">
      <c r="C476" s="6" t="s">
        <v>343</v>
      </c>
      <c r="D476" s="2" t="s">
        <v>85</v>
      </c>
      <c r="H476" s="8"/>
      <c r="J476" s="8" t="n">
        <f aca="false">(I476*(1+Rate_Cash)-SUMPRODUCT($F293:$F296*$N293:$N296*(YEAR($K293:$K296)=J364)))*(J365&lt;$F230)*$F21</f>
        <v>0</v>
      </c>
      <c r="K476" s="8" t="n">
        <f aca="false">(J476*(1+Rate_Cash)-SUMPRODUCT($F293:$F296*$N293:$N296*(YEAR($K293:$K296)=K364)))*(K365&lt;$F230)*$F21</f>
        <v>0</v>
      </c>
      <c r="L476" s="8" t="n">
        <f aca="false">(K476*(1+Rate_Cash)-SUMPRODUCT($F293:$F296*$N293:$N296*(YEAR($K293:$K296)=L364)))*(L365&lt;$F230)*$F21</f>
        <v>0</v>
      </c>
      <c r="M476" s="8" t="n">
        <f aca="false">(L476*(1+Rate_Cash)-SUMPRODUCT($F293:$F296*$N293:$N296*(YEAR($K293:$K296)=M364)))*(M365&lt;$F230)*$F21</f>
        <v>0</v>
      </c>
      <c r="N476" s="8" t="n">
        <f aca="false">(M476*(1+Rate_Cash)-SUMPRODUCT($F293:$F296*$N293:$N296*(YEAR($K293:$K296)=N364)))*(N365&lt;$F230)*$F21</f>
        <v>0</v>
      </c>
      <c r="O476" s="8" t="n">
        <f aca="false">(N476*(1+Rate_Cash)-SUMPRODUCT($F293:$F296*$N293:$N296*(YEAR($K293:$K296)=O364)))*(O365&lt;$F230)*$F21</f>
        <v>0</v>
      </c>
      <c r="P476" s="8" t="n">
        <f aca="false">(O476*(1+Rate_Cash)-SUMPRODUCT($F293:$F296*$N293:$N296*(YEAR($K293:$K296)=P364)))*(P365&lt;$F230)*$F21</f>
        <v>0</v>
      </c>
      <c r="Q476" s="8" t="n">
        <f aca="false">(P476*(1+Rate_Cash)-SUMPRODUCT($F293:$F296*$N293:$N296*(YEAR($K293:$K296)=Q364)))*(Q365&lt;$F230)*$F21</f>
        <v>0</v>
      </c>
      <c r="R476" s="8" t="n">
        <f aca="false">(Q476*(1+Rate_Cash)-SUMPRODUCT($F293:$F296*$N293:$N296*(YEAR($K293:$K296)=R364)))*(R365&lt;$F230)*$F21</f>
        <v>0</v>
      </c>
      <c r="S476" s="8" t="n">
        <f aca="false">(R476*(1+Rate_Cash)-SUMPRODUCT($F293:$F296*$N293:$N296*(YEAR($K293:$K296)=S364)))*(S365&lt;$F230)*$F21</f>
        <v>0</v>
      </c>
      <c r="T476" s="8" t="n">
        <f aca="false">(S476*(1+Rate_Cash)-SUMPRODUCT($F293:$F296*$N293:$N296*(YEAR($K293:$K296)=T364)))*(T365&lt;$F230)*$F21</f>
        <v>0</v>
      </c>
      <c r="U476" s="8" t="n">
        <f aca="false">(T476*(1+Rate_Cash)-SUMPRODUCT($F293:$F296*$N293:$N296*(YEAR($K293:$K296)=U364)))*(U365&lt;$F230)*$F21</f>
        <v>0</v>
      </c>
      <c r="V476" s="8" t="n">
        <f aca="false">(U476*(1+Rate_Cash)-SUMPRODUCT($F293:$F296*$N293:$N296*(YEAR($K293:$K296)=V364)))*(V365&lt;$F230)*$F21</f>
        <v>0</v>
      </c>
      <c r="W476" s="8" t="n">
        <f aca="false">(V476*(1+Rate_Cash)-SUMPRODUCT($F293:$F296*$N293:$N296*(YEAR($K293:$K296)=W364)))*(W365&lt;$F230)*$F21</f>
        <v>0</v>
      </c>
      <c r="X476" s="8" t="n">
        <f aca="false">(W476*(1+Rate_Cash)-SUMPRODUCT($F293:$F296*$N293:$N296*(YEAR($K293:$K296)=X364)))*(X365&lt;$F230)*$F21</f>
        <v>0</v>
      </c>
      <c r="Y476" s="8" t="n">
        <f aca="false">(X476*(1+Rate_Cash)-SUMPRODUCT($F293:$F296*$N293:$N296*(YEAR($K293:$K296)=Y364)))*(Y365&lt;$F230)*$F21</f>
        <v>0</v>
      </c>
      <c r="Z476" s="8" t="n">
        <f aca="false">(Y476*(1+Rate_Cash)-SUMPRODUCT($F293:$F296*$N293:$N296*(YEAR($K293:$K296)=Z364)))*(Z365&lt;$F230)*$F21</f>
        <v>0</v>
      </c>
      <c r="AA476" s="8" t="n">
        <f aca="false">(Z476*(1+Rate_Cash)-SUMPRODUCT($F293:$F296*$N293:$N296*(YEAR($K293:$K296)=AA364)))*(AA365&lt;$F230)*$F21</f>
        <v>0</v>
      </c>
      <c r="AB476" s="8" t="n">
        <f aca="false">(AA476*(1+Rate_Cash)-SUMPRODUCT($F293:$F296*$N293:$N296*(YEAR($K293:$K296)=AB364)))*(AB365&lt;$F230)*$F21</f>
        <v>0</v>
      </c>
      <c r="AC476" s="8" t="n">
        <f aca="false">(AB476*(1+Rate_Cash)-SUMPRODUCT($F293:$F296*$N293:$N296*(YEAR($K293:$K296)=AC364)))*(AC365&lt;$F230)*$F21</f>
        <v>0</v>
      </c>
      <c r="AD476" s="8" t="n">
        <f aca="false">(AC476*(1+Rate_Cash)-SUMPRODUCT($F293:$F296*$N293:$N296*(YEAR($K293:$K296)=AD364)))*(AD365&lt;$F230)*$F21</f>
        <v>0</v>
      </c>
      <c r="AE476" s="8" t="n">
        <f aca="false">(AD476*(1+Rate_Cash)-SUMPRODUCT($F293:$F296*$N293:$N296*(YEAR($K293:$K296)=AE364)))*(AE365&lt;$F230)*$F21</f>
        <v>0</v>
      </c>
      <c r="AF476" s="8" t="n">
        <f aca="false">(AE476*(1+Rate_Cash)-SUMPRODUCT($F293:$F296*$N293:$N296*(YEAR($K293:$K296)=AF364)))*(AF365&lt;$F230)*$F21</f>
        <v>0</v>
      </c>
      <c r="AG476" s="8" t="n">
        <f aca="false">(AF476*(1+Rate_Cash)-SUMPRODUCT($F293:$F296*$N293:$N296*(YEAR($K293:$K296)=AG364)))*(AG365&lt;$F230)*$F21</f>
        <v>0</v>
      </c>
      <c r="AH476" s="8" t="n">
        <f aca="false">(AG476*(1+Rate_Cash)-SUMPRODUCT($F293:$F296*$N293:$N296*(YEAR($K293:$K296)=AH364)))*(AH365&lt;$F230)*$F21</f>
        <v>0</v>
      </c>
      <c r="AI476" s="8" t="n">
        <f aca="false">(AH476*(1+Rate_Cash)-SUMPRODUCT($F293:$F296*$N293:$N296*(YEAR($K293:$K296)=AI364)))*(AI365&lt;$F230)*$F21</f>
        <v>0</v>
      </c>
      <c r="AJ476" s="8" t="n">
        <f aca="false">(AI476*(1+Rate_Cash)-SUMPRODUCT($F293:$F296*$N293:$N296*(YEAR($K293:$K296)=AJ364)))*(AJ365&lt;$F230)*$F21</f>
        <v>0</v>
      </c>
      <c r="AK476" s="8" t="n">
        <f aca="false">(AJ476*(1+Rate_Cash)-SUMPRODUCT($F293:$F296*$N293:$N296*(YEAR($K293:$K296)=AK364)))*(AK365&lt;$F230)*$F21</f>
        <v>0</v>
      </c>
      <c r="AL476" s="8" t="n">
        <f aca="false">(AK476*(1+Rate_Cash)-SUMPRODUCT($F293:$F296*$N293:$N296*(YEAR($K293:$K296)=AL364)))*(AL365&lt;$F230)*$F21</f>
        <v>0</v>
      </c>
      <c r="AM476" s="8" t="n">
        <f aca="false">(AL476*(1+Rate_Cash)-SUMPRODUCT($F293:$F296*$N293:$N296*(YEAR($K293:$K296)=AM364)))*(AM365&lt;$F230)*$F21</f>
        <v>0</v>
      </c>
      <c r="AN476" s="8" t="n">
        <f aca="false">(AM476*(1+Rate_Cash)-SUMPRODUCT($F293:$F296*$N293:$N296*(YEAR($K293:$K296)=AN364)))*(AN365&lt;$F230)*$F21</f>
        <v>0</v>
      </c>
      <c r="AO476" s="8" t="n">
        <f aca="false">(AN476*(1+Rate_Cash)-SUMPRODUCT($F293:$F296*$N293:$N296*(YEAR($K293:$K296)=AO364)))*(AO365&lt;$F230)*$F21</f>
        <v>0</v>
      </c>
      <c r="AP476" s="8" t="n">
        <f aca="false">(AO476*(1+Rate_Cash)-SUMPRODUCT($F293:$F296*$N293:$N296*(YEAR($K293:$K296)=AP364)))*(AP365&lt;$F230)*$F21</f>
        <v>0</v>
      </c>
      <c r="AQ476" s="8" t="n">
        <f aca="false">(AP476*(1+Rate_Cash)-SUMPRODUCT($F293:$F296*$N293:$N296*(YEAR($K293:$K296)=AQ364)))*(AQ365&lt;$F230)*$F21</f>
        <v>0</v>
      </c>
      <c r="AR476" s="8" t="n">
        <f aca="false">(AQ476*(1+Rate_Cash)-SUMPRODUCT($F293:$F296*$N293:$N296*(YEAR($K293:$K296)=AR364)))*(AR365&lt;$F230)*$F21</f>
        <v>0</v>
      </c>
      <c r="AS476" s="8" t="n">
        <f aca="false">(AR476*(1+Rate_Cash)-SUMPRODUCT($F293:$F296*$N293:$N296*(YEAR($K293:$K296)=AS364)))*(AS365&lt;$F230)*$F21</f>
        <v>0</v>
      </c>
      <c r="AT476" s="8" t="n">
        <f aca="false">(AS476*(1+Rate_Cash)-SUMPRODUCT($F293:$F296*$N293:$N296*(YEAR($K293:$K296)=AT364)))*(AT365&lt;$F230)*$F21</f>
        <v>0</v>
      </c>
      <c r="AU476" s="8" t="n">
        <f aca="false">(AT476*(1+Rate_Cash)-SUMPRODUCT($F293:$F296*$N293:$N296*(YEAR($K293:$K296)=AU364)))*(AU365&lt;$F230)*$F21</f>
        <v>0</v>
      </c>
      <c r="AV476" s="8" t="n">
        <f aca="false">(AU476*(1+Rate_Cash)-SUMPRODUCT($F293:$F296*$N293:$N296*(YEAR($K293:$K296)=AV364)))*(AV365&lt;$F230)*$F21</f>
        <v>0</v>
      </c>
      <c r="AW476" s="8" t="n">
        <f aca="false">(AV476*(1+Rate_Cash)-SUMPRODUCT($F293:$F296*$N293:$N296*(YEAR($K293:$K296)=AW364)))*(AW365&lt;$F230)*$F21</f>
        <v>0</v>
      </c>
    </row>
    <row r="477" customFormat="false" ht="14.25" hidden="false" customHeight="false" outlineLevel="0" collapsed="false">
      <c r="C477" s="6" t="s">
        <v>344</v>
      </c>
      <c r="D477" s="2" t="s">
        <v>85</v>
      </c>
      <c r="H477" s="8"/>
      <c r="J477" s="8" t="n">
        <f aca="false">(I477*(1+Rate_Devex)-SUMPRODUCT($F297:$F298*$N297:$N298*(YEAR($K297:$K298)=J364)))*(J365&lt;$F230)*$F21</f>
        <v>0</v>
      </c>
      <c r="K477" s="8" t="n">
        <f aca="false">(J477*(1+Rate_Devex)-SUMPRODUCT($F297:$F298*$N297:$N298*(YEAR($K297:$K298)=K364)))*(K365&lt;$F230)*$F21</f>
        <v>0</v>
      </c>
      <c r="L477" s="8" t="n">
        <f aca="false">(K477*(1+Rate_Devex)-SUMPRODUCT($F297:$F298*$N297:$N298*(YEAR($K297:$K298)=L364)))*(L365&lt;$F230)*$F21</f>
        <v>0</v>
      </c>
      <c r="M477" s="8" t="n">
        <f aca="false">(L477*(1+Rate_Devex)-SUMPRODUCT($F297:$F298*$N297:$N298*(YEAR($K297:$K298)=M364)))*(M365&lt;$F230)*$F21</f>
        <v>0</v>
      </c>
      <c r="N477" s="8" t="n">
        <f aca="false">(M477*(1+Rate_Devex)-SUMPRODUCT($F297:$F298*$N297:$N298*(YEAR($K297:$K298)=N364)))*(N365&lt;$F230)*$F21</f>
        <v>0</v>
      </c>
      <c r="O477" s="8" t="n">
        <f aca="false">(N477*(1+Rate_Devex)-SUMPRODUCT($F297:$F298*$N297:$N298*(YEAR($K297:$K298)=O364)))*(O365&lt;$F230)*$F21</f>
        <v>0</v>
      </c>
      <c r="P477" s="8" t="n">
        <f aca="false">(O477*(1+Rate_Devex)-SUMPRODUCT($F297:$F298*$N297:$N298*(YEAR($K297:$K298)=P364)))*(P365&lt;$F230)*$F21</f>
        <v>0</v>
      </c>
      <c r="Q477" s="8" t="n">
        <f aca="false">(P477*(1+Rate_Devex)-SUMPRODUCT($F297:$F298*$N297:$N298*(YEAR($K297:$K298)=Q364)))*(Q365&lt;$F230)*$F21</f>
        <v>0</v>
      </c>
      <c r="R477" s="8" t="n">
        <f aca="false">(Q477*(1+Rate_Devex)-SUMPRODUCT($F297:$F298*$N297:$N298*(YEAR($K297:$K298)=R364)))*(R365&lt;$F230)*$F21</f>
        <v>0</v>
      </c>
      <c r="S477" s="8" t="n">
        <f aca="false">(R477*(1+Rate_Devex)-SUMPRODUCT($F297:$F298*$N297:$N298*(YEAR($K297:$K298)=S364)))*(S365&lt;$F230)*$F21</f>
        <v>0</v>
      </c>
      <c r="T477" s="8" t="n">
        <f aca="false">(S477*(1+Rate_Devex)-SUMPRODUCT($F297:$F298*$N297:$N298*(YEAR($K297:$K298)=T364)))*(T365&lt;$F230)*$F21</f>
        <v>0</v>
      </c>
      <c r="U477" s="8" t="n">
        <f aca="false">(T477*(1+Rate_Devex)-SUMPRODUCT($F297:$F298*$N297:$N298*(YEAR($K297:$K298)=U364)))*(U365&lt;$F230)*$F21</f>
        <v>0</v>
      </c>
      <c r="V477" s="8" t="n">
        <f aca="false">(U477*(1+Rate_Devex)-SUMPRODUCT($F297:$F298*$N297:$N298*(YEAR($K297:$K298)=V364)))*(V365&lt;$F230)*$F21</f>
        <v>0</v>
      </c>
      <c r="W477" s="8" t="n">
        <f aca="false">(V477*(1+Rate_Devex)-SUMPRODUCT($F297:$F298*$N297:$N298*(YEAR($K297:$K298)=W364)))*(W365&lt;$F230)*$F21</f>
        <v>0</v>
      </c>
      <c r="X477" s="8" t="n">
        <f aca="false">(W477*(1+Rate_Devex)-SUMPRODUCT($F297:$F298*$N297:$N298*(YEAR($K297:$K298)=X364)))*(X365&lt;$F230)*$F21</f>
        <v>0</v>
      </c>
      <c r="Y477" s="8" t="n">
        <f aca="false">(X477*(1+Rate_Devex)-SUMPRODUCT($F297:$F298*$N297:$N298*(YEAR($K297:$K298)=Y364)))*(Y365&lt;$F230)*$F21</f>
        <v>0</v>
      </c>
      <c r="Z477" s="8" t="n">
        <f aca="false">(Y477*(1+Rate_Devex)-SUMPRODUCT($F297:$F298*$N297:$N298*(YEAR($K297:$K298)=Z364)))*(Z365&lt;$F230)*$F21</f>
        <v>0</v>
      </c>
      <c r="AA477" s="8" t="n">
        <f aca="false">(Z477*(1+Rate_Devex)-SUMPRODUCT($F297:$F298*$N297:$N298*(YEAR($K297:$K298)=AA364)))*(AA365&lt;$F230)*$F21</f>
        <v>0</v>
      </c>
      <c r="AB477" s="8" t="n">
        <f aca="false">(AA477*(1+Rate_Devex)-SUMPRODUCT($F297:$F298*$N297:$N298*(YEAR($K297:$K298)=AB364)))*(AB365&lt;$F230)*$F21</f>
        <v>0</v>
      </c>
      <c r="AC477" s="8" t="n">
        <f aca="false">(AB477*(1+Rate_Devex)-SUMPRODUCT($F297:$F298*$N297:$N298*(YEAR($K297:$K298)=AC364)))*(AC365&lt;$F230)*$F21</f>
        <v>0</v>
      </c>
      <c r="AD477" s="8" t="n">
        <f aca="false">(AC477*(1+Rate_Devex)-SUMPRODUCT($F297:$F298*$N297:$N298*(YEAR($K297:$K298)=AD364)))*(AD365&lt;$F230)*$F21</f>
        <v>0</v>
      </c>
      <c r="AE477" s="8" t="n">
        <f aca="false">(AD477*(1+Rate_Devex)-SUMPRODUCT($F297:$F298*$N297:$N298*(YEAR($K297:$K298)=AE364)))*(AE365&lt;$F230)*$F21</f>
        <v>0</v>
      </c>
      <c r="AF477" s="8" t="n">
        <f aca="false">(AE477*(1+Rate_Devex)-SUMPRODUCT($F297:$F298*$N297:$N298*(YEAR($K297:$K298)=AF364)))*(AF365&lt;$F230)*$F21</f>
        <v>0</v>
      </c>
      <c r="AG477" s="8" t="n">
        <f aca="false">(AF477*(1+Rate_Devex)-SUMPRODUCT($F297:$F298*$N297:$N298*(YEAR($K297:$K298)=AG364)))*(AG365&lt;$F230)*$F21</f>
        <v>0</v>
      </c>
      <c r="AH477" s="8" t="n">
        <f aca="false">(AG477*(1+Rate_Devex)-SUMPRODUCT($F297:$F298*$N297:$N298*(YEAR($K297:$K298)=AH364)))*(AH365&lt;$F230)*$F21</f>
        <v>0</v>
      </c>
      <c r="AI477" s="8" t="n">
        <f aca="false">(AH477*(1+Rate_Devex)-SUMPRODUCT($F297:$F298*$N297:$N298*(YEAR($K297:$K298)=AI364)))*(AI365&lt;$F230)*$F21</f>
        <v>0</v>
      </c>
      <c r="AJ477" s="8" t="n">
        <f aca="false">(AI477*(1+Rate_Devex)-SUMPRODUCT($F297:$F298*$N297:$N298*(YEAR($K297:$K298)=AJ364)))*(AJ365&lt;$F230)*$F21</f>
        <v>0</v>
      </c>
      <c r="AK477" s="8" t="n">
        <f aca="false">(AJ477*(1+Rate_Devex)-SUMPRODUCT($F297:$F298*$N297:$N298*(YEAR($K297:$K298)=AK364)))*(AK365&lt;$F230)*$F21</f>
        <v>0</v>
      </c>
      <c r="AL477" s="8" t="n">
        <f aca="false">(AK477*(1+Rate_Devex)-SUMPRODUCT($F297:$F298*$N297:$N298*(YEAR($K297:$K298)=AL364)))*(AL365&lt;$F230)*$F21</f>
        <v>0</v>
      </c>
      <c r="AM477" s="8" t="n">
        <f aca="false">(AL477*(1+Rate_Devex)-SUMPRODUCT($F297:$F298*$N297:$N298*(YEAR($K297:$K298)=AM364)))*(AM365&lt;$F230)*$F21</f>
        <v>0</v>
      </c>
      <c r="AN477" s="8" t="n">
        <f aca="false">(AM477*(1+Rate_Devex)-SUMPRODUCT($F297:$F298*$N297:$N298*(YEAR($K297:$K298)=AN364)))*(AN365&lt;$F230)*$F21</f>
        <v>0</v>
      </c>
      <c r="AO477" s="8" t="n">
        <f aca="false">(AN477*(1+Rate_Devex)-SUMPRODUCT($F297:$F298*$N297:$N298*(YEAR($K297:$K298)=AO364)))*(AO365&lt;$F230)*$F21</f>
        <v>0</v>
      </c>
      <c r="AP477" s="8" t="n">
        <f aca="false">(AO477*(1+Rate_Devex)-SUMPRODUCT($F297:$F298*$N297:$N298*(YEAR($K297:$K298)=AP364)))*(AP365&lt;$F230)*$F21</f>
        <v>0</v>
      </c>
      <c r="AQ477" s="8" t="n">
        <f aca="false">(AP477*(1+Rate_Devex)-SUMPRODUCT($F297:$F298*$N297:$N298*(YEAR($K297:$K298)=AQ364)))*(AQ365&lt;$F230)*$F21</f>
        <v>0</v>
      </c>
      <c r="AR477" s="8" t="n">
        <f aca="false">(AQ477*(1+Rate_Devex)-SUMPRODUCT($F297:$F298*$N297:$N298*(YEAR($K297:$K298)=AR364)))*(AR365&lt;$F230)*$F21</f>
        <v>0</v>
      </c>
      <c r="AS477" s="8" t="n">
        <f aca="false">(AR477*(1+Rate_Devex)-SUMPRODUCT($F297:$F298*$N297:$N298*(YEAR($K297:$K298)=AS364)))*(AS365&lt;$F230)*$F21</f>
        <v>0</v>
      </c>
      <c r="AT477" s="8" t="n">
        <f aca="false">(AS477*(1+Rate_Devex)-SUMPRODUCT($F297:$F298*$N297:$N298*(YEAR($K297:$K298)=AT364)))*(AT365&lt;$F230)*$F21</f>
        <v>0</v>
      </c>
      <c r="AU477" s="8" t="n">
        <f aca="false">(AT477*(1+Rate_Devex)-SUMPRODUCT($F297:$F298*$N297:$N298*(YEAR($K297:$K298)=AU364)))*(AU365&lt;$F230)*$F21</f>
        <v>0</v>
      </c>
      <c r="AV477" s="8" t="n">
        <f aca="false">(AU477*(1+Rate_Devex)-SUMPRODUCT($F297:$F298*$N297:$N298*(YEAR($K297:$K298)=AV364)))*(AV365&lt;$F230)*$F21</f>
        <v>0</v>
      </c>
      <c r="AW477" s="8" t="n">
        <f aca="false">(AV477*(1+Rate_Devex)-SUMPRODUCT($F297:$F298*$N297:$N298*(YEAR($K297:$K298)=AW364)))*(AW365&lt;$F230)*$F21</f>
        <v>0</v>
      </c>
    </row>
    <row r="478" customFormat="false" ht="14.25" hidden="false" customHeight="false" outlineLevel="0" collapsed="false">
      <c r="C478" s="6" t="s">
        <v>345</v>
      </c>
      <c r="D478" s="2" t="s">
        <v>85</v>
      </c>
      <c r="H478" s="8" t="n">
        <f aca="false">SUM(J478:AW478)</f>
        <v>0</v>
      </c>
      <c r="J478" s="8" t="n">
        <f aca="false">-SUMPRODUCT($F293:$F298*(YEAR($K293:$K298)=J364))*(J365&lt;$F230)*$F21</f>
        <v>0</v>
      </c>
      <c r="K478" s="8" t="n">
        <f aca="false">-SUMPRODUCT($F293:$F298*(YEAR($K293:$K298)=K364))*(K365&lt;$F230)*$F21</f>
        <v>0</v>
      </c>
      <c r="L478" s="8" t="n">
        <f aca="false">-SUMPRODUCT($F293:$F298*(YEAR($K293:$K298)=L364))*(L365&lt;$F230)*$F21</f>
        <v>-0</v>
      </c>
      <c r="M478" s="8" t="n">
        <f aca="false">-SUMPRODUCT($F293:$F298*(YEAR($K293:$K298)=M364))*(M365&lt;$F230)*$F21</f>
        <v>-0</v>
      </c>
      <c r="N478" s="8" t="n">
        <f aca="false">-SUMPRODUCT($F293:$F298*(YEAR($K293:$K298)=N364))*(N365&lt;$F230)*$F21</f>
        <v>-0</v>
      </c>
      <c r="O478" s="8" t="n">
        <f aca="false">-SUMPRODUCT($F293:$F298*(YEAR($K293:$K298)=O364))*(O365&lt;$F230)*$F21</f>
        <v>-0</v>
      </c>
      <c r="P478" s="8" t="n">
        <f aca="false">-SUMPRODUCT($F293:$F298*(YEAR($K293:$K298)=P364))*(P365&lt;$F230)*$F21</f>
        <v>-0</v>
      </c>
      <c r="Q478" s="8" t="n">
        <f aca="false">-SUMPRODUCT($F293:$F298*(YEAR($K293:$K298)=Q364))*(Q365&lt;$F230)*$F21</f>
        <v>-0</v>
      </c>
      <c r="R478" s="8" t="n">
        <f aca="false">-SUMPRODUCT($F293:$F298*(YEAR($K293:$K298)=R364))*(R365&lt;$F230)*$F21</f>
        <v>-0</v>
      </c>
      <c r="S478" s="8" t="n">
        <f aca="false">-SUMPRODUCT($F293:$F298*(YEAR($K293:$K298)=S364))*(S365&lt;$F230)*$F21</f>
        <v>-0</v>
      </c>
      <c r="T478" s="8" t="n">
        <f aca="false">-SUMPRODUCT($F293:$F298*(YEAR($K293:$K298)=T364))*(T365&lt;$F230)*$F21</f>
        <v>-0</v>
      </c>
      <c r="U478" s="8" t="n">
        <f aca="false">-SUMPRODUCT($F293:$F298*(YEAR($K293:$K298)=U364))*(U365&lt;$F230)*$F21</f>
        <v>-0</v>
      </c>
      <c r="V478" s="8" t="n">
        <f aca="false">-SUMPRODUCT($F293:$F298*(YEAR($K293:$K298)=V364))*(V365&lt;$F230)*$F21</f>
        <v>-0</v>
      </c>
      <c r="W478" s="8" t="n">
        <f aca="false">-SUMPRODUCT($F293:$F298*(YEAR($K293:$K298)=W364))*(W365&lt;$F230)*$F21</f>
        <v>-0</v>
      </c>
      <c r="X478" s="8" t="n">
        <f aca="false">-SUMPRODUCT($F293:$F298*(YEAR($K293:$K298)=X364))*(X365&lt;$F230)*$F21</f>
        <v>-0</v>
      </c>
      <c r="Y478" s="8" t="n">
        <f aca="false">-SUMPRODUCT($F293:$F298*(YEAR($K293:$K298)=Y364))*(Y365&lt;$F230)*$F21</f>
        <v>-0</v>
      </c>
      <c r="Z478" s="8" t="n">
        <f aca="false">-SUMPRODUCT($F293:$F298*(YEAR($K293:$K298)=Z364))*(Z365&lt;$F230)*$F21</f>
        <v>-0</v>
      </c>
      <c r="AA478" s="8" t="n">
        <f aca="false">-SUMPRODUCT($F293:$F298*(YEAR($K293:$K298)=AA364))*(AA365&lt;$F230)*$F21</f>
        <v>-0</v>
      </c>
      <c r="AB478" s="8" t="n">
        <f aca="false">-SUMPRODUCT($F293:$F298*(YEAR($K293:$K298)=AB364))*(AB365&lt;$F230)*$F21</f>
        <v>-0</v>
      </c>
      <c r="AC478" s="8" t="n">
        <f aca="false">-SUMPRODUCT($F293:$F298*(YEAR($K293:$K298)=AC364))*(AC365&lt;$F230)*$F21</f>
        <v>-0</v>
      </c>
      <c r="AD478" s="8" t="n">
        <f aca="false">-SUMPRODUCT($F293:$F298*(YEAR($K293:$K298)=AD364))*(AD365&lt;$F230)*$F21</f>
        <v>-0</v>
      </c>
      <c r="AE478" s="8" t="n">
        <f aca="false">-SUMPRODUCT($F293:$F298*(YEAR($K293:$K298)=AE364))*(AE365&lt;$F230)*$F21</f>
        <v>-0</v>
      </c>
      <c r="AF478" s="8" t="n">
        <f aca="false">-SUMPRODUCT($F293:$F298*(YEAR($K293:$K298)=AF364))*(AF365&lt;$F230)*$F21</f>
        <v>-0</v>
      </c>
      <c r="AG478" s="8" t="n">
        <f aca="false">-SUMPRODUCT($F293:$F298*(YEAR($K293:$K298)=AG364))*(AG365&lt;$F230)*$F21</f>
        <v>-0</v>
      </c>
      <c r="AH478" s="8" t="n">
        <f aca="false">-SUMPRODUCT($F293:$F298*(YEAR($K293:$K298)=AH364))*(AH365&lt;$F230)*$F21</f>
        <v>-0</v>
      </c>
      <c r="AI478" s="8" t="n">
        <f aca="false">-SUMPRODUCT($F293:$F298*(YEAR($K293:$K298)=AI364))*(AI365&lt;$F230)*$F21</f>
        <v>-0</v>
      </c>
      <c r="AJ478" s="8" t="n">
        <f aca="false">-SUMPRODUCT($F293:$F298*(YEAR($K293:$K298)=AJ364))*(AJ365&lt;$F230)*$F21</f>
        <v>-0</v>
      </c>
      <c r="AK478" s="8" t="n">
        <f aca="false">-SUMPRODUCT($F293:$F298*(YEAR($K293:$K298)=AK364))*(AK365&lt;$F230)*$F21</f>
        <v>-0</v>
      </c>
      <c r="AL478" s="8" t="n">
        <f aca="false">-SUMPRODUCT($F293:$F298*(YEAR($K293:$K298)=AL364))*(AL365&lt;$F230)*$F21</f>
        <v>-0</v>
      </c>
      <c r="AM478" s="8" t="n">
        <f aca="false">-SUMPRODUCT($F293:$F298*(YEAR($K293:$K298)=AM364))*(AM365&lt;$F230)*$F21</f>
        <v>-0</v>
      </c>
      <c r="AN478" s="8" t="n">
        <f aca="false">-SUMPRODUCT($F293:$F298*(YEAR($K293:$K298)=AN364))*(AN365&lt;$F230)*$F21</f>
        <v>-0</v>
      </c>
      <c r="AO478" s="8" t="n">
        <f aca="false">-SUMPRODUCT($F293:$F298*(YEAR($K293:$K298)=AO364))*(AO365&lt;$F230)*$F21</f>
        <v>-0</v>
      </c>
      <c r="AP478" s="8" t="n">
        <f aca="false">-SUMPRODUCT($F293:$F298*(YEAR($K293:$K298)=AP364))*(AP365&lt;$F230)*$F21</f>
        <v>-0</v>
      </c>
      <c r="AQ478" s="8" t="n">
        <f aca="false">-SUMPRODUCT($F293:$F298*(YEAR($K293:$K298)=AQ364))*(AQ365&lt;$F230)*$F21</f>
        <v>-0</v>
      </c>
      <c r="AR478" s="8" t="n">
        <f aca="false">-SUMPRODUCT($F293:$F298*(YEAR($K293:$K298)=AR364))*(AR365&lt;$F230)*$F21</f>
        <v>-0</v>
      </c>
      <c r="AS478" s="8" t="n">
        <f aca="false">-SUMPRODUCT($F293:$F298*(YEAR($K293:$K298)=AS364))*(AS365&lt;$F230)*$F21</f>
        <v>-0</v>
      </c>
      <c r="AT478" s="8" t="n">
        <f aca="false">-SUMPRODUCT($F293:$F298*(YEAR($K293:$K298)=AT364))*(AT365&lt;$F230)*$F21</f>
        <v>-0</v>
      </c>
      <c r="AU478" s="8" t="n">
        <f aca="false">-SUMPRODUCT($F293:$F298*(YEAR($K293:$K298)=AU364))*(AU365&lt;$F230)*$F21</f>
        <v>-0</v>
      </c>
      <c r="AV478" s="8" t="n">
        <f aca="false">-SUMPRODUCT($F293:$F298*(YEAR($K293:$K298)=AV364))*(AV365&lt;$F230)*$F21</f>
        <v>-0</v>
      </c>
      <c r="AW478" s="8" t="n">
        <f aca="false">-SUMPRODUCT($F293:$F298*(YEAR($K293:$K298)=AW364))*(AW365&lt;$F230)*$F21</f>
        <v>-0</v>
      </c>
    </row>
    <row r="479" customFormat="false" ht="14.25" hidden="false" customHeight="false" outlineLevel="0" collapsed="false">
      <c r="C479" s="6" t="s">
        <v>346</v>
      </c>
      <c r="D479" s="2" t="s">
        <v>85</v>
      </c>
      <c r="H479" s="8" t="n">
        <f aca="false">SUM(J479:AW479)</f>
        <v>0</v>
      </c>
      <c r="J479" s="8" t="n">
        <f aca="false">(J476+J477-I476-I477-J478)*(J365&lt;$F230)*$F21</f>
        <v>0</v>
      </c>
      <c r="K479" s="8" t="n">
        <f aca="false">(K476+K477-J476-J477-K478)*(K365&lt;$F230)*$F21</f>
        <v>0</v>
      </c>
      <c r="L479" s="8" t="n">
        <f aca="false">(L476+L477-K476-K477-L478)*(L365&lt;$F230)*$F21</f>
        <v>0</v>
      </c>
      <c r="M479" s="8" t="n">
        <f aca="false">(M476+M477-L476-L477-M478)*(M365&lt;$F230)*$F21</f>
        <v>0</v>
      </c>
      <c r="N479" s="8" t="n">
        <f aca="false">(N476+N477-M476-M477-N478)*(N365&lt;$F230)*$F21</f>
        <v>0</v>
      </c>
      <c r="O479" s="8" t="n">
        <f aca="false">(O476+O477-N476-N477-O478)*(O365&lt;$F230)*$F21</f>
        <v>0</v>
      </c>
      <c r="P479" s="8" t="n">
        <f aca="false">(P476+P477-O476-O477-P478)*(P365&lt;$F230)*$F21</f>
        <v>0</v>
      </c>
      <c r="Q479" s="8" t="n">
        <f aca="false">(Q476+Q477-P476-P477-Q478)*(Q365&lt;$F230)*$F21</f>
        <v>0</v>
      </c>
      <c r="R479" s="8" t="n">
        <f aca="false">(R476+R477-Q476-Q477-R478)*(R365&lt;$F230)*$F21</f>
        <v>0</v>
      </c>
      <c r="S479" s="8" t="n">
        <f aca="false">(S476+S477-R476-R477-S478)*(S365&lt;$F230)*$F21</f>
        <v>0</v>
      </c>
      <c r="T479" s="8" t="n">
        <f aca="false">(T476+T477-S476-S477-T478)*(T365&lt;$F230)*$F21</f>
        <v>0</v>
      </c>
      <c r="U479" s="8" t="n">
        <f aca="false">(U476+U477-T476-T477-U478)*(U365&lt;$F230)*$F21</f>
        <v>0</v>
      </c>
      <c r="V479" s="8" t="n">
        <f aca="false">(V476+V477-U476-U477-V478)*(V365&lt;$F230)*$F21</f>
        <v>0</v>
      </c>
      <c r="W479" s="8" t="n">
        <f aca="false">(W476+W477-V476-V477-W478)*(W365&lt;$F230)*$F21</f>
        <v>0</v>
      </c>
      <c r="X479" s="8" t="n">
        <f aca="false">(X476+X477-W476-W477-X478)*(X365&lt;$F230)*$F21</f>
        <v>0</v>
      </c>
      <c r="Y479" s="8" t="n">
        <f aca="false">(Y476+Y477-X476-X477-Y478)*(Y365&lt;$F230)*$F21</f>
        <v>0</v>
      </c>
      <c r="Z479" s="8" t="n">
        <f aca="false">(Z476+Z477-Y476-Y477-Z478)*(Z365&lt;$F230)*$F21</f>
        <v>0</v>
      </c>
      <c r="AA479" s="8" t="n">
        <f aca="false">(AA476+AA477-Z476-Z477-AA478)*(AA365&lt;$F230)*$F21</f>
        <v>0</v>
      </c>
      <c r="AB479" s="8" t="n">
        <f aca="false">(AB476+AB477-AA476-AA477-AB478)*(AB365&lt;$F230)*$F21</f>
        <v>0</v>
      </c>
      <c r="AC479" s="8" t="n">
        <f aca="false">(AC476+AC477-AB476-AB477-AC478)*(AC365&lt;$F230)*$F21</f>
        <v>0</v>
      </c>
      <c r="AD479" s="8" t="n">
        <f aca="false">(AD476+AD477-AC476-AC477-AD478)*(AD365&lt;$F230)*$F21</f>
        <v>0</v>
      </c>
      <c r="AE479" s="8" t="n">
        <f aca="false">(AE476+AE477-AD476-AD477-AE478)*(AE365&lt;$F230)*$F21</f>
        <v>0</v>
      </c>
      <c r="AF479" s="8" t="n">
        <f aca="false">(AF476+AF477-AE476-AE477-AF478)*(AF365&lt;$F230)*$F21</f>
        <v>0</v>
      </c>
      <c r="AG479" s="8" t="n">
        <f aca="false">(AG476+AG477-AF476-AF477-AG478)*(AG365&lt;$F230)*$F21</f>
        <v>0</v>
      </c>
      <c r="AH479" s="8" t="n">
        <f aca="false">(AH476+AH477-AG476-AG477-AH478)*(AH365&lt;$F230)*$F21</f>
        <v>0</v>
      </c>
      <c r="AI479" s="8" t="n">
        <f aca="false">(AI476+AI477-AH476-AH477-AI478)*(AI365&lt;$F230)*$F21</f>
        <v>0</v>
      </c>
      <c r="AJ479" s="8" t="n">
        <f aca="false">(AJ476+AJ477-AI476-AI477-AJ478)*(AJ365&lt;$F230)*$F21</f>
        <v>0</v>
      </c>
      <c r="AK479" s="8" t="n">
        <f aca="false">(AK476+AK477-AJ476-AJ477-AK478)*(AK365&lt;$F230)*$F21</f>
        <v>0</v>
      </c>
      <c r="AL479" s="8" t="n">
        <f aca="false">(AL476+AL477-AK476-AK477-AL478)*(AL365&lt;$F230)*$F21</f>
        <v>0</v>
      </c>
      <c r="AM479" s="8" t="n">
        <f aca="false">(AM476+AM477-AL476-AL477-AM478)*(AM365&lt;$F230)*$F21</f>
        <v>0</v>
      </c>
      <c r="AN479" s="8" t="n">
        <f aca="false">(AN476+AN477-AM476-AM477-AN478)*(AN365&lt;$F230)*$F21</f>
        <v>0</v>
      </c>
      <c r="AO479" s="8" t="n">
        <f aca="false">(AO476+AO477-AN476-AN477-AO478)*(AO365&lt;$F230)*$F21</f>
        <v>0</v>
      </c>
      <c r="AP479" s="8" t="n">
        <f aca="false">(AP476+AP477-AO476-AO477-AP478)*(AP365&lt;$F230)*$F21</f>
        <v>0</v>
      </c>
      <c r="AQ479" s="8" t="n">
        <f aca="false">(AQ476+AQ477-AP476-AP477-AQ478)*(AQ365&lt;$F230)*$F21</f>
        <v>0</v>
      </c>
      <c r="AR479" s="8" t="n">
        <f aca="false">(AR476+AR477-AQ476-AQ477-AR478)*(AR365&lt;$F230)*$F21</f>
        <v>0</v>
      </c>
      <c r="AS479" s="8" t="n">
        <f aca="false">(AS476+AS477-AR476-AR477-AS478)*(AS365&lt;$F230)*$F21</f>
        <v>0</v>
      </c>
      <c r="AT479" s="8" t="n">
        <f aca="false">(AT476+AT477-AS476-AS477-AT478)*(AT365&lt;$F230)*$F21</f>
        <v>0</v>
      </c>
      <c r="AU479" s="8" t="n">
        <f aca="false">(AU476+AU477-AT476-AT477-AU478)*(AU365&lt;$F230)*$F21</f>
        <v>0</v>
      </c>
      <c r="AV479" s="8" t="n">
        <f aca="false">(AV476+AV477-AU476-AU477-AV478)*(AV365&lt;$F230)*$F21</f>
        <v>0</v>
      </c>
      <c r="AW479" s="8" t="n">
        <f aca="false">(AW476+AW477-AV476-AV477-AW478)*(AW365&lt;$F230)*$F21</f>
        <v>0</v>
      </c>
    </row>
    <row r="481" customFormat="false" ht="14.25" hidden="false" customHeight="false" outlineLevel="0" collapsed="false">
      <c r="B481" s="4" t="s">
        <v>3</v>
      </c>
      <c r="C481" s="4" t="s">
        <v>348</v>
      </c>
      <c r="D481" s="4"/>
      <c r="E481" s="5"/>
      <c r="F481" s="5"/>
      <c r="G481" s="5" t="s">
        <v>291</v>
      </c>
      <c r="H481" s="5" t="s">
        <v>8</v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 customFormat="false" ht="14.25" hidden="false" customHeight="false" outlineLevel="0" collapsed="false">
      <c r="C482" s="6" t="s">
        <v>292</v>
      </c>
      <c r="D482" s="2" t="s">
        <v>293</v>
      </c>
      <c r="J482" s="73" t="n">
        <f aca="false">J$364-YEAR(Inputs!$G$26)</f>
        <v>-5</v>
      </c>
      <c r="K482" s="73" t="n">
        <f aca="false">K$364-YEAR(Inputs!$G$26)</f>
        <v>-4</v>
      </c>
      <c r="L482" s="73" t="n">
        <f aca="false">L$364-YEAR(Inputs!$G$26)</f>
        <v>-3</v>
      </c>
      <c r="M482" s="73" t="n">
        <f aca="false">M$364-YEAR(Inputs!$G$26)</f>
        <v>-2</v>
      </c>
      <c r="N482" s="73" t="n">
        <f aca="false">N$364-YEAR(Inputs!$G$26)</f>
        <v>-1</v>
      </c>
      <c r="O482" s="73" t="n">
        <f aca="false">O$364-YEAR(Inputs!$G$26)</f>
        <v>0</v>
      </c>
      <c r="P482" s="73" t="n">
        <f aca="false">P$364-YEAR(Inputs!$G$26)</f>
        <v>1</v>
      </c>
      <c r="Q482" s="73" t="n">
        <f aca="false">Q$364-YEAR(Inputs!$G$26)</f>
        <v>2</v>
      </c>
      <c r="R482" s="73" t="n">
        <f aca="false">R$364-YEAR(Inputs!$G$26)</f>
        <v>3</v>
      </c>
      <c r="S482" s="73" t="n">
        <f aca="false">S$364-YEAR(Inputs!$G$26)</f>
        <v>4</v>
      </c>
      <c r="T482" s="73" t="n">
        <f aca="false">T$364-YEAR(Inputs!$G$26)</f>
        <v>5</v>
      </c>
      <c r="U482" s="73" t="n">
        <f aca="false">U$364-YEAR(Inputs!$G$26)</f>
        <v>6</v>
      </c>
      <c r="V482" s="73" t="n">
        <f aca="false">V$364-YEAR(Inputs!$G$26)</f>
        <v>7</v>
      </c>
      <c r="W482" s="73" t="n">
        <f aca="false">W$364-YEAR(Inputs!$G$26)</f>
        <v>8</v>
      </c>
      <c r="X482" s="73" t="n">
        <f aca="false">X$364-YEAR(Inputs!$G$26)</f>
        <v>9</v>
      </c>
      <c r="Y482" s="73" t="n">
        <f aca="false">Y$364-YEAR(Inputs!$G$26)</f>
        <v>10</v>
      </c>
      <c r="Z482" s="73" t="n">
        <f aca="false">Z$364-YEAR(Inputs!$G$26)</f>
        <v>11</v>
      </c>
      <c r="AA482" s="73" t="n">
        <f aca="false">AA$364-YEAR(Inputs!$G$26)</f>
        <v>12</v>
      </c>
      <c r="AB482" s="73" t="n">
        <f aca="false">AB$364-YEAR(Inputs!$G$26)</f>
        <v>13</v>
      </c>
      <c r="AC482" s="73" t="n">
        <f aca="false">AC$364-YEAR(Inputs!$G$26)</f>
        <v>14</v>
      </c>
      <c r="AD482" s="73" t="n">
        <f aca="false">AD$364-YEAR(Inputs!$G$26)</f>
        <v>15</v>
      </c>
      <c r="AE482" s="73" t="n">
        <f aca="false">AE$364-YEAR(Inputs!$G$26)</f>
        <v>16</v>
      </c>
      <c r="AF482" s="73" t="n">
        <f aca="false">AF$364-YEAR(Inputs!$G$26)</f>
        <v>17</v>
      </c>
      <c r="AG482" s="73" t="n">
        <f aca="false">AG$364-YEAR(Inputs!$G$26)</f>
        <v>18</v>
      </c>
      <c r="AH482" s="73" t="n">
        <f aca="false">AH$364-YEAR(Inputs!$G$26)</f>
        <v>19</v>
      </c>
      <c r="AI482" s="73" t="n">
        <f aca="false">AI$364-YEAR(Inputs!$G$26)</f>
        <v>20</v>
      </c>
      <c r="AJ482" s="73" t="n">
        <f aca="false">AJ$364-YEAR(Inputs!$G$26)</f>
        <v>21</v>
      </c>
      <c r="AK482" s="73" t="n">
        <f aca="false">AK$364-YEAR(Inputs!$G$26)</f>
        <v>22</v>
      </c>
      <c r="AL482" s="73" t="n">
        <f aca="false">AL$364-YEAR(Inputs!$G$26)</f>
        <v>23</v>
      </c>
      <c r="AM482" s="73" t="n">
        <f aca="false">AM$364-YEAR(Inputs!$G$26)</f>
        <v>24</v>
      </c>
      <c r="AN482" s="73" t="n">
        <f aca="false">AN$364-YEAR(Inputs!$G$26)</f>
        <v>25</v>
      </c>
      <c r="AO482" s="73" t="n">
        <f aca="false">AO$364-YEAR(Inputs!$G$26)</f>
        <v>26</v>
      </c>
      <c r="AP482" s="73" t="n">
        <f aca="false">AP$364-YEAR(Inputs!$G$26)</f>
        <v>27</v>
      </c>
      <c r="AQ482" s="73" t="n">
        <f aca="false">AQ$364-YEAR(Inputs!$G$26)</f>
        <v>28</v>
      </c>
      <c r="AR482" s="73" t="n">
        <f aca="false">AR$364-YEAR(Inputs!$G$26)</f>
        <v>29</v>
      </c>
      <c r="AS482" s="73" t="n">
        <f aca="false">AS$364-YEAR(Inputs!$G$26)</f>
        <v>30</v>
      </c>
      <c r="AT482" s="73" t="n">
        <f aca="false">AT$364-YEAR(Inputs!$G$26)</f>
        <v>31</v>
      </c>
      <c r="AU482" s="73" t="n">
        <f aca="false">AU$364-YEAR(Inputs!$G$26)</f>
        <v>32</v>
      </c>
      <c r="AV482" s="73" t="n">
        <f aca="false">AV$364-YEAR(Inputs!$G$26)</f>
        <v>33</v>
      </c>
      <c r="AW482" s="73" t="n">
        <f aca="false">AW$364-YEAR(Inputs!$G$26)</f>
        <v>34</v>
      </c>
    </row>
    <row r="483" customFormat="false" ht="14.25" hidden="false" customHeight="false" outlineLevel="0" collapsed="false">
      <c r="C483" s="6" t="s">
        <v>294</v>
      </c>
      <c r="D483" s="2" t="s">
        <v>295</v>
      </c>
      <c r="G483" s="73" t="n">
        <f aca="false">DATEDIF(Inputs!$G$25,Inputs!$G$26,"m")</f>
        <v>24</v>
      </c>
      <c r="J483" s="73" t="n">
        <f aca="false">(J$364+1-YEAR(Inputs!$G$25))*Months_In_Year-MONTH(Inputs!$G$25)</f>
        <v>-30</v>
      </c>
      <c r="K483" s="73" t="n">
        <f aca="false">(K$364+1-YEAR(Inputs!$G$25))*Months_In_Year-MONTH(Inputs!$G$25)</f>
        <v>-18</v>
      </c>
      <c r="L483" s="73" t="n">
        <f aca="false">(L$364+1-YEAR(Inputs!$G$25))*Months_In_Year-MONTH(Inputs!$G$25)</f>
        <v>-6</v>
      </c>
      <c r="M483" s="73" t="n">
        <f aca="false">(M$364+1-YEAR(Inputs!$G$25))*Months_In_Year-MONTH(Inputs!$G$25)</f>
        <v>6</v>
      </c>
      <c r="N483" s="73" t="n">
        <f aca="false">(N$364+1-YEAR(Inputs!$G$25))*Months_In_Year-MONTH(Inputs!$G$25)</f>
        <v>18</v>
      </c>
      <c r="O483" s="73" t="n">
        <f aca="false">(O$364+1-YEAR(Inputs!$G$25))*Months_In_Year-MONTH(Inputs!$G$25)</f>
        <v>30</v>
      </c>
      <c r="P483" s="73" t="n">
        <f aca="false">(P$364+1-YEAR(Inputs!$G$25))*Months_In_Year-MONTH(Inputs!$G$25)</f>
        <v>42</v>
      </c>
      <c r="Q483" s="73" t="n">
        <f aca="false">(Q$364+1-YEAR(Inputs!$G$25))*Months_In_Year-MONTH(Inputs!$G$25)</f>
        <v>54</v>
      </c>
      <c r="R483" s="73" t="n">
        <f aca="false">(R$364+1-YEAR(Inputs!$G$25))*Months_In_Year-MONTH(Inputs!$G$25)</f>
        <v>66</v>
      </c>
      <c r="S483" s="73" t="n">
        <f aca="false">(S$364+1-YEAR(Inputs!$G$25))*Months_In_Year-MONTH(Inputs!$G$25)</f>
        <v>78</v>
      </c>
      <c r="T483" s="73" t="n">
        <f aca="false">(T$364+1-YEAR(Inputs!$G$25))*Months_In_Year-MONTH(Inputs!$G$25)</f>
        <v>90</v>
      </c>
      <c r="U483" s="73" t="n">
        <f aca="false">(U$364+1-YEAR(Inputs!$G$25))*Months_In_Year-MONTH(Inputs!$G$25)</f>
        <v>102</v>
      </c>
      <c r="V483" s="73" t="n">
        <f aca="false">(V$364+1-YEAR(Inputs!$G$25))*Months_In_Year-MONTH(Inputs!$G$25)</f>
        <v>114</v>
      </c>
      <c r="W483" s="73" t="n">
        <f aca="false">(W$364+1-YEAR(Inputs!$G$25))*Months_In_Year-MONTH(Inputs!$G$25)</f>
        <v>126</v>
      </c>
      <c r="X483" s="73" t="n">
        <f aca="false">(X$364+1-YEAR(Inputs!$G$25))*Months_In_Year-MONTH(Inputs!$G$25)</f>
        <v>138</v>
      </c>
      <c r="Y483" s="73" t="n">
        <f aca="false">(Y$364+1-YEAR(Inputs!$G$25))*Months_In_Year-MONTH(Inputs!$G$25)</f>
        <v>150</v>
      </c>
      <c r="Z483" s="73" t="n">
        <f aca="false">(Z$364+1-YEAR(Inputs!$G$25))*Months_In_Year-MONTH(Inputs!$G$25)</f>
        <v>162</v>
      </c>
      <c r="AA483" s="73" t="n">
        <f aca="false">(AA$364+1-YEAR(Inputs!$G$25))*Months_In_Year-MONTH(Inputs!$G$25)</f>
        <v>174</v>
      </c>
      <c r="AB483" s="73" t="n">
        <f aca="false">(AB$364+1-YEAR(Inputs!$G$25))*Months_In_Year-MONTH(Inputs!$G$25)</f>
        <v>186</v>
      </c>
      <c r="AC483" s="73" t="n">
        <f aca="false">(AC$364+1-YEAR(Inputs!$G$25))*Months_In_Year-MONTH(Inputs!$G$25)</f>
        <v>198</v>
      </c>
      <c r="AD483" s="73" t="n">
        <f aca="false">(AD$364+1-YEAR(Inputs!$G$25))*Months_In_Year-MONTH(Inputs!$G$25)</f>
        <v>210</v>
      </c>
      <c r="AE483" s="73" t="n">
        <f aca="false">(AE$364+1-YEAR(Inputs!$G$25))*Months_In_Year-MONTH(Inputs!$G$25)</f>
        <v>222</v>
      </c>
      <c r="AF483" s="73" t="n">
        <f aca="false">(AF$364+1-YEAR(Inputs!$G$25))*Months_In_Year-MONTH(Inputs!$G$25)</f>
        <v>234</v>
      </c>
      <c r="AG483" s="73" t="n">
        <f aca="false">(AG$364+1-YEAR(Inputs!$G$25))*Months_In_Year-MONTH(Inputs!$G$25)</f>
        <v>246</v>
      </c>
      <c r="AH483" s="73" t="n">
        <f aca="false">(AH$364+1-YEAR(Inputs!$G$25))*Months_In_Year-MONTH(Inputs!$G$25)</f>
        <v>258</v>
      </c>
      <c r="AI483" s="73" t="n">
        <f aca="false">(AI$364+1-YEAR(Inputs!$G$25))*Months_In_Year-MONTH(Inputs!$G$25)</f>
        <v>270</v>
      </c>
      <c r="AJ483" s="73" t="n">
        <f aca="false">(AJ$364+1-YEAR(Inputs!$G$25))*Months_In_Year-MONTH(Inputs!$G$25)</f>
        <v>282</v>
      </c>
      <c r="AK483" s="73" t="n">
        <f aca="false">(AK$364+1-YEAR(Inputs!$G$25))*Months_In_Year-MONTH(Inputs!$G$25)</f>
        <v>294</v>
      </c>
      <c r="AL483" s="73" t="n">
        <f aca="false">(AL$364+1-YEAR(Inputs!$G$25))*Months_In_Year-MONTH(Inputs!$G$25)</f>
        <v>306</v>
      </c>
      <c r="AM483" s="73" t="n">
        <f aca="false">(AM$364+1-YEAR(Inputs!$G$25))*Months_In_Year-MONTH(Inputs!$G$25)</f>
        <v>318</v>
      </c>
      <c r="AN483" s="73" t="n">
        <f aca="false">(AN$364+1-YEAR(Inputs!$G$25))*Months_In_Year-MONTH(Inputs!$G$25)</f>
        <v>330</v>
      </c>
      <c r="AO483" s="73" t="n">
        <f aca="false">(AO$364+1-YEAR(Inputs!$G$25))*Months_In_Year-MONTH(Inputs!$G$25)</f>
        <v>342</v>
      </c>
      <c r="AP483" s="73" t="n">
        <f aca="false">(AP$364+1-YEAR(Inputs!$G$25))*Months_In_Year-MONTH(Inputs!$G$25)</f>
        <v>354</v>
      </c>
      <c r="AQ483" s="73" t="n">
        <f aca="false">(AQ$364+1-YEAR(Inputs!$G$25))*Months_In_Year-MONTH(Inputs!$G$25)</f>
        <v>366</v>
      </c>
      <c r="AR483" s="73" t="n">
        <f aca="false">(AR$364+1-YEAR(Inputs!$G$25))*Months_In_Year-MONTH(Inputs!$G$25)</f>
        <v>378</v>
      </c>
      <c r="AS483" s="73" t="n">
        <f aca="false">(AS$364+1-YEAR(Inputs!$G$25))*Months_In_Year-MONTH(Inputs!$G$25)</f>
        <v>390</v>
      </c>
      <c r="AT483" s="73" t="n">
        <f aca="false">(AT$364+1-YEAR(Inputs!$G$25))*Months_In_Year-MONTH(Inputs!$G$25)</f>
        <v>402</v>
      </c>
      <c r="AU483" s="73" t="n">
        <f aca="false">(AU$364+1-YEAR(Inputs!$G$25))*Months_In_Year-MONTH(Inputs!$G$25)</f>
        <v>414</v>
      </c>
      <c r="AV483" s="73" t="n">
        <f aca="false">(AV$364+1-YEAR(Inputs!$G$25))*Months_In_Year-MONTH(Inputs!$G$25)</f>
        <v>426</v>
      </c>
      <c r="AW483" s="73" t="n">
        <f aca="false">(AW$364+1-YEAR(Inputs!$G$25))*Months_In_Year-MONTH(Inputs!$G$25)</f>
        <v>438</v>
      </c>
    </row>
    <row r="484" customFormat="false" ht="14.25" hidden="false" customHeight="false" outlineLevel="0" collapsed="false">
      <c r="C484" s="6" t="s">
        <v>296</v>
      </c>
      <c r="D484" s="2" t="s">
        <v>12</v>
      </c>
      <c r="H484" s="74" t="n">
        <f aca="false">SUM(J484:AW484)</f>
        <v>1</v>
      </c>
      <c r="J484" s="48" t="n">
        <f aca="false">MAX(0,MIN(J483,$G483)-MAX(J483-Months_In_Year,0))/$G483</f>
        <v>0</v>
      </c>
      <c r="K484" s="48" t="n">
        <f aca="false">MAX(0,MIN(K483,$G483)-MAX(K483-Months_In_Year,0))/$G483</f>
        <v>0</v>
      </c>
      <c r="L484" s="48" t="n">
        <f aca="false">MAX(0,MIN(L483,$G483)-MAX(L483-Months_In_Year,0))/$G483</f>
        <v>0</v>
      </c>
      <c r="M484" s="48" t="n">
        <f aca="false">MAX(0,MIN(M483,$G483)-MAX(M483-Months_In_Year,0))/$G483</f>
        <v>0.25</v>
      </c>
      <c r="N484" s="48" t="n">
        <f aca="false">MAX(0,MIN(N483,$G483)-MAX(N483-Months_In_Year,0))/$G483</f>
        <v>0.5</v>
      </c>
      <c r="O484" s="48" t="n">
        <f aca="false">MAX(0,MIN(O483,$G483)-MAX(O483-Months_In_Year,0))/$G483</f>
        <v>0.25</v>
      </c>
      <c r="P484" s="48" t="n">
        <f aca="false">MAX(0,MIN(P483,$G483)-MAX(P483-Months_In_Year,0))/$G483</f>
        <v>0</v>
      </c>
      <c r="Q484" s="48" t="n">
        <f aca="false">MAX(0,MIN(Q483,$G483)-MAX(Q483-Months_In_Year,0))/$G483</f>
        <v>0</v>
      </c>
      <c r="R484" s="48" t="n">
        <f aca="false">MAX(0,MIN(R483,$G483)-MAX(R483-Months_In_Year,0))/$G483</f>
        <v>0</v>
      </c>
      <c r="S484" s="48" t="n">
        <f aca="false">MAX(0,MIN(S483,$G483)-MAX(S483-Months_In_Year,0))/$G483</f>
        <v>0</v>
      </c>
      <c r="T484" s="48" t="n">
        <f aca="false">MAX(0,MIN(T483,$G483)-MAX(T483-Months_In_Year,0))/$G483</f>
        <v>0</v>
      </c>
      <c r="U484" s="48" t="n">
        <f aca="false">MAX(0,MIN(U483,$G483)-MAX(U483-Months_In_Year,0))/$G483</f>
        <v>0</v>
      </c>
      <c r="V484" s="48" t="n">
        <f aca="false">MAX(0,MIN(V483,$G483)-MAX(V483-Months_In_Year,0))/$G483</f>
        <v>0</v>
      </c>
      <c r="W484" s="48" t="n">
        <f aca="false">MAX(0,MIN(W483,$G483)-MAX(W483-Months_In_Year,0))/$G483</f>
        <v>0</v>
      </c>
      <c r="X484" s="48" t="n">
        <f aca="false">MAX(0,MIN(X483,$G483)-MAX(X483-Months_In_Year,0))/$G483</f>
        <v>0</v>
      </c>
      <c r="Y484" s="48" t="n">
        <f aca="false">MAX(0,MIN(Y483,$G483)-MAX(Y483-Months_In_Year,0))/$G483</f>
        <v>0</v>
      </c>
      <c r="Z484" s="48" t="n">
        <f aca="false">MAX(0,MIN(Z483,$G483)-MAX(Z483-Months_In_Year,0))/$G483</f>
        <v>0</v>
      </c>
      <c r="AA484" s="48" t="n">
        <f aca="false">MAX(0,MIN(AA483,$G483)-MAX(AA483-Months_In_Year,0))/$G483</f>
        <v>0</v>
      </c>
      <c r="AB484" s="48" t="n">
        <f aca="false">MAX(0,MIN(AB483,$G483)-MAX(AB483-Months_In_Year,0))/$G483</f>
        <v>0</v>
      </c>
      <c r="AC484" s="48" t="n">
        <f aca="false">MAX(0,MIN(AC483,$G483)-MAX(AC483-Months_In_Year,0))/$G483</f>
        <v>0</v>
      </c>
      <c r="AD484" s="48" t="n">
        <f aca="false">MAX(0,MIN(AD483,$G483)-MAX(AD483-Months_In_Year,0))/$G483</f>
        <v>0</v>
      </c>
      <c r="AE484" s="48" t="n">
        <f aca="false">MAX(0,MIN(AE483,$G483)-MAX(AE483-Months_In_Year,0))/$G483</f>
        <v>0</v>
      </c>
      <c r="AF484" s="48" t="n">
        <f aca="false">MAX(0,MIN(AF483,$G483)-MAX(AF483-Months_In_Year,0))/$G483</f>
        <v>0</v>
      </c>
      <c r="AG484" s="48" t="n">
        <f aca="false">MAX(0,MIN(AG483,$G483)-MAX(AG483-Months_In_Year,0))/$G483</f>
        <v>0</v>
      </c>
      <c r="AH484" s="48" t="n">
        <f aca="false">MAX(0,MIN(AH483,$G483)-MAX(AH483-Months_In_Year,0))/$G483</f>
        <v>0</v>
      </c>
      <c r="AI484" s="48" t="n">
        <f aca="false">MAX(0,MIN(AI483,$G483)-MAX(AI483-Months_In_Year,0))/$G483</f>
        <v>0</v>
      </c>
      <c r="AJ484" s="48" t="n">
        <f aca="false">MAX(0,MIN(AJ483,$G483)-MAX(AJ483-Months_In_Year,0))/$G483</f>
        <v>0</v>
      </c>
      <c r="AK484" s="48" t="n">
        <f aca="false">MAX(0,MIN(AK483,$G483)-MAX(AK483-Months_In_Year,0))/$G483</f>
        <v>0</v>
      </c>
      <c r="AL484" s="48" t="n">
        <f aca="false">MAX(0,MIN(AL483,$G483)-MAX(AL483-Months_In_Year,0))/$G483</f>
        <v>0</v>
      </c>
      <c r="AM484" s="48" t="n">
        <f aca="false">MAX(0,MIN(AM483,$G483)-MAX(AM483-Months_In_Year,0))/$G483</f>
        <v>0</v>
      </c>
      <c r="AN484" s="48" t="n">
        <f aca="false">MAX(0,MIN(AN483,$G483)-MAX(AN483-Months_In_Year,0))/$G483</f>
        <v>0</v>
      </c>
      <c r="AO484" s="48" t="n">
        <f aca="false">MAX(0,MIN(AO483,$G483)-MAX(AO483-Months_In_Year,0))/$G483</f>
        <v>0</v>
      </c>
      <c r="AP484" s="48" t="n">
        <f aca="false">MAX(0,MIN(AP483,$G483)-MAX(AP483-Months_In_Year,0))/$G483</f>
        <v>0</v>
      </c>
      <c r="AQ484" s="48" t="n">
        <f aca="false">MAX(0,MIN(AQ483,$G483)-MAX(AQ483-Months_In_Year,0))/$G483</f>
        <v>0</v>
      </c>
      <c r="AR484" s="48" t="n">
        <f aca="false">MAX(0,MIN(AR483,$G483)-MAX(AR483-Months_In_Year,0))/$G483</f>
        <v>0</v>
      </c>
      <c r="AS484" s="48" t="n">
        <f aca="false">MAX(0,MIN(AS483,$G483)-MAX(AS483-Months_In_Year,0))/$G483</f>
        <v>0</v>
      </c>
      <c r="AT484" s="48" t="n">
        <f aca="false">MAX(0,MIN(AT483,$G483)-MAX(AT483-Months_In_Year,0))/$G483</f>
        <v>0</v>
      </c>
      <c r="AU484" s="48" t="n">
        <f aca="false">MAX(0,MIN(AU483,$G483)-MAX(AU483-Months_In_Year,0))/$G483</f>
        <v>0</v>
      </c>
      <c r="AV484" s="48" t="n">
        <f aca="false">MAX(0,MIN(AV483,$G483)-MAX(AV483-Months_In_Year,0))/$G483</f>
        <v>0</v>
      </c>
      <c r="AW484" s="48" t="n">
        <f aca="false">MAX(0,MIN(AW483,$G483)-MAX(AW483-Months_In_Year,0))/$G483</f>
        <v>0</v>
      </c>
    </row>
    <row r="485" customFormat="false" ht="14.25" hidden="false" customHeight="false" outlineLevel="0" collapsed="false">
      <c r="C485" s="6" t="s">
        <v>297</v>
      </c>
      <c r="D485" s="2" t="s">
        <v>295</v>
      </c>
      <c r="G485" s="73" t="n">
        <f aca="false">Life*Months_In_Year</f>
        <v>360</v>
      </c>
      <c r="J485" s="73" t="n">
        <f aca="false">(J$364+1-YEAR(Inputs!$G$26))*Months_In_Year-MONTH(Inputs!$G$26)</f>
        <v>-54</v>
      </c>
      <c r="K485" s="73" t="n">
        <f aca="false">(K$364+1-YEAR(Inputs!$G$26))*Months_In_Year-MONTH(Inputs!$G$26)</f>
        <v>-42</v>
      </c>
      <c r="L485" s="73" t="n">
        <f aca="false">(L$364+1-YEAR(Inputs!$G$26))*Months_In_Year-MONTH(Inputs!$G$26)</f>
        <v>-30</v>
      </c>
      <c r="M485" s="73" t="n">
        <f aca="false">(M$364+1-YEAR(Inputs!$G$26))*Months_In_Year-MONTH(Inputs!$G$26)</f>
        <v>-18</v>
      </c>
      <c r="N485" s="73" t="n">
        <f aca="false">(N$364+1-YEAR(Inputs!$G$26))*Months_In_Year-MONTH(Inputs!$G$26)</f>
        <v>-6</v>
      </c>
      <c r="O485" s="73" t="n">
        <f aca="false">(O$364+1-YEAR(Inputs!$G$26))*Months_In_Year-MONTH(Inputs!$G$26)</f>
        <v>6</v>
      </c>
      <c r="P485" s="73" t="n">
        <f aca="false">(P$364+1-YEAR(Inputs!$G$26))*Months_In_Year-MONTH(Inputs!$G$26)</f>
        <v>18</v>
      </c>
      <c r="Q485" s="73" t="n">
        <f aca="false">(Q$364+1-YEAR(Inputs!$G$26))*Months_In_Year-MONTH(Inputs!$G$26)</f>
        <v>30</v>
      </c>
      <c r="R485" s="73" t="n">
        <f aca="false">(R$364+1-YEAR(Inputs!$G$26))*Months_In_Year-MONTH(Inputs!$G$26)</f>
        <v>42</v>
      </c>
      <c r="S485" s="73" t="n">
        <f aca="false">(S$364+1-YEAR(Inputs!$G$26))*Months_In_Year-MONTH(Inputs!$G$26)</f>
        <v>54</v>
      </c>
      <c r="T485" s="73" t="n">
        <f aca="false">(T$364+1-YEAR(Inputs!$G$26))*Months_In_Year-MONTH(Inputs!$G$26)</f>
        <v>66</v>
      </c>
      <c r="U485" s="73" t="n">
        <f aca="false">(U$364+1-YEAR(Inputs!$G$26))*Months_In_Year-MONTH(Inputs!$G$26)</f>
        <v>78</v>
      </c>
      <c r="V485" s="73" t="n">
        <f aca="false">(V$364+1-YEAR(Inputs!$G$26))*Months_In_Year-MONTH(Inputs!$G$26)</f>
        <v>90</v>
      </c>
      <c r="W485" s="73" t="n">
        <f aca="false">(W$364+1-YEAR(Inputs!$G$26))*Months_In_Year-MONTH(Inputs!$G$26)</f>
        <v>102</v>
      </c>
      <c r="X485" s="73" t="n">
        <f aca="false">(X$364+1-YEAR(Inputs!$G$26))*Months_In_Year-MONTH(Inputs!$G$26)</f>
        <v>114</v>
      </c>
      <c r="Y485" s="73" t="n">
        <f aca="false">(Y$364+1-YEAR(Inputs!$G$26))*Months_In_Year-MONTH(Inputs!$G$26)</f>
        <v>126</v>
      </c>
      <c r="Z485" s="73" t="n">
        <f aca="false">(Z$364+1-YEAR(Inputs!$G$26))*Months_In_Year-MONTH(Inputs!$G$26)</f>
        <v>138</v>
      </c>
      <c r="AA485" s="73" t="n">
        <f aca="false">(AA$364+1-YEAR(Inputs!$G$26))*Months_In_Year-MONTH(Inputs!$G$26)</f>
        <v>150</v>
      </c>
      <c r="AB485" s="73" t="n">
        <f aca="false">(AB$364+1-YEAR(Inputs!$G$26))*Months_In_Year-MONTH(Inputs!$G$26)</f>
        <v>162</v>
      </c>
      <c r="AC485" s="73" t="n">
        <f aca="false">(AC$364+1-YEAR(Inputs!$G$26))*Months_In_Year-MONTH(Inputs!$G$26)</f>
        <v>174</v>
      </c>
      <c r="AD485" s="73" t="n">
        <f aca="false">(AD$364+1-YEAR(Inputs!$G$26))*Months_In_Year-MONTH(Inputs!$G$26)</f>
        <v>186</v>
      </c>
      <c r="AE485" s="73" t="n">
        <f aca="false">(AE$364+1-YEAR(Inputs!$G$26))*Months_In_Year-MONTH(Inputs!$G$26)</f>
        <v>198</v>
      </c>
      <c r="AF485" s="73" t="n">
        <f aca="false">(AF$364+1-YEAR(Inputs!$G$26))*Months_In_Year-MONTH(Inputs!$G$26)</f>
        <v>210</v>
      </c>
      <c r="AG485" s="73" t="n">
        <f aca="false">(AG$364+1-YEAR(Inputs!$G$26))*Months_In_Year-MONTH(Inputs!$G$26)</f>
        <v>222</v>
      </c>
      <c r="AH485" s="73" t="n">
        <f aca="false">(AH$364+1-YEAR(Inputs!$G$26))*Months_In_Year-MONTH(Inputs!$G$26)</f>
        <v>234</v>
      </c>
      <c r="AI485" s="73" t="n">
        <f aca="false">(AI$364+1-YEAR(Inputs!$G$26))*Months_In_Year-MONTH(Inputs!$G$26)</f>
        <v>246</v>
      </c>
      <c r="AJ485" s="73" t="n">
        <f aca="false">(AJ$364+1-YEAR(Inputs!$G$26))*Months_In_Year-MONTH(Inputs!$G$26)</f>
        <v>258</v>
      </c>
      <c r="AK485" s="73" t="n">
        <f aca="false">(AK$364+1-YEAR(Inputs!$G$26))*Months_In_Year-MONTH(Inputs!$G$26)</f>
        <v>270</v>
      </c>
      <c r="AL485" s="73" t="n">
        <f aca="false">(AL$364+1-YEAR(Inputs!$G$26))*Months_In_Year-MONTH(Inputs!$G$26)</f>
        <v>282</v>
      </c>
      <c r="AM485" s="73" t="n">
        <f aca="false">(AM$364+1-YEAR(Inputs!$G$26))*Months_In_Year-MONTH(Inputs!$G$26)</f>
        <v>294</v>
      </c>
      <c r="AN485" s="73" t="n">
        <f aca="false">(AN$364+1-YEAR(Inputs!$G$26))*Months_In_Year-MONTH(Inputs!$G$26)</f>
        <v>306</v>
      </c>
      <c r="AO485" s="73" t="n">
        <f aca="false">(AO$364+1-YEAR(Inputs!$G$26))*Months_In_Year-MONTH(Inputs!$G$26)</f>
        <v>318</v>
      </c>
      <c r="AP485" s="73" t="n">
        <f aca="false">(AP$364+1-YEAR(Inputs!$G$26))*Months_In_Year-MONTH(Inputs!$G$26)</f>
        <v>330</v>
      </c>
      <c r="AQ485" s="73" t="n">
        <f aca="false">(AQ$364+1-YEAR(Inputs!$G$26))*Months_In_Year-MONTH(Inputs!$G$26)</f>
        <v>342</v>
      </c>
      <c r="AR485" s="73" t="n">
        <f aca="false">(AR$364+1-YEAR(Inputs!$G$26))*Months_In_Year-MONTH(Inputs!$G$26)</f>
        <v>354</v>
      </c>
      <c r="AS485" s="73" t="n">
        <f aca="false">(AS$364+1-YEAR(Inputs!$G$26))*Months_In_Year-MONTH(Inputs!$G$26)</f>
        <v>366</v>
      </c>
      <c r="AT485" s="73" t="n">
        <f aca="false">(AT$364+1-YEAR(Inputs!$G$26))*Months_In_Year-MONTH(Inputs!$G$26)</f>
        <v>378</v>
      </c>
      <c r="AU485" s="73" t="n">
        <f aca="false">(AU$364+1-YEAR(Inputs!$G$26))*Months_In_Year-MONTH(Inputs!$G$26)</f>
        <v>390</v>
      </c>
      <c r="AV485" s="73" t="n">
        <f aca="false">(AV$364+1-YEAR(Inputs!$G$26))*Months_In_Year-MONTH(Inputs!$G$26)</f>
        <v>402</v>
      </c>
      <c r="AW485" s="73" t="n">
        <f aca="false">(AW$364+1-YEAR(Inputs!$G$26))*Months_In_Year-MONTH(Inputs!$G$26)</f>
        <v>414</v>
      </c>
    </row>
    <row r="486" customFormat="false" ht="14.25" hidden="false" customHeight="false" outlineLevel="0" collapsed="false">
      <c r="C486" s="6" t="s">
        <v>298</v>
      </c>
      <c r="D486" s="2" t="s">
        <v>12</v>
      </c>
      <c r="H486" s="74" t="n">
        <f aca="false">SUM(J486:AW486)</f>
        <v>30</v>
      </c>
      <c r="J486" s="48" t="n">
        <f aca="false">MAX(0,MIN(J485,$G485)-MAX(J485-Months_In_Year,0))/Months_In_Year</f>
        <v>0</v>
      </c>
      <c r="K486" s="48" t="n">
        <f aca="false">MAX(0,MIN(K485,$G485)-MAX(K485-Months_In_Year,0))/Months_In_Year</f>
        <v>0</v>
      </c>
      <c r="L486" s="48" t="n">
        <f aca="false">MAX(0,MIN(L485,$G485)-MAX(L485-Months_In_Year,0))/Months_In_Year</f>
        <v>0</v>
      </c>
      <c r="M486" s="48" t="n">
        <f aca="false">MAX(0,MIN(M485,$G485)-MAX(M485-Months_In_Year,0))/Months_In_Year</f>
        <v>0</v>
      </c>
      <c r="N486" s="48" t="n">
        <f aca="false">MAX(0,MIN(N485,$G485)-MAX(N485-Months_In_Year,0))/Months_In_Year</f>
        <v>0</v>
      </c>
      <c r="O486" s="48" t="n">
        <f aca="false">MAX(0,MIN(O485,$G485)-MAX(O485-Months_In_Year,0))/Months_In_Year</f>
        <v>0.5</v>
      </c>
      <c r="P486" s="48" t="n">
        <f aca="false">MAX(0,MIN(P485,$G485)-MAX(P485-Months_In_Year,0))/Months_In_Year</f>
        <v>1</v>
      </c>
      <c r="Q486" s="48" t="n">
        <f aca="false">MAX(0,MIN(Q485,$G485)-MAX(Q485-Months_In_Year,0))/Months_In_Year</f>
        <v>1</v>
      </c>
      <c r="R486" s="48" t="n">
        <f aca="false">MAX(0,MIN(R485,$G485)-MAX(R485-Months_In_Year,0))/Months_In_Year</f>
        <v>1</v>
      </c>
      <c r="S486" s="48" t="n">
        <f aca="false">MAX(0,MIN(S485,$G485)-MAX(S485-Months_In_Year,0))/Months_In_Year</f>
        <v>1</v>
      </c>
      <c r="T486" s="48" t="n">
        <f aca="false">MAX(0,MIN(T485,$G485)-MAX(T485-Months_In_Year,0))/Months_In_Year</f>
        <v>1</v>
      </c>
      <c r="U486" s="48" t="n">
        <f aca="false">MAX(0,MIN(U485,$G485)-MAX(U485-Months_In_Year,0))/Months_In_Year</f>
        <v>1</v>
      </c>
      <c r="V486" s="48" t="n">
        <f aca="false">MAX(0,MIN(V485,$G485)-MAX(V485-Months_In_Year,0))/Months_In_Year</f>
        <v>1</v>
      </c>
      <c r="W486" s="48" t="n">
        <f aca="false">MAX(0,MIN(W485,$G485)-MAX(W485-Months_In_Year,0))/Months_In_Year</f>
        <v>1</v>
      </c>
      <c r="X486" s="48" t="n">
        <f aca="false">MAX(0,MIN(X485,$G485)-MAX(X485-Months_In_Year,0))/Months_In_Year</f>
        <v>1</v>
      </c>
      <c r="Y486" s="48" t="n">
        <f aca="false">MAX(0,MIN(Y485,$G485)-MAX(Y485-Months_In_Year,0))/Months_In_Year</f>
        <v>1</v>
      </c>
      <c r="Z486" s="48" t="n">
        <f aca="false">MAX(0,MIN(Z485,$G485)-MAX(Z485-Months_In_Year,0))/Months_In_Year</f>
        <v>1</v>
      </c>
      <c r="AA486" s="48" t="n">
        <f aca="false">MAX(0,MIN(AA485,$G485)-MAX(AA485-Months_In_Year,0))/Months_In_Year</f>
        <v>1</v>
      </c>
      <c r="AB486" s="48" t="n">
        <f aca="false">MAX(0,MIN(AB485,$G485)-MAX(AB485-Months_In_Year,0))/Months_In_Year</f>
        <v>1</v>
      </c>
      <c r="AC486" s="48" t="n">
        <f aca="false">MAX(0,MIN(AC485,$G485)-MAX(AC485-Months_In_Year,0))/Months_In_Year</f>
        <v>1</v>
      </c>
      <c r="AD486" s="48" t="n">
        <f aca="false">MAX(0,MIN(AD485,$G485)-MAX(AD485-Months_In_Year,0))/Months_In_Year</f>
        <v>1</v>
      </c>
      <c r="AE486" s="48" t="n">
        <f aca="false">MAX(0,MIN(AE485,$G485)-MAX(AE485-Months_In_Year,0))/Months_In_Year</f>
        <v>1</v>
      </c>
      <c r="AF486" s="48" t="n">
        <f aca="false">MAX(0,MIN(AF485,$G485)-MAX(AF485-Months_In_Year,0))/Months_In_Year</f>
        <v>1</v>
      </c>
      <c r="AG486" s="48" t="n">
        <f aca="false">MAX(0,MIN(AG485,$G485)-MAX(AG485-Months_In_Year,0))/Months_In_Year</f>
        <v>1</v>
      </c>
      <c r="AH486" s="48" t="n">
        <f aca="false">MAX(0,MIN(AH485,$G485)-MAX(AH485-Months_In_Year,0))/Months_In_Year</f>
        <v>1</v>
      </c>
      <c r="AI486" s="48" t="n">
        <f aca="false">MAX(0,MIN(AI485,$G485)-MAX(AI485-Months_In_Year,0))/Months_In_Year</f>
        <v>1</v>
      </c>
      <c r="AJ486" s="48" t="n">
        <f aca="false">MAX(0,MIN(AJ485,$G485)-MAX(AJ485-Months_In_Year,0))/Months_In_Year</f>
        <v>1</v>
      </c>
      <c r="AK486" s="48" t="n">
        <f aca="false">MAX(0,MIN(AK485,$G485)-MAX(AK485-Months_In_Year,0))/Months_In_Year</f>
        <v>1</v>
      </c>
      <c r="AL486" s="48" t="n">
        <f aca="false">MAX(0,MIN(AL485,$G485)-MAX(AL485-Months_In_Year,0))/Months_In_Year</f>
        <v>1</v>
      </c>
      <c r="AM486" s="48" t="n">
        <f aca="false">MAX(0,MIN(AM485,$G485)-MAX(AM485-Months_In_Year,0))/Months_In_Year</f>
        <v>1</v>
      </c>
      <c r="AN486" s="48" t="n">
        <f aca="false">MAX(0,MIN(AN485,$G485)-MAX(AN485-Months_In_Year,0))/Months_In_Year</f>
        <v>1</v>
      </c>
      <c r="AO486" s="48" t="n">
        <f aca="false">MAX(0,MIN(AO485,$G485)-MAX(AO485-Months_In_Year,0))/Months_In_Year</f>
        <v>1</v>
      </c>
      <c r="AP486" s="48" t="n">
        <f aca="false">MAX(0,MIN(AP485,$G485)-MAX(AP485-Months_In_Year,0))/Months_In_Year</f>
        <v>1</v>
      </c>
      <c r="AQ486" s="48" t="n">
        <f aca="false">MAX(0,MIN(AQ485,$G485)-MAX(AQ485-Months_In_Year,0))/Months_In_Year</f>
        <v>1</v>
      </c>
      <c r="AR486" s="48" t="n">
        <f aca="false">MAX(0,MIN(AR485,$G485)-MAX(AR485-Months_In_Year,0))/Months_In_Year</f>
        <v>1</v>
      </c>
      <c r="AS486" s="48" t="n">
        <f aca="false">MAX(0,MIN(AS485,$G485)-MAX(AS485-Months_In_Year,0))/Months_In_Year</f>
        <v>0.5</v>
      </c>
      <c r="AT486" s="48" t="n">
        <f aca="false">MAX(0,MIN(AT485,$G485)-MAX(AT485-Months_In_Year,0))/Months_In_Year</f>
        <v>0</v>
      </c>
      <c r="AU486" s="48" t="n">
        <f aca="false">MAX(0,MIN(AU485,$G485)-MAX(AU485-Months_In_Year,0))/Months_In_Year</f>
        <v>0</v>
      </c>
      <c r="AV486" s="48" t="n">
        <f aca="false">MAX(0,MIN(AV485,$G485)-MAX(AV485-Months_In_Year,0))/Months_In_Year</f>
        <v>0</v>
      </c>
      <c r="AW486" s="48" t="n">
        <f aca="false">MAX(0,MIN(AW485,$G485)-MAX(AW485-Months_In_Year,0))/Months_In_Year</f>
        <v>0</v>
      </c>
    </row>
    <row r="487" customFormat="false" ht="14.25" hidden="false" customHeight="false" outlineLevel="0" collapsed="false">
      <c r="C487" s="6" t="s">
        <v>299</v>
      </c>
      <c r="D487" s="2" t="s">
        <v>2</v>
      </c>
      <c r="J487" s="75" t="n">
        <f aca="false">N(J482=0)</f>
        <v>0</v>
      </c>
      <c r="K487" s="75" t="n">
        <f aca="false">N(K482=0)</f>
        <v>0</v>
      </c>
      <c r="L487" s="75" t="n">
        <f aca="false">N(L482=0)</f>
        <v>0</v>
      </c>
      <c r="M487" s="75" t="n">
        <f aca="false">N(M482=0)</f>
        <v>0</v>
      </c>
      <c r="N487" s="75" t="n">
        <f aca="false">N(N482=0)</f>
        <v>0</v>
      </c>
      <c r="O487" s="75" t="n">
        <f aca="false">N(O482=0)</f>
        <v>1</v>
      </c>
      <c r="P487" s="75" t="n">
        <f aca="false">N(P482=0)</f>
        <v>0</v>
      </c>
      <c r="Q487" s="75" t="n">
        <f aca="false">N(Q482=0)</f>
        <v>0</v>
      </c>
      <c r="R487" s="75" t="n">
        <f aca="false">N(R482=0)</f>
        <v>0</v>
      </c>
      <c r="S487" s="75" t="n">
        <f aca="false">N(S482=0)</f>
        <v>0</v>
      </c>
      <c r="T487" s="75" t="n">
        <f aca="false">N(T482=0)</f>
        <v>0</v>
      </c>
      <c r="U487" s="75" t="n">
        <f aca="false">N(U482=0)</f>
        <v>0</v>
      </c>
      <c r="V487" s="75" t="n">
        <f aca="false">N(V482=0)</f>
        <v>0</v>
      </c>
      <c r="W487" s="75" t="n">
        <f aca="false">N(W482=0)</f>
        <v>0</v>
      </c>
      <c r="X487" s="75" t="n">
        <f aca="false">N(X482=0)</f>
        <v>0</v>
      </c>
      <c r="Y487" s="75" t="n">
        <f aca="false">N(Y482=0)</f>
        <v>0</v>
      </c>
      <c r="Z487" s="75" t="n">
        <f aca="false">N(Z482=0)</f>
        <v>0</v>
      </c>
      <c r="AA487" s="75" t="n">
        <f aca="false">N(AA482=0)</f>
        <v>0</v>
      </c>
      <c r="AB487" s="75" t="n">
        <f aca="false">N(AB482=0)</f>
        <v>0</v>
      </c>
      <c r="AC487" s="75" t="n">
        <f aca="false">N(AC482=0)</f>
        <v>0</v>
      </c>
      <c r="AD487" s="75" t="n">
        <f aca="false">N(AD482=0)</f>
        <v>0</v>
      </c>
      <c r="AE487" s="75" t="n">
        <f aca="false">N(AE482=0)</f>
        <v>0</v>
      </c>
      <c r="AF487" s="75" t="n">
        <f aca="false">N(AF482=0)</f>
        <v>0</v>
      </c>
      <c r="AG487" s="75" t="n">
        <f aca="false">N(AG482=0)</f>
        <v>0</v>
      </c>
      <c r="AH487" s="75" t="n">
        <f aca="false">N(AH482=0)</f>
        <v>0</v>
      </c>
      <c r="AI487" s="75" t="n">
        <f aca="false">N(AI482=0)</f>
        <v>0</v>
      </c>
      <c r="AJ487" s="75" t="n">
        <f aca="false">N(AJ482=0)</f>
        <v>0</v>
      </c>
      <c r="AK487" s="75" t="n">
        <f aca="false">N(AK482=0)</f>
        <v>0</v>
      </c>
      <c r="AL487" s="75" t="n">
        <f aca="false">N(AL482=0)</f>
        <v>0</v>
      </c>
      <c r="AM487" s="75" t="n">
        <f aca="false">N(AM482=0)</f>
        <v>0</v>
      </c>
      <c r="AN487" s="75" t="n">
        <f aca="false">N(AN482=0)</f>
        <v>0</v>
      </c>
      <c r="AO487" s="75" t="n">
        <f aca="false">N(AO482=0)</f>
        <v>0</v>
      </c>
      <c r="AP487" s="75" t="n">
        <f aca="false">N(AP482=0)</f>
        <v>0</v>
      </c>
      <c r="AQ487" s="75" t="n">
        <f aca="false">N(AQ482=0)</f>
        <v>0</v>
      </c>
      <c r="AR487" s="75" t="n">
        <f aca="false">N(AR482=0)</f>
        <v>0</v>
      </c>
      <c r="AS487" s="75" t="n">
        <f aca="false">N(AS482=0)</f>
        <v>0</v>
      </c>
      <c r="AT487" s="75" t="n">
        <f aca="false">N(AT482=0)</f>
        <v>0</v>
      </c>
      <c r="AU487" s="75" t="n">
        <f aca="false">N(AU482=0)</f>
        <v>0</v>
      </c>
      <c r="AV487" s="75" t="n">
        <f aca="false">N(AV482=0)</f>
        <v>0</v>
      </c>
      <c r="AW487" s="75" t="n">
        <f aca="false">N(AW482=0)</f>
        <v>0</v>
      </c>
    </row>
    <row r="488" customFormat="false" ht="14.25" hidden="false" customHeight="false" outlineLevel="0" collapsed="false">
      <c r="C488" s="6" t="s">
        <v>300</v>
      </c>
      <c r="D488" s="2" t="s">
        <v>85</v>
      </c>
      <c r="H488" s="8" t="n">
        <f aca="false">SUM(J488:AW488)</f>
        <v>-14078.5797945205</v>
      </c>
      <c r="J488" s="8" t="n">
        <f aca="false">-($G$98+$G$68+$G$62+$G$63+$G$92)*(J$364=YEAR(Sale_Date))</f>
        <v>-0</v>
      </c>
      <c r="K488" s="8" t="n">
        <f aca="false">-($G$98+$G$68+$G$62+$G$63+$G$92)*(K$364=YEAR(Sale_Date))</f>
        <v>-0</v>
      </c>
      <c r="L488" s="8" t="n">
        <f aca="false">-($G$98+$G$68+$G$62+$G$63+$G$92)*(L$364=YEAR(Sale_Date))</f>
        <v>-0</v>
      </c>
      <c r="M488" s="8" t="n">
        <f aca="false">-($G$98+$G$68+$G$62+$G$63+$G$92)*(M$364=YEAR(Sale_Date))</f>
        <v>-14078.5797945205</v>
      </c>
      <c r="N488" s="8" t="n">
        <f aca="false">-($G$98+$G$68+$G$62+$G$63+$G$92)*(N$364=YEAR(Sale_Date))</f>
        <v>-0</v>
      </c>
      <c r="O488" s="8" t="n">
        <f aca="false">-($G$98+$G$68+$G$62+$G$63+$G$92)*(O$364=YEAR(Sale_Date))</f>
        <v>-0</v>
      </c>
      <c r="P488" s="8" t="n">
        <f aca="false">-($G$98+$G$68+$G$62+$G$63+$G$92)*(P$364=YEAR(Sale_Date))</f>
        <v>-0</v>
      </c>
      <c r="Q488" s="8" t="n">
        <f aca="false">-($G$98+$G$68+$G$62+$G$63+$G$92)*(Q$364=YEAR(Sale_Date))</f>
        <v>-0</v>
      </c>
      <c r="R488" s="8" t="n">
        <f aca="false">-($G$98+$G$68+$G$62+$G$63+$G$92)*(R$364=YEAR(Sale_Date))</f>
        <v>-0</v>
      </c>
      <c r="S488" s="8" t="n">
        <f aca="false">-($G$98+$G$68+$G$62+$G$63+$G$92)*(S$364=YEAR(Sale_Date))</f>
        <v>-0</v>
      </c>
      <c r="T488" s="8" t="n">
        <f aca="false">-($G$98+$G$68+$G$62+$G$63+$G$92)*(T$364=YEAR(Sale_Date))</f>
        <v>-0</v>
      </c>
      <c r="U488" s="8" t="n">
        <f aca="false">-($G$98+$G$68+$G$62+$G$63+$G$92)*(U$364=YEAR(Sale_Date))</f>
        <v>-0</v>
      </c>
      <c r="V488" s="8" t="n">
        <f aca="false">-($G$98+$G$68+$G$62+$G$63+$G$92)*(V$364=YEAR(Sale_Date))</f>
        <v>-0</v>
      </c>
      <c r="W488" s="8" t="n">
        <f aca="false">-($G$98+$G$68+$G$62+$G$63+$G$92)*(W$364=YEAR(Sale_Date))</f>
        <v>-0</v>
      </c>
      <c r="X488" s="8" t="n">
        <f aca="false">-($G$98+$G$68+$G$62+$G$63+$G$92)*(X$364=YEAR(Sale_Date))</f>
        <v>-0</v>
      </c>
      <c r="Y488" s="8" t="n">
        <f aca="false">-($G$98+$G$68+$G$62+$G$63+$G$92)*(Y$364=YEAR(Sale_Date))</f>
        <v>-0</v>
      </c>
      <c r="Z488" s="8" t="n">
        <f aca="false">-($G$98+$G$68+$G$62+$G$63+$G$92)*(Z$364=YEAR(Sale_Date))</f>
        <v>-0</v>
      </c>
      <c r="AA488" s="8" t="n">
        <f aca="false">-($G$98+$G$68+$G$62+$G$63+$G$92)*(AA$364=YEAR(Sale_Date))</f>
        <v>-0</v>
      </c>
      <c r="AB488" s="8" t="n">
        <f aca="false">-($G$98+$G$68+$G$62+$G$63+$G$92)*(AB$364=YEAR(Sale_Date))</f>
        <v>-0</v>
      </c>
      <c r="AC488" s="8" t="n">
        <f aca="false">-($G$98+$G$68+$G$62+$G$63+$G$92)*(AC$364=YEAR(Sale_Date))</f>
        <v>-0</v>
      </c>
      <c r="AD488" s="8" t="n">
        <f aca="false">-($G$98+$G$68+$G$62+$G$63+$G$92)*(AD$364=YEAR(Sale_Date))</f>
        <v>-0</v>
      </c>
      <c r="AE488" s="8" t="n">
        <f aca="false">-($G$98+$G$68+$G$62+$G$63+$G$92)*(AE$364=YEAR(Sale_Date))</f>
        <v>-0</v>
      </c>
      <c r="AF488" s="8" t="n">
        <f aca="false">-($G$98+$G$68+$G$62+$G$63+$G$92)*(AF$364=YEAR(Sale_Date))</f>
        <v>-0</v>
      </c>
      <c r="AG488" s="8" t="n">
        <f aca="false">-($G$98+$G$68+$G$62+$G$63+$G$92)*(AG$364=YEAR(Sale_Date))</f>
        <v>-0</v>
      </c>
      <c r="AH488" s="8" t="n">
        <f aca="false">-($G$98+$G$68+$G$62+$G$63+$G$92)*(AH$364=YEAR(Sale_Date))</f>
        <v>-0</v>
      </c>
      <c r="AI488" s="8" t="n">
        <f aca="false">-($G$98+$G$68+$G$62+$G$63+$G$92)*(AI$364=YEAR(Sale_Date))</f>
        <v>-0</v>
      </c>
      <c r="AJ488" s="8" t="n">
        <f aca="false">-($G$98+$G$68+$G$62+$G$63+$G$92)*(AJ$364=YEAR(Sale_Date))</f>
        <v>-0</v>
      </c>
      <c r="AK488" s="8" t="n">
        <f aca="false">-($G$98+$G$68+$G$62+$G$63+$G$92)*(AK$364=YEAR(Sale_Date))</f>
        <v>-0</v>
      </c>
      <c r="AL488" s="8" t="n">
        <f aca="false">-($G$98+$G$68+$G$62+$G$63+$G$92)*(AL$364=YEAR(Sale_Date))</f>
        <v>-0</v>
      </c>
      <c r="AM488" s="8" t="n">
        <f aca="false">-($G$98+$G$68+$G$62+$G$63+$G$92)*(AM$364=YEAR(Sale_Date))</f>
        <v>-0</v>
      </c>
      <c r="AN488" s="8" t="n">
        <f aca="false">-($G$98+$G$68+$G$62+$G$63+$G$92)*(AN$364=YEAR(Sale_Date))</f>
        <v>-0</v>
      </c>
      <c r="AO488" s="8" t="n">
        <f aca="false">-($G$98+$G$68+$G$62+$G$63+$G$92)*(AO$364=YEAR(Sale_Date))</f>
        <v>-0</v>
      </c>
      <c r="AP488" s="8" t="n">
        <f aca="false">-($G$98+$G$68+$G$62+$G$63+$G$92)*(AP$364=YEAR(Sale_Date))</f>
        <v>-0</v>
      </c>
      <c r="AQ488" s="8" t="n">
        <f aca="false">-($G$98+$G$68+$G$62+$G$63+$G$92)*(AQ$364=YEAR(Sale_Date))</f>
        <v>-0</v>
      </c>
      <c r="AR488" s="8" t="n">
        <f aca="false">-($G$98+$G$68+$G$62+$G$63+$G$92)*(AR$364=YEAR(Sale_Date))</f>
        <v>-0</v>
      </c>
      <c r="AS488" s="8" t="n">
        <f aca="false">-($G$98+$G$68+$G$62+$G$63+$G$92)*(AS$364=YEAR(Sale_Date))</f>
        <v>-0</v>
      </c>
      <c r="AT488" s="8" t="n">
        <f aca="false">-($G$98+$G$68+$G$62+$G$63+$G$92)*(AT$364=YEAR(Sale_Date))</f>
        <v>-0</v>
      </c>
      <c r="AU488" s="8" t="n">
        <f aca="false">-($G$98+$G$68+$G$62+$G$63+$G$92)*(AU$364=YEAR(Sale_Date))</f>
        <v>-0</v>
      </c>
      <c r="AV488" s="8" t="n">
        <f aca="false">-($G$98+$G$68+$G$62+$G$63+$G$92)*(AV$364=YEAR(Sale_Date))</f>
        <v>-0</v>
      </c>
      <c r="AW488" s="8" t="n">
        <f aca="false">-($G$98+$G$68+$G$62+$G$63+$G$92)*(AW$364=YEAR(Sale_Date))</f>
        <v>-0</v>
      </c>
    </row>
    <row r="489" customFormat="false" ht="14.25" hidden="false" customHeight="false" outlineLevel="0" collapsed="false">
      <c r="C489" s="6" t="s">
        <v>301</v>
      </c>
      <c r="D489" s="2" t="s">
        <v>85</v>
      </c>
      <c r="H489" s="8" t="n">
        <f aca="false">SUM(J489:AW489)</f>
        <v>2494.52054794521</v>
      </c>
      <c r="J489" s="8" t="n">
        <f aca="false">($G$62+$G$63)*(J$364=YEAR(Inputs!$G$27))</f>
        <v>0</v>
      </c>
      <c r="K489" s="8" t="n">
        <f aca="false">($G$62+$G$63)*(K$364=YEAR(Inputs!$G$27))</f>
        <v>0</v>
      </c>
      <c r="L489" s="8" t="n">
        <f aca="false">($G$62+$G$63)*(L$364=YEAR(Inputs!$G$27))</f>
        <v>0</v>
      </c>
      <c r="M489" s="8" t="n">
        <f aca="false">($G$62+$G$63)*(M$364=YEAR(Inputs!$G$27))</f>
        <v>0</v>
      </c>
      <c r="N489" s="8" t="n">
        <f aca="false">($G$62+$G$63)*(N$364=YEAR(Inputs!$G$27))</f>
        <v>0</v>
      </c>
      <c r="O489" s="8" t="n">
        <f aca="false">($G$62+$G$63)*(O$364=YEAR(Inputs!$G$27))</f>
        <v>0</v>
      </c>
      <c r="P489" s="8" t="n">
        <f aca="false">($G$62+$G$63)*(P$364=YEAR(Inputs!$G$27))</f>
        <v>0</v>
      </c>
      <c r="Q489" s="8" t="n">
        <f aca="false">($G$62+$G$63)*(Q$364=YEAR(Inputs!$G$27))</f>
        <v>2494.52054794521</v>
      </c>
      <c r="R489" s="8" t="n">
        <f aca="false">($G$62+$G$63)*(R$364=YEAR(Inputs!$G$27))</f>
        <v>0</v>
      </c>
      <c r="S489" s="8" t="n">
        <f aca="false">($G$62+$G$63)*(S$364=YEAR(Inputs!$G$27))</f>
        <v>0</v>
      </c>
      <c r="T489" s="8" t="n">
        <f aca="false">($G$62+$G$63)*(T$364=YEAR(Inputs!$G$27))</f>
        <v>0</v>
      </c>
      <c r="U489" s="8" t="n">
        <f aca="false">($G$62+$G$63)*(U$364=YEAR(Inputs!$G$27))</f>
        <v>0</v>
      </c>
      <c r="V489" s="8" t="n">
        <f aca="false">($G$62+$G$63)*(V$364=YEAR(Inputs!$G$27))</f>
        <v>0</v>
      </c>
      <c r="W489" s="8" t="n">
        <f aca="false">($G$62+$G$63)*(W$364=YEAR(Inputs!$G$27))</f>
        <v>0</v>
      </c>
      <c r="X489" s="8" t="n">
        <f aca="false">($G$62+$G$63)*(X$364=YEAR(Inputs!$G$27))</f>
        <v>0</v>
      </c>
      <c r="Y489" s="8" t="n">
        <f aca="false">($G$62+$G$63)*(Y$364=YEAR(Inputs!$G$27))</f>
        <v>0</v>
      </c>
      <c r="Z489" s="8" t="n">
        <f aca="false">($G$62+$G$63)*(Z$364=YEAR(Inputs!$G$27))</f>
        <v>0</v>
      </c>
      <c r="AA489" s="8" t="n">
        <f aca="false">($G$62+$G$63)*(AA$364=YEAR(Inputs!$G$27))</f>
        <v>0</v>
      </c>
      <c r="AB489" s="8" t="n">
        <f aca="false">($G$62+$G$63)*(AB$364=YEAR(Inputs!$G$27))</f>
        <v>0</v>
      </c>
      <c r="AC489" s="8" t="n">
        <f aca="false">($G$62+$G$63)*(AC$364=YEAR(Inputs!$G$27))</f>
        <v>0</v>
      </c>
      <c r="AD489" s="8" t="n">
        <f aca="false">($G$62+$G$63)*(AD$364=YEAR(Inputs!$G$27))</f>
        <v>0</v>
      </c>
      <c r="AE489" s="8" t="n">
        <f aca="false">($G$62+$G$63)*(AE$364=YEAR(Inputs!$G$27))</f>
        <v>0</v>
      </c>
      <c r="AF489" s="8" t="n">
        <f aca="false">($G$62+$G$63)*(AF$364=YEAR(Inputs!$G$27))</f>
        <v>0</v>
      </c>
      <c r="AG489" s="8" t="n">
        <f aca="false">($G$62+$G$63)*(AG$364=YEAR(Inputs!$G$27))</f>
        <v>0</v>
      </c>
      <c r="AH489" s="8" t="n">
        <f aca="false">($G$62+$G$63)*(AH$364=YEAR(Inputs!$G$27))</f>
        <v>0</v>
      </c>
      <c r="AI489" s="8" t="n">
        <f aca="false">($G$62+$G$63)*(AI$364=YEAR(Inputs!$G$27))</f>
        <v>0</v>
      </c>
      <c r="AJ489" s="8" t="n">
        <f aca="false">($G$62+$G$63)*(AJ$364=YEAR(Inputs!$G$27))</f>
        <v>0</v>
      </c>
      <c r="AK489" s="8" t="n">
        <f aca="false">($G$62+$G$63)*(AK$364=YEAR(Inputs!$G$27))</f>
        <v>0</v>
      </c>
      <c r="AL489" s="8" t="n">
        <f aca="false">($G$62+$G$63)*(AL$364=YEAR(Inputs!$G$27))</f>
        <v>0</v>
      </c>
      <c r="AM489" s="8" t="n">
        <f aca="false">($G$62+$G$63)*(AM$364=YEAR(Inputs!$G$27))</f>
        <v>0</v>
      </c>
      <c r="AN489" s="8" t="n">
        <f aca="false">($G$62+$G$63)*(AN$364=YEAR(Inputs!$G$27))</f>
        <v>0</v>
      </c>
      <c r="AO489" s="8" t="n">
        <f aca="false">($G$62+$G$63)*(AO$364=YEAR(Inputs!$G$27))</f>
        <v>0</v>
      </c>
      <c r="AP489" s="8" t="n">
        <f aca="false">($G$62+$G$63)*(AP$364=YEAR(Inputs!$G$27))</f>
        <v>0</v>
      </c>
      <c r="AQ489" s="8" t="n">
        <f aca="false">($G$62+$G$63)*(AQ$364=YEAR(Inputs!$G$27))</f>
        <v>0</v>
      </c>
      <c r="AR489" s="8" t="n">
        <f aca="false">($G$62+$G$63)*(AR$364=YEAR(Inputs!$G$27))</f>
        <v>0</v>
      </c>
      <c r="AS489" s="8" t="n">
        <f aca="false">($G$62+$G$63)*(AS$364=YEAR(Inputs!$G$27))</f>
        <v>0</v>
      </c>
      <c r="AT489" s="8" t="n">
        <f aca="false">($G$62+$G$63)*(AT$364=YEAR(Inputs!$G$27))</f>
        <v>0</v>
      </c>
      <c r="AU489" s="8" t="n">
        <f aca="false">($G$62+$G$63)*(AU$364=YEAR(Inputs!$G$27))</f>
        <v>0</v>
      </c>
      <c r="AV489" s="8" t="n">
        <f aca="false">($G$62+$G$63)*(AV$364=YEAR(Inputs!$G$27))</f>
        <v>0</v>
      </c>
      <c r="AW489" s="8" t="n">
        <f aca="false">($G$62+$G$63)*(AW$364=YEAR(Inputs!$G$27))</f>
        <v>0</v>
      </c>
    </row>
    <row r="490" customFormat="false" ht="14.25" hidden="false" customHeight="false" outlineLevel="0" collapsed="false">
      <c r="C490" s="6" t="s">
        <v>302</v>
      </c>
      <c r="D490" s="2" t="s">
        <v>85</v>
      </c>
      <c r="H490" s="8" t="n">
        <f aca="false">SUM(J490:AW490)</f>
        <v>-62716</v>
      </c>
      <c r="J490" s="8" t="n">
        <f aca="false">-$G$91*J484</f>
        <v>-0</v>
      </c>
      <c r="K490" s="8" t="n">
        <f aca="false">-$G$91*K484</f>
        <v>-0</v>
      </c>
      <c r="L490" s="8" t="n">
        <f aca="false">-$G$91*L484</f>
        <v>-0</v>
      </c>
      <c r="M490" s="8" t="n">
        <f aca="false">-$G$91*M484</f>
        <v>-15679</v>
      </c>
      <c r="N490" s="8" t="n">
        <f aca="false">-$G$91*N484</f>
        <v>-31358</v>
      </c>
      <c r="O490" s="8" t="n">
        <f aca="false">-$G$91*O484</f>
        <v>-15679</v>
      </c>
      <c r="P490" s="8" t="n">
        <f aca="false">-$G$91*P484</f>
        <v>-0</v>
      </c>
      <c r="Q490" s="8" t="n">
        <f aca="false">-$G$91*Q484</f>
        <v>-0</v>
      </c>
      <c r="R490" s="8" t="n">
        <f aca="false">-$G$91*R484</f>
        <v>-0</v>
      </c>
      <c r="S490" s="8" t="n">
        <f aca="false">-$G$91*S484</f>
        <v>-0</v>
      </c>
      <c r="T490" s="8" t="n">
        <f aca="false">-$G$91*T484</f>
        <v>-0</v>
      </c>
      <c r="U490" s="8" t="n">
        <f aca="false">-$G$91*U484</f>
        <v>-0</v>
      </c>
      <c r="V490" s="8" t="n">
        <f aca="false">-$G$91*V484</f>
        <v>-0</v>
      </c>
      <c r="W490" s="8" t="n">
        <f aca="false">-$G$91*W484</f>
        <v>-0</v>
      </c>
      <c r="X490" s="8" t="n">
        <f aca="false">-$G$91*X484</f>
        <v>-0</v>
      </c>
      <c r="Y490" s="8" t="n">
        <f aca="false">-$G$91*Y484</f>
        <v>-0</v>
      </c>
      <c r="Z490" s="8" t="n">
        <f aca="false">-$G$91*Z484</f>
        <v>-0</v>
      </c>
      <c r="AA490" s="8" t="n">
        <f aca="false">-$G$91*AA484</f>
        <v>-0</v>
      </c>
      <c r="AB490" s="8" t="n">
        <f aca="false">-$G$91*AB484</f>
        <v>-0</v>
      </c>
      <c r="AC490" s="8" t="n">
        <f aca="false">-$G$91*AC484</f>
        <v>-0</v>
      </c>
      <c r="AD490" s="8" t="n">
        <f aca="false">-$G$91*AD484</f>
        <v>-0</v>
      </c>
      <c r="AE490" s="8" t="n">
        <f aca="false">-$G$91*AE484</f>
        <v>-0</v>
      </c>
      <c r="AF490" s="8" t="n">
        <f aca="false">-$G$91*AF484</f>
        <v>-0</v>
      </c>
      <c r="AG490" s="8" t="n">
        <f aca="false">-$G$91*AG484</f>
        <v>-0</v>
      </c>
      <c r="AH490" s="8" t="n">
        <f aca="false">-$G$91*AH484</f>
        <v>-0</v>
      </c>
      <c r="AI490" s="8" t="n">
        <f aca="false">-$G$91*AI484</f>
        <v>-0</v>
      </c>
      <c r="AJ490" s="8" t="n">
        <f aca="false">-$G$91*AJ484</f>
        <v>-0</v>
      </c>
      <c r="AK490" s="8" t="n">
        <f aca="false">-$G$91*AK484</f>
        <v>-0</v>
      </c>
      <c r="AL490" s="8" t="n">
        <f aca="false">-$G$91*AL484</f>
        <v>-0</v>
      </c>
      <c r="AM490" s="8" t="n">
        <f aca="false">-$G$91*AM484</f>
        <v>-0</v>
      </c>
      <c r="AN490" s="8" t="n">
        <f aca="false">-$G$91*AN484</f>
        <v>-0</v>
      </c>
      <c r="AO490" s="8" t="n">
        <f aca="false">-$G$91*AO484</f>
        <v>-0</v>
      </c>
      <c r="AP490" s="8" t="n">
        <f aca="false">-$G$91*AP484</f>
        <v>-0</v>
      </c>
      <c r="AQ490" s="8" t="n">
        <f aca="false">-$G$91*AQ484</f>
        <v>-0</v>
      </c>
      <c r="AR490" s="8" t="n">
        <f aca="false">-$G$91*AR484</f>
        <v>-0</v>
      </c>
      <c r="AS490" s="8" t="n">
        <f aca="false">-$G$91*AS484</f>
        <v>-0</v>
      </c>
      <c r="AT490" s="8" t="n">
        <f aca="false">-$G$91*AT484</f>
        <v>-0</v>
      </c>
      <c r="AU490" s="8" t="n">
        <f aca="false">-$G$91*AU484</f>
        <v>-0</v>
      </c>
      <c r="AV490" s="8" t="n">
        <f aca="false">-$G$91*AV484</f>
        <v>-0</v>
      </c>
      <c r="AW490" s="8" t="n">
        <f aca="false">-$G$91*AW484</f>
        <v>-0</v>
      </c>
    </row>
    <row r="491" customFormat="false" ht="14.25" hidden="false" customHeight="false" outlineLevel="0" collapsed="false">
      <c r="C491" s="6" t="s">
        <v>303</v>
      </c>
      <c r="D491" s="2" t="s">
        <v>85</v>
      </c>
      <c r="H491" s="8" t="n">
        <f aca="false">SUM(J491:AW491)</f>
        <v>-2500</v>
      </c>
      <c r="J491" s="8" t="n">
        <f aca="false">-$G$96*J487</f>
        <v>-0</v>
      </c>
      <c r="K491" s="8" t="n">
        <f aca="false">-$G$96*K487</f>
        <v>-0</v>
      </c>
      <c r="L491" s="8" t="n">
        <f aca="false">-$G$96*L487</f>
        <v>-0</v>
      </c>
      <c r="M491" s="8" t="n">
        <f aca="false">-$G$96*M487</f>
        <v>-0</v>
      </c>
      <c r="N491" s="8" t="n">
        <f aca="false">-$G$96*N487</f>
        <v>-0</v>
      </c>
      <c r="O491" s="8" t="n">
        <f aca="false">-$G$96*O487</f>
        <v>-2500</v>
      </c>
      <c r="P491" s="8" t="n">
        <f aca="false">-$G$96*P487</f>
        <v>-0</v>
      </c>
      <c r="Q491" s="8" t="n">
        <f aca="false">-$G$96*Q487</f>
        <v>-0</v>
      </c>
      <c r="R491" s="8" t="n">
        <f aca="false">-$G$96*R487</f>
        <v>-0</v>
      </c>
      <c r="S491" s="8" t="n">
        <f aca="false">-$G$96*S487</f>
        <v>-0</v>
      </c>
      <c r="T491" s="8" t="n">
        <f aca="false">-$G$96*T487</f>
        <v>-0</v>
      </c>
      <c r="U491" s="8" t="n">
        <f aca="false">-$G$96*U487</f>
        <v>-0</v>
      </c>
      <c r="V491" s="8" t="n">
        <f aca="false">-$G$96*V487</f>
        <v>-0</v>
      </c>
      <c r="W491" s="8" t="n">
        <f aca="false">-$G$96*W487</f>
        <v>-0</v>
      </c>
      <c r="X491" s="8" t="n">
        <f aca="false">-$G$96*X487</f>
        <v>-0</v>
      </c>
      <c r="Y491" s="8" t="n">
        <f aca="false">-$G$96*Y487</f>
        <v>-0</v>
      </c>
      <c r="Z491" s="8" t="n">
        <f aca="false">-$G$96*Z487</f>
        <v>-0</v>
      </c>
      <c r="AA491" s="8" t="n">
        <f aca="false">-$G$96*AA487</f>
        <v>-0</v>
      </c>
      <c r="AB491" s="8" t="n">
        <f aca="false">-$G$96*AB487</f>
        <v>-0</v>
      </c>
      <c r="AC491" s="8" t="n">
        <f aca="false">-$G$96*AC487</f>
        <v>-0</v>
      </c>
      <c r="AD491" s="8" t="n">
        <f aca="false">-$G$96*AD487</f>
        <v>-0</v>
      </c>
      <c r="AE491" s="8" t="n">
        <f aca="false">-$G$96*AE487</f>
        <v>-0</v>
      </c>
      <c r="AF491" s="8" t="n">
        <f aca="false">-$G$96*AF487</f>
        <v>-0</v>
      </c>
      <c r="AG491" s="8" t="n">
        <f aca="false">-$G$96*AG487</f>
        <v>-0</v>
      </c>
      <c r="AH491" s="8" t="n">
        <f aca="false">-$G$96*AH487</f>
        <v>-0</v>
      </c>
      <c r="AI491" s="8" t="n">
        <f aca="false">-$G$96*AI487</f>
        <v>-0</v>
      </c>
      <c r="AJ491" s="8" t="n">
        <f aca="false">-$G$96*AJ487</f>
        <v>-0</v>
      </c>
      <c r="AK491" s="8" t="n">
        <f aca="false">-$G$96*AK487</f>
        <v>-0</v>
      </c>
      <c r="AL491" s="8" t="n">
        <f aca="false">-$G$96*AL487</f>
        <v>-0</v>
      </c>
      <c r="AM491" s="8" t="n">
        <f aca="false">-$G$96*AM487</f>
        <v>-0</v>
      </c>
      <c r="AN491" s="8" t="n">
        <f aca="false">-$G$96*AN487</f>
        <v>-0</v>
      </c>
      <c r="AO491" s="8" t="n">
        <f aca="false">-$G$96*AO487</f>
        <v>-0</v>
      </c>
      <c r="AP491" s="8" t="n">
        <f aca="false">-$G$96*AP487</f>
        <v>-0</v>
      </c>
      <c r="AQ491" s="8" t="n">
        <f aca="false">-$G$96*AQ487</f>
        <v>-0</v>
      </c>
      <c r="AR491" s="8" t="n">
        <f aca="false">-$G$96*AR487</f>
        <v>-0</v>
      </c>
      <c r="AS491" s="8" t="n">
        <f aca="false">-$G$96*AS487</f>
        <v>-0</v>
      </c>
      <c r="AT491" s="8" t="n">
        <f aca="false">-$G$96*AT487</f>
        <v>-0</v>
      </c>
      <c r="AU491" s="8" t="n">
        <f aca="false">-$G$96*AU487</f>
        <v>-0</v>
      </c>
      <c r="AV491" s="8" t="n">
        <f aca="false">-$G$96*AV487</f>
        <v>-0</v>
      </c>
      <c r="AW491" s="8" t="n">
        <f aca="false">-$G$96*AW487</f>
        <v>-0</v>
      </c>
    </row>
    <row r="492" customFormat="false" ht="14.25" hidden="false" customHeight="false" outlineLevel="0" collapsed="false">
      <c r="C492" s="1" t="s">
        <v>304</v>
      </c>
      <c r="D492" s="2" t="s">
        <v>85</v>
      </c>
      <c r="H492" s="15" t="n">
        <f aca="false">SUM(J492:AW492)</f>
        <v>-76800.0592465753</v>
      </c>
      <c r="J492" s="15" t="n">
        <f aca="false">SUM(J488:J491)</f>
        <v>0</v>
      </c>
      <c r="K492" s="15" t="n">
        <f aca="false">SUM(K488:K491)</f>
        <v>0</v>
      </c>
      <c r="L492" s="15" t="n">
        <f aca="false">SUM(L488:L491)</f>
        <v>0</v>
      </c>
      <c r="M492" s="15" t="n">
        <f aca="false">SUM(M488:M491)</f>
        <v>-29757.5797945206</v>
      </c>
      <c r="N492" s="15" t="n">
        <f aca="false">SUM(N488:N491)</f>
        <v>-31358</v>
      </c>
      <c r="O492" s="15" t="n">
        <f aca="false">SUM(O488:O491)</f>
        <v>-18179</v>
      </c>
      <c r="P492" s="15" t="n">
        <f aca="false">SUM(P488:P491)</f>
        <v>0</v>
      </c>
      <c r="Q492" s="15" t="n">
        <f aca="false">SUM(Q488:Q491)</f>
        <v>2494.52054794521</v>
      </c>
      <c r="R492" s="15" t="n">
        <f aca="false">SUM(R488:R491)</f>
        <v>0</v>
      </c>
      <c r="S492" s="15" t="n">
        <f aca="false">SUM(S488:S491)</f>
        <v>0</v>
      </c>
      <c r="T492" s="15" t="n">
        <f aca="false">SUM(T488:T491)</f>
        <v>0</v>
      </c>
      <c r="U492" s="15" t="n">
        <f aca="false">SUM(U488:U491)</f>
        <v>0</v>
      </c>
      <c r="V492" s="15" t="n">
        <f aca="false">SUM(V488:V491)</f>
        <v>0</v>
      </c>
      <c r="W492" s="15" t="n">
        <f aca="false">SUM(W488:W491)</f>
        <v>0</v>
      </c>
      <c r="X492" s="15" t="n">
        <f aca="false">SUM(X488:X491)</f>
        <v>0</v>
      </c>
      <c r="Y492" s="15" t="n">
        <f aca="false">SUM(Y488:Y491)</f>
        <v>0</v>
      </c>
      <c r="Z492" s="15" t="n">
        <f aca="false">SUM(Z488:Z491)</f>
        <v>0</v>
      </c>
      <c r="AA492" s="15" t="n">
        <f aca="false">SUM(AA488:AA491)</f>
        <v>0</v>
      </c>
      <c r="AB492" s="15" t="n">
        <f aca="false">SUM(AB488:AB491)</f>
        <v>0</v>
      </c>
      <c r="AC492" s="15" t="n">
        <f aca="false">SUM(AC488:AC491)</f>
        <v>0</v>
      </c>
      <c r="AD492" s="15" t="n">
        <f aca="false">SUM(AD488:AD491)</f>
        <v>0</v>
      </c>
      <c r="AE492" s="15" t="n">
        <f aca="false">SUM(AE488:AE491)</f>
        <v>0</v>
      </c>
      <c r="AF492" s="15" t="n">
        <f aca="false">SUM(AF488:AF491)</f>
        <v>0</v>
      </c>
      <c r="AG492" s="15" t="n">
        <f aca="false">SUM(AG488:AG491)</f>
        <v>0</v>
      </c>
      <c r="AH492" s="15" t="n">
        <f aca="false">SUM(AH488:AH491)</f>
        <v>0</v>
      </c>
      <c r="AI492" s="15" t="n">
        <f aca="false">SUM(AI488:AI491)</f>
        <v>0</v>
      </c>
      <c r="AJ492" s="15" t="n">
        <f aca="false">SUM(AJ488:AJ491)</f>
        <v>0</v>
      </c>
      <c r="AK492" s="15" t="n">
        <f aca="false">SUM(AK488:AK491)</f>
        <v>0</v>
      </c>
      <c r="AL492" s="15" t="n">
        <f aca="false">SUM(AL488:AL491)</f>
        <v>0</v>
      </c>
      <c r="AM492" s="15" t="n">
        <f aca="false">SUM(AM488:AM491)</f>
        <v>0</v>
      </c>
      <c r="AN492" s="15" t="n">
        <f aca="false">SUM(AN488:AN491)</f>
        <v>0</v>
      </c>
      <c r="AO492" s="15" t="n">
        <f aca="false">SUM(AO488:AO491)</f>
        <v>0</v>
      </c>
      <c r="AP492" s="15" t="n">
        <f aca="false">SUM(AP488:AP491)</f>
        <v>0</v>
      </c>
      <c r="AQ492" s="15" t="n">
        <f aca="false">SUM(AQ488:AQ491)</f>
        <v>0</v>
      </c>
      <c r="AR492" s="15" t="n">
        <f aca="false">SUM(AR488:AR491)</f>
        <v>0</v>
      </c>
      <c r="AS492" s="15" t="n">
        <f aca="false">SUM(AS488:AS491)</f>
        <v>0</v>
      </c>
      <c r="AT492" s="15" t="n">
        <f aca="false">SUM(AT488:AT491)</f>
        <v>0</v>
      </c>
      <c r="AU492" s="15" t="n">
        <f aca="false">SUM(AU488:AU491)</f>
        <v>0</v>
      </c>
      <c r="AV492" s="15" t="n">
        <f aca="false">SUM(AV488:AV491)</f>
        <v>0</v>
      </c>
      <c r="AW492" s="15" t="n">
        <f aca="false">SUM(AW488:AW491)</f>
        <v>0</v>
      </c>
    </row>
    <row r="493" customFormat="false" ht="14.25" hidden="false" customHeight="false" outlineLevel="0" collapsed="false">
      <c r="C493" s="6" t="s">
        <v>305</v>
      </c>
      <c r="D493" s="2" t="s">
        <v>3</v>
      </c>
      <c r="J493" s="76" t="n">
        <f aca="false">(1-Degradation)^MAX(J482-1,0)</f>
        <v>1</v>
      </c>
      <c r="K493" s="76" t="n">
        <f aca="false">(1-Degradation)^MAX(K482-1,0)</f>
        <v>1</v>
      </c>
      <c r="L493" s="76" t="n">
        <f aca="false">(1-Degradation)^MAX(L482-1,0)</f>
        <v>1</v>
      </c>
      <c r="M493" s="76" t="n">
        <f aca="false">(1-Degradation)^MAX(M482-1,0)</f>
        <v>1</v>
      </c>
      <c r="N493" s="76" t="n">
        <f aca="false">(1-Degradation)^MAX(N482-1,0)</f>
        <v>1</v>
      </c>
      <c r="O493" s="76" t="n">
        <f aca="false">(1-Degradation)^MAX(O482-1,0)</f>
        <v>1</v>
      </c>
      <c r="P493" s="76" t="n">
        <f aca="false">(1-Degradation)^MAX(P482-1,0)</f>
        <v>1</v>
      </c>
      <c r="Q493" s="76" t="n">
        <f aca="false">(1-Degradation)^MAX(Q482-1,0)</f>
        <v>0.997</v>
      </c>
      <c r="R493" s="76" t="n">
        <f aca="false">(1-Degradation)^MAX(R482-1,0)</f>
        <v>0.994009</v>
      </c>
      <c r="S493" s="76" t="n">
        <f aca="false">(1-Degradation)^MAX(S482-1,0)</f>
        <v>0.991026973</v>
      </c>
      <c r="T493" s="76" t="n">
        <f aca="false">(1-Degradation)^MAX(T482-1,0)</f>
        <v>0.988053892081</v>
      </c>
      <c r="U493" s="76" t="n">
        <f aca="false">(1-Degradation)^MAX(U482-1,0)</f>
        <v>0.985089730404757</v>
      </c>
      <c r="V493" s="76" t="n">
        <f aca="false">(1-Degradation)^MAX(V482-1,0)</f>
        <v>0.982134461213543</v>
      </c>
      <c r="W493" s="76" t="n">
        <f aca="false">(1-Degradation)^MAX(W482-1,0)</f>
        <v>0.979188057829902</v>
      </c>
      <c r="X493" s="76" t="n">
        <f aca="false">(1-Degradation)^MAX(X482-1,0)</f>
        <v>0.976250493656412</v>
      </c>
      <c r="Y493" s="76" t="n">
        <f aca="false">(1-Degradation)^MAX(Y482-1,0)</f>
        <v>0.973321742175443</v>
      </c>
      <c r="Z493" s="76" t="n">
        <f aca="false">(1-Degradation)^MAX(Z482-1,0)</f>
        <v>0.970401776948917</v>
      </c>
      <c r="AA493" s="76" t="n">
        <f aca="false">(1-Degradation)^MAX(AA482-1,0)</f>
        <v>0.96749057161807</v>
      </c>
      <c r="AB493" s="76" t="n">
        <f aca="false">(1-Degradation)^MAX(AB482-1,0)</f>
        <v>0.964588099903216</v>
      </c>
      <c r="AC493" s="76" t="n">
        <f aca="false">(1-Degradation)^MAX(AC482-1,0)</f>
        <v>0.961694335603506</v>
      </c>
      <c r="AD493" s="76" t="n">
        <f aca="false">(1-Degradation)^MAX(AD482-1,0)</f>
        <v>0.958809252596696</v>
      </c>
      <c r="AE493" s="76" t="n">
        <f aca="false">(1-Degradation)^MAX(AE482-1,0)</f>
        <v>0.955932824838906</v>
      </c>
      <c r="AF493" s="76" t="n">
        <f aca="false">(1-Degradation)^MAX(AF482-1,0)</f>
        <v>0.953065026364389</v>
      </c>
      <c r="AG493" s="76" t="n">
        <f aca="false">(1-Degradation)^MAX(AG482-1,0)</f>
        <v>0.950205831285296</v>
      </c>
      <c r="AH493" s="76" t="n">
        <f aca="false">(1-Degradation)^MAX(AH482-1,0)</f>
        <v>0.94735521379144</v>
      </c>
      <c r="AI493" s="76" t="n">
        <f aca="false">(1-Degradation)^MAX(AI482-1,0)</f>
        <v>0.944513148150066</v>
      </c>
      <c r="AJ493" s="76" t="n">
        <f aca="false">(1-Degradation)^MAX(AJ482-1,0)</f>
        <v>0.941679608705615</v>
      </c>
      <c r="AK493" s="76" t="n">
        <f aca="false">(1-Degradation)^MAX(AK482-1,0)</f>
        <v>0.938854569879498</v>
      </c>
      <c r="AL493" s="76" t="n">
        <f aca="false">(1-Degradation)^MAX(AL482-1,0)</f>
        <v>0.93603800616986</v>
      </c>
      <c r="AM493" s="76" t="n">
        <f aca="false">(1-Degradation)^MAX(AM482-1,0)</f>
        <v>0.93322989215135</v>
      </c>
      <c r="AN493" s="76" t="n">
        <f aca="false">(1-Degradation)^MAX(AN482-1,0)</f>
        <v>0.930430202474896</v>
      </c>
      <c r="AO493" s="76" t="n">
        <f aca="false">(1-Degradation)^MAX(AO482-1,0)</f>
        <v>0.927638911867472</v>
      </c>
      <c r="AP493" s="76" t="n">
        <f aca="false">(1-Degradation)^MAX(AP482-1,0)</f>
        <v>0.924855995131869</v>
      </c>
      <c r="AQ493" s="76" t="n">
        <f aca="false">(1-Degradation)^MAX(AQ482-1,0)</f>
        <v>0.922081427146474</v>
      </c>
      <c r="AR493" s="76" t="n">
        <f aca="false">(1-Degradation)^MAX(AR482-1,0)</f>
        <v>0.919315182865034</v>
      </c>
      <c r="AS493" s="76" t="n">
        <f aca="false">(1-Degradation)^MAX(AS482-1,0)</f>
        <v>0.916557237316439</v>
      </c>
      <c r="AT493" s="76" t="n">
        <f aca="false">(1-Degradation)^MAX(AT482-1,0)</f>
        <v>0.91380756560449</v>
      </c>
      <c r="AU493" s="76" t="n">
        <f aca="false">(1-Degradation)^MAX(AU482-1,0)</f>
        <v>0.911066142907676</v>
      </c>
      <c r="AV493" s="76" t="n">
        <f aca="false">(1-Degradation)^MAX(AV482-1,0)</f>
        <v>0.908332944478953</v>
      </c>
      <c r="AW493" s="76" t="n">
        <f aca="false">(1-Degradation)^MAX(AW482-1,0)</f>
        <v>0.905607945645516</v>
      </c>
    </row>
    <row r="494" customFormat="false" ht="14.25" hidden="false" customHeight="false" outlineLevel="0" collapsed="false">
      <c r="C494" s="6" t="s">
        <v>306</v>
      </c>
      <c r="D494" s="2" t="s">
        <v>307</v>
      </c>
      <c r="H494" s="17" t="n">
        <f aca="false">SUM(J494:AW494)</f>
        <v>4263.39882706474</v>
      </c>
      <c r="J494" s="17" t="n">
        <f aca="false">$G$46*$G$22*(1-Curtailment)*(1-Clipping)*J486*J493/Thousand</f>
        <v>0</v>
      </c>
      <c r="K494" s="17" t="n">
        <f aca="false">$G$46*$G$22*(1-Curtailment)*(1-Clipping)*K486*K493/Thousand</f>
        <v>0</v>
      </c>
      <c r="L494" s="17" t="n">
        <f aca="false">$G$46*$G$22*(1-Curtailment)*(1-Clipping)*L486*L493/Thousand</f>
        <v>0</v>
      </c>
      <c r="M494" s="17" t="n">
        <f aca="false">$G$46*$G$22*(1-Curtailment)*(1-Clipping)*M486*M493/Thousand</f>
        <v>0</v>
      </c>
      <c r="N494" s="17" t="n">
        <f aca="false">$G$46*$G$22*(1-Curtailment)*(1-Clipping)*N486*N493/Thousand</f>
        <v>0</v>
      </c>
      <c r="O494" s="17" t="n">
        <f aca="false">$G$46*$G$22*(1-Curtailment)*(1-Clipping)*O486*O493/Thousand</f>
        <v>74.088</v>
      </c>
      <c r="P494" s="17" t="n">
        <f aca="false">$G$46*$G$22*(1-Curtailment)*(1-Clipping)*P486*P493/Thousand</f>
        <v>148.176</v>
      </c>
      <c r="Q494" s="17" t="n">
        <f aca="false">$G$46*$G$22*(1-Curtailment)*(1-Clipping)*Q486*Q493/Thousand</f>
        <v>147.731472</v>
      </c>
      <c r="R494" s="17" t="n">
        <f aca="false">$G$46*$G$22*(1-Curtailment)*(1-Clipping)*R486*R493/Thousand</f>
        <v>147.288277584</v>
      </c>
      <c r="S494" s="17" t="n">
        <f aca="false">$G$46*$G$22*(1-Curtailment)*(1-Clipping)*S486*S493/Thousand</f>
        <v>146.846412751248</v>
      </c>
      <c r="T494" s="17" t="n">
        <f aca="false">$G$46*$G$22*(1-Curtailment)*(1-Clipping)*T486*T493/Thousand</f>
        <v>146.405873512994</v>
      </c>
      <c r="U494" s="17" t="n">
        <f aca="false">$G$46*$G$22*(1-Curtailment)*(1-Clipping)*U486*U493/Thousand</f>
        <v>145.966655892455</v>
      </c>
      <c r="V494" s="17" t="n">
        <f aca="false">$G$46*$G$22*(1-Curtailment)*(1-Clipping)*V486*V493/Thousand</f>
        <v>145.528755924778</v>
      </c>
      <c r="W494" s="17" t="n">
        <f aca="false">$G$46*$G$22*(1-Curtailment)*(1-Clipping)*W486*W493/Thousand</f>
        <v>145.092169657004</v>
      </c>
      <c r="X494" s="17" t="n">
        <f aca="false">$G$46*$G$22*(1-Curtailment)*(1-Clipping)*X486*X493/Thousand</f>
        <v>144.656893148033</v>
      </c>
      <c r="Y494" s="17" t="n">
        <f aca="false">$G$46*$G$22*(1-Curtailment)*(1-Clipping)*Y486*Y493/Thousand</f>
        <v>144.222922468588</v>
      </c>
      <c r="Z494" s="17" t="n">
        <f aca="false">$G$46*$G$22*(1-Curtailment)*(1-Clipping)*Z486*Z493/Thousand</f>
        <v>143.790253701183</v>
      </c>
      <c r="AA494" s="17" t="n">
        <f aca="false">$G$46*$G$22*(1-Curtailment)*(1-Clipping)*AA486*AA493/Thousand</f>
        <v>143.358882940079</v>
      </c>
      <c r="AB494" s="17" t="n">
        <f aca="false">$G$46*$G$22*(1-Curtailment)*(1-Clipping)*AB486*AB493/Thousand</f>
        <v>142.928806291259</v>
      </c>
      <c r="AC494" s="17" t="n">
        <f aca="false">$G$46*$G$22*(1-Curtailment)*(1-Clipping)*AC486*AC493/Thousand</f>
        <v>142.500019872385</v>
      </c>
      <c r="AD494" s="17" t="n">
        <f aca="false">$G$46*$G$22*(1-Curtailment)*(1-Clipping)*AD486*AD493/Thousand</f>
        <v>142.072519812768</v>
      </c>
      <c r="AE494" s="17" t="n">
        <f aca="false">$G$46*$G$22*(1-Curtailment)*(1-Clipping)*AE486*AE493/Thousand</f>
        <v>141.64630225333</v>
      </c>
      <c r="AF494" s="17" t="n">
        <f aca="false">$G$46*$G$22*(1-Curtailment)*(1-Clipping)*AF486*AF493/Thousand</f>
        <v>141.22136334657</v>
      </c>
      <c r="AG494" s="17" t="n">
        <f aca="false">$G$46*$G$22*(1-Curtailment)*(1-Clipping)*AG486*AG493/Thousand</f>
        <v>140.79769925653</v>
      </c>
      <c r="AH494" s="17" t="n">
        <f aca="false">$G$46*$G$22*(1-Curtailment)*(1-Clipping)*AH486*AH493/Thousand</f>
        <v>140.37530615876</v>
      </c>
      <c r="AI494" s="17" t="n">
        <f aca="false">$G$46*$G$22*(1-Curtailment)*(1-Clipping)*AI486*AI493/Thousand</f>
        <v>139.954180240284</v>
      </c>
      <c r="AJ494" s="17" t="n">
        <f aca="false">$G$46*$G$22*(1-Curtailment)*(1-Clipping)*AJ486*AJ493/Thousand</f>
        <v>139.534317699563</v>
      </c>
      <c r="AK494" s="17" t="n">
        <f aca="false">$G$46*$G$22*(1-Curtailment)*(1-Clipping)*AK486*AK493/Thousand</f>
        <v>139.115714746465</v>
      </c>
      <c r="AL494" s="17" t="n">
        <f aca="false">$G$46*$G$22*(1-Curtailment)*(1-Clipping)*AL486*AL493/Thousand</f>
        <v>138.698367602225</v>
      </c>
      <c r="AM494" s="17" t="n">
        <f aca="false">$G$46*$G$22*(1-Curtailment)*(1-Clipping)*AM486*AM493/Thousand</f>
        <v>138.282272499419</v>
      </c>
      <c r="AN494" s="17" t="n">
        <f aca="false">$G$46*$G$22*(1-Curtailment)*(1-Clipping)*AN486*AN493/Thousand</f>
        <v>137.86742568192</v>
      </c>
      <c r="AO494" s="17" t="n">
        <f aca="false">$G$46*$G$22*(1-Curtailment)*(1-Clipping)*AO486*AO493/Thousand</f>
        <v>137.453823404874</v>
      </c>
      <c r="AP494" s="17" t="n">
        <f aca="false">$G$46*$G$22*(1-Curtailment)*(1-Clipping)*AP486*AP493/Thousand</f>
        <v>137.04146193466</v>
      </c>
      <c r="AQ494" s="17" t="n">
        <f aca="false">$G$46*$G$22*(1-Curtailment)*(1-Clipping)*AQ486*AQ493/Thousand</f>
        <v>136.630337548856</v>
      </c>
      <c r="AR494" s="17" t="n">
        <f aca="false">$G$46*$G$22*(1-Curtailment)*(1-Clipping)*AR486*AR493/Thousand</f>
        <v>136.220446536209</v>
      </c>
      <c r="AS494" s="17" t="n">
        <f aca="false">$G$46*$G$22*(1-Curtailment)*(1-Clipping)*AS486*AS493/Thousand</f>
        <v>67.9058925983003</v>
      </c>
      <c r="AT494" s="17" t="n">
        <f aca="false">$G$46*$G$22*(1-Curtailment)*(1-Clipping)*AT486*AT493/Thousand</f>
        <v>0</v>
      </c>
      <c r="AU494" s="17" t="n">
        <f aca="false">$G$46*$G$22*(1-Curtailment)*(1-Clipping)*AU486*AU493/Thousand</f>
        <v>0</v>
      </c>
      <c r="AV494" s="17" t="n">
        <f aca="false">$G$46*$G$22*(1-Curtailment)*(1-Clipping)*AV486*AV493/Thousand</f>
        <v>0</v>
      </c>
      <c r="AW494" s="17" t="n">
        <f aca="false">$G$46*$G$22*(1-Curtailment)*(1-Clipping)*AW486*AW493/Thousand</f>
        <v>0</v>
      </c>
    </row>
    <row r="495" customFormat="false" ht="14.25" hidden="false" customHeight="false" outlineLevel="0" collapsed="false">
      <c r="C495" s="6" t="s">
        <v>308</v>
      </c>
      <c r="D495" s="2" t="s">
        <v>20</v>
      </c>
      <c r="J495" s="17" t="n">
        <f aca="false">Case_PPA*(1+PPA_Esc)^J482*(J486&gt;0)</f>
        <v>0</v>
      </c>
      <c r="K495" s="17" t="n">
        <f aca="false">Case_PPA*(1+PPA_Esc)^K482*(K486&gt;0)</f>
        <v>0</v>
      </c>
      <c r="L495" s="17" t="n">
        <f aca="false">Case_PPA*(1+PPA_Esc)^L482*(L486&gt;0)</f>
        <v>0</v>
      </c>
      <c r="M495" s="17" t="n">
        <f aca="false">Case_PPA*(1+PPA_Esc)^M482*(M486&gt;0)</f>
        <v>0</v>
      </c>
      <c r="N495" s="17" t="n">
        <f aca="false">Case_PPA*(1+PPA_Esc)^N482*(N486&gt;0)</f>
        <v>0</v>
      </c>
      <c r="O495" s="17" t="n">
        <f aca="false">Case_PPA*(1+PPA_Esc)^O482*(O486&gt;0)</f>
        <v>90</v>
      </c>
      <c r="P495" s="17" t="n">
        <f aca="false">Case_PPA*(1+PPA_Esc)^P482*(P486&gt;0)</f>
        <v>90.9</v>
      </c>
      <c r="Q495" s="17" t="n">
        <f aca="false">Case_PPA*(1+PPA_Esc)^Q482*(Q486&gt;0)</f>
        <v>91.809</v>
      </c>
      <c r="R495" s="17" t="n">
        <f aca="false">Case_PPA*(1+PPA_Esc)^R482*(R486&gt;0)</f>
        <v>92.72709</v>
      </c>
      <c r="S495" s="17" t="n">
        <f aca="false">Case_PPA*(1+PPA_Esc)^S482*(S486&gt;0)</f>
        <v>93.6543609</v>
      </c>
      <c r="T495" s="17" t="n">
        <f aca="false">Case_PPA*(1+PPA_Esc)^T482*(T486&gt;0)</f>
        <v>94.590904509</v>
      </c>
      <c r="U495" s="17" t="n">
        <f aca="false">Case_PPA*(1+PPA_Esc)^U482*(U486&gt;0)</f>
        <v>95.53681355409</v>
      </c>
      <c r="V495" s="17" t="n">
        <f aca="false">Case_PPA*(1+PPA_Esc)^V482*(V486&gt;0)</f>
        <v>96.4921816896309</v>
      </c>
      <c r="W495" s="17" t="n">
        <f aca="false">Case_PPA*(1+PPA_Esc)^W482*(W486&gt;0)</f>
        <v>97.4571035065272</v>
      </c>
      <c r="X495" s="17" t="n">
        <f aca="false">Case_PPA*(1+PPA_Esc)^X482*(X486&gt;0)</f>
        <v>98.4316745415925</v>
      </c>
      <c r="Y495" s="17" t="n">
        <f aca="false">Case_PPA*(1+PPA_Esc)^Y482*(Y486&gt;0)</f>
        <v>99.4159912870084</v>
      </c>
      <c r="Z495" s="17" t="n">
        <f aca="false">Case_PPA*(1+PPA_Esc)^Z482*(Z486&gt;0)</f>
        <v>100.410151199878</v>
      </c>
      <c r="AA495" s="17" t="n">
        <f aca="false">Case_PPA*(1+PPA_Esc)^AA482*(AA486&gt;0)</f>
        <v>101.414252711877</v>
      </c>
      <c r="AB495" s="17" t="n">
        <f aca="false">Case_PPA*(1+PPA_Esc)^AB482*(AB486&gt;0)</f>
        <v>102.428395238996</v>
      </c>
      <c r="AC495" s="17" t="n">
        <f aca="false">Case_PPA*(1+PPA_Esc)^AC482*(AC486&gt;0)</f>
        <v>103.452679191386</v>
      </c>
      <c r="AD495" s="17" t="n">
        <f aca="false">Case_PPA*(1+PPA_Esc)^AD482*(AD486&gt;0)</f>
        <v>104.4872059833</v>
      </c>
      <c r="AE495" s="17" t="n">
        <f aca="false">Case_PPA*(1+PPA_Esc)^AE482*(AE486&gt;0)</f>
        <v>105.532078043133</v>
      </c>
      <c r="AF495" s="17" t="n">
        <f aca="false">Case_PPA*(1+PPA_Esc)^AF482*(AF486&gt;0)</f>
        <v>106.587398823564</v>
      </c>
      <c r="AG495" s="17" t="n">
        <f aca="false">Case_PPA*(1+PPA_Esc)^AG482*(AG486&gt;0)</f>
        <v>107.6532728118</v>
      </c>
      <c r="AH495" s="17" t="n">
        <f aca="false">Case_PPA*(1+PPA_Esc)^AH482*(AH486&gt;0)</f>
        <v>108.729805539918</v>
      </c>
      <c r="AI495" s="17" t="n">
        <f aca="false">Case_PPA*(1+PPA_Esc)^AI482*(AI486&gt;0)</f>
        <v>109.817103595317</v>
      </c>
      <c r="AJ495" s="17" t="n">
        <f aca="false">Case_PPA*(1+PPA_Esc)^AJ482*(AJ486&gt;0)</f>
        <v>110.91527463127</v>
      </c>
      <c r="AK495" s="17" t="n">
        <f aca="false">Case_PPA*(1+PPA_Esc)^AK482*(AK486&gt;0)</f>
        <v>112.024427377583</v>
      </c>
      <c r="AL495" s="17" t="n">
        <f aca="false">Case_PPA*(1+PPA_Esc)^AL482*(AL486&gt;0)</f>
        <v>113.144671651359</v>
      </c>
      <c r="AM495" s="17" t="n">
        <f aca="false">Case_PPA*(1+PPA_Esc)^AM482*(AM486&gt;0)</f>
        <v>114.276118367872</v>
      </c>
      <c r="AN495" s="17" t="n">
        <f aca="false">Case_PPA*(1+PPA_Esc)^AN482*(AN486&gt;0)</f>
        <v>115.418879551551</v>
      </c>
      <c r="AO495" s="17" t="n">
        <f aca="false">Case_PPA*(1+PPA_Esc)^AO482*(AO486&gt;0)</f>
        <v>116.573068347067</v>
      </c>
      <c r="AP495" s="17" t="n">
        <f aca="false">Case_PPA*(1+PPA_Esc)^AP482*(AP486&gt;0)</f>
        <v>117.738799030537</v>
      </c>
      <c r="AQ495" s="17" t="n">
        <f aca="false">Case_PPA*(1+PPA_Esc)^AQ482*(AQ486&gt;0)</f>
        <v>118.916187020843</v>
      </c>
      <c r="AR495" s="17" t="n">
        <f aca="false">Case_PPA*(1+PPA_Esc)^AR482*(AR486&gt;0)</f>
        <v>120.105348891051</v>
      </c>
      <c r="AS495" s="17" t="n">
        <f aca="false">Case_PPA*(1+PPA_Esc)^AS482*(AS486&gt;0)</f>
        <v>121.306402379962</v>
      </c>
      <c r="AT495" s="17" t="n">
        <f aca="false">Case_PPA*(1+PPA_Esc)^AT482*(AT486&gt;0)</f>
        <v>0</v>
      </c>
      <c r="AU495" s="17" t="n">
        <f aca="false">Case_PPA*(1+PPA_Esc)^AU482*(AU486&gt;0)</f>
        <v>0</v>
      </c>
      <c r="AV495" s="17" t="n">
        <f aca="false">Case_PPA*(1+PPA_Esc)^AV482*(AV486&gt;0)</f>
        <v>0</v>
      </c>
      <c r="AW495" s="17" t="n">
        <f aca="false">Case_PPA*(1+PPA_Esc)^AW482*(AW486&gt;0)</f>
        <v>0</v>
      </c>
    </row>
    <row r="496" customFormat="false" ht="14.25" hidden="false" customHeight="false" outlineLevel="0" collapsed="false">
      <c r="C496" s="1" t="s">
        <v>158</v>
      </c>
      <c r="D496" s="2" t="s">
        <v>85</v>
      </c>
      <c r="H496" s="32" t="n">
        <f aca="false">SUM(J496:AW496)</f>
        <v>446130.685729454</v>
      </c>
      <c r="J496" s="32" t="n">
        <f aca="false">J494*J495</f>
        <v>0</v>
      </c>
      <c r="K496" s="32" t="n">
        <f aca="false">K494*K495</f>
        <v>0</v>
      </c>
      <c r="L496" s="32" t="n">
        <f aca="false">L494*L495</f>
        <v>0</v>
      </c>
      <c r="M496" s="32" t="n">
        <f aca="false">M494*M495</f>
        <v>0</v>
      </c>
      <c r="N496" s="32" t="n">
        <f aca="false">N494*N495</f>
        <v>0</v>
      </c>
      <c r="O496" s="32" t="n">
        <f aca="false">O494*O495</f>
        <v>6667.92</v>
      </c>
      <c r="P496" s="32" t="n">
        <f aca="false">P494*P495</f>
        <v>13469.1984</v>
      </c>
      <c r="Q496" s="32" t="n">
        <f aca="false">Q494*Q495</f>
        <v>13563.078712848</v>
      </c>
      <c r="R496" s="32" t="n">
        <f aca="false">R494*R495</f>
        <v>13657.6133714766</v>
      </c>
      <c r="S496" s="32" t="n">
        <f aca="false">S494*S495</f>
        <v>13752.8069366757</v>
      </c>
      <c r="T496" s="32" t="n">
        <f aca="false">T494*T495</f>
        <v>13848.6640010244</v>
      </c>
      <c r="U496" s="32" t="n">
        <f aca="false">U494*U495</f>
        <v>13945.1891891115</v>
      </c>
      <c r="V496" s="32" t="n">
        <f aca="false">V494*V495</f>
        <v>14042.3871577596</v>
      </c>
      <c r="W496" s="32" t="n">
        <f aca="false">W494*W495</f>
        <v>14140.2625962492</v>
      </c>
      <c r="X496" s="32" t="n">
        <f aca="false">X494*X495</f>
        <v>14238.8202265451</v>
      </c>
      <c r="Y496" s="32" t="n">
        <f aca="false">Y494*Y495</f>
        <v>14338.0648035241</v>
      </c>
      <c r="Z496" s="32" t="n">
        <f aca="false">Z494*Z495</f>
        <v>14438.0011152046</v>
      </c>
      <c r="AA496" s="32" t="n">
        <f aca="false">AA494*AA495</f>
        <v>14538.6339829776</v>
      </c>
      <c r="AB496" s="32" t="n">
        <f aca="false">AB494*AB495</f>
        <v>14639.968261839</v>
      </c>
      <c r="AC496" s="32" t="n">
        <f aca="false">AC494*AC495</f>
        <v>14742.008840624</v>
      </c>
      <c r="AD496" s="32" t="n">
        <f aca="false">AD494*AD495</f>
        <v>14844.7606422431</v>
      </c>
      <c r="AE496" s="32" t="n">
        <f aca="false">AE494*AE495</f>
        <v>14948.2286239196</v>
      </c>
      <c r="AF496" s="32" t="n">
        <f aca="false">AF494*AF495</f>
        <v>15052.4177774283</v>
      </c>
      <c r="AG496" s="32" t="n">
        <f aca="false">AG494*AG495</f>
        <v>15157.333129337</v>
      </c>
      <c r="AH496" s="32" t="n">
        <f aca="false">AH494*AH495</f>
        <v>15262.9797412485</v>
      </c>
      <c r="AI496" s="32" t="n">
        <f aca="false">AI494*AI495</f>
        <v>15369.362710045</v>
      </c>
      <c r="AJ496" s="32" t="n">
        <f aca="false">AJ494*AJ495</f>
        <v>15476.487168134</v>
      </c>
      <c r="AK496" s="32" t="n">
        <f aca="false">AK494*AK495</f>
        <v>15584.3582836959</v>
      </c>
      <c r="AL496" s="32" t="n">
        <f aca="false">AL494*AL495</f>
        <v>15692.9812609332</v>
      </c>
      <c r="AM496" s="32" t="n">
        <f aca="false">AM494*AM495</f>
        <v>15802.3613403219</v>
      </c>
      <c r="AN496" s="32" t="n">
        <f aca="false">AN494*AN495</f>
        <v>15912.503798864</v>
      </c>
      <c r="AO496" s="32" t="n">
        <f aca="false">AO494*AO495</f>
        <v>16023.4139503421</v>
      </c>
      <c r="AP496" s="32" t="n">
        <f aca="false">AP494*AP495</f>
        <v>16135.0971455759</v>
      </c>
      <c r="AQ496" s="32" t="n">
        <f aca="false">AQ494*AQ495</f>
        <v>16247.5587726806</v>
      </c>
      <c r="AR496" s="32" t="n">
        <f aca="false">AR494*AR495</f>
        <v>16360.8042573262</v>
      </c>
      <c r="AS496" s="32" t="n">
        <f aca="false">AS494*AS495</f>
        <v>8237.41953149987</v>
      </c>
      <c r="AT496" s="32" t="n">
        <f aca="false">AT494*AT495</f>
        <v>0</v>
      </c>
      <c r="AU496" s="32" t="n">
        <f aca="false">AU494*AU495</f>
        <v>0</v>
      </c>
      <c r="AV496" s="32" t="n">
        <f aca="false">AV494*AV495</f>
        <v>0</v>
      </c>
      <c r="AW496" s="32" t="n">
        <f aca="false">AW494*AW495</f>
        <v>0</v>
      </c>
    </row>
    <row r="497" customFormat="false" ht="14.25" hidden="false" customHeight="false" outlineLevel="0" collapsed="false">
      <c r="C497" s="6" t="s">
        <v>309</v>
      </c>
      <c r="D497" s="2" t="s">
        <v>3</v>
      </c>
      <c r="J497" s="76" t="n">
        <f aca="false">(1+Opex_Esc)^J482</f>
        <v>0.883854287609517</v>
      </c>
      <c r="K497" s="76" t="n">
        <f aca="false">(1+Opex_Esc)^K482</f>
        <v>0.905950644799755</v>
      </c>
      <c r="L497" s="76" t="n">
        <f aca="false">(1+Opex_Esc)^L482</f>
        <v>0.928599410919749</v>
      </c>
      <c r="M497" s="76" t="n">
        <f aca="false">(1+Opex_Esc)^M482</f>
        <v>0.951814396192743</v>
      </c>
      <c r="N497" s="76" t="n">
        <f aca="false">(1+Opex_Esc)^N482</f>
        <v>0.975609756097561</v>
      </c>
      <c r="O497" s="76" t="n">
        <f aca="false">(1+Opex_Esc)^O482</f>
        <v>1</v>
      </c>
      <c r="P497" s="76" t="n">
        <f aca="false">(1+Opex_Esc)^P482</f>
        <v>1.025</v>
      </c>
      <c r="Q497" s="76" t="n">
        <f aca="false">(1+Opex_Esc)^Q482</f>
        <v>1.050625</v>
      </c>
      <c r="R497" s="76" t="n">
        <f aca="false">(1+Opex_Esc)^R482</f>
        <v>1.076890625</v>
      </c>
      <c r="S497" s="76" t="n">
        <f aca="false">(1+Opex_Esc)^S482</f>
        <v>1.103812890625</v>
      </c>
      <c r="T497" s="76" t="n">
        <f aca="false">(1+Opex_Esc)^T482</f>
        <v>1.13140821289062</v>
      </c>
      <c r="U497" s="76" t="n">
        <f aca="false">(1+Opex_Esc)^U482</f>
        <v>1.15969341821289</v>
      </c>
      <c r="V497" s="76" t="n">
        <f aca="false">(1+Opex_Esc)^V482</f>
        <v>1.18868575366821</v>
      </c>
      <c r="W497" s="76" t="n">
        <f aca="false">(1+Opex_Esc)^W482</f>
        <v>1.21840289750992</v>
      </c>
      <c r="X497" s="76" t="n">
        <f aca="false">(1+Opex_Esc)^X482</f>
        <v>1.24886296994767</v>
      </c>
      <c r="Y497" s="76" t="n">
        <f aca="false">(1+Opex_Esc)^Y482</f>
        <v>1.28008454419636</v>
      </c>
      <c r="Z497" s="76" t="n">
        <f aca="false">(1+Opex_Esc)^Z482</f>
        <v>1.31208665780127</v>
      </c>
      <c r="AA497" s="76" t="n">
        <f aca="false">(1+Opex_Esc)^AA482</f>
        <v>1.3448888242463</v>
      </c>
      <c r="AB497" s="76" t="n">
        <f aca="false">(1+Opex_Esc)^AB482</f>
        <v>1.37851104485245</v>
      </c>
      <c r="AC497" s="76" t="n">
        <f aca="false">(1+Opex_Esc)^AC482</f>
        <v>1.41297382097377</v>
      </c>
      <c r="AD497" s="76" t="n">
        <f aca="false">(1+Opex_Esc)^AD482</f>
        <v>1.44829816649811</v>
      </c>
      <c r="AE497" s="76" t="n">
        <f aca="false">(1+Opex_Esc)^AE482</f>
        <v>1.48450562066056</v>
      </c>
      <c r="AF497" s="76" t="n">
        <f aca="false">(1+Opex_Esc)^AF482</f>
        <v>1.52161826117708</v>
      </c>
      <c r="AG497" s="76" t="n">
        <f aca="false">(1+Opex_Esc)^AG482</f>
        <v>1.5596587177065</v>
      </c>
      <c r="AH497" s="76" t="n">
        <f aca="false">(1+Opex_Esc)^AH482</f>
        <v>1.59865018564917</v>
      </c>
      <c r="AI497" s="76" t="n">
        <f aca="false">(1+Opex_Esc)^AI482</f>
        <v>1.63861644029039</v>
      </c>
      <c r="AJ497" s="76" t="n">
        <f aca="false">(1+Opex_Esc)^AJ482</f>
        <v>1.67958185129765</v>
      </c>
      <c r="AK497" s="76" t="n">
        <f aca="false">(1+Opex_Esc)^AK482</f>
        <v>1.7215713975801</v>
      </c>
      <c r="AL497" s="76" t="n">
        <f aca="false">(1+Opex_Esc)^AL482</f>
        <v>1.7646106825196</v>
      </c>
      <c r="AM497" s="76" t="n">
        <f aca="false">(1+Opex_Esc)^AM482</f>
        <v>1.80872594958259</v>
      </c>
      <c r="AN497" s="76" t="n">
        <f aca="false">(1+Opex_Esc)^AN482</f>
        <v>1.85394409832215</v>
      </c>
      <c r="AO497" s="76" t="n">
        <f aca="false">(1+Opex_Esc)^AO482</f>
        <v>1.90029270078021</v>
      </c>
      <c r="AP497" s="76" t="n">
        <f aca="false">(1+Opex_Esc)^AP482</f>
        <v>1.94780001829971</v>
      </c>
      <c r="AQ497" s="76" t="n">
        <f aca="false">(1+Opex_Esc)^AQ482</f>
        <v>1.9964950187572</v>
      </c>
      <c r="AR497" s="76" t="n">
        <f aca="false">(1+Opex_Esc)^AR482</f>
        <v>2.04640739422613</v>
      </c>
      <c r="AS497" s="76" t="n">
        <f aca="false">(1+Opex_Esc)^AS482</f>
        <v>2.09756757908179</v>
      </c>
      <c r="AT497" s="76" t="n">
        <f aca="false">(1+Opex_Esc)^AT482</f>
        <v>2.15000676855883</v>
      </c>
      <c r="AU497" s="76" t="n">
        <f aca="false">(1+Opex_Esc)^AU482</f>
        <v>2.2037569377728</v>
      </c>
      <c r="AV497" s="76" t="n">
        <f aca="false">(1+Opex_Esc)^AV482</f>
        <v>2.25885086121712</v>
      </c>
      <c r="AW497" s="76" t="n">
        <f aca="false">(1+Opex_Esc)^AW482</f>
        <v>2.31532213274755</v>
      </c>
    </row>
    <row r="498" customFormat="false" ht="14.25" hidden="false" customHeight="false" outlineLevel="0" collapsed="false">
      <c r="C498" s="6" t="s">
        <v>310</v>
      </c>
      <c r="D498" s="2" t="s">
        <v>85</v>
      </c>
      <c r="H498" s="8" t="n">
        <f aca="false">SUM(J498:AW498)</f>
        <v>-70011.0919506797</v>
      </c>
      <c r="J498" s="8" t="n">
        <f aca="false">-(Case_OM+SUM(Opex_Per_MW))*$G$46*J497*J486</f>
        <v>-0</v>
      </c>
      <c r="K498" s="8" t="n">
        <f aca="false">-(Case_OM+SUM(Opex_Per_MW))*$G$46*K497*K486</f>
        <v>-0</v>
      </c>
      <c r="L498" s="8" t="n">
        <f aca="false">-(Case_OM+SUM(Opex_Per_MW))*$G$46*L497*L486</f>
        <v>-0</v>
      </c>
      <c r="M498" s="8" t="n">
        <f aca="false">-(Case_OM+SUM(Opex_Per_MW))*$G$46*M497*M486</f>
        <v>-0</v>
      </c>
      <c r="N498" s="8" t="n">
        <f aca="false">-(Case_OM+SUM(Opex_Per_MW))*$G$46*N497*N486</f>
        <v>-0</v>
      </c>
      <c r="O498" s="8" t="n">
        <f aca="false">-(Case_OM+SUM(Opex_Per_MW))*$G$46*O497*O486</f>
        <v>-787.5</v>
      </c>
      <c r="P498" s="8" t="n">
        <f aca="false">-(Case_OM+SUM(Opex_Per_MW))*$G$46*P497*P486</f>
        <v>-1614.375</v>
      </c>
      <c r="Q498" s="8" t="n">
        <f aca="false">-(Case_OM+SUM(Opex_Per_MW))*$G$46*Q497*Q486</f>
        <v>-1654.734375</v>
      </c>
      <c r="R498" s="8" t="n">
        <f aca="false">-(Case_OM+SUM(Opex_Per_MW))*$G$46*R497*R486</f>
        <v>-1696.102734375</v>
      </c>
      <c r="S498" s="8" t="n">
        <f aca="false">-(Case_OM+SUM(Opex_Per_MW))*$G$46*S497*S486</f>
        <v>-1738.50530273437</v>
      </c>
      <c r="T498" s="8" t="n">
        <f aca="false">-(Case_OM+SUM(Opex_Per_MW))*$G$46*T497*T486</f>
        <v>-1781.96793530273</v>
      </c>
      <c r="U498" s="8" t="n">
        <f aca="false">-(Case_OM+SUM(Opex_Per_MW))*$G$46*U497*U486</f>
        <v>-1826.5171336853</v>
      </c>
      <c r="V498" s="8" t="n">
        <f aca="false">-(Case_OM+SUM(Opex_Per_MW))*$G$46*V497*V486</f>
        <v>-1872.18006202743</v>
      </c>
      <c r="W498" s="8" t="n">
        <f aca="false">-(Case_OM+SUM(Opex_Per_MW))*$G$46*W497*W486</f>
        <v>-1918.98456357812</v>
      </c>
      <c r="X498" s="8" t="n">
        <f aca="false">-(Case_OM+SUM(Opex_Per_MW))*$G$46*X497*X486</f>
        <v>-1966.95917766757</v>
      </c>
      <c r="Y498" s="8" t="n">
        <f aca="false">-(Case_OM+SUM(Opex_Per_MW))*$G$46*Y497*Y486</f>
        <v>-2016.13315710926</v>
      </c>
      <c r="Z498" s="8" t="n">
        <f aca="false">-(Case_OM+SUM(Opex_Per_MW))*$G$46*Z497*Z486</f>
        <v>-2066.53648603699</v>
      </c>
      <c r="AA498" s="8" t="n">
        <f aca="false">-(Case_OM+SUM(Opex_Per_MW))*$G$46*AA497*AA486</f>
        <v>-2118.19989818792</v>
      </c>
      <c r="AB498" s="8" t="n">
        <f aca="false">-(Case_OM+SUM(Opex_Per_MW))*$G$46*AB497*AB486</f>
        <v>-2171.15489564262</v>
      </c>
      <c r="AC498" s="8" t="n">
        <f aca="false">-(Case_OM+SUM(Opex_Per_MW))*$G$46*AC497*AC486</f>
        <v>-2225.43376803368</v>
      </c>
      <c r="AD498" s="8" t="n">
        <f aca="false">-(Case_OM+SUM(Opex_Per_MW))*$G$46*AD497*AD486</f>
        <v>-2281.06961223452</v>
      </c>
      <c r="AE498" s="8" t="n">
        <f aca="false">-(Case_OM+SUM(Opex_Per_MW))*$G$46*AE497*AE486</f>
        <v>-2338.09635254039</v>
      </c>
      <c r="AF498" s="8" t="n">
        <f aca="false">-(Case_OM+SUM(Opex_Per_MW))*$G$46*AF497*AF486</f>
        <v>-2396.5487613539</v>
      </c>
      <c r="AG498" s="8" t="n">
        <f aca="false">-(Case_OM+SUM(Opex_Per_MW))*$G$46*AG497*AG486</f>
        <v>-2456.46248038774</v>
      </c>
      <c r="AH498" s="8" t="n">
        <f aca="false">-(Case_OM+SUM(Opex_Per_MW))*$G$46*AH497*AH486</f>
        <v>-2517.87404239744</v>
      </c>
      <c r="AI498" s="8" t="n">
        <f aca="false">-(Case_OM+SUM(Opex_Per_MW))*$G$46*AI497*AI486</f>
        <v>-2580.82089345737</v>
      </c>
      <c r="AJ498" s="8" t="n">
        <f aca="false">-(Case_OM+SUM(Opex_Per_MW))*$G$46*AJ497*AJ486</f>
        <v>-2645.34141579381</v>
      </c>
      <c r="AK498" s="8" t="n">
        <f aca="false">-(Case_OM+SUM(Opex_Per_MW))*$G$46*AK497*AK486</f>
        <v>-2711.47495118865</v>
      </c>
      <c r="AL498" s="8" t="n">
        <f aca="false">-(Case_OM+SUM(Opex_Per_MW))*$G$46*AL497*AL486</f>
        <v>-2779.26182496837</v>
      </c>
      <c r="AM498" s="8" t="n">
        <f aca="false">-(Case_OM+SUM(Opex_Per_MW))*$G$46*AM497*AM486</f>
        <v>-2848.74337059257</v>
      </c>
      <c r="AN498" s="8" t="n">
        <f aca="false">-(Case_OM+SUM(Opex_Per_MW))*$G$46*AN497*AN486</f>
        <v>-2919.96195485739</v>
      </c>
      <c r="AO498" s="8" t="n">
        <f aca="false">-(Case_OM+SUM(Opex_Per_MW))*$G$46*AO497*AO486</f>
        <v>-2992.96100372882</v>
      </c>
      <c r="AP498" s="8" t="n">
        <f aca="false">-(Case_OM+SUM(Opex_Per_MW))*$G$46*AP497*AP486</f>
        <v>-3067.78502882204</v>
      </c>
      <c r="AQ498" s="8" t="n">
        <f aca="false">-(Case_OM+SUM(Opex_Per_MW))*$G$46*AQ497*AQ486</f>
        <v>-3144.47965454259</v>
      </c>
      <c r="AR498" s="8" t="n">
        <f aca="false">-(Case_OM+SUM(Opex_Per_MW))*$G$46*AR497*AR486</f>
        <v>-3223.09164590616</v>
      </c>
      <c r="AS498" s="8" t="n">
        <f aca="false">-(Case_OM+SUM(Opex_Per_MW))*$G$46*AS497*AS486</f>
        <v>-1651.83446852691</v>
      </c>
      <c r="AT498" s="8" t="n">
        <f aca="false">-(Case_OM+SUM(Opex_Per_MW))*$G$46*AT497*AT486</f>
        <v>-0</v>
      </c>
      <c r="AU498" s="8" t="n">
        <f aca="false">-(Case_OM+SUM(Opex_Per_MW))*$G$46*AU497*AU486</f>
        <v>-0</v>
      </c>
      <c r="AV498" s="8" t="n">
        <f aca="false">-(Case_OM+SUM(Opex_Per_MW))*$G$46*AV497*AV486</f>
        <v>-0</v>
      </c>
      <c r="AW498" s="8" t="n">
        <f aca="false">-(Case_OM+SUM(Opex_Per_MW))*$G$46*AW497*AW486</f>
        <v>-0</v>
      </c>
    </row>
    <row r="499" customFormat="false" ht="14.25" hidden="false" customHeight="false" outlineLevel="0" collapsed="false">
      <c r="C499" s="6" t="s">
        <v>311</v>
      </c>
      <c r="D499" s="2" t="s">
        <v>85</v>
      </c>
      <c r="H499" s="8" t="n">
        <f aca="false">SUM(J499:AW499)</f>
        <v>-1666.93076073047</v>
      </c>
      <c r="J499" s="8" t="n">
        <f aca="false">-Opex_Admin*$G$6/Lump_Basis*J497*J486</f>
        <v>-0</v>
      </c>
      <c r="K499" s="8" t="n">
        <f aca="false">-Opex_Admin*$G$6/Lump_Basis*K497*K486</f>
        <v>-0</v>
      </c>
      <c r="L499" s="8" t="n">
        <f aca="false">-Opex_Admin*$G$6/Lump_Basis*L497*L486</f>
        <v>-0</v>
      </c>
      <c r="M499" s="8" t="n">
        <f aca="false">-Opex_Admin*$G$6/Lump_Basis*M497*M486</f>
        <v>-0</v>
      </c>
      <c r="N499" s="8" t="n">
        <f aca="false">-Opex_Admin*$G$6/Lump_Basis*N497*N486</f>
        <v>-0</v>
      </c>
      <c r="O499" s="8" t="n">
        <f aca="false">-Opex_Admin*$G$6/Lump_Basis*O497*O486</f>
        <v>-18.75</v>
      </c>
      <c r="P499" s="8" t="n">
        <f aca="false">-Opex_Admin*$G$6/Lump_Basis*P497*P486</f>
        <v>-38.4375</v>
      </c>
      <c r="Q499" s="8" t="n">
        <f aca="false">-Opex_Admin*$G$6/Lump_Basis*Q497*Q486</f>
        <v>-39.3984375</v>
      </c>
      <c r="R499" s="8" t="n">
        <f aca="false">-Opex_Admin*$G$6/Lump_Basis*R497*R486</f>
        <v>-40.3833984375</v>
      </c>
      <c r="S499" s="8" t="n">
        <f aca="false">-Opex_Admin*$G$6/Lump_Basis*S497*S486</f>
        <v>-41.3929833984375</v>
      </c>
      <c r="T499" s="8" t="n">
        <f aca="false">-Opex_Admin*$G$6/Lump_Basis*T497*T486</f>
        <v>-42.4278079833984</v>
      </c>
      <c r="U499" s="8" t="n">
        <f aca="false">-Opex_Admin*$G$6/Lump_Basis*U497*U486</f>
        <v>-43.4885031829834</v>
      </c>
      <c r="V499" s="8" t="n">
        <f aca="false">-Opex_Admin*$G$6/Lump_Basis*V497*V486</f>
        <v>-44.575715762558</v>
      </c>
      <c r="W499" s="8" t="n">
        <f aca="false">-Opex_Admin*$G$6/Lump_Basis*W497*W486</f>
        <v>-45.6901086566219</v>
      </c>
      <c r="X499" s="8" t="n">
        <f aca="false">-Opex_Admin*$G$6/Lump_Basis*X497*X486</f>
        <v>-46.8323613730374</v>
      </c>
      <c r="Y499" s="8" t="n">
        <f aca="false">-Opex_Admin*$G$6/Lump_Basis*Y497*Y486</f>
        <v>-48.0031704073634</v>
      </c>
      <c r="Z499" s="8" t="n">
        <f aca="false">-Opex_Admin*$G$6/Lump_Basis*Z497*Z486</f>
        <v>-49.2032496675475</v>
      </c>
      <c r="AA499" s="8" t="n">
        <f aca="false">-Opex_Admin*$G$6/Lump_Basis*AA497*AA486</f>
        <v>-50.4333309092361</v>
      </c>
      <c r="AB499" s="8" t="n">
        <f aca="false">-Opex_Admin*$G$6/Lump_Basis*AB497*AB486</f>
        <v>-51.694164181967</v>
      </c>
      <c r="AC499" s="8" t="n">
        <f aca="false">-Opex_Admin*$G$6/Lump_Basis*AC497*AC486</f>
        <v>-52.9865182865162</v>
      </c>
      <c r="AD499" s="8" t="n">
        <f aca="false">-Opex_Admin*$G$6/Lump_Basis*AD497*AD486</f>
        <v>-54.3111812436791</v>
      </c>
      <c r="AE499" s="8" t="n">
        <f aca="false">-Opex_Admin*$G$6/Lump_Basis*AE497*AE486</f>
        <v>-55.6689607747711</v>
      </c>
      <c r="AF499" s="8" t="n">
        <f aca="false">-Opex_Admin*$G$6/Lump_Basis*AF497*AF486</f>
        <v>-57.0606847941404</v>
      </c>
      <c r="AG499" s="8" t="n">
        <f aca="false">-Opex_Admin*$G$6/Lump_Basis*AG497*AG486</f>
        <v>-58.4872019139939</v>
      </c>
      <c r="AH499" s="8" t="n">
        <f aca="false">-Opex_Admin*$G$6/Lump_Basis*AH497*AH486</f>
        <v>-59.9493819618437</v>
      </c>
      <c r="AI499" s="8" t="n">
        <f aca="false">-Opex_Admin*$G$6/Lump_Basis*AI497*AI486</f>
        <v>-61.4481165108898</v>
      </c>
      <c r="AJ499" s="8" t="n">
        <f aca="false">-Opex_Admin*$G$6/Lump_Basis*AJ497*AJ486</f>
        <v>-62.984319423662</v>
      </c>
      <c r="AK499" s="8" t="n">
        <f aca="false">-Opex_Admin*$G$6/Lump_Basis*AK497*AK486</f>
        <v>-64.5589274092536</v>
      </c>
      <c r="AL499" s="8" t="n">
        <f aca="false">-Opex_Admin*$G$6/Lump_Basis*AL497*AL486</f>
        <v>-66.1729005944849</v>
      </c>
      <c r="AM499" s="8" t="n">
        <f aca="false">-Opex_Admin*$G$6/Lump_Basis*AM497*AM486</f>
        <v>-67.827223109347</v>
      </c>
      <c r="AN499" s="8" t="n">
        <f aca="false">-Opex_Admin*$G$6/Lump_Basis*AN497*AN486</f>
        <v>-69.5229036870807</v>
      </c>
      <c r="AO499" s="8" t="n">
        <f aca="false">-Opex_Admin*$G$6/Lump_Basis*AO497*AO486</f>
        <v>-71.2609762792577</v>
      </c>
      <c r="AP499" s="8" t="n">
        <f aca="false">-Opex_Admin*$G$6/Lump_Basis*AP497*AP486</f>
        <v>-73.0425006862391</v>
      </c>
      <c r="AQ499" s="8" t="n">
        <f aca="false">-Opex_Admin*$G$6/Lump_Basis*AQ497*AQ486</f>
        <v>-74.8685632033951</v>
      </c>
      <c r="AR499" s="8" t="n">
        <f aca="false">-Opex_Admin*$G$6/Lump_Basis*AR497*AR486</f>
        <v>-76.74027728348</v>
      </c>
      <c r="AS499" s="8" t="n">
        <f aca="false">-Opex_Admin*$G$6/Lump_Basis*AS497*AS486</f>
        <v>-39.3293921077835</v>
      </c>
      <c r="AT499" s="8" t="n">
        <f aca="false">-Opex_Admin*$G$6/Lump_Basis*AT497*AT486</f>
        <v>-0</v>
      </c>
      <c r="AU499" s="8" t="n">
        <f aca="false">-Opex_Admin*$G$6/Lump_Basis*AU497*AU486</f>
        <v>-0</v>
      </c>
      <c r="AV499" s="8" t="n">
        <f aca="false">-Opex_Admin*$G$6/Lump_Basis*AV497*AV486</f>
        <v>-0</v>
      </c>
      <c r="AW499" s="8" t="n">
        <f aca="false">-Opex_Admin*$G$6/Lump_Basis*AW497*AW486</f>
        <v>-0</v>
      </c>
    </row>
    <row r="500" customFormat="false" ht="14.25" hidden="false" customHeight="false" outlineLevel="0" collapsed="false">
      <c r="C500" s="6" t="s">
        <v>312</v>
      </c>
      <c r="D500" s="2" t="s">
        <v>85</v>
      </c>
      <c r="H500" s="8" t="n">
        <f aca="false">SUM(J500:AW500)</f>
        <v>-31411.9298672852</v>
      </c>
      <c r="J500" s="8" t="n">
        <f aca="false">-J494*(Balancing+Grid_Charges)*J497</f>
        <v>-0</v>
      </c>
      <c r="K500" s="8" t="n">
        <f aca="false">-K494*(Balancing+Grid_Charges)*K497</f>
        <v>-0</v>
      </c>
      <c r="L500" s="8" t="n">
        <f aca="false">-L494*(Balancing+Grid_Charges)*L497</f>
        <v>-0</v>
      </c>
      <c r="M500" s="8" t="n">
        <f aca="false">-M494*(Balancing+Grid_Charges)*M497</f>
        <v>-0</v>
      </c>
      <c r="N500" s="8" t="n">
        <f aca="false">-N494*(Balancing+Grid_Charges)*N497</f>
        <v>-0</v>
      </c>
      <c r="O500" s="8" t="n">
        <f aca="false">-O494*(Balancing+Grid_Charges)*O497</f>
        <v>-370.44</v>
      </c>
      <c r="P500" s="8" t="n">
        <f aca="false">-P494*(Balancing+Grid_Charges)*P497</f>
        <v>-759.402</v>
      </c>
      <c r="Q500" s="8" t="n">
        <f aca="false">-Q494*(Balancing+Grid_Charges)*Q497</f>
        <v>-776.05188885</v>
      </c>
      <c r="R500" s="8" t="n">
        <f aca="false">-R494*(Balancing+Grid_Charges)*R497</f>
        <v>-793.066826513036</v>
      </c>
      <c r="S500" s="8" t="n">
        <f aca="false">-S494*(Balancing+Grid_Charges)*S497</f>
        <v>-810.454816684334</v>
      </c>
      <c r="T500" s="8" t="n">
        <f aca="false">-T494*(Balancing+Grid_Charges)*T497</f>
        <v>-828.224038540138</v>
      </c>
      <c r="U500" s="8" t="n">
        <f aca="false">-U494*(Balancing+Grid_Charges)*U497</f>
        <v>-846.382850585131</v>
      </c>
      <c r="V500" s="8" t="n">
        <f aca="false">-V494*(Balancing+Grid_Charges)*V497</f>
        <v>-864.93979458421</v>
      </c>
      <c r="W500" s="8" t="n">
        <f aca="false">-W494*(Balancing+Grid_Charges)*W497</f>
        <v>-883.903599580468</v>
      </c>
      <c r="X500" s="8" t="n">
        <f aca="false">-X494*(Balancing+Grid_Charges)*X497</f>
        <v>-903.28318600127</v>
      </c>
      <c r="Y500" s="8" t="n">
        <f aca="false">-Y494*(Balancing+Grid_Charges)*Y497</f>
        <v>-923.087669854348</v>
      </c>
      <c r="Z500" s="8" t="n">
        <f aca="false">-Z494*(Balancing+Grid_Charges)*Z497</f>
        <v>-943.326367015904</v>
      </c>
      <c r="AA500" s="8" t="n">
        <f aca="false">-AA494*(Balancing+Grid_Charges)*AA497</f>
        <v>-964.008797612728</v>
      </c>
      <c r="AB500" s="8" t="n">
        <f aca="false">-AB494*(Balancing+Grid_Charges)*AB497</f>
        <v>-985.144690500387</v>
      </c>
      <c r="AC500" s="8" t="n">
        <f aca="false">-AC494*(Balancing+Grid_Charges)*AC497</f>
        <v>-1006.74398783961</v>
      </c>
      <c r="AD500" s="8" t="n">
        <f aca="false">-AD494*(Balancing+Grid_Charges)*AD497</f>
        <v>-1028.81684977299</v>
      </c>
      <c r="AE500" s="8" t="n">
        <f aca="false">-AE494*(Balancing+Grid_Charges)*AE497</f>
        <v>-1051.37365920426</v>
      </c>
      <c r="AF500" s="8" t="n">
        <f aca="false">-AF494*(Balancing+Grid_Charges)*AF497</f>
        <v>-1074.42502668232</v>
      </c>
      <c r="AG500" s="8" t="n">
        <f aca="false">-AG494*(Balancing+Grid_Charges)*AG497</f>
        <v>-1097.98179539233</v>
      </c>
      <c r="AH500" s="8" t="n">
        <f aca="false">-AH494*(Balancing+Grid_Charges)*AH497</f>
        <v>-1122.0550462563</v>
      </c>
      <c r="AI500" s="8" t="n">
        <f aca="false">-AI494*(Balancing+Grid_Charges)*AI497</f>
        <v>-1146.65610314547</v>
      </c>
      <c r="AJ500" s="8" t="n">
        <f aca="false">-AJ494*(Balancing+Grid_Charges)*AJ497</f>
        <v>-1171.79653820694</v>
      </c>
      <c r="AK500" s="8" t="n">
        <f aca="false">-AK494*(Balancing+Grid_Charges)*AK497</f>
        <v>-1197.48817730712</v>
      </c>
      <c r="AL500" s="8" t="n">
        <f aca="false">-AL494*(Balancing+Grid_Charges)*AL497</f>
        <v>-1223.74310559458</v>
      </c>
      <c r="AM500" s="8" t="n">
        <f aca="false">-AM494*(Balancing+Grid_Charges)*AM497</f>
        <v>-1250.57367318474</v>
      </c>
      <c r="AN500" s="8" t="n">
        <f aca="false">-AN494*(Balancing+Grid_Charges)*AN497</f>
        <v>-1277.99250096932</v>
      </c>
      <c r="AO500" s="8" t="n">
        <f aca="false">-AO494*(Balancing+Grid_Charges)*AO497</f>
        <v>-1306.01248655307</v>
      </c>
      <c r="AP500" s="8" t="n">
        <f aca="false">-AP494*(Balancing+Grid_Charges)*AP497</f>
        <v>-1334.64681032075</v>
      </c>
      <c r="AQ500" s="8" t="n">
        <f aca="false">-AQ494*(Balancing+Grid_Charges)*AQ497</f>
        <v>-1363.90894163703</v>
      </c>
      <c r="AR500" s="8" t="n">
        <f aca="false">-AR494*(Balancing+Grid_Charges)*AR497</f>
        <v>-1393.81264518242</v>
      </c>
      <c r="AS500" s="8" t="n">
        <f aca="false">-AS494*(Balancing+Grid_Charges)*AS497</f>
        <v>-712.185993714023</v>
      </c>
      <c r="AT500" s="8" t="n">
        <f aca="false">-AT494*(Balancing+Grid_Charges)*AT497</f>
        <v>-0</v>
      </c>
      <c r="AU500" s="8" t="n">
        <f aca="false">-AU494*(Balancing+Grid_Charges)*AU497</f>
        <v>-0</v>
      </c>
      <c r="AV500" s="8" t="n">
        <f aca="false">-AV494*(Balancing+Grid_Charges)*AV497</f>
        <v>-0</v>
      </c>
      <c r="AW500" s="8" t="n">
        <f aca="false">-AW494*(Balancing+Grid_Charges)*AW497</f>
        <v>-0</v>
      </c>
    </row>
    <row r="501" customFormat="false" ht="14.25" hidden="false" customHeight="false" outlineLevel="0" collapsed="false">
      <c r="C501" s="6" t="s">
        <v>313</v>
      </c>
      <c r="D501" s="2" t="s">
        <v>85</v>
      </c>
      <c r="H501" s="8" t="n">
        <f aca="false">SUM(J501:AW501)</f>
        <v>-446.130685729454</v>
      </c>
      <c r="J501" s="8" t="n">
        <f aca="false">-J496*MEKH_Fee</f>
        <v>-0</v>
      </c>
      <c r="K501" s="8" t="n">
        <f aca="false">-K496*MEKH_Fee</f>
        <v>-0</v>
      </c>
      <c r="L501" s="8" t="n">
        <f aca="false">-L496*MEKH_Fee</f>
        <v>-0</v>
      </c>
      <c r="M501" s="8" t="n">
        <f aca="false">-M496*MEKH_Fee</f>
        <v>-0</v>
      </c>
      <c r="N501" s="8" t="n">
        <f aca="false">-N496*MEKH_Fee</f>
        <v>-0</v>
      </c>
      <c r="O501" s="8" t="n">
        <f aca="false">-O496*MEKH_Fee</f>
        <v>-6.66792</v>
      </c>
      <c r="P501" s="8" t="n">
        <f aca="false">-P496*MEKH_Fee</f>
        <v>-13.4691984</v>
      </c>
      <c r="Q501" s="8" t="n">
        <f aca="false">-Q496*MEKH_Fee</f>
        <v>-13.563078712848</v>
      </c>
      <c r="R501" s="8" t="n">
        <f aca="false">-R496*MEKH_Fee</f>
        <v>-13.6576133714766</v>
      </c>
      <c r="S501" s="8" t="n">
        <f aca="false">-S496*MEKH_Fee</f>
        <v>-13.7528069366757</v>
      </c>
      <c r="T501" s="8" t="n">
        <f aca="false">-T496*MEKH_Fee</f>
        <v>-13.8486640010244</v>
      </c>
      <c r="U501" s="8" t="n">
        <f aca="false">-U496*MEKH_Fee</f>
        <v>-13.9451891891115</v>
      </c>
      <c r="V501" s="8" t="n">
        <f aca="false">-V496*MEKH_Fee</f>
        <v>-14.0423871577596</v>
      </c>
      <c r="W501" s="8" t="n">
        <f aca="false">-W496*MEKH_Fee</f>
        <v>-14.1402625962492</v>
      </c>
      <c r="X501" s="8" t="n">
        <f aca="false">-X496*MEKH_Fee</f>
        <v>-14.2388202265451</v>
      </c>
      <c r="Y501" s="8" t="n">
        <f aca="false">-Y496*MEKH_Fee</f>
        <v>-14.3380648035241</v>
      </c>
      <c r="Z501" s="8" t="n">
        <f aca="false">-Z496*MEKH_Fee</f>
        <v>-14.4380011152046</v>
      </c>
      <c r="AA501" s="8" t="n">
        <f aca="false">-AA496*MEKH_Fee</f>
        <v>-14.5386339829776</v>
      </c>
      <c r="AB501" s="8" t="n">
        <f aca="false">-AB496*MEKH_Fee</f>
        <v>-14.639968261839</v>
      </c>
      <c r="AC501" s="8" t="n">
        <f aca="false">-AC496*MEKH_Fee</f>
        <v>-14.742008840624</v>
      </c>
      <c r="AD501" s="8" t="n">
        <f aca="false">-AD496*MEKH_Fee</f>
        <v>-14.8447606422431</v>
      </c>
      <c r="AE501" s="8" t="n">
        <f aca="false">-AE496*MEKH_Fee</f>
        <v>-14.9482286239196</v>
      </c>
      <c r="AF501" s="8" t="n">
        <f aca="false">-AF496*MEKH_Fee</f>
        <v>-15.0524177774283</v>
      </c>
      <c r="AG501" s="8" t="n">
        <f aca="false">-AG496*MEKH_Fee</f>
        <v>-15.157333129337</v>
      </c>
      <c r="AH501" s="8" t="n">
        <f aca="false">-AH496*MEKH_Fee</f>
        <v>-15.2629797412485</v>
      </c>
      <c r="AI501" s="8" t="n">
        <f aca="false">-AI496*MEKH_Fee</f>
        <v>-15.369362710045</v>
      </c>
      <c r="AJ501" s="8" t="n">
        <f aca="false">-AJ496*MEKH_Fee</f>
        <v>-15.476487168134</v>
      </c>
      <c r="AK501" s="8" t="n">
        <f aca="false">-AK496*MEKH_Fee</f>
        <v>-15.5843582836959</v>
      </c>
      <c r="AL501" s="8" t="n">
        <f aca="false">-AL496*MEKH_Fee</f>
        <v>-15.6929812609332</v>
      </c>
      <c r="AM501" s="8" t="n">
        <f aca="false">-AM496*MEKH_Fee</f>
        <v>-15.8023613403219</v>
      </c>
      <c r="AN501" s="8" t="n">
        <f aca="false">-AN496*MEKH_Fee</f>
        <v>-15.912503798864</v>
      </c>
      <c r="AO501" s="8" t="n">
        <f aca="false">-AO496*MEKH_Fee</f>
        <v>-16.0234139503421</v>
      </c>
      <c r="AP501" s="8" t="n">
        <f aca="false">-AP496*MEKH_Fee</f>
        <v>-16.1350971455759</v>
      </c>
      <c r="AQ501" s="8" t="n">
        <f aca="false">-AQ496*MEKH_Fee</f>
        <v>-16.2475587726806</v>
      </c>
      <c r="AR501" s="8" t="n">
        <f aca="false">-AR496*MEKH_Fee</f>
        <v>-16.3608042573262</v>
      </c>
      <c r="AS501" s="8" t="n">
        <f aca="false">-AS496*MEKH_Fee</f>
        <v>-8.23741953149987</v>
      </c>
      <c r="AT501" s="8" t="n">
        <f aca="false">-AT496*MEKH_Fee</f>
        <v>-0</v>
      </c>
      <c r="AU501" s="8" t="n">
        <f aca="false">-AU496*MEKH_Fee</f>
        <v>-0</v>
      </c>
      <c r="AV501" s="8" t="n">
        <f aca="false">-AV496*MEKH_Fee</f>
        <v>-0</v>
      </c>
      <c r="AW501" s="8" t="n">
        <f aca="false">-AW496*MEKH_Fee</f>
        <v>-0</v>
      </c>
    </row>
    <row r="502" customFormat="false" ht="14.25" hidden="false" customHeight="false" outlineLevel="0" collapsed="false">
      <c r="C502" s="6" t="s">
        <v>314</v>
      </c>
      <c r="D502" s="2" t="s">
        <v>85</v>
      </c>
      <c r="H502" s="8" t="n">
        <f aca="false">SUM(J502:AW502)</f>
        <v>-5176.80416322124</v>
      </c>
      <c r="J502" s="8" t="n">
        <f aca="false">SUM(J498:J501)*Opex_Cont</f>
        <v>0</v>
      </c>
      <c r="K502" s="8" t="n">
        <f aca="false">SUM(K498:K501)*Opex_Cont</f>
        <v>0</v>
      </c>
      <c r="L502" s="8" t="n">
        <f aca="false">SUM(L498:L501)*Opex_Cont</f>
        <v>0</v>
      </c>
      <c r="M502" s="8" t="n">
        <f aca="false">SUM(M498:M501)*Opex_Cont</f>
        <v>0</v>
      </c>
      <c r="N502" s="8" t="n">
        <f aca="false">SUM(N498:N501)*Opex_Cont</f>
        <v>0</v>
      </c>
      <c r="O502" s="8" t="n">
        <f aca="false">SUM(O498:O501)*Opex_Cont</f>
        <v>-59.167896</v>
      </c>
      <c r="P502" s="8" t="n">
        <f aca="false">SUM(P498:P501)*Opex_Cont</f>
        <v>-121.28418492</v>
      </c>
      <c r="Q502" s="8" t="n">
        <f aca="false">SUM(Q498:Q501)*Opex_Cont</f>
        <v>-124.187389003142</v>
      </c>
      <c r="R502" s="8" t="n">
        <f aca="false">SUM(R498:R501)*Opex_Cont</f>
        <v>-127.160528634851</v>
      </c>
      <c r="S502" s="8" t="n">
        <f aca="false">SUM(S498:S501)*Opex_Cont</f>
        <v>-130.205295487691</v>
      </c>
      <c r="T502" s="8" t="n">
        <f aca="false">SUM(T498:T501)*Opex_Cont</f>
        <v>-133.323422291365</v>
      </c>
      <c r="U502" s="8" t="n">
        <f aca="false">SUM(U498:U501)*Opex_Cont</f>
        <v>-136.516683832126</v>
      </c>
      <c r="V502" s="8" t="n">
        <f aca="false">SUM(V498:V501)*Opex_Cont</f>
        <v>-139.786897976598</v>
      </c>
      <c r="W502" s="8" t="n">
        <f aca="false">SUM(W498:W501)*Opex_Cont</f>
        <v>-143.135926720573</v>
      </c>
      <c r="X502" s="8" t="n">
        <f aca="false">SUM(X498:X501)*Opex_Cont</f>
        <v>-146.565677263421</v>
      </c>
      <c r="Y502" s="8" t="n">
        <f aca="false">SUM(Y498:Y501)*Opex_Cont</f>
        <v>-150.078103108725</v>
      </c>
      <c r="Z502" s="8" t="n">
        <f aca="false">SUM(Z498:Z501)*Opex_Cont</f>
        <v>-153.675205191783</v>
      </c>
      <c r="AA502" s="8" t="n">
        <f aca="false">SUM(AA498:AA501)*Opex_Cont</f>
        <v>-157.359033034643</v>
      </c>
      <c r="AB502" s="8" t="n">
        <f aca="false">SUM(AB498:AB501)*Opex_Cont</f>
        <v>-161.13168592934</v>
      </c>
      <c r="AC502" s="8" t="n">
        <f aca="false">SUM(AC498:AC501)*Opex_Cont</f>
        <v>-164.995314150021</v>
      </c>
      <c r="AD502" s="8" t="n">
        <f aca="false">SUM(AD498:AD501)*Opex_Cont</f>
        <v>-168.952120194672</v>
      </c>
      <c r="AE502" s="8" t="n">
        <f aca="false">SUM(AE498:AE501)*Opex_Cont</f>
        <v>-173.004360057167</v>
      </c>
      <c r="AF502" s="8" t="n">
        <f aca="false">SUM(AF498:AF501)*Opex_Cont</f>
        <v>-177.154344530389</v>
      </c>
      <c r="AG502" s="8" t="n">
        <f aca="false">SUM(AG498:AG501)*Opex_Cont</f>
        <v>-181.40444054117</v>
      </c>
      <c r="AH502" s="8" t="n">
        <f aca="false">SUM(AH498:AH501)*Opex_Cont</f>
        <v>-185.757072517842</v>
      </c>
      <c r="AI502" s="8" t="n">
        <f aca="false">SUM(AI498:AI501)*Opex_Cont</f>
        <v>-190.214723791189</v>
      </c>
      <c r="AJ502" s="8" t="n">
        <f aca="false">SUM(AJ498:AJ501)*Opex_Cont</f>
        <v>-194.779938029627</v>
      </c>
      <c r="AK502" s="8" t="n">
        <f aca="false">SUM(AK498:AK501)*Opex_Cont</f>
        <v>-199.455320709436</v>
      </c>
      <c r="AL502" s="8" t="n">
        <f aca="false">SUM(AL498:AL501)*Opex_Cont</f>
        <v>-204.243540620918</v>
      </c>
      <c r="AM502" s="8" t="n">
        <f aca="false">SUM(AM498:AM501)*Opex_Cont</f>
        <v>-209.147331411349</v>
      </c>
      <c r="AN502" s="8" t="n">
        <f aca="false">SUM(AN498:AN501)*Opex_Cont</f>
        <v>-214.169493165633</v>
      </c>
      <c r="AO502" s="8" t="n">
        <f aca="false">SUM(AO498:AO501)*Opex_Cont</f>
        <v>-219.312894025575</v>
      </c>
      <c r="AP502" s="8" t="n">
        <f aca="false">SUM(AP498:AP501)*Opex_Cont</f>
        <v>-224.58047184873</v>
      </c>
      <c r="AQ502" s="8" t="n">
        <f aca="false">SUM(AQ498:AQ501)*Opex_Cont</f>
        <v>-229.975235907785</v>
      </c>
      <c r="AR502" s="8" t="n">
        <f aca="false">SUM(AR498:AR501)*Opex_Cont</f>
        <v>-235.500268631469</v>
      </c>
      <c r="AS502" s="8" t="n">
        <f aca="false">SUM(AS498:AS501)*Opex_Cont</f>
        <v>-120.579363694011</v>
      </c>
      <c r="AT502" s="8" t="n">
        <f aca="false">SUM(AT498:AT501)*Opex_Cont</f>
        <v>0</v>
      </c>
      <c r="AU502" s="8" t="n">
        <f aca="false">SUM(AU498:AU501)*Opex_Cont</f>
        <v>0</v>
      </c>
      <c r="AV502" s="8" t="n">
        <f aca="false">SUM(AV498:AV501)*Opex_Cont</f>
        <v>0</v>
      </c>
      <c r="AW502" s="8" t="n">
        <f aca="false">SUM(AW498:AW501)*Opex_Cont</f>
        <v>0</v>
      </c>
    </row>
    <row r="503" customFormat="false" ht="14.25" hidden="false" customHeight="false" outlineLevel="0" collapsed="false">
      <c r="C503" s="6" t="s">
        <v>315</v>
      </c>
      <c r="D503" s="2" t="s">
        <v>85</v>
      </c>
      <c r="H503" s="8" t="n">
        <f aca="false">SUM(J503:AW503)</f>
        <v>-12790.1964811942</v>
      </c>
      <c r="J503" s="8" t="n">
        <f aca="false">-J494*$G$12</f>
        <v>-0</v>
      </c>
      <c r="K503" s="8" t="n">
        <f aca="false">-K494*$G$12</f>
        <v>-0</v>
      </c>
      <c r="L503" s="8" t="n">
        <f aca="false">-L494*$G$12</f>
        <v>-0</v>
      </c>
      <c r="M503" s="8" t="n">
        <f aca="false">-M494*$G$12</f>
        <v>-0</v>
      </c>
      <c r="N503" s="8" t="n">
        <f aca="false">-N494*$G$12</f>
        <v>-0</v>
      </c>
      <c r="O503" s="8" t="n">
        <f aca="false">-O494*$G$12</f>
        <v>-222.264</v>
      </c>
      <c r="P503" s="8" t="n">
        <f aca="false">-P494*$G$12</f>
        <v>-444.528</v>
      </c>
      <c r="Q503" s="8" t="n">
        <f aca="false">-Q494*$G$12</f>
        <v>-443.194416</v>
      </c>
      <c r="R503" s="8" t="n">
        <f aca="false">-R494*$G$12</f>
        <v>-441.864832752</v>
      </c>
      <c r="S503" s="8" t="n">
        <f aca="false">-S494*$G$12</f>
        <v>-440.539238253744</v>
      </c>
      <c r="T503" s="8" t="n">
        <f aca="false">-T494*$G$12</f>
        <v>-439.217620538983</v>
      </c>
      <c r="U503" s="8" t="n">
        <f aca="false">-U494*$G$12</f>
        <v>-437.899967677366</v>
      </c>
      <c r="V503" s="8" t="n">
        <f aca="false">-V494*$G$12</f>
        <v>-436.586267774334</v>
      </c>
      <c r="W503" s="8" t="n">
        <f aca="false">-W494*$G$12</f>
        <v>-435.276508971011</v>
      </c>
      <c r="X503" s="8" t="n">
        <f aca="false">-X494*$G$12</f>
        <v>-433.970679444098</v>
      </c>
      <c r="Y503" s="8" t="n">
        <f aca="false">-Y494*$G$12</f>
        <v>-432.668767405765</v>
      </c>
      <c r="Z503" s="8" t="n">
        <f aca="false">-Z494*$G$12</f>
        <v>-431.370761103548</v>
      </c>
      <c r="AA503" s="8" t="n">
        <f aca="false">-AA494*$G$12</f>
        <v>-430.076648820237</v>
      </c>
      <c r="AB503" s="8" t="n">
        <f aca="false">-AB494*$G$12</f>
        <v>-428.786418873777</v>
      </c>
      <c r="AC503" s="8" t="n">
        <f aca="false">-AC494*$G$12</f>
        <v>-427.500059617155</v>
      </c>
      <c r="AD503" s="8" t="n">
        <f aca="false">-AD494*$G$12</f>
        <v>-426.217559438304</v>
      </c>
      <c r="AE503" s="8" t="n">
        <f aca="false">-AE494*$G$12</f>
        <v>-424.938906759989</v>
      </c>
      <c r="AF503" s="8" t="n">
        <f aca="false">-AF494*$G$12</f>
        <v>-423.664090039709</v>
      </c>
      <c r="AG503" s="8" t="n">
        <f aca="false">-AG494*$G$12</f>
        <v>-422.39309776959</v>
      </c>
      <c r="AH503" s="8" t="n">
        <f aca="false">-AH494*$G$12</f>
        <v>-421.125918476281</v>
      </c>
      <c r="AI503" s="8" t="n">
        <f aca="false">-AI494*$G$12</f>
        <v>-419.862540720852</v>
      </c>
      <c r="AJ503" s="8" t="n">
        <f aca="false">-AJ494*$G$12</f>
        <v>-418.60295309869</v>
      </c>
      <c r="AK503" s="8" t="n">
        <f aca="false">-AK494*$G$12</f>
        <v>-417.347144239394</v>
      </c>
      <c r="AL503" s="8" t="n">
        <f aca="false">-AL494*$G$12</f>
        <v>-416.095102806675</v>
      </c>
      <c r="AM503" s="8" t="n">
        <f aca="false">-AM494*$G$12</f>
        <v>-414.846817498256</v>
      </c>
      <c r="AN503" s="8" t="n">
        <f aca="false">-AN494*$G$12</f>
        <v>-413.602277045761</v>
      </c>
      <c r="AO503" s="8" t="n">
        <f aca="false">-AO494*$G$12</f>
        <v>-412.361470214623</v>
      </c>
      <c r="AP503" s="8" t="n">
        <f aca="false">-AP494*$G$12</f>
        <v>-411.12438580398</v>
      </c>
      <c r="AQ503" s="8" t="n">
        <f aca="false">-AQ494*$G$12</f>
        <v>-409.891012646568</v>
      </c>
      <c r="AR503" s="8" t="n">
        <f aca="false">-AR494*$G$12</f>
        <v>-408.661339608628</v>
      </c>
      <c r="AS503" s="8" t="n">
        <f aca="false">-AS494*$G$12</f>
        <v>-203.717677794901</v>
      </c>
      <c r="AT503" s="8" t="n">
        <f aca="false">-AT494*$G$12</f>
        <v>-0</v>
      </c>
      <c r="AU503" s="8" t="n">
        <f aca="false">-AU494*$G$12</f>
        <v>-0</v>
      </c>
      <c r="AV503" s="8" t="n">
        <f aca="false">-AV494*$G$12</f>
        <v>-0</v>
      </c>
      <c r="AW503" s="8" t="n">
        <f aca="false">-AW494*$G$12</f>
        <v>-0</v>
      </c>
    </row>
    <row r="504" customFormat="false" ht="14.25" hidden="false" customHeight="false" outlineLevel="0" collapsed="false">
      <c r="C504" s="6" t="s">
        <v>316</v>
      </c>
      <c r="D504" s="2" t="s">
        <v>85</v>
      </c>
      <c r="H504" s="8" t="n">
        <f aca="false">SUM(J504:AW504)</f>
        <v>-8922.61371458909</v>
      </c>
      <c r="J504" s="8" t="n">
        <f aca="false">-J496*HIPA_Rate</f>
        <v>-0</v>
      </c>
      <c r="K504" s="8" t="n">
        <f aca="false">-K496*HIPA_Rate</f>
        <v>-0</v>
      </c>
      <c r="L504" s="8" t="n">
        <f aca="false">-L496*HIPA_Rate</f>
        <v>-0</v>
      </c>
      <c r="M504" s="8" t="n">
        <f aca="false">-M496*HIPA_Rate</f>
        <v>-0</v>
      </c>
      <c r="N504" s="8" t="n">
        <f aca="false">-N496*HIPA_Rate</f>
        <v>-0</v>
      </c>
      <c r="O504" s="8" t="n">
        <f aca="false">-O496*HIPA_Rate</f>
        <v>-133.3584</v>
      </c>
      <c r="P504" s="8" t="n">
        <f aca="false">-P496*HIPA_Rate</f>
        <v>-269.383968</v>
      </c>
      <c r="Q504" s="8" t="n">
        <f aca="false">-Q496*HIPA_Rate</f>
        <v>-271.26157425696</v>
      </c>
      <c r="R504" s="8" t="n">
        <f aca="false">-R496*HIPA_Rate</f>
        <v>-273.152267429531</v>
      </c>
      <c r="S504" s="8" t="n">
        <f aca="false">-S496*HIPA_Rate</f>
        <v>-275.056138733515</v>
      </c>
      <c r="T504" s="8" t="n">
        <f aca="false">-T496*HIPA_Rate</f>
        <v>-276.973280020488</v>
      </c>
      <c r="U504" s="8" t="n">
        <f aca="false">-U496*HIPA_Rate</f>
        <v>-278.90378378223</v>
      </c>
      <c r="V504" s="8" t="n">
        <f aca="false">-V496*HIPA_Rate</f>
        <v>-280.847743155192</v>
      </c>
      <c r="W504" s="8" t="n">
        <f aca="false">-W496*HIPA_Rate</f>
        <v>-282.805251924984</v>
      </c>
      <c r="X504" s="8" t="n">
        <f aca="false">-X496*HIPA_Rate</f>
        <v>-284.776404530901</v>
      </c>
      <c r="Y504" s="8" t="n">
        <f aca="false">-Y496*HIPA_Rate</f>
        <v>-286.761296070482</v>
      </c>
      <c r="Z504" s="8" t="n">
        <f aca="false">-Z496*HIPA_Rate</f>
        <v>-288.760022304093</v>
      </c>
      <c r="AA504" s="8" t="n">
        <f aca="false">-AA496*HIPA_Rate</f>
        <v>-290.772679659552</v>
      </c>
      <c r="AB504" s="8" t="n">
        <f aca="false">-AB496*HIPA_Rate</f>
        <v>-292.799365236779</v>
      </c>
      <c r="AC504" s="8" t="n">
        <f aca="false">-AC496*HIPA_Rate</f>
        <v>-294.84017681248</v>
      </c>
      <c r="AD504" s="8" t="n">
        <f aca="false">-AD496*HIPA_Rate</f>
        <v>-296.895212844863</v>
      </c>
      <c r="AE504" s="8" t="n">
        <f aca="false">-AE496*HIPA_Rate</f>
        <v>-298.964572478392</v>
      </c>
      <c r="AF504" s="8" t="n">
        <f aca="false">-AF496*HIPA_Rate</f>
        <v>-301.048355548566</v>
      </c>
      <c r="AG504" s="8" t="n">
        <f aca="false">-AG496*HIPA_Rate</f>
        <v>-303.146662586739</v>
      </c>
      <c r="AH504" s="8" t="n">
        <f aca="false">-AH496*HIPA_Rate</f>
        <v>-305.259594824969</v>
      </c>
      <c r="AI504" s="8" t="n">
        <f aca="false">-AI496*HIPA_Rate</f>
        <v>-307.387254200899</v>
      </c>
      <c r="AJ504" s="8" t="n">
        <f aca="false">-AJ496*HIPA_Rate</f>
        <v>-309.529743362679</v>
      </c>
      <c r="AK504" s="8" t="n">
        <f aca="false">-AK496*HIPA_Rate</f>
        <v>-311.687165673917</v>
      </c>
      <c r="AL504" s="8" t="n">
        <f aca="false">-AL496*HIPA_Rate</f>
        <v>-313.859625218664</v>
      </c>
      <c r="AM504" s="8" t="n">
        <f aca="false">-AM496*HIPA_Rate</f>
        <v>-316.047226806439</v>
      </c>
      <c r="AN504" s="8" t="n">
        <f aca="false">-AN496*HIPA_Rate</f>
        <v>-318.250075977279</v>
      </c>
      <c r="AO504" s="8" t="n">
        <f aca="false">-AO496*HIPA_Rate</f>
        <v>-320.468279006841</v>
      </c>
      <c r="AP504" s="8" t="n">
        <f aca="false">-AP496*HIPA_Rate</f>
        <v>-322.701942911519</v>
      </c>
      <c r="AQ504" s="8" t="n">
        <f aca="false">-AQ496*HIPA_Rate</f>
        <v>-324.951175453612</v>
      </c>
      <c r="AR504" s="8" t="n">
        <f aca="false">-AR496*HIPA_Rate</f>
        <v>-327.216085146524</v>
      </c>
      <c r="AS504" s="8" t="n">
        <f aca="false">-AS496*HIPA_Rate</f>
        <v>-164.748390629997</v>
      </c>
      <c r="AT504" s="8" t="n">
        <f aca="false">-AT496*HIPA_Rate</f>
        <v>-0</v>
      </c>
      <c r="AU504" s="8" t="n">
        <f aca="false">-AU496*HIPA_Rate</f>
        <v>-0</v>
      </c>
      <c r="AV504" s="8" t="n">
        <f aca="false">-AV496*HIPA_Rate</f>
        <v>-0</v>
      </c>
      <c r="AW504" s="8" t="n">
        <f aca="false">-AW496*HIPA_Rate</f>
        <v>-0</v>
      </c>
    </row>
    <row r="505" customFormat="false" ht="14.25" hidden="false" customHeight="false" outlineLevel="0" collapsed="false">
      <c r="C505" s="1" t="s">
        <v>317</v>
      </c>
      <c r="D505" s="2" t="s">
        <v>85</v>
      </c>
      <c r="H505" s="32" t="n">
        <f aca="false">SUM(J505:AW505)</f>
        <v>-130425.697623429</v>
      </c>
      <c r="J505" s="32" t="n">
        <f aca="false">SUM(J498:J504)</f>
        <v>0</v>
      </c>
      <c r="K505" s="32" t="n">
        <f aca="false">SUM(K498:K504)</f>
        <v>0</v>
      </c>
      <c r="L505" s="32" t="n">
        <f aca="false">SUM(L498:L504)</f>
        <v>0</v>
      </c>
      <c r="M505" s="32" t="n">
        <f aca="false">SUM(M498:M504)</f>
        <v>0</v>
      </c>
      <c r="N505" s="32" t="n">
        <f aca="false">SUM(N498:N504)</f>
        <v>0</v>
      </c>
      <c r="O505" s="32" t="n">
        <f aca="false">SUM(O498:O504)</f>
        <v>-1598.148216</v>
      </c>
      <c r="P505" s="32" t="n">
        <f aca="false">SUM(P498:P504)</f>
        <v>-3260.87985132</v>
      </c>
      <c r="Q505" s="32" t="n">
        <f aca="false">SUM(Q498:Q504)</f>
        <v>-3322.39115932295</v>
      </c>
      <c r="R505" s="32" t="n">
        <f aca="false">SUM(R498:R504)</f>
        <v>-3385.38820151339</v>
      </c>
      <c r="S505" s="32" t="n">
        <f aca="false">SUM(S498:S504)</f>
        <v>-3449.90658222877</v>
      </c>
      <c r="T505" s="32" t="n">
        <f aca="false">SUM(T498:T504)</f>
        <v>-3515.98276867813</v>
      </c>
      <c r="U505" s="32" t="n">
        <f aca="false">SUM(U498:U504)</f>
        <v>-3583.65411193425</v>
      </c>
      <c r="V505" s="32" t="n">
        <f aca="false">SUM(V498:V504)</f>
        <v>-3652.95886843809</v>
      </c>
      <c r="W505" s="32" t="n">
        <f aca="false">SUM(W498:W504)</f>
        <v>-3723.93622202803</v>
      </c>
      <c r="X505" s="32" t="n">
        <f aca="false">SUM(X498:X504)</f>
        <v>-3796.62630650685</v>
      </c>
      <c r="Y505" s="32" t="n">
        <f aca="false">SUM(Y498:Y504)</f>
        <v>-3871.07022875947</v>
      </c>
      <c r="Z505" s="32" t="n">
        <f aca="false">SUM(Z498:Z504)</f>
        <v>-3947.31009243507</v>
      </c>
      <c r="AA505" s="32" t="n">
        <f aca="false">SUM(AA498:AA504)</f>
        <v>-4025.38902220729</v>
      </c>
      <c r="AB505" s="32" t="n">
        <f aca="false">SUM(AB498:AB504)</f>
        <v>-4105.3511886267</v>
      </c>
      <c r="AC505" s="32" t="n">
        <f aca="false">SUM(AC498:AC504)</f>
        <v>-4187.24183358009</v>
      </c>
      <c r="AD505" s="32" t="n">
        <f aca="false">SUM(AD498:AD504)</f>
        <v>-4271.10729637127</v>
      </c>
      <c r="AE505" s="32" t="n">
        <f aca="false">SUM(AE498:AE504)</f>
        <v>-4356.99504043889</v>
      </c>
      <c r="AF505" s="32" t="n">
        <f aca="false">SUM(AF498:AF504)</f>
        <v>-4444.95368072645</v>
      </c>
      <c r="AG505" s="32" t="n">
        <f aca="false">SUM(AG498:AG504)</f>
        <v>-4535.0330117209</v>
      </c>
      <c r="AH505" s="32" t="n">
        <f aca="false">SUM(AH498:AH504)</f>
        <v>-4627.28403617592</v>
      </c>
      <c r="AI505" s="32" t="n">
        <f aca="false">SUM(AI498:AI504)</f>
        <v>-4721.75899453672</v>
      </c>
      <c r="AJ505" s="32" t="n">
        <f aca="false">SUM(AJ498:AJ504)</f>
        <v>-4818.51139508354</v>
      </c>
      <c r="AK505" s="32" t="n">
        <f aca="false">SUM(AK498:AK504)</f>
        <v>-4917.59604481147</v>
      </c>
      <c r="AL505" s="32" t="n">
        <f aca="false">SUM(AL498:AL504)</f>
        <v>-5019.06908106463</v>
      </c>
      <c r="AM505" s="32" t="n">
        <f aca="false">SUM(AM498:AM504)</f>
        <v>-5122.98800394303</v>
      </c>
      <c r="AN505" s="32" t="n">
        <f aca="false">SUM(AN498:AN504)</f>
        <v>-5229.41170950133</v>
      </c>
      <c r="AO505" s="32" t="n">
        <f aca="false">SUM(AO498:AO504)</f>
        <v>-5338.40052375853</v>
      </c>
      <c r="AP505" s="32" t="n">
        <f aca="false">SUM(AP498:AP504)</f>
        <v>-5450.01623753884</v>
      </c>
      <c r="AQ505" s="32" t="n">
        <f aca="false">SUM(AQ498:AQ504)</f>
        <v>-5564.32214216366</v>
      </c>
      <c r="AR505" s="32" t="n">
        <f aca="false">SUM(AR498:AR504)</f>
        <v>-5681.38306601601</v>
      </c>
      <c r="AS505" s="32" t="n">
        <f aca="false">SUM(AS498:AS504)</f>
        <v>-2900.63270599912</v>
      </c>
      <c r="AT505" s="32" t="n">
        <f aca="false">SUM(AT498:AT504)</f>
        <v>0</v>
      </c>
      <c r="AU505" s="32" t="n">
        <f aca="false">SUM(AU498:AU504)</f>
        <v>0</v>
      </c>
      <c r="AV505" s="32" t="n">
        <f aca="false">SUM(AV498:AV504)</f>
        <v>0</v>
      </c>
      <c r="AW505" s="32" t="n">
        <f aca="false">SUM(AW498:AW504)</f>
        <v>0</v>
      </c>
    </row>
    <row r="506" customFormat="false" ht="14.25" hidden="false" customHeight="false" outlineLevel="0" collapsed="false">
      <c r="C506" s="1" t="s">
        <v>160</v>
      </c>
      <c r="D506" s="2" t="s">
        <v>85</v>
      </c>
      <c r="H506" s="15" t="n">
        <f aca="false">SUM(J506:AW506)</f>
        <v>315704.988106025</v>
      </c>
      <c r="J506" s="15" t="n">
        <f aca="false">J496+J505</f>
        <v>0</v>
      </c>
      <c r="K506" s="15" t="n">
        <f aca="false">K496+K505</f>
        <v>0</v>
      </c>
      <c r="L506" s="15" t="n">
        <f aca="false">L496+L505</f>
        <v>0</v>
      </c>
      <c r="M506" s="15" t="n">
        <f aca="false">M496+M505</f>
        <v>0</v>
      </c>
      <c r="N506" s="15" t="n">
        <f aca="false">N496+N505</f>
        <v>0</v>
      </c>
      <c r="O506" s="15" t="n">
        <f aca="false">O496+O505</f>
        <v>5069.771784</v>
      </c>
      <c r="P506" s="15" t="n">
        <f aca="false">P496+P505</f>
        <v>10208.31854868</v>
      </c>
      <c r="Q506" s="15" t="n">
        <f aca="false">Q496+Q505</f>
        <v>10240.6875535251</v>
      </c>
      <c r="R506" s="15" t="n">
        <f aca="false">R496+R505</f>
        <v>10272.2251699632</v>
      </c>
      <c r="S506" s="15" t="n">
        <f aca="false">S496+S505</f>
        <v>10302.900354447</v>
      </c>
      <c r="T506" s="15" t="n">
        <f aca="false">T496+T505</f>
        <v>10332.6812323462</v>
      </c>
      <c r="U506" s="15" t="n">
        <f aca="false">U496+U505</f>
        <v>10361.5350771773</v>
      </c>
      <c r="V506" s="15" t="n">
        <f aca="false">V496+V505</f>
        <v>10389.4282893215</v>
      </c>
      <c r="W506" s="15" t="n">
        <f aca="false">W496+W505</f>
        <v>10416.3263742212</v>
      </c>
      <c r="X506" s="15" t="n">
        <f aca="false">X496+X505</f>
        <v>10442.1939200382</v>
      </c>
      <c r="Y506" s="15" t="n">
        <f aca="false">Y496+Y505</f>
        <v>10466.9945747646</v>
      </c>
      <c r="Z506" s="15" t="n">
        <f aca="false">Z496+Z505</f>
        <v>10490.6910227696</v>
      </c>
      <c r="AA506" s="15" t="n">
        <f aca="false">AA496+AA505</f>
        <v>10513.2449607703</v>
      </c>
      <c r="AB506" s="15" t="n">
        <f aca="false">AB496+AB505</f>
        <v>10534.6170732123</v>
      </c>
      <c r="AC506" s="15" t="n">
        <f aca="false">AC496+AC505</f>
        <v>10554.7670070439</v>
      </c>
      <c r="AD506" s="15" t="n">
        <f aca="false">AD496+AD505</f>
        <v>10573.6533458719</v>
      </c>
      <c r="AE506" s="15" t="n">
        <f aca="false">AE496+AE505</f>
        <v>10591.2335834807</v>
      </c>
      <c r="AF506" s="15" t="n">
        <f aca="false">AF496+AF505</f>
        <v>10607.4640967019</v>
      </c>
      <c r="AG506" s="15" t="n">
        <f aca="false">AG496+AG505</f>
        <v>10622.3001176161</v>
      </c>
      <c r="AH506" s="15" t="n">
        <f aca="false">AH496+AH505</f>
        <v>10635.6957050725</v>
      </c>
      <c r="AI506" s="15" t="n">
        <f aca="false">AI496+AI505</f>
        <v>10647.6037155082</v>
      </c>
      <c r="AJ506" s="15" t="n">
        <f aca="false">AJ496+AJ505</f>
        <v>10657.9757730504</v>
      </c>
      <c r="AK506" s="15" t="n">
        <f aca="false">AK496+AK505</f>
        <v>10666.7622388844</v>
      </c>
      <c r="AL506" s="15" t="n">
        <f aca="false">AL496+AL505</f>
        <v>10673.9121798686</v>
      </c>
      <c r="AM506" s="15" t="n">
        <f aca="false">AM496+AM505</f>
        <v>10679.3733363789</v>
      </c>
      <c r="AN506" s="15" t="n">
        <f aca="false">AN496+AN505</f>
        <v>10683.0920893626</v>
      </c>
      <c r="AO506" s="15" t="n">
        <f aca="false">AO496+AO505</f>
        <v>10685.0134265835</v>
      </c>
      <c r="AP506" s="15" t="n">
        <f aca="false">AP496+AP505</f>
        <v>10685.0809080371</v>
      </c>
      <c r="AQ506" s="15" t="n">
        <f aca="false">AQ496+AQ505</f>
        <v>10683.2366305169</v>
      </c>
      <c r="AR506" s="15" t="n">
        <f aca="false">AR496+AR505</f>
        <v>10679.4211913102</v>
      </c>
      <c r="AS506" s="15" t="n">
        <f aca="false">AS496+AS505</f>
        <v>5336.78682550075</v>
      </c>
      <c r="AT506" s="15" t="n">
        <f aca="false">AT496+AT505</f>
        <v>0</v>
      </c>
      <c r="AU506" s="15" t="n">
        <f aca="false">AU496+AU505</f>
        <v>0</v>
      </c>
      <c r="AV506" s="15" t="n">
        <f aca="false">AV496+AV505</f>
        <v>0</v>
      </c>
      <c r="AW506" s="15" t="n">
        <f aca="false">AW496+AW505</f>
        <v>0</v>
      </c>
    </row>
    <row r="507" customFormat="false" ht="14.25" hidden="false" customHeight="false" outlineLevel="0" collapsed="false">
      <c r="C507" s="1" t="s">
        <v>318</v>
      </c>
      <c r="D507" s="2" t="s">
        <v>85</v>
      </c>
      <c r="H507" s="32" t="n">
        <f aca="false">SUM(J507:AW507)</f>
        <v>238904.92885945</v>
      </c>
      <c r="J507" s="32" t="n">
        <f aca="false">J492+J506</f>
        <v>0</v>
      </c>
      <c r="K507" s="32" t="n">
        <f aca="false">K492+K506</f>
        <v>0</v>
      </c>
      <c r="L507" s="32" t="n">
        <f aca="false">L492+L506</f>
        <v>0</v>
      </c>
      <c r="M507" s="32" t="n">
        <f aca="false">M492+M506</f>
        <v>-29757.5797945206</v>
      </c>
      <c r="N507" s="32" t="n">
        <f aca="false">N492+N506</f>
        <v>-31358</v>
      </c>
      <c r="O507" s="32" t="n">
        <f aca="false">O492+O506</f>
        <v>-13109.228216</v>
      </c>
      <c r="P507" s="32" t="n">
        <f aca="false">P492+P506</f>
        <v>10208.31854868</v>
      </c>
      <c r="Q507" s="32" t="n">
        <f aca="false">Q492+Q506</f>
        <v>12735.2081014703</v>
      </c>
      <c r="R507" s="32" t="n">
        <f aca="false">R492+R506</f>
        <v>10272.2251699632</v>
      </c>
      <c r="S507" s="32" t="n">
        <f aca="false">S492+S506</f>
        <v>10302.900354447</v>
      </c>
      <c r="T507" s="32" t="n">
        <f aca="false">T492+T506</f>
        <v>10332.6812323462</v>
      </c>
      <c r="U507" s="32" t="n">
        <f aca="false">U492+U506</f>
        <v>10361.5350771773</v>
      </c>
      <c r="V507" s="32" t="n">
        <f aca="false">V492+V506</f>
        <v>10389.4282893215</v>
      </c>
      <c r="W507" s="32" t="n">
        <f aca="false">W492+W506</f>
        <v>10416.3263742212</v>
      </c>
      <c r="X507" s="32" t="n">
        <f aca="false">X492+X506</f>
        <v>10442.1939200382</v>
      </c>
      <c r="Y507" s="32" t="n">
        <f aca="false">Y492+Y506</f>
        <v>10466.9945747646</v>
      </c>
      <c r="Z507" s="32" t="n">
        <f aca="false">Z492+Z506</f>
        <v>10490.6910227696</v>
      </c>
      <c r="AA507" s="32" t="n">
        <f aca="false">AA492+AA506</f>
        <v>10513.2449607703</v>
      </c>
      <c r="AB507" s="32" t="n">
        <f aca="false">AB492+AB506</f>
        <v>10534.6170732123</v>
      </c>
      <c r="AC507" s="32" t="n">
        <f aca="false">AC492+AC506</f>
        <v>10554.7670070439</v>
      </c>
      <c r="AD507" s="32" t="n">
        <f aca="false">AD492+AD506</f>
        <v>10573.6533458719</v>
      </c>
      <c r="AE507" s="32" t="n">
        <f aca="false">AE492+AE506</f>
        <v>10591.2335834807</v>
      </c>
      <c r="AF507" s="32" t="n">
        <f aca="false">AF492+AF506</f>
        <v>10607.4640967019</v>
      </c>
      <c r="AG507" s="32" t="n">
        <f aca="false">AG492+AG506</f>
        <v>10622.3001176161</v>
      </c>
      <c r="AH507" s="32" t="n">
        <f aca="false">AH492+AH506</f>
        <v>10635.6957050725</v>
      </c>
      <c r="AI507" s="32" t="n">
        <f aca="false">AI492+AI506</f>
        <v>10647.6037155082</v>
      </c>
      <c r="AJ507" s="32" t="n">
        <f aca="false">AJ492+AJ506</f>
        <v>10657.9757730504</v>
      </c>
      <c r="AK507" s="32" t="n">
        <f aca="false">AK492+AK506</f>
        <v>10666.7622388844</v>
      </c>
      <c r="AL507" s="32" t="n">
        <f aca="false">AL492+AL506</f>
        <v>10673.9121798686</v>
      </c>
      <c r="AM507" s="32" t="n">
        <f aca="false">AM492+AM506</f>
        <v>10679.3733363789</v>
      </c>
      <c r="AN507" s="32" t="n">
        <f aca="false">AN492+AN506</f>
        <v>10683.0920893626</v>
      </c>
      <c r="AO507" s="32" t="n">
        <f aca="false">AO492+AO506</f>
        <v>10685.0134265835</v>
      </c>
      <c r="AP507" s="32" t="n">
        <f aca="false">AP492+AP506</f>
        <v>10685.0809080371</v>
      </c>
      <c r="AQ507" s="32" t="n">
        <f aca="false">AQ492+AQ506</f>
        <v>10683.2366305169</v>
      </c>
      <c r="AR507" s="32" t="n">
        <f aca="false">AR492+AR506</f>
        <v>10679.4211913102</v>
      </c>
      <c r="AS507" s="32" t="n">
        <f aca="false">AS492+AS506</f>
        <v>5336.78682550075</v>
      </c>
      <c r="AT507" s="32" t="n">
        <f aca="false">AT492+AT506</f>
        <v>0</v>
      </c>
      <c r="AU507" s="32" t="n">
        <f aca="false">AU492+AU506</f>
        <v>0</v>
      </c>
      <c r="AV507" s="32" t="n">
        <f aca="false">AV492+AV506</f>
        <v>0</v>
      </c>
      <c r="AW507" s="32" t="n">
        <f aca="false">AW492+AW506</f>
        <v>0</v>
      </c>
    </row>
    <row r="508" customFormat="false" ht="14.25" hidden="false" customHeight="false" outlineLevel="0" collapsed="false">
      <c r="C508" s="6" t="s">
        <v>319</v>
      </c>
      <c r="D508" s="2" t="s">
        <v>12</v>
      </c>
      <c r="H508" s="74" t="n">
        <f aca="false">SUM(J508:AW508)</f>
        <v>20</v>
      </c>
      <c r="J508" s="48" t="n">
        <f aca="false">MAX(0,MIN(J485,Tax_Dep_Life*Months_In_Year)-MAX(J485-Months_In_Year,0))/Months_In_Year</f>
        <v>0</v>
      </c>
      <c r="K508" s="48" t="n">
        <f aca="false">MAX(0,MIN(K485,Tax_Dep_Life*Months_In_Year)-MAX(K485-Months_In_Year,0))/Months_In_Year</f>
        <v>0</v>
      </c>
      <c r="L508" s="48" t="n">
        <f aca="false">MAX(0,MIN(L485,Tax_Dep_Life*Months_In_Year)-MAX(L485-Months_In_Year,0))/Months_In_Year</f>
        <v>0</v>
      </c>
      <c r="M508" s="48" t="n">
        <f aca="false">MAX(0,MIN(M485,Tax_Dep_Life*Months_In_Year)-MAX(M485-Months_In_Year,0))/Months_In_Year</f>
        <v>0</v>
      </c>
      <c r="N508" s="48" t="n">
        <f aca="false">MAX(0,MIN(N485,Tax_Dep_Life*Months_In_Year)-MAX(N485-Months_In_Year,0))/Months_In_Year</f>
        <v>0</v>
      </c>
      <c r="O508" s="48" t="n">
        <f aca="false">MAX(0,MIN(O485,Tax_Dep_Life*Months_In_Year)-MAX(O485-Months_In_Year,0))/Months_In_Year</f>
        <v>0.5</v>
      </c>
      <c r="P508" s="48" t="n">
        <f aca="false">MAX(0,MIN(P485,Tax_Dep_Life*Months_In_Year)-MAX(P485-Months_In_Year,0))/Months_In_Year</f>
        <v>1</v>
      </c>
      <c r="Q508" s="48" t="n">
        <f aca="false">MAX(0,MIN(Q485,Tax_Dep_Life*Months_In_Year)-MAX(Q485-Months_In_Year,0))/Months_In_Year</f>
        <v>1</v>
      </c>
      <c r="R508" s="48" t="n">
        <f aca="false">MAX(0,MIN(R485,Tax_Dep_Life*Months_In_Year)-MAX(R485-Months_In_Year,0))/Months_In_Year</f>
        <v>1</v>
      </c>
      <c r="S508" s="48" t="n">
        <f aca="false">MAX(0,MIN(S485,Tax_Dep_Life*Months_In_Year)-MAX(S485-Months_In_Year,0))/Months_In_Year</f>
        <v>1</v>
      </c>
      <c r="T508" s="48" t="n">
        <f aca="false">MAX(0,MIN(T485,Tax_Dep_Life*Months_In_Year)-MAX(T485-Months_In_Year,0))/Months_In_Year</f>
        <v>1</v>
      </c>
      <c r="U508" s="48" t="n">
        <f aca="false">MAX(0,MIN(U485,Tax_Dep_Life*Months_In_Year)-MAX(U485-Months_In_Year,0))/Months_In_Year</f>
        <v>1</v>
      </c>
      <c r="V508" s="48" t="n">
        <f aca="false">MAX(0,MIN(V485,Tax_Dep_Life*Months_In_Year)-MAX(V485-Months_In_Year,0))/Months_In_Year</f>
        <v>1</v>
      </c>
      <c r="W508" s="48" t="n">
        <f aca="false">MAX(0,MIN(W485,Tax_Dep_Life*Months_In_Year)-MAX(W485-Months_In_Year,0))/Months_In_Year</f>
        <v>1</v>
      </c>
      <c r="X508" s="48" t="n">
        <f aca="false">MAX(0,MIN(X485,Tax_Dep_Life*Months_In_Year)-MAX(X485-Months_In_Year,0))/Months_In_Year</f>
        <v>1</v>
      </c>
      <c r="Y508" s="48" t="n">
        <f aca="false">MAX(0,MIN(Y485,Tax_Dep_Life*Months_In_Year)-MAX(Y485-Months_In_Year,0))/Months_In_Year</f>
        <v>1</v>
      </c>
      <c r="Z508" s="48" t="n">
        <f aca="false">MAX(0,MIN(Z485,Tax_Dep_Life*Months_In_Year)-MAX(Z485-Months_In_Year,0))/Months_In_Year</f>
        <v>1</v>
      </c>
      <c r="AA508" s="48" t="n">
        <f aca="false">MAX(0,MIN(AA485,Tax_Dep_Life*Months_In_Year)-MAX(AA485-Months_In_Year,0))/Months_In_Year</f>
        <v>1</v>
      </c>
      <c r="AB508" s="48" t="n">
        <f aca="false">MAX(0,MIN(AB485,Tax_Dep_Life*Months_In_Year)-MAX(AB485-Months_In_Year,0))/Months_In_Year</f>
        <v>1</v>
      </c>
      <c r="AC508" s="48" t="n">
        <f aca="false">MAX(0,MIN(AC485,Tax_Dep_Life*Months_In_Year)-MAX(AC485-Months_In_Year,0))/Months_In_Year</f>
        <v>1</v>
      </c>
      <c r="AD508" s="48" t="n">
        <f aca="false">MAX(0,MIN(AD485,Tax_Dep_Life*Months_In_Year)-MAX(AD485-Months_In_Year,0))/Months_In_Year</f>
        <v>1</v>
      </c>
      <c r="AE508" s="48" t="n">
        <f aca="false">MAX(0,MIN(AE485,Tax_Dep_Life*Months_In_Year)-MAX(AE485-Months_In_Year,0))/Months_In_Year</f>
        <v>1</v>
      </c>
      <c r="AF508" s="48" t="n">
        <f aca="false">MAX(0,MIN(AF485,Tax_Dep_Life*Months_In_Year)-MAX(AF485-Months_In_Year,0))/Months_In_Year</f>
        <v>1</v>
      </c>
      <c r="AG508" s="48" t="n">
        <f aca="false">MAX(0,MIN(AG485,Tax_Dep_Life*Months_In_Year)-MAX(AG485-Months_In_Year,0))/Months_In_Year</f>
        <v>1</v>
      </c>
      <c r="AH508" s="48" t="n">
        <f aca="false">MAX(0,MIN(AH485,Tax_Dep_Life*Months_In_Year)-MAX(AH485-Months_In_Year,0))/Months_In_Year</f>
        <v>1</v>
      </c>
      <c r="AI508" s="48" t="n">
        <f aca="false">MAX(0,MIN(AI485,Tax_Dep_Life*Months_In_Year)-MAX(AI485-Months_In_Year,0))/Months_In_Year</f>
        <v>0.5</v>
      </c>
      <c r="AJ508" s="48" t="n">
        <f aca="false">MAX(0,MIN(AJ485,Tax_Dep_Life*Months_In_Year)-MAX(AJ485-Months_In_Year,0))/Months_In_Year</f>
        <v>0</v>
      </c>
      <c r="AK508" s="48" t="n">
        <f aca="false">MAX(0,MIN(AK485,Tax_Dep_Life*Months_In_Year)-MAX(AK485-Months_In_Year,0))/Months_In_Year</f>
        <v>0</v>
      </c>
      <c r="AL508" s="48" t="n">
        <f aca="false">MAX(0,MIN(AL485,Tax_Dep_Life*Months_In_Year)-MAX(AL485-Months_In_Year,0))/Months_In_Year</f>
        <v>0</v>
      </c>
      <c r="AM508" s="48" t="n">
        <f aca="false">MAX(0,MIN(AM485,Tax_Dep_Life*Months_In_Year)-MAX(AM485-Months_In_Year,0))/Months_In_Year</f>
        <v>0</v>
      </c>
      <c r="AN508" s="48" t="n">
        <f aca="false">MAX(0,MIN(AN485,Tax_Dep_Life*Months_In_Year)-MAX(AN485-Months_In_Year,0))/Months_In_Year</f>
        <v>0</v>
      </c>
      <c r="AO508" s="48" t="n">
        <f aca="false">MAX(0,MIN(AO485,Tax_Dep_Life*Months_In_Year)-MAX(AO485-Months_In_Year,0))/Months_In_Year</f>
        <v>0</v>
      </c>
      <c r="AP508" s="48" t="n">
        <f aca="false">MAX(0,MIN(AP485,Tax_Dep_Life*Months_In_Year)-MAX(AP485-Months_In_Year,0))/Months_In_Year</f>
        <v>0</v>
      </c>
      <c r="AQ508" s="48" t="n">
        <f aca="false">MAX(0,MIN(AQ485,Tax_Dep_Life*Months_In_Year)-MAX(AQ485-Months_In_Year,0))/Months_In_Year</f>
        <v>0</v>
      </c>
      <c r="AR508" s="48" t="n">
        <f aca="false">MAX(0,MIN(AR485,Tax_Dep_Life*Months_In_Year)-MAX(AR485-Months_In_Year,0))/Months_In_Year</f>
        <v>0</v>
      </c>
      <c r="AS508" s="48" t="n">
        <f aca="false">MAX(0,MIN(AS485,Tax_Dep_Life*Months_In_Year)-MAX(AS485-Months_In_Year,0))/Months_In_Year</f>
        <v>0</v>
      </c>
      <c r="AT508" s="48" t="n">
        <f aca="false">MAX(0,MIN(AT485,Tax_Dep_Life*Months_In_Year)-MAX(AT485-Months_In_Year,0))/Months_In_Year</f>
        <v>0</v>
      </c>
      <c r="AU508" s="48" t="n">
        <f aca="false">MAX(0,MIN(AU485,Tax_Dep_Life*Months_In_Year)-MAX(AU485-Months_In_Year,0))/Months_In_Year</f>
        <v>0</v>
      </c>
      <c r="AV508" s="48" t="n">
        <f aca="false">MAX(0,MIN(AV485,Tax_Dep_Life*Months_In_Year)-MAX(AV485-Months_In_Year,0))/Months_In_Year</f>
        <v>0</v>
      </c>
      <c r="AW508" s="48" t="n">
        <f aca="false">MAX(0,MIN(AW485,Tax_Dep_Life*Months_In_Year)-MAX(AW485-Months_In_Year,0))/Months_In_Year</f>
        <v>0</v>
      </c>
    </row>
    <row r="509" customFormat="false" ht="14.25" hidden="false" customHeight="false" outlineLevel="0" collapsed="false">
      <c r="C509" s="6" t="s">
        <v>320</v>
      </c>
      <c r="D509" s="2" t="s">
        <v>85</v>
      </c>
      <c r="G509" s="52" t="n">
        <f aca="false">G91+G92+G96</f>
        <v>69192.2575342466</v>
      </c>
      <c r="H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</row>
    <row r="510" customFormat="false" ht="14.25" hidden="false" customHeight="false" outlineLevel="0" collapsed="false">
      <c r="C510" s="6" t="s">
        <v>321</v>
      </c>
      <c r="D510" s="2" t="s">
        <v>85</v>
      </c>
      <c r="H510" s="8" t="n">
        <f aca="false">SUM(J510:AW510)</f>
        <v>-69192.2575342466</v>
      </c>
      <c r="J510" s="8" t="n">
        <f aca="false">-$G509/Tax_Dep_Life*J508</f>
        <v>-0</v>
      </c>
      <c r="K510" s="8" t="n">
        <f aca="false">-$G509/Tax_Dep_Life*K508</f>
        <v>-0</v>
      </c>
      <c r="L510" s="8" t="n">
        <f aca="false">-$G509/Tax_Dep_Life*L508</f>
        <v>-0</v>
      </c>
      <c r="M510" s="8" t="n">
        <f aca="false">-$G509/Tax_Dep_Life*M508</f>
        <v>-0</v>
      </c>
      <c r="N510" s="8" t="n">
        <f aca="false">-$G509/Tax_Dep_Life*N508</f>
        <v>-0</v>
      </c>
      <c r="O510" s="8" t="n">
        <f aca="false">-$G509/Tax_Dep_Life*O508</f>
        <v>-1729.80643835616</v>
      </c>
      <c r="P510" s="8" t="n">
        <f aca="false">-$G509/Tax_Dep_Life*P508</f>
        <v>-3459.61287671233</v>
      </c>
      <c r="Q510" s="8" t="n">
        <f aca="false">-$G509/Tax_Dep_Life*Q508</f>
        <v>-3459.61287671233</v>
      </c>
      <c r="R510" s="8" t="n">
        <f aca="false">-$G509/Tax_Dep_Life*R508</f>
        <v>-3459.61287671233</v>
      </c>
      <c r="S510" s="8" t="n">
        <f aca="false">-$G509/Tax_Dep_Life*S508</f>
        <v>-3459.61287671233</v>
      </c>
      <c r="T510" s="8" t="n">
        <f aca="false">-$G509/Tax_Dep_Life*T508</f>
        <v>-3459.61287671233</v>
      </c>
      <c r="U510" s="8" t="n">
        <f aca="false">-$G509/Tax_Dep_Life*U508</f>
        <v>-3459.61287671233</v>
      </c>
      <c r="V510" s="8" t="n">
        <f aca="false">-$G509/Tax_Dep_Life*V508</f>
        <v>-3459.61287671233</v>
      </c>
      <c r="W510" s="8" t="n">
        <f aca="false">-$G509/Tax_Dep_Life*W508</f>
        <v>-3459.61287671233</v>
      </c>
      <c r="X510" s="8" t="n">
        <f aca="false">-$G509/Tax_Dep_Life*X508</f>
        <v>-3459.61287671233</v>
      </c>
      <c r="Y510" s="8" t="n">
        <f aca="false">-$G509/Tax_Dep_Life*Y508</f>
        <v>-3459.61287671233</v>
      </c>
      <c r="Z510" s="8" t="n">
        <f aca="false">-$G509/Tax_Dep_Life*Z508</f>
        <v>-3459.61287671233</v>
      </c>
      <c r="AA510" s="8" t="n">
        <f aca="false">-$G509/Tax_Dep_Life*AA508</f>
        <v>-3459.61287671233</v>
      </c>
      <c r="AB510" s="8" t="n">
        <f aca="false">-$G509/Tax_Dep_Life*AB508</f>
        <v>-3459.61287671233</v>
      </c>
      <c r="AC510" s="8" t="n">
        <f aca="false">-$G509/Tax_Dep_Life*AC508</f>
        <v>-3459.61287671233</v>
      </c>
      <c r="AD510" s="8" t="n">
        <f aca="false">-$G509/Tax_Dep_Life*AD508</f>
        <v>-3459.61287671233</v>
      </c>
      <c r="AE510" s="8" t="n">
        <f aca="false">-$G509/Tax_Dep_Life*AE508</f>
        <v>-3459.61287671233</v>
      </c>
      <c r="AF510" s="8" t="n">
        <f aca="false">-$G509/Tax_Dep_Life*AF508</f>
        <v>-3459.61287671233</v>
      </c>
      <c r="AG510" s="8" t="n">
        <f aca="false">-$G509/Tax_Dep_Life*AG508</f>
        <v>-3459.61287671233</v>
      </c>
      <c r="AH510" s="8" t="n">
        <f aca="false">-$G509/Tax_Dep_Life*AH508</f>
        <v>-3459.61287671233</v>
      </c>
      <c r="AI510" s="8" t="n">
        <f aca="false">-$G509/Tax_Dep_Life*AI508</f>
        <v>-1729.80643835616</v>
      </c>
      <c r="AJ510" s="8" t="n">
        <f aca="false">-$G509/Tax_Dep_Life*AJ508</f>
        <v>-0</v>
      </c>
      <c r="AK510" s="8" t="n">
        <f aca="false">-$G509/Tax_Dep_Life*AK508</f>
        <v>-0</v>
      </c>
      <c r="AL510" s="8" t="n">
        <f aca="false">-$G509/Tax_Dep_Life*AL508</f>
        <v>-0</v>
      </c>
      <c r="AM510" s="8" t="n">
        <f aca="false">-$G509/Tax_Dep_Life*AM508</f>
        <v>-0</v>
      </c>
      <c r="AN510" s="8" t="n">
        <f aca="false">-$G509/Tax_Dep_Life*AN508</f>
        <v>-0</v>
      </c>
      <c r="AO510" s="8" t="n">
        <f aca="false">-$G509/Tax_Dep_Life*AO508</f>
        <v>-0</v>
      </c>
      <c r="AP510" s="8" t="n">
        <f aca="false">-$G509/Tax_Dep_Life*AP508</f>
        <v>-0</v>
      </c>
      <c r="AQ510" s="8" t="n">
        <f aca="false">-$G509/Tax_Dep_Life*AQ508</f>
        <v>-0</v>
      </c>
      <c r="AR510" s="8" t="n">
        <f aca="false">-$G509/Tax_Dep_Life*AR508</f>
        <v>-0</v>
      </c>
      <c r="AS510" s="8" t="n">
        <f aca="false">-$G509/Tax_Dep_Life*AS508</f>
        <v>-0</v>
      </c>
      <c r="AT510" s="8" t="n">
        <f aca="false">-$G509/Tax_Dep_Life*AT508</f>
        <v>-0</v>
      </c>
      <c r="AU510" s="8" t="n">
        <f aca="false">-$G509/Tax_Dep_Life*AU508</f>
        <v>-0</v>
      </c>
      <c r="AV510" s="8" t="n">
        <f aca="false">-$G509/Tax_Dep_Life*AV508</f>
        <v>-0</v>
      </c>
      <c r="AW510" s="8" t="n">
        <f aca="false">-$G509/Tax_Dep_Life*AW508</f>
        <v>-0</v>
      </c>
    </row>
    <row r="511" customFormat="false" ht="14.25" hidden="false" customHeight="false" outlineLevel="0" collapsed="false">
      <c r="C511" s="6" t="s">
        <v>322</v>
      </c>
      <c r="D511" s="2" t="s">
        <v>85</v>
      </c>
      <c r="H511" s="8" t="n">
        <f aca="false">SUM(J511:AW511)</f>
        <v>-36976.9095857668</v>
      </c>
      <c r="J511" s="8" t="n">
        <f aca="false">-MAX(0,J506+J510)*CIT_Rate</f>
        <v>-0</v>
      </c>
      <c r="K511" s="8" t="n">
        <f aca="false">-MAX(0,K506+K510)*CIT_Rate</f>
        <v>-0</v>
      </c>
      <c r="L511" s="8" t="n">
        <f aca="false">-MAX(0,L506+L510)*CIT_Rate</f>
        <v>-0</v>
      </c>
      <c r="M511" s="8" t="n">
        <f aca="false">-MAX(0,M506+M510)*CIT_Rate</f>
        <v>-0</v>
      </c>
      <c r="N511" s="8" t="n">
        <f aca="false">-MAX(0,N506+N510)*CIT_Rate</f>
        <v>-0</v>
      </c>
      <c r="O511" s="8" t="n">
        <f aca="false">-MAX(0,O506+O510)*CIT_Rate</f>
        <v>-500.994801846575</v>
      </c>
      <c r="P511" s="8" t="n">
        <f aca="false">-MAX(0,P506+P510)*CIT_Rate</f>
        <v>-1012.30585079515</v>
      </c>
      <c r="Q511" s="8" t="n">
        <f aca="false">-MAX(0,Q506+Q510)*CIT_Rate</f>
        <v>-1017.16120152191</v>
      </c>
      <c r="R511" s="8" t="n">
        <f aca="false">-MAX(0,R506+R510)*CIT_Rate</f>
        <v>-1021.89184398762</v>
      </c>
      <c r="S511" s="8" t="n">
        <f aca="false">-MAX(0,S506+S510)*CIT_Rate</f>
        <v>-1026.4931216602</v>
      </c>
      <c r="T511" s="8" t="n">
        <f aca="false">-MAX(0,T506+T510)*CIT_Rate</f>
        <v>-1030.96025334509</v>
      </c>
      <c r="U511" s="8" t="n">
        <f aca="false">-MAX(0,U506+U510)*CIT_Rate</f>
        <v>-1035.28833006974</v>
      </c>
      <c r="V511" s="8" t="n">
        <f aca="false">-MAX(0,V506+V510)*CIT_Rate</f>
        <v>-1039.47231189138</v>
      </c>
      <c r="W511" s="8" t="n">
        <f aca="false">-MAX(0,W506+W510)*CIT_Rate</f>
        <v>-1043.50702462633</v>
      </c>
      <c r="X511" s="8" t="n">
        <f aca="false">-MAX(0,X506+X510)*CIT_Rate</f>
        <v>-1047.38715649888</v>
      </c>
      <c r="Y511" s="8" t="n">
        <f aca="false">-MAX(0,Y506+Y510)*CIT_Rate</f>
        <v>-1051.10725470784</v>
      </c>
      <c r="Z511" s="8" t="n">
        <f aca="false">-MAX(0,Z506+Z510)*CIT_Rate</f>
        <v>-1054.66172190859</v>
      </c>
      <c r="AA511" s="8" t="n">
        <f aca="false">-MAX(0,AA506+AA510)*CIT_Rate</f>
        <v>-1058.0448126087</v>
      </c>
      <c r="AB511" s="8" t="n">
        <f aca="false">-MAX(0,AB506+AB510)*CIT_Rate</f>
        <v>-1061.25062947499</v>
      </c>
      <c r="AC511" s="8" t="n">
        <f aca="false">-MAX(0,AC506+AC510)*CIT_Rate</f>
        <v>-1064.27311954974</v>
      </c>
      <c r="AD511" s="8" t="n">
        <f aca="false">-MAX(0,AD506+AD510)*CIT_Rate</f>
        <v>-1067.10607037393</v>
      </c>
      <c r="AE511" s="8" t="n">
        <f aca="false">-MAX(0,AE506+AE510)*CIT_Rate</f>
        <v>-1069.74310601525</v>
      </c>
      <c r="AF511" s="8" t="n">
        <f aca="false">-MAX(0,AF506+AF510)*CIT_Rate</f>
        <v>-1072.17768299843</v>
      </c>
      <c r="AG511" s="8" t="n">
        <f aca="false">-MAX(0,AG506+AG510)*CIT_Rate</f>
        <v>-1074.40308613556</v>
      </c>
      <c r="AH511" s="8" t="n">
        <f aca="false">-MAX(0,AH506+AH510)*CIT_Rate</f>
        <v>-1076.41242425403</v>
      </c>
      <c r="AI511" s="8" t="n">
        <f aca="false">-MAX(0,AI506+AI510)*CIT_Rate</f>
        <v>-1337.66959157281</v>
      </c>
      <c r="AJ511" s="8" t="n">
        <f aca="false">-MAX(0,AJ506+AJ510)*CIT_Rate</f>
        <v>-1598.69636595756</v>
      </c>
      <c r="AK511" s="8" t="n">
        <f aca="false">-MAX(0,AK506+AK510)*CIT_Rate</f>
        <v>-1600.01433583266</v>
      </c>
      <c r="AL511" s="8" t="n">
        <f aca="false">-MAX(0,AL506+AL510)*CIT_Rate</f>
        <v>-1601.08682698029</v>
      </c>
      <c r="AM511" s="8" t="n">
        <f aca="false">-MAX(0,AM506+AM510)*CIT_Rate</f>
        <v>-1601.90600045683</v>
      </c>
      <c r="AN511" s="8" t="n">
        <f aca="false">-MAX(0,AN506+AN510)*CIT_Rate</f>
        <v>-1602.4638134044</v>
      </c>
      <c r="AO511" s="8" t="n">
        <f aca="false">-MAX(0,AO506+AO510)*CIT_Rate</f>
        <v>-1602.75201398753</v>
      </c>
      <c r="AP511" s="8" t="n">
        <f aca="false">-MAX(0,AP506+AP510)*CIT_Rate</f>
        <v>-1602.76213620557</v>
      </c>
      <c r="AQ511" s="8" t="n">
        <f aca="false">-MAX(0,AQ506+AQ510)*CIT_Rate</f>
        <v>-1602.48549457754</v>
      </c>
      <c r="AR511" s="8" t="n">
        <f aca="false">-MAX(0,AR506+AR510)*CIT_Rate</f>
        <v>-1601.91317869653</v>
      </c>
      <c r="AS511" s="8" t="n">
        <f aca="false">-MAX(0,AS506+AS510)*CIT_Rate</f>
        <v>-800.518023825112</v>
      </c>
      <c r="AT511" s="8" t="n">
        <f aca="false">-MAX(0,AT506+AT510)*CIT_Rate</f>
        <v>-0</v>
      </c>
      <c r="AU511" s="8" t="n">
        <f aca="false">-MAX(0,AU506+AU510)*CIT_Rate</f>
        <v>-0</v>
      </c>
      <c r="AV511" s="8" t="n">
        <f aca="false">-MAX(0,AV506+AV510)*CIT_Rate</f>
        <v>-0</v>
      </c>
      <c r="AW511" s="8" t="n">
        <f aca="false">-MAX(0,AW506+AW510)*CIT_Rate</f>
        <v>-0</v>
      </c>
    </row>
    <row r="512" customFormat="false" ht="14.25" hidden="false" customHeight="false" outlineLevel="0" collapsed="false">
      <c r="C512" s="1" t="s">
        <v>323</v>
      </c>
      <c r="D512" s="2" t="s">
        <v>85</v>
      </c>
      <c r="H512" s="32" t="n">
        <f aca="false">SUM(J512:AW512)</f>
        <v>201928.019273683</v>
      </c>
      <c r="J512" s="32" t="n">
        <f aca="false">J507+J511</f>
        <v>0</v>
      </c>
      <c r="K512" s="32" t="n">
        <f aca="false">K507+K511</f>
        <v>0</v>
      </c>
      <c r="L512" s="32" t="n">
        <f aca="false">L507+L511</f>
        <v>0</v>
      </c>
      <c r="M512" s="32" t="n">
        <f aca="false">M507+M511</f>
        <v>-29757.5797945206</v>
      </c>
      <c r="N512" s="32" t="n">
        <f aca="false">N507+N511</f>
        <v>-31358</v>
      </c>
      <c r="O512" s="32" t="n">
        <f aca="false">O507+O511</f>
        <v>-13610.2230178466</v>
      </c>
      <c r="P512" s="32" t="n">
        <f aca="false">P507+P511</f>
        <v>9196.01269788485</v>
      </c>
      <c r="Q512" s="32" t="n">
        <f aca="false">Q507+Q511</f>
        <v>11718.0468999483</v>
      </c>
      <c r="R512" s="32" t="n">
        <f aca="false">R507+R511</f>
        <v>9250.33332597553</v>
      </c>
      <c r="S512" s="32" t="n">
        <f aca="false">S507+S511</f>
        <v>9276.40723278677</v>
      </c>
      <c r="T512" s="32" t="n">
        <f aca="false">T507+T511</f>
        <v>9301.72097900116</v>
      </c>
      <c r="U512" s="32" t="n">
        <f aca="false">U507+U511</f>
        <v>9326.24674710753</v>
      </c>
      <c r="V512" s="32" t="n">
        <f aca="false">V507+V511</f>
        <v>9349.95597743015</v>
      </c>
      <c r="W512" s="32" t="n">
        <f aca="false">W507+W511</f>
        <v>9372.81934959485</v>
      </c>
      <c r="X512" s="32" t="n">
        <f aca="false">X507+X511</f>
        <v>9394.80676353933</v>
      </c>
      <c r="Y512" s="32" t="n">
        <f aca="false">Y507+Y511</f>
        <v>9415.88732005677</v>
      </c>
      <c r="Z512" s="32" t="n">
        <f aca="false">Z507+Z511</f>
        <v>9436.02930086098</v>
      </c>
      <c r="AA512" s="32" t="n">
        <f aca="false">AA507+AA511</f>
        <v>9455.20014816163</v>
      </c>
      <c r="AB512" s="32" t="n">
        <f aca="false">AB507+AB511</f>
        <v>9473.36644373728</v>
      </c>
      <c r="AC512" s="32" t="n">
        <f aca="false">AC507+AC511</f>
        <v>9490.49388749417</v>
      </c>
      <c r="AD512" s="32" t="n">
        <f aca="false">AD507+AD511</f>
        <v>9506.54727549794</v>
      </c>
      <c r="AE512" s="32" t="n">
        <f aca="false">AE507+AE511</f>
        <v>9521.49047746544</v>
      </c>
      <c r="AF512" s="32" t="n">
        <f aca="false">AF507+AF511</f>
        <v>9535.28641370342</v>
      </c>
      <c r="AG512" s="32" t="n">
        <f aca="false">AG507+AG511</f>
        <v>9547.89703148051</v>
      </c>
      <c r="AH512" s="32" t="n">
        <f aca="false">AH507+AH511</f>
        <v>9559.2832808185</v>
      </c>
      <c r="AI512" s="32" t="n">
        <f aca="false">AI507+AI511</f>
        <v>9309.93412393542</v>
      </c>
      <c r="AJ512" s="32" t="n">
        <f aca="false">AJ507+AJ511</f>
        <v>9059.27940709287</v>
      </c>
      <c r="AK512" s="32" t="n">
        <f aca="false">AK507+AK511</f>
        <v>9066.74790305173</v>
      </c>
      <c r="AL512" s="32" t="n">
        <f aca="false">AL507+AL511</f>
        <v>9072.8253528883</v>
      </c>
      <c r="AM512" s="32" t="n">
        <f aca="false">AM507+AM511</f>
        <v>9077.46733592206</v>
      </c>
      <c r="AN512" s="32" t="n">
        <f aca="false">AN507+AN511</f>
        <v>9080.62827595824</v>
      </c>
      <c r="AO512" s="32" t="n">
        <f aca="false">AO507+AO511</f>
        <v>9082.26141259599</v>
      </c>
      <c r="AP512" s="32" t="n">
        <f aca="false">AP507+AP511</f>
        <v>9082.31877183154</v>
      </c>
      <c r="AQ512" s="32" t="n">
        <f aca="false">AQ507+AQ511</f>
        <v>9080.75113593939</v>
      </c>
      <c r="AR512" s="32" t="n">
        <f aca="false">AR507+AR511</f>
        <v>9077.50801261365</v>
      </c>
      <c r="AS512" s="32" t="n">
        <f aca="false">AS507+AS511</f>
        <v>4536.26880167564</v>
      </c>
      <c r="AT512" s="32" t="n">
        <f aca="false">AT507+AT511</f>
        <v>0</v>
      </c>
      <c r="AU512" s="32" t="n">
        <f aca="false">AU507+AU511</f>
        <v>0</v>
      </c>
      <c r="AV512" s="32" t="n">
        <f aca="false">AV507+AV511</f>
        <v>0</v>
      </c>
      <c r="AW512" s="32" t="n">
        <f aca="false">AW507+AW511</f>
        <v>0</v>
      </c>
    </row>
    <row r="513" customFormat="false" ht="14.25" hidden="false" customHeight="false" outlineLevel="0" collapsed="false">
      <c r="C513" s="6" t="s">
        <v>324</v>
      </c>
      <c r="D513" s="2" t="s">
        <v>85</v>
      </c>
      <c r="G513" s="52" t="n">
        <f aca="false">G99*Gearing</f>
        <v>46080.0355479452</v>
      </c>
      <c r="H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</row>
    <row r="514" customFormat="false" ht="14.25" hidden="false" customHeight="false" outlineLevel="0" collapsed="false">
      <c r="C514" s="6" t="s">
        <v>325</v>
      </c>
      <c r="D514" s="2" t="s">
        <v>85</v>
      </c>
      <c r="H514" s="8" t="n">
        <f aca="false">SUM(J514:AW514)</f>
        <v>46080.0355479452</v>
      </c>
      <c r="J514" s="8" t="n">
        <f aca="false">$G513*J484</f>
        <v>0</v>
      </c>
      <c r="K514" s="8" t="n">
        <f aca="false">$G513*K484</f>
        <v>0</v>
      </c>
      <c r="L514" s="8" t="n">
        <f aca="false">$G513*L484</f>
        <v>0</v>
      </c>
      <c r="M514" s="8" t="n">
        <f aca="false">$G513*M484</f>
        <v>11520.0088869863</v>
      </c>
      <c r="N514" s="8" t="n">
        <f aca="false">$G513*N484</f>
        <v>23040.0177739726</v>
      </c>
      <c r="O514" s="8" t="n">
        <f aca="false">$G513*O484</f>
        <v>11520.0088869863</v>
      </c>
      <c r="P514" s="8" t="n">
        <f aca="false">$G513*P484</f>
        <v>0</v>
      </c>
      <c r="Q514" s="8" t="n">
        <f aca="false">$G513*Q484</f>
        <v>0</v>
      </c>
      <c r="R514" s="8" t="n">
        <f aca="false">$G513*R484</f>
        <v>0</v>
      </c>
      <c r="S514" s="8" t="n">
        <f aca="false">$G513*S484</f>
        <v>0</v>
      </c>
      <c r="T514" s="8" t="n">
        <f aca="false">$G513*T484</f>
        <v>0</v>
      </c>
      <c r="U514" s="8" t="n">
        <f aca="false">$G513*U484</f>
        <v>0</v>
      </c>
      <c r="V514" s="8" t="n">
        <f aca="false">$G513*V484</f>
        <v>0</v>
      </c>
      <c r="W514" s="8" t="n">
        <f aca="false">$G513*W484</f>
        <v>0</v>
      </c>
      <c r="X514" s="8" t="n">
        <f aca="false">$G513*X484</f>
        <v>0</v>
      </c>
      <c r="Y514" s="8" t="n">
        <f aca="false">$G513*Y484</f>
        <v>0</v>
      </c>
      <c r="Z514" s="8" t="n">
        <f aca="false">$G513*Z484</f>
        <v>0</v>
      </c>
      <c r="AA514" s="8" t="n">
        <f aca="false">$G513*AA484</f>
        <v>0</v>
      </c>
      <c r="AB514" s="8" t="n">
        <f aca="false">$G513*AB484</f>
        <v>0</v>
      </c>
      <c r="AC514" s="8" t="n">
        <f aca="false">$G513*AC484</f>
        <v>0</v>
      </c>
      <c r="AD514" s="8" t="n">
        <f aca="false">$G513*AD484</f>
        <v>0</v>
      </c>
      <c r="AE514" s="8" t="n">
        <f aca="false">$G513*AE484</f>
        <v>0</v>
      </c>
      <c r="AF514" s="8" t="n">
        <f aca="false">$G513*AF484</f>
        <v>0</v>
      </c>
      <c r="AG514" s="8" t="n">
        <f aca="false">$G513*AG484</f>
        <v>0</v>
      </c>
      <c r="AH514" s="8" t="n">
        <f aca="false">$G513*AH484</f>
        <v>0</v>
      </c>
      <c r="AI514" s="8" t="n">
        <f aca="false">$G513*AI484</f>
        <v>0</v>
      </c>
      <c r="AJ514" s="8" t="n">
        <f aca="false">$G513*AJ484</f>
        <v>0</v>
      </c>
      <c r="AK514" s="8" t="n">
        <f aca="false">$G513*AK484</f>
        <v>0</v>
      </c>
      <c r="AL514" s="8" t="n">
        <f aca="false">$G513*AL484</f>
        <v>0</v>
      </c>
      <c r="AM514" s="8" t="n">
        <f aca="false">$G513*AM484</f>
        <v>0</v>
      </c>
      <c r="AN514" s="8" t="n">
        <f aca="false">$G513*AN484</f>
        <v>0</v>
      </c>
      <c r="AO514" s="8" t="n">
        <f aca="false">$G513*AO484</f>
        <v>0</v>
      </c>
      <c r="AP514" s="8" t="n">
        <f aca="false">$G513*AP484</f>
        <v>0</v>
      </c>
      <c r="AQ514" s="8" t="n">
        <f aca="false">$G513*AQ484</f>
        <v>0</v>
      </c>
      <c r="AR514" s="8" t="n">
        <f aca="false">$G513*AR484</f>
        <v>0</v>
      </c>
      <c r="AS514" s="8" t="n">
        <f aca="false">$G513*AS484</f>
        <v>0</v>
      </c>
      <c r="AT514" s="8" t="n">
        <f aca="false">$G513*AT484</f>
        <v>0</v>
      </c>
      <c r="AU514" s="8" t="n">
        <f aca="false">$G513*AU484</f>
        <v>0</v>
      </c>
      <c r="AV514" s="8" t="n">
        <f aca="false">$G513*AV484</f>
        <v>0</v>
      </c>
      <c r="AW514" s="8" t="n">
        <f aca="false">$G513*AW484</f>
        <v>0</v>
      </c>
    </row>
    <row r="515" customFormat="false" ht="14.25" hidden="false" customHeight="false" outlineLevel="0" collapsed="false">
      <c r="C515" s="6" t="s">
        <v>326</v>
      </c>
      <c r="D515" s="2" t="s">
        <v>85</v>
      </c>
      <c r="H515" s="8" t="n">
        <f aca="false">SUM(J515:AW515)</f>
        <v>2343.78180808514</v>
      </c>
      <c r="J515" s="8" t="n">
        <f aca="false">(SUM($I514:I515)+J514*IDC_Draw_Share)*Debt_Rate*J484*$G483/Months_In_Year</f>
        <v>0</v>
      </c>
      <c r="K515" s="8" t="n">
        <f aca="false">(SUM($I514:J515)+K514*IDC_Draw_Share)*Debt_Rate*K484*$G483/Months_In_Year</f>
        <v>0</v>
      </c>
      <c r="L515" s="8" t="n">
        <f aca="false">(SUM($I514:K515)+L514*IDC_Draw_Share)*Debt_Rate*L484*$G483/Months_In_Year</f>
        <v>0</v>
      </c>
      <c r="M515" s="8" t="n">
        <f aca="false">(SUM($I514:L515)+M514*IDC_Draw_Share)*Debt_Rate*M484*$G483/Months_In_Year</f>
        <v>144.000111087329</v>
      </c>
      <c r="N515" s="8" t="n">
        <f aca="false">(SUM($I514:M515)+N514*IDC_Draw_Share)*Debt_Rate*N484*$G483/Months_In_Year</f>
        <v>1159.200894253</v>
      </c>
      <c r="O515" s="8" t="n">
        <f aca="false">(SUM($I514:N515)+O514*IDC_Draw_Share)*Debt_Rate*O484*$G483/Months_In_Year</f>
        <v>1040.58080274481</v>
      </c>
      <c r="P515" s="8" t="n">
        <f aca="false">(SUM($I514:O515)+P514*IDC_Draw_Share)*Debt_Rate*P484*$G483/Months_In_Year</f>
        <v>0</v>
      </c>
      <c r="Q515" s="8" t="n">
        <f aca="false">(SUM($I514:P515)+Q514*IDC_Draw_Share)*Debt_Rate*Q484*$G483/Months_In_Year</f>
        <v>0</v>
      </c>
      <c r="R515" s="8" t="n">
        <f aca="false">(SUM($I514:Q515)+R514*IDC_Draw_Share)*Debt_Rate*R484*$G483/Months_In_Year</f>
        <v>0</v>
      </c>
      <c r="S515" s="8" t="n">
        <f aca="false">(SUM($I514:R515)+S514*IDC_Draw_Share)*Debt_Rate*S484*$G483/Months_In_Year</f>
        <v>0</v>
      </c>
      <c r="T515" s="8" t="n">
        <f aca="false">(SUM($I514:S515)+T514*IDC_Draw_Share)*Debt_Rate*T484*$G483/Months_In_Year</f>
        <v>0</v>
      </c>
      <c r="U515" s="8" t="n">
        <f aca="false">(SUM($I514:T515)+U514*IDC_Draw_Share)*Debt_Rate*U484*$G483/Months_In_Year</f>
        <v>0</v>
      </c>
      <c r="V515" s="8" t="n">
        <f aca="false">(SUM($I514:U515)+V514*IDC_Draw_Share)*Debt_Rate*V484*$G483/Months_In_Year</f>
        <v>0</v>
      </c>
      <c r="W515" s="8" t="n">
        <f aca="false">(SUM($I514:V515)+W514*IDC_Draw_Share)*Debt_Rate*W484*$G483/Months_In_Year</f>
        <v>0</v>
      </c>
      <c r="X515" s="8" t="n">
        <f aca="false">(SUM($I514:W515)+X514*IDC_Draw_Share)*Debt_Rate*X484*$G483/Months_In_Year</f>
        <v>0</v>
      </c>
      <c r="Y515" s="8" t="n">
        <f aca="false">(SUM($I514:X515)+Y514*IDC_Draw_Share)*Debt_Rate*Y484*$G483/Months_In_Year</f>
        <v>0</v>
      </c>
      <c r="Z515" s="8" t="n">
        <f aca="false">(SUM($I514:Y515)+Z514*IDC_Draw_Share)*Debt_Rate*Z484*$G483/Months_In_Year</f>
        <v>0</v>
      </c>
      <c r="AA515" s="8" t="n">
        <f aca="false">(SUM($I514:Z515)+AA514*IDC_Draw_Share)*Debt_Rate*AA484*$G483/Months_In_Year</f>
        <v>0</v>
      </c>
      <c r="AB515" s="8" t="n">
        <f aca="false">(SUM($I514:AA515)+AB514*IDC_Draw_Share)*Debt_Rate*AB484*$G483/Months_In_Year</f>
        <v>0</v>
      </c>
      <c r="AC515" s="8" t="n">
        <f aca="false">(SUM($I514:AB515)+AC514*IDC_Draw_Share)*Debt_Rate*AC484*$G483/Months_In_Year</f>
        <v>0</v>
      </c>
      <c r="AD515" s="8" t="n">
        <f aca="false">(SUM($I514:AC515)+AD514*IDC_Draw_Share)*Debt_Rate*AD484*$G483/Months_In_Year</f>
        <v>0</v>
      </c>
      <c r="AE515" s="8" t="n">
        <f aca="false">(SUM($I514:AD515)+AE514*IDC_Draw_Share)*Debt_Rate*AE484*$G483/Months_In_Year</f>
        <v>0</v>
      </c>
      <c r="AF515" s="8" t="n">
        <f aca="false">(SUM($I514:AE515)+AF514*IDC_Draw_Share)*Debt_Rate*AF484*$G483/Months_In_Year</f>
        <v>0</v>
      </c>
      <c r="AG515" s="8" t="n">
        <f aca="false">(SUM($I514:AF515)+AG514*IDC_Draw_Share)*Debt_Rate*AG484*$G483/Months_In_Year</f>
        <v>0</v>
      </c>
      <c r="AH515" s="8" t="n">
        <f aca="false">(SUM($I514:AG515)+AH514*IDC_Draw_Share)*Debt_Rate*AH484*$G483/Months_In_Year</f>
        <v>0</v>
      </c>
      <c r="AI515" s="8" t="n">
        <f aca="false">(SUM($I514:AH515)+AI514*IDC_Draw_Share)*Debt_Rate*AI484*$G483/Months_In_Year</f>
        <v>0</v>
      </c>
      <c r="AJ515" s="8" t="n">
        <f aca="false">(SUM($I514:AI515)+AJ514*IDC_Draw_Share)*Debt_Rate*AJ484*$G483/Months_In_Year</f>
        <v>0</v>
      </c>
      <c r="AK515" s="8" t="n">
        <f aca="false">(SUM($I514:AJ515)+AK514*IDC_Draw_Share)*Debt_Rate*AK484*$G483/Months_In_Year</f>
        <v>0</v>
      </c>
      <c r="AL515" s="8" t="n">
        <f aca="false">(SUM($I514:AK515)+AL514*IDC_Draw_Share)*Debt_Rate*AL484*$G483/Months_In_Year</f>
        <v>0</v>
      </c>
      <c r="AM515" s="8" t="n">
        <f aca="false">(SUM($I514:AL515)+AM514*IDC_Draw_Share)*Debt_Rate*AM484*$G483/Months_In_Year</f>
        <v>0</v>
      </c>
      <c r="AN515" s="8" t="n">
        <f aca="false">(SUM($I514:AM515)+AN514*IDC_Draw_Share)*Debt_Rate*AN484*$G483/Months_In_Year</f>
        <v>0</v>
      </c>
      <c r="AO515" s="8" t="n">
        <f aca="false">(SUM($I514:AN515)+AO514*IDC_Draw_Share)*Debt_Rate*AO484*$G483/Months_In_Year</f>
        <v>0</v>
      </c>
      <c r="AP515" s="8" t="n">
        <f aca="false">(SUM($I514:AO515)+AP514*IDC_Draw_Share)*Debt_Rate*AP484*$G483/Months_In_Year</f>
        <v>0</v>
      </c>
      <c r="AQ515" s="8" t="n">
        <f aca="false">(SUM($I514:AP515)+AQ514*IDC_Draw_Share)*Debt_Rate*AQ484*$G483/Months_In_Year</f>
        <v>0</v>
      </c>
      <c r="AR515" s="8" t="n">
        <f aca="false">(SUM($I514:AQ515)+AR514*IDC_Draw_Share)*Debt_Rate*AR484*$G483/Months_In_Year</f>
        <v>0</v>
      </c>
      <c r="AS515" s="8" t="n">
        <f aca="false">(SUM($I514:AR515)+AS514*IDC_Draw_Share)*Debt_Rate*AS484*$G483/Months_In_Year</f>
        <v>0</v>
      </c>
      <c r="AT515" s="8" t="n">
        <f aca="false">(SUM($I514:AS515)+AT514*IDC_Draw_Share)*Debt_Rate*AT484*$G483/Months_In_Year</f>
        <v>0</v>
      </c>
      <c r="AU515" s="8" t="n">
        <f aca="false">(SUM($I514:AT515)+AU514*IDC_Draw_Share)*Debt_Rate*AU484*$G483/Months_In_Year</f>
        <v>0</v>
      </c>
      <c r="AV515" s="8" t="n">
        <f aca="false">(SUM($I514:AU515)+AV514*IDC_Draw_Share)*Debt_Rate*AV484*$G483/Months_In_Year</f>
        <v>0</v>
      </c>
      <c r="AW515" s="8" t="n">
        <f aca="false">(SUM($I514:AV515)+AW514*IDC_Draw_Share)*Debt_Rate*AW484*$G483/Months_In_Year</f>
        <v>0</v>
      </c>
    </row>
    <row r="516" customFormat="false" ht="14.25" hidden="false" customHeight="false" outlineLevel="0" collapsed="false">
      <c r="C516" s="6" t="s">
        <v>327</v>
      </c>
      <c r="D516" s="2" t="s">
        <v>85</v>
      </c>
      <c r="H516" s="8" t="n">
        <f aca="false">SUM(J516:AW516)</f>
        <v>-806.400622089041</v>
      </c>
      <c r="J516" s="8" t="n">
        <f aca="false">-$G513*Debt_Fee*(J484&gt;0)*(I484=0)</f>
        <v>-0</v>
      </c>
      <c r="K516" s="8" t="n">
        <f aca="false">-$G513*Debt_Fee*(K484&gt;0)*(J484=0)</f>
        <v>-0</v>
      </c>
      <c r="L516" s="8" t="n">
        <f aca="false">-$G513*Debt_Fee*(L484&gt;0)*(K484=0)</f>
        <v>-0</v>
      </c>
      <c r="M516" s="8" t="n">
        <f aca="false">-$G513*Debt_Fee*(M484&gt;0)*(L484=0)</f>
        <v>-806.400622089041</v>
      </c>
      <c r="N516" s="8" t="n">
        <f aca="false">-$G513*Debt_Fee*(N484&gt;0)*(M484=0)</f>
        <v>-0</v>
      </c>
      <c r="O516" s="8" t="n">
        <f aca="false">-$G513*Debt_Fee*(O484&gt;0)*(N484=0)</f>
        <v>-0</v>
      </c>
      <c r="P516" s="8" t="n">
        <f aca="false">-$G513*Debt_Fee*(P484&gt;0)*(O484=0)</f>
        <v>-0</v>
      </c>
      <c r="Q516" s="8" t="n">
        <f aca="false">-$G513*Debt_Fee*(Q484&gt;0)*(P484=0)</f>
        <v>-0</v>
      </c>
      <c r="R516" s="8" t="n">
        <f aca="false">-$G513*Debt_Fee*(R484&gt;0)*(Q484=0)</f>
        <v>-0</v>
      </c>
      <c r="S516" s="8" t="n">
        <f aca="false">-$G513*Debt_Fee*(S484&gt;0)*(R484=0)</f>
        <v>-0</v>
      </c>
      <c r="T516" s="8" t="n">
        <f aca="false">-$G513*Debt_Fee*(T484&gt;0)*(S484=0)</f>
        <v>-0</v>
      </c>
      <c r="U516" s="8" t="n">
        <f aca="false">-$G513*Debt_Fee*(U484&gt;0)*(T484=0)</f>
        <v>-0</v>
      </c>
      <c r="V516" s="8" t="n">
        <f aca="false">-$G513*Debt_Fee*(V484&gt;0)*(U484=0)</f>
        <v>-0</v>
      </c>
      <c r="W516" s="8" t="n">
        <f aca="false">-$G513*Debt_Fee*(W484&gt;0)*(V484=0)</f>
        <v>-0</v>
      </c>
      <c r="X516" s="8" t="n">
        <f aca="false">-$G513*Debt_Fee*(X484&gt;0)*(W484=0)</f>
        <v>-0</v>
      </c>
      <c r="Y516" s="8" t="n">
        <f aca="false">-$G513*Debt_Fee*(Y484&gt;0)*(X484=0)</f>
        <v>-0</v>
      </c>
      <c r="Z516" s="8" t="n">
        <f aca="false">-$G513*Debt_Fee*(Z484&gt;0)*(Y484=0)</f>
        <v>-0</v>
      </c>
      <c r="AA516" s="8" t="n">
        <f aca="false">-$G513*Debt_Fee*(AA484&gt;0)*(Z484=0)</f>
        <v>-0</v>
      </c>
      <c r="AB516" s="8" t="n">
        <f aca="false">-$G513*Debt_Fee*(AB484&gt;0)*(AA484=0)</f>
        <v>-0</v>
      </c>
      <c r="AC516" s="8" t="n">
        <f aca="false">-$G513*Debt_Fee*(AC484&gt;0)*(AB484=0)</f>
        <v>-0</v>
      </c>
      <c r="AD516" s="8" t="n">
        <f aca="false">-$G513*Debt_Fee*(AD484&gt;0)*(AC484=0)</f>
        <v>-0</v>
      </c>
      <c r="AE516" s="8" t="n">
        <f aca="false">-$G513*Debt_Fee*(AE484&gt;0)*(AD484=0)</f>
        <v>-0</v>
      </c>
      <c r="AF516" s="8" t="n">
        <f aca="false">-$G513*Debt_Fee*(AF484&gt;0)*(AE484=0)</f>
        <v>-0</v>
      </c>
      <c r="AG516" s="8" t="n">
        <f aca="false">-$G513*Debt_Fee*(AG484&gt;0)*(AF484=0)</f>
        <v>-0</v>
      </c>
      <c r="AH516" s="8" t="n">
        <f aca="false">-$G513*Debt_Fee*(AH484&gt;0)*(AG484=0)</f>
        <v>-0</v>
      </c>
      <c r="AI516" s="8" t="n">
        <f aca="false">-$G513*Debt_Fee*(AI484&gt;0)*(AH484=0)</f>
        <v>-0</v>
      </c>
      <c r="AJ516" s="8" t="n">
        <f aca="false">-$G513*Debt_Fee*(AJ484&gt;0)*(AI484=0)</f>
        <v>-0</v>
      </c>
      <c r="AK516" s="8" t="n">
        <f aca="false">-$G513*Debt_Fee*(AK484&gt;0)*(AJ484=0)</f>
        <v>-0</v>
      </c>
      <c r="AL516" s="8" t="n">
        <f aca="false">-$G513*Debt_Fee*(AL484&gt;0)*(AK484=0)</f>
        <v>-0</v>
      </c>
      <c r="AM516" s="8" t="n">
        <f aca="false">-$G513*Debt_Fee*(AM484&gt;0)*(AL484=0)</f>
        <v>-0</v>
      </c>
      <c r="AN516" s="8" t="n">
        <f aca="false">-$G513*Debt_Fee*(AN484&gt;0)*(AM484=0)</f>
        <v>-0</v>
      </c>
      <c r="AO516" s="8" t="n">
        <f aca="false">-$G513*Debt_Fee*(AO484&gt;0)*(AN484=0)</f>
        <v>-0</v>
      </c>
      <c r="AP516" s="8" t="n">
        <f aca="false">-$G513*Debt_Fee*(AP484&gt;0)*(AO484=0)</f>
        <v>-0</v>
      </c>
      <c r="AQ516" s="8" t="n">
        <f aca="false">-$G513*Debt_Fee*(AQ484&gt;0)*(AP484=0)</f>
        <v>-0</v>
      </c>
      <c r="AR516" s="8" t="n">
        <f aca="false">-$G513*Debt_Fee*(AR484&gt;0)*(AQ484=0)</f>
        <v>-0</v>
      </c>
      <c r="AS516" s="8" t="n">
        <f aca="false">-$G513*Debt_Fee*(AS484&gt;0)*(AR484=0)</f>
        <v>-0</v>
      </c>
      <c r="AT516" s="8" t="n">
        <f aca="false">-$G513*Debt_Fee*(AT484&gt;0)*(AS484=0)</f>
        <v>-0</v>
      </c>
      <c r="AU516" s="8" t="n">
        <f aca="false">-$G513*Debt_Fee*(AU484&gt;0)*(AT484=0)</f>
        <v>-0</v>
      </c>
      <c r="AV516" s="8" t="n">
        <f aca="false">-$G513*Debt_Fee*(AV484&gt;0)*(AU484=0)</f>
        <v>-0</v>
      </c>
      <c r="AW516" s="8" t="n">
        <f aca="false">-$G513*Debt_Fee*(AW484&gt;0)*(AV484=0)</f>
        <v>-0</v>
      </c>
    </row>
    <row r="517" customFormat="false" ht="14.25" hidden="false" customHeight="false" outlineLevel="0" collapsed="false">
      <c r="C517" s="6" t="s">
        <v>328</v>
      </c>
      <c r="D517" s="2" t="s">
        <v>85</v>
      </c>
      <c r="H517" s="8" t="n">
        <f aca="false">SUM(J517:AW517)</f>
        <v>-22765.6981606533</v>
      </c>
      <c r="J517" s="8" t="n">
        <f aca="false">-(I520+J514+J515)*Debt_Rate*J486</f>
        <v>-0</v>
      </c>
      <c r="K517" s="8" t="n">
        <f aca="false">-(J520+K514+K515)*Debt_Rate*K486</f>
        <v>-0</v>
      </c>
      <c r="L517" s="8" t="n">
        <f aca="false">-(K520+L514+L515)*Debt_Rate*L486</f>
        <v>-0</v>
      </c>
      <c r="M517" s="8" t="n">
        <f aca="false">-(L520+M514+M515)*Debt_Rate*M486</f>
        <v>-0</v>
      </c>
      <c r="N517" s="8" t="n">
        <f aca="false">-(M520+N514+N515)*Debt_Rate*N486</f>
        <v>-0</v>
      </c>
      <c r="O517" s="8" t="n">
        <f aca="false">-(N520+O514+O515)*Debt_Rate*O486</f>
        <v>-1210.59543390076</v>
      </c>
      <c r="P517" s="8" t="n">
        <f aca="false">-(O520+P514+P515)*Debt_Rate*P486</f>
        <v>-2421.19086780152</v>
      </c>
      <c r="Q517" s="8" t="n">
        <f aca="false">-(P520+Q514+Q515)*Debt_Rate*Q486</f>
        <v>-2308.98734424898</v>
      </c>
      <c r="R517" s="8" t="n">
        <f aca="false">-(Q520+R514+R515)*Debt_Rate*R486</f>
        <v>-2191.17364451882</v>
      </c>
      <c r="S517" s="8" t="n">
        <f aca="false">-(R520+S514+S515)*Debt_Rate*S486</f>
        <v>-2067.46925980215</v>
      </c>
      <c r="T517" s="8" t="n">
        <f aca="false">-(S520+T514+T515)*Debt_Rate*T486</f>
        <v>-1937.57965584965</v>
      </c>
      <c r="U517" s="8" t="n">
        <f aca="false">-(T520+U514+U515)*Debt_Rate*U486</f>
        <v>-1801.19557169952</v>
      </c>
      <c r="V517" s="8" t="n">
        <f aca="false">-(U520+V514+V515)*Debt_Rate*V486</f>
        <v>-1657.99228334189</v>
      </c>
      <c r="W517" s="8" t="n">
        <f aca="false">-(V520+W514+W515)*Debt_Rate*W486</f>
        <v>-1507.62883056638</v>
      </c>
      <c r="X517" s="8" t="n">
        <f aca="false">-(W520+X514+X515)*Debt_Rate*X486</f>
        <v>-1349.74720515208</v>
      </c>
      <c r="Y517" s="8" t="n">
        <f aca="false">-(X520+Y514+Y515)*Debt_Rate*Y486</f>
        <v>-1183.97149846708</v>
      </c>
      <c r="Z517" s="8" t="n">
        <f aca="false">-(Y520+Z514+Z515)*Debt_Rate*Z486</f>
        <v>-1009.90700644782</v>
      </c>
      <c r="AA517" s="8" t="n">
        <f aca="false">-(Z520+AA514+AA515)*Debt_Rate*AA486</f>
        <v>-827.139289827604</v>
      </c>
      <c r="AB517" s="8" t="n">
        <f aca="false">-(AA520+AB514+AB515)*Debt_Rate*AB486</f>
        <v>-635.233187376375</v>
      </c>
      <c r="AC517" s="8" t="n">
        <f aca="false">-(AB520+AC514+AC515)*Debt_Rate*AC486</f>
        <v>-433.731779802584</v>
      </c>
      <c r="AD517" s="8" t="n">
        <f aca="false">-(AC520+AD514+AD515)*Debt_Rate*AD486</f>
        <v>-222.155301850103</v>
      </c>
      <c r="AE517" s="8" t="n">
        <f aca="false">-(AD520+AE514+AE515)*Debt_Rate*AE486</f>
        <v>1.31876731757075E-012</v>
      </c>
      <c r="AF517" s="8" t="n">
        <f aca="false">-(AE520+AF514+AF515)*Debt_Rate*AF486</f>
        <v>1.38470568344928E-012</v>
      </c>
      <c r="AG517" s="8" t="n">
        <f aca="false">-(AF520+AG514+AG515)*Debt_Rate*AG486</f>
        <v>1.45394096762175E-012</v>
      </c>
      <c r="AH517" s="8" t="n">
        <f aca="false">-(AG520+AH514+AH515)*Debt_Rate*AH486</f>
        <v>1.52663801600284E-012</v>
      </c>
      <c r="AI517" s="8" t="n">
        <f aca="false">-(AH520+AI514+AI515)*Debt_Rate*AI486</f>
        <v>1.60296991680298E-012</v>
      </c>
      <c r="AJ517" s="8" t="n">
        <f aca="false">-(AI520+AJ514+AJ515)*Debt_Rate*AJ486</f>
        <v>1.68311841264313E-012</v>
      </c>
      <c r="AK517" s="8" t="n">
        <f aca="false">-(AJ520+AK514+AK515)*Debt_Rate*AK486</f>
        <v>1.76727433327528E-012</v>
      </c>
      <c r="AL517" s="8" t="n">
        <f aca="false">-(AK520+AL514+AL515)*Debt_Rate*AL486</f>
        <v>1.85563804993905E-012</v>
      </c>
      <c r="AM517" s="8" t="n">
        <f aca="false">-(AL520+AM514+AM515)*Debt_Rate*AM486</f>
        <v>1.948419952436E-012</v>
      </c>
      <c r="AN517" s="8" t="n">
        <f aca="false">-(AM520+AN514+AN515)*Debt_Rate*AN486</f>
        <v>2.0458409500578E-012</v>
      </c>
      <c r="AO517" s="8" t="n">
        <f aca="false">-(AN520+AO514+AO515)*Debt_Rate*AO486</f>
        <v>2.14813299756069E-012</v>
      </c>
      <c r="AP517" s="8" t="n">
        <f aca="false">-(AO520+AP514+AP515)*Debt_Rate*AP486</f>
        <v>2.25553964743872E-012</v>
      </c>
      <c r="AQ517" s="8" t="n">
        <f aca="false">-(AP520+AQ514+AQ515)*Debt_Rate*AQ486</f>
        <v>2.36831662981066E-012</v>
      </c>
      <c r="AR517" s="8" t="n">
        <f aca="false">-(AQ520+AR514+AR515)*Debt_Rate*AR486</f>
        <v>2.48673246130119E-012</v>
      </c>
      <c r="AS517" s="8" t="n">
        <f aca="false">-(AR520+AS514+AS515)*Debt_Rate*AS486</f>
        <v>1.30553454218313E-012</v>
      </c>
      <c r="AT517" s="8" t="n">
        <f aca="false">-(AS520+AT514+AT515)*Debt_Rate*AT486</f>
        <v>0</v>
      </c>
      <c r="AU517" s="8" t="n">
        <f aca="false">-(AT520+AU514+AU515)*Debt_Rate*AU486</f>
        <v>0</v>
      </c>
      <c r="AV517" s="8" t="n">
        <f aca="false">-(AU520+AV514+AV515)*Debt_Rate*AV486</f>
        <v>0</v>
      </c>
      <c r="AW517" s="8" t="n">
        <f aca="false">-(AV520+AW514+AW515)*Debt_Rate*AW486</f>
        <v>0</v>
      </c>
    </row>
    <row r="518" customFormat="false" ht="14.25" hidden="false" customHeight="false" outlineLevel="0" collapsed="false">
      <c r="C518" s="6" t="s">
        <v>329</v>
      </c>
      <c r="D518" s="2" t="s">
        <v>85</v>
      </c>
      <c r="H518" s="8" t="n">
        <f aca="false">SUM(J518:AW518)</f>
        <v>-71189.5155166837</v>
      </c>
      <c r="J518" s="8" t="n">
        <f aca="false">PMT(Debt_Rate,Debt_Tenor,$H514+$H515)*(J482&gt;=1)*(J482&lt;=Debt_Tenor)+J517*(J482=0)</f>
        <v>-0</v>
      </c>
      <c r="K518" s="8" t="n">
        <f aca="false">PMT(Debt_Rate,Debt_Tenor,$H514+$H515)*(K482&gt;=1)*(K482&lt;=Debt_Tenor)+K517*(K482=0)</f>
        <v>-0</v>
      </c>
      <c r="L518" s="8" t="n">
        <f aca="false">PMT(Debt_Rate,Debt_Tenor,$H514+$H515)*(L482&gt;=1)*(L482&lt;=Debt_Tenor)+L517*(L482=0)</f>
        <v>-0</v>
      </c>
      <c r="M518" s="8" t="n">
        <f aca="false">PMT(Debt_Rate,Debt_Tenor,$H514+$H515)*(M482&gt;=1)*(M482&lt;=Debt_Tenor)+M517*(M482=0)</f>
        <v>-0</v>
      </c>
      <c r="N518" s="8" t="n">
        <f aca="false">PMT(Debt_Rate,Debt_Tenor,$H514+$H515)*(N482&gt;=1)*(N482&lt;=Debt_Tenor)+N517*(N482=0)</f>
        <v>-0</v>
      </c>
      <c r="O518" s="8" t="n">
        <f aca="false">PMT(Debt_Rate,Debt_Tenor,$H514+$H515)*(O482&gt;=1)*(O482&lt;=Debt_Tenor)+O517*(O482=0)</f>
        <v>-1210.59543390076</v>
      </c>
      <c r="P518" s="8" t="n">
        <f aca="false">PMT(Debt_Rate,Debt_Tenor,$H514+$H515)*(P482&gt;=1)*(P482&lt;=Debt_Tenor)+P517*(P482=0)</f>
        <v>-4665.2613388522</v>
      </c>
      <c r="Q518" s="8" t="n">
        <f aca="false">PMT(Debt_Rate,Debt_Tenor,$H514+$H515)*(Q482&gt;=1)*(Q482&lt;=Debt_Tenor)+Q517*(Q482=0)</f>
        <v>-4665.2613388522</v>
      </c>
      <c r="R518" s="8" t="n">
        <f aca="false">PMT(Debt_Rate,Debt_Tenor,$H514+$H515)*(R482&gt;=1)*(R482&lt;=Debt_Tenor)+R517*(R482=0)</f>
        <v>-4665.2613388522</v>
      </c>
      <c r="S518" s="8" t="n">
        <f aca="false">PMT(Debt_Rate,Debt_Tenor,$H514+$H515)*(S482&gt;=1)*(S482&lt;=Debt_Tenor)+S517*(S482=0)</f>
        <v>-4665.2613388522</v>
      </c>
      <c r="T518" s="8" t="n">
        <f aca="false">PMT(Debt_Rate,Debt_Tenor,$H514+$H515)*(T482&gt;=1)*(T482&lt;=Debt_Tenor)+T517*(T482=0)</f>
        <v>-4665.2613388522</v>
      </c>
      <c r="U518" s="8" t="n">
        <f aca="false">PMT(Debt_Rate,Debt_Tenor,$H514+$H515)*(U482&gt;=1)*(U482&lt;=Debt_Tenor)+U517*(U482=0)</f>
        <v>-4665.2613388522</v>
      </c>
      <c r="V518" s="8" t="n">
        <f aca="false">PMT(Debt_Rate,Debt_Tenor,$H514+$H515)*(V482&gt;=1)*(V482&lt;=Debt_Tenor)+V517*(V482=0)</f>
        <v>-4665.2613388522</v>
      </c>
      <c r="W518" s="8" t="n">
        <f aca="false">PMT(Debt_Rate,Debt_Tenor,$H514+$H515)*(W482&gt;=1)*(W482&lt;=Debt_Tenor)+W517*(W482=0)</f>
        <v>-4665.2613388522</v>
      </c>
      <c r="X518" s="8" t="n">
        <f aca="false">PMT(Debt_Rate,Debt_Tenor,$H514+$H515)*(X482&gt;=1)*(X482&lt;=Debt_Tenor)+X517*(X482=0)</f>
        <v>-4665.2613388522</v>
      </c>
      <c r="Y518" s="8" t="n">
        <f aca="false">PMT(Debt_Rate,Debt_Tenor,$H514+$H515)*(Y482&gt;=1)*(Y482&lt;=Debt_Tenor)+Y517*(Y482=0)</f>
        <v>-4665.2613388522</v>
      </c>
      <c r="Z518" s="8" t="n">
        <f aca="false">PMT(Debt_Rate,Debt_Tenor,$H514+$H515)*(Z482&gt;=1)*(Z482&lt;=Debt_Tenor)+Z517*(Z482=0)</f>
        <v>-4665.2613388522</v>
      </c>
      <c r="AA518" s="8" t="n">
        <f aca="false">PMT(Debt_Rate,Debt_Tenor,$H514+$H515)*(AA482&gt;=1)*(AA482&lt;=Debt_Tenor)+AA517*(AA482=0)</f>
        <v>-4665.2613388522</v>
      </c>
      <c r="AB518" s="8" t="n">
        <f aca="false">PMT(Debt_Rate,Debt_Tenor,$H514+$H515)*(AB482&gt;=1)*(AB482&lt;=Debt_Tenor)+AB517*(AB482=0)</f>
        <v>-4665.2613388522</v>
      </c>
      <c r="AC518" s="8" t="n">
        <f aca="false">PMT(Debt_Rate,Debt_Tenor,$H514+$H515)*(AC482&gt;=1)*(AC482&lt;=Debt_Tenor)+AC517*(AC482=0)</f>
        <v>-4665.2613388522</v>
      </c>
      <c r="AD518" s="8" t="n">
        <f aca="false">PMT(Debt_Rate,Debt_Tenor,$H514+$H515)*(AD482&gt;=1)*(AD482&lt;=Debt_Tenor)+AD517*(AD482=0)</f>
        <v>-4665.2613388522</v>
      </c>
      <c r="AE518" s="8" t="n">
        <f aca="false">PMT(Debt_Rate,Debt_Tenor,$H514+$H515)*(AE482&gt;=1)*(AE482&lt;=Debt_Tenor)+AE517*(AE482=0)</f>
        <v>0</v>
      </c>
      <c r="AF518" s="8" t="n">
        <f aca="false">PMT(Debt_Rate,Debt_Tenor,$H514+$H515)*(AF482&gt;=1)*(AF482&lt;=Debt_Tenor)+AF517*(AF482=0)</f>
        <v>0</v>
      </c>
      <c r="AG518" s="8" t="n">
        <f aca="false">PMT(Debt_Rate,Debt_Tenor,$H514+$H515)*(AG482&gt;=1)*(AG482&lt;=Debt_Tenor)+AG517*(AG482=0)</f>
        <v>0</v>
      </c>
      <c r="AH518" s="8" t="n">
        <f aca="false">PMT(Debt_Rate,Debt_Tenor,$H514+$H515)*(AH482&gt;=1)*(AH482&lt;=Debt_Tenor)+AH517*(AH482=0)</f>
        <v>0</v>
      </c>
      <c r="AI518" s="8" t="n">
        <f aca="false">PMT(Debt_Rate,Debt_Tenor,$H514+$H515)*(AI482&gt;=1)*(AI482&lt;=Debt_Tenor)+AI517*(AI482=0)</f>
        <v>0</v>
      </c>
      <c r="AJ518" s="8" t="n">
        <f aca="false">PMT(Debt_Rate,Debt_Tenor,$H514+$H515)*(AJ482&gt;=1)*(AJ482&lt;=Debt_Tenor)+AJ517*(AJ482=0)</f>
        <v>0</v>
      </c>
      <c r="AK518" s="8" t="n">
        <f aca="false">PMT(Debt_Rate,Debt_Tenor,$H514+$H515)*(AK482&gt;=1)*(AK482&lt;=Debt_Tenor)+AK517*(AK482=0)</f>
        <v>0</v>
      </c>
      <c r="AL518" s="8" t="n">
        <f aca="false">PMT(Debt_Rate,Debt_Tenor,$H514+$H515)*(AL482&gt;=1)*(AL482&lt;=Debt_Tenor)+AL517*(AL482=0)</f>
        <v>0</v>
      </c>
      <c r="AM518" s="8" t="n">
        <f aca="false">PMT(Debt_Rate,Debt_Tenor,$H514+$H515)*(AM482&gt;=1)*(AM482&lt;=Debt_Tenor)+AM517*(AM482=0)</f>
        <v>0</v>
      </c>
      <c r="AN518" s="8" t="n">
        <f aca="false">PMT(Debt_Rate,Debt_Tenor,$H514+$H515)*(AN482&gt;=1)*(AN482&lt;=Debt_Tenor)+AN517*(AN482=0)</f>
        <v>0</v>
      </c>
      <c r="AO518" s="8" t="n">
        <f aca="false">PMT(Debt_Rate,Debt_Tenor,$H514+$H515)*(AO482&gt;=1)*(AO482&lt;=Debt_Tenor)+AO517*(AO482=0)</f>
        <v>0</v>
      </c>
      <c r="AP518" s="8" t="n">
        <f aca="false">PMT(Debt_Rate,Debt_Tenor,$H514+$H515)*(AP482&gt;=1)*(AP482&lt;=Debt_Tenor)+AP517*(AP482=0)</f>
        <v>0</v>
      </c>
      <c r="AQ518" s="8" t="n">
        <f aca="false">PMT(Debt_Rate,Debt_Tenor,$H514+$H515)*(AQ482&gt;=1)*(AQ482&lt;=Debt_Tenor)+AQ517*(AQ482=0)</f>
        <v>0</v>
      </c>
      <c r="AR518" s="8" t="n">
        <f aca="false">PMT(Debt_Rate,Debt_Tenor,$H514+$H515)*(AR482&gt;=1)*(AR482&lt;=Debt_Tenor)+AR517*(AR482=0)</f>
        <v>0</v>
      </c>
      <c r="AS518" s="8" t="n">
        <f aca="false">PMT(Debt_Rate,Debt_Tenor,$H514+$H515)*(AS482&gt;=1)*(AS482&lt;=Debt_Tenor)+AS517*(AS482=0)</f>
        <v>0</v>
      </c>
      <c r="AT518" s="8" t="n">
        <f aca="false">PMT(Debt_Rate,Debt_Tenor,$H514+$H515)*(AT482&gt;=1)*(AT482&lt;=Debt_Tenor)+AT517*(AT482=0)</f>
        <v>0</v>
      </c>
      <c r="AU518" s="8" t="n">
        <f aca="false">PMT(Debt_Rate,Debt_Tenor,$H514+$H515)*(AU482&gt;=1)*(AU482&lt;=Debt_Tenor)+AU517*(AU482=0)</f>
        <v>0</v>
      </c>
      <c r="AV518" s="8" t="n">
        <f aca="false">PMT(Debt_Rate,Debt_Tenor,$H514+$H515)*(AV482&gt;=1)*(AV482&lt;=Debt_Tenor)+AV517*(AV482=0)</f>
        <v>0</v>
      </c>
      <c r="AW518" s="8" t="n">
        <f aca="false">PMT(Debt_Rate,Debt_Tenor,$H514+$H515)*(AW482&gt;=1)*(AW482&lt;=Debt_Tenor)+AW517*(AW482=0)</f>
        <v>0</v>
      </c>
    </row>
    <row r="519" customFormat="false" ht="14.25" hidden="false" customHeight="false" outlineLevel="0" collapsed="false">
      <c r="C519" s="6" t="s">
        <v>330</v>
      </c>
      <c r="D519" s="2" t="s">
        <v>85</v>
      </c>
      <c r="H519" s="8" t="n">
        <f aca="false">SUM(J519:AW519)</f>
        <v>-48423.8173560304</v>
      </c>
      <c r="J519" s="8" t="n">
        <f aca="false">J518-J517</f>
        <v>0</v>
      </c>
      <c r="K519" s="8" t="n">
        <f aca="false">K518-K517</f>
        <v>0</v>
      </c>
      <c r="L519" s="8" t="n">
        <f aca="false">L518-L517</f>
        <v>0</v>
      </c>
      <c r="M519" s="8" t="n">
        <f aca="false">M518-M517</f>
        <v>0</v>
      </c>
      <c r="N519" s="8" t="n">
        <f aca="false">N518-N517</f>
        <v>0</v>
      </c>
      <c r="O519" s="8" t="n">
        <f aca="false">O518-O517</f>
        <v>0</v>
      </c>
      <c r="P519" s="8" t="n">
        <f aca="false">P518-P517</f>
        <v>-2244.07047105068</v>
      </c>
      <c r="Q519" s="8" t="n">
        <f aca="false">Q518-Q517</f>
        <v>-2356.27399460321</v>
      </c>
      <c r="R519" s="8" t="n">
        <f aca="false">R518-R517</f>
        <v>-2474.08769433337</v>
      </c>
      <c r="S519" s="8" t="n">
        <f aca="false">S518-S517</f>
        <v>-2597.79207905004</v>
      </c>
      <c r="T519" s="8" t="n">
        <f aca="false">T518-T517</f>
        <v>-2727.68168300254</v>
      </c>
      <c r="U519" s="8" t="n">
        <f aca="false">U518-U517</f>
        <v>-2864.06576715267</v>
      </c>
      <c r="V519" s="8" t="n">
        <f aca="false">V518-V517</f>
        <v>-3007.26905551031</v>
      </c>
      <c r="W519" s="8" t="n">
        <f aca="false">W518-W517</f>
        <v>-3157.63250828582</v>
      </c>
      <c r="X519" s="8" t="n">
        <f aca="false">X518-X517</f>
        <v>-3315.51413370011</v>
      </c>
      <c r="Y519" s="8" t="n">
        <f aca="false">Y518-Y517</f>
        <v>-3481.28984038512</v>
      </c>
      <c r="Z519" s="8" t="n">
        <f aca="false">Z518-Z517</f>
        <v>-3655.35433240437</v>
      </c>
      <c r="AA519" s="8" t="n">
        <f aca="false">AA518-AA517</f>
        <v>-3838.12204902459</v>
      </c>
      <c r="AB519" s="8" t="n">
        <f aca="false">AB518-AB517</f>
        <v>-4030.02815147582</v>
      </c>
      <c r="AC519" s="8" t="n">
        <f aca="false">AC518-AC517</f>
        <v>-4231.52955904961</v>
      </c>
      <c r="AD519" s="8" t="n">
        <f aca="false">AD518-AD517</f>
        <v>-4443.10603700209</v>
      </c>
      <c r="AE519" s="8" t="n">
        <f aca="false">AE518-AE517</f>
        <v>-1.31876731757075E-012</v>
      </c>
      <c r="AF519" s="8" t="n">
        <f aca="false">AF518-AF517</f>
        <v>-1.38470568344928E-012</v>
      </c>
      <c r="AG519" s="8" t="n">
        <f aca="false">AG518-AG517</f>
        <v>-1.45394096762175E-012</v>
      </c>
      <c r="AH519" s="8" t="n">
        <f aca="false">AH518-AH517</f>
        <v>-1.52663801600284E-012</v>
      </c>
      <c r="AI519" s="8" t="n">
        <f aca="false">AI518-AI517</f>
        <v>-1.60296991680298E-012</v>
      </c>
      <c r="AJ519" s="8" t="n">
        <f aca="false">AJ518-AJ517</f>
        <v>-1.68311841264313E-012</v>
      </c>
      <c r="AK519" s="8" t="n">
        <f aca="false">AK518-AK517</f>
        <v>-1.76727433327528E-012</v>
      </c>
      <c r="AL519" s="8" t="n">
        <f aca="false">AL518-AL517</f>
        <v>-1.85563804993905E-012</v>
      </c>
      <c r="AM519" s="8" t="n">
        <f aca="false">AM518-AM517</f>
        <v>-1.948419952436E-012</v>
      </c>
      <c r="AN519" s="8" t="n">
        <f aca="false">AN518-AN517</f>
        <v>-2.0458409500578E-012</v>
      </c>
      <c r="AO519" s="8" t="n">
        <f aca="false">AO518-AO517</f>
        <v>-2.14813299756069E-012</v>
      </c>
      <c r="AP519" s="8" t="n">
        <f aca="false">AP518-AP517</f>
        <v>-2.25553964743872E-012</v>
      </c>
      <c r="AQ519" s="8" t="n">
        <f aca="false">AQ518-AQ517</f>
        <v>-2.36831662981066E-012</v>
      </c>
      <c r="AR519" s="8" t="n">
        <f aca="false">AR518-AR517</f>
        <v>-2.48673246130119E-012</v>
      </c>
      <c r="AS519" s="8" t="n">
        <f aca="false">AS518-AS517</f>
        <v>-1.30553454218313E-012</v>
      </c>
      <c r="AT519" s="8" t="n">
        <f aca="false">AT518-AT517</f>
        <v>0</v>
      </c>
      <c r="AU519" s="8" t="n">
        <f aca="false">AU518-AU517</f>
        <v>0</v>
      </c>
      <c r="AV519" s="8" t="n">
        <f aca="false">AV518-AV517</f>
        <v>0</v>
      </c>
      <c r="AW519" s="8" t="n">
        <f aca="false">AW518-AW517</f>
        <v>0</v>
      </c>
    </row>
    <row r="520" customFormat="false" ht="14.25" hidden="false" customHeight="false" outlineLevel="0" collapsed="false">
      <c r="C520" s="6" t="s">
        <v>331</v>
      </c>
      <c r="D520" s="2" t="s">
        <v>85</v>
      </c>
      <c r="H520" s="8"/>
      <c r="J520" s="8" t="n">
        <f aca="false">I520+J514+J515+J519</f>
        <v>0</v>
      </c>
      <c r="K520" s="8" t="n">
        <f aca="false">J520+K514+K515+K519</f>
        <v>0</v>
      </c>
      <c r="L520" s="8" t="n">
        <f aca="false">K520+L514+L515+L519</f>
        <v>0</v>
      </c>
      <c r="M520" s="8" t="n">
        <f aca="false">L520+M514+M515+M519</f>
        <v>11664.0089980736</v>
      </c>
      <c r="N520" s="8" t="n">
        <f aca="false">M520+N514+N515+N519</f>
        <v>35863.2276662992</v>
      </c>
      <c r="O520" s="8" t="n">
        <f aca="false">N520+O514+O515+O519</f>
        <v>48423.8173560303</v>
      </c>
      <c r="P520" s="8" t="n">
        <f aca="false">O520+P514+P515+P519</f>
        <v>46179.7468849797</v>
      </c>
      <c r="Q520" s="8" t="n">
        <f aca="false">P520+Q514+Q515+Q519</f>
        <v>43823.4728903764</v>
      </c>
      <c r="R520" s="8" t="n">
        <f aca="false">Q520+R514+R515+R519</f>
        <v>41349.3851960431</v>
      </c>
      <c r="S520" s="8" t="n">
        <f aca="false">R520+S514+S515+S519</f>
        <v>38751.593116993</v>
      </c>
      <c r="T520" s="8" t="n">
        <f aca="false">S520+T514+T515+T519</f>
        <v>36023.9114339905</v>
      </c>
      <c r="U520" s="8" t="n">
        <f aca="false">T520+U514+U515+U519</f>
        <v>33159.8456668378</v>
      </c>
      <c r="V520" s="8" t="n">
        <f aca="false">U520+V514+V515+V519</f>
        <v>30152.5766113275</v>
      </c>
      <c r="W520" s="8" t="n">
        <f aca="false">V520+W514+W515+W519</f>
        <v>26994.9441030417</v>
      </c>
      <c r="X520" s="8" t="n">
        <f aca="false">W520+X514+X515+X519</f>
        <v>23679.4299693416</v>
      </c>
      <c r="Y520" s="8" t="n">
        <f aca="false">X520+Y514+Y515+Y519</f>
        <v>20198.1401289565</v>
      </c>
      <c r="Z520" s="8" t="n">
        <f aca="false">Y520+Z514+Z515+Z519</f>
        <v>16542.7857965521</v>
      </c>
      <c r="AA520" s="8" t="n">
        <f aca="false">Z520+AA514+AA515+AA519</f>
        <v>12704.6637475275</v>
      </c>
      <c r="AB520" s="8" t="n">
        <f aca="false">AA520+AB514+AB515+AB519</f>
        <v>8674.63559605168</v>
      </c>
      <c r="AC520" s="8" t="n">
        <f aca="false">AB520+AC514+AC515+AC519</f>
        <v>4443.10603700207</v>
      </c>
      <c r="AD520" s="8" t="n">
        <f aca="false">AC520+AD514+AD515+AD519</f>
        <v>-2.63753463514149E-011</v>
      </c>
      <c r="AE520" s="8" t="n">
        <f aca="false">AD520+AE514+AE515+AE519</f>
        <v>-2.76941136689857E-011</v>
      </c>
      <c r="AF520" s="8" t="n">
        <f aca="false">AE520+AF514+AF515+AF519</f>
        <v>-2.90788193524349E-011</v>
      </c>
      <c r="AG520" s="8" t="n">
        <f aca="false">AF520+AG514+AG515+AG519</f>
        <v>-3.05327603200567E-011</v>
      </c>
      <c r="AH520" s="8" t="n">
        <f aca="false">AG520+AH514+AH515+AH519</f>
        <v>-3.20593983360595E-011</v>
      </c>
      <c r="AI520" s="8" t="n">
        <f aca="false">AH520+AI514+AI515+AI519</f>
        <v>-3.36623682528625E-011</v>
      </c>
      <c r="AJ520" s="8" t="n">
        <f aca="false">AI520+AJ514+AJ515+AJ519</f>
        <v>-3.53454866655056E-011</v>
      </c>
      <c r="AK520" s="8" t="n">
        <f aca="false">AJ520+AK514+AK515+AK519</f>
        <v>-3.71127609987809E-011</v>
      </c>
      <c r="AL520" s="8" t="n">
        <f aca="false">AK520+AL514+AL515+AL519</f>
        <v>-3.896839904872E-011</v>
      </c>
      <c r="AM520" s="8" t="n">
        <f aca="false">AL520+AM514+AM515+AM519</f>
        <v>-4.0916819001156E-011</v>
      </c>
      <c r="AN520" s="8" t="n">
        <f aca="false">AM520+AN514+AN515+AN519</f>
        <v>-4.29626599512138E-011</v>
      </c>
      <c r="AO520" s="8" t="n">
        <f aca="false">AN520+AO514+AO515+AO519</f>
        <v>-4.51107929487745E-011</v>
      </c>
      <c r="AP520" s="8" t="n">
        <f aca="false">AO520+AP514+AP515+AP519</f>
        <v>-4.73663325962132E-011</v>
      </c>
      <c r="AQ520" s="8" t="n">
        <f aca="false">AP520+AQ514+AQ515+AQ519</f>
        <v>-4.97346492260238E-011</v>
      </c>
      <c r="AR520" s="8" t="n">
        <f aca="false">AQ520+AR514+AR515+AR519</f>
        <v>-5.2221381687325E-011</v>
      </c>
      <c r="AS520" s="8" t="n">
        <f aca="false">AR520+AS514+AS515+AS519</f>
        <v>-5.35269162295081E-011</v>
      </c>
      <c r="AT520" s="8" t="n">
        <f aca="false">AS520+AT514+AT515+AT519</f>
        <v>-5.35269162295081E-011</v>
      </c>
      <c r="AU520" s="8" t="n">
        <f aca="false">AT520+AU514+AU515+AU519</f>
        <v>-5.35269162295081E-011</v>
      </c>
      <c r="AV520" s="8" t="n">
        <f aca="false">AU520+AV514+AV515+AV519</f>
        <v>-5.35269162295081E-011</v>
      </c>
      <c r="AW520" s="8" t="n">
        <f aca="false">AV520+AW514+AW515+AW519</f>
        <v>-5.35269162295081E-011</v>
      </c>
    </row>
    <row r="521" customFormat="false" ht="14.25" hidden="false" customHeight="false" outlineLevel="0" collapsed="false">
      <c r="C521" s="6" t="s">
        <v>332</v>
      </c>
      <c r="D521" s="2" t="s">
        <v>85</v>
      </c>
      <c r="H521" s="8" t="n">
        <f aca="false">SUM(J521:AW521)</f>
        <v>-2343.78180808514</v>
      </c>
      <c r="J521" s="8" t="n">
        <f aca="false">-$H515/Tax_Dep_Life*J508</f>
        <v>-0</v>
      </c>
      <c r="K521" s="8" t="n">
        <f aca="false">-$H515/Tax_Dep_Life*K508</f>
        <v>-0</v>
      </c>
      <c r="L521" s="8" t="n">
        <f aca="false">-$H515/Tax_Dep_Life*L508</f>
        <v>-0</v>
      </c>
      <c r="M521" s="8" t="n">
        <f aca="false">-$H515/Tax_Dep_Life*M508</f>
        <v>-0</v>
      </c>
      <c r="N521" s="8" t="n">
        <f aca="false">-$H515/Tax_Dep_Life*N508</f>
        <v>-0</v>
      </c>
      <c r="O521" s="8" t="n">
        <f aca="false">-$H515/Tax_Dep_Life*O508</f>
        <v>-58.5945452021284</v>
      </c>
      <c r="P521" s="8" t="n">
        <f aca="false">-$H515/Tax_Dep_Life*P508</f>
        <v>-117.189090404257</v>
      </c>
      <c r="Q521" s="8" t="n">
        <f aca="false">-$H515/Tax_Dep_Life*Q508</f>
        <v>-117.189090404257</v>
      </c>
      <c r="R521" s="8" t="n">
        <f aca="false">-$H515/Tax_Dep_Life*R508</f>
        <v>-117.189090404257</v>
      </c>
      <c r="S521" s="8" t="n">
        <f aca="false">-$H515/Tax_Dep_Life*S508</f>
        <v>-117.189090404257</v>
      </c>
      <c r="T521" s="8" t="n">
        <f aca="false">-$H515/Tax_Dep_Life*T508</f>
        <v>-117.189090404257</v>
      </c>
      <c r="U521" s="8" t="n">
        <f aca="false">-$H515/Tax_Dep_Life*U508</f>
        <v>-117.189090404257</v>
      </c>
      <c r="V521" s="8" t="n">
        <f aca="false">-$H515/Tax_Dep_Life*V508</f>
        <v>-117.189090404257</v>
      </c>
      <c r="W521" s="8" t="n">
        <f aca="false">-$H515/Tax_Dep_Life*W508</f>
        <v>-117.189090404257</v>
      </c>
      <c r="X521" s="8" t="n">
        <f aca="false">-$H515/Tax_Dep_Life*X508</f>
        <v>-117.189090404257</v>
      </c>
      <c r="Y521" s="8" t="n">
        <f aca="false">-$H515/Tax_Dep_Life*Y508</f>
        <v>-117.189090404257</v>
      </c>
      <c r="Z521" s="8" t="n">
        <f aca="false">-$H515/Tax_Dep_Life*Z508</f>
        <v>-117.189090404257</v>
      </c>
      <c r="AA521" s="8" t="n">
        <f aca="false">-$H515/Tax_Dep_Life*AA508</f>
        <v>-117.189090404257</v>
      </c>
      <c r="AB521" s="8" t="n">
        <f aca="false">-$H515/Tax_Dep_Life*AB508</f>
        <v>-117.189090404257</v>
      </c>
      <c r="AC521" s="8" t="n">
        <f aca="false">-$H515/Tax_Dep_Life*AC508</f>
        <v>-117.189090404257</v>
      </c>
      <c r="AD521" s="8" t="n">
        <f aca="false">-$H515/Tax_Dep_Life*AD508</f>
        <v>-117.189090404257</v>
      </c>
      <c r="AE521" s="8" t="n">
        <f aca="false">-$H515/Tax_Dep_Life*AE508</f>
        <v>-117.189090404257</v>
      </c>
      <c r="AF521" s="8" t="n">
        <f aca="false">-$H515/Tax_Dep_Life*AF508</f>
        <v>-117.189090404257</v>
      </c>
      <c r="AG521" s="8" t="n">
        <f aca="false">-$H515/Tax_Dep_Life*AG508</f>
        <v>-117.189090404257</v>
      </c>
      <c r="AH521" s="8" t="n">
        <f aca="false">-$H515/Tax_Dep_Life*AH508</f>
        <v>-117.189090404257</v>
      </c>
      <c r="AI521" s="8" t="n">
        <f aca="false">-$H515/Tax_Dep_Life*AI508</f>
        <v>-58.5945452021284</v>
      </c>
      <c r="AJ521" s="8" t="n">
        <f aca="false">-$H515/Tax_Dep_Life*AJ508</f>
        <v>-0</v>
      </c>
      <c r="AK521" s="8" t="n">
        <f aca="false">-$H515/Tax_Dep_Life*AK508</f>
        <v>-0</v>
      </c>
      <c r="AL521" s="8" t="n">
        <f aca="false">-$H515/Tax_Dep_Life*AL508</f>
        <v>-0</v>
      </c>
      <c r="AM521" s="8" t="n">
        <f aca="false">-$H515/Tax_Dep_Life*AM508</f>
        <v>-0</v>
      </c>
      <c r="AN521" s="8" t="n">
        <f aca="false">-$H515/Tax_Dep_Life*AN508</f>
        <v>-0</v>
      </c>
      <c r="AO521" s="8" t="n">
        <f aca="false">-$H515/Tax_Dep_Life*AO508</f>
        <v>-0</v>
      </c>
      <c r="AP521" s="8" t="n">
        <f aca="false">-$H515/Tax_Dep_Life*AP508</f>
        <v>-0</v>
      </c>
      <c r="AQ521" s="8" t="n">
        <f aca="false">-$H515/Tax_Dep_Life*AQ508</f>
        <v>-0</v>
      </c>
      <c r="AR521" s="8" t="n">
        <f aca="false">-$H515/Tax_Dep_Life*AR508</f>
        <v>-0</v>
      </c>
      <c r="AS521" s="8" t="n">
        <f aca="false">-$H515/Tax_Dep_Life*AS508</f>
        <v>-0</v>
      </c>
      <c r="AT521" s="8" t="n">
        <f aca="false">-$H515/Tax_Dep_Life*AT508</f>
        <v>-0</v>
      </c>
      <c r="AU521" s="8" t="n">
        <f aca="false">-$H515/Tax_Dep_Life*AU508</f>
        <v>-0</v>
      </c>
      <c r="AV521" s="8" t="n">
        <f aca="false">-$H515/Tax_Dep_Life*AV508</f>
        <v>-0</v>
      </c>
      <c r="AW521" s="8" t="n">
        <f aca="false">-$H515/Tax_Dep_Life*AW508</f>
        <v>-0</v>
      </c>
    </row>
    <row r="522" customFormat="false" ht="14.25" hidden="false" customHeight="false" outlineLevel="0" collapsed="false">
      <c r="C522" s="6" t="s">
        <v>333</v>
      </c>
      <c r="D522" s="2" t="s">
        <v>85</v>
      </c>
      <c r="H522" s="8" t="n">
        <f aca="false">SUM(J522:AW522)</f>
        <v>-33210.487590456</v>
      </c>
      <c r="J522" s="8" t="n">
        <f aca="false">-MAX(0,J506+J510+J521+J517+J516)*CIT_Rate</f>
        <v>-0</v>
      </c>
      <c r="K522" s="8" t="n">
        <f aca="false">-MAX(0,K506+K510+K521+K517+K516)*CIT_Rate</f>
        <v>-0</v>
      </c>
      <c r="L522" s="8" t="n">
        <f aca="false">-MAX(0,L506+L510+L521+L517+L516)*CIT_Rate</f>
        <v>-0</v>
      </c>
      <c r="M522" s="8" t="n">
        <f aca="false">-MAX(0,M506+M510+M521+M517+M516)*CIT_Rate</f>
        <v>-0</v>
      </c>
      <c r="N522" s="8" t="n">
        <f aca="false">-MAX(0,N506+N510+N521+N517+N516)*CIT_Rate</f>
        <v>-0</v>
      </c>
      <c r="O522" s="8" t="n">
        <f aca="false">-MAX(0,O506+O510+O521+O517+O516)*CIT_Rate</f>
        <v>-310.616304981142</v>
      </c>
      <c r="P522" s="8" t="n">
        <f aca="false">-MAX(0,P506+P510+P521+P517+P516)*CIT_Rate</f>
        <v>-631.548857064285</v>
      </c>
      <c r="Q522" s="8" t="n">
        <f aca="false">-MAX(0,Q506+Q510+Q521+Q517+Q516)*CIT_Rate</f>
        <v>-653.234736323922</v>
      </c>
      <c r="R522" s="8" t="n">
        <f aca="false">-MAX(0,R506+R510+R521+R517+R516)*CIT_Rate</f>
        <v>-675.637433749163</v>
      </c>
      <c r="S522" s="8" t="n">
        <f aca="false">-MAX(0,S506+S510+S521+S517+S516)*CIT_Rate</f>
        <v>-698.794369129235</v>
      </c>
      <c r="T522" s="8" t="n">
        <f aca="false">-MAX(0,T506+T510+T521+T517+T516)*CIT_Rate</f>
        <v>-722.744941407001</v>
      </c>
      <c r="U522" s="8" t="n">
        <f aca="false">-MAX(0,U506+U510+U521+U517+U516)*CIT_Rate</f>
        <v>-747.530630754174</v>
      </c>
      <c r="V522" s="8" t="n">
        <f aca="false">-MAX(0,V506+V510+V521+V517+V516)*CIT_Rate</f>
        <v>-773.195105829459</v>
      </c>
      <c r="W522" s="8" t="n">
        <f aca="false">-MAX(0,W506+W510+W521+W517+W516)*CIT_Rate</f>
        <v>-799.784336480733</v>
      </c>
      <c r="X522" s="8" t="n">
        <f aca="false">-MAX(0,X506+X510+X521+X517+X516)*CIT_Rate</f>
        <v>-827.346712165432</v>
      </c>
      <c r="Y522" s="8" t="n">
        <f aca="false">-MAX(0,Y506+Y510+Y521+Y517+Y516)*CIT_Rate</f>
        <v>-855.933166377142</v>
      </c>
      <c r="Z522" s="8" t="n">
        <f aca="false">-MAX(0,Z506+Z510+Z521+Z517+Z516)*CIT_Rate</f>
        <v>-885.597307380774</v>
      </c>
      <c r="AA522" s="8" t="n">
        <f aca="false">-MAX(0,AA506+AA510+AA521+AA517+AA516)*CIT_Rate</f>
        <v>-916.395555573921</v>
      </c>
      <c r="AB522" s="8" t="n">
        <f aca="false">-MAX(0,AB506+AB510+AB521+AB517+AB516)*CIT_Rate</f>
        <v>-948.387287807896</v>
      </c>
      <c r="AC522" s="8" t="n">
        <f aca="false">-MAX(0,AC506+AC510+AC521+AC517+AC516)*CIT_Rate</f>
        <v>-981.634989018711</v>
      </c>
      <c r="AD522" s="8" t="n">
        <f aca="false">-MAX(0,AD506+AD510+AD521+AD517+AD516)*CIT_Rate</f>
        <v>-1016.20441153578</v>
      </c>
      <c r="AE522" s="8" t="n">
        <f aca="false">-MAX(0,AE506+AE510+AE521+AE517+AE516)*CIT_Rate</f>
        <v>-1052.16474245462</v>
      </c>
      <c r="AF522" s="8" t="n">
        <f aca="false">-MAX(0,AF506+AF510+AF521+AF517+AF516)*CIT_Rate</f>
        <v>-1054.59931943779</v>
      </c>
      <c r="AG522" s="8" t="n">
        <f aca="false">-MAX(0,AG506+AG510+AG521+AG517+AG516)*CIT_Rate</f>
        <v>-1056.82472257492</v>
      </c>
      <c r="AH522" s="8" t="n">
        <f aca="false">-MAX(0,AH506+AH510+AH521+AH517+AH516)*CIT_Rate</f>
        <v>-1058.83406069339</v>
      </c>
      <c r="AI522" s="8" t="n">
        <f aca="false">-MAX(0,AI506+AI510+AI521+AI517+AI516)*CIT_Rate</f>
        <v>-1328.88040979249</v>
      </c>
      <c r="AJ522" s="8" t="n">
        <f aca="false">-MAX(0,AJ506+AJ510+AJ521+AJ517+AJ516)*CIT_Rate</f>
        <v>-1598.69636595756</v>
      </c>
      <c r="AK522" s="8" t="n">
        <f aca="false">-MAX(0,AK506+AK510+AK521+AK517+AK516)*CIT_Rate</f>
        <v>-1600.01433583266</v>
      </c>
      <c r="AL522" s="8" t="n">
        <f aca="false">-MAX(0,AL506+AL510+AL521+AL517+AL516)*CIT_Rate</f>
        <v>-1601.08682698029</v>
      </c>
      <c r="AM522" s="8" t="n">
        <f aca="false">-MAX(0,AM506+AM510+AM521+AM517+AM516)*CIT_Rate</f>
        <v>-1601.90600045683</v>
      </c>
      <c r="AN522" s="8" t="n">
        <f aca="false">-MAX(0,AN506+AN510+AN521+AN517+AN516)*CIT_Rate</f>
        <v>-1602.4638134044</v>
      </c>
      <c r="AO522" s="8" t="n">
        <f aca="false">-MAX(0,AO506+AO510+AO521+AO517+AO516)*CIT_Rate</f>
        <v>-1602.75201398753</v>
      </c>
      <c r="AP522" s="8" t="n">
        <f aca="false">-MAX(0,AP506+AP510+AP521+AP517+AP516)*CIT_Rate</f>
        <v>-1602.76213620557</v>
      </c>
      <c r="AQ522" s="8" t="n">
        <f aca="false">-MAX(0,AQ506+AQ510+AQ521+AQ517+AQ516)*CIT_Rate</f>
        <v>-1602.48549457754</v>
      </c>
      <c r="AR522" s="8" t="n">
        <f aca="false">-MAX(0,AR506+AR510+AR521+AR517+AR516)*CIT_Rate</f>
        <v>-1601.91317869653</v>
      </c>
      <c r="AS522" s="8" t="n">
        <f aca="false">-MAX(0,AS506+AS510+AS521+AS517+AS516)*CIT_Rate</f>
        <v>-800.518023825112</v>
      </c>
      <c r="AT522" s="8" t="n">
        <f aca="false">-MAX(0,AT506+AT510+AT521+AT517+AT516)*CIT_Rate</f>
        <v>-0</v>
      </c>
      <c r="AU522" s="8" t="n">
        <f aca="false">-MAX(0,AU506+AU510+AU521+AU517+AU516)*CIT_Rate</f>
        <v>-0</v>
      </c>
      <c r="AV522" s="8" t="n">
        <f aca="false">-MAX(0,AV506+AV510+AV521+AV517+AV516)*CIT_Rate</f>
        <v>-0</v>
      </c>
      <c r="AW522" s="8" t="n">
        <f aca="false">-MAX(0,AW506+AW510+AW521+AW517+AW516)*CIT_Rate</f>
        <v>-0</v>
      </c>
    </row>
    <row r="523" customFormat="false" ht="14.25" hidden="false" customHeight="false" outlineLevel="0" collapsed="false">
      <c r="C523" s="1" t="s">
        <v>163</v>
      </c>
      <c r="D523" s="2" t="s">
        <v>85</v>
      </c>
      <c r="H523" s="32" t="n">
        <f aca="false">SUM(J523:AW523)</f>
        <v>179778.560678166</v>
      </c>
      <c r="J523" s="32" t="n">
        <f aca="false">J507+J514+J516+J518+J522</f>
        <v>0</v>
      </c>
      <c r="K523" s="32" t="n">
        <f aca="false">K507+K514+K516+K518+K522</f>
        <v>0</v>
      </c>
      <c r="L523" s="32" t="n">
        <f aca="false">L507+L514+L516+L518+L522</f>
        <v>0</v>
      </c>
      <c r="M523" s="32" t="n">
        <f aca="false">M507+M514+M516+M518+M522</f>
        <v>-19043.9715296233</v>
      </c>
      <c r="N523" s="32" t="n">
        <f aca="false">N507+N514+N516+N518+N522</f>
        <v>-8317.9822260274</v>
      </c>
      <c r="O523" s="32" t="n">
        <f aca="false">O507+O514+O516+O518+O522</f>
        <v>-3110.4310678956</v>
      </c>
      <c r="P523" s="32" t="n">
        <f aca="false">P507+P514+P516+P518+P522</f>
        <v>4911.50835276352</v>
      </c>
      <c r="Q523" s="32" t="n">
        <f aca="false">Q507+Q514+Q516+Q518+Q522</f>
        <v>7416.71202629414</v>
      </c>
      <c r="R523" s="32" t="n">
        <f aca="false">R507+R514+R516+R518+R522</f>
        <v>4931.3263973618</v>
      </c>
      <c r="S523" s="32" t="n">
        <f aca="false">S507+S514+S516+S518+S522</f>
        <v>4938.84464646554</v>
      </c>
      <c r="T523" s="32" t="n">
        <f aca="false">T507+T514+T516+T518+T522</f>
        <v>4944.67495208705</v>
      </c>
      <c r="U523" s="32" t="n">
        <f aca="false">U507+U514+U516+U518+U522</f>
        <v>4948.7431075709</v>
      </c>
      <c r="V523" s="32" t="n">
        <f aca="false">V507+V514+V516+V518+V522</f>
        <v>4950.97184463988</v>
      </c>
      <c r="W523" s="32" t="n">
        <f aca="false">W507+W514+W516+W518+W522</f>
        <v>4951.28069888825</v>
      </c>
      <c r="X523" s="32" t="n">
        <f aca="false">X507+X514+X516+X518+X522</f>
        <v>4949.58586902059</v>
      </c>
      <c r="Y523" s="32" t="n">
        <f aca="false">Y507+Y514+Y516+Y518+Y522</f>
        <v>4945.80006953527</v>
      </c>
      <c r="Z523" s="32" t="n">
        <f aca="false">Z507+Z514+Z516+Z518+Z522</f>
        <v>4939.8323765366</v>
      </c>
      <c r="AA523" s="32" t="n">
        <f aca="false">AA507+AA514+AA516+AA518+AA522</f>
        <v>4931.58806634421</v>
      </c>
      <c r="AB523" s="32" t="n">
        <f aca="false">AB507+AB514+AB516+AB518+AB522</f>
        <v>4920.96844655218</v>
      </c>
      <c r="AC523" s="32" t="n">
        <f aca="false">AC507+AC514+AC516+AC518+AC522</f>
        <v>4907.870679173</v>
      </c>
      <c r="AD523" s="32" t="n">
        <f aca="false">AD507+AD514+AD516+AD518+AD522</f>
        <v>4892.18759548389</v>
      </c>
      <c r="AE523" s="32" t="n">
        <f aca="false">AE507+AE514+AE516+AE518+AE522</f>
        <v>9539.06884102607</v>
      </c>
      <c r="AF523" s="32" t="n">
        <f aca="false">AF507+AF514+AF516+AF518+AF522</f>
        <v>9552.86477726406</v>
      </c>
      <c r="AG523" s="32" t="n">
        <f aca="false">AG507+AG514+AG516+AG518+AG522</f>
        <v>9565.47539504115</v>
      </c>
      <c r="AH523" s="32" t="n">
        <f aca="false">AH507+AH514+AH516+AH518+AH522</f>
        <v>9576.86164437914</v>
      </c>
      <c r="AI523" s="32" t="n">
        <f aca="false">AI507+AI514+AI516+AI518+AI522</f>
        <v>9318.72330571574</v>
      </c>
      <c r="AJ523" s="32" t="n">
        <f aca="false">AJ507+AJ514+AJ516+AJ518+AJ522</f>
        <v>9059.27940709287</v>
      </c>
      <c r="AK523" s="32" t="n">
        <f aca="false">AK507+AK514+AK516+AK518+AK522</f>
        <v>9066.74790305173</v>
      </c>
      <c r="AL523" s="32" t="n">
        <f aca="false">AL507+AL514+AL516+AL518+AL522</f>
        <v>9072.8253528883</v>
      </c>
      <c r="AM523" s="32" t="n">
        <f aca="false">AM507+AM514+AM516+AM518+AM522</f>
        <v>9077.46733592206</v>
      </c>
      <c r="AN523" s="32" t="n">
        <f aca="false">AN507+AN514+AN516+AN518+AN522</f>
        <v>9080.62827595824</v>
      </c>
      <c r="AO523" s="32" t="n">
        <f aca="false">AO507+AO514+AO516+AO518+AO522</f>
        <v>9082.26141259599</v>
      </c>
      <c r="AP523" s="32" t="n">
        <f aca="false">AP507+AP514+AP516+AP518+AP522</f>
        <v>9082.31877183154</v>
      </c>
      <c r="AQ523" s="32" t="n">
        <f aca="false">AQ507+AQ514+AQ516+AQ518+AQ522</f>
        <v>9080.75113593939</v>
      </c>
      <c r="AR523" s="32" t="n">
        <f aca="false">AR507+AR514+AR516+AR518+AR522</f>
        <v>9077.50801261365</v>
      </c>
      <c r="AS523" s="32" t="n">
        <f aca="false">AS507+AS514+AS516+AS518+AS522</f>
        <v>4536.26880167564</v>
      </c>
      <c r="AT523" s="32" t="n">
        <f aca="false">AT507+AT514+AT516+AT518+AT522</f>
        <v>0</v>
      </c>
      <c r="AU523" s="32" t="n">
        <f aca="false">AU507+AU514+AU516+AU518+AU522</f>
        <v>0</v>
      </c>
      <c r="AV523" s="32" t="n">
        <f aca="false">AV507+AV514+AV516+AV518+AV522</f>
        <v>0</v>
      </c>
      <c r="AW523" s="32" t="n">
        <f aca="false">AW507+AW514+AW516+AW518+AW522</f>
        <v>0</v>
      </c>
    </row>
    <row r="524" customFormat="false" ht="14.25" hidden="false" customHeight="false" outlineLevel="0" collapsed="false">
      <c r="C524" s="6" t="s">
        <v>334</v>
      </c>
      <c r="D524" s="2" t="s">
        <v>3</v>
      </c>
      <c r="H524" s="47" t="n">
        <f aca="false">MIN(J524:AW524)</f>
        <v>2.04864170303641</v>
      </c>
      <c r="J524" s="47" t="str">
        <f aca="false">IF(J518&lt;0,-(J506+J522)/J518,"")</f>
        <v/>
      </c>
      <c r="K524" s="47" t="str">
        <f aca="false">IF(K518&lt;0,-(K506+K522)/K518,"")</f>
        <v/>
      </c>
      <c r="L524" s="47" t="str">
        <f aca="false">IF(L518&lt;0,-(L506+L522)/L518,"")</f>
        <v/>
      </c>
      <c r="M524" s="47" t="str">
        <f aca="false">IF(M518&lt;0,-(M506+M522)/M518,"")</f>
        <v/>
      </c>
      <c r="N524" s="47" t="str">
        <f aca="false">IF(N518&lt;0,-(N506+N522)/N518,"")</f>
        <v/>
      </c>
      <c r="O524" s="47" t="n">
        <f aca="false">IF(O518&lt;0,-(O506+O522)/O518,"")</f>
        <v>3.93125180035084</v>
      </c>
      <c r="P524" s="47" t="n">
        <f aca="false">IF(P518&lt;0,-(P506+P522)/P518,"")</f>
        <v>2.05278311246159</v>
      </c>
      <c r="Q524" s="47" t="n">
        <f aca="false">IF(Q518&lt;0,-(Q506+Q522)/Q518,"")</f>
        <v>2.05507304325205</v>
      </c>
      <c r="R524" s="47" t="n">
        <f aca="false">IF(R518&lt;0,-(R506+R522)/R518,"")</f>
        <v>2.05703111555484</v>
      </c>
      <c r="S524" s="47" t="n">
        <f aca="false">IF(S518&lt;0,-(S506+S522)/S518,"")</f>
        <v>2.05864265423567</v>
      </c>
      <c r="T524" s="47" t="n">
        <f aca="false">IF(T518&lt;0,-(T506+T522)/T518,"")</f>
        <v>2.05989238178533</v>
      </c>
      <c r="U524" s="47" t="n">
        <f aca="false">IF(U518&lt;0,-(U506+U522)/U518,"")</f>
        <v>2.06076439198762</v>
      </c>
      <c r="V524" s="47" t="n">
        <f aca="false">IF(V518&lt;0,-(V506+V522)/V518,"")</f>
        <v>2.06124212236693</v>
      </c>
      <c r="W524" s="47" t="n">
        <f aca="false">IF(W518&lt;0,-(W506+W522)/W518,"")</f>
        <v>2.06130832535663</v>
      </c>
      <c r="X524" s="47" t="n">
        <f aca="false">IF(X518&lt;0,-(X506+X522)/X518,"")</f>
        <v>2.06094503812692</v>
      </c>
      <c r="Y524" s="47" t="n">
        <f aca="false">IF(Y518&lt;0,-(Y506+Y522)/Y518,"")</f>
        <v>2.06013355100748</v>
      </c>
      <c r="Z524" s="47" t="n">
        <f aca="false">IF(Z518&lt;0,-(Z506+Z522)/Z518,"")</f>
        <v>2.05885437443724</v>
      </c>
      <c r="AA524" s="47" t="n">
        <f aca="false">IF(AA518&lt;0,-(AA506+AA522)/AA518,"")</f>
        <v>2.05708720437032</v>
      </c>
      <c r="AB524" s="47" t="n">
        <f aca="false">IF(AB518&lt;0,-(AB506+AB522)/AB518,"")</f>
        <v>2.05481088606344</v>
      </c>
      <c r="AC524" s="47" t="n">
        <f aca="false">IF(AC518&lt;0,-(AC506+AC522)/AC518,"")</f>
        <v>2.05200337616681</v>
      </c>
      <c r="AD524" s="47" t="n">
        <f aca="false">IF(AD518&lt;0,-(AD506+AD522)/AD518,"")</f>
        <v>2.04864170303641</v>
      </c>
      <c r="AE524" s="47" t="str">
        <f aca="false">IF(AE518&lt;0,-(AE506+AE522)/AE518,"")</f>
        <v/>
      </c>
      <c r="AF524" s="47" t="str">
        <f aca="false">IF(AF518&lt;0,-(AF506+AF522)/AF518,"")</f>
        <v/>
      </c>
      <c r="AG524" s="47" t="str">
        <f aca="false">IF(AG518&lt;0,-(AG506+AG522)/AG518,"")</f>
        <v/>
      </c>
      <c r="AH524" s="47" t="str">
        <f aca="false">IF(AH518&lt;0,-(AH506+AH522)/AH518,"")</f>
        <v/>
      </c>
      <c r="AI524" s="47" t="str">
        <f aca="false">IF(AI518&lt;0,-(AI506+AI522)/AI518,"")</f>
        <v/>
      </c>
      <c r="AJ524" s="47" t="str">
        <f aca="false">IF(AJ518&lt;0,-(AJ506+AJ522)/AJ518,"")</f>
        <v/>
      </c>
      <c r="AK524" s="47" t="str">
        <f aca="false">IF(AK518&lt;0,-(AK506+AK522)/AK518,"")</f>
        <v/>
      </c>
      <c r="AL524" s="47" t="str">
        <f aca="false">IF(AL518&lt;0,-(AL506+AL522)/AL518,"")</f>
        <v/>
      </c>
      <c r="AM524" s="47" t="str">
        <f aca="false">IF(AM518&lt;0,-(AM506+AM522)/AM518,"")</f>
        <v/>
      </c>
      <c r="AN524" s="47" t="str">
        <f aca="false">IF(AN518&lt;0,-(AN506+AN522)/AN518,"")</f>
        <v/>
      </c>
      <c r="AO524" s="47" t="str">
        <f aca="false">IF(AO518&lt;0,-(AO506+AO522)/AO518,"")</f>
        <v/>
      </c>
      <c r="AP524" s="47" t="str">
        <f aca="false">IF(AP518&lt;0,-(AP506+AP522)/AP518,"")</f>
        <v/>
      </c>
      <c r="AQ524" s="47" t="str">
        <f aca="false">IF(AQ518&lt;0,-(AQ506+AQ522)/AQ518,"")</f>
        <v/>
      </c>
      <c r="AR524" s="47" t="str">
        <f aca="false">IF(AR518&lt;0,-(AR506+AR522)/AR518,"")</f>
        <v/>
      </c>
      <c r="AS524" s="47" t="str">
        <f aca="false">IF(AS518&lt;0,-(AS506+AS522)/AS518,"")</f>
        <v/>
      </c>
      <c r="AT524" s="47" t="str">
        <f aca="false">IF(AT518&lt;0,-(AT506+AT522)/AT518,"")</f>
        <v/>
      </c>
      <c r="AU524" s="47" t="str">
        <f aca="false">IF(AU518&lt;0,-(AU506+AU522)/AU518,"")</f>
        <v/>
      </c>
      <c r="AV524" s="47" t="str">
        <f aca="false">IF(AV518&lt;0,-(AV506+AV522)/AV518,"")</f>
        <v/>
      </c>
      <c r="AW524" s="47" t="str">
        <f aca="false">IF(AW518&lt;0,-(AW506+AW522)/AW518,"")</f>
        <v/>
      </c>
    </row>
    <row r="525" customFormat="false" ht="14.25" hidden="false" customHeight="false" outlineLevel="0" collapsed="false">
      <c r="C525" s="6" t="s">
        <v>335</v>
      </c>
      <c r="D525" s="2" t="s">
        <v>3</v>
      </c>
      <c r="J525" s="76" t="n">
        <f aca="false">(1+Discount_Rate)^((Inputs!$G$26-J$365)/Days_In_Year)</f>
        <v>1.41371255107938</v>
      </c>
      <c r="K525" s="76" t="n">
        <f aca="false">(1+Discount_Rate)^((Inputs!$G$26-K$365)/Days_In_Year)</f>
        <v>1.30899310285128</v>
      </c>
      <c r="L525" s="76" t="n">
        <f aca="false">(1+Discount_Rate)^((Inputs!$G$26-L$365)/Days_In_Year)</f>
        <v>1.21177511843915</v>
      </c>
      <c r="M525" s="76" t="n">
        <f aca="false">(1+Discount_Rate)^((Inputs!$G$26-M$365)/Days_In_Year)</f>
        <v>1.12201399855477</v>
      </c>
      <c r="N525" s="76" t="n">
        <f aca="false">(1+Discount_Rate)^((Inputs!$G$26-N$365)/Days_In_Year)</f>
        <v>1.03890185051367</v>
      </c>
      <c r="O525" s="76" t="n">
        <f aca="false">(1+Discount_Rate)^((Inputs!$G$26-O$365)/Days_In_Year)</f>
        <v>0.961946157883031</v>
      </c>
      <c r="P525" s="76" t="n">
        <f aca="false">(1+Discount_Rate)^((Inputs!$G$26-P$365)/Days_In_Year)</f>
        <v>0.890503102622714</v>
      </c>
      <c r="Q525" s="76" t="n">
        <f aca="false">(1+Discount_Rate)^((Inputs!$G$26-Q$365)/Days_In_Year)</f>
        <v>0.824539909835846</v>
      </c>
      <c r="R525" s="76" t="n">
        <f aca="false">(1+Discount_Rate)^((Inputs!$G$26-R$365)/Days_In_Year)</f>
        <v>0.763462879477635</v>
      </c>
      <c r="S525" s="76" t="n">
        <f aca="false">(1+Discount_Rate)^((Inputs!$G$26-S$365)/Days_In_Year)</f>
        <v>0.706910073590403</v>
      </c>
      <c r="T525" s="76" t="n">
        <f aca="false">(1+Discount_Rate)^((Inputs!$G$26-T$365)/Days_In_Year)</f>
        <v>0.654408366464987</v>
      </c>
      <c r="U525" s="76" t="n">
        <f aca="false">(1+Discount_Rate)^((Inputs!$G$26-U$365)/Days_In_Year)</f>
        <v>0.605933672652766</v>
      </c>
      <c r="V525" s="76" t="n">
        <f aca="false">(1+Discount_Rate)^((Inputs!$G$26-V$365)/Days_In_Year)</f>
        <v>0.561049696900709</v>
      </c>
      <c r="W525" s="76" t="n">
        <f aca="false">(1+Discount_Rate)^((Inputs!$G$26-W$365)/Days_In_Year)</f>
        <v>0.519490460093249</v>
      </c>
      <c r="X525" s="76" t="n">
        <f aca="false">(1+Discount_Rate)^((Inputs!$G$26-X$365)/Days_In_Year)</f>
        <v>0.480908274028566</v>
      </c>
      <c r="Y525" s="76" t="n">
        <f aca="false">(1+Discount_Rate)^((Inputs!$G$26-Y$365)/Days_In_Year)</f>
        <v>0.445285438915339</v>
      </c>
      <c r="Z525" s="76" t="n">
        <f aca="false">(1+Discount_Rate)^((Inputs!$G$26-Z$365)/Days_In_Year)</f>
        <v>0.412301332329018</v>
      </c>
      <c r="AA525" s="76" t="n">
        <f aca="false">(1+Discount_Rate)^((Inputs!$G$26-AA$365)/Days_In_Year)</f>
        <v>0.381760492897239</v>
      </c>
      <c r="AB525" s="76" t="n">
        <f aca="false">(1+Discount_Rate)^((Inputs!$G$26-AB$365)/Days_In_Year)</f>
        <v>0.353407413292154</v>
      </c>
      <c r="AC525" s="76" t="n">
        <f aca="false">(1+Discount_Rate)^((Inputs!$G$26-AC$365)/Days_In_Year)</f>
        <v>0.327229086381624</v>
      </c>
      <c r="AD525" s="76" t="n">
        <f aca="false">(1+Discount_Rate)^((Inputs!$G$26-AD$365)/Days_In_Year)</f>
        <v>0.3029898947978</v>
      </c>
      <c r="AE525" s="76" t="n">
        <f aca="false">(1+Discount_Rate)^((Inputs!$G$26-AE$365)/Days_In_Year)</f>
        <v>0.280546198886852</v>
      </c>
      <c r="AF525" s="76" t="n">
        <f aca="false">(1+Discount_Rate)^((Inputs!$G$26-AF$365)/Days_In_Year)</f>
        <v>0.259710232730228</v>
      </c>
      <c r="AG525" s="76" t="n">
        <f aca="false">(1+Discount_Rate)^((Inputs!$G$26-AG$365)/Days_In_Year)</f>
        <v>0.240472437713174</v>
      </c>
      <c r="AH525" s="76" t="n">
        <f aca="false">(1+Discount_Rate)^((Inputs!$G$26-AH$365)/Days_In_Year)</f>
        <v>0.222659664549235</v>
      </c>
      <c r="AI525" s="76" t="n">
        <f aca="false">(1+Discount_Rate)^((Inputs!$G$26-AI$365)/Days_In_Year)</f>
        <v>0.206166356064106</v>
      </c>
      <c r="AJ525" s="76" t="n">
        <f aca="false">(1+Discount_Rate)^((Inputs!$G$26-AJ$365)/Days_In_Year)</f>
        <v>0.190854527799705</v>
      </c>
      <c r="AK525" s="76" t="n">
        <f aca="false">(1+Discount_Rate)^((Inputs!$G$26-AK$365)/Days_In_Year)</f>
        <v>0.176717155370097</v>
      </c>
      <c r="AL525" s="76" t="n">
        <f aca="false">(1+Discount_Rate)^((Inputs!$G$26-AL$365)/Days_In_Year)</f>
        <v>0.163626995713053</v>
      </c>
      <c r="AM525" s="76" t="n">
        <f aca="false">(1+Discount_Rate)^((Inputs!$G$26-AM$365)/Days_In_Year)</f>
        <v>0.151506477512086</v>
      </c>
      <c r="AN525" s="76" t="n">
        <f aca="false">(1+Discount_Rate)^((Inputs!$G$26-AN$365)/Days_In_Year)</f>
        <v>0.140254199454224</v>
      </c>
      <c r="AO525" s="76" t="n">
        <f aca="false">(1+Discount_Rate)^((Inputs!$G$26-AO$365)/Days_In_Year)</f>
        <v>0.129864999494652</v>
      </c>
      <c r="AP525" s="76" t="n">
        <f aca="false">(1+Discount_Rate)^((Inputs!$G$26-AP$365)/Days_In_Year)</f>
        <v>0.120245369902455</v>
      </c>
      <c r="AQ525" s="76" t="n">
        <f aca="false">(1+Discount_Rate)^((Inputs!$G$26-AQ$365)/Days_In_Year)</f>
        <v>0.111338305465236</v>
      </c>
      <c r="AR525" s="76" t="n">
        <f aca="false">(1+Discount_Rate)^((Inputs!$G$26-AR$365)/Days_In_Year)</f>
        <v>0.103069288904634</v>
      </c>
      <c r="AS525" s="76" t="n">
        <f aca="false">(1+Discount_Rate)^((Inputs!$G$26-AS$365)/Days_In_Year)</f>
        <v>0.0954345267635496</v>
      </c>
      <c r="AT525" s="76" t="n">
        <f aca="false">(1+Discount_Rate)^((Inputs!$G$26-AT$365)/Days_In_Year)</f>
        <v>0.0883653025588422</v>
      </c>
      <c r="AU525" s="76" t="n">
        <f aca="false">(1+Discount_Rate)^((Inputs!$G$26-AU$365)/Days_In_Year)</f>
        <v>0.0818197245915205</v>
      </c>
      <c r="AV525" s="76" t="n">
        <f aca="false">(1+Discount_Rate)^((Inputs!$G$26-AV$365)/Days_In_Year)</f>
        <v>0.0757430319851068</v>
      </c>
      <c r="AW525" s="76" t="n">
        <f aca="false">(1+Discount_Rate)^((Inputs!$G$26-AW$365)/Days_In_Year)</f>
        <v>0.070132437023247</v>
      </c>
    </row>
    <row r="526" customFormat="false" ht="14.25" hidden="false" customHeight="false" outlineLevel="0" collapsed="false">
      <c r="C526" s="6" t="s">
        <v>336</v>
      </c>
      <c r="D526" s="2" t="s">
        <v>85</v>
      </c>
      <c r="H526" s="8" t="n">
        <f aca="false">SUM(J526:AW526)</f>
        <v>104814.283831267</v>
      </c>
      <c r="J526" s="8" t="n">
        <f aca="false">(J506+J511)*J525</f>
        <v>0</v>
      </c>
      <c r="K526" s="8" t="n">
        <f aca="false">(K506+K511)*K525</f>
        <v>0</v>
      </c>
      <c r="L526" s="8" t="n">
        <f aca="false">(L506+L511)*L525</f>
        <v>0</v>
      </c>
      <c r="M526" s="8" t="n">
        <f aca="false">(M506+M511)*M525</f>
        <v>0</v>
      </c>
      <c r="N526" s="8" t="n">
        <f aca="false">(N506+N511)*N525</f>
        <v>0</v>
      </c>
      <c r="O526" s="8" t="n">
        <f aca="false">(O506+O511)*O525</f>
        <v>4394.91746420691</v>
      </c>
      <c r="P526" s="8" t="n">
        <f aca="false">(P506+P511)*P525</f>
        <v>8189.07783922433</v>
      </c>
      <c r="Q526" s="8" t="n">
        <f aca="false">(Q506+Q511)*Q525</f>
        <v>7605.16558664922</v>
      </c>
      <c r="R526" s="8" t="n">
        <f aca="false">(R506+R511)*R525</f>
        <v>7062.28611717721</v>
      </c>
      <c r="S526" s="8" t="n">
        <f aca="false">(S506+S511)*S525</f>
        <v>6557.58571958384</v>
      </c>
      <c r="T526" s="8" t="n">
        <f aca="false">(T506+T511)*T525</f>
        <v>6087.12403118125</v>
      </c>
      <c r="U526" s="8" t="n">
        <f aca="false">(U506+U511)*U525</f>
        <v>5651.08694354077</v>
      </c>
      <c r="V526" s="8" t="n">
        <f aca="false">(V506+V511)*V525</f>
        <v>5245.78996717216</v>
      </c>
      <c r="W526" s="8" t="n">
        <f aca="false">(W506+W511)*W525</f>
        <v>4869.09023629193</v>
      </c>
      <c r="X526" s="8" t="n">
        <f aca="false">(X506+X511)*X525</f>
        <v>4518.0403054856</v>
      </c>
      <c r="Y526" s="8" t="n">
        <f aca="false">(Y506+Y511)*Y525</f>
        <v>4192.75751808886</v>
      </c>
      <c r="Z526" s="8" t="n">
        <f aca="false">(Z506+Z511)*Z525</f>
        <v>3890.48745264063</v>
      </c>
      <c r="AA526" s="8" t="n">
        <f aca="false">(AA506+AA511)*AA525</f>
        <v>3609.62186900423</v>
      </c>
      <c r="AB526" s="8" t="n">
        <f aca="false">(AB506+AB511)*AB525</f>
        <v>3347.95793004988</v>
      </c>
      <c r="AC526" s="8" t="n">
        <f aca="false">(AC506+AC511)*AC525</f>
        <v>3105.5656441151</v>
      </c>
      <c r="AD526" s="8" t="n">
        <f aca="false">(AD506+AD511)*AD525</f>
        <v>2880.38775889343</v>
      </c>
      <c r="AE526" s="8" t="n">
        <f aca="false">(AE506+AE511)*AE525</f>
        <v>2671.21796119028</v>
      </c>
      <c r="AF526" s="8" t="n">
        <f aca="false">(AF506+AF511)*AF525</f>
        <v>2476.41145365229</v>
      </c>
      <c r="AG526" s="8" t="n">
        <f aca="false">(AG506+AG511)*AG525</f>
        <v>2296.00607419449</v>
      </c>
      <c r="AH526" s="8" t="n">
        <f aca="false">(AH506+AH511)*AH525</f>
        <v>2128.46680863816</v>
      </c>
      <c r="AI526" s="8" t="n">
        <f aca="false">(AI506+AI511)*AI525</f>
        <v>1919.39519352865</v>
      </c>
      <c r="AJ526" s="8" t="n">
        <f aca="false">(AJ506+AJ511)*AJ525</f>
        <v>1729.0044934463</v>
      </c>
      <c r="AK526" s="8" t="n">
        <f aca="false">(AK506+AK511)*AK525</f>
        <v>1602.24989788509</v>
      </c>
      <c r="AL526" s="8" t="n">
        <f aca="false">(AL506+AL511)*AL525</f>
        <v>1484.55915512233</v>
      </c>
      <c r="AM526" s="8" t="n">
        <f aca="false">(AM506+AM511)*AM525</f>
        <v>1375.29510079657</v>
      </c>
      <c r="AN526" s="8" t="n">
        <f aca="false">(AN506+AN511)*AN525</f>
        <v>1273.59624938591</v>
      </c>
      <c r="AO526" s="8" t="n">
        <f aca="false">(AO506+AO511)*AO525</f>
        <v>1179.46787375707</v>
      </c>
      <c r="AP526" s="8" t="n">
        <f aca="false">(AP506+AP511)*AP525</f>
        <v>1092.1067802909</v>
      </c>
      <c r="AQ526" s="8" t="n">
        <f aca="false">(AQ506+AQ511)*AQ525</f>
        <v>1011.03544382701</v>
      </c>
      <c r="AR526" s="8" t="n">
        <f aca="false">(AR506+AR511)*AR525</f>
        <v>935.612295886202</v>
      </c>
      <c r="AS526" s="8" t="n">
        <f aca="false">(AS506+AS511)*AS525</f>
        <v>432.916666360168</v>
      </c>
      <c r="AT526" s="8" t="n">
        <f aca="false">(AT506+AT511)*AT525</f>
        <v>0</v>
      </c>
      <c r="AU526" s="8" t="n">
        <f aca="false">(AU506+AU511)*AU525</f>
        <v>0</v>
      </c>
      <c r="AV526" s="8" t="n">
        <f aca="false">(AV506+AV511)*AV525</f>
        <v>0</v>
      </c>
      <c r="AW526" s="8" t="n">
        <f aca="false">(AW506+AW511)*AW525</f>
        <v>0</v>
      </c>
    </row>
    <row r="527" customFormat="false" ht="14.25" hidden="false" customHeight="false" outlineLevel="0" collapsed="false">
      <c r="C527" s="1" t="s">
        <v>337</v>
      </c>
      <c r="D527" s="2" t="s">
        <v>85</v>
      </c>
      <c r="H527" s="32" t="n">
        <f aca="false">SUM(J527:AW527)</f>
        <v>28014.2245846914</v>
      </c>
      <c r="J527" s="32" t="n">
        <f aca="false">J492*(J482&lt;=0)+J487*($H526+$G$62+$G$63)</f>
        <v>0</v>
      </c>
      <c r="K527" s="32" t="n">
        <f aca="false">K492*(K482&lt;=0)+K487*($H526+$G$62+$G$63)</f>
        <v>0</v>
      </c>
      <c r="L527" s="32" t="n">
        <f aca="false">L492*(L482&lt;=0)+L487*($H526+$G$62+$G$63)</f>
        <v>0</v>
      </c>
      <c r="M527" s="32" t="n">
        <f aca="false">M492*(M482&lt;=0)+M487*($H526+$G$62+$G$63)</f>
        <v>-29757.5797945206</v>
      </c>
      <c r="N527" s="32" t="n">
        <f aca="false">N492*(N482&lt;=0)+N487*($H526+$G$62+$G$63)</f>
        <v>-31358</v>
      </c>
      <c r="O527" s="32" t="n">
        <f aca="false">O492*(O482&lt;=0)+O487*($H526+$G$62+$G$63)</f>
        <v>89129.804379212</v>
      </c>
      <c r="P527" s="32" t="n">
        <f aca="false">P492*(P482&lt;=0)+P487*($H526+$G$62+$G$63)</f>
        <v>0</v>
      </c>
      <c r="Q527" s="32" t="n">
        <f aca="false">Q492*(Q482&lt;=0)+Q487*($H526+$G$62+$G$63)</f>
        <v>0</v>
      </c>
      <c r="R527" s="32" t="n">
        <f aca="false">R492*(R482&lt;=0)+R487*($H526+$G$62+$G$63)</f>
        <v>0</v>
      </c>
      <c r="S527" s="32" t="n">
        <f aca="false">S492*(S482&lt;=0)+S487*($H526+$G$62+$G$63)</f>
        <v>0</v>
      </c>
      <c r="T527" s="32" t="n">
        <f aca="false">T492*(T482&lt;=0)+T487*($H526+$G$62+$G$63)</f>
        <v>0</v>
      </c>
      <c r="U527" s="32" t="n">
        <f aca="false">U492*(U482&lt;=0)+U487*($H526+$G$62+$G$63)</f>
        <v>0</v>
      </c>
      <c r="V527" s="32" t="n">
        <f aca="false">V492*(V482&lt;=0)+V487*($H526+$G$62+$G$63)</f>
        <v>0</v>
      </c>
      <c r="W527" s="32" t="n">
        <f aca="false">W492*(W482&lt;=0)+W487*($H526+$G$62+$G$63)</f>
        <v>0</v>
      </c>
      <c r="X527" s="32" t="n">
        <f aca="false">X492*(X482&lt;=0)+X487*($H526+$G$62+$G$63)</f>
        <v>0</v>
      </c>
      <c r="Y527" s="32" t="n">
        <f aca="false">Y492*(Y482&lt;=0)+Y487*($H526+$G$62+$G$63)</f>
        <v>0</v>
      </c>
      <c r="Z527" s="32" t="n">
        <f aca="false">Z492*(Z482&lt;=0)+Z487*($H526+$G$62+$G$63)</f>
        <v>0</v>
      </c>
      <c r="AA527" s="32" t="n">
        <f aca="false">AA492*(AA482&lt;=0)+AA487*($H526+$G$62+$G$63)</f>
        <v>0</v>
      </c>
      <c r="AB527" s="32" t="n">
        <f aca="false">AB492*(AB482&lt;=0)+AB487*($H526+$G$62+$G$63)</f>
        <v>0</v>
      </c>
      <c r="AC527" s="32" t="n">
        <f aca="false">AC492*(AC482&lt;=0)+AC487*($H526+$G$62+$G$63)</f>
        <v>0</v>
      </c>
      <c r="AD527" s="32" t="n">
        <f aca="false">AD492*(AD482&lt;=0)+AD487*($H526+$G$62+$G$63)</f>
        <v>0</v>
      </c>
      <c r="AE527" s="32" t="n">
        <f aca="false">AE492*(AE482&lt;=0)+AE487*($H526+$G$62+$G$63)</f>
        <v>0</v>
      </c>
      <c r="AF527" s="32" t="n">
        <f aca="false">AF492*(AF482&lt;=0)+AF487*($H526+$G$62+$G$63)</f>
        <v>0</v>
      </c>
      <c r="AG527" s="32" t="n">
        <f aca="false">AG492*(AG482&lt;=0)+AG487*($H526+$G$62+$G$63)</f>
        <v>0</v>
      </c>
      <c r="AH527" s="32" t="n">
        <f aca="false">AH492*(AH482&lt;=0)+AH487*($H526+$G$62+$G$63)</f>
        <v>0</v>
      </c>
      <c r="AI527" s="32" t="n">
        <f aca="false">AI492*(AI482&lt;=0)+AI487*($H526+$G$62+$G$63)</f>
        <v>0</v>
      </c>
      <c r="AJ527" s="32" t="n">
        <f aca="false">AJ492*(AJ482&lt;=0)+AJ487*($H526+$G$62+$G$63)</f>
        <v>0</v>
      </c>
      <c r="AK527" s="32" t="n">
        <f aca="false">AK492*(AK482&lt;=0)+AK487*($H526+$G$62+$G$63)</f>
        <v>0</v>
      </c>
      <c r="AL527" s="32" t="n">
        <f aca="false">AL492*(AL482&lt;=0)+AL487*($H526+$G$62+$G$63)</f>
        <v>0</v>
      </c>
      <c r="AM527" s="32" t="n">
        <f aca="false">AM492*(AM482&lt;=0)+AM487*($H526+$G$62+$G$63)</f>
        <v>0</v>
      </c>
      <c r="AN527" s="32" t="n">
        <f aca="false">AN492*(AN482&lt;=0)+AN487*($H526+$G$62+$G$63)</f>
        <v>0</v>
      </c>
      <c r="AO527" s="32" t="n">
        <f aca="false">AO492*(AO482&lt;=0)+AO487*($H526+$G$62+$G$63)</f>
        <v>0</v>
      </c>
      <c r="AP527" s="32" t="n">
        <f aca="false">AP492*(AP482&lt;=0)+AP487*($H526+$G$62+$G$63)</f>
        <v>0</v>
      </c>
      <c r="AQ527" s="32" t="n">
        <f aca="false">AQ492*(AQ482&lt;=0)+AQ487*($H526+$G$62+$G$63)</f>
        <v>0</v>
      </c>
      <c r="AR527" s="32" t="n">
        <f aca="false">AR492*(AR482&lt;=0)+AR487*($H526+$G$62+$G$63)</f>
        <v>0</v>
      </c>
      <c r="AS527" s="32" t="n">
        <f aca="false">AS492*(AS482&lt;=0)+AS487*($H526+$G$62+$G$63)</f>
        <v>0</v>
      </c>
      <c r="AT527" s="32" t="n">
        <f aca="false">AT492*(AT482&lt;=0)+AT487*($H526+$G$62+$G$63)</f>
        <v>0</v>
      </c>
      <c r="AU527" s="32" t="n">
        <f aca="false">AU492*(AU482&lt;=0)+AU487*($H526+$G$62+$G$63)</f>
        <v>0</v>
      </c>
      <c r="AV527" s="32" t="n">
        <f aca="false">AV492*(AV482&lt;=0)+AV487*($H526+$G$62+$G$63)</f>
        <v>0</v>
      </c>
      <c r="AW527" s="32" t="n">
        <f aca="false">AW492*(AW482&lt;=0)+AW487*($H526+$G$62+$G$63)</f>
        <v>0</v>
      </c>
    </row>
    <row r="528" customFormat="false" ht="14.25" hidden="false" customHeight="false" outlineLevel="0" collapsed="false">
      <c r="C528" s="41" t="s">
        <v>338</v>
      </c>
      <c r="D528" s="42"/>
      <c r="E528" s="43"/>
      <c r="F528" s="43"/>
      <c r="G528" s="43"/>
      <c r="H528" s="43"/>
    </row>
    <row r="529" customFormat="false" ht="14.25" hidden="false" customHeight="false" outlineLevel="0" collapsed="false">
      <c r="C529" s="6" t="s">
        <v>339</v>
      </c>
      <c r="D529" s="2" t="s">
        <v>85</v>
      </c>
      <c r="H529" s="8"/>
      <c r="J529" s="8" t="n">
        <f aca="false">(I529*(1+Rate_Cash)-SUMPRODUCT($G346:$G351*$O346:$O351*(YEAR($L346:$L351)=J364)))*(J365&lt;$G190)*$G21</f>
        <v>0</v>
      </c>
      <c r="K529" s="8" t="n">
        <f aca="false">(J529*(1+Rate_Cash)-SUMPRODUCT($G346:$G351*$O346:$O351*(YEAR($L346:$L351)=K364)))*(K365&lt;$G190)*$G21</f>
        <v>0</v>
      </c>
      <c r="L529" s="8" t="n">
        <f aca="false">(K529*(1+Rate_Cash)-SUMPRODUCT($G346:$G351*$O346:$O351*(YEAR($L346:$L351)=L364)))*(L365&lt;$G190)*$G21</f>
        <v>0</v>
      </c>
      <c r="M529" s="8" t="n">
        <f aca="false">(L529*(1+Rate_Cash)-SUMPRODUCT($G346:$G351*$O346:$O351*(YEAR($L346:$L351)=M364)))*(M365&lt;$G190)*$G21</f>
        <v>0</v>
      </c>
      <c r="N529" s="8" t="n">
        <f aca="false">(M529*(1+Rate_Cash)-SUMPRODUCT($G346:$G351*$O346:$O351*(YEAR($L346:$L351)=N364)))*(N365&lt;$G190)*$G21</f>
        <v>0</v>
      </c>
      <c r="O529" s="8" t="n">
        <f aca="false">(N529*(1+Rate_Cash)-SUMPRODUCT($G346:$G351*$O346:$O351*(YEAR($L346:$L351)=O364)))*(O365&lt;$G190)*$G21</f>
        <v>0</v>
      </c>
      <c r="P529" s="8" t="n">
        <f aca="false">(O529*(1+Rate_Cash)-SUMPRODUCT($G346:$G351*$O346:$O351*(YEAR($L346:$L351)=P364)))*(P365&lt;$G190)*$G21</f>
        <v>0</v>
      </c>
      <c r="Q529" s="8" t="n">
        <f aca="false">(P529*(1+Rate_Cash)-SUMPRODUCT($G346:$G351*$O346:$O351*(YEAR($L346:$L351)=Q364)))*(Q365&lt;$G190)*$G21</f>
        <v>0</v>
      </c>
      <c r="R529" s="8" t="n">
        <f aca="false">(Q529*(1+Rate_Cash)-SUMPRODUCT($G346:$G351*$O346:$O351*(YEAR($L346:$L351)=R364)))*(R365&lt;$G190)*$G21</f>
        <v>0</v>
      </c>
      <c r="S529" s="8" t="n">
        <f aca="false">(R529*(1+Rate_Cash)-SUMPRODUCT($G346:$G351*$O346:$O351*(YEAR($L346:$L351)=S364)))*(S365&lt;$G190)*$G21</f>
        <v>0</v>
      </c>
      <c r="T529" s="8" t="n">
        <f aca="false">(S529*(1+Rate_Cash)-SUMPRODUCT($G346:$G351*$O346:$O351*(YEAR($L346:$L351)=T364)))*(T365&lt;$G190)*$G21</f>
        <v>0</v>
      </c>
      <c r="U529" s="8" t="n">
        <f aca="false">(T529*(1+Rate_Cash)-SUMPRODUCT($G346:$G351*$O346:$O351*(YEAR($L346:$L351)=U364)))*(U365&lt;$G190)*$G21</f>
        <v>0</v>
      </c>
      <c r="V529" s="8" t="n">
        <f aca="false">(U529*(1+Rate_Cash)-SUMPRODUCT($G346:$G351*$O346:$O351*(YEAR($L346:$L351)=V364)))*(V365&lt;$G190)*$G21</f>
        <v>0</v>
      </c>
      <c r="W529" s="8" t="n">
        <f aca="false">(V529*(1+Rate_Cash)-SUMPRODUCT($G346:$G351*$O346:$O351*(YEAR($L346:$L351)=W364)))*(W365&lt;$G190)*$G21</f>
        <v>0</v>
      </c>
      <c r="X529" s="8" t="n">
        <f aca="false">(W529*(1+Rate_Cash)-SUMPRODUCT($G346:$G351*$O346:$O351*(YEAR($L346:$L351)=X364)))*(X365&lt;$G190)*$G21</f>
        <v>0</v>
      </c>
      <c r="Y529" s="8" t="n">
        <f aca="false">(X529*(1+Rate_Cash)-SUMPRODUCT($G346:$G351*$O346:$O351*(YEAR($L346:$L351)=Y364)))*(Y365&lt;$G190)*$G21</f>
        <v>0</v>
      </c>
      <c r="Z529" s="8" t="n">
        <f aca="false">(Y529*(1+Rate_Cash)-SUMPRODUCT($G346:$G351*$O346:$O351*(YEAR($L346:$L351)=Z364)))*(Z365&lt;$G190)*$G21</f>
        <v>0</v>
      </c>
      <c r="AA529" s="8" t="n">
        <f aca="false">(Z529*(1+Rate_Cash)-SUMPRODUCT($G346:$G351*$O346:$O351*(YEAR($L346:$L351)=AA364)))*(AA365&lt;$G190)*$G21</f>
        <v>0</v>
      </c>
      <c r="AB529" s="8" t="n">
        <f aca="false">(AA529*(1+Rate_Cash)-SUMPRODUCT($G346:$G351*$O346:$O351*(YEAR($L346:$L351)=AB364)))*(AB365&lt;$G190)*$G21</f>
        <v>0</v>
      </c>
      <c r="AC529" s="8" t="n">
        <f aca="false">(AB529*(1+Rate_Cash)-SUMPRODUCT($G346:$G351*$O346:$O351*(YEAR($L346:$L351)=AC364)))*(AC365&lt;$G190)*$G21</f>
        <v>0</v>
      </c>
      <c r="AD529" s="8" t="n">
        <f aca="false">(AC529*(1+Rate_Cash)-SUMPRODUCT($G346:$G351*$O346:$O351*(YEAR($L346:$L351)=AD364)))*(AD365&lt;$G190)*$G21</f>
        <v>0</v>
      </c>
      <c r="AE529" s="8" t="n">
        <f aca="false">(AD529*(1+Rate_Cash)-SUMPRODUCT($G346:$G351*$O346:$O351*(YEAR($L346:$L351)=AE364)))*(AE365&lt;$G190)*$G21</f>
        <v>0</v>
      </c>
      <c r="AF529" s="8" t="n">
        <f aca="false">(AE529*(1+Rate_Cash)-SUMPRODUCT($G346:$G351*$O346:$O351*(YEAR($L346:$L351)=AF364)))*(AF365&lt;$G190)*$G21</f>
        <v>0</v>
      </c>
      <c r="AG529" s="8" t="n">
        <f aca="false">(AF529*(1+Rate_Cash)-SUMPRODUCT($G346:$G351*$O346:$O351*(YEAR($L346:$L351)=AG364)))*(AG365&lt;$G190)*$G21</f>
        <v>0</v>
      </c>
      <c r="AH529" s="8" t="n">
        <f aca="false">(AG529*(1+Rate_Cash)-SUMPRODUCT($G346:$G351*$O346:$O351*(YEAR($L346:$L351)=AH364)))*(AH365&lt;$G190)*$G21</f>
        <v>0</v>
      </c>
      <c r="AI529" s="8" t="n">
        <f aca="false">(AH529*(1+Rate_Cash)-SUMPRODUCT($G346:$G351*$O346:$O351*(YEAR($L346:$L351)=AI364)))*(AI365&lt;$G190)*$G21</f>
        <v>0</v>
      </c>
      <c r="AJ529" s="8" t="n">
        <f aca="false">(AI529*(1+Rate_Cash)-SUMPRODUCT($G346:$G351*$O346:$O351*(YEAR($L346:$L351)=AJ364)))*(AJ365&lt;$G190)*$G21</f>
        <v>0</v>
      </c>
      <c r="AK529" s="8" t="n">
        <f aca="false">(AJ529*(1+Rate_Cash)-SUMPRODUCT($G346:$G351*$O346:$O351*(YEAR($L346:$L351)=AK364)))*(AK365&lt;$G190)*$G21</f>
        <v>0</v>
      </c>
      <c r="AL529" s="8" t="n">
        <f aca="false">(AK529*(1+Rate_Cash)-SUMPRODUCT($G346:$G351*$O346:$O351*(YEAR($L346:$L351)=AL364)))*(AL365&lt;$G190)*$G21</f>
        <v>0</v>
      </c>
      <c r="AM529" s="8" t="n">
        <f aca="false">(AL529*(1+Rate_Cash)-SUMPRODUCT($G346:$G351*$O346:$O351*(YEAR($L346:$L351)=AM364)))*(AM365&lt;$G190)*$G21</f>
        <v>0</v>
      </c>
      <c r="AN529" s="8" t="n">
        <f aca="false">(AM529*(1+Rate_Cash)-SUMPRODUCT($G346:$G351*$O346:$O351*(YEAR($L346:$L351)=AN364)))*(AN365&lt;$G190)*$G21</f>
        <v>0</v>
      </c>
      <c r="AO529" s="8" t="n">
        <f aca="false">(AN529*(1+Rate_Cash)-SUMPRODUCT($G346:$G351*$O346:$O351*(YEAR($L346:$L351)=AO364)))*(AO365&lt;$G190)*$G21</f>
        <v>0</v>
      </c>
      <c r="AP529" s="8" t="n">
        <f aca="false">(AO529*(1+Rate_Cash)-SUMPRODUCT($G346:$G351*$O346:$O351*(YEAR($L346:$L351)=AP364)))*(AP365&lt;$G190)*$G21</f>
        <v>0</v>
      </c>
      <c r="AQ529" s="8" t="n">
        <f aca="false">(AP529*(1+Rate_Cash)-SUMPRODUCT($G346:$G351*$O346:$O351*(YEAR($L346:$L351)=AQ364)))*(AQ365&lt;$G190)*$G21</f>
        <v>0</v>
      </c>
      <c r="AR529" s="8" t="n">
        <f aca="false">(AQ529*(1+Rate_Cash)-SUMPRODUCT($G346:$G351*$O346:$O351*(YEAR($L346:$L351)=AR364)))*(AR365&lt;$G190)*$G21</f>
        <v>0</v>
      </c>
      <c r="AS529" s="8" t="n">
        <f aca="false">(AR529*(1+Rate_Cash)-SUMPRODUCT($G346:$G351*$O346:$O351*(YEAR($L346:$L351)=AS364)))*(AS365&lt;$G190)*$G21</f>
        <v>0</v>
      </c>
      <c r="AT529" s="8" t="n">
        <f aca="false">(AS529*(1+Rate_Cash)-SUMPRODUCT($G346:$G351*$O346:$O351*(YEAR($L346:$L351)=AT364)))*(AT365&lt;$G190)*$G21</f>
        <v>0</v>
      </c>
      <c r="AU529" s="8" t="n">
        <f aca="false">(AT529*(1+Rate_Cash)-SUMPRODUCT($G346:$G351*$O346:$O351*(YEAR($L346:$L351)=AU364)))*(AU365&lt;$G190)*$G21</f>
        <v>0</v>
      </c>
      <c r="AV529" s="8" t="n">
        <f aca="false">(AU529*(1+Rate_Cash)-SUMPRODUCT($G346:$G351*$O346:$O351*(YEAR($L346:$L351)=AV364)))*(AV365&lt;$G190)*$G21</f>
        <v>0</v>
      </c>
      <c r="AW529" s="8" t="n">
        <f aca="false">(AV529*(1+Rate_Cash)-SUMPRODUCT($G346:$G351*$O346:$O351*(YEAR($L346:$L351)=AW364)))*(AW365&lt;$G190)*$G21</f>
        <v>0</v>
      </c>
    </row>
    <row r="530" customFormat="false" ht="14.25" hidden="false" customHeight="false" outlineLevel="0" collapsed="false">
      <c r="C530" s="6" t="s">
        <v>340</v>
      </c>
      <c r="D530" s="2" t="s">
        <v>85</v>
      </c>
      <c r="H530" s="8"/>
      <c r="J530" s="8" t="n">
        <f aca="false">(I530*(1+Rate_Devex)-SUMPRODUCT($G352:$G353*$O352:$O353*(YEAR($L352:$L353)=J364)))*(J365&lt;$G190)*$G21</f>
        <v>0</v>
      </c>
      <c r="K530" s="8" t="n">
        <f aca="false">(J530*(1+Rate_Devex)-SUMPRODUCT($G352:$G353*$O352:$O353*(YEAR($L352:$L353)=K364)))*(K365&lt;$G190)*$G21</f>
        <v>0</v>
      </c>
      <c r="L530" s="8" t="n">
        <f aca="false">(K530*(1+Rate_Devex)-SUMPRODUCT($G352:$G353*$O352:$O353*(YEAR($L352:$L353)=L364)))*(L365&lt;$G190)*$G21</f>
        <v>0</v>
      </c>
      <c r="M530" s="8" t="n">
        <f aca="false">(L530*(1+Rate_Devex)-SUMPRODUCT($G352:$G353*$O352:$O353*(YEAR($L352:$L353)=M364)))*(M365&lt;$G190)*$G21</f>
        <v>0</v>
      </c>
      <c r="N530" s="8" t="n">
        <f aca="false">(M530*(1+Rate_Devex)-SUMPRODUCT($G352:$G353*$O352:$O353*(YEAR($L352:$L353)=N364)))*(N365&lt;$G190)*$G21</f>
        <v>0</v>
      </c>
      <c r="O530" s="8" t="n">
        <f aca="false">(N530*(1+Rate_Devex)-SUMPRODUCT($G352:$G353*$O352:$O353*(YEAR($L352:$L353)=O364)))*(O365&lt;$G190)*$G21</f>
        <v>0</v>
      </c>
      <c r="P530" s="8" t="n">
        <f aca="false">(O530*(1+Rate_Devex)-SUMPRODUCT($G352:$G353*$O352:$O353*(YEAR($L352:$L353)=P364)))*(P365&lt;$G190)*$G21</f>
        <v>0</v>
      </c>
      <c r="Q530" s="8" t="n">
        <f aca="false">(P530*(1+Rate_Devex)-SUMPRODUCT($G352:$G353*$O352:$O353*(YEAR($L352:$L353)=Q364)))*(Q365&lt;$G190)*$G21</f>
        <v>0</v>
      </c>
      <c r="R530" s="8" t="n">
        <f aca="false">(Q530*(1+Rate_Devex)-SUMPRODUCT($G352:$G353*$O352:$O353*(YEAR($L352:$L353)=R364)))*(R365&lt;$G190)*$G21</f>
        <v>0</v>
      </c>
      <c r="S530" s="8" t="n">
        <f aca="false">(R530*(1+Rate_Devex)-SUMPRODUCT($G352:$G353*$O352:$O353*(YEAR($L352:$L353)=S364)))*(S365&lt;$G190)*$G21</f>
        <v>0</v>
      </c>
      <c r="T530" s="8" t="n">
        <f aca="false">(S530*(1+Rate_Devex)-SUMPRODUCT($G352:$G353*$O352:$O353*(YEAR($L352:$L353)=T364)))*(T365&lt;$G190)*$G21</f>
        <v>0</v>
      </c>
      <c r="U530" s="8" t="n">
        <f aca="false">(T530*(1+Rate_Devex)-SUMPRODUCT($G352:$G353*$O352:$O353*(YEAR($L352:$L353)=U364)))*(U365&lt;$G190)*$G21</f>
        <v>0</v>
      </c>
      <c r="V530" s="8" t="n">
        <f aca="false">(U530*(1+Rate_Devex)-SUMPRODUCT($G352:$G353*$O352:$O353*(YEAR($L352:$L353)=V364)))*(V365&lt;$G190)*$G21</f>
        <v>0</v>
      </c>
      <c r="W530" s="8" t="n">
        <f aca="false">(V530*(1+Rate_Devex)-SUMPRODUCT($G352:$G353*$O352:$O353*(YEAR($L352:$L353)=W364)))*(W365&lt;$G190)*$G21</f>
        <v>0</v>
      </c>
      <c r="X530" s="8" t="n">
        <f aca="false">(W530*(1+Rate_Devex)-SUMPRODUCT($G352:$G353*$O352:$O353*(YEAR($L352:$L353)=X364)))*(X365&lt;$G190)*$G21</f>
        <v>0</v>
      </c>
      <c r="Y530" s="8" t="n">
        <f aca="false">(X530*(1+Rate_Devex)-SUMPRODUCT($G352:$G353*$O352:$O353*(YEAR($L352:$L353)=Y364)))*(Y365&lt;$G190)*$G21</f>
        <v>0</v>
      </c>
      <c r="Z530" s="8" t="n">
        <f aca="false">(Y530*(1+Rate_Devex)-SUMPRODUCT($G352:$G353*$O352:$O353*(YEAR($L352:$L353)=Z364)))*(Z365&lt;$G190)*$G21</f>
        <v>0</v>
      </c>
      <c r="AA530" s="8" t="n">
        <f aca="false">(Z530*(1+Rate_Devex)-SUMPRODUCT($G352:$G353*$O352:$O353*(YEAR($L352:$L353)=AA364)))*(AA365&lt;$G190)*$G21</f>
        <v>0</v>
      </c>
      <c r="AB530" s="8" t="n">
        <f aca="false">(AA530*(1+Rate_Devex)-SUMPRODUCT($G352:$G353*$O352:$O353*(YEAR($L352:$L353)=AB364)))*(AB365&lt;$G190)*$G21</f>
        <v>0</v>
      </c>
      <c r="AC530" s="8" t="n">
        <f aca="false">(AB530*(1+Rate_Devex)-SUMPRODUCT($G352:$G353*$O352:$O353*(YEAR($L352:$L353)=AC364)))*(AC365&lt;$G190)*$G21</f>
        <v>0</v>
      </c>
      <c r="AD530" s="8" t="n">
        <f aca="false">(AC530*(1+Rate_Devex)-SUMPRODUCT($G352:$G353*$O352:$O353*(YEAR($L352:$L353)=AD364)))*(AD365&lt;$G190)*$G21</f>
        <v>0</v>
      </c>
      <c r="AE530" s="8" t="n">
        <f aca="false">(AD530*(1+Rate_Devex)-SUMPRODUCT($G352:$G353*$O352:$O353*(YEAR($L352:$L353)=AE364)))*(AE365&lt;$G190)*$G21</f>
        <v>0</v>
      </c>
      <c r="AF530" s="8" t="n">
        <f aca="false">(AE530*(1+Rate_Devex)-SUMPRODUCT($G352:$G353*$O352:$O353*(YEAR($L352:$L353)=AF364)))*(AF365&lt;$G190)*$G21</f>
        <v>0</v>
      </c>
      <c r="AG530" s="8" t="n">
        <f aca="false">(AF530*(1+Rate_Devex)-SUMPRODUCT($G352:$G353*$O352:$O353*(YEAR($L352:$L353)=AG364)))*(AG365&lt;$G190)*$G21</f>
        <v>0</v>
      </c>
      <c r="AH530" s="8" t="n">
        <f aca="false">(AG530*(1+Rate_Devex)-SUMPRODUCT($G352:$G353*$O352:$O353*(YEAR($L352:$L353)=AH364)))*(AH365&lt;$G190)*$G21</f>
        <v>0</v>
      </c>
      <c r="AI530" s="8" t="n">
        <f aca="false">(AH530*(1+Rate_Devex)-SUMPRODUCT($G352:$G353*$O352:$O353*(YEAR($L352:$L353)=AI364)))*(AI365&lt;$G190)*$G21</f>
        <v>0</v>
      </c>
      <c r="AJ530" s="8" t="n">
        <f aca="false">(AI530*(1+Rate_Devex)-SUMPRODUCT($G352:$G353*$O352:$O353*(YEAR($L352:$L353)=AJ364)))*(AJ365&lt;$G190)*$G21</f>
        <v>0</v>
      </c>
      <c r="AK530" s="8" t="n">
        <f aca="false">(AJ530*(1+Rate_Devex)-SUMPRODUCT($G352:$G353*$O352:$O353*(YEAR($L352:$L353)=AK364)))*(AK365&lt;$G190)*$G21</f>
        <v>0</v>
      </c>
      <c r="AL530" s="8" t="n">
        <f aca="false">(AK530*(1+Rate_Devex)-SUMPRODUCT($G352:$G353*$O352:$O353*(YEAR($L352:$L353)=AL364)))*(AL365&lt;$G190)*$G21</f>
        <v>0</v>
      </c>
      <c r="AM530" s="8" t="n">
        <f aca="false">(AL530*(1+Rate_Devex)-SUMPRODUCT($G352:$G353*$O352:$O353*(YEAR($L352:$L353)=AM364)))*(AM365&lt;$G190)*$G21</f>
        <v>0</v>
      </c>
      <c r="AN530" s="8" t="n">
        <f aca="false">(AM530*(1+Rate_Devex)-SUMPRODUCT($G352:$G353*$O352:$O353*(YEAR($L352:$L353)=AN364)))*(AN365&lt;$G190)*$G21</f>
        <v>0</v>
      </c>
      <c r="AO530" s="8" t="n">
        <f aca="false">(AN530*(1+Rate_Devex)-SUMPRODUCT($G352:$G353*$O352:$O353*(YEAR($L352:$L353)=AO364)))*(AO365&lt;$G190)*$G21</f>
        <v>0</v>
      </c>
      <c r="AP530" s="8" t="n">
        <f aca="false">(AO530*(1+Rate_Devex)-SUMPRODUCT($G352:$G353*$O352:$O353*(YEAR($L352:$L353)=AP364)))*(AP365&lt;$G190)*$G21</f>
        <v>0</v>
      </c>
      <c r="AQ530" s="8" t="n">
        <f aca="false">(AP530*(1+Rate_Devex)-SUMPRODUCT($G352:$G353*$O352:$O353*(YEAR($L352:$L353)=AQ364)))*(AQ365&lt;$G190)*$G21</f>
        <v>0</v>
      </c>
      <c r="AR530" s="8" t="n">
        <f aca="false">(AQ530*(1+Rate_Devex)-SUMPRODUCT($G352:$G353*$O352:$O353*(YEAR($L352:$L353)=AR364)))*(AR365&lt;$G190)*$G21</f>
        <v>0</v>
      </c>
      <c r="AS530" s="8" t="n">
        <f aca="false">(AR530*(1+Rate_Devex)-SUMPRODUCT($G352:$G353*$O352:$O353*(YEAR($L352:$L353)=AS364)))*(AS365&lt;$G190)*$G21</f>
        <v>0</v>
      </c>
      <c r="AT530" s="8" t="n">
        <f aca="false">(AS530*(1+Rate_Devex)-SUMPRODUCT($G352:$G353*$O352:$O353*(YEAR($L352:$L353)=AT364)))*(AT365&lt;$G190)*$G21</f>
        <v>0</v>
      </c>
      <c r="AU530" s="8" t="n">
        <f aca="false">(AT530*(1+Rate_Devex)-SUMPRODUCT($G352:$G353*$O352:$O353*(YEAR($L352:$L353)=AU364)))*(AU365&lt;$G190)*$G21</f>
        <v>0</v>
      </c>
      <c r="AV530" s="8" t="n">
        <f aca="false">(AU530*(1+Rate_Devex)-SUMPRODUCT($G352:$G353*$O352:$O353*(YEAR($L352:$L353)=AV364)))*(AV365&lt;$G190)*$G21</f>
        <v>0</v>
      </c>
      <c r="AW530" s="8" t="n">
        <f aca="false">(AV530*(1+Rate_Devex)-SUMPRODUCT($G352:$G353*$O352:$O353*(YEAR($L352:$L353)=AW364)))*(AW365&lt;$G190)*$G21</f>
        <v>0</v>
      </c>
    </row>
    <row r="531" customFormat="false" ht="14.25" hidden="false" customHeight="false" outlineLevel="0" collapsed="false">
      <c r="C531" s="6" t="s">
        <v>341</v>
      </c>
      <c r="D531" s="2" t="s">
        <v>85</v>
      </c>
      <c r="H531" s="8" t="n">
        <f aca="false">SUM(J531:AW531)</f>
        <v>0</v>
      </c>
      <c r="J531" s="8" t="n">
        <f aca="false">-SUMPRODUCT($G346:$G353*(YEAR($L346:$L353)=J364))*(J365&lt;$G190)*$G21</f>
        <v>0</v>
      </c>
      <c r="K531" s="8" t="n">
        <f aca="false">-SUMPRODUCT($G346:$G353*(YEAR($L346:$L353)=K364))*(K365&lt;$G190)*$G21</f>
        <v>0</v>
      </c>
      <c r="L531" s="8" t="n">
        <f aca="false">-SUMPRODUCT($G346:$G353*(YEAR($L346:$L353)=L364))*(L365&lt;$G190)*$G21</f>
        <v>0</v>
      </c>
      <c r="M531" s="8" t="n">
        <f aca="false">-SUMPRODUCT($G346:$G353*(YEAR($L346:$L353)=M364))*(M365&lt;$G190)*$G21</f>
        <v>-0</v>
      </c>
      <c r="N531" s="8" t="n">
        <f aca="false">-SUMPRODUCT($G346:$G353*(YEAR($L346:$L353)=N364))*(N365&lt;$G190)*$G21</f>
        <v>-0</v>
      </c>
      <c r="O531" s="8" t="n">
        <f aca="false">-SUMPRODUCT($G346:$G353*(YEAR($L346:$L353)=O364))*(O365&lt;$G190)*$G21</f>
        <v>-0</v>
      </c>
      <c r="P531" s="8" t="n">
        <f aca="false">-SUMPRODUCT($G346:$G353*(YEAR($L346:$L353)=P364))*(P365&lt;$G190)*$G21</f>
        <v>-0</v>
      </c>
      <c r="Q531" s="8" t="n">
        <f aca="false">-SUMPRODUCT($G346:$G353*(YEAR($L346:$L353)=Q364))*(Q365&lt;$G190)*$G21</f>
        <v>-0</v>
      </c>
      <c r="R531" s="8" t="n">
        <f aca="false">-SUMPRODUCT($G346:$G353*(YEAR($L346:$L353)=R364))*(R365&lt;$G190)*$G21</f>
        <v>-0</v>
      </c>
      <c r="S531" s="8" t="n">
        <f aca="false">-SUMPRODUCT($G346:$G353*(YEAR($L346:$L353)=S364))*(S365&lt;$G190)*$G21</f>
        <v>-0</v>
      </c>
      <c r="T531" s="8" t="n">
        <f aca="false">-SUMPRODUCT($G346:$G353*(YEAR($L346:$L353)=T364))*(T365&lt;$G190)*$G21</f>
        <v>-0</v>
      </c>
      <c r="U531" s="8" t="n">
        <f aca="false">-SUMPRODUCT($G346:$G353*(YEAR($L346:$L353)=U364))*(U365&lt;$G190)*$G21</f>
        <v>-0</v>
      </c>
      <c r="V531" s="8" t="n">
        <f aca="false">-SUMPRODUCT($G346:$G353*(YEAR($L346:$L353)=V364))*(V365&lt;$G190)*$G21</f>
        <v>-0</v>
      </c>
      <c r="W531" s="8" t="n">
        <f aca="false">-SUMPRODUCT($G346:$G353*(YEAR($L346:$L353)=W364))*(W365&lt;$G190)*$G21</f>
        <v>-0</v>
      </c>
      <c r="X531" s="8" t="n">
        <f aca="false">-SUMPRODUCT($G346:$G353*(YEAR($L346:$L353)=X364))*(X365&lt;$G190)*$G21</f>
        <v>-0</v>
      </c>
      <c r="Y531" s="8" t="n">
        <f aca="false">-SUMPRODUCT($G346:$G353*(YEAR($L346:$L353)=Y364))*(Y365&lt;$G190)*$G21</f>
        <v>-0</v>
      </c>
      <c r="Z531" s="8" t="n">
        <f aca="false">-SUMPRODUCT($G346:$G353*(YEAR($L346:$L353)=Z364))*(Z365&lt;$G190)*$G21</f>
        <v>-0</v>
      </c>
      <c r="AA531" s="8" t="n">
        <f aca="false">-SUMPRODUCT($G346:$G353*(YEAR($L346:$L353)=AA364))*(AA365&lt;$G190)*$G21</f>
        <v>-0</v>
      </c>
      <c r="AB531" s="8" t="n">
        <f aca="false">-SUMPRODUCT($G346:$G353*(YEAR($L346:$L353)=AB364))*(AB365&lt;$G190)*$G21</f>
        <v>-0</v>
      </c>
      <c r="AC531" s="8" t="n">
        <f aca="false">-SUMPRODUCT($G346:$G353*(YEAR($L346:$L353)=AC364))*(AC365&lt;$G190)*$G21</f>
        <v>-0</v>
      </c>
      <c r="AD531" s="8" t="n">
        <f aca="false">-SUMPRODUCT($G346:$G353*(YEAR($L346:$L353)=AD364))*(AD365&lt;$G190)*$G21</f>
        <v>-0</v>
      </c>
      <c r="AE531" s="8" t="n">
        <f aca="false">-SUMPRODUCT($G346:$G353*(YEAR($L346:$L353)=AE364))*(AE365&lt;$G190)*$G21</f>
        <v>-0</v>
      </c>
      <c r="AF531" s="8" t="n">
        <f aca="false">-SUMPRODUCT($G346:$G353*(YEAR($L346:$L353)=AF364))*(AF365&lt;$G190)*$G21</f>
        <v>-0</v>
      </c>
      <c r="AG531" s="8" t="n">
        <f aca="false">-SUMPRODUCT($G346:$G353*(YEAR($L346:$L353)=AG364))*(AG365&lt;$G190)*$G21</f>
        <v>-0</v>
      </c>
      <c r="AH531" s="8" t="n">
        <f aca="false">-SUMPRODUCT($G346:$G353*(YEAR($L346:$L353)=AH364))*(AH365&lt;$G190)*$G21</f>
        <v>-0</v>
      </c>
      <c r="AI531" s="8" t="n">
        <f aca="false">-SUMPRODUCT($G346:$G353*(YEAR($L346:$L353)=AI364))*(AI365&lt;$G190)*$G21</f>
        <v>-0</v>
      </c>
      <c r="AJ531" s="8" t="n">
        <f aca="false">-SUMPRODUCT($G346:$G353*(YEAR($L346:$L353)=AJ364))*(AJ365&lt;$G190)*$G21</f>
        <v>-0</v>
      </c>
      <c r="AK531" s="8" t="n">
        <f aca="false">-SUMPRODUCT($G346:$G353*(YEAR($L346:$L353)=AK364))*(AK365&lt;$G190)*$G21</f>
        <v>-0</v>
      </c>
      <c r="AL531" s="8" t="n">
        <f aca="false">-SUMPRODUCT($G346:$G353*(YEAR($L346:$L353)=AL364))*(AL365&lt;$G190)*$G21</f>
        <v>-0</v>
      </c>
      <c r="AM531" s="8" t="n">
        <f aca="false">-SUMPRODUCT($G346:$G353*(YEAR($L346:$L353)=AM364))*(AM365&lt;$G190)*$G21</f>
        <v>-0</v>
      </c>
      <c r="AN531" s="8" t="n">
        <f aca="false">-SUMPRODUCT($G346:$G353*(YEAR($L346:$L353)=AN364))*(AN365&lt;$G190)*$G21</f>
        <v>-0</v>
      </c>
      <c r="AO531" s="8" t="n">
        <f aca="false">-SUMPRODUCT($G346:$G353*(YEAR($L346:$L353)=AO364))*(AO365&lt;$G190)*$G21</f>
        <v>-0</v>
      </c>
      <c r="AP531" s="8" t="n">
        <f aca="false">-SUMPRODUCT($G346:$G353*(YEAR($L346:$L353)=AP364))*(AP365&lt;$G190)*$G21</f>
        <v>-0</v>
      </c>
      <c r="AQ531" s="8" t="n">
        <f aca="false">-SUMPRODUCT($G346:$G353*(YEAR($L346:$L353)=AQ364))*(AQ365&lt;$G190)*$G21</f>
        <v>-0</v>
      </c>
      <c r="AR531" s="8" t="n">
        <f aca="false">-SUMPRODUCT($G346:$G353*(YEAR($L346:$L353)=AR364))*(AR365&lt;$G190)*$G21</f>
        <v>-0</v>
      </c>
      <c r="AS531" s="8" t="n">
        <f aca="false">-SUMPRODUCT($G346:$G353*(YEAR($L346:$L353)=AS364))*(AS365&lt;$G190)*$G21</f>
        <v>-0</v>
      </c>
      <c r="AT531" s="8" t="n">
        <f aca="false">-SUMPRODUCT($G346:$G353*(YEAR($L346:$L353)=AT364))*(AT365&lt;$G190)*$G21</f>
        <v>-0</v>
      </c>
      <c r="AU531" s="8" t="n">
        <f aca="false">-SUMPRODUCT($G346:$G353*(YEAR($L346:$L353)=AU364))*(AU365&lt;$G190)*$G21</f>
        <v>-0</v>
      </c>
      <c r="AV531" s="8" t="n">
        <f aca="false">-SUMPRODUCT($G346:$G353*(YEAR($L346:$L353)=AV364))*(AV365&lt;$G190)*$G21</f>
        <v>-0</v>
      </c>
      <c r="AW531" s="8" t="n">
        <f aca="false">-SUMPRODUCT($G346:$G353*(YEAR($L346:$L353)=AW364))*(AW365&lt;$G190)*$G21</f>
        <v>-0</v>
      </c>
    </row>
    <row r="532" customFormat="false" ht="14.25" hidden="false" customHeight="false" outlineLevel="0" collapsed="false">
      <c r="C532" s="6" t="s">
        <v>342</v>
      </c>
      <c r="D532" s="2" t="s">
        <v>85</v>
      </c>
      <c r="H532" s="8" t="n">
        <f aca="false">SUM(J532:AW532)</f>
        <v>0</v>
      </c>
      <c r="J532" s="8" t="n">
        <f aca="false">(J529+J530-I529-I530-J531)*(J365&lt;$G190)*$G21</f>
        <v>0</v>
      </c>
      <c r="K532" s="8" t="n">
        <f aca="false">(K529+K530-J529-J530-K531)*(K365&lt;$G190)*$G21</f>
        <v>0</v>
      </c>
      <c r="L532" s="8" t="n">
        <f aca="false">(L529+L530-K529-K530-L531)*(L365&lt;$G190)*$G21</f>
        <v>0</v>
      </c>
      <c r="M532" s="8" t="n">
        <f aca="false">(M529+M530-L529-L530-M531)*(M365&lt;$G190)*$G21</f>
        <v>0</v>
      </c>
      <c r="N532" s="8" t="n">
        <f aca="false">(N529+N530-M529-M530-N531)*(N365&lt;$G190)*$G21</f>
        <v>0</v>
      </c>
      <c r="O532" s="8" t="n">
        <f aca="false">(O529+O530-N529-N530-O531)*(O365&lt;$G190)*$G21</f>
        <v>0</v>
      </c>
      <c r="P532" s="8" t="n">
        <f aca="false">(P529+P530-O529-O530-P531)*(P365&lt;$G190)*$G21</f>
        <v>0</v>
      </c>
      <c r="Q532" s="8" t="n">
        <f aca="false">(Q529+Q530-P529-P530-Q531)*(Q365&lt;$G190)*$G21</f>
        <v>0</v>
      </c>
      <c r="R532" s="8" t="n">
        <f aca="false">(R529+R530-Q529-Q530-R531)*(R365&lt;$G190)*$G21</f>
        <v>0</v>
      </c>
      <c r="S532" s="8" t="n">
        <f aca="false">(S529+S530-R529-R530-S531)*(S365&lt;$G190)*$G21</f>
        <v>0</v>
      </c>
      <c r="T532" s="8" t="n">
        <f aca="false">(T529+T530-S529-S530-T531)*(T365&lt;$G190)*$G21</f>
        <v>0</v>
      </c>
      <c r="U532" s="8" t="n">
        <f aca="false">(U529+U530-T529-T530-U531)*(U365&lt;$G190)*$G21</f>
        <v>0</v>
      </c>
      <c r="V532" s="8" t="n">
        <f aca="false">(V529+V530-U529-U530-V531)*(V365&lt;$G190)*$G21</f>
        <v>0</v>
      </c>
      <c r="W532" s="8" t="n">
        <f aca="false">(W529+W530-V529-V530-W531)*(W365&lt;$G190)*$G21</f>
        <v>0</v>
      </c>
      <c r="X532" s="8" t="n">
        <f aca="false">(X529+X530-W529-W530-X531)*(X365&lt;$G190)*$G21</f>
        <v>0</v>
      </c>
      <c r="Y532" s="8" t="n">
        <f aca="false">(Y529+Y530-X529-X530-Y531)*(Y365&lt;$G190)*$G21</f>
        <v>0</v>
      </c>
      <c r="Z532" s="8" t="n">
        <f aca="false">(Z529+Z530-Y529-Y530-Z531)*(Z365&lt;$G190)*$G21</f>
        <v>0</v>
      </c>
      <c r="AA532" s="8" t="n">
        <f aca="false">(AA529+AA530-Z529-Z530-AA531)*(AA365&lt;$G190)*$G21</f>
        <v>0</v>
      </c>
      <c r="AB532" s="8" t="n">
        <f aca="false">(AB529+AB530-AA529-AA530-AB531)*(AB365&lt;$G190)*$G21</f>
        <v>0</v>
      </c>
      <c r="AC532" s="8" t="n">
        <f aca="false">(AC529+AC530-AB529-AB530-AC531)*(AC365&lt;$G190)*$G21</f>
        <v>0</v>
      </c>
      <c r="AD532" s="8" t="n">
        <f aca="false">(AD529+AD530-AC529-AC530-AD531)*(AD365&lt;$G190)*$G21</f>
        <v>0</v>
      </c>
      <c r="AE532" s="8" t="n">
        <f aca="false">(AE529+AE530-AD529-AD530-AE531)*(AE365&lt;$G190)*$G21</f>
        <v>0</v>
      </c>
      <c r="AF532" s="8" t="n">
        <f aca="false">(AF529+AF530-AE529-AE530-AF531)*(AF365&lt;$G190)*$G21</f>
        <v>0</v>
      </c>
      <c r="AG532" s="8" t="n">
        <f aca="false">(AG529+AG530-AF529-AF530-AG531)*(AG365&lt;$G190)*$G21</f>
        <v>0</v>
      </c>
      <c r="AH532" s="8" t="n">
        <f aca="false">(AH529+AH530-AG529-AG530-AH531)*(AH365&lt;$G190)*$G21</f>
        <v>0</v>
      </c>
      <c r="AI532" s="8" t="n">
        <f aca="false">(AI529+AI530-AH529-AH530-AI531)*(AI365&lt;$G190)*$G21</f>
        <v>0</v>
      </c>
      <c r="AJ532" s="8" t="n">
        <f aca="false">(AJ529+AJ530-AI529-AI530-AJ531)*(AJ365&lt;$G190)*$G21</f>
        <v>0</v>
      </c>
      <c r="AK532" s="8" t="n">
        <f aca="false">(AK529+AK530-AJ529-AJ530-AK531)*(AK365&lt;$G190)*$G21</f>
        <v>0</v>
      </c>
      <c r="AL532" s="8" t="n">
        <f aca="false">(AL529+AL530-AK529-AK530-AL531)*(AL365&lt;$G190)*$G21</f>
        <v>0</v>
      </c>
      <c r="AM532" s="8" t="n">
        <f aca="false">(AM529+AM530-AL529-AL530-AM531)*(AM365&lt;$G190)*$G21</f>
        <v>0</v>
      </c>
      <c r="AN532" s="8" t="n">
        <f aca="false">(AN529+AN530-AM529-AM530-AN531)*(AN365&lt;$G190)*$G21</f>
        <v>0</v>
      </c>
      <c r="AO532" s="8" t="n">
        <f aca="false">(AO529+AO530-AN529-AN530-AO531)*(AO365&lt;$G190)*$G21</f>
        <v>0</v>
      </c>
      <c r="AP532" s="8" t="n">
        <f aca="false">(AP529+AP530-AO529-AO530-AP531)*(AP365&lt;$G190)*$G21</f>
        <v>0</v>
      </c>
      <c r="AQ532" s="8" t="n">
        <f aca="false">(AQ529+AQ530-AP529-AP530-AQ531)*(AQ365&lt;$G190)*$G21</f>
        <v>0</v>
      </c>
      <c r="AR532" s="8" t="n">
        <f aca="false">(AR529+AR530-AQ529-AQ530-AR531)*(AR365&lt;$G190)*$G21</f>
        <v>0</v>
      </c>
      <c r="AS532" s="8" t="n">
        <f aca="false">(AS529+AS530-AR529-AR530-AS531)*(AS365&lt;$G190)*$G21</f>
        <v>0</v>
      </c>
      <c r="AT532" s="8" t="n">
        <f aca="false">(AT529+AT530-AS529-AS530-AT531)*(AT365&lt;$G190)*$G21</f>
        <v>0</v>
      </c>
      <c r="AU532" s="8" t="n">
        <f aca="false">(AU529+AU530-AT529-AT530-AU531)*(AU365&lt;$G190)*$G21</f>
        <v>0</v>
      </c>
      <c r="AV532" s="8" t="n">
        <f aca="false">(AV529+AV530-AU529-AU530-AV531)*(AV365&lt;$G190)*$G21</f>
        <v>0</v>
      </c>
      <c r="AW532" s="8" t="n">
        <f aca="false">(AW529+AW530-AV529-AV530-AW531)*(AW365&lt;$G190)*$G21</f>
        <v>0</v>
      </c>
    </row>
    <row r="533" customFormat="false" ht="14.25" hidden="false" customHeight="false" outlineLevel="0" collapsed="false">
      <c r="C533" s="6" t="s">
        <v>343</v>
      </c>
      <c r="D533" s="2" t="s">
        <v>85</v>
      </c>
      <c r="H533" s="8"/>
      <c r="J533" s="8" t="n">
        <f aca="false">(I533*(1+Rate_Cash)-SUMPRODUCT($G293:$G296*$O293:$O296*(YEAR($L293:$L296)=J364)))*(J365&lt;$G230)*$G21</f>
        <v>0</v>
      </c>
      <c r="K533" s="8" t="n">
        <f aca="false">(J533*(1+Rate_Cash)-SUMPRODUCT($G293:$G296*$O293:$O296*(YEAR($L293:$L296)=K364)))*(K365&lt;$G230)*$G21</f>
        <v>0</v>
      </c>
      <c r="L533" s="8" t="n">
        <f aca="false">(K533*(1+Rate_Cash)-SUMPRODUCT($G293:$G296*$O293:$O296*(YEAR($L293:$L296)=L364)))*(L365&lt;$G230)*$G21</f>
        <v>0</v>
      </c>
      <c r="M533" s="8" t="n">
        <f aca="false">(L533*(1+Rate_Cash)-SUMPRODUCT($G293:$G296*$O293:$O296*(YEAR($L293:$L296)=M364)))*(M365&lt;$G230)*$G21</f>
        <v>0</v>
      </c>
      <c r="N533" s="8" t="n">
        <f aca="false">(M533*(1+Rate_Cash)-SUMPRODUCT($G293:$G296*$O293:$O296*(YEAR($L293:$L296)=N364)))*(N365&lt;$G230)*$G21</f>
        <v>0</v>
      </c>
      <c r="O533" s="8" t="n">
        <f aca="false">(N533*(1+Rate_Cash)-SUMPRODUCT($G293:$G296*$O293:$O296*(YEAR($L293:$L296)=O364)))*(O365&lt;$G230)*$G21</f>
        <v>0</v>
      </c>
      <c r="P533" s="8" t="n">
        <f aca="false">(O533*(1+Rate_Cash)-SUMPRODUCT($G293:$G296*$O293:$O296*(YEAR($L293:$L296)=P364)))*(P365&lt;$G230)*$G21</f>
        <v>0</v>
      </c>
      <c r="Q533" s="8" t="n">
        <f aca="false">(P533*(1+Rate_Cash)-SUMPRODUCT($G293:$G296*$O293:$O296*(YEAR($L293:$L296)=Q364)))*(Q365&lt;$G230)*$G21</f>
        <v>0</v>
      </c>
      <c r="R533" s="8" t="n">
        <f aca="false">(Q533*(1+Rate_Cash)-SUMPRODUCT($G293:$G296*$O293:$O296*(YEAR($L293:$L296)=R364)))*(R365&lt;$G230)*$G21</f>
        <v>0</v>
      </c>
      <c r="S533" s="8" t="n">
        <f aca="false">(R533*(1+Rate_Cash)-SUMPRODUCT($G293:$G296*$O293:$O296*(YEAR($L293:$L296)=S364)))*(S365&lt;$G230)*$G21</f>
        <v>0</v>
      </c>
      <c r="T533" s="8" t="n">
        <f aca="false">(S533*(1+Rate_Cash)-SUMPRODUCT($G293:$G296*$O293:$O296*(YEAR($L293:$L296)=T364)))*(T365&lt;$G230)*$G21</f>
        <v>0</v>
      </c>
      <c r="U533" s="8" t="n">
        <f aca="false">(T533*(1+Rate_Cash)-SUMPRODUCT($G293:$G296*$O293:$O296*(YEAR($L293:$L296)=U364)))*(U365&lt;$G230)*$G21</f>
        <v>0</v>
      </c>
      <c r="V533" s="8" t="n">
        <f aca="false">(U533*(1+Rate_Cash)-SUMPRODUCT($G293:$G296*$O293:$O296*(YEAR($L293:$L296)=V364)))*(V365&lt;$G230)*$G21</f>
        <v>0</v>
      </c>
      <c r="W533" s="8" t="n">
        <f aca="false">(V533*(1+Rate_Cash)-SUMPRODUCT($G293:$G296*$O293:$O296*(YEAR($L293:$L296)=W364)))*(W365&lt;$G230)*$G21</f>
        <v>0</v>
      </c>
      <c r="X533" s="8" t="n">
        <f aca="false">(W533*(1+Rate_Cash)-SUMPRODUCT($G293:$G296*$O293:$O296*(YEAR($L293:$L296)=X364)))*(X365&lt;$G230)*$G21</f>
        <v>0</v>
      </c>
      <c r="Y533" s="8" t="n">
        <f aca="false">(X533*(1+Rate_Cash)-SUMPRODUCT($G293:$G296*$O293:$O296*(YEAR($L293:$L296)=Y364)))*(Y365&lt;$G230)*$G21</f>
        <v>0</v>
      </c>
      <c r="Z533" s="8" t="n">
        <f aca="false">(Y533*(1+Rate_Cash)-SUMPRODUCT($G293:$G296*$O293:$O296*(YEAR($L293:$L296)=Z364)))*(Z365&lt;$G230)*$G21</f>
        <v>0</v>
      </c>
      <c r="AA533" s="8" t="n">
        <f aca="false">(Z533*(1+Rate_Cash)-SUMPRODUCT($G293:$G296*$O293:$O296*(YEAR($L293:$L296)=AA364)))*(AA365&lt;$G230)*$G21</f>
        <v>0</v>
      </c>
      <c r="AB533" s="8" t="n">
        <f aca="false">(AA533*(1+Rate_Cash)-SUMPRODUCT($G293:$G296*$O293:$O296*(YEAR($L293:$L296)=AB364)))*(AB365&lt;$G230)*$G21</f>
        <v>0</v>
      </c>
      <c r="AC533" s="8" t="n">
        <f aca="false">(AB533*(1+Rate_Cash)-SUMPRODUCT($G293:$G296*$O293:$O296*(YEAR($L293:$L296)=AC364)))*(AC365&lt;$G230)*$G21</f>
        <v>0</v>
      </c>
      <c r="AD533" s="8" t="n">
        <f aca="false">(AC533*(1+Rate_Cash)-SUMPRODUCT($G293:$G296*$O293:$O296*(YEAR($L293:$L296)=AD364)))*(AD365&lt;$G230)*$G21</f>
        <v>0</v>
      </c>
      <c r="AE533" s="8" t="n">
        <f aca="false">(AD533*(1+Rate_Cash)-SUMPRODUCT($G293:$G296*$O293:$O296*(YEAR($L293:$L296)=AE364)))*(AE365&lt;$G230)*$G21</f>
        <v>0</v>
      </c>
      <c r="AF533" s="8" t="n">
        <f aca="false">(AE533*(1+Rate_Cash)-SUMPRODUCT($G293:$G296*$O293:$O296*(YEAR($L293:$L296)=AF364)))*(AF365&lt;$G230)*$G21</f>
        <v>0</v>
      </c>
      <c r="AG533" s="8" t="n">
        <f aca="false">(AF533*(1+Rate_Cash)-SUMPRODUCT($G293:$G296*$O293:$O296*(YEAR($L293:$L296)=AG364)))*(AG365&lt;$G230)*$G21</f>
        <v>0</v>
      </c>
      <c r="AH533" s="8" t="n">
        <f aca="false">(AG533*(1+Rate_Cash)-SUMPRODUCT($G293:$G296*$O293:$O296*(YEAR($L293:$L296)=AH364)))*(AH365&lt;$G230)*$G21</f>
        <v>0</v>
      </c>
      <c r="AI533" s="8" t="n">
        <f aca="false">(AH533*(1+Rate_Cash)-SUMPRODUCT($G293:$G296*$O293:$O296*(YEAR($L293:$L296)=AI364)))*(AI365&lt;$G230)*$G21</f>
        <v>0</v>
      </c>
      <c r="AJ533" s="8" t="n">
        <f aca="false">(AI533*(1+Rate_Cash)-SUMPRODUCT($G293:$G296*$O293:$O296*(YEAR($L293:$L296)=AJ364)))*(AJ365&lt;$G230)*$G21</f>
        <v>0</v>
      </c>
      <c r="AK533" s="8" t="n">
        <f aca="false">(AJ533*(1+Rate_Cash)-SUMPRODUCT($G293:$G296*$O293:$O296*(YEAR($L293:$L296)=AK364)))*(AK365&lt;$G230)*$G21</f>
        <v>0</v>
      </c>
      <c r="AL533" s="8" t="n">
        <f aca="false">(AK533*(1+Rate_Cash)-SUMPRODUCT($G293:$G296*$O293:$O296*(YEAR($L293:$L296)=AL364)))*(AL365&lt;$G230)*$G21</f>
        <v>0</v>
      </c>
      <c r="AM533" s="8" t="n">
        <f aca="false">(AL533*(1+Rate_Cash)-SUMPRODUCT($G293:$G296*$O293:$O296*(YEAR($L293:$L296)=AM364)))*(AM365&lt;$G230)*$G21</f>
        <v>0</v>
      </c>
      <c r="AN533" s="8" t="n">
        <f aca="false">(AM533*(1+Rate_Cash)-SUMPRODUCT($G293:$G296*$O293:$O296*(YEAR($L293:$L296)=AN364)))*(AN365&lt;$G230)*$G21</f>
        <v>0</v>
      </c>
      <c r="AO533" s="8" t="n">
        <f aca="false">(AN533*(1+Rate_Cash)-SUMPRODUCT($G293:$G296*$O293:$O296*(YEAR($L293:$L296)=AO364)))*(AO365&lt;$G230)*$G21</f>
        <v>0</v>
      </c>
      <c r="AP533" s="8" t="n">
        <f aca="false">(AO533*(1+Rate_Cash)-SUMPRODUCT($G293:$G296*$O293:$O296*(YEAR($L293:$L296)=AP364)))*(AP365&lt;$G230)*$G21</f>
        <v>0</v>
      </c>
      <c r="AQ533" s="8" t="n">
        <f aca="false">(AP533*(1+Rate_Cash)-SUMPRODUCT($G293:$G296*$O293:$O296*(YEAR($L293:$L296)=AQ364)))*(AQ365&lt;$G230)*$G21</f>
        <v>0</v>
      </c>
      <c r="AR533" s="8" t="n">
        <f aca="false">(AQ533*(1+Rate_Cash)-SUMPRODUCT($G293:$G296*$O293:$O296*(YEAR($L293:$L296)=AR364)))*(AR365&lt;$G230)*$G21</f>
        <v>0</v>
      </c>
      <c r="AS533" s="8" t="n">
        <f aca="false">(AR533*(1+Rate_Cash)-SUMPRODUCT($G293:$G296*$O293:$O296*(YEAR($L293:$L296)=AS364)))*(AS365&lt;$G230)*$G21</f>
        <v>0</v>
      </c>
      <c r="AT533" s="8" t="n">
        <f aca="false">(AS533*(1+Rate_Cash)-SUMPRODUCT($G293:$G296*$O293:$O296*(YEAR($L293:$L296)=AT364)))*(AT365&lt;$G230)*$G21</f>
        <v>0</v>
      </c>
      <c r="AU533" s="8" t="n">
        <f aca="false">(AT533*(1+Rate_Cash)-SUMPRODUCT($G293:$G296*$O293:$O296*(YEAR($L293:$L296)=AU364)))*(AU365&lt;$G230)*$G21</f>
        <v>0</v>
      </c>
      <c r="AV533" s="8" t="n">
        <f aca="false">(AU533*(1+Rate_Cash)-SUMPRODUCT($G293:$G296*$O293:$O296*(YEAR($L293:$L296)=AV364)))*(AV365&lt;$G230)*$G21</f>
        <v>0</v>
      </c>
      <c r="AW533" s="8" t="n">
        <f aca="false">(AV533*(1+Rate_Cash)-SUMPRODUCT($G293:$G296*$O293:$O296*(YEAR($L293:$L296)=AW364)))*(AW365&lt;$G230)*$G21</f>
        <v>0</v>
      </c>
    </row>
    <row r="534" customFormat="false" ht="14.25" hidden="false" customHeight="false" outlineLevel="0" collapsed="false">
      <c r="C534" s="6" t="s">
        <v>344</v>
      </c>
      <c r="D534" s="2" t="s">
        <v>85</v>
      </c>
      <c r="H534" s="8"/>
      <c r="J534" s="8" t="n">
        <f aca="false">(I534*(1+Rate_Devex)-SUMPRODUCT($G297:$G298*$O297:$O298*(YEAR($L297:$L298)=J364)))*(J365&lt;$G230)*$G21</f>
        <v>0</v>
      </c>
      <c r="K534" s="8" t="n">
        <f aca="false">(J534*(1+Rate_Devex)-SUMPRODUCT($G297:$G298*$O297:$O298*(YEAR($L297:$L298)=K364)))*(K365&lt;$G230)*$G21</f>
        <v>0</v>
      </c>
      <c r="L534" s="8" t="n">
        <f aca="false">(K534*(1+Rate_Devex)-SUMPRODUCT($G297:$G298*$O297:$O298*(YEAR($L297:$L298)=L364)))*(L365&lt;$G230)*$G21</f>
        <v>0</v>
      </c>
      <c r="M534" s="8" t="n">
        <f aca="false">(L534*(1+Rate_Devex)-SUMPRODUCT($G297:$G298*$O297:$O298*(YEAR($L297:$L298)=M364)))*(M365&lt;$G230)*$G21</f>
        <v>0</v>
      </c>
      <c r="N534" s="8" t="n">
        <f aca="false">(M534*(1+Rate_Devex)-SUMPRODUCT($G297:$G298*$O297:$O298*(YEAR($L297:$L298)=N364)))*(N365&lt;$G230)*$G21</f>
        <v>0</v>
      </c>
      <c r="O534" s="8" t="n">
        <f aca="false">(N534*(1+Rate_Devex)-SUMPRODUCT($G297:$G298*$O297:$O298*(YEAR($L297:$L298)=O364)))*(O365&lt;$G230)*$G21</f>
        <v>0</v>
      </c>
      <c r="P534" s="8" t="n">
        <f aca="false">(O534*(1+Rate_Devex)-SUMPRODUCT($G297:$G298*$O297:$O298*(YEAR($L297:$L298)=P364)))*(P365&lt;$G230)*$G21</f>
        <v>0</v>
      </c>
      <c r="Q534" s="8" t="n">
        <f aca="false">(P534*(1+Rate_Devex)-SUMPRODUCT($G297:$G298*$O297:$O298*(YEAR($L297:$L298)=Q364)))*(Q365&lt;$G230)*$G21</f>
        <v>0</v>
      </c>
      <c r="R534" s="8" t="n">
        <f aca="false">(Q534*(1+Rate_Devex)-SUMPRODUCT($G297:$G298*$O297:$O298*(YEAR($L297:$L298)=R364)))*(R365&lt;$G230)*$G21</f>
        <v>0</v>
      </c>
      <c r="S534" s="8" t="n">
        <f aca="false">(R534*(1+Rate_Devex)-SUMPRODUCT($G297:$G298*$O297:$O298*(YEAR($L297:$L298)=S364)))*(S365&lt;$G230)*$G21</f>
        <v>0</v>
      </c>
      <c r="T534" s="8" t="n">
        <f aca="false">(S534*(1+Rate_Devex)-SUMPRODUCT($G297:$G298*$O297:$O298*(YEAR($L297:$L298)=T364)))*(T365&lt;$G230)*$G21</f>
        <v>0</v>
      </c>
      <c r="U534" s="8" t="n">
        <f aca="false">(T534*(1+Rate_Devex)-SUMPRODUCT($G297:$G298*$O297:$O298*(YEAR($L297:$L298)=U364)))*(U365&lt;$G230)*$G21</f>
        <v>0</v>
      </c>
      <c r="V534" s="8" t="n">
        <f aca="false">(U534*(1+Rate_Devex)-SUMPRODUCT($G297:$G298*$O297:$O298*(YEAR($L297:$L298)=V364)))*(V365&lt;$G230)*$G21</f>
        <v>0</v>
      </c>
      <c r="W534" s="8" t="n">
        <f aca="false">(V534*(1+Rate_Devex)-SUMPRODUCT($G297:$G298*$O297:$O298*(YEAR($L297:$L298)=W364)))*(W365&lt;$G230)*$G21</f>
        <v>0</v>
      </c>
      <c r="X534" s="8" t="n">
        <f aca="false">(W534*(1+Rate_Devex)-SUMPRODUCT($G297:$G298*$O297:$O298*(YEAR($L297:$L298)=X364)))*(X365&lt;$G230)*$G21</f>
        <v>0</v>
      </c>
      <c r="Y534" s="8" t="n">
        <f aca="false">(X534*(1+Rate_Devex)-SUMPRODUCT($G297:$G298*$O297:$O298*(YEAR($L297:$L298)=Y364)))*(Y365&lt;$G230)*$G21</f>
        <v>0</v>
      </c>
      <c r="Z534" s="8" t="n">
        <f aca="false">(Y534*(1+Rate_Devex)-SUMPRODUCT($G297:$G298*$O297:$O298*(YEAR($L297:$L298)=Z364)))*(Z365&lt;$G230)*$G21</f>
        <v>0</v>
      </c>
      <c r="AA534" s="8" t="n">
        <f aca="false">(Z534*(1+Rate_Devex)-SUMPRODUCT($G297:$G298*$O297:$O298*(YEAR($L297:$L298)=AA364)))*(AA365&lt;$G230)*$G21</f>
        <v>0</v>
      </c>
      <c r="AB534" s="8" t="n">
        <f aca="false">(AA534*(1+Rate_Devex)-SUMPRODUCT($G297:$G298*$O297:$O298*(YEAR($L297:$L298)=AB364)))*(AB365&lt;$G230)*$G21</f>
        <v>0</v>
      </c>
      <c r="AC534" s="8" t="n">
        <f aca="false">(AB534*(1+Rate_Devex)-SUMPRODUCT($G297:$G298*$O297:$O298*(YEAR($L297:$L298)=AC364)))*(AC365&lt;$G230)*$G21</f>
        <v>0</v>
      </c>
      <c r="AD534" s="8" t="n">
        <f aca="false">(AC534*(1+Rate_Devex)-SUMPRODUCT($G297:$G298*$O297:$O298*(YEAR($L297:$L298)=AD364)))*(AD365&lt;$G230)*$G21</f>
        <v>0</v>
      </c>
      <c r="AE534" s="8" t="n">
        <f aca="false">(AD534*(1+Rate_Devex)-SUMPRODUCT($G297:$G298*$O297:$O298*(YEAR($L297:$L298)=AE364)))*(AE365&lt;$G230)*$G21</f>
        <v>0</v>
      </c>
      <c r="AF534" s="8" t="n">
        <f aca="false">(AE534*(1+Rate_Devex)-SUMPRODUCT($G297:$G298*$O297:$O298*(YEAR($L297:$L298)=AF364)))*(AF365&lt;$G230)*$G21</f>
        <v>0</v>
      </c>
      <c r="AG534" s="8" t="n">
        <f aca="false">(AF534*(1+Rate_Devex)-SUMPRODUCT($G297:$G298*$O297:$O298*(YEAR($L297:$L298)=AG364)))*(AG365&lt;$G230)*$G21</f>
        <v>0</v>
      </c>
      <c r="AH534" s="8" t="n">
        <f aca="false">(AG534*(1+Rate_Devex)-SUMPRODUCT($G297:$G298*$O297:$O298*(YEAR($L297:$L298)=AH364)))*(AH365&lt;$G230)*$G21</f>
        <v>0</v>
      </c>
      <c r="AI534" s="8" t="n">
        <f aca="false">(AH534*(1+Rate_Devex)-SUMPRODUCT($G297:$G298*$O297:$O298*(YEAR($L297:$L298)=AI364)))*(AI365&lt;$G230)*$G21</f>
        <v>0</v>
      </c>
      <c r="AJ534" s="8" t="n">
        <f aca="false">(AI534*(1+Rate_Devex)-SUMPRODUCT($G297:$G298*$O297:$O298*(YEAR($L297:$L298)=AJ364)))*(AJ365&lt;$G230)*$G21</f>
        <v>0</v>
      </c>
      <c r="AK534" s="8" t="n">
        <f aca="false">(AJ534*(1+Rate_Devex)-SUMPRODUCT($G297:$G298*$O297:$O298*(YEAR($L297:$L298)=AK364)))*(AK365&lt;$G230)*$G21</f>
        <v>0</v>
      </c>
      <c r="AL534" s="8" t="n">
        <f aca="false">(AK534*(1+Rate_Devex)-SUMPRODUCT($G297:$G298*$O297:$O298*(YEAR($L297:$L298)=AL364)))*(AL365&lt;$G230)*$G21</f>
        <v>0</v>
      </c>
      <c r="AM534" s="8" t="n">
        <f aca="false">(AL534*(1+Rate_Devex)-SUMPRODUCT($G297:$G298*$O297:$O298*(YEAR($L297:$L298)=AM364)))*(AM365&lt;$G230)*$G21</f>
        <v>0</v>
      </c>
      <c r="AN534" s="8" t="n">
        <f aca="false">(AM534*(1+Rate_Devex)-SUMPRODUCT($G297:$G298*$O297:$O298*(YEAR($L297:$L298)=AN364)))*(AN365&lt;$G230)*$G21</f>
        <v>0</v>
      </c>
      <c r="AO534" s="8" t="n">
        <f aca="false">(AN534*(1+Rate_Devex)-SUMPRODUCT($G297:$G298*$O297:$O298*(YEAR($L297:$L298)=AO364)))*(AO365&lt;$G230)*$G21</f>
        <v>0</v>
      </c>
      <c r="AP534" s="8" t="n">
        <f aca="false">(AO534*(1+Rate_Devex)-SUMPRODUCT($G297:$G298*$O297:$O298*(YEAR($L297:$L298)=AP364)))*(AP365&lt;$G230)*$G21</f>
        <v>0</v>
      </c>
      <c r="AQ534" s="8" t="n">
        <f aca="false">(AP534*(1+Rate_Devex)-SUMPRODUCT($G297:$G298*$O297:$O298*(YEAR($L297:$L298)=AQ364)))*(AQ365&lt;$G230)*$G21</f>
        <v>0</v>
      </c>
      <c r="AR534" s="8" t="n">
        <f aca="false">(AQ534*(1+Rate_Devex)-SUMPRODUCT($G297:$G298*$O297:$O298*(YEAR($L297:$L298)=AR364)))*(AR365&lt;$G230)*$G21</f>
        <v>0</v>
      </c>
      <c r="AS534" s="8" t="n">
        <f aca="false">(AR534*(1+Rate_Devex)-SUMPRODUCT($G297:$G298*$O297:$O298*(YEAR($L297:$L298)=AS364)))*(AS365&lt;$G230)*$G21</f>
        <v>0</v>
      </c>
      <c r="AT534" s="8" t="n">
        <f aca="false">(AS534*(1+Rate_Devex)-SUMPRODUCT($G297:$G298*$O297:$O298*(YEAR($L297:$L298)=AT364)))*(AT365&lt;$G230)*$G21</f>
        <v>0</v>
      </c>
      <c r="AU534" s="8" t="n">
        <f aca="false">(AT534*(1+Rate_Devex)-SUMPRODUCT($G297:$G298*$O297:$O298*(YEAR($L297:$L298)=AU364)))*(AU365&lt;$G230)*$G21</f>
        <v>0</v>
      </c>
      <c r="AV534" s="8" t="n">
        <f aca="false">(AU534*(1+Rate_Devex)-SUMPRODUCT($G297:$G298*$O297:$O298*(YEAR($L297:$L298)=AV364)))*(AV365&lt;$G230)*$G21</f>
        <v>0</v>
      </c>
      <c r="AW534" s="8" t="n">
        <f aca="false">(AV534*(1+Rate_Devex)-SUMPRODUCT($G297:$G298*$O297:$O298*(YEAR($L297:$L298)=AW364)))*(AW365&lt;$G230)*$G21</f>
        <v>0</v>
      </c>
    </row>
    <row r="535" customFormat="false" ht="14.25" hidden="false" customHeight="false" outlineLevel="0" collapsed="false">
      <c r="C535" s="6" t="s">
        <v>345</v>
      </c>
      <c r="D535" s="2" t="s">
        <v>85</v>
      </c>
      <c r="H535" s="8" t="n">
        <f aca="false">SUM(J535:AW535)</f>
        <v>0</v>
      </c>
      <c r="J535" s="8" t="n">
        <f aca="false">-SUMPRODUCT($G293:$G298*(YEAR($L293:$L298)=J364))*(J365&lt;$G230)*$G21</f>
        <v>0</v>
      </c>
      <c r="K535" s="8" t="n">
        <f aca="false">-SUMPRODUCT($G293:$G298*(YEAR($L293:$L298)=K364))*(K365&lt;$G230)*$G21</f>
        <v>0</v>
      </c>
      <c r="L535" s="8" t="n">
        <f aca="false">-SUMPRODUCT($G293:$G298*(YEAR($L293:$L298)=L364))*(L365&lt;$G230)*$G21</f>
        <v>-0</v>
      </c>
      <c r="M535" s="8" t="n">
        <f aca="false">-SUMPRODUCT($G293:$G298*(YEAR($L293:$L298)=M364))*(M365&lt;$G230)*$G21</f>
        <v>-0</v>
      </c>
      <c r="N535" s="8" t="n">
        <f aca="false">-SUMPRODUCT($G293:$G298*(YEAR($L293:$L298)=N364))*(N365&lt;$G230)*$G21</f>
        <v>-0</v>
      </c>
      <c r="O535" s="8" t="n">
        <f aca="false">-SUMPRODUCT($G293:$G298*(YEAR($L293:$L298)=O364))*(O365&lt;$G230)*$G21</f>
        <v>-0</v>
      </c>
      <c r="P535" s="8" t="n">
        <f aca="false">-SUMPRODUCT($G293:$G298*(YEAR($L293:$L298)=P364))*(P365&lt;$G230)*$G21</f>
        <v>-0</v>
      </c>
      <c r="Q535" s="8" t="n">
        <f aca="false">-SUMPRODUCT($G293:$G298*(YEAR($L293:$L298)=Q364))*(Q365&lt;$G230)*$G21</f>
        <v>-0</v>
      </c>
      <c r="R535" s="8" t="n">
        <f aca="false">-SUMPRODUCT($G293:$G298*(YEAR($L293:$L298)=R364))*(R365&lt;$G230)*$G21</f>
        <v>-0</v>
      </c>
      <c r="S535" s="8" t="n">
        <f aca="false">-SUMPRODUCT($G293:$G298*(YEAR($L293:$L298)=S364))*(S365&lt;$G230)*$G21</f>
        <v>-0</v>
      </c>
      <c r="T535" s="8" t="n">
        <f aca="false">-SUMPRODUCT($G293:$G298*(YEAR($L293:$L298)=T364))*(T365&lt;$G230)*$G21</f>
        <v>-0</v>
      </c>
      <c r="U535" s="8" t="n">
        <f aca="false">-SUMPRODUCT($G293:$G298*(YEAR($L293:$L298)=U364))*(U365&lt;$G230)*$G21</f>
        <v>-0</v>
      </c>
      <c r="V535" s="8" t="n">
        <f aca="false">-SUMPRODUCT($G293:$G298*(YEAR($L293:$L298)=V364))*(V365&lt;$G230)*$G21</f>
        <v>-0</v>
      </c>
      <c r="W535" s="8" t="n">
        <f aca="false">-SUMPRODUCT($G293:$G298*(YEAR($L293:$L298)=W364))*(W365&lt;$G230)*$G21</f>
        <v>-0</v>
      </c>
      <c r="X535" s="8" t="n">
        <f aca="false">-SUMPRODUCT($G293:$G298*(YEAR($L293:$L298)=X364))*(X365&lt;$G230)*$G21</f>
        <v>-0</v>
      </c>
      <c r="Y535" s="8" t="n">
        <f aca="false">-SUMPRODUCT($G293:$G298*(YEAR($L293:$L298)=Y364))*(Y365&lt;$G230)*$G21</f>
        <v>-0</v>
      </c>
      <c r="Z535" s="8" t="n">
        <f aca="false">-SUMPRODUCT($G293:$G298*(YEAR($L293:$L298)=Z364))*(Z365&lt;$G230)*$G21</f>
        <v>-0</v>
      </c>
      <c r="AA535" s="8" t="n">
        <f aca="false">-SUMPRODUCT($G293:$G298*(YEAR($L293:$L298)=AA364))*(AA365&lt;$G230)*$G21</f>
        <v>-0</v>
      </c>
      <c r="AB535" s="8" t="n">
        <f aca="false">-SUMPRODUCT($G293:$G298*(YEAR($L293:$L298)=AB364))*(AB365&lt;$G230)*$G21</f>
        <v>-0</v>
      </c>
      <c r="AC535" s="8" t="n">
        <f aca="false">-SUMPRODUCT($G293:$G298*(YEAR($L293:$L298)=AC364))*(AC365&lt;$G230)*$G21</f>
        <v>-0</v>
      </c>
      <c r="AD535" s="8" t="n">
        <f aca="false">-SUMPRODUCT($G293:$G298*(YEAR($L293:$L298)=AD364))*(AD365&lt;$G230)*$G21</f>
        <v>-0</v>
      </c>
      <c r="AE535" s="8" t="n">
        <f aca="false">-SUMPRODUCT($G293:$G298*(YEAR($L293:$L298)=AE364))*(AE365&lt;$G230)*$G21</f>
        <v>-0</v>
      </c>
      <c r="AF535" s="8" t="n">
        <f aca="false">-SUMPRODUCT($G293:$G298*(YEAR($L293:$L298)=AF364))*(AF365&lt;$G230)*$G21</f>
        <v>-0</v>
      </c>
      <c r="AG535" s="8" t="n">
        <f aca="false">-SUMPRODUCT($G293:$G298*(YEAR($L293:$L298)=AG364))*(AG365&lt;$G230)*$G21</f>
        <v>-0</v>
      </c>
      <c r="AH535" s="8" t="n">
        <f aca="false">-SUMPRODUCT($G293:$G298*(YEAR($L293:$L298)=AH364))*(AH365&lt;$G230)*$G21</f>
        <v>-0</v>
      </c>
      <c r="AI535" s="8" t="n">
        <f aca="false">-SUMPRODUCT($G293:$G298*(YEAR($L293:$L298)=AI364))*(AI365&lt;$G230)*$G21</f>
        <v>-0</v>
      </c>
      <c r="AJ535" s="8" t="n">
        <f aca="false">-SUMPRODUCT($G293:$G298*(YEAR($L293:$L298)=AJ364))*(AJ365&lt;$G230)*$G21</f>
        <v>-0</v>
      </c>
      <c r="AK535" s="8" t="n">
        <f aca="false">-SUMPRODUCT($G293:$G298*(YEAR($L293:$L298)=AK364))*(AK365&lt;$G230)*$G21</f>
        <v>-0</v>
      </c>
      <c r="AL535" s="8" t="n">
        <f aca="false">-SUMPRODUCT($G293:$G298*(YEAR($L293:$L298)=AL364))*(AL365&lt;$G230)*$G21</f>
        <v>-0</v>
      </c>
      <c r="AM535" s="8" t="n">
        <f aca="false">-SUMPRODUCT($G293:$G298*(YEAR($L293:$L298)=AM364))*(AM365&lt;$G230)*$G21</f>
        <v>-0</v>
      </c>
      <c r="AN535" s="8" t="n">
        <f aca="false">-SUMPRODUCT($G293:$G298*(YEAR($L293:$L298)=AN364))*(AN365&lt;$G230)*$G21</f>
        <v>-0</v>
      </c>
      <c r="AO535" s="8" t="n">
        <f aca="false">-SUMPRODUCT($G293:$G298*(YEAR($L293:$L298)=AO364))*(AO365&lt;$G230)*$G21</f>
        <v>-0</v>
      </c>
      <c r="AP535" s="8" t="n">
        <f aca="false">-SUMPRODUCT($G293:$G298*(YEAR($L293:$L298)=AP364))*(AP365&lt;$G230)*$G21</f>
        <v>-0</v>
      </c>
      <c r="AQ535" s="8" t="n">
        <f aca="false">-SUMPRODUCT($G293:$G298*(YEAR($L293:$L298)=AQ364))*(AQ365&lt;$G230)*$G21</f>
        <v>-0</v>
      </c>
      <c r="AR535" s="8" t="n">
        <f aca="false">-SUMPRODUCT($G293:$G298*(YEAR($L293:$L298)=AR364))*(AR365&lt;$G230)*$G21</f>
        <v>-0</v>
      </c>
      <c r="AS535" s="8" t="n">
        <f aca="false">-SUMPRODUCT($G293:$G298*(YEAR($L293:$L298)=AS364))*(AS365&lt;$G230)*$G21</f>
        <v>-0</v>
      </c>
      <c r="AT535" s="8" t="n">
        <f aca="false">-SUMPRODUCT($G293:$G298*(YEAR($L293:$L298)=AT364))*(AT365&lt;$G230)*$G21</f>
        <v>-0</v>
      </c>
      <c r="AU535" s="8" t="n">
        <f aca="false">-SUMPRODUCT($G293:$G298*(YEAR($L293:$L298)=AU364))*(AU365&lt;$G230)*$G21</f>
        <v>-0</v>
      </c>
      <c r="AV535" s="8" t="n">
        <f aca="false">-SUMPRODUCT($G293:$G298*(YEAR($L293:$L298)=AV364))*(AV365&lt;$G230)*$G21</f>
        <v>-0</v>
      </c>
      <c r="AW535" s="8" t="n">
        <f aca="false">-SUMPRODUCT($G293:$G298*(YEAR($L293:$L298)=AW364))*(AW365&lt;$G230)*$G21</f>
        <v>-0</v>
      </c>
    </row>
    <row r="536" customFormat="false" ht="14.25" hidden="false" customHeight="false" outlineLevel="0" collapsed="false">
      <c r="C536" s="6" t="s">
        <v>346</v>
      </c>
      <c r="D536" s="2" t="s">
        <v>85</v>
      </c>
      <c r="H536" s="8" t="n">
        <f aca="false">SUM(J536:AW536)</f>
        <v>0</v>
      </c>
      <c r="J536" s="8" t="n">
        <f aca="false">(J533+J534-I533-I534-J535)*(J365&lt;$G230)*$G21</f>
        <v>0</v>
      </c>
      <c r="K536" s="8" t="n">
        <f aca="false">(K533+K534-J533-J534-K535)*(K365&lt;$G230)*$G21</f>
        <v>0</v>
      </c>
      <c r="L536" s="8" t="n">
        <f aca="false">(L533+L534-K533-K534-L535)*(L365&lt;$G230)*$G21</f>
        <v>0</v>
      </c>
      <c r="M536" s="8" t="n">
        <f aca="false">(M533+M534-L533-L534-M535)*(M365&lt;$G230)*$G21</f>
        <v>0</v>
      </c>
      <c r="N536" s="8" t="n">
        <f aca="false">(N533+N534-M533-M534-N535)*(N365&lt;$G230)*$G21</f>
        <v>0</v>
      </c>
      <c r="O536" s="8" t="n">
        <f aca="false">(O533+O534-N533-N534-O535)*(O365&lt;$G230)*$G21</f>
        <v>0</v>
      </c>
      <c r="P536" s="8" t="n">
        <f aca="false">(P533+P534-O533-O534-P535)*(P365&lt;$G230)*$G21</f>
        <v>0</v>
      </c>
      <c r="Q536" s="8" t="n">
        <f aca="false">(Q533+Q534-P533-P534-Q535)*(Q365&lt;$G230)*$G21</f>
        <v>0</v>
      </c>
      <c r="R536" s="8" t="n">
        <f aca="false">(R533+R534-Q533-Q534-R535)*(R365&lt;$G230)*$G21</f>
        <v>0</v>
      </c>
      <c r="S536" s="8" t="n">
        <f aca="false">(S533+S534-R533-R534-S535)*(S365&lt;$G230)*$G21</f>
        <v>0</v>
      </c>
      <c r="T536" s="8" t="n">
        <f aca="false">(T533+T534-S533-S534-T535)*(T365&lt;$G230)*$G21</f>
        <v>0</v>
      </c>
      <c r="U536" s="8" t="n">
        <f aca="false">(U533+U534-T533-T534-U535)*(U365&lt;$G230)*$G21</f>
        <v>0</v>
      </c>
      <c r="V536" s="8" t="n">
        <f aca="false">(V533+V534-U533-U534-V535)*(V365&lt;$G230)*$G21</f>
        <v>0</v>
      </c>
      <c r="W536" s="8" t="n">
        <f aca="false">(W533+W534-V533-V534-W535)*(W365&lt;$G230)*$G21</f>
        <v>0</v>
      </c>
      <c r="X536" s="8" t="n">
        <f aca="false">(X533+X534-W533-W534-X535)*(X365&lt;$G230)*$G21</f>
        <v>0</v>
      </c>
      <c r="Y536" s="8" t="n">
        <f aca="false">(Y533+Y534-X533-X534-Y535)*(Y365&lt;$G230)*$G21</f>
        <v>0</v>
      </c>
      <c r="Z536" s="8" t="n">
        <f aca="false">(Z533+Z534-Y533-Y534-Z535)*(Z365&lt;$G230)*$G21</f>
        <v>0</v>
      </c>
      <c r="AA536" s="8" t="n">
        <f aca="false">(AA533+AA534-Z533-Z534-AA535)*(AA365&lt;$G230)*$G21</f>
        <v>0</v>
      </c>
      <c r="AB536" s="8" t="n">
        <f aca="false">(AB533+AB534-AA533-AA534-AB535)*(AB365&lt;$G230)*$G21</f>
        <v>0</v>
      </c>
      <c r="AC536" s="8" t="n">
        <f aca="false">(AC533+AC534-AB533-AB534-AC535)*(AC365&lt;$G230)*$G21</f>
        <v>0</v>
      </c>
      <c r="AD536" s="8" t="n">
        <f aca="false">(AD533+AD534-AC533-AC534-AD535)*(AD365&lt;$G230)*$G21</f>
        <v>0</v>
      </c>
      <c r="AE536" s="8" t="n">
        <f aca="false">(AE533+AE534-AD533-AD534-AE535)*(AE365&lt;$G230)*$G21</f>
        <v>0</v>
      </c>
      <c r="AF536" s="8" t="n">
        <f aca="false">(AF533+AF534-AE533-AE534-AF535)*(AF365&lt;$G230)*$G21</f>
        <v>0</v>
      </c>
      <c r="AG536" s="8" t="n">
        <f aca="false">(AG533+AG534-AF533-AF534-AG535)*(AG365&lt;$G230)*$G21</f>
        <v>0</v>
      </c>
      <c r="AH536" s="8" t="n">
        <f aca="false">(AH533+AH534-AG533-AG534-AH535)*(AH365&lt;$G230)*$G21</f>
        <v>0</v>
      </c>
      <c r="AI536" s="8" t="n">
        <f aca="false">(AI533+AI534-AH533-AH534-AI535)*(AI365&lt;$G230)*$G21</f>
        <v>0</v>
      </c>
      <c r="AJ536" s="8" t="n">
        <f aca="false">(AJ533+AJ534-AI533-AI534-AJ535)*(AJ365&lt;$G230)*$G21</f>
        <v>0</v>
      </c>
      <c r="AK536" s="8" t="n">
        <f aca="false">(AK533+AK534-AJ533-AJ534-AK535)*(AK365&lt;$G230)*$G21</f>
        <v>0</v>
      </c>
      <c r="AL536" s="8" t="n">
        <f aca="false">(AL533+AL534-AK533-AK534-AL535)*(AL365&lt;$G230)*$G21</f>
        <v>0</v>
      </c>
      <c r="AM536" s="8" t="n">
        <f aca="false">(AM533+AM534-AL533-AL534-AM535)*(AM365&lt;$G230)*$G21</f>
        <v>0</v>
      </c>
      <c r="AN536" s="8" t="n">
        <f aca="false">(AN533+AN534-AM533-AM534-AN535)*(AN365&lt;$G230)*$G21</f>
        <v>0</v>
      </c>
      <c r="AO536" s="8" t="n">
        <f aca="false">(AO533+AO534-AN533-AN534-AO535)*(AO365&lt;$G230)*$G21</f>
        <v>0</v>
      </c>
      <c r="AP536" s="8" t="n">
        <f aca="false">(AP533+AP534-AO533-AO534-AP535)*(AP365&lt;$G230)*$G21</f>
        <v>0</v>
      </c>
      <c r="AQ536" s="8" t="n">
        <f aca="false">(AQ533+AQ534-AP533-AP534-AQ535)*(AQ365&lt;$G230)*$G21</f>
        <v>0</v>
      </c>
      <c r="AR536" s="8" t="n">
        <f aca="false">(AR533+AR534-AQ533-AQ534-AR535)*(AR365&lt;$G230)*$G21</f>
        <v>0</v>
      </c>
      <c r="AS536" s="8" t="n">
        <f aca="false">(AS533+AS534-AR533-AR534-AS535)*(AS365&lt;$G230)*$G21</f>
        <v>0</v>
      </c>
      <c r="AT536" s="8" t="n">
        <f aca="false">(AT533+AT534-AS533-AS534-AT535)*(AT365&lt;$G230)*$G21</f>
        <v>0</v>
      </c>
      <c r="AU536" s="8" t="n">
        <f aca="false">(AU533+AU534-AT533-AT534-AU535)*(AU365&lt;$G230)*$G21</f>
        <v>0</v>
      </c>
      <c r="AV536" s="8" t="n">
        <f aca="false">(AV533+AV534-AU533-AU534-AV535)*(AV365&lt;$G230)*$G21</f>
        <v>0</v>
      </c>
      <c r="AW536" s="8" t="n">
        <f aca="false">(AW533+AW534-AV533-AV534-AW535)*(AW365&lt;$G230)*$G21</f>
        <v>0</v>
      </c>
    </row>
    <row r="538" customFormat="false" ht="14.25" hidden="false" customHeight="false" outlineLevel="0" collapsed="false">
      <c r="B538" s="4" t="s">
        <v>3</v>
      </c>
      <c r="C538" s="4" t="s">
        <v>349</v>
      </c>
      <c r="D538" s="4" t="s">
        <v>85</v>
      </c>
      <c r="E538" s="5" t="s">
        <v>5</v>
      </c>
      <c r="F538" s="5" t="s">
        <v>6</v>
      </c>
      <c r="G538" s="5" t="s">
        <v>7</v>
      </c>
      <c r="H538" s="5" t="s">
        <v>8</v>
      </c>
    </row>
    <row r="539" customFormat="false" ht="14.25" hidden="false" customHeight="false" outlineLevel="0" collapsed="false">
      <c r="C539" s="6" t="s">
        <v>261</v>
      </c>
      <c r="D539" s="2" t="s">
        <v>85</v>
      </c>
      <c r="E539" s="8" t="n">
        <f aca="false">-MAX(0,$H$413)*CIT_Rate*(1-Share_Exempt)</f>
        <v>-0</v>
      </c>
      <c r="F539" s="8" t="n">
        <f aca="false">-MAX(0,$H$470)*CIT_Rate*(1-Share_Exempt)</f>
        <v>-0</v>
      </c>
      <c r="G539" s="8" t="n">
        <f aca="false">-MAX(0,$H$527)*CIT_Rate*(1-Share_Exempt)</f>
        <v>-0</v>
      </c>
      <c r="H539" s="8" t="n">
        <f aca="false">SUM(E539:G539)</f>
        <v>0</v>
      </c>
    </row>
    <row r="540" customFormat="false" ht="14.25" hidden="false" customHeight="false" outlineLevel="0" collapsed="false">
      <c r="C540" s="1" t="s">
        <v>350</v>
      </c>
      <c r="D540" s="2" t="s">
        <v>85</v>
      </c>
      <c r="E540" s="15" t="n">
        <f aca="false">$H$413+E539</f>
        <v>21612.6299841015</v>
      </c>
      <c r="F540" s="15" t="n">
        <f aca="false">$H$470+F539</f>
        <v>28014.2245846914</v>
      </c>
      <c r="G540" s="15" t="n">
        <f aca="false">$H$527+G539</f>
        <v>28014.2245846914</v>
      </c>
      <c r="H540" s="15" t="n">
        <f aca="false">SUM(E540:G540)</f>
        <v>77641.0791534844</v>
      </c>
    </row>
    <row r="542" customFormat="false" ht="14.25" hidden="false" customHeight="false" outlineLevel="0" collapsed="false">
      <c r="B542" s="4" t="s">
        <v>3</v>
      </c>
      <c r="C542" s="4" t="s">
        <v>351</v>
      </c>
      <c r="D542" s="4"/>
      <c r="E542" s="5" t="s">
        <v>5</v>
      </c>
      <c r="F542" s="5" t="s">
        <v>6</v>
      </c>
      <c r="G542" s="5" t="s">
        <v>7</v>
      </c>
      <c r="H542" s="5" t="s">
        <v>8</v>
      </c>
    </row>
    <row r="543" customFormat="false" ht="14.25" hidden="false" customHeight="false" outlineLevel="0" collapsed="false">
      <c r="C543" s="6" t="s">
        <v>352</v>
      </c>
      <c r="D543" s="2" t="s">
        <v>2</v>
      </c>
      <c r="E543" s="75" t="n">
        <f aca="false">(ABS(SUM(E345:E359)-E341)&gt;Tolerance)*1</f>
        <v>0</v>
      </c>
      <c r="F543" s="75" t="n">
        <f aca="false">(ABS(SUM(F345:F359)-F341)&gt;Tolerance)*1</f>
        <v>0</v>
      </c>
      <c r="G543" s="75" t="n">
        <f aca="false">(ABS(SUM(G345:G359)-G341)&gt;Tolerance)*1</f>
        <v>0</v>
      </c>
      <c r="H543" s="75" t="n">
        <f aca="false">SUM(E543:G543)</f>
        <v>0</v>
      </c>
    </row>
    <row r="544" customFormat="false" ht="14.25" hidden="false" customHeight="false" outlineLevel="0" collapsed="false">
      <c r="C544" s="6" t="s">
        <v>353</v>
      </c>
      <c r="D544" s="2" t="s">
        <v>2</v>
      </c>
      <c r="E544" s="75" t="n">
        <f aca="false">N(AND(E17&lt;&gt;"EU",E17&lt;&gt;"CN"))</f>
        <v>0</v>
      </c>
      <c r="F544" s="75" t="n">
        <f aca="false">N(AND(F17&lt;&gt;"EU",F17&lt;&gt;"CN"))</f>
        <v>0</v>
      </c>
      <c r="G544" s="75" t="n">
        <f aca="false">N(AND(G17&lt;&gt;"EU",G17&lt;&gt;"CN"))</f>
        <v>0</v>
      </c>
      <c r="H544" s="75" t="n">
        <f aca="false">SUM(E544:G544)</f>
        <v>0</v>
      </c>
    </row>
    <row r="545" customFormat="false" ht="14.25" hidden="false" customHeight="false" outlineLevel="0" collapsed="false">
      <c r="C545" s="6" t="s">
        <v>354</v>
      </c>
      <c r="D545" s="2" t="s">
        <v>2</v>
      </c>
      <c r="E545" s="75" t="n">
        <f aca="false">(ABS(SUM(Devex_HUF)/FX/Thousand*Inputs!E$18-E68-E67)&gt;Tolerance)*1</f>
        <v>0</v>
      </c>
      <c r="F545" s="75" t="n">
        <f aca="false">(ABS(SUM(Devex_HUF)/FX/Thousand*Inputs!F$18-F68-F67)&gt;Tolerance)*1</f>
        <v>0</v>
      </c>
      <c r="G545" s="75" t="n">
        <f aca="false">(ABS(SUM(Devex_HUF)/FX/Thousand*Inputs!G$18-G68-G67)&gt;Tolerance)*1</f>
        <v>0</v>
      </c>
      <c r="H545" s="75" t="n">
        <f aca="false">SUM(E545:G545)</f>
        <v>0</v>
      </c>
    </row>
    <row r="546" customFormat="false" ht="14.25" hidden="false" customHeight="false" outlineLevel="0" collapsed="false">
      <c r="C546" s="6" t="s">
        <v>355</v>
      </c>
      <c r="D546" s="2" t="s">
        <v>2</v>
      </c>
      <c r="E546" s="75" t="n">
        <f aca="false">N(ABS(E91+$H$376)&gt;Tolerance)</f>
        <v>0</v>
      </c>
      <c r="F546" s="75" t="n">
        <f aca="false">N(ABS(F91+$H$433)&gt;Tolerance)</f>
        <v>0</v>
      </c>
      <c r="G546" s="75" t="n">
        <f aca="false">N(ABS(G91+$H$490)&gt;Tolerance)</f>
        <v>0</v>
      </c>
      <c r="H546" s="75" t="n">
        <f aca="false">SUM(E546:G546)</f>
        <v>0</v>
      </c>
    </row>
    <row r="547" customFormat="false" ht="14.25" hidden="false" customHeight="false" outlineLevel="0" collapsed="false">
      <c r="C547" s="6" t="s">
        <v>356</v>
      </c>
      <c r="D547" s="2" t="s">
        <v>2</v>
      </c>
      <c r="E547" s="75" t="n">
        <f aca="false">N(ABS(E99+$H$378)&gt;Tolerance)</f>
        <v>0</v>
      </c>
      <c r="F547" s="75" t="n">
        <f aca="false">N(ABS(F99+$H$435)&gt;Tolerance)</f>
        <v>0</v>
      </c>
      <c r="G547" s="75" t="n">
        <f aca="false">N(ABS(G99+$H$492)&gt;Tolerance)</f>
        <v>0</v>
      </c>
      <c r="H547" s="75" t="n">
        <f aca="false">SUM(E547:G547)</f>
        <v>0</v>
      </c>
    </row>
    <row r="548" customFormat="false" ht="14.25" hidden="false" customHeight="false" outlineLevel="0" collapsed="false">
      <c r="C548" s="6" t="s">
        <v>357</v>
      </c>
      <c r="D548" s="2" t="s">
        <v>2</v>
      </c>
      <c r="E548" s="75" t="n">
        <f aca="false">N(ABS($H$372-Life)&gt;Tolerance)</f>
        <v>0</v>
      </c>
      <c r="F548" s="75" t="n">
        <f aca="false">N(ABS($H$429-Life)&gt;Tolerance)</f>
        <v>0</v>
      </c>
      <c r="G548" s="75" t="n">
        <f aca="false">N(ABS($H$486-Life)&gt;Tolerance)</f>
        <v>0</v>
      </c>
      <c r="H548" s="75" t="n">
        <f aca="false">SUM(E548:G548)</f>
        <v>0</v>
      </c>
    </row>
    <row r="549" customFormat="false" ht="14.25" hidden="false" customHeight="false" outlineLevel="0" collapsed="false">
      <c r="C549" s="6" t="s">
        <v>358</v>
      </c>
      <c r="D549" s="2" t="s">
        <v>2</v>
      </c>
      <c r="E549" s="75" t="n">
        <f aca="false">N(Sale_Date_A&gt;=Inputs!E$24)</f>
        <v>0</v>
      </c>
      <c r="F549" s="75" t="n">
        <f aca="false">N(Sale_Date_A&gt;=Inputs!F$24)</f>
        <v>0</v>
      </c>
      <c r="G549" s="75" t="n">
        <f aca="false">N(Sale_Date_A&gt;=Inputs!G$24)</f>
        <v>0</v>
      </c>
      <c r="H549" s="75" t="n">
        <f aca="false">SUM(E549:G549)</f>
        <v>0</v>
      </c>
    </row>
    <row r="550" customFormat="false" ht="14.25" hidden="false" customHeight="false" outlineLevel="0" collapsed="false">
      <c r="C550" s="6" t="s">
        <v>359</v>
      </c>
      <c r="D550" s="2" t="s">
        <v>2</v>
      </c>
      <c r="E550" s="75" t="n">
        <f aca="false">N(ABS(E133+$H$378)&gt;Tolerance)</f>
        <v>0</v>
      </c>
      <c r="F550" s="75" t="n">
        <f aca="false">N(ABS(F133+$H$435)&gt;Tolerance)</f>
        <v>0</v>
      </c>
      <c r="G550" s="75" t="n">
        <f aca="false">N(ABS(G133+$H$492)&gt;Tolerance)</f>
        <v>0</v>
      </c>
      <c r="H550" s="75" t="n">
        <f aca="false">SUM(E550:G550)</f>
        <v>0</v>
      </c>
    </row>
    <row r="551" customFormat="false" ht="14.25" hidden="false" customHeight="false" outlineLevel="0" collapsed="false">
      <c r="C551" s="6" t="s">
        <v>360</v>
      </c>
      <c r="D551" s="2" t="s">
        <v>2</v>
      </c>
      <c r="E551" s="75" t="n">
        <f aca="false">(ABS(SUM(E292:E304)-E287)&gt;Tolerance)*1</f>
        <v>0</v>
      </c>
      <c r="F551" s="75" t="n">
        <f aca="false">(ABS(SUM(F292:F304)-F287)&gt;Tolerance)*1</f>
        <v>0</v>
      </c>
      <c r="G551" s="75" t="n">
        <f aca="false">(ABS(SUM(G292:G304)-G287)&gt;Tolerance)*1</f>
        <v>0</v>
      </c>
      <c r="H551" s="75" t="n">
        <f aca="false">SUM(E551:G551)</f>
        <v>0</v>
      </c>
    </row>
    <row r="552" customFormat="false" ht="14.25" hidden="false" customHeight="false" outlineLevel="0" collapsed="false">
      <c r="C552" s="6" t="s">
        <v>361</v>
      </c>
      <c r="D552" s="2" t="s">
        <v>2</v>
      </c>
      <c r="E552" s="75" t="n">
        <f aca="false">N(ABS($AW$406)&gt;Tolerance)</f>
        <v>0</v>
      </c>
      <c r="F552" s="75" t="n">
        <f aca="false">N(ABS($AW$463)&gt;Tolerance)</f>
        <v>0</v>
      </c>
      <c r="G552" s="75" t="n">
        <f aca="false">N(ABS($AW$520)&gt;Tolerance)</f>
        <v>0</v>
      </c>
      <c r="H552" s="75" t="n">
        <f aca="false">SUM(E552:G552)</f>
        <v>0</v>
      </c>
    </row>
    <row r="553" customFormat="false" ht="14.25" hidden="false" customHeight="false" outlineLevel="0" collapsed="false">
      <c r="C553" s="6" t="s">
        <v>362</v>
      </c>
      <c r="D553" s="2" t="s">
        <v>2</v>
      </c>
      <c r="E553" s="75" t="n">
        <f aca="false">N(E358&gt;Tolerance)+N(E303&gt;Tolerance)</f>
        <v>0</v>
      </c>
      <c r="F553" s="75" t="n">
        <f aca="false">N(F358&gt;Tolerance)+N(F303&gt;Tolerance)</f>
        <v>0</v>
      </c>
      <c r="G553" s="75" t="n">
        <f aca="false">N(G358&gt;Tolerance)+N(G303&gt;Tolerance)</f>
        <v>0</v>
      </c>
      <c r="H553" s="75" t="n">
        <f aca="false">SUM(E553:G553)</f>
        <v>0</v>
      </c>
    </row>
    <row r="554" customFormat="false" ht="14.25" hidden="false" customHeight="false" outlineLevel="0" collapsed="false">
      <c r="C554" s="6" t="s">
        <v>363</v>
      </c>
      <c r="D554" s="2" t="s">
        <v>2</v>
      </c>
      <c r="E554" s="75"/>
      <c r="F554" s="75"/>
      <c r="G554" s="75"/>
      <c r="H554" s="75" t="n">
        <f aca="false">SUMPRODUCT(--ISERROR(E109:H149))</f>
        <v>0</v>
      </c>
    </row>
    <row r="555" customFormat="false" ht="14.25" hidden="false" customHeight="false" outlineLevel="0" collapsed="false">
      <c r="C555" s="1" t="s">
        <v>364</v>
      </c>
      <c r="D555" s="2" t="s">
        <v>2</v>
      </c>
      <c r="H555" s="77" t="n">
        <f aca="false">SUM(H543:H554)</f>
        <v>0</v>
      </c>
    </row>
    <row r="557" customFormat="false" ht="14.25" hidden="false" customHeight="false" outlineLevel="0" collapsed="false">
      <c r="C557" s="78" t="s">
        <v>365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555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5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111" activePane="bottomRight" state="frozen"/>
      <selection pane="topLeft" activeCell="A1" activeCellId="0" sqref="A1"/>
      <selection pane="topRight" activeCell="E1" activeCellId="0" sqref="E1"/>
      <selection pane="bottomLeft" activeCell="A111" activeCellId="0" sqref="A111"/>
      <selection pane="bottomRight" activeCell="C124" activeCellId="0" sqref="C124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366</v>
      </c>
    </row>
    <row r="4" customFormat="false" ht="14.25" hidden="false" customHeight="false" outlineLevel="0" collapsed="false">
      <c r="B4" s="4" t="s">
        <v>3</v>
      </c>
      <c r="C4" s="4" t="s">
        <v>367</v>
      </c>
      <c r="D4" s="4"/>
      <c r="E4" s="5" t="s">
        <v>5</v>
      </c>
      <c r="F4" s="5" t="s">
        <v>6</v>
      </c>
      <c r="G4" s="5" t="s">
        <v>7</v>
      </c>
      <c r="H4" s="4" t="s">
        <v>368</v>
      </c>
    </row>
    <row r="5" customFormat="false" ht="14.25" hidden="false" customHeight="false" outlineLevel="0" collapsed="false">
      <c r="C5" s="42" t="s">
        <v>369</v>
      </c>
      <c r="D5" s="42"/>
      <c r="E5" s="43"/>
      <c r="F5" s="43"/>
      <c r="G5" s="43"/>
      <c r="H5" s="43"/>
    </row>
    <row r="6" customFormat="false" ht="14.25" hidden="false" customHeight="false" outlineLevel="0" collapsed="false">
      <c r="C6" s="6" t="s">
        <v>370</v>
      </c>
      <c r="D6" s="2" t="s">
        <v>371</v>
      </c>
      <c r="E6" s="7" t="n">
        <v>365</v>
      </c>
      <c r="H6" s="2" t="s">
        <v>372</v>
      </c>
    </row>
    <row r="7" customFormat="false" ht="14.25" hidden="false" customHeight="false" outlineLevel="0" collapsed="false">
      <c r="C7" s="6" t="s">
        <v>373</v>
      </c>
      <c r="D7" s="2" t="s">
        <v>374</v>
      </c>
      <c r="E7" s="7" t="n">
        <v>406000000</v>
      </c>
      <c r="H7" s="2" t="s">
        <v>375</v>
      </c>
    </row>
    <row r="8" customFormat="false" ht="14.25" hidden="false" customHeight="false" outlineLevel="0" collapsed="false">
      <c r="C8" s="6" t="s">
        <v>376</v>
      </c>
      <c r="D8" s="2" t="s">
        <v>377</v>
      </c>
      <c r="E8" s="7" t="n">
        <v>200000000</v>
      </c>
      <c r="H8" s="2" t="s">
        <v>378</v>
      </c>
    </row>
    <row r="9" customFormat="false" ht="14.25" hidden="false" customHeight="false" outlineLevel="0" collapsed="false">
      <c r="C9" s="6" t="s">
        <v>379</v>
      </c>
      <c r="D9" s="2" t="s">
        <v>12</v>
      </c>
      <c r="E9" s="9" t="n">
        <v>0.005</v>
      </c>
      <c r="H9" s="2" t="s">
        <v>380</v>
      </c>
    </row>
    <row r="10" customFormat="false" ht="14.25" hidden="false" customHeight="false" outlineLevel="0" collapsed="false">
      <c r="C10" s="6" t="s">
        <v>381</v>
      </c>
      <c r="D10" s="2" t="s">
        <v>12</v>
      </c>
      <c r="E10" s="9" t="n">
        <v>0.025</v>
      </c>
      <c r="H10" s="2" t="s">
        <v>382</v>
      </c>
    </row>
    <row r="11" customFormat="false" ht="14.25" hidden="false" customHeight="false" outlineLevel="0" collapsed="false">
      <c r="C11" s="6" t="s">
        <v>383</v>
      </c>
      <c r="D11" s="2" t="s">
        <v>74</v>
      </c>
      <c r="E11" s="7" t="n">
        <v>3000000</v>
      </c>
      <c r="H11" s="2" t="s">
        <v>384</v>
      </c>
    </row>
    <row r="12" customFormat="false" ht="14.25" hidden="false" customHeight="false" outlineLevel="0" collapsed="false">
      <c r="C12" s="6" t="s">
        <v>77</v>
      </c>
      <c r="D12" s="2" t="s">
        <v>385</v>
      </c>
      <c r="E12" s="7" t="n">
        <v>4500000</v>
      </c>
      <c r="H12" s="2" t="s">
        <v>386</v>
      </c>
    </row>
    <row r="13" customFormat="false" ht="14.25" hidden="false" customHeight="false" outlineLevel="0" collapsed="false">
      <c r="C13" s="42" t="s">
        <v>387</v>
      </c>
      <c r="D13" s="42"/>
      <c r="E13" s="43"/>
      <c r="F13" s="43"/>
      <c r="G13" s="43"/>
      <c r="H13" s="43"/>
    </row>
    <row r="14" customFormat="false" ht="14.25" hidden="false" customHeight="false" outlineLevel="0" collapsed="false">
      <c r="C14" s="6" t="s">
        <v>388</v>
      </c>
      <c r="D14" s="2" t="s">
        <v>385</v>
      </c>
      <c r="E14" s="7" t="n">
        <v>73071306</v>
      </c>
      <c r="F14" s="7" t="n">
        <v>19826680</v>
      </c>
      <c r="G14" s="7" t="n">
        <v>19826680</v>
      </c>
      <c r="H14" s="2" t="s">
        <v>389</v>
      </c>
    </row>
    <row r="15" customFormat="false" ht="14.25" hidden="false" customHeight="false" outlineLevel="0" collapsed="false">
      <c r="C15" s="6" t="s">
        <v>390</v>
      </c>
      <c r="D15" s="2" t="s">
        <v>74</v>
      </c>
      <c r="E15" s="7" t="n">
        <v>508345804</v>
      </c>
      <c r="F15" s="7" t="n">
        <v>460000000</v>
      </c>
      <c r="G15" s="7" t="n">
        <v>460000000</v>
      </c>
      <c r="H15" s="2" t="s">
        <v>391</v>
      </c>
    </row>
    <row r="16" customFormat="false" ht="14.25" hidden="false" customHeight="false" outlineLevel="0" collapsed="false">
      <c r="C16" s="6" t="s">
        <v>392</v>
      </c>
      <c r="D16" s="2" t="s">
        <v>393</v>
      </c>
      <c r="E16" s="11" t="n">
        <v>2</v>
      </c>
      <c r="F16" s="11" t="n">
        <v>1</v>
      </c>
      <c r="G16" s="11" t="n">
        <v>1</v>
      </c>
      <c r="H16" s="2" t="s">
        <v>394</v>
      </c>
    </row>
    <row r="17" customFormat="false" ht="14.25" hidden="false" customHeight="false" outlineLevel="0" collapsed="false">
      <c r="C17" s="6" t="s">
        <v>82</v>
      </c>
      <c r="D17" s="2" t="s">
        <v>85</v>
      </c>
      <c r="E17" s="7" t="n">
        <v>135</v>
      </c>
      <c r="F17" s="7" t="n">
        <v>135</v>
      </c>
      <c r="G17" s="7" t="n">
        <v>135</v>
      </c>
      <c r="H17" s="2" t="s">
        <v>395</v>
      </c>
    </row>
    <row r="18" customFormat="false" ht="14.25" hidden="false" customHeight="false" outlineLevel="0" collapsed="false">
      <c r="C18" s="6" t="s">
        <v>396</v>
      </c>
      <c r="D18" s="2" t="s">
        <v>3</v>
      </c>
      <c r="E18" s="12" t="n">
        <v>0.25</v>
      </c>
      <c r="F18" s="12" t="n">
        <v>0.25</v>
      </c>
      <c r="G18" s="12" t="n">
        <v>0.25</v>
      </c>
      <c r="H18" s="2" t="s">
        <v>397</v>
      </c>
    </row>
    <row r="19" customFormat="false" ht="14.25" hidden="false" customHeight="false" outlineLevel="0" collapsed="false">
      <c r="C19" s="6" t="s">
        <v>398</v>
      </c>
      <c r="D19" s="2" t="s">
        <v>2</v>
      </c>
      <c r="E19" s="11" t="n">
        <v>0</v>
      </c>
      <c r="F19" s="11" t="n">
        <v>0</v>
      </c>
      <c r="G19" s="11" t="n">
        <v>0</v>
      </c>
      <c r="H19" s="2" t="s">
        <v>399</v>
      </c>
    </row>
    <row r="20" customFormat="false" ht="14.25" hidden="false" customHeight="false" outlineLevel="0" collapsed="false">
      <c r="C20" s="6" t="s">
        <v>400</v>
      </c>
      <c r="D20" s="2" t="s">
        <v>168</v>
      </c>
      <c r="E20" s="79" t="n">
        <v>46234</v>
      </c>
      <c r="F20" s="79" t="n">
        <v>46234</v>
      </c>
      <c r="G20" s="79" t="n">
        <v>46234</v>
      </c>
      <c r="H20" s="2" t="s">
        <v>401</v>
      </c>
    </row>
    <row r="21" customFormat="false" ht="14.25" hidden="false" customHeight="false" outlineLevel="0" collapsed="false">
      <c r="C21" s="6" t="s">
        <v>402</v>
      </c>
      <c r="D21" s="2" t="s">
        <v>168</v>
      </c>
      <c r="E21" s="79" t="n">
        <v>46325</v>
      </c>
      <c r="F21" s="79" t="n">
        <v>46325</v>
      </c>
      <c r="G21" s="79" t="n">
        <v>46325</v>
      </c>
      <c r="H21" s="2" t="s">
        <v>403</v>
      </c>
    </row>
    <row r="22" customFormat="false" ht="14.25" hidden="false" customHeight="false" outlineLevel="0" collapsed="false">
      <c r="C22" s="6" t="s">
        <v>404</v>
      </c>
      <c r="D22" s="2" t="s">
        <v>168</v>
      </c>
      <c r="E22" s="79" t="n">
        <v>46402</v>
      </c>
      <c r="F22" s="79" t="n">
        <v>46402</v>
      </c>
      <c r="G22" s="79" t="n">
        <v>46402</v>
      </c>
      <c r="H22" s="2" t="s">
        <v>405</v>
      </c>
    </row>
    <row r="23" customFormat="false" ht="14.25" hidden="false" customHeight="false" outlineLevel="0" collapsed="false">
      <c r="C23" s="6" t="s">
        <v>406</v>
      </c>
      <c r="D23" s="2" t="s">
        <v>168</v>
      </c>
      <c r="E23" s="79" t="n">
        <v>46402</v>
      </c>
      <c r="F23" s="79" t="n">
        <v>46402</v>
      </c>
      <c r="G23" s="79" t="n">
        <v>46402</v>
      </c>
      <c r="H23" s="2" t="s">
        <v>407</v>
      </c>
    </row>
    <row r="24" customFormat="false" ht="14.25" hidden="false" customHeight="false" outlineLevel="0" collapsed="false">
      <c r="C24" s="6" t="s">
        <v>408</v>
      </c>
      <c r="D24" s="2" t="s">
        <v>168</v>
      </c>
      <c r="E24" s="79" t="n">
        <v>47027</v>
      </c>
      <c r="F24" s="79" t="n">
        <v>47027</v>
      </c>
      <c r="G24" s="79" t="n">
        <v>47027</v>
      </c>
      <c r="H24" s="2" t="s">
        <v>409</v>
      </c>
    </row>
    <row r="25" customFormat="false" ht="14.25" hidden="false" customHeight="false" outlineLevel="0" collapsed="false">
      <c r="C25" s="6" t="s">
        <v>410</v>
      </c>
      <c r="D25" s="2" t="s">
        <v>168</v>
      </c>
      <c r="E25" s="79" t="n">
        <v>47299</v>
      </c>
      <c r="F25" s="79" t="n">
        <v>47299</v>
      </c>
      <c r="G25" s="79" t="n">
        <v>47299</v>
      </c>
      <c r="H25" s="2" t="s">
        <v>411</v>
      </c>
    </row>
    <row r="26" customFormat="false" ht="14.25" hidden="false" customHeight="false" outlineLevel="0" collapsed="false">
      <c r="C26" s="6" t="s">
        <v>412</v>
      </c>
      <c r="D26" s="2" t="s">
        <v>168</v>
      </c>
      <c r="E26" s="79" t="n">
        <v>48029</v>
      </c>
      <c r="F26" s="79" t="n">
        <v>48029</v>
      </c>
      <c r="G26" s="79" t="n">
        <v>48029</v>
      </c>
      <c r="H26" s="2" t="s">
        <v>413</v>
      </c>
    </row>
    <row r="27" customFormat="false" ht="14.25" hidden="false" customHeight="false" outlineLevel="0" collapsed="false">
      <c r="C27" s="6" t="s">
        <v>414</v>
      </c>
      <c r="D27" s="2" t="s">
        <v>168</v>
      </c>
      <c r="E27" s="79" t="n">
        <v>48669</v>
      </c>
      <c r="F27" s="79" t="n">
        <v>48669</v>
      </c>
      <c r="G27" s="79" t="n">
        <v>48669</v>
      </c>
      <c r="H27" s="2" t="s">
        <v>415</v>
      </c>
    </row>
    <row r="28" customFormat="false" ht="14.25" hidden="false" customHeight="false" outlineLevel="0" collapsed="false">
      <c r="C28" s="6" t="s">
        <v>416</v>
      </c>
      <c r="D28" s="2" t="s">
        <v>168</v>
      </c>
      <c r="E28" s="79" t="n">
        <v>46325</v>
      </c>
      <c r="F28" s="79" t="n">
        <v>46325</v>
      </c>
      <c r="G28" s="79" t="n">
        <v>46325</v>
      </c>
      <c r="H28" s="2" t="s">
        <v>417</v>
      </c>
    </row>
    <row r="29" customFormat="false" ht="14.25" hidden="false" customHeight="false" outlineLevel="0" collapsed="false">
      <c r="C29" s="42" t="s">
        <v>418</v>
      </c>
      <c r="D29" s="42"/>
      <c r="E29" s="43"/>
      <c r="F29" s="43"/>
      <c r="G29" s="43"/>
      <c r="H29" s="43"/>
    </row>
    <row r="30" customFormat="false" ht="14.25" hidden="false" customHeight="false" outlineLevel="0" collapsed="false">
      <c r="C30" s="6" t="s">
        <v>419</v>
      </c>
      <c r="D30" s="2" t="s">
        <v>12</v>
      </c>
      <c r="E30" s="9" t="n">
        <v>0.12</v>
      </c>
      <c r="H30" s="2" t="s">
        <v>420</v>
      </c>
    </row>
    <row r="31" customFormat="false" ht="14.25" hidden="false" customHeight="false" outlineLevel="0" collapsed="false">
      <c r="C31" s="6" t="s">
        <v>421</v>
      </c>
      <c r="D31" s="2" t="s">
        <v>12</v>
      </c>
      <c r="E31" s="9" t="n">
        <v>0.2</v>
      </c>
      <c r="H31" s="2" t="s">
        <v>422</v>
      </c>
    </row>
    <row r="32" customFormat="false" ht="14.25" hidden="false" customHeight="false" outlineLevel="0" collapsed="false">
      <c r="C32" s="6" t="s">
        <v>423</v>
      </c>
      <c r="D32" s="2" t="s">
        <v>3</v>
      </c>
      <c r="E32" s="12" t="n">
        <v>2</v>
      </c>
      <c r="H32" s="2" t="s">
        <v>424</v>
      </c>
    </row>
    <row r="33" customFormat="false" ht="14.25" hidden="false" customHeight="false" outlineLevel="0" collapsed="false">
      <c r="C33" s="6" t="s">
        <v>425</v>
      </c>
      <c r="D33" s="2" t="s">
        <v>168</v>
      </c>
      <c r="E33" s="79" t="n">
        <v>47299</v>
      </c>
      <c r="H33" s="2" t="s">
        <v>426</v>
      </c>
    </row>
    <row r="34" customFormat="false" ht="14.25" hidden="false" customHeight="false" outlineLevel="0" collapsed="false">
      <c r="C34" s="6" t="s">
        <v>427</v>
      </c>
      <c r="D34" s="2" t="s">
        <v>168</v>
      </c>
      <c r="E34" s="79" t="n">
        <v>47391</v>
      </c>
      <c r="H34" s="2" t="s">
        <v>428</v>
      </c>
    </row>
    <row r="35" customFormat="false" ht="14.25" hidden="false" customHeight="false" outlineLevel="0" collapsed="false">
      <c r="C35" s="6" t="s">
        <v>429</v>
      </c>
      <c r="D35" s="2" t="s">
        <v>168</v>
      </c>
      <c r="E35" s="79" t="n">
        <v>47026</v>
      </c>
      <c r="H35" s="2" t="s">
        <v>430</v>
      </c>
    </row>
    <row r="36" customFormat="false" ht="14.25" hidden="false" customHeight="false" outlineLevel="0" collapsed="false">
      <c r="C36" s="6" t="s">
        <v>431</v>
      </c>
      <c r="D36" s="2" t="s">
        <v>85</v>
      </c>
      <c r="E36" s="7" t="n">
        <v>250</v>
      </c>
      <c r="H36" s="2" t="s">
        <v>432</v>
      </c>
    </row>
    <row r="37" customFormat="false" ht="14.25" hidden="false" customHeight="false" outlineLevel="0" collapsed="false">
      <c r="C37" s="6" t="s">
        <v>433</v>
      </c>
      <c r="D37" s="2" t="s">
        <v>51</v>
      </c>
      <c r="E37" s="10" t="n">
        <v>2.5</v>
      </c>
      <c r="H37" s="2" t="s">
        <v>434</v>
      </c>
    </row>
    <row r="38" customFormat="false" ht="14.25" hidden="false" customHeight="false" outlineLevel="0" collapsed="false">
      <c r="C38" s="6" t="s">
        <v>435</v>
      </c>
      <c r="D38" s="2" t="s">
        <v>42</v>
      </c>
      <c r="E38" s="10" t="n">
        <v>10</v>
      </c>
      <c r="H38" s="2" t="s">
        <v>436</v>
      </c>
    </row>
    <row r="39" customFormat="false" ht="14.25" hidden="false" customHeight="false" outlineLevel="0" collapsed="false">
      <c r="C39" s="6" t="s">
        <v>437</v>
      </c>
      <c r="D39" s="2" t="s">
        <v>12</v>
      </c>
      <c r="E39" s="9" t="n">
        <v>0.15</v>
      </c>
      <c r="H39" s="2" t="s">
        <v>438</v>
      </c>
    </row>
    <row r="40" customFormat="false" ht="14.25" hidden="false" customHeight="false" outlineLevel="0" collapsed="false">
      <c r="C40" s="6" t="s">
        <v>439</v>
      </c>
      <c r="D40" s="2" t="s">
        <v>2</v>
      </c>
      <c r="E40" s="11" t="n">
        <v>1</v>
      </c>
      <c r="H40" s="2" t="s">
        <v>440</v>
      </c>
    </row>
    <row r="41" customFormat="false" ht="14.25" hidden="false" customHeight="false" outlineLevel="0" collapsed="false">
      <c r="C41" s="42" t="s">
        <v>441</v>
      </c>
      <c r="D41" s="42"/>
      <c r="E41" s="43"/>
      <c r="F41" s="43"/>
      <c r="G41" s="43"/>
      <c r="H41" s="43"/>
    </row>
    <row r="42" customFormat="false" ht="14.25" hidden="false" customHeight="false" outlineLevel="0" collapsed="false">
      <c r="C42" s="6" t="s">
        <v>442</v>
      </c>
      <c r="D42" s="2" t="s">
        <v>293</v>
      </c>
      <c r="E42" s="11" t="n">
        <v>20</v>
      </c>
      <c r="H42" s="2" t="s">
        <v>443</v>
      </c>
    </row>
    <row r="43" customFormat="false" ht="14.25" hidden="false" customHeight="false" outlineLevel="0" collapsed="false">
      <c r="C43" s="6" t="s">
        <v>444</v>
      </c>
      <c r="D43" s="2" t="s">
        <v>12</v>
      </c>
      <c r="E43" s="9" t="n">
        <v>0.6</v>
      </c>
      <c r="H43" s="2" t="s">
        <v>445</v>
      </c>
    </row>
    <row r="44" customFormat="false" ht="14.25" hidden="false" customHeight="false" outlineLevel="0" collapsed="false">
      <c r="C44" s="6" t="s">
        <v>446</v>
      </c>
      <c r="D44" s="2" t="s">
        <v>12</v>
      </c>
      <c r="E44" s="9" t="n">
        <v>0.05</v>
      </c>
      <c r="H44" s="2" t="s">
        <v>447</v>
      </c>
    </row>
    <row r="45" customFormat="false" ht="14.25" hidden="false" customHeight="false" outlineLevel="0" collapsed="false">
      <c r="C45" s="6" t="s">
        <v>448</v>
      </c>
      <c r="D45" s="2" t="s">
        <v>293</v>
      </c>
      <c r="E45" s="11" t="n">
        <v>15</v>
      </c>
      <c r="H45" s="2" t="s">
        <v>449</v>
      </c>
    </row>
    <row r="46" customFormat="false" ht="14.25" hidden="false" customHeight="false" outlineLevel="0" collapsed="false">
      <c r="C46" s="6" t="s">
        <v>450</v>
      </c>
      <c r="D46" s="2" t="s">
        <v>12</v>
      </c>
      <c r="E46" s="9" t="n">
        <v>0.0175</v>
      </c>
      <c r="H46" s="2" t="s">
        <v>451</v>
      </c>
    </row>
    <row r="47" customFormat="false" ht="14.25" hidden="false" customHeight="false" outlineLevel="0" collapsed="false">
      <c r="C47" s="6" t="s">
        <v>452</v>
      </c>
      <c r="D47" s="2" t="s">
        <v>12</v>
      </c>
      <c r="E47" s="9" t="n">
        <v>0.5</v>
      </c>
      <c r="H47" s="2" t="s">
        <v>453</v>
      </c>
    </row>
    <row r="48" customFormat="false" ht="14.25" hidden="false" customHeight="false" outlineLevel="0" collapsed="false">
      <c r="C48" s="42" t="s">
        <v>454</v>
      </c>
      <c r="D48" s="42"/>
      <c r="E48" s="43"/>
      <c r="F48" s="43"/>
      <c r="G48" s="43"/>
      <c r="H48" s="43"/>
    </row>
    <row r="49" customFormat="false" ht="14.25" hidden="false" customHeight="false" outlineLevel="0" collapsed="false">
      <c r="C49" s="6" t="s">
        <v>455</v>
      </c>
      <c r="D49" s="2" t="s">
        <v>42</v>
      </c>
      <c r="E49" s="7" t="n">
        <v>80</v>
      </c>
      <c r="H49" s="2" t="s">
        <v>456</v>
      </c>
    </row>
    <row r="50" customFormat="false" ht="14.25" hidden="false" customHeight="false" outlineLevel="0" collapsed="false">
      <c r="C50" s="6" t="s">
        <v>102</v>
      </c>
      <c r="D50" s="2" t="s">
        <v>42</v>
      </c>
      <c r="E50" s="7" t="n">
        <v>90</v>
      </c>
      <c r="H50" s="2" t="s">
        <v>457</v>
      </c>
    </row>
    <row r="51" customFormat="false" ht="14.25" hidden="false" customHeight="false" outlineLevel="0" collapsed="false">
      <c r="C51" s="6" t="s">
        <v>103</v>
      </c>
      <c r="D51" s="2" t="s">
        <v>42</v>
      </c>
      <c r="E51" s="7" t="n">
        <v>70</v>
      </c>
      <c r="H51" s="2" t="s">
        <v>458</v>
      </c>
    </row>
    <row r="52" customFormat="false" ht="14.25" hidden="false" customHeight="false" outlineLevel="0" collapsed="false">
      <c r="C52" s="6" t="s">
        <v>104</v>
      </c>
      <c r="D52" s="2" t="s">
        <v>42</v>
      </c>
      <c r="E52" s="7" t="n">
        <v>60</v>
      </c>
      <c r="H52" s="2" t="s">
        <v>459</v>
      </c>
    </row>
    <row r="53" customFormat="false" ht="14.25" hidden="false" customHeight="false" outlineLevel="0" collapsed="false">
      <c r="C53" s="6" t="s">
        <v>105</v>
      </c>
      <c r="D53" s="2" t="s">
        <v>42</v>
      </c>
      <c r="E53" s="7" t="n">
        <v>40</v>
      </c>
      <c r="H53" s="2" t="s">
        <v>460</v>
      </c>
    </row>
    <row r="54" customFormat="false" ht="14.25" hidden="false" customHeight="false" outlineLevel="0" collapsed="false">
      <c r="C54" s="6" t="s">
        <v>106</v>
      </c>
      <c r="D54" s="2" t="s">
        <v>42</v>
      </c>
      <c r="E54" s="7" t="n">
        <v>0</v>
      </c>
      <c r="H54" s="2" t="s">
        <v>461</v>
      </c>
    </row>
    <row r="55" customFormat="false" ht="14.25" hidden="false" customHeight="false" outlineLevel="0" collapsed="false">
      <c r="C55" s="6" t="s">
        <v>462</v>
      </c>
      <c r="D55" s="2" t="s">
        <v>85</v>
      </c>
      <c r="E55" s="7" t="n">
        <v>12000</v>
      </c>
      <c r="H55" s="2" t="s">
        <v>463</v>
      </c>
    </row>
    <row r="56" customFormat="false" ht="14.25" hidden="false" customHeight="false" outlineLevel="0" collapsed="false">
      <c r="C56" s="6" t="s">
        <v>464</v>
      </c>
      <c r="D56" s="2" t="s">
        <v>10</v>
      </c>
      <c r="E56" s="7" t="n">
        <v>200</v>
      </c>
      <c r="H56" s="2" t="s">
        <v>465</v>
      </c>
    </row>
    <row r="57" customFormat="false" ht="14.25" hidden="false" customHeight="false" outlineLevel="0" collapsed="false">
      <c r="C57" s="6" t="s">
        <v>466</v>
      </c>
      <c r="D57" s="2" t="s">
        <v>12</v>
      </c>
      <c r="E57" s="9" t="n">
        <v>0.05</v>
      </c>
      <c r="H57" s="2" t="s">
        <v>467</v>
      </c>
    </row>
    <row r="58" customFormat="false" ht="14.25" hidden="false" customHeight="false" outlineLevel="0" collapsed="false">
      <c r="C58" s="6" t="s">
        <v>468</v>
      </c>
      <c r="D58" s="2" t="s">
        <v>469</v>
      </c>
      <c r="E58" s="7" t="n">
        <v>100</v>
      </c>
      <c r="H58" s="2" t="s">
        <v>470</v>
      </c>
    </row>
    <row r="59" customFormat="false" ht="14.25" hidden="false" customHeight="false" outlineLevel="0" collapsed="false">
      <c r="C59" s="42" t="s">
        <v>471</v>
      </c>
      <c r="D59" s="42"/>
      <c r="E59" s="43"/>
      <c r="F59" s="43"/>
      <c r="G59" s="43"/>
      <c r="H59" s="43"/>
    </row>
    <row r="60" customFormat="false" ht="14.25" hidden="false" customHeight="false" outlineLevel="0" collapsed="false">
      <c r="C60" s="6" t="s">
        <v>472</v>
      </c>
      <c r="D60" s="2" t="s">
        <v>12</v>
      </c>
      <c r="E60" s="9" t="n">
        <v>0.02</v>
      </c>
      <c r="H60" s="2" t="s">
        <v>473</v>
      </c>
    </row>
    <row r="61" customFormat="false" ht="14.25" hidden="false" customHeight="false" outlineLevel="0" collapsed="false">
      <c r="C61" s="6" t="s">
        <v>474</v>
      </c>
      <c r="D61" s="2" t="s">
        <v>12</v>
      </c>
      <c r="E61" s="9" t="n">
        <v>0.04</v>
      </c>
      <c r="H61" s="2" t="s">
        <v>475</v>
      </c>
    </row>
    <row r="62" customFormat="false" ht="14.25" hidden="false" customHeight="false" outlineLevel="0" collapsed="false">
      <c r="C62" s="6" t="s">
        <v>476</v>
      </c>
      <c r="D62" s="2" t="s">
        <v>477</v>
      </c>
      <c r="E62" s="9" t="n">
        <v>0.003</v>
      </c>
      <c r="H62" s="2" t="s">
        <v>478</v>
      </c>
    </row>
    <row r="63" customFormat="false" ht="14.25" hidden="false" customHeight="false" outlineLevel="0" collapsed="false">
      <c r="C63" s="6" t="s">
        <v>479</v>
      </c>
      <c r="D63" s="2" t="s">
        <v>477</v>
      </c>
      <c r="E63" s="9" t="n">
        <v>0.01</v>
      </c>
      <c r="H63" s="2" t="s">
        <v>480</v>
      </c>
    </row>
    <row r="64" customFormat="false" ht="14.25" hidden="false" customHeight="false" outlineLevel="0" collapsed="false">
      <c r="C64" s="42" t="s">
        <v>481</v>
      </c>
      <c r="D64" s="42"/>
      <c r="E64" s="43"/>
      <c r="F64" s="43"/>
      <c r="G64" s="43"/>
      <c r="H64" s="43"/>
    </row>
    <row r="65" customFormat="false" ht="14.25" hidden="false" customHeight="false" outlineLevel="0" collapsed="false">
      <c r="C65" s="6" t="s">
        <v>482</v>
      </c>
      <c r="D65" s="2" t="s">
        <v>51</v>
      </c>
      <c r="E65" s="10" t="n">
        <v>3</v>
      </c>
      <c r="H65" s="2" t="s">
        <v>483</v>
      </c>
    </row>
    <row r="66" customFormat="false" ht="14.25" hidden="false" customHeight="false" outlineLevel="0" collapsed="false">
      <c r="C66" s="6" t="s">
        <v>484</v>
      </c>
      <c r="D66" s="2" t="s">
        <v>51</v>
      </c>
      <c r="E66" s="10" t="n">
        <v>3</v>
      </c>
      <c r="H66" s="2" t="s">
        <v>485</v>
      </c>
    </row>
    <row r="67" customFormat="false" ht="14.25" hidden="false" customHeight="false" outlineLevel="0" collapsed="false">
      <c r="C67" s="6" t="s">
        <v>486</v>
      </c>
      <c r="D67" s="2" t="s">
        <v>51</v>
      </c>
      <c r="E67" s="10" t="n">
        <v>2.5</v>
      </c>
      <c r="H67" s="2" t="s">
        <v>487</v>
      </c>
    </row>
    <row r="68" customFormat="false" ht="14.25" hidden="false" customHeight="false" outlineLevel="0" collapsed="false">
      <c r="C68" s="6" t="s">
        <v>488</v>
      </c>
      <c r="D68" s="2" t="s">
        <v>51</v>
      </c>
      <c r="E68" s="10" t="n">
        <v>1.5</v>
      </c>
      <c r="H68" s="2" t="s">
        <v>489</v>
      </c>
    </row>
    <row r="69" customFormat="false" ht="14.25" hidden="false" customHeight="false" outlineLevel="0" collapsed="false">
      <c r="C69" s="6" t="s">
        <v>490</v>
      </c>
      <c r="D69" s="2" t="s">
        <v>51</v>
      </c>
      <c r="E69" s="10" t="n">
        <v>3</v>
      </c>
      <c r="H69" s="2" t="s">
        <v>491</v>
      </c>
    </row>
    <row r="70" customFormat="false" ht="14.25" hidden="false" customHeight="false" outlineLevel="0" collapsed="false">
      <c r="C70" s="6" t="s">
        <v>492</v>
      </c>
      <c r="D70" s="2" t="s">
        <v>493</v>
      </c>
      <c r="E70" s="7" t="n">
        <v>150</v>
      </c>
      <c r="H70" s="2" t="s">
        <v>494</v>
      </c>
    </row>
    <row r="71" customFormat="false" ht="14.25" hidden="false" customHeight="false" outlineLevel="0" collapsed="false">
      <c r="C71" s="6" t="s">
        <v>495</v>
      </c>
      <c r="D71" s="2" t="s">
        <v>20</v>
      </c>
      <c r="E71" s="10" t="n">
        <v>4</v>
      </c>
      <c r="H71" s="2" t="s">
        <v>496</v>
      </c>
    </row>
    <row r="72" customFormat="false" ht="14.25" hidden="false" customHeight="false" outlineLevel="0" collapsed="false">
      <c r="C72" s="6" t="s">
        <v>497</v>
      </c>
      <c r="D72" s="2" t="s">
        <v>20</v>
      </c>
      <c r="E72" s="10" t="n">
        <v>1</v>
      </c>
      <c r="H72" s="2" t="s">
        <v>498</v>
      </c>
    </row>
    <row r="73" customFormat="false" ht="14.25" hidden="false" customHeight="false" outlineLevel="0" collapsed="false">
      <c r="C73" s="6" t="s">
        <v>313</v>
      </c>
      <c r="D73" s="2" t="s">
        <v>499</v>
      </c>
      <c r="E73" s="9" t="n">
        <v>0.001</v>
      </c>
      <c r="H73" s="2" t="s">
        <v>500</v>
      </c>
    </row>
    <row r="74" customFormat="false" ht="14.25" hidden="false" customHeight="false" outlineLevel="0" collapsed="false">
      <c r="C74" s="6" t="s">
        <v>316</v>
      </c>
      <c r="D74" s="2" t="s">
        <v>499</v>
      </c>
      <c r="E74" s="9" t="n">
        <v>0.02</v>
      </c>
      <c r="H74" s="2" t="s">
        <v>501</v>
      </c>
    </row>
    <row r="75" customFormat="false" ht="14.25" hidden="false" customHeight="false" outlineLevel="0" collapsed="false">
      <c r="C75" s="6" t="s">
        <v>502</v>
      </c>
      <c r="D75" s="2" t="s">
        <v>12</v>
      </c>
      <c r="E75" s="9" t="n">
        <v>0.05</v>
      </c>
      <c r="H75" s="2" t="s">
        <v>503</v>
      </c>
    </row>
    <row r="76" customFormat="false" ht="14.25" hidden="false" customHeight="false" outlineLevel="0" collapsed="false">
      <c r="C76" s="6" t="s">
        <v>504</v>
      </c>
      <c r="D76" s="2" t="s">
        <v>477</v>
      </c>
      <c r="E76" s="9" t="n">
        <v>0.025</v>
      </c>
      <c r="H76" s="2" t="s">
        <v>505</v>
      </c>
    </row>
    <row r="77" customFormat="false" ht="14.25" hidden="false" customHeight="false" outlineLevel="0" collapsed="false">
      <c r="C77" s="42" t="s">
        <v>506</v>
      </c>
      <c r="D77" s="42"/>
      <c r="E77" s="43"/>
      <c r="F77" s="43"/>
      <c r="G77" s="43"/>
      <c r="H77" s="43"/>
    </row>
    <row r="78" customFormat="false" ht="14.25" hidden="false" customHeight="false" outlineLevel="0" collapsed="false">
      <c r="C78" s="6" t="s">
        <v>507</v>
      </c>
      <c r="D78" s="2" t="s">
        <v>293</v>
      </c>
      <c r="E78" s="11" t="n">
        <v>30</v>
      </c>
      <c r="H78" s="2" t="s">
        <v>508</v>
      </c>
    </row>
    <row r="79" customFormat="false" ht="14.25" hidden="false" customHeight="false" outlineLevel="0" collapsed="false">
      <c r="C79" s="6" t="s">
        <v>509</v>
      </c>
      <c r="D79" s="2" t="s">
        <v>12</v>
      </c>
      <c r="E79" s="9" t="n">
        <v>0.08</v>
      </c>
      <c r="H79" s="2" t="s">
        <v>510</v>
      </c>
    </row>
    <row r="80" customFormat="false" ht="14.25" hidden="false" customHeight="false" outlineLevel="0" collapsed="false">
      <c r="C80" s="6" t="s">
        <v>511</v>
      </c>
      <c r="D80" s="2" t="s">
        <v>156</v>
      </c>
      <c r="E80" s="11" t="n">
        <v>2026</v>
      </c>
      <c r="H80" s="2" t="s">
        <v>512</v>
      </c>
    </row>
    <row r="81" customFormat="false" ht="14.25" hidden="false" customHeight="false" outlineLevel="0" collapsed="false">
      <c r="C81" s="6" t="s">
        <v>513</v>
      </c>
      <c r="D81" s="2" t="s">
        <v>3</v>
      </c>
      <c r="E81" s="7" t="n">
        <v>1000</v>
      </c>
      <c r="H81" s="2" t="s">
        <v>514</v>
      </c>
    </row>
    <row r="82" customFormat="false" ht="14.25" hidden="false" customHeight="false" outlineLevel="0" collapsed="false">
      <c r="C82" s="6" t="s">
        <v>515</v>
      </c>
      <c r="D82" s="2" t="s">
        <v>516</v>
      </c>
      <c r="E82" s="11" t="n">
        <v>365</v>
      </c>
      <c r="H82" s="2" t="s">
        <v>514</v>
      </c>
    </row>
    <row r="83" customFormat="false" ht="14.25" hidden="false" customHeight="false" outlineLevel="0" collapsed="false">
      <c r="C83" s="6" t="s">
        <v>517</v>
      </c>
      <c r="D83" s="2" t="s">
        <v>295</v>
      </c>
      <c r="E83" s="11" t="n">
        <v>12</v>
      </c>
      <c r="H83" s="2" t="s">
        <v>514</v>
      </c>
    </row>
    <row r="84" customFormat="false" ht="14.25" hidden="false" customHeight="false" outlineLevel="0" collapsed="false">
      <c r="C84" s="6" t="s">
        <v>518</v>
      </c>
      <c r="D84" s="2" t="s">
        <v>85</v>
      </c>
      <c r="E84" s="80" t="n">
        <v>0.001</v>
      </c>
      <c r="H84" s="2" t="s">
        <v>514</v>
      </c>
    </row>
    <row r="86" customFormat="false" ht="14.25" hidden="false" customHeight="false" outlineLevel="0" collapsed="false">
      <c r="C86" s="42" t="s">
        <v>519</v>
      </c>
      <c r="D86" s="42"/>
      <c r="E86" s="43"/>
      <c r="F86" s="43"/>
      <c r="G86" s="43"/>
      <c r="H86" s="43"/>
    </row>
    <row r="87" customFormat="false" ht="14.25" hidden="false" customHeight="false" outlineLevel="0" collapsed="false">
      <c r="C87" s="6" t="s">
        <v>520</v>
      </c>
      <c r="D87" s="2" t="s">
        <v>74</v>
      </c>
      <c r="E87" s="7" t="n">
        <v>20590500</v>
      </c>
      <c r="F87" s="79" t="n">
        <v>46431</v>
      </c>
      <c r="G87" s="13" t="s">
        <v>116</v>
      </c>
      <c r="H87" s="2" t="s">
        <v>521</v>
      </c>
    </row>
    <row r="88" customFormat="false" ht="14.25" hidden="false" customHeight="false" outlineLevel="0" collapsed="false">
      <c r="C88" s="6" t="s">
        <v>522</v>
      </c>
      <c r="D88" s="2" t="s">
        <v>74</v>
      </c>
      <c r="E88" s="7" t="n">
        <v>45600000</v>
      </c>
      <c r="F88" s="79" t="n">
        <v>46431</v>
      </c>
      <c r="G88" s="13" t="s">
        <v>116</v>
      </c>
      <c r="H88" s="2" t="s">
        <v>523</v>
      </c>
    </row>
    <row r="89" customFormat="false" ht="14.25" hidden="false" customHeight="false" outlineLevel="0" collapsed="false">
      <c r="C89" s="6" t="s">
        <v>524</v>
      </c>
      <c r="D89" s="2" t="s">
        <v>74</v>
      </c>
      <c r="E89" s="7" t="n">
        <v>59142857.1428571</v>
      </c>
      <c r="F89" s="79" t="n">
        <v>46976</v>
      </c>
      <c r="G89" s="13" t="s">
        <v>525</v>
      </c>
      <c r="H89" s="2" t="s">
        <v>526</v>
      </c>
    </row>
    <row r="90" customFormat="false" ht="14.25" hidden="false" customHeight="false" outlineLevel="0" collapsed="false">
      <c r="C90" s="6" t="s">
        <v>527</v>
      </c>
      <c r="D90" s="2" t="s">
        <v>74</v>
      </c>
      <c r="E90" s="7" t="n">
        <v>750544</v>
      </c>
      <c r="F90" s="79" t="n">
        <v>46976</v>
      </c>
      <c r="G90" s="13" t="s">
        <v>525</v>
      </c>
      <c r="H90" s="2" t="s">
        <v>528</v>
      </c>
    </row>
    <row r="91" customFormat="false" ht="14.25" hidden="false" customHeight="false" outlineLevel="0" collapsed="false">
      <c r="C91" s="6" t="s">
        <v>529</v>
      </c>
      <c r="D91" s="2" t="s">
        <v>74</v>
      </c>
      <c r="E91" s="7" t="n">
        <v>65580000</v>
      </c>
      <c r="F91" s="79" t="n">
        <v>46296</v>
      </c>
      <c r="G91" s="13" t="s">
        <v>525</v>
      </c>
      <c r="H91" s="2" t="s">
        <v>530</v>
      </c>
    </row>
    <row r="92" customFormat="false" ht="14.25" hidden="false" customHeight="false" outlineLevel="0" collapsed="false">
      <c r="C92" s="6" t="s">
        <v>531</v>
      </c>
      <c r="D92" s="2" t="s">
        <v>74</v>
      </c>
      <c r="E92" s="7" t="n">
        <v>147260000</v>
      </c>
      <c r="F92" s="79" t="n">
        <v>46447</v>
      </c>
      <c r="G92" s="13" t="s">
        <v>525</v>
      </c>
      <c r="H92" s="2" t="s">
        <v>532</v>
      </c>
    </row>
    <row r="93" customFormat="false" ht="14.25" hidden="false" customHeight="false" outlineLevel="0" collapsed="false">
      <c r="C93" s="6" t="s">
        <v>533</v>
      </c>
      <c r="D93" s="2" t="s">
        <v>74</v>
      </c>
      <c r="E93" s="7" t="n">
        <v>3600000</v>
      </c>
      <c r="F93" s="79" t="n">
        <v>46388</v>
      </c>
      <c r="G93" s="13" t="s">
        <v>525</v>
      </c>
      <c r="H93" s="2" t="s">
        <v>534</v>
      </c>
    </row>
    <row r="94" customFormat="false" ht="14.25" hidden="false" customHeight="false" outlineLevel="0" collapsed="false">
      <c r="C94" s="6" t="s">
        <v>535</v>
      </c>
      <c r="D94" s="2" t="s">
        <v>74</v>
      </c>
      <c r="E94" s="7" t="n">
        <v>1665000</v>
      </c>
      <c r="F94" s="79" t="n">
        <v>46932</v>
      </c>
      <c r="G94" s="13" t="s">
        <v>525</v>
      </c>
      <c r="H94" s="2" t="s">
        <v>536</v>
      </c>
    </row>
    <row r="95" customFormat="false" ht="14.25" hidden="false" customHeight="false" outlineLevel="0" collapsed="false">
      <c r="C95" s="6" t="s">
        <v>537</v>
      </c>
      <c r="D95" s="2" t="s">
        <v>74</v>
      </c>
      <c r="E95" s="7" t="n">
        <v>960000</v>
      </c>
      <c r="F95" s="79" t="n">
        <v>46746</v>
      </c>
      <c r="G95" s="13" t="s">
        <v>525</v>
      </c>
      <c r="H95" s="2" t="s">
        <v>538</v>
      </c>
    </row>
    <row r="96" customFormat="false" ht="14.25" hidden="false" customHeight="false" outlineLevel="0" collapsed="false">
      <c r="C96" s="6" t="s">
        <v>539</v>
      </c>
      <c r="D96" s="2" t="s">
        <v>74</v>
      </c>
      <c r="E96" s="7" t="n">
        <v>8000000</v>
      </c>
      <c r="F96" s="79" t="n">
        <v>46596</v>
      </c>
      <c r="G96" s="13" t="s">
        <v>525</v>
      </c>
      <c r="H96" s="2" t="s">
        <v>540</v>
      </c>
    </row>
    <row r="97" customFormat="false" ht="14.25" hidden="false" customHeight="false" outlineLevel="0" collapsed="false">
      <c r="C97" s="6" t="s">
        <v>541</v>
      </c>
      <c r="D97" s="2" t="s">
        <v>74</v>
      </c>
      <c r="E97" s="7" t="n">
        <v>50000000</v>
      </c>
      <c r="F97" s="79" t="n">
        <v>46806</v>
      </c>
      <c r="G97" s="13" t="s">
        <v>525</v>
      </c>
      <c r="H97" s="2" t="s">
        <v>542</v>
      </c>
    </row>
    <row r="98" customFormat="false" ht="14.25" hidden="false" customHeight="false" outlineLevel="0" collapsed="false">
      <c r="C98" s="6" t="s">
        <v>543</v>
      </c>
      <c r="D98" s="2" t="s">
        <v>74</v>
      </c>
      <c r="E98" s="7" t="n">
        <v>35000000</v>
      </c>
      <c r="F98" s="79" t="n">
        <v>46806</v>
      </c>
      <c r="G98" s="13" t="s">
        <v>525</v>
      </c>
      <c r="H98" s="2" t="s">
        <v>544</v>
      </c>
    </row>
    <row r="99" customFormat="false" ht="14.25" hidden="false" customHeight="false" outlineLevel="0" collapsed="false">
      <c r="C99" s="6" t="s">
        <v>545</v>
      </c>
      <c r="D99" s="2" t="s">
        <v>74</v>
      </c>
      <c r="E99" s="7" t="n">
        <v>14832000</v>
      </c>
      <c r="F99" s="79" t="n">
        <v>46751</v>
      </c>
      <c r="G99" s="13" t="s">
        <v>525</v>
      </c>
      <c r="H99" s="2" t="s">
        <v>546</v>
      </c>
    </row>
    <row r="100" customFormat="false" ht="14.25" hidden="false" customHeight="false" outlineLevel="0" collapsed="false">
      <c r="C100" s="6" t="s">
        <v>547</v>
      </c>
      <c r="D100" s="2" t="s">
        <v>74</v>
      </c>
      <c r="E100" s="7" t="n">
        <v>40000</v>
      </c>
      <c r="F100" s="79" t="n">
        <v>46871</v>
      </c>
      <c r="G100" s="13" t="s">
        <v>525</v>
      </c>
      <c r="H100" s="2" t="s">
        <v>548</v>
      </c>
    </row>
    <row r="101" customFormat="false" ht="14.25" hidden="false" customHeight="false" outlineLevel="0" collapsed="false">
      <c r="C101" s="6" t="s">
        <v>549</v>
      </c>
      <c r="D101" s="2" t="s">
        <v>74</v>
      </c>
      <c r="E101" s="7" t="n">
        <v>32610000</v>
      </c>
      <c r="F101" s="79" t="n">
        <v>46841</v>
      </c>
      <c r="G101" s="13" t="s">
        <v>525</v>
      </c>
      <c r="H101" s="2" t="s">
        <v>550</v>
      </c>
    </row>
    <row r="102" customFormat="false" ht="14.25" hidden="false" customHeight="false" outlineLevel="0" collapsed="false">
      <c r="C102" s="6" t="s">
        <v>551</v>
      </c>
      <c r="D102" s="2" t="s">
        <v>74</v>
      </c>
      <c r="E102" s="7" t="n">
        <v>8000000</v>
      </c>
      <c r="F102" s="79" t="n">
        <v>46596</v>
      </c>
      <c r="G102" s="13" t="s">
        <v>525</v>
      </c>
      <c r="H102" s="2" t="s">
        <v>552</v>
      </c>
    </row>
    <row r="103" customFormat="false" ht="14.25" hidden="false" customHeight="false" outlineLevel="0" collapsed="false">
      <c r="C103" s="6" t="s">
        <v>553</v>
      </c>
      <c r="D103" s="2" t="s">
        <v>74</v>
      </c>
      <c r="E103" s="7" t="n">
        <v>8000000</v>
      </c>
      <c r="F103" s="79" t="n">
        <v>46566</v>
      </c>
      <c r="G103" s="13" t="s">
        <v>525</v>
      </c>
      <c r="H103" s="2" t="s">
        <v>554</v>
      </c>
    </row>
    <row r="104" customFormat="false" ht="14.25" hidden="false" customHeight="false" outlineLevel="0" collapsed="false">
      <c r="C104" s="6" t="s">
        <v>555</v>
      </c>
      <c r="D104" s="2" t="s">
        <v>74</v>
      </c>
      <c r="E104" s="7" t="n">
        <v>8000000</v>
      </c>
      <c r="F104" s="79" t="n">
        <v>46566</v>
      </c>
      <c r="G104" s="13" t="s">
        <v>525</v>
      </c>
      <c r="H104" s="2" t="s">
        <v>556</v>
      </c>
    </row>
    <row r="105" customFormat="false" ht="14.25" hidden="false" customHeight="false" outlineLevel="0" collapsed="false">
      <c r="C105" s="6" t="s">
        <v>557</v>
      </c>
      <c r="D105" s="2" t="s">
        <v>74</v>
      </c>
      <c r="E105" s="7" t="n">
        <v>4590000</v>
      </c>
      <c r="F105" s="79" t="n">
        <v>46780</v>
      </c>
      <c r="G105" s="13" t="s">
        <v>525</v>
      </c>
      <c r="H105" s="2" t="s">
        <v>558</v>
      </c>
    </row>
    <row r="106" customFormat="false" ht="14.25" hidden="false" customHeight="false" outlineLevel="0" collapsed="false">
      <c r="C106" s="6" t="s">
        <v>559</v>
      </c>
      <c r="D106" s="2" t="s">
        <v>74</v>
      </c>
      <c r="E106" s="7" t="n">
        <v>138000000</v>
      </c>
      <c r="F106" s="79" t="n">
        <v>46780</v>
      </c>
      <c r="G106" s="13" t="s">
        <v>525</v>
      </c>
      <c r="H106" s="2" t="s">
        <v>560</v>
      </c>
    </row>
    <row r="107" customFormat="false" ht="14.25" hidden="false" customHeight="false" outlineLevel="0" collapsed="false">
      <c r="C107" s="6" t="s">
        <v>561</v>
      </c>
      <c r="D107" s="2" t="s">
        <v>74</v>
      </c>
      <c r="E107" s="7" t="n">
        <v>45000000</v>
      </c>
      <c r="F107" s="79" t="n">
        <v>46780</v>
      </c>
      <c r="G107" s="13" t="s">
        <v>525</v>
      </c>
      <c r="H107" s="2" t="s">
        <v>562</v>
      </c>
    </row>
    <row r="108" customFormat="false" ht="14.25" hidden="false" customHeight="false" outlineLevel="0" collapsed="false">
      <c r="C108" s="6" t="s">
        <v>563</v>
      </c>
      <c r="D108" s="2" t="s">
        <v>74</v>
      </c>
      <c r="E108" s="7" t="n">
        <v>74896683.6734694</v>
      </c>
      <c r="F108" s="79" t="n">
        <v>46780</v>
      </c>
      <c r="G108" s="13" t="s">
        <v>525</v>
      </c>
      <c r="H108" s="2" t="s">
        <v>564</v>
      </c>
    </row>
    <row r="109" customFormat="false" ht="14.25" hidden="false" customHeight="false" outlineLevel="0" collapsed="false">
      <c r="C109" s="6" t="s">
        <v>565</v>
      </c>
      <c r="D109" s="2" t="s">
        <v>74</v>
      </c>
      <c r="E109" s="7" t="n">
        <v>15000000</v>
      </c>
      <c r="F109" s="79" t="n">
        <v>46720</v>
      </c>
      <c r="G109" s="13" t="s">
        <v>525</v>
      </c>
      <c r="H109" s="2" t="s">
        <v>566</v>
      </c>
    </row>
    <row r="110" customFormat="false" ht="14.25" hidden="false" customHeight="false" outlineLevel="0" collapsed="false">
      <c r="C110" s="6" t="s">
        <v>567</v>
      </c>
      <c r="D110" s="2" t="s">
        <v>74</v>
      </c>
      <c r="E110" s="7" t="n">
        <v>6000000</v>
      </c>
      <c r="F110" s="79" t="n">
        <v>46780</v>
      </c>
      <c r="G110" s="13" t="s">
        <v>525</v>
      </c>
      <c r="H110" s="2" t="s">
        <v>568</v>
      </c>
    </row>
    <row r="111" customFormat="false" ht="14.25" hidden="false" customHeight="false" outlineLevel="0" collapsed="false">
      <c r="C111" s="6" t="s">
        <v>569</v>
      </c>
      <c r="D111" s="2" t="s">
        <v>74</v>
      </c>
      <c r="E111" s="7" t="n">
        <v>45178571.4285714</v>
      </c>
      <c r="F111" s="79" t="n">
        <v>46780</v>
      </c>
      <c r="G111" s="13" t="s">
        <v>525</v>
      </c>
      <c r="H111" s="2" t="s">
        <v>570</v>
      </c>
    </row>
    <row r="112" customFormat="false" ht="14.25" hidden="false" customHeight="false" outlineLevel="0" collapsed="false">
      <c r="C112" s="6" t="s">
        <v>571</v>
      </c>
      <c r="D112" s="2" t="s">
        <v>74</v>
      </c>
      <c r="E112" s="7" t="n">
        <v>4590000</v>
      </c>
      <c r="F112" s="79" t="n">
        <v>46780</v>
      </c>
      <c r="G112" s="13" t="s">
        <v>525</v>
      </c>
      <c r="H112" s="2" t="s">
        <v>572</v>
      </c>
    </row>
    <row r="113" customFormat="false" ht="14.25" hidden="false" customHeight="false" outlineLevel="0" collapsed="false">
      <c r="C113" s="6" t="s">
        <v>573</v>
      </c>
      <c r="D113" s="2" t="s">
        <v>74</v>
      </c>
      <c r="E113" s="7" t="n">
        <v>70000000</v>
      </c>
      <c r="F113" s="79" t="n">
        <v>46780</v>
      </c>
      <c r="G113" s="13" t="s">
        <v>525</v>
      </c>
      <c r="H113" s="2" t="s">
        <v>574</v>
      </c>
    </row>
    <row r="114" customFormat="false" ht="14.25" hidden="false" customHeight="false" outlineLevel="0" collapsed="false">
      <c r="C114" s="6" t="s">
        <v>575</v>
      </c>
      <c r="D114" s="2" t="s">
        <v>74</v>
      </c>
      <c r="E114" s="7" t="n">
        <v>20000000</v>
      </c>
      <c r="F114" s="79" t="n">
        <v>47126</v>
      </c>
      <c r="G114" s="13" t="s">
        <v>525</v>
      </c>
      <c r="H114" s="2" t="s">
        <v>576</v>
      </c>
    </row>
    <row r="115" customFormat="false" ht="14.25" hidden="false" customHeight="false" outlineLevel="0" collapsed="false">
      <c r="C115" s="6" t="s">
        <v>577</v>
      </c>
      <c r="D115" s="2" t="s">
        <v>74</v>
      </c>
      <c r="E115" s="7" t="n">
        <v>12000000</v>
      </c>
      <c r="F115" s="79" t="n">
        <v>47066</v>
      </c>
      <c r="G115" s="13" t="s">
        <v>525</v>
      </c>
      <c r="H115" s="2" t="s">
        <v>578</v>
      </c>
    </row>
    <row r="116" customFormat="false" ht="14.25" hidden="false" customHeight="false" outlineLevel="0" collapsed="false">
      <c r="C116" s="6" t="s">
        <v>579</v>
      </c>
      <c r="D116" s="2" t="s">
        <v>74</v>
      </c>
      <c r="E116" s="7" t="n">
        <v>7400000</v>
      </c>
      <c r="F116" s="79" t="n">
        <v>46752</v>
      </c>
      <c r="G116" s="13" t="s">
        <v>525</v>
      </c>
      <c r="H116" s="2" t="s">
        <v>580</v>
      </c>
    </row>
    <row r="117" customFormat="false" ht="14.25" hidden="false" customHeight="false" outlineLevel="0" collapsed="false">
      <c r="C117" s="6" t="s">
        <v>581</v>
      </c>
      <c r="D117" s="2" t="s">
        <v>74</v>
      </c>
      <c r="E117" s="7" t="n">
        <v>29600000</v>
      </c>
      <c r="F117" s="79" t="n">
        <v>46752</v>
      </c>
      <c r="G117" s="13" t="s">
        <v>525</v>
      </c>
      <c r="H117" s="2" t="s">
        <v>582</v>
      </c>
    </row>
    <row r="118" customFormat="false" ht="14.25" hidden="false" customHeight="false" outlineLevel="0" collapsed="false">
      <c r="C118" s="6" t="s">
        <v>583</v>
      </c>
      <c r="D118" s="2" t="s">
        <v>74</v>
      </c>
      <c r="E118" s="7" t="n">
        <v>91200000</v>
      </c>
      <c r="F118" s="79" t="n">
        <v>47201</v>
      </c>
      <c r="G118" s="13" t="s">
        <v>116</v>
      </c>
      <c r="H118" s="2" t="s">
        <v>584</v>
      </c>
    </row>
    <row r="119" customFormat="false" ht="14.25" hidden="false" customHeight="false" outlineLevel="0" collapsed="false">
      <c r="C119" s="6" t="s">
        <v>585</v>
      </c>
      <c r="D119" s="2" t="s">
        <v>74</v>
      </c>
      <c r="E119" s="7" t="n">
        <v>107908615.62449</v>
      </c>
      <c r="F119" s="79" t="n">
        <v>46752</v>
      </c>
      <c r="G119" s="13" t="s">
        <v>525</v>
      </c>
      <c r="H119" s="2" t="s">
        <v>586</v>
      </c>
    </row>
    <row r="121" customFormat="false" ht="14.25" hidden="false" customHeight="false" outlineLevel="0" collapsed="false">
      <c r="B121" s="4" t="s">
        <v>3</v>
      </c>
      <c r="C121" s="4" t="s">
        <v>587</v>
      </c>
      <c r="D121" s="4"/>
      <c r="E121" s="5" t="s">
        <v>588</v>
      </c>
      <c r="F121" s="5"/>
      <c r="G121" s="5"/>
      <c r="H121" s="5"/>
    </row>
    <row r="122" customFormat="false" ht="14.25" hidden="false" customHeight="false" outlineLevel="0" collapsed="false">
      <c r="C122" s="6" t="s">
        <v>589</v>
      </c>
      <c r="E122" s="13" t="n">
        <v>10</v>
      </c>
      <c r="F122" s="13" t="n">
        <v>15</v>
      </c>
      <c r="G122" s="13" t="n">
        <v>20</v>
      </c>
      <c r="H122" s="13" t="n">
        <v>25</v>
      </c>
      <c r="I122" s="13" t="n">
        <v>30</v>
      </c>
      <c r="J122" s="13" t="n">
        <v>35</v>
      </c>
      <c r="K122" s="13" t="n">
        <v>40</v>
      </c>
      <c r="L122" s="13" t="n">
        <v>45</v>
      </c>
      <c r="M122" s="13" t="n">
        <v>50</v>
      </c>
    </row>
    <row r="123" customFormat="false" ht="14.25" hidden="false" customHeight="false" outlineLevel="0" collapsed="false">
      <c r="C123" s="6" t="s">
        <v>590</v>
      </c>
      <c r="E123" s="13" t="n">
        <v>0</v>
      </c>
      <c r="F123" s="13" t="n">
        <v>0</v>
      </c>
      <c r="G123" s="13" t="n">
        <v>0</v>
      </c>
      <c r="H123" s="13" t="n">
        <v>0</v>
      </c>
      <c r="I123" s="13" t="n">
        <v>0</v>
      </c>
      <c r="J123" s="13" t="n">
        <v>0</v>
      </c>
      <c r="K123" s="13" t="n">
        <v>0</v>
      </c>
      <c r="L123" s="13" t="n">
        <v>0</v>
      </c>
      <c r="M123" s="13" t="n">
        <v>1</v>
      </c>
    </row>
    <row r="124" customFormat="false" ht="14.25" hidden="false" customHeight="false" outlineLevel="0" collapsed="false">
      <c r="C124" s="6" t="s">
        <v>591</v>
      </c>
      <c r="E124" s="13" t="n">
        <v>0</v>
      </c>
      <c r="F124" s="13" t="n">
        <v>10</v>
      </c>
      <c r="G124" s="13" t="n">
        <v>20</v>
      </c>
      <c r="H124" s="13" t="n">
        <v>30</v>
      </c>
      <c r="I124" s="13" t="n">
        <v>40</v>
      </c>
      <c r="J124" s="13" t="n">
        <v>55</v>
      </c>
      <c r="K124" s="13" t="n">
        <v>70</v>
      </c>
      <c r="L124" s="13" t="n">
        <v>80</v>
      </c>
      <c r="M124" s="13" t="n">
        <v>90</v>
      </c>
      <c r="N124" s="13" t="n">
        <v>100</v>
      </c>
    </row>
    <row r="125" customFormat="false" ht="14.25" hidden="false" customHeight="false" outlineLevel="0" collapsed="false">
      <c r="C125" s="6" t="s">
        <v>592</v>
      </c>
      <c r="E125" s="13" t="n">
        <v>2</v>
      </c>
      <c r="F125" s="13" t="n">
        <v>2.1</v>
      </c>
      <c r="G125" s="13" t="n">
        <v>2.2</v>
      </c>
      <c r="H125" s="13" t="n">
        <v>2.3</v>
      </c>
      <c r="I125" s="13" t="n">
        <v>2.4</v>
      </c>
      <c r="J125" s="13" t="n">
        <v>2.5</v>
      </c>
      <c r="K125" s="13" t="n">
        <v>2.6</v>
      </c>
      <c r="L125" s="13" t="n">
        <v>2.7</v>
      </c>
      <c r="M125" s="13" t="n">
        <v>2.8</v>
      </c>
      <c r="N125" s="13" t="n">
        <v>2.9</v>
      </c>
      <c r="O125" s="13" t="n">
        <v>3</v>
      </c>
    </row>
    <row r="126" customFormat="false" ht="14.25" hidden="false" customHeight="false" outlineLevel="0" collapsed="false">
      <c r="C126" s="6" t="s">
        <v>593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</row>
    <row r="127" customFormat="false" ht="14.25" hidden="false" customHeight="false" outlineLevel="0" collapsed="false">
      <c r="C127" s="6" t="s">
        <v>594</v>
      </c>
      <c r="E127" s="13" t="n">
        <v>0</v>
      </c>
      <c r="F127" s="13" t="n">
        <v>5</v>
      </c>
      <c r="G127" s="13" t="n">
        <v>10</v>
      </c>
      <c r="H127" s="13" t="n">
        <v>20</v>
      </c>
      <c r="I127" s="13" t="n">
        <v>30</v>
      </c>
      <c r="J127" s="13" t="n">
        <v>40</v>
      </c>
      <c r="K127" s="13" t="n">
        <v>50</v>
      </c>
      <c r="L127" s="13" t="n">
        <v>60</v>
      </c>
      <c r="M127" s="13" t="n">
        <v>70</v>
      </c>
      <c r="N127" s="13" t="n">
        <v>80</v>
      </c>
      <c r="O127" s="13" t="n">
        <v>90</v>
      </c>
      <c r="P127" s="13" t="n">
        <v>100</v>
      </c>
    </row>
    <row r="128" customFormat="false" ht="14.25" hidden="false" customHeight="false" outlineLevel="0" collapsed="false">
      <c r="C128" s="6" t="s">
        <v>595</v>
      </c>
      <c r="E128" s="13" t="n">
        <v>0.02</v>
      </c>
      <c r="F128" s="13" t="n">
        <v>0.05</v>
      </c>
      <c r="G128" s="13" t="n">
        <v>0.1</v>
      </c>
      <c r="H128" s="13" t="n">
        <v>0.15</v>
      </c>
      <c r="I128" s="13" t="n">
        <v>0.2</v>
      </c>
      <c r="J128" s="13" t="n">
        <v>0.25</v>
      </c>
      <c r="K128" s="13" t="n">
        <v>0.3</v>
      </c>
      <c r="L128" s="13" t="n">
        <v>0.35</v>
      </c>
      <c r="M128" s="13" t="n">
        <v>0.4</v>
      </c>
      <c r="N128" s="13" t="n">
        <v>0.5</v>
      </c>
    </row>
    <row r="129" customFormat="false" ht="14.25" hidden="false" customHeight="false" outlineLevel="0" collapsed="false">
      <c r="C129" s="6" t="s">
        <v>596</v>
      </c>
      <c r="E129" s="13" t="n">
        <v>0</v>
      </c>
      <c r="F129" s="13" t="n">
        <v>1</v>
      </c>
      <c r="G129" s="13" t="n">
        <v>1</v>
      </c>
      <c r="H129" s="13" t="n">
        <v>1</v>
      </c>
      <c r="I129" s="13" t="n">
        <v>1</v>
      </c>
      <c r="J129" s="13" t="n">
        <v>1</v>
      </c>
      <c r="K129" s="13" t="n">
        <v>1</v>
      </c>
      <c r="L129" s="13" t="n">
        <v>1</v>
      </c>
      <c r="M129" s="13" t="n">
        <v>1</v>
      </c>
      <c r="N129" s="13" t="n">
        <v>0</v>
      </c>
    </row>
    <row r="130" customFormat="false" ht="14.25" hidden="false" customHeight="false" outlineLevel="0" collapsed="false">
      <c r="C130" s="6" t="s">
        <v>597</v>
      </c>
      <c r="E130" s="13" t="n">
        <v>0</v>
      </c>
      <c r="F130" s="13" t="n">
        <v>10</v>
      </c>
      <c r="G130" s="13" t="n">
        <v>20</v>
      </c>
      <c r="H130" s="13" t="n">
        <v>30</v>
      </c>
      <c r="I130" s="13" t="n">
        <v>40</v>
      </c>
      <c r="J130" s="13" t="n">
        <v>50</v>
      </c>
      <c r="K130" s="13" t="n">
        <v>60</v>
      </c>
      <c r="L130" s="13" t="n">
        <v>70</v>
      </c>
      <c r="M130" s="13" t="n">
        <v>80</v>
      </c>
      <c r="N130" s="13" t="n">
        <v>90</v>
      </c>
      <c r="O130" s="13" t="n">
        <v>100</v>
      </c>
    </row>
    <row r="131" customFormat="false" ht="14.25" hidden="false" customHeight="false" outlineLevel="0" collapsed="false">
      <c r="B131" s="0" t="s">
        <v>598</v>
      </c>
      <c r="C131" s="6"/>
      <c r="E131" s="13" t="n">
        <v>0.02</v>
      </c>
      <c r="F131" s="13" t="n">
        <v>0.05</v>
      </c>
      <c r="G131" s="13" t="n">
        <v>0.1</v>
      </c>
      <c r="H131" s="13" t="n">
        <v>0.15</v>
      </c>
      <c r="I131" s="13" t="n">
        <v>0.2</v>
      </c>
      <c r="J131" s="13" t="n">
        <v>0.25</v>
      </c>
      <c r="K131" s="13" t="n">
        <v>0.3</v>
      </c>
      <c r="L131" s="13" t="n">
        <v>0.35</v>
      </c>
      <c r="M131" s="13" t="n">
        <v>0.4</v>
      </c>
      <c r="N131" s="13" t="n">
        <v>0.5</v>
      </c>
    </row>
    <row r="132" customFormat="false" ht="14.25" hidden="false" customHeight="false" outlineLevel="0" collapsed="false">
      <c r="B132" s="0" t="s">
        <v>599</v>
      </c>
      <c r="C132" s="6"/>
      <c r="E132" s="13" t="n">
        <v>0</v>
      </c>
      <c r="F132" s="13" t="n">
        <v>1</v>
      </c>
      <c r="G132" s="13" t="n">
        <v>1</v>
      </c>
      <c r="H132" s="13" t="n">
        <v>1</v>
      </c>
      <c r="I132" s="13" t="n">
        <v>1</v>
      </c>
      <c r="J132" s="13" t="n">
        <v>1</v>
      </c>
      <c r="K132" s="13" t="n">
        <v>1</v>
      </c>
      <c r="L132" s="13" t="n">
        <v>1</v>
      </c>
      <c r="M132" s="13" t="n">
        <v>1</v>
      </c>
      <c r="N132" s="13" t="n">
        <v>0</v>
      </c>
    </row>
    <row r="133" customFormat="false" ht="14.25" hidden="false" customHeight="false" outlineLevel="0" collapsed="false">
      <c r="B133" s="0" t="s">
        <v>600</v>
      </c>
      <c r="C133" s="6"/>
      <c r="E133" s="13" t="n">
        <v>0</v>
      </c>
      <c r="F133" s="13" t="n">
        <v>10</v>
      </c>
      <c r="G133" s="13" t="n">
        <v>20</v>
      </c>
      <c r="H133" s="13" t="n">
        <v>30</v>
      </c>
      <c r="I133" s="13" t="n">
        <v>40</v>
      </c>
      <c r="J133" s="13" t="n">
        <v>50</v>
      </c>
      <c r="K133" s="13" t="n">
        <v>60</v>
      </c>
      <c r="L133" s="13" t="n">
        <v>70</v>
      </c>
      <c r="M133" s="13" t="n">
        <v>80</v>
      </c>
      <c r="N133" s="13" t="n">
        <v>90</v>
      </c>
      <c r="O133" s="13" t="n">
        <v>100</v>
      </c>
      <c r="P133" s="81" t="s">
        <v>601</v>
      </c>
    </row>
    <row r="134" customFormat="false" ht="14.25" hidden="false" customHeight="false" outlineLevel="0" collapsed="false">
      <c r="C134" s="6" t="s">
        <v>602</v>
      </c>
      <c r="E134" s="13" t="n">
        <v>1</v>
      </c>
      <c r="F134" s="13" t="n">
        <v>1.2</v>
      </c>
      <c r="G134" s="13" t="n">
        <v>1.3</v>
      </c>
      <c r="H134" s="13" t="n">
        <v>1.4</v>
      </c>
      <c r="I134" s="13" t="n">
        <v>1.5</v>
      </c>
      <c r="J134" s="13" t="n">
        <v>1.6</v>
      </c>
      <c r="K134" s="13" t="n">
        <v>1.7</v>
      </c>
      <c r="L134" s="13" t="n">
        <v>1.8</v>
      </c>
      <c r="M134" s="13" t="n">
        <v>1.9</v>
      </c>
      <c r="N134" s="13" t="n">
        <v>2</v>
      </c>
    </row>
    <row r="135" customFormat="false" ht="14.25" hidden="false" customHeight="false" outlineLevel="0" collapsed="false">
      <c r="C135" s="6" t="s">
        <v>603</v>
      </c>
      <c r="E135" s="13" t="n">
        <v>0</v>
      </c>
      <c r="F135" s="13" t="n">
        <v>1</v>
      </c>
      <c r="G135" s="13" t="n">
        <v>1</v>
      </c>
      <c r="H135" s="13" t="n">
        <v>1</v>
      </c>
      <c r="I135" s="13" t="n">
        <v>1</v>
      </c>
      <c r="J135" s="13" t="n">
        <v>1</v>
      </c>
      <c r="K135" s="13" t="n">
        <v>1</v>
      </c>
      <c r="L135" s="13" t="n">
        <v>1</v>
      </c>
      <c r="M135" s="13" t="n">
        <v>1</v>
      </c>
      <c r="N135" s="13" t="n">
        <v>0</v>
      </c>
      <c r="P135" s="81" t="s">
        <v>604</v>
      </c>
    </row>
    <row r="136" customFormat="false" ht="14.25" hidden="false" customHeight="false" outlineLevel="0" collapsed="false">
      <c r="C136" s="6" t="s">
        <v>605</v>
      </c>
      <c r="E136" s="13" t="n">
        <v>0</v>
      </c>
      <c r="F136" s="13" t="n">
        <v>10</v>
      </c>
      <c r="G136" s="13" t="n">
        <v>20</v>
      </c>
      <c r="H136" s="13" t="n">
        <v>30</v>
      </c>
      <c r="I136" s="13" t="n">
        <v>40</v>
      </c>
      <c r="J136" s="13" t="n">
        <v>50</v>
      </c>
      <c r="K136" s="13" t="n">
        <v>60</v>
      </c>
      <c r="L136" s="13" t="n">
        <v>70</v>
      </c>
      <c r="M136" s="13" t="n">
        <v>80</v>
      </c>
      <c r="N136" s="13" t="n">
        <v>90</v>
      </c>
      <c r="O136" s="13" t="n">
        <v>100</v>
      </c>
    </row>
    <row r="137" customFormat="false" ht="14.25" hidden="false" customHeight="false" outlineLevel="0" collapsed="false">
      <c r="C137" s="6" t="s">
        <v>606</v>
      </c>
      <c r="E137" s="13" t="n">
        <v>100</v>
      </c>
    </row>
    <row r="138" customFormat="false" ht="14.25" hidden="false" customHeight="false" outlineLevel="0" collapsed="false">
      <c r="C138" s="6" t="s">
        <v>607</v>
      </c>
      <c r="E138" s="13" t="n">
        <v>100</v>
      </c>
    </row>
    <row r="139" customFormat="false" ht="14.25" hidden="false" customHeight="false" outlineLevel="0" collapsed="false">
      <c r="C139" s="6" t="s">
        <v>608</v>
      </c>
      <c r="E139" s="13" t="n">
        <v>100</v>
      </c>
    </row>
    <row r="140" customFormat="false" ht="14.25" hidden="false" customHeight="false" outlineLevel="0" collapsed="false">
      <c r="C140" s="6" t="s">
        <v>609</v>
      </c>
      <c r="E140" s="13" t="n">
        <v>80</v>
      </c>
    </row>
    <row r="141" customFormat="false" ht="14.25" hidden="false" customHeight="false" outlineLevel="0" collapsed="false">
      <c r="C141" s="6" t="s">
        <v>610</v>
      </c>
      <c r="E141" s="13" t="n">
        <v>20</v>
      </c>
    </row>
    <row r="142" customFormat="false" ht="14.25" hidden="false" customHeight="false" outlineLevel="0" collapsed="false">
      <c r="C142" s="6" t="s">
        <v>611</v>
      </c>
      <c r="E142" s="13" t="n">
        <v>0.2</v>
      </c>
    </row>
    <row r="143" customFormat="false" ht="14.25" hidden="false" customHeight="false" outlineLevel="0" collapsed="false">
      <c r="C143" s="6" t="s">
        <v>612</v>
      </c>
      <c r="E143" s="13" t="n">
        <v>0.15</v>
      </c>
    </row>
    <row r="144" customFormat="false" ht="14.25" hidden="false" customHeight="false" outlineLevel="0" collapsed="false">
      <c r="C144" s="6" t="s">
        <v>613</v>
      </c>
      <c r="E144" s="13" t="n">
        <v>0.1</v>
      </c>
    </row>
    <row r="145" customFormat="false" ht="14.25" hidden="false" customHeight="false" outlineLevel="0" collapsed="false">
      <c r="C145" s="6" t="s">
        <v>614</v>
      </c>
      <c r="E145" s="13" t="n">
        <v>0.15</v>
      </c>
    </row>
    <row r="146" customFormat="false" ht="14.25" hidden="false" customHeight="false" outlineLevel="0" collapsed="false">
      <c r="C146" s="6" t="s">
        <v>615</v>
      </c>
      <c r="E146" s="13" t="n">
        <v>0.05</v>
      </c>
    </row>
    <row r="147" customFormat="false" ht="14.25" hidden="false" customHeight="false" outlineLevel="0" collapsed="false">
      <c r="C147" s="6" t="s">
        <v>616</v>
      </c>
      <c r="E147" s="13" t="n">
        <v>0.05</v>
      </c>
    </row>
    <row r="148" customFormat="false" ht="14.25" hidden="false" customHeight="false" outlineLevel="0" collapsed="false">
      <c r="C148" s="6" t="s">
        <v>617</v>
      </c>
      <c r="E148" s="13" t="n">
        <v>0.1</v>
      </c>
    </row>
    <row r="149" customFormat="false" ht="14.25" hidden="false" customHeight="false" outlineLevel="0" collapsed="false">
      <c r="C149" s="6" t="s">
        <v>618</v>
      </c>
      <c r="E149" s="13" t="n">
        <v>0.05</v>
      </c>
    </row>
    <row r="150" customFormat="false" ht="14.25" hidden="false" customHeight="false" outlineLevel="0" collapsed="false">
      <c r="C150" s="6" t="s">
        <v>619</v>
      </c>
      <c r="E150" s="13" t="n">
        <v>0.15</v>
      </c>
    </row>
    <row r="152" customFormat="false" ht="14.25" hidden="false" customHeight="false" outlineLevel="0" collapsed="false">
      <c r="C152" s="78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2026-10-29T02:54:32Z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0x010100CB25C80BA76C054AAAC0D3CDDFCEC309</vt:lpwstr>
  </property>
  <property fmtid="{D5CDD505-2E9C-101B-9397-08002B2CF9AE}" pid="3" name="MediaServiceImageTags">
    <vt:lpwstr/>
  </property>
</Properties>
</file>