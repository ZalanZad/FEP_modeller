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apex_Items" vbProcedure="false">Dashboard!$E$51:$E$63</definedName>
    <definedName function="false" hidden="false" name="COD_IRR_1_Stored" vbProcedure="false">Dashboard!$H$125:$M$125</definedName>
    <definedName function="false" hidden="false" name="COD_IRR_2_Stored" vbProcedure="false">Dashboard!$H$126:$M$126</definedName>
    <definedName function="false" hidden="false" name="Cost_To_COD_1_Stored" vbProcedure="false">Dashboard!$H$131:$M$131</definedName>
    <definedName function="false" hidden="false" name="Cost_To_COD_2_Stored" vbProcedure="false">Dashboard!$H$132:$M$132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Dashboard!$E$87:$F$87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Dashboard!$H$129:$M$129</definedName>
    <definedName function="false" hidden="false" name="Distributable_2_Stored" vbProcedure="false">Dashboard!$H$130:$M$130</definedName>
    <definedName function="false" hidden="false" name="Funding_Cum_Last" vbProcedure="false">Dashboard!$I$47</definedName>
    <definedName function="false" hidden="false" name="HTM_IRR_1_Stored" vbProcedure="false">Dashboard!$H$127:$M$127</definedName>
    <definedName function="false" hidden="false" name="HTM_IRR_2_Stored" vbProcedure="false">Dashboard!$H$128:$M$128</definedName>
    <definedName function="false" hidden="false" name="Impact_Stored" vbProcedure="false">Dashboard!$K$12:$R$22</definedName>
    <definedName function="false" hidden="false" name="In_Admin" vbProcedure="false">Inputs!$F$111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Inputs!$F$100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P" vbProcedure="false">Inputs!$F$94</definedName>
    <definedName function="false" hidden="false" name="In_Bottleneck_Loss" vbProcedure="false">Inputs!$F$86</definedName>
    <definedName function="false" hidden="false" name="In_Buyer_Rate" vbProcedure="false">Inputs!$F$80</definedName>
    <definedName function="false" hidden="false" name="In_Capex_Contingency" vbProcedure="false">Inputs!$F$99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Inputs!$F$89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Inputs!$F$122</definedName>
    <definedName function="false" hidden="false" name="In_Contingency_Date" vbProcedure="false">Inputs!$F$22</definedName>
    <definedName function="false" hidden="false" name="In_Curtailment" vbProcedure="false">Inputs!$F$104</definedName>
    <definedName function="false" hidden="false" name="In_DD" vbProcedure="false">Inputs!$F$35</definedName>
    <definedName function="false" hidden="false" name="In_Debt_Rate" vbProcedure="false">Inputs!$F$120</definedName>
    <definedName function="false" hidden="false" name="In_Debt_Tenor" vbProcedure="false">Inputs!$F$123</definedName>
    <definedName function="false" hidden="false" name="In_Degradation" vbProcedure="false">Inputs!$F$105</definedName>
    <definedName function="false" hidden="false" name="In_Dep_Years" vbProcedure="false">Inputs!$F$124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Easements" vbProcedure="false">Inputs!$F$96</definedName>
    <definedName function="false" hidden="false" name="In_FEP_Share" vbProcedure="false">Inputs!$F$37</definedName>
    <definedName function="false" hidden="false" name="In_Fixed_Opex" vbProcedure="false">Inputs!$F$109</definedName>
    <definedName function="false" hidden="false" name="In_Foundations" vbProcedure="false">Inputs!$F$93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Inputs!$F$118</definedName>
    <definedName function="false" hidden="false" name="In_Gearing_CN" vbProcedure="false">Inputs!$F$119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Inputs!$F$115</definedName>
    <definedName function="false" hidden="false" name="In_Indirect_Fee" vbProcedure="false">Inputs!$F$62</definedName>
    <definedName function="false" hidden="false" name="In_Installation" vbProcedure="false">Inputs!$F$92</definedName>
    <definedName function="false" hidden="false" name="In_Invest_Date" vbProcedure="false">Inputs!$F$20</definedName>
    <definedName function="false" hidden="false" name="In_Lease" vbProcedure="false">Inputs!$F$110</definedName>
    <definedName function="false" hidden="false" name="In_Life" vbProcedure="false">Inputs!$F$25</definedName>
    <definedName function="false" hidden="false" name="In_MEKH" vbProcedure="false">Inputs!$F$114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Inputs!$F$112</definedName>
    <definedName function="false" hidden="false" name="In_Opex_Esc" vbProcedure="false">Inputs!$F$113</definedName>
    <definedName function="false" hidden="false" name="In_OSZ4_Basis" vbProcedure="false">Inputs!$F$47</definedName>
    <definedName function="false" hidden="false" name="In_Overbuild_Built" vbProcedure="false">Inputs!$F$83</definedName>
    <definedName function="false" hidden="false" name="In_Owner" vbProcedure="false">Inputs!$F$95</definedName>
    <definedName function="false" hidden="false" name="In_P50_Hours" vbProcedure="false">Inputs!$F$103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Inputs!$F$107</definedName>
    <definedName function="false" hidden="false" name="In_PPA_Price" vbProcedure="false">Inputs!$F$106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Inputs!$F$85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Inputs!$F$97</definedName>
    <definedName function="false" hidden="false" name="In_Substation_CN" vbProcedure="false">Inputs!$F$98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Inputs!$F$90</definedName>
    <definedName function="false" hidden="false" name="In_Turbine_CN" vbProcedure="false">Inputs!$F$91</definedName>
    <definedName function="false" hidden="false" name="In_Upfront_Fee" vbProcedure="false">Inputs!$F$121</definedName>
    <definedName function="false" hidden="false" name="In_Var_Opex" vbProcedure="false">Inputs!$F$108</definedName>
    <definedName function="false" hidden="false" name="Live_Results" vbProcedure="false">Dashboard!$E$121:$E$132</definedName>
    <definedName function="false" hidden="false" name="Master_Check" vbProcedure="false">Checks!$F$38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Dashboard!$E$69</definedName>
    <definedName function="false" hidden="false" name="Out_BESS_MW_2" vbProcedure="false">Dashboard!$F$69</definedName>
    <definedName function="false" hidden="false" name="Out_Capex_Total" vbProcedure="false">Dashboard!$E$64</definedName>
    <definedName function="false" hidden="false" name="Out_Capex_Total_MW" vbProcedure="false">Dashboard!$F$64</definedName>
    <definedName function="false" hidden="false" name="Out_COD_Debt_1" vbProcedure="false">Dashboard!$E$111</definedName>
    <definedName function="false" hidden="false" name="Out_COD_Debt_2" vbProcedure="false">Dashboard!$F$111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Dashboard!$E$114</definedName>
    <definedName function="false" hidden="false" name="Out_COD_MOIC_2" vbProcedure="false">Dashboard!$F$114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Dashboard!$E$109</definedName>
    <definedName function="false" hidden="false" name="Out_COD_Price_2" vbProcedure="false">Dashboard!$F$109</definedName>
    <definedName function="false" hidden="false" name="Out_COD_Price_Effect_1" vbProcedure="false">Dashboard!$E$110</definedName>
    <definedName function="false" hidden="false" name="Out_COD_Price_Effect_2" vbProcedure="false">Dashboard!$F$110</definedName>
    <definedName function="false" hidden="false" name="Out_COD_Proceeds_1" vbProcedure="false">Dashboard!$E$112</definedName>
    <definedName function="false" hidden="false" name="Out_COD_Proceeds_2" vbProcedure="false">Dashboard!$F$112</definedName>
    <definedName function="false" hidden="false" name="Out_COD_Profit_1" vbProcedure="false">Dashboard!$E$113</definedName>
    <definedName function="false" hidden="false" name="Out_COD_Profit_2" vbProcedure="false">Dashboard!$F$113</definedName>
    <definedName function="false" hidden="false" name="Out_Commitment_Penalty_1" vbProcedure="false">Dashboard!$E$81</definedName>
    <definedName function="false" hidden="false" name="Out_Commitment_Penalty_2" vbProcedure="false">Dashboard!$F$81</definedName>
    <definedName function="false" hidden="false" name="Out_Commitment_Securities_1" vbProcedure="false">Dashboard!$E$80</definedName>
    <definedName function="false" hidden="false" name="Out_Commitment_Securities_2" vbProcedure="false">Dashboard!$F$80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Dashboard!$E$108</definedName>
    <definedName function="false" hidden="false" name="Out_Cost_To_COD_2" vbProcedure="false">Dashboard!$F$108</definedName>
    <definedName function="false" hidden="false" name="Out_Distributable_1" vbProcedure="false">Dashboard!$E$96</definedName>
    <definedName function="false" hidden="false" name="Out_Distributable_2" vbProcedure="false">Dashboard!$F$96</definedName>
    <definedName function="false" hidden="false" name="Out_Exclusion_1" vbProcedure="false">Dashboard!$E$84</definedName>
    <definedName function="false" hidden="false" name="Out_Exclusion_2" vbProcedure="false">Dashboard!$F$84</definedName>
    <definedName function="false" hidden="false" name="Out_Exit_ARES_30_1" vbProcedure="false">Dashboard!$E$100</definedName>
    <definedName function="false" hidden="false" name="Out_Exit_ARES_30_2" vbProcedure="false">Dashboard!$F$100</definedName>
    <definedName function="false" hidden="false" name="Out_Exit_ARES_Total_1" vbProcedure="false">Dashboard!$E$101</definedName>
    <definedName function="false" hidden="false" name="Out_Exit_ARES_Total_2" vbProcedure="false">Dashboard!$F$101</definedName>
    <definedName function="false" hidden="false" name="Out_Exit_ARES_Total_MW_1" vbProcedure="false">Dashboard!$I$101</definedName>
    <definedName function="false" hidden="false" name="Out_Exit_ARES_Total_MW_2" vbProcedure="false">Dashboard!$J$101</definedName>
    <definedName function="false" hidden="false" name="Out_Exit_Claims_1" vbProcedure="false">Dashboard!$E$94</definedName>
    <definedName function="false" hidden="false" name="Out_Exit_Claims_2" vbProcedure="false">Dashboard!$F$94</definedName>
    <definedName function="false" hidden="false" name="Out_Exit_FEP_70_1" vbProcedure="false">Dashboard!$E$97</definedName>
    <definedName function="false" hidden="false" name="Out_Exit_FEP_70_2" vbProcedure="false">Dashboard!$F$97</definedName>
    <definedName function="false" hidden="false" name="Out_Exit_FEP_Devex_1" vbProcedure="false">Dashboard!$E$98</definedName>
    <definedName function="false" hidden="false" name="Out_Exit_FEP_Devex_2" vbProcedure="false">Dashboard!$F$98</definedName>
    <definedName function="false" hidden="false" name="Out_Exit_FEP_Net_1" vbProcedure="false">Dashboard!$E$99</definedName>
    <definedName function="false" hidden="false" name="Out_Exit_FEP_Net_2" vbProcedure="false">Dashboard!$F$99</definedName>
    <definedName function="false" hidden="false" name="Out_Exit_FEP_Net_MW_1" vbProcedure="false">Dashboard!$I$99</definedName>
    <definedName function="false" hidden="false" name="Out_Exit_FEP_Net_MW_2" vbProcedure="false">Dashboard!$J$99</definedName>
    <definedName function="false" hidden="false" name="Out_Exit_Reimbursement_1" vbProcedure="false">Dashboard!$E$88</definedName>
    <definedName function="false" hidden="false" name="Out_Exit_Reimbursement_2" vbProcedure="false">Dashboard!$F$88</definedName>
    <definedName function="false" hidden="false" name="Out_Funding_Equity_To_COD" vbProcedure="false">Dashboard!$F$48</definedName>
    <definedName function="false" hidden="false" name="Out_Funding_Peak_Guarantee" vbProcedure="false">Dashboard!$H$48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Dashboard!$E$117</definedName>
    <definedName function="false" hidden="false" name="Out_HTM_MOIC_2" vbProcedure="false">Dashboard!$F$117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Dashboard!$E$118</definedName>
    <definedName function="false" hidden="false" name="Out_Min_DSCR_2" vbProcedure="false">Dashboard!$F$118</definedName>
    <definedName function="false" hidden="false" name="Out_MVA_At_Risk_1" vbProcedure="false">Dashboard!$E$83</definedName>
    <definedName function="false" hidden="false" name="Out_MVA_At_Risk_2" vbProcedure="false">Dashboard!$F$83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Dashboard!$E$104</definedName>
    <definedName function="false" hidden="false" name="Out_RtB_MOIC_2" vbProcedure="false">Dashboard!$F$104</definedName>
    <definedName function="false" hidden="false" name="Out_RtB_NPV_1" vbProcedure="false">Dashboard!$E$105</definedName>
    <definedName function="false" hidden="false" name="Out_RtB_NPV_2" vbProcedure="false">Dashboard!$F$105</definedName>
    <definedName function="false" hidden="false" name="Out_RtB_Price_1" vbProcedure="false">Dashboard!$E$89</definedName>
    <definedName function="false" hidden="false" name="Out_RtB_Price_2" vbProcedure="false">Dashboard!$F$89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Dashboard!$E$103</definedName>
    <definedName function="false" hidden="false" name="Out_RtB_Profit_Buildup_2" vbProcedure="false">Dashboard!$F$103</definedName>
    <definedName function="false" hidden="false" name="Out_RtB_Route_Costs_1" vbProcedure="false">Dashboard!$E$102</definedName>
    <definedName function="false" hidden="false" name="Out_RtB_Route_Costs_2" vbProcedure="false">Dashboard!$F$102</definedName>
    <definedName function="false" hidden="false" name="Out_Sanction_Full_1" vbProcedure="false">Dashboard!$E$82</definedName>
    <definedName function="false" hidden="false" name="Out_Sanction_Full_2" vbProcedure="false">Dashboard!$F$82</definedName>
    <definedName function="false" hidden="false" name="Out_WF_DSA_1" vbProcedure="false">Dashboard!$E$95</definedName>
    <definedName function="false" hidden="false" name="Out_WF_DSA_2" vbProcedure="false">Dashboard!$F$95</definedName>
    <definedName function="false" hidden="false" name="Out_WF_Return_12_1" vbProcedure="false">Dashboard!$E$91</definedName>
    <definedName function="false" hidden="false" name="Out_WF_Return_12_2" vbProcedure="false">Dashboard!$F$91</definedName>
    <definedName function="false" hidden="false" name="Out_WF_Return_6_1" vbProcedure="false">Dashboard!$E$93</definedName>
    <definedName function="false" hidden="false" name="Out_WF_Return_6_2" vbProcedure="false">Dashboard!$F$93</definedName>
    <definedName function="false" hidden="false" name="Out_WF_Return_AtRisk_1" vbProcedure="false">Dashboard!$E$92</definedName>
    <definedName function="false" hidden="false" name="Out_WF_Return_AtRisk_2" vbProcedure="false">Dashboard!$F$92</definedName>
    <definedName function="false" hidden="false" name="Out_WF_Sale_Costs_1" vbProcedure="false">Dashboard!$E$90</definedName>
    <definedName function="false" hidden="false" name="Out_WF_Sale_Costs_2" vbProcedure="false">Dashboard!$F$90</definedName>
    <definedName function="false" hidden="false" name="Out_Wind_Built_MW_1" vbProcedure="false">Dashboard!$E$68</definedName>
    <definedName function="false" hidden="false" name="Out_Wind_Built_MW_2" vbProcedure="false">Dashboard!$F$68</definedName>
    <definedName function="false" hidden="false" name="Out_Wind_MW_1" vbProcedure="false">Dashboard!$E$67</definedName>
    <definedName function="false" hidden="false" name="Out_Wind_MW_2" vbProcedure="false">Dashboard!$F$67</definedName>
    <definedName function="false" hidden="false" name="Period_Ends" vbProcedure="false">Calc_1!$J$4:$ET$4</definedName>
    <definedName function="false" hidden="false" name="Points_1_Stored" vbProcedure="false">Dashboard!$H$121:$M$121</definedName>
    <definedName function="false" hidden="false" name="Points_2_Stored" vbProcedure="false">Dashboard!$H$122:$M$122</definedName>
    <definedName function="false" hidden="false" name="Points_Decimals" vbProcedure="false">Inputs!$F$42</definedName>
    <definedName function="false" hidden="false" name="RtB_Profit_1_Stored" vbProcedure="false">Dashboard!$H$123:$M$123</definedName>
    <definedName function="false" hidden="false" name="RtB_Profit_2_Stored" vbProcedure="false">Dashboard!$H$124:$M$124</definedName>
    <definedName function="false" hidden="false" name="Scenario_Name" vbProcedure="false">Dashboard!$V$12</definedName>
    <definedName function="false" hidden="false" name="Scenario_Names" vbProcedure="false">Inputs!$H$7:$M$7</definedName>
    <definedName function="false" hidden="false" name="Scenario_Selected" vbProcedure="false">Inputs!$F$5</definedName>
    <definedName function="false" hidden="false" name="Stored_Results" vbProcedure="false">Dashboard!$H$121:$M$132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<sst xmlns="http://schemas.openxmlformats.org/spreadsheetml/2006/main" count="1501" uniqueCount="642">
  <si>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</si>
  <si>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</si>
  <si>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</si>
  <si>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</si>
  <si>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</si>
  <si>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</si>
  <si>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</si>
  <si>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</si>
  <si>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</si>
  <si>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</si>
  <si>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</si>
  <si>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</si>
  <si>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</si>
  <si>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</si>
  <si>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</si>
  <si>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</si>
  <si>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</si>
  <si>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</si>
  <si>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</si>
  <si>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</si>
  <si>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</si>
  <si>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</si>
  <si>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</si>
  <si>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</si>
  <si>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</si>
  <si>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</si>
  <si>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</si>
  <si>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</si>
  <si>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</si>
  <si>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</si>
  <si>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</si>
  <si>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</si>
  <si>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</si>
  <si>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</si>
  <si>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</si>
  <si>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</si>
  <si>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</si>
  <si>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</si>
  <si>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</si>
  <si>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</si>
  <si>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</si>
  <si>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</si>
  <si>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</si>
  <si>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</si>
  <si>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</si>
  <si>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</si>
  <si>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</si>
  <si>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</si>
  <si>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</si>
  <si>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</si>
  <si>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</si>
  <si>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</si>
  <si>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</si>
  <si>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</si>
  <si>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</si>
  <si>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</si>
  <si>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</si>
  <si>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</si>
  <si>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</si>
  <si>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</si>
  <si>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</si>
  <si>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</si>
  <si>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</si>
  <si>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</si>
  <si>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</si>
  <si>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</si>
  <si>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</si>
  <si>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</si>
  <si>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</si>
  <si>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</si>
  <si>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</si>
  <si>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</si>
  <si>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</si>
  <si>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</si>
  <si>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</si>
  <si>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</si>
  <si>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</si>
  <si>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</si>
  <si>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Sanction regime (1 pro rata, 2 full)</t>
  </si>
  <si>
    <t xml:space="preserve">FEP NPV – sale at COD</t>
  </si>
  <si>
    <t xml:space="preserve">ÖSZ-4 basis (0 MVA, 1 wind)</t>
  </si>
  <si>
    <t xml:space="preserve">FEP IRR – hold to maturity</t>
  </si>
  <si>
    <t xml:space="preserve">FEP NPV – hold to maturity</t>
  </si>
  <si>
    <t xml:space="preserve">Total commitment</t>
  </si>
  <si>
    <t xml:space="preserve">Funding need to COD – both bids</t>
  </si>
  <si>
    <t xml:space="preserve">Date</t>
  </si>
  <si>
    <t xml:space="preserve">Cash €m</t>
  </si>
  <si>
    <t xml:space="preserve">Guarantee €m</t>
  </si>
  <si>
    <t xml:space="preserve">Cum. cash €m</t>
  </si>
  <si>
    <t xml:space="preserve">Signing fee and DD</t>
  </si>
  <si>
    <t xml:space="preserve">Bid: participation fee (cash), bid guarantee</t>
  </si>
  <si>
    <t xml:space="preserve">Award: performance guarantee (bid guarantee released)</t>
  </si>
  <si>
    <t xml:space="preserve">Connection request: TSO security</t>
  </si>
  <si>
    <t xml:space="preserve">Devex, land and contingency 2026</t>
  </si>
  <si>
    <t xml:space="preserve">Devex, land and contingency 2027</t>
  </si>
  <si>
    <t xml:space="preserve">Devex, land and contingency 2028</t>
  </si>
  <si>
    <t xml:space="preserve">HCSSZ: connection fees</t>
  </si>
  <si>
    <t xml:space="preserve">Devex, land and contingency 2029</t>
  </si>
  <si>
    <t xml:space="preserve">NTP → COD: construction equity (capex, lease less debt)</t>
  </si>
  <si>
    <t xml:space="preserve">NTP → COD: debt fees (IDC is debt-funded)</t>
  </si>
  <si>
    <t xml:space="preserve">Guarantee fees to COD</t>
  </si>
  <si>
    <t xml:space="preserve">COD: municipal one-off</t>
  </si>
  <si>
    <t xml:space="preserve">Total cash equity to COD; peak guarantee</t>
  </si>
  <si>
    <t xml:space="preserve">Capex breakdown to COD – both bids</t>
  </si>
  <si>
    <t xml:space="preserve">€ m</t>
  </si>
  <si>
    <t xml:space="preserve">k€/MW</t>
  </si>
  <si>
    <t xml:space="preserve">Turbines</t>
  </si>
  <si>
    <t xml:space="preserve">Installation</t>
  </si>
  <si>
    <t xml:space="preserve">Foundations</t>
  </si>
  <si>
    <t xml:space="preserve">Balance of plant</t>
  </si>
  <si>
    <t xml:space="preserve">Owner's costs</t>
  </si>
  <si>
    <t xml:space="preserve">Land, easements, pre-COD lease</t>
  </si>
  <si>
    <t xml:space="preserve">Contingency</t>
  </si>
  <si>
    <t xml:space="preserve">Substation and 132 kV bay</t>
  </si>
  <si>
    <t xml:space="preserve">BESS</t>
  </si>
  <si>
    <t xml:space="preserve">Connection fees</t>
  </si>
  <si>
    <t xml:space="preserve">Municipal one-off</t>
  </si>
  <si>
    <t xml:space="preserve">Development: devex, land, signing, securities</t>
  </si>
  <si>
    <t xml:space="preserve">Financing: IDC, debt fees, guarantee fees</t>
  </si>
  <si>
    <t xml:space="preserve">All-in cost to COD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</si>
  <si>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</si>
  <si>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</si>
  <si>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</si>
  <si>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</si>
  <si>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</si>
  <si>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</si>
  <si>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</si>
  <si>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</si>
  <si>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</si>
  <si>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</si>
  <si>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</si>
  <si>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</si>
  <si>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</si>
  <si>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</si>
  <si>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</si>
  <si>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</si>
  <si>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</si>
  <si>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</si>
  <si>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</si>
  <si>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</si>
  <si>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</si>
  <si>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</si>
  <si>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Securities: cash posted and guarantee outstanding</t>
  </si>
  <si>
    <t xml:space="preserve">PB call if overbuild not built (selected regime)</t>
  </si>
  <si>
    <t xml:space="preserve">PB call if overbuild not built (full call)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</si>
  <si>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</si>
  <si>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</si>
  <si>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</si>
  <si>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exit, devex-file waterfall (paid amounts)</t>
  </si>
  <si>
    <t xml:space="preserve">Total</t>
  </si>
  <si>
    <t xml:space="preserve">k€/MW B1</t>
  </si>
  <si>
    <t xml:space="preserve">k€/MW B2</t>
  </si>
  <si>
    <t xml:space="preserve">RtB exit date (a quarter end)</t>
  </si>
  <si>
    <t xml:space="preserve">Memo: buyer reimbursement (deposits, fees, land) to FEP</t>
  </si>
  <si>
    <t xml:space="preserve">Exit premium (RtB price)</t>
  </si>
  <si>
    <t xml:space="preserve">Less sale costs</t>
  </si>
  <si>
    <t xml:space="preserve">Less FEP claim 12 % on deposits and connection fees</t>
  </si>
  <si>
    <t xml:space="preserve">Less FEP claim 20 % / 2x on devex and land</t>
  </si>
  <si>
    <t xml:space="preserve">Less FEP claim 6 % on guarantees</t>
  </si>
  <si>
    <t xml:space="preserve">Less FEP interest claims, total</t>
  </si>
  <si>
    <t xml:space="preserve">Less DSA</t>
  </si>
  <si>
    <t xml:space="preserve">Distributable</t>
  </si>
  <si>
    <t xml:space="preserve">FEP 70 %</t>
  </si>
  <si>
    <t xml:space="preserve">FEP-borne devex principal (deducted from FEP)</t>
  </si>
  <si>
    <t xml:space="preserve">FEP net = interest claims + 70 % - devex</t>
  </si>
  <si>
    <t xml:space="preserve">A.RES 30 %</t>
  </si>
  <si>
    <t xml:space="preserve">A.RES total = 30 % + DSA</t>
  </si>
  <si>
    <t xml:space="preserve">FEP route: guarantee fees, signing and DD, tax</t>
  </si>
  <si>
    <t xml:space="preserve">FEP MOIC – RtB route</t>
  </si>
  <si>
    <t xml:space="preserve">FEP NPV – RtB route</t>
  </si>
  <si>
    <t xml:space="preserve">Sale at COD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</si>
  <si>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</si>
  <si>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</si>
  <si>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</si>
  <si>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</si>
  <si>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</si>
  <si>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</si>
  <si>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</si>
  <si>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</si>
  <si>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</si>
  <si>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</si>
  <si>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</si>
  <si>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</si>
  <si>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</si>
  <si>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</si>
  <si>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</si>
  <si>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</si>
  <si>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</si>
  <si>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</si>
  <si>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Distributable – BORA 1</t>
  </si>
  <si>
    <t xml:space="preserve">Distributable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</si>
  <si>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</si>
  <si>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</si>
  <si>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</si>
  <si>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</si>
  <si>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</si>
  <si>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</si>
  <si>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</si>
  <si>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</si>
  <si>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</si>
  <si>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</si>
  <si>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</si>
  <si>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</si>
  <si>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</si>
  <si>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</si>
  <si>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</si>
  <si>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</si>
  <si>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</si>
  <si>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</si>
  <si>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</si>
  <si>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</si>
  <si>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</si>
  <si>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</si>
  <si>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</si>
  <si>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</si>
  <si>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</si>
  <si>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</si>
  <si>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</si>
  <si>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</si>
  <si>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</si>
  <si>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</si>
  <si>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</si>
  <si>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</si>
  <si>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</si>
  <si>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</si>
  <si>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</si>
  <si>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</si>
  <si>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</si>
  <si>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</si>
  <si>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</si>
  <si>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</si>
  <si>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</si>
  <si>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</si>
  <si>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</si>
  <si>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</si>
  <si>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</si>
  <si>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</si>
  <si>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</si>
  <si>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</si>
  <si>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</si>
  <si>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</si>
  <si>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</si>
  <si>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</si>
  <si>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</si>
  <si>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</si>
  <si>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</si>
  <si>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</si>
  <si>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</si>
  <si>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</si>
  <si>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</si>
  <si>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</si>
  <si>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</si>
  <si>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</si>
  <si>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</si>
  <si>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</si>
  <si>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</si>
  <si>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</si>
  <si>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</si>
  <si>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</si>
  <si>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</si>
  <si>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</si>
  <si>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</si>
  <si>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</si>
  <si>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</si>
  <si>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</si>
  <si>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</si>
  <si>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</si>
  <si>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</si>
  <si>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</si>
  <si>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</si>
  <si>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</si>
  <si>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</si>
  <si>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</si>
  <si>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</si>
  <si>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</si>
  <si>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</si>
  <si>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</si>
  <si>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</si>
  <si>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</si>
  <si>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</si>
  <si>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</si>
  <si>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</si>
  <si>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</si>
  <si>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</si>
  <si>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</si>
  <si>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</si>
  <si>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</si>
  <si>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</si>
  <si>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</si>
  <si>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</si>
  <si>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</si>
  <si>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</si>
  <si>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</si>
  <si>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</si>
  <si>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</si>
  <si>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</si>
  <si>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</si>
  <si>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</si>
  <si>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</si>
  <si>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</si>
  <si>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</si>
  <si>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</si>
  <si>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</si>
  <si>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</si>
  <si>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</si>
  <si>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</si>
  <si>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</si>
  <si>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</si>
  <si>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</si>
  <si>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</si>
  <si>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</si>
  <si>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</si>
  <si>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</si>
  <si>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</si>
  <si>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</si>
  <si>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</si>
  <si>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</si>
  <si>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</si>
  <si>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</si>
  <si>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</si>
  <si>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</si>
  <si>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</si>
  <si>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</si>
  <si>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</si>
  <si>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</si>
  <si>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</si>
  <si>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</si>
  <si>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</si>
  <si>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</si>
  <si>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</si>
  <si>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</si>
  <si>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</si>
  <si>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</si>
  <si>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</si>
  <si>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</si>
  <si>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</si>
  <si>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</si>
  <si>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</si>
  <si>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</si>
  <si>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</si>
  <si>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</si>
  <si>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</si>
  <si>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</si>
  <si>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</si>
  <si>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</si>
  <si>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</si>
  <si>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Turbine installation and erection</t>
  </si>
  <si>
    <t xml:space="preserve">Old engine Inputs E163</t>
  </si>
  <si>
    <t xml:space="preserve">Old engine Inputs E164</t>
  </si>
  <si>
    <t xml:space="preserve">Balance of plant (civil 70, electrical 60)</t>
  </si>
  <si>
    <t xml:space="preserve">Old engine Inputs E165:E166</t>
  </si>
  <si>
    <t xml:space="preserve">Owner's costs, engineering, construction insurance</t>
  </si>
  <si>
    <t xml:space="preserve">Old engine Inputs E169</t>
  </si>
  <si>
    <t xml:space="preserve">Land purchase and easements</t>
  </si>
  <si>
    <t xml:space="preserve">Old engine Inputs 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</si>
  <si>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</si>
  <si>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</si>
  <si>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</si>
  <si>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</si>
  <si>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</si>
  <si>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</si>
  <si>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</si>
  <si>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User 12-Oct-26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</si>
  <si>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</si>
  <si>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</si>
  <si>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</si>
  <si>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</si>
  <si>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</si>
  <si>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</si>
  <si>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</si>
  <si>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</si>
  <si>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</si>
  <si>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</si>
  <si>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</si>
  <si>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</si>
  <si>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</si>
  <si>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</si>
  <si>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</si>
  <si>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</si>
  <si>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</si>
  <si>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</si>
  <si>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</si>
  <si>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</si>
  <si>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</si>
  <si>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</si>
  <si>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</si>
  <si>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</si>
  <si>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</si>
  <si>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</si>
  <si>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</si>
  <si>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</si>
  <si>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</si>
  <si>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</si>
  <si>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</si>
  <si>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</si>
  <si>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</si>
  <si>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</si>
  <si>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</si>
  <si>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</si>
  <si>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</si>
  <si>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</si>
  <si>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</si>
  <si>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</si>
  <si>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</si>
  <si>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</si>
  <si>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</si>
  <si>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</si>
  <si>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</si>
  <si>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</si>
  <si>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</si>
  <si>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</si>
  <si>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</si>
  <si>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</si>
  <si>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</si>
  <si>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</si>
  <si>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</si>
  <si>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</si>
  <si>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</si>
  <si>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</si>
  <si>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</si>
  <si>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</si>
  <si>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</si>
  <si>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</si>
  <si>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</si>
  <si>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</si>
  <si>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</si>
  <si>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</si>
  <si>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</si>
  <si>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</si>
  <si>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</si>
  <si>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</si>
  <si>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</si>
  <si>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</si>
  <si>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</si>
  <si>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</si>
  <si>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</si>
  <si>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</si>
  <si>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</si>
  <si>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</si>
  <si>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</si>
  <si>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</si>
  <si>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</si>
  <si>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</si>
  <si>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</si>
  <si>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</si>
  <si>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</si>
  <si>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</si>
  <si>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</si>
  <si>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</si>
  <si>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</si>
  <si>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</si>
  <si>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</si>
  <si>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</si>
  <si>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</si>
  <si>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</si>
  <si>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</si>
  <si>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</si>
  <si>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</si>
  <si>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</si>
  <si>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</si>
  <si>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</si>
  <si>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</si>
  <si>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</si>
  <si>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</si>
  <si>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</si>
  <si>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</si>
  <si>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</si>
  <si>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</si>
  <si>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</si>
  <si>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</si>
  <si>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</si>
  <si>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</si>
  <si>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</si>
  <si>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</si>
  <si>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</si>
  <si>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</si>
  <si>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</si>
  <si>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</si>
  <si>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</si>
  <si>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RtB exit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</si>
  <si>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</si>
  <si>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</si>
  <si>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</si>
  <si>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</si>
  <si>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</si>
  <si>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</si>
  <si>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</si>
  <si>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</si>
  <si>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</si>
  <si>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</si>
  <si>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</si>
  <si>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</si>
  <si>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</si>
  <si>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</si>
  <si>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</si>
  <si>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</si>
  <si>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</si>
  <si>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</si>
  <si>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</si>
  <si>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</si>
  <si>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</si>
  <si>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</si>
  <si>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</si>
  <si>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</si>
  <si>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</si>
  <si>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</si>
  <si>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</si>
  <si>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</si>
  <si>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</si>
  <si>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</si>
  <si>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</si>
  <si>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</si>
  <si>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</si>
  <si>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</si>
  <si>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</si>
  <si>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</si>
  <si>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</si>
  <si>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</si>
  <si>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Devex, land and contingency by calendar year (at Q4)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</si>
  <si>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</si>
  <si>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</si>
  <si>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</si>
  <si>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</si>
  <si>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</si>
  <si>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</si>
  <si>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</si>
  <si>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</si>
  <si>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</si>
  <si>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</si>
  <si>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</si>
  <si>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</si>
  <si>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</si>
  <si>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</si>
  <si>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</si>
  <si>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</si>
  <si>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</si>
  <si>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</si>
  <si>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</si>
  <si>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</si>
  <si>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</si>
  <si>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</si>
  <si>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</si>
  <si>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Wind capex per built MW (E: turbine, live route; F: other)</t>
  </si>
  <si>
    <t xml:space="preserve">Substation and 132 kV bay, live route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</si>
  <si>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</si>
  <si>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</si>
  <si>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</si>
  <si>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</si>
  <si>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</si>
  <si>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</si>
  <si>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</si>
  <si>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</si>
  <si>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</si>
  <si>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</si>
  <si>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</si>
  <si>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</si>
  <si>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</si>
  <si>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</si>
  <si>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</si>
  <si>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</si>
  <si>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</si>
  <si>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</si>
  <si>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</si>
  <si>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</si>
  <si>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</si>
  <si>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</si>
  <si>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</si>
  <si>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</si>
  <si>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</si>
  <si>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</si>
  <si>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</si>
  <si>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</si>
  <si>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</si>
  <si>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</si>
  <si>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</si>
  <si>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</si>
  <si>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</t>
  </si>
  <si>
    <t xml:space="preserve">6 % guarantee return</t>
  </si>
  <si>
    <t xml:space="preserve">Developer success fee (DSA)</t>
  </si>
  <si>
    <t xml:space="preserve">FEP receipts at the exit</t>
  </si>
  <si>
    <t xml:space="preserve">Developer: DSA and share</t>
  </si>
  <si>
    <t xml:space="preserve">Exit split, devex-file view (paid amounts)</t>
  </si>
  <si>
    <t xml:space="preserve">FEP (E: principal returned, F: 70 % of distributable)</t>
  </si>
  <si>
    <t xml:space="preserve">FEP-borne devex, contingency and participation fee</t>
  </si>
  <si>
    <t xml:space="preserve">FEP interest claims (E) and FEP net (F: claims + 70 % - devex)</t>
  </si>
  <si>
    <t xml:space="preserve">A.RES 30 % of distributable</t>
  </si>
  <si>
    <t xml:space="preserve">Per installed wind MW (E: FEP net, F: A.RES total)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</si>
  <si>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</si>
  <si>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</si>
  <si>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</si>
  <si>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</si>
  <si>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</si>
  <si>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</si>
  <si>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</si>
  <si>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</si>
  <si>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</si>
  <si>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</si>
  <si>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</si>
  <si>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</si>
  <si>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</si>
  <si>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Capex breakdown to COD (two items per row)</t>
  </si>
  <si>
    <t xml:space="preserve">Turbines (E), installation (F)</t>
  </si>
  <si>
    <t xml:space="preserve">Foundations (E), balance of plant (F)</t>
  </si>
  <si>
    <t xml:space="preserve">Owner's costs (E), land, easements and pre-COD lease (F)</t>
  </si>
  <si>
    <t xml:space="preserve">Contingency (E), substation and 132 kV bay (F)</t>
  </si>
  <si>
    <t xml:space="preserve">BESS (E), connection fees (F)</t>
  </si>
  <si>
    <t xml:space="preserve">Municipal one-off (E), development: devex, land, signing, securities (F)</t>
  </si>
  <si>
    <t xml:space="preserve">All-in cost to COD (E: uses, F: sources)</t>
  </si>
  <si>
    <t xml:space="preserve">Funding: construction equity (E: capex, lease less debt), debt fees (F)</t>
  </si>
  <si>
    <t xml:space="preserve">Commitment</t>
  </si>
  <si>
    <t xml:space="preserve">Total commitment: all-in cost to COD and guarantee</t>
  </si>
  <si>
    <t xml:space="preserve">Penalty if overbuild not built, a call on the PB (F: full call)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</si>
  <si>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</si>
  <si>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</si>
  <si>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</si>
  <si>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</si>
  <si>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</si>
  <si>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</si>
  <si>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</si>
  <si>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</si>
  <si>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</si>
  <si>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</si>
  <si>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</si>
  <si>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</si>
  <si>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</si>
  <si>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net (devex-file view) + route costs = FEP RtB profit – Calc_1</t>
  </si>
  <si>
    <t xml:space="preserve">FEP net (devex-file view) + route costs = FEP RtB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</si>
  <si>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</si>
  <si>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</si>
  <si>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</si>
  <si>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</si>
  <si>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</si>
  <si>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</si>
  <si>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Funding table: cumulative cash = FEP contributions to COD (both bids)</t>
  </si>
  <si>
    <t xml:space="preserve">Capex breakdown sums to the all-in cost to COD (both bids)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</si>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</sst>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3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3</v>
      </c>
      <c r="H13" s="13" t="s">
        <v>33</v>
      </c>
      <c r="I13" s="14" t="n">
        <f aca="false">Calc_1!$F$31</f>
        <v>15</v>
      </c>
      <c r="J13" s="14" t="n">
        <f aca="false">Calc_2!$F$31</f>
        <v>15</v>
      </c>
      <c r="K13" s="15" t="n">
        <v>0</v>
      </c>
      <c r="L13" s="15" t="n">
        <v>0</v>
      </c>
      <c r="M13" s="16" t="n">
        <v>-0.0256631536392726</v>
      </c>
      <c r="N13" s="16" t="n">
        <v>-0.0256631536392726</v>
      </c>
      <c r="O13" s="16" t="n">
        <v>-0.00608428062140405</v>
      </c>
      <c r="P13" s="16" t="n">
        <v>-0.00608428062140405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0.51</v>
      </c>
      <c r="H14" s="13" t="s">
        <v>36</v>
      </c>
      <c r="I14" s="14" t="n">
        <f aca="false">Calc_1!$F$32</f>
        <v>10</v>
      </c>
      <c r="J14" s="14" t="n">
        <f aca="false">Calc_2!$F$32</f>
        <v>10</v>
      </c>
      <c r="K14" s="15" t="n">
        <v>-0.472016523939481</v>
      </c>
      <c r="L14" s="15" t="n">
        <v>-0.472016523939481</v>
      </c>
      <c r="M14" s="16" t="n">
        <v>-0.0114884312103539</v>
      </c>
      <c r="N14" s="16" t="n">
        <v>-0.0114884312103539</v>
      </c>
      <c r="O14" s="16" t="n">
        <v>-0.00245398179669998</v>
      </c>
      <c r="P14" s="16" t="n">
        <v>-0.00245398179669998</v>
      </c>
      <c r="Q14" s="15" t="n">
        <v>1.41821917808219</v>
      </c>
      <c r="R14" s="15" t="n">
        <v>1.41821917808219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0.51</v>
      </c>
      <c r="H15" s="13" t="s">
        <v>39</v>
      </c>
      <c r="I15" s="14" t="n">
        <f aca="false">Calc_1!$F$33</f>
        <v>15</v>
      </c>
      <c r="J15" s="14" t="n">
        <f aca="false">Calc_2!$F$33</f>
        <v>15</v>
      </c>
      <c r="K15" s="15" t="n">
        <v>-0.370742740110629</v>
      </c>
      <c r="L15" s="15" t="n">
        <v>-0.370742740110629</v>
      </c>
      <c r="M15" s="16" t="n">
        <v>-0.0650761204818859</v>
      </c>
      <c r="N15" s="16" t="n">
        <v>-0.0650761204818859</v>
      </c>
      <c r="O15" s="16" t="n">
        <v>-0.012392661209204</v>
      </c>
      <c r="P15" s="16" t="n">
        <v>-0.012392661209204</v>
      </c>
      <c r="Q15" s="15" t="n">
        <v>2.79452054794521</v>
      </c>
      <c r="R15" s="15" t="n">
        <v>2.79452054794521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85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Calc_1!$I152/Thousand</f>
        <v>6.54675873853232</v>
      </c>
      <c r="F26" s="28" t="n">
        <f aca="false">Calc_2!$I152/Thousand</f>
        <v>6.54675873853232</v>
      </c>
      <c r="H26" s="15" t="n">
        <v>7.38951800258242</v>
      </c>
      <c r="I26" s="15" t="n">
        <v>-0.842759264050099</v>
      </c>
      <c r="J26" s="15" t="n">
        <v>-0.842759264050099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Calc_1!$E154</f>
        <v>0.221510760619134</v>
      </c>
      <c r="F27" s="26" t="n">
        <f aca="false">Calc_2!$E154</f>
        <v>0.221510760619134</v>
      </c>
      <c r="H27" s="29" t="n">
        <v>0.257826283818653</v>
      </c>
      <c r="I27" s="29" t="n">
        <v>-0.0363155231995194</v>
      </c>
      <c r="J27" s="29" t="n">
        <v>-0.0363155231995194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Calc_1!$E171</f>
        <v>0.378454368531697</v>
      </c>
      <c r="F28" s="26" t="n">
        <f aca="false">Calc_2!$E171</f>
        <v>0.378454368531697</v>
      </c>
      <c r="H28" s="29" t="n">
        <v>0.495635416758283</v>
      </c>
      <c r="I28" s="29" t="n">
        <v>-0.117181048226587</v>
      </c>
      <c r="J28" s="29" t="n">
        <v>-0.117181048226587</v>
      </c>
      <c r="T28" s="13" t="s">
        <v>78</v>
      </c>
      <c r="U28" s="11" t="s">
        <v>41</v>
      </c>
      <c r="V28" s="20" t="n">
        <f aca="false">In_Sanction_Regime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Calc_1!$E173/Thousand</f>
        <v>30.7548631039482</v>
      </c>
      <c r="F29" s="28" t="n">
        <f aca="false">Calc_2!$E173/Thousand</f>
        <v>30.7548631039482</v>
      </c>
      <c r="H29" s="15" t="n">
        <v>44.6105521842832</v>
      </c>
      <c r="I29" s="15" t="n">
        <v>-13.855689080335</v>
      </c>
      <c r="J29" s="15" t="n">
        <v>-13.855689080335</v>
      </c>
      <c r="T29" s="13" t="s">
        <v>80</v>
      </c>
      <c r="U29" s="11" t="s">
        <v>41</v>
      </c>
      <c r="V29" s="20" t="n">
        <f aca="false">In_OSZ4_Basis</f>
        <v>0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Calc_1!$E191</f>
        <v>0.0949073005175575</v>
      </c>
      <c r="F30" s="26" t="n">
        <f aca="false">Calc_2!$E191</f>
        <v>0.0949073005175575</v>
      </c>
      <c r="H30" s="29" t="n">
        <v>0.118654233690466</v>
      </c>
      <c r="I30" s="29" t="n">
        <v>-0.0237469331729081</v>
      </c>
      <c r="J30" s="29" t="n">
        <v>-0.0237469331729081</v>
      </c>
    </row>
    <row r="31" customFormat="false" ht="15" hidden="false" customHeight="false" outlineLevel="0" collapsed="false">
      <c r="C31" s="0" t="s">
        <v>82</v>
      </c>
      <c r="D31" s="11" t="s">
        <v>73</v>
      </c>
      <c r="E31" s="28" t="n">
        <f aca="false">Calc_1!$E193/Thousand</f>
        <v>13.3631648488628</v>
      </c>
      <c r="F31" s="28" t="n">
        <f aca="false">Calc_2!$E193/Thousand</f>
        <v>13.3631648488628</v>
      </c>
      <c r="H31" s="15" t="n">
        <v>31.4248287787171</v>
      </c>
      <c r="I31" s="15" t="n">
        <v>-18.0616639298542</v>
      </c>
      <c r="J31" s="15" t="n">
        <v>-18.0616639298542</v>
      </c>
    </row>
    <row r="32" customFormat="false" ht="15" hidden="false" customHeight="false" outlineLevel="0" collapsed="false">
      <c r="C32" s="30" t="s">
        <v>83</v>
      </c>
      <c r="D32" s="11" t="s">
        <v>73</v>
      </c>
      <c r="E32" s="31" t="n">
        <f aca="false">Calc_1!$E186/Thousand</f>
        <v>171.213786622901</v>
      </c>
      <c r="F32" s="31" t="n">
        <f aca="false">Calc_2!$E186/Thousand</f>
        <v>171.213786622901</v>
      </c>
      <c r="H32" s="15" t="n">
        <v>147.799682151735</v>
      </c>
      <c r="I32" s="15" t="n">
        <v>23.4141044711663</v>
      </c>
      <c r="J32" s="15" t="n">
        <v>23.4141044711663</v>
      </c>
    </row>
    <row r="34" customFormat="false" ht="15" hidden="false" customHeight="false" outlineLevel="0" collapsed="false">
      <c r="A34" s="9" t="s">
        <v>13</v>
      </c>
      <c r="B34" s="9"/>
      <c r="C34" s="9" t="s">
        <v>84</v>
      </c>
      <c r="D34" s="9"/>
      <c r="E34" s="10" t="s">
        <v>85</v>
      </c>
      <c r="F34" s="10" t="s">
        <v>86</v>
      </c>
      <c r="G34" s="9"/>
      <c r="H34" s="10" t="s">
        <v>87</v>
      </c>
      <c r="I34" s="10" t="s">
        <v>88</v>
      </c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89</v>
      </c>
      <c r="D35" s="11" t="s">
        <v>73</v>
      </c>
      <c r="E35" s="27" t="n">
        <f aca="false">In_Invest_Date</f>
        <v>46234</v>
      </c>
      <c r="F35" s="28" t="n">
        <f aca="false">-(Calc_1!$I46+Calc_2!$I46)/Thousand</f>
        <v>0.8</v>
      </c>
      <c r="I35" s="28" t="n">
        <f aca="false">F35</f>
        <v>0.8</v>
      </c>
    </row>
    <row r="36" customFormat="false" ht="15" hidden="false" customHeight="false" outlineLevel="0" collapsed="false">
      <c r="C36" s="0" t="s">
        <v>90</v>
      </c>
      <c r="D36" s="11" t="s">
        <v>73</v>
      </c>
      <c r="E36" s="27" t="n">
        <f aca="false">In_Bid_Date</f>
        <v>46325</v>
      </c>
      <c r="F36" s="28" t="n">
        <f aca="false">(Calc_1!$E47+Calc_2!$E47)/Thousand</f>
        <v>0.0164383561643836</v>
      </c>
      <c r="H36" s="28" t="n">
        <f aca="false">(Calc_1!$E48+Calc_2!$E48)/Thousand</f>
        <v>2.79742465753425</v>
      </c>
      <c r="I36" s="28" t="n">
        <f aca="false">F36+I35</f>
        <v>0.816438356164384</v>
      </c>
    </row>
    <row r="37" customFormat="false" ht="15" hidden="false" customHeight="false" outlineLevel="0" collapsed="false">
      <c r="C37" s="0" t="s">
        <v>91</v>
      </c>
      <c r="D37" s="11" t="s">
        <v>73</v>
      </c>
      <c r="E37" s="27" t="n">
        <f aca="false">Calc_1!$F$49</f>
        <v>46384</v>
      </c>
      <c r="H37" s="28" t="n">
        <f aca="false">(Calc_1!$E49+Calc_2!$E49)/Thousand</f>
        <v>13.9871232876712</v>
      </c>
      <c r="I37" s="28" t="n">
        <f aca="false">F37+I36</f>
        <v>0.816438356164384</v>
      </c>
    </row>
    <row r="38" customFormat="false" ht="15" hidden="false" customHeight="false" outlineLevel="0" collapsed="false">
      <c r="C38" s="0" t="s">
        <v>92</v>
      </c>
      <c r="D38" s="11" t="s">
        <v>73</v>
      </c>
      <c r="E38" s="27" t="n">
        <f aca="false">In_TSO_Date</f>
        <v>46386</v>
      </c>
      <c r="F38" s="28" t="n">
        <f aca="false">(Calc_1!$E50+Calc_2!$E50)/Thousand</f>
        <v>2.46575342465753</v>
      </c>
      <c r="I38" s="28" t="n">
        <f aca="false">F38+I37</f>
        <v>3.28219178082192</v>
      </c>
    </row>
    <row r="39" customFormat="false" ht="15" hidden="false" customHeight="false" outlineLevel="0" collapsed="false">
      <c r="C39" s="0" t="s">
        <v>93</v>
      </c>
      <c r="D39" s="11" t="s">
        <v>73</v>
      </c>
      <c r="E39" s="27" t="n">
        <f aca="false">Calc_1!K$4</f>
        <v>46387</v>
      </c>
      <c r="F39" s="28" t="n">
        <f aca="false">-(Calc_1!K58+Calc_2!K58)/Thousand</f>
        <v>0.357041095890411</v>
      </c>
      <c r="I39" s="28" t="n">
        <f aca="false">F39+I38</f>
        <v>3.63923287671233</v>
      </c>
    </row>
    <row r="40" customFormat="false" ht="15" hidden="false" customHeight="false" outlineLevel="0" collapsed="false">
      <c r="C40" s="0" t="s">
        <v>94</v>
      </c>
      <c r="D40" s="11" t="s">
        <v>73</v>
      </c>
      <c r="E40" s="27" t="n">
        <f aca="false">Calc_1!O$4</f>
        <v>46752</v>
      </c>
      <c r="F40" s="28" t="n">
        <f aca="false">-(Calc_1!O58+Calc_2!O58)/Thousand</f>
        <v>1.72095479452055</v>
      </c>
      <c r="I40" s="28" t="n">
        <f aca="false">F40+I39</f>
        <v>5.36018767123288</v>
      </c>
    </row>
    <row r="41" customFormat="false" ht="15" hidden="false" customHeight="false" outlineLevel="0" collapsed="false">
      <c r="C41" s="0" t="s">
        <v>95</v>
      </c>
      <c r="D41" s="11" t="s">
        <v>73</v>
      </c>
      <c r="E41" s="27" t="n">
        <f aca="false">Calc_1!S$4</f>
        <v>47118</v>
      </c>
      <c r="F41" s="28" t="n">
        <f aca="false">-(Calc_1!S58+Calc_2!S58)/Thousand</f>
        <v>3.55193806503774</v>
      </c>
      <c r="I41" s="28" t="n">
        <f aca="false">F41+I40</f>
        <v>8.91212573627062</v>
      </c>
    </row>
    <row r="42" customFormat="false" ht="15" hidden="false" customHeight="false" outlineLevel="0" collapsed="false">
      <c r="C42" s="0" t="s">
        <v>96</v>
      </c>
      <c r="D42" s="11" t="s">
        <v>73</v>
      </c>
      <c r="E42" s="27" t="n">
        <f aca="false">In_HCSSZ_Date</f>
        <v>47126</v>
      </c>
      <c r="F42" s="28" t="n">
        <f aca="false">-(Calc_1!$I53+Calc_2!$I53)/Thousand</f>
        <v>40.3587748164384</v>
      </c>
      <c r="I42" s="28" t="n">
        <f aca="false">F42+I41</f>
        <v>49.270900552709</v>
      </c>
    </row>
    <row r="43" customFormat="false" ht="15" hidden="false" customHeight="false" outlineLevel="0" collapsed="false">
      <c r="C43" s="0" t="s">
        <v>97</v>
      </c>
      <c r="D43" s="11" t="s">
        <v>73</v>
      </c>
      <c r="E43" s="27" t="n">
        <f aca="false">Calc_1!W$4</f>
        <v>47483</v>
      </c>
      <c r="F43" s="28" t="n">
        <f aca="false">-(Calc_1!W58+Calc_2!W58)/Thousand</f>
        <v>0.609315068493151</v>
      </c>
      <c r="I43" s="28" t="n">
        <f aca="false">F43+I42</f>
        <v>49.8802156212021</v>
      </c>
    </row>
    <row r="44" customFormat="false" ht="15" hidden="false" customHeight="false" outlineLevel="0" collapsed="false">
      <c r="C44" s="0" t="s">
        <v>98</v>
      </c>
      <c r="D44" s="11" t="s">
        <v>73</v>
      </c>
      <c r="E44" s="27" t="n">
        <f aca="false">In_COD</f>
        <v>48121</v>
      </c>
      <c r="F44" s="28" t="n">
        <f aca="false">(Calc_1!$E183+Calc_2!$E183)/Thousand</f>
        <v>71.1137176466246</v>
      </c>
      <c r="I44" s="28" t="n">
        <f aca="false">F44+I43</f>
        <v>120.993933267827</v>
      </c>
    </row>
    <row r="45" customFormat="false" ht="15" hidden="false" customHeight="false" outlineLevel="0" collapsed="false">
      <c r="C45" s="0" t="s">
        <v>99</v>
      </c>
      <c r="D45" s="11" t="s">
        <v>73</v>
      </c>
      <c r="E45" s="27" t="n">
        <f aca="false">In_COD</f>
        <v>48121</v>
      </c>
      <c r="F45" s="28" t="n">
        <f aca="false">(Calc_1!$F183+Calc_2!$F183)/Thousand</f>
        <v>4.98227569523139</v>
      </c>
      <c r="I45" s="28" t="n">
        <f aca="false">F45+I44</f>
        <v>125.976208963058</v>
      </c>
    </row>
    <row r="46" customFormat="false" ht="15" hidden="false" customHeight="false" outlineLevel="0" collapsed="false">
      <c r="C46" s="0" t="s">
        <v>100</v>
      </c>
      <c r="D46" s="11" t="s">
        <v>73</v>
      </c>
      <c r="E46" s="27" t="n">
        <f aca="false">In_COD</f>
        <v>48121</v>
      </c>
      <c r="F46" s="28" t="n">
        <f aca="false">-(Calc_1!$F59+Calc_2!$F59)/Thousand</f>
        <v>4.02323314993432</v>
      </c>
      <c r="I46" s="28" t="n">
        <f aca="false">F46+I45</f>
        <v>129.999442112992</v>
      </c>
    </row>
    <row r="47" customFormat="false" ht="15" hidden="false" customHeight="false" outlineLevel="0" collapsed="false">
      <c r="C47" s="0" t="s">
        <v>101</v>
      </c>
      <c r="D47" s="11" t="s">
        <v>73</v>
      </c>
      <c r="E47" s="27" t="n">
        <f aca="false">In_COD</f>
        <v>48121</v>
      </c>
      <c r="F47" s="28" t="n">
        <f aca="false">-(Calc_1!$I95+Calc_2!$I95)/Thousand</f>
        <v>10</v>
      </c>
      <c r="I47" s="28" t="n">
        <f aca="false">F47+I46</f>
        <v>139.999442112992</v>
      </c>
    </row>
    <row r="48" customFormat="false" ht="15" hidden="false" customHeight="false" outlineLevel="0" collapsed="false">
      <c r="C48" s="30" t="s">
        <v>102</v>
      </c>
      <c r="D48" s="11" t="s">
        <v>73</v>
      </c>
      <c r="F48" s="31" t="n">
        <f aca="false">-(Calc_1!$I159+Calc_2!$I159)/Thousand</f>
        <v>139.999442112992</v>
      </c>
      <c r="H48" s="31" t="n">
        <f aca="false">(Calc_1!$E49+Calc_2!$E49)/Thousand</f>
        <v>13.9871232876712</v>
      </c>
    </row>
    <row r="50" customFormat="false" ht="15" hidden="false" customHeight="false" outlineLevel="0" collapsed="false">
      <c r="A50" s="9" t="s">
        <v>13</v>
      </c>
      <c r="B50" s="9"/>
      <c r="C50" s="9" t="s">
        <v>103</v>
      </c>
      <c r="D50" s="9"/>
      <c r="E50" s="10" t="s">
        <v>104</v>
      </c>
      <c r="F50" s="10" t="s">
        <v>105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</row>
    <row r="51" customFormat="false" ht="15" hidden="false" customHeight="false" outlineLevel="0" collapsed="false">
      <c r="C51" s="0" t="s">
        <v>106</v>
      </c>
      <c r="D51" s="11" t="s">
        <v>73</v>
      </c>
      <c r="E51" s="32" t="n">
        <f aca="false">(Calc_1!$E175+Calc_2!$E175)/Thousand</f>
        <v>120</v>
      </c>
      <c r="F51" s="33" t="n">
        <f aca="false">(Calc_1!$E175+Calc_2!$E175)/(Calc_1!$F24+Calc_2!$F24)</f>
        <v>600</v>
      </c>
    </row>
    <row r="52" customFormat="false" ht="15" hidden="false" customHeight="false" outlineLevel="0" collapsed="false">
      <c r="C52" s="0" t="s">
        <v>107</v>
      </c>
      <c r="D52" s="11" t="s">
        <v>73</v>
      </c>
      <c r="E52" s="32" t="n">
        <f aca="false">(Calc_1!$F175+Calc_2!$F175)/Thousand</f>
        <v>16</v>
      </c>
      <c r="F52" s="33" t="n">
        <f aca="false">(Calc_1!$F175+Calc_2!$F175)/(Calc_1!$F24+Calc_2!$F24)</f>
        <v>80</v>
      </c>
    </row>
    <row r="53" customFormat="false" ht="15" hidden="false" customHeight="false" outlineLevel="0" collapsed="false">
      <c r="C53" s="0" t="s">
        <v>108</v>
      </c>
      <c r="D53" s="11" t="s">
        <v>73</v>
      </c>
      <c r="E53" s="32" t="n">
        <f aca="false">(Calc_1!$E176+Calc_2!$E176)/Thousand</f>
        <v>18</v>
      </c>
      <c r="F53" s="33" t="n">
        <f aca="false">(Calc_1!$E176+Calc_2!$E176)/(Calc_1!$F24+Calc_2!$F24)</f>
        <v>90</v>
      </c>
    </row>
    <row r="54" customFormat="false" ht="15" hidden="false" customHeight="false" outlineLevel="0" collapsed="false">
      <c r="C54" s="0" t="s">
        <v>109</v>
      </c>
      <c r="D54" s="11" t="s">
        <v>73</v>
      </c>
      <c r="E54" s="32" t="n">
        <f aca="false">(Calc_1!$F176+Calc_2!$F176)/Thousand</f>
        <v>26</v>
      </c>
      <c r="F54" s="33" t="n">
        <f aca="false">(Calc_1!$F176+Calc_2!$F176)/(Calc_1!$F24+Calc_2!$F24)</f>
        <v>130</v>
      </c>
    </row>
    <row r="55" customFormat="false" ht="15" hidden="false" customHeight="false" outlineLevel="0" collapsed="false">
      <c r="C55" s="0" t="s">
        <v>110</v>
      </c>
      <c r="D55" s="11" t="s">
        <v>73</v>
      </c>
      <c r="E55" s="32" t="n">
        <f aca="false">(Calc_1!$E177+Calc_2!$E177)/Thousand</f>
        <v>8</v>
      </c>
      <c r="F55" s="33" t="n">
        <f aca="false">(Calc_1!$E177+Calc_2!$E177)/(Calc_1!$F24+Calc_2!$F24)</f>
        <v>40</v>
      </c>
    </row>
    <row r="56" customFormat="false" ht="15" hidden="false" customHeight="false" outlineLevel="0" collapsed="false">
      <c r="C56" s="0" t="s">
        <v>111</v>
      </c>
      <c r="D56" s="11" t="s">
        <v>73</v>
      </c>
      <c r="E56" s="32" t="n">
        <f aca="false">(Calc_1!$F177+Calc_2!$F177)/Thousand</f>
        <v>4.23698253648758</v>
      </c>
      <c r="F56" s="33" t="n">
        <f aca="false">(Calc_1!$F177+Calc_2!$F177)/(Calc_1!$F24+Calc_2!$F24)</f>
        <v>21.1849126824379</v>
      </c>
    </row>
    <row r="57" customFormat="false" ht="15" hidden="false" customHeight="false" outlineLevel="0" collapsed="false">
      <c r="C57" s="0" t="s">
        <v>112</v>
      </c>
      <c r="D57" s="11" t="s">
        <v>73</v>
      </c>
      <c r="E57" s="32" t="n">
        <f aca="false">(Calc_1!$E178+Calc_2!$E178)/Thousand</f>
        <v>10.75</v>
      </c>
      <c r="F57" s="33" t="n">
        <f aca="false">(Calc_1!$E178+Calc_2!$E178)/(Calc_1!$F24+Calc_2!$F24)</f>
        <v>53.75</v>
      </c>
    </row>
    <row r="58" customFormat="false" ht="15" hidden="false" customHeight="false" outlineLevel="0" collapsed="false">
      <c r="C58" s="0" t="s">
        <v>113</v>
      </c>
      <c r="D58" s="11" t="s">
        <v>73</v>
      </c>
      <c r="E58" s="32" t="n">
        <f aca="false">(Calc_1!$F178+Calc_2!$F178)/Thousand</f>
        <v>24</v>
      </c>
      <c r="F58" s="33" t="n">
        <f aca="false">(Calc_1!$F178+Calc_2!$F178)/(Calc_1!$F24+Calc_2!$F24)</f>
        <v>120</v>
      </c>
    </row>
    <row r="59" customFormat="false" ht="15" hidden="false" customHeight="false" outlineLevel="0" collapsed="false">
      <c r="C59" s="0" t="s">
        <v>114</v>
      </c>
      <c r="D59" s="11" t="s">
        <v>73</v>
      </c>
      <c r="E59" s="32" t="n">
        <f aca="false">(Calc_1!$E179+Calc_2!$E179)/Thousand</f>
        <v>24.48</v>
      </c>
      <c r="F59" s="33" t="n">
        <f aca="false">(Calc_1!$E179+Calc_2!$E179)/(Calc_1!$F24+Calc_2!$F24)</f>
        <v>122.4</v>
      </c>
    </row>
    <row r="60" customFormat="false" ht="15" hidden="false" customHeight="false" outlineLevel="0" collapsed="false">
      <c r="C60" s="0" t="s">
        <v>115</v>
      </c>
      <c r="D60" s="11" t="s">
        <v>73</v>
      </c>
      <c r="E60" s="32" t="n">
        <f aca="false">(Calc_1!$F179+Calc_2!$F179)/Thousand</f>
        <v>40.3587748164384</v>
      </c>
      <c r="F60" s="33" t="n">
        <f aca="false">(Calc_1!$F179+Calc_2!$F179)/(Calc_1!$F24+Calc_2!$F24)</f>
        <v>201.793874082192</v>
      </c>
    </row>
    <row r="61" customFormat="false" ht="15" hidden="false" customHeight="false" outlineLevel="0" collapsed="false">
      <c r="C61" s="0" t="s">
        <v>116</v>
      </c>
      <c r="D61" s="11" t="s">
        <v>73</v>
      </c>
      <c r="E61" s="32" t="n">
        <f aca="false">(Calc_1!$E180+Calc_2!$E180)/Thousand</f>
        <v>10</v>
      </c>
      <c r="F61" s="33" t="n">
        <f aca="false">(Calc_1!$E180+Calc_2!$E180)/(Calc_1!$F24+Calc_2!$F24)</f>
        <v>50</v>
      </c>
    </row>
    <row r="62" customFormat="false" ht="15" hidden="false" customHeight="false" outlineLevel="0" collapsed="false">
      <c r="C62" s="0" t="s">
        <v>117</v>
      </c>
      <c r="D62" s="11" t="s">
        <v>73</v>
      </c>
      <c r="E62" s="32" t="n">
        <f aca="false">(Calc_1!$F180+Calc_2!$F180)/Thousand</f>
        <v>9.52144080476377</v>
      </c>
      <c r="F62" s="33" t="n">
        <f aca="false">(Calc_1!$F180+Calc_2!$F180)/(Calc_1!$F24+Calc_2!$F24)</f>
        <v>47.6072040238188</v>
      </c>
    </row>
    <row r="63" customFormat="false" ht="15" hidden="false" customHeight="false" outlineLevel="0" collapsed="false">
      <c r="C63" s="0" t="s">
        <v>118</v>
      </c>
      <c r="D63" s="11" t="s">
        <v>73</v>
      </c>
      <c r="E63" s="32" t="n">
        <f aca="false">(Calc_1!$E181+Calc_2!$E181)/Thousand</f>
        <v>17.0932518004415</v>
      </c>
      <c r="F63" s="33" t="n">
        <f aca="false">(Calc_1!$E181+Calc_2!$E181)/(Calc_1!$F24+Calc_2!$F24)</f>
        <v>85.4662590022075</v>
      </c>
    </row>
    <row r="64" customFormat="false" ht="15" hidden="false" customHeight="false" outlineLevel="0" collapsed="false">
      <c r="C64" s="30" t="s">
        <v>119</v>
      </c>
      <c r="D64" s="11" t="s">
        <v>73</v>
      </c>
      <c r="E64" s="34" t="n">
        <f aca="false">(Calc_1!$E182+Calc_2!$E182)/Thousand</f>
        <v>328.440449958131</v>
      </c>
      <c r="F64" s="35" t="n">
        <f aca="false">(Calc_1!$E182+Calc_2!$E182)/(Calc_1!$F24+Calc_2!$F24)</f>
        <v>1642.20224979066</v>
      </c>
    </row>
    <row r="66" customFormat="false" ht="15" hidden="false" customHeight="false" outlineLevel="0" collapsed="false">
      <c r="A66" s="9" t="s">
        <v>13</v>
      </c>
      <c r="B66" s="9"/>
      <c r="C66" s="9" t="s">
        <v>120</v>
      </c>
      <c r="D66" s="9"/>
      <c r="E66" s="10" t="s">
        <v>9</v>
      </c>
      <c r="F66" s="10" t="s">
        <v>10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</row>
    <row r="67" customFormat="false" ht="15" hidden="false" customHeight="false" outlineLevel="0" collapsed="false">
      <c r="C67" s="0" t="s">
        <v>121</v>
      </c>
      <c r="D67" s="11" t="s">
        <v>122</v>
      </c>
      <c r="E67" s="25" t="n">
        <f aca="false">Calc_1!$E24</f>
        <v>151</v>
      </c>
      <c r="F67" s="25" t="n">
        <f aca="false">Calc_2!$E24</f>
        <v>151</v>
      </c>
    </row>
    <row r="68" customFormat="false" ht="15" hidden="false" customHeight="false" outlineLevel="0" collapsed="false">
      <c r="C68" s="0" t="s">
        <v>123</v>
      </c>
      <c r="D68" s="11" t="s">
        <v>122</v>
      </c>
      <c r="E68" s="25" t="n">
        <f aca="false">Calc_1!$F24</f>
        <v>100</v>
      </c>
      <c r="F68" s="25" t="n">
        <f aca="false">Calc_2!$F24</f>
        <v>100</v>
      </c>
    </row>
    <row r="69" customFormat="false" ht="15" hidden="false" customHeight="false" outlineLevel="0" collapsed="false">
      <c r="C69" s="0" t="s">
        <v>124</v>
      </c>
      <c r="D69" s="11" t="s">
        <v>122</v>
      </c>
      <c r="E69" s="25" t="n">
        <f aca="false">Calc_1!$E25</f>
        <v>51</v>
      </c>
      <c r="F69" s="25" t="n">
        <f aca="false">Calc_2!$E25</f>
        <v>51</v>
      </c>
    </row>
    <row r="70" customFormat="false" ht="15" hidden="false" customHeight="false" outlineLevel="0" collapsed="false">
      <c r="C70" s="0" t="s">
        <v>125</v>
      </c>
      <c r="D70" s="11" t="s">
        <v>41</v>
      </c>
      <c r="E70" s="36" t="str">
        <f aca="false">IF(Calc_1!$E42=0,"OK","CHECK")</f>
        <v>OK</v>
      </c>
      <c r="F70" s="36" t="str">
        <f aca="false">IF(Calc_2!$E42=0,"OK","CHECK")</f>
        <v>OK</v>
      </c>
    </row>
    <row r="71" customFormat="false" ht="15" hidden="false" customHeight="false" outlineLevel="0" collapsed="false">
      <c r="C71" s="0" t="s">
        <v>126</v>
      </c>
      <c r="D71" s="11" t="s">
        <v>41</v>
      </c>
      <c r="E71" s="36" t="str">
        <f aca="false">IF(Calc_1!$F42=0,"OK","CHECK")</f>
        <v>OK</v>
      </c>
      <c r="F71" s="36" t="str">
        <f aca="false">IF(Calc_2!$F42=0,"OK","CHECK")</f>
        <v>OK</v>
      </c>
    </row>
    <row r="73" customFormat="false" ht="15" hidden="false" customHeight="false" outlineLevel="0" collapsed="false">
      <c r="A73" s="9" t="s">
        <v>13</v>
      </c>
      <c r="B73" s="9"/>
      <c r="C73" s="9" t="s">
        <v>127</v>
      </c>
      <c r="D73" s="9"/>
      <c r="E73" s="10" t="s">
        <v>9</v>
      </c>
      <c r="F73" s="10" t="s">
        <v>10</v>
      </c>
      <c r="G73" s="9"/>
      <c r="H73" s="10" t="s">
        <v>128</v>
      </c>
      <c r="I73" s="10" t="s">
        <v>129</v>
      </c>
      <c r="J73" s="10" t="s">
        <v>130</v>
      </c>
      <c r="K73" s="9"/>
      <c r="L73" s="9"/>
      <c r="M73" s="9"/>
      <c r="N73" s="9"/>
      <c r="O73" s="9"/>
      <c r="P73" s="9"/>
      <c r="Q73" s="9"/>
      <c r="R73" s="9"/>
    </row>
    <row r="74" customFormat="false" ht="15" hidden="false" customHeight="false" outlineLevel="0" collapsed="false">
      <c r="C74" s="0" t="s">
        <v>131</v>
      </c>
      <c r="D74" s="11" t="s">
        <v>73</v>
      </c>
      <c r="E74" s="37" t="n">
        <f aca="false">Calc_1!$E47/Thousand</f>
        <v>0.00821917808219178</v>
      </c>
      <c r="F74" s="37" t="n">
        <f aca="false">Calc_2!$E47/Thousand</f>
        <v>0.00821917808219178</v>
      </c>
      <c r="H74" s="13" t="s">
        <v>132</v>
      </c>
      <c r="I74" s="27" t="n">
        <f aca="false">In_Bid_Date</f>
        <v>46325</v>
      </c>
      <c r="J74" s="38" t="s">
        <v>133</v>
      </c>
    </row>
    <row r="75" customFormat="false" ht="15" hidden="false" customHeight="false" outlineLevel="0" collapsed="false">
      <c r="C75" s="0" t="s">
        <v>134</v>
      </c>
      <c r="D75" s="11" t="s">
        <v>73</v>
      </c>
      <c r="E75" s="37" t="n">
        <f aca="false">Calc_1!$E48/Thousand</f>
        <v>1.39871232876712</v>
      </c>
      <c r="F75" s="37" t="n">
        <f aca="false">Calc_2!$E48/Thousand</f>
        <v>1.39871232876712</v>
      </c>
      <c r="H75" s="13" t="s">
        <v>135</v>
      </c>
      <c r="I75" s="27" t="n">
        <f aca="false">In_Bid_Date</f>
        <v>46325</v>
      </c>
      <c r="J75" s="27" t="n">
        <f aca="false">Calc_1!$F$49</f>
        <v>46384</v>
      </c>
    </row>
    <row r="76" customFormat="false" ht="15" hidden="false" customHeight="false" outlineLevel="0" collapsed="false">
      <c r="C76" s="0" t="s">
        <v>136</v>
      </c>
      <c r="D76" s="11" t="s">
        <v>73</v>
      </c>
      <c r="E76" s="37" t="n">
        <f aca="false">Calc_1!$E49/Thousand</f>
        <v>6.99356164383562</v>
      </c>
      <c r="F76" s="37" t="n">
        <f aca="false">Calc_2!$E49/Thousand</f>
        <v>6.99356164383562</v>
      </c>
      <c r="H76" s="13" t="s">
        <v>135</v>
      </c>
      <c r="I76" s="27" t="n">
        <f aca="false">Calc_1!$F$49</f>
        <v>46384</v>
      </c>
      <c r="J76" s="38" t="s">
        <v>137</v>
      </c>
    </row>
    <row r="77" customFormat="false" ht="15" hidden="false" customHeight="false" outlineLevel="0" collapsed="false">
      <c r="C77" s="0" t="s">
        <v>138</v>
      </c>
      <c r="D77" s="11" t="s">
        <v>73</v>
      </c>
      <c r="E77" s="37" t="n">
        <f aca="false">Calc_1!$E50/Thousand</f>
        <v>1.23287671232877</v>
      </c>
      <c r="F77" s="37" t="n">
        <f aca="false">Calc_2!$E50/Thousand</f>
        <v>1.23287671232877</v>
      </c>
      <c r="H77" s="13" t="s">
        <v>132</v>
      </c>
      <c r="I77" s="27" t="n">
        <f aca="false">In_TSO_Date</f>
        <v>46386</v>
      </c>
      <c r="J77" s="38" t="s">
        <v>139</v>
      </c>
    </row>
    <row r="78" customFormat="false" ht="15" hidden="false" customHeight="false" outlineLevel="0" collapsed="false">
      <c r="C78" s="0" t="s">
        <v>140</v>
      </c>
      <c r="D78" s="11" t="s">
        <v>73</v>
      </c>
      <c r="E78" s="37" t="n">
        <f aca="false">Calc_1!$E51/Thousand</f>
        <v>1.39272823013699</v>
      </c>
      <c r="F78" s="37" t="n">
        <f aca="false">Calc_2!$E51/Thousand</f>
        <v>1.39272823013699</v>
      </c>
      <c r="H78" s="13" t="s">
        <v>132</v>
      </c>
      <c r="I78" s="27" t="n">
        <f aca="false">In_HCSSZ_Date</f>
        <v>47126</v>
      </c>
      <c r="J78" s="38" t="s">
        <v>133</v>
      </c>
    </row>
    <row r="79" customFormat="false" ht="15" hidden="false" customHeight="false" outlineLevel="0" collapsed="false">
      <c r="C79" s="0" t="s">
        <v>141</v>
      </c>
      <c r="D79" s="11" t="s">
        <v>73</v>
      </c>
      <c r="E79" s="37" t="n">
        <f aca="false">Calc_1!$E52/Thousand</f>
        <v>18.7866591780822</v>
      </c>
      <c r="F79" s="37" t="n">
        <f aca="false">Calc_2!$E52/Thousand</f>
        <v>18.7866591780822</v>
      </c>
      <c r="H79" s="13" t="s">
        <v>132</v>
      </c>
      <c r="I79" s="27" t="n">
        <f aca="false">In_HCSSZ_Date</f>
        <v>47126</v>
      </c>
      <c r="J79" s="38" t="s">
        <v>133</v>
      </c>
    </row>
    <row r="80" customFormat="false" ht="15" hidden="false" customHeight="false" outlineLevel="0" collapsed="false">
      <c r="C80" s="0" t="s">
        <v>142</v>
      </c>
      <c r="D80" s="11" t="s">
        <v>73</v>
      </c>
      <c r="E80" s="28" t="n">
        <f aca="false">Calc_1!$E185/Thousand</f>
        <v>8.23465753424658</v>
      </c>
      <c r="F80" s="28" t="n">
        <f aca="false">Calc_2!$E185/Thousand</f>
        <v>8.23465753424658</v>
      </c>
    </row>
    <row r="81" customFormat="false" ht="15" hidden="false" customHeight="false" outlineLevel="0" collapsed="false">
      <c r="C81" s="0" t="s">
        <v>143</v>
      </c>
      <c r="D81" s="11" t="s">
        <v>73</v>
      </c>
      <c r="E81" s="28" t="n">
        <f aca="false">Calc_1!$E187/Thousand</f>
        <v>1.41821917808219</v>
      </c>
      <c r="F81" s="28" t="n">
        <f aca="false">Calc_2!$E187/Thousand</f>
        <v>1.41821917808219</v>
      </c>
    </row>
    <row r="82" customFormat="false" ht="15" hidden="false" customHeight="false" outlineLevel="0" collapsed="false">
      <c r="C82" s="0" t="s">
        <v>144</v>
      </c>
      <c r="D82" s="11" t="s">
        <v>73</v>
      </c>
      <c r="E82" s="28" t="n">
        <f aca="false">Calc_1!$F187/Thousand</f>
        <v>6.99356164383562</v>
      </c>
      <c r="F82" s="28" t="n">
        <f aca="false">Calc_2!$F187/Thousand</f>
        <v>6.99356164383562</v>
      </c>
    </row>
    <row r="83" customFormat="false" ht="15" hidden="false" customHeight="false" outlineLevel="0" collapsed="false">
      <c r="C83" s="0" t="s">
        <v>145</v>
      </c>
      <c r="D83" s="11" t="s">
        <v>146</v>
      </c>
      <c r="E83" s="22" t="n">
        <f aca="false">Calc_1!$E88</f>
        <v>33.7748344370861</v>
      </c>
      <c r="F83" s="22" t="n">
        <f aca="false">Calc_2!$E88</f>
        <v>33.7748344370861</v>
      </c>
    </row>
    <row r="84" customFormat="false" ht="15" hidden="false" customHeight="false" outlineLevel="0" collapsed="false">
      <c r="C84" s="0" t="s">
        <v>147</v>
      </c>
      <c r="D84" s="11" t="s">
        <v>41</v>
      </c>
      <c r="E84" s="20" t="n">
        <f aca="false">Calc_1!$E89</f>
        <v>1</v>
      </c>
      <c r="F84" s="20" t="n">
        <f aca="false">Calc_2!$E89</f>
        <v>1</v>
      </c>
    </row>
    <row r="86" customFormat="false" ht="15" hidden="false" customHeight="false" outlineLevel="0" collapsed="false">
      <c r="A86" s="9" t="s">
        <v>13</v>
      </c>
      <c r="B86" s="9"/>
      <c r="C86" s="9" t="s">
        <v>148</v>
      </c>
      <c r="D86" s="9"/>
      <c r="E86" s="10" t="s">
        <v>9</v>
      </c>
      <c r="F86" s="10" t="s">
        <v>10</v>
      </c>
      <c r="G86" s="9"/>
      <c r="H86" s="10" t="s">
        <v>149</v>
      </c>
      <c r="I86" s="10" t="s">
        <v>150</v>
      </c>
      <c r="J86" s="10" t="s">
        <v>151</v>
      </c>
      <c r="K86" s="9"/>
      <c r="L86" s="9"/>
      <c r="M86" s="9"/>
      <c r="N86" s="9"/>
      <c r="O86" s="9"/>
      <c r="P86" s="9"/>
      <c r="Q86" s="9"/>
      <c r="R86" s="9"/>
    </row>
    <row r="87" customFormat="false" ht="15" hidden="false" customHeight="false" outlineLevel="0" collapsed="false">
      <c r="C87" s="0" t="s">
        <v>152</v>
      </c>
      <c r="D87" s="11" t="s">
        <v>62</v>
      </c>
      <c r="E87" s="4" t="n">
        <v>47483</v>
      </c>
      <c r="F87" s="4" t="n">
        <v>47483</v>
      </c>
    </row>
    <row r="88" customFormat="false" ht="15" hidden="false" customHeight="false" outlineLevel="0" collapsed="false">
      <c r="C88" s="0" t="s">
        <v>153</v>
      </c>
      <c r="D88" s="11" t="s">
        <v>73</v>
      </c>
      <c r="E88" s="28" t="n">
        <f aca="false">Calc_1!$E145/Thousand</f>
        <v>21.8427086410959</v>
      </c>
      <c r="F88" s="28" t="n">
        <f aca="false">Calc_2!$E145/Thousand</f>
        <v>21.8427086410959</v>
      </c>
      <c r="H88" s="28" t="n">
        <f aca="false">E88+F88</f>
        <v>43.6854172821918</v>
      </c>
    </row>
    <row r="89" customFormat="false" ht="15" hidden="false" customHeight="false" outlineLevel="0" collapsed="false">
      <c r="C89" s="30" t="s">
        <v>154</v>
      </c>
      <c r="D89" s="11" t="s">
        <v>73</v>
      </c>
      <c r="E89" s="31" t="n">
        <f aca="false">Calc_1!$E131/Thousand</f>
        <v>15</v>
      </c>
      <c r="F89" s="31" t="n">
        <f aca="false">Calc_2!$E131/Thousand</f>
        <v>15</v>
      </c>
      <c r="H89" s="31" t="n">
        <f aca="false">E89+F89</f>
        <v>30</v>
      </c>
    </row>
    <row r="90" customFormat="false" ht="15" hidden="false" customHeight="false" outlineLevel="0" collapsed="false">
      <c r="C90" s="0" t="s">
        <v>155</v>
      </c>
      <c r="D90" s="11" t="s">
        <v>73</v>
      </c>
      <c r="E90" s="28" t="n">
        <f aca="false">(-Calc_1!$F134)/Thousand</f>
        <v>-0.5</v>
      </c>
      <c r="F90" s="28" t="n">
        <f aca="false">(-Calc_2!$F134)/Thousand</f>
        <v>-0.5</v>
      </c>
      <c r="H90" s="28" t="n">
        <f aca="false">E90+F90</f>
        <v>-1</v>
      </c>
    </row>
    <row r="91" customFormat="false" ht="15" hidden="false" customHeight="false" outlineLevel="0" collapsed="false">
      <c r="C91" s="0" t="s">
        <v>156</v>
      </c>
      <c r="D91" s="11" t="s">
        <v>73</v>
      </c>
      <c r="E91" s="28" t="n">
        <f aca="false">(-Calc_1!$F136)/Thousand</f>
        <v>-1.56453664418093</v>
      </c>
      <c r="F91" s="28" t="n">
        <f aca="false">(-Calc_2!$F136)/Thousand</f>
        <v>-1.56453664418093</v>
      </c>
      <c r="H91" s="28" t="n">
        <f aca="false">E91+F91</f>
        <v>-3.12907328836186</v>
      </c>
    </row>
    <row r="92" customFormat="false" ht="15" hidden="false" customHeight="false" outlineLevel="0" collapsed="false">
      <c r="C92" s="0" t="s">
        <v>157</v>
      </c>
      <c r="D92" s="11" t="s">
        <v>73</v>
      </c>
      <c r="E92" s="28" t="n">
        <f aca="false">(-Calc_1!$F138)/Thousand</f>
        <v>-3.11962451197093</v>
      </c>
      <c r="F92" s="28" t="n">
        <f aca="false">(-Calc_2!$F138)/Thousand</f>
        <v>-3.11962451197093</v>
      </c>
      <c r="H92" s="28" t="n">
        <f aca="false">E92+F92</f>
        <v>-6.23924902394185</v>
      </c>
    </row>
    <row r="93" customFormat="false" ht="15" hidden="false" customHeight="false" outlineLevel="0" collapsed="false">
      <c r="C93" s="0" t="s">
        <v>158</v>
      </c>
      <c r="D93" s="11" t="s">
        <v>73</v>
      </c>
      <c r="E93" s="28" t="n">
        <f aca="false">(-Calc_1!$F139)/Thousand</f>
        <v>-1.12048016110676</v>
      </c>
      <c r="F93" s="28" t="n">
        <f aca="false">(-Calc_2!$F139)/Thousand</f>
        <v>-1.12048016110676</v>
      </c>
      <c r="H93" s="28" t="n">
        <f aca="false">E93+F93</f>
        <v>-2.24096032221352</v>
      </c>
    </row>
    <row r="94" customFormat="false" ht="15" hidden="false" customHeight="false" outlineLevel="0" collapsed="false">
      <c r="C94" s="0" t="s">
        <v>159</v>
      </c>
      <c r="D94" s="11" t="s">
        <v>73</v>
      </c>
      <c r="E94" s="28" t="n">
        <f aca="false">(-Calc_1!$E147)/Thousand</f>
        <v>-5.80464131725861</v>
      </c>
      <c r="F94" s="28" t="n">
        <f aca="false">(-Calc_2!$E147)/Thousand</f>
        <v>-5.80464131725861</v>
      </c>
      <c r="H94" s="28" t="n">
        <f aca="false">E94+F94</f>
        <v>-11.6092826345172</v>
      </c>
    </row>
    <row r="95" customFormat="false" ht="15" hidden="false" customHeight="false" outlineLevel="0" collapsed="false">
      <c r="C95" s="0" t="s">
        <v>160</v>
      </c>
      <c r="D95" s="11" t="s">
        <v>73</v>
      </c>
      <c r="E95" s="28" t="n">
        <f aca="false">(-Calc_1!$F140)/Thousand</f>
        <v>-1.20065972222222</v>
      </c>
      <c r="F95" s="28" t="n">
        <f aca="false">(-Calc_2!$F140)/Thousand</f>
        <v>-1.20065972222222</v>
      </c>
      <c r="H95" s="28" t="n">
        <f aca="false">E95+F95</f>
        <v>-2.40131944444444</v>
      </c>
    </row>
    <row r="96" customFormat="false" ht="15" hidden="false" customHeight="false" outlineLevel="0" collapsed="false">
      <c r="C96" s="30" t="s">
        <v>161</v>
      </c>
      <c r="D96" s="11" t="s">
        <v>73</v>
      </c>
      <c r="E96" s="31" t="n">
        <f aca="false">Calc_1!$F141/Thousand</f>
        <v>7.49469896051916</v>
      </c>
      <c r="F96" s="31" t="n">
        <f aca="false">Calc_2!$F141/Thousand</f>
        <v>7.49469896051916</v>
      </c>
      <c r="H96" s="31" t="n">
        <f aca="false">E96+F96</f>
        <v>14.9893979210383</v>
      </c>
    </row>
    <row r="97" customFormat="false" ht="15" hidden="false" customHeight="false" outlineLevel="0" collapsed="false">
      <c r="C97" s="0" t="s">
        <v>162</v>
      </c>
      <c r="D97" s="11" t="s">
        <v>73</v>
      </c>
      <c r="E97" s="28" t="n">
        <f aca="false">Calc_1!$F145/Thousand</f>
        <v>5.24628927236341</v>
      </c>
      <c r="F97" s="28" t="n">
        <f aca="false">Calc_2!$F145/Thousand</f>
        <v>5.24628927236341</v>
      </c>
      <c r="H97" s="28" t="n">
        <f aca="false">E97+F97</f>
        <v>10.4925785447268</v>
      </c>
    </row>
    <row r="98" customFormat="false" ht="15" hidden="false" customHeight="false" outlineLevel="0" collapsed="false">
      <c r="C98" s="0" t="s">
        <v>163</v>
      </c>
      <c r="D98" s="11" t="s">
        <v>73</v>
      </c>
      <c r="E98" s="28" t="n">
        <f aca="false">Calc_1!$E146/Thousand</f>
        <v>-2.69739916950517</v>
      </c>
      <c r="F98" s="28" t="n">
        <f aca="false">Calc_2!$E146/Thousand</f>
        <v>-2.69739916950517</v>
      </c>
      <c r="H98" s="28" t="n">
        <f aca="false">E98+F98</f>
        <v>-5.39479833901034</v>
      </c>
    </row>
    <row r="99" customFormat="false" ht="15" hidden="false" customHeight="false" outlineLevel="0" collapsed="false">
      <c r="C99" s="30" t="s">
        <v>164</v>
      </c>
      <c r="D99" s="11" t="s">
        <v>73</v>
      </c>
      <c r="E99" s="31" t="n">
        <f aca="false">Calc_1!$F147/Thousand</f>
        <v>8.35353142011685</v>
      </c>
      <c r="F99" s="31" t="n">
        <f aca="false">Calc_2!$F147/Thousand</f>
        <v>8.35353142011685</v>
      </c>
      <c r="H99" s="31" t="n">
        <f aca="false">E99+F99</f>
        <v>16.7070628402337</v>
      </c>
      <c r="I99" s="25" t="n">
        <f aca="false">Calc_1!$E149</f>
        <v>55.3214001332242</v>
      </c>
      <c r="J99" s="25" t="n">
        <f aca="false">Calc_2!$E149</f>
        <v>55.3214001332242</v>
      </c>
    </row>
    <row r="100" customFormat="false" ht="15" hidden="false" customHeight="false" outlineLevel="0" collapsed="false">
      <c r="C100" s="0" t="s">
        <v>165</v>
      </c>
      <c r="D100" s="11" t="s">
        <v>73</v>
      </c>
      <c r="E100" s="28" t="n">
        <f aca="false">Calc_1!$E148/Thousand</f>
        <v>2.24840968815575</v>
      </c>
      <c r="F100" s="28" t="n">
        <f aca="false">Calc_2!$E148/Thousand</f>
        <v>2.24840968815575</v>
      </c>
      <c r="H100" s="28" t="n">
        <f aca="false">E100+F100</f>
        <v>4.4968193763115</v>
      </c>
    </row>
    <row r="101" customFormat="false" ht="15" hidden="false" customHeight="false" outlineLevel="0" collapsed="false">
      <c r="C101" s="30" t="s">
        <v>166</v>
      </c>
      <c r="D101" s="11" t="s">
        <v>73</v>
      </c>
      <c r="E101" s="31" t="n">
        <f aca="false">Calc_1!$F143/Thousand</f>
        <v>3.44906941037797</v>
      </c>
      <c r="F101" s="31" t="n">
        <f aca="false">Calc_2!$F143/Thousand</f>
        <v>3.44906941037797</v>
      </c>
      <c r="H101" s="31" t="n">
        <f aca="false">E101+F101</f>
        <v>6.89813882075594</v>
      </c>
      <c r="I101" s="25" t="n">
        <f aca="false">Calc_1!$F149</f>
        <v>22.8415192740263</v>
      </c>
      <c r="J101" s="25" t="n">
        <f aca="false">Calc_2!$F149</f>
        <v>22.8415192740263</v>
      </c>
    </row>
    <row r="102" customFormat="false" ht="15" hidden="false" customHeight="false" outlineLevel="0" collapsed="false">
      <c r="C102" s="0" t="s">
        <v>167</v>
      </c>
      <c r="D102" s="11" t="s">
        <v>73</v>
      </c>
      <c r="E102" s="28" t="n">
        <f aca="false">Calc_1!$E153/Thousand</f>
        <v>-1.80677268158454</v>
      </c>
      <c r="F102" s="28" t="n">
        <f aca="false">Calc_2!$E153/Thousand</f>
        <v>-1.80677268158454</v>
      </c>
      <c r="H102" s="28" t="n">
        <f aca="false">E102+F102</f>
        <v>-3.61354536316909</v>
      </c>
    </row>
    <row r="103" customFormat="false" ht="15" hidden="false" customHeight="false" outlineLevel="0" collapsed="false">
      <c r="C103" s="30" t="s">
        <v>72</v>
      </c>
      <c r="D103" s="11" t="s">
        <v>73</v>
      </c>
      <c r="E103" s="31" t="n">
        <f aca="false">Calc_1!$I152/Thousand</f>
        <v>6.54675873853232</v>
      </c>
      <c r="F103" s="31" t="n">
        <f aca="false">Calc_2!$I152/Thousand</f>
        <v>6.54675873853232</v>
      </c>
      <c r="H103" s="31" t="n">
        <f aca="false">E103+F103</f>
        <v>13.0935174770646</v>
      </c>
    </row>
    <row r="104" customFormat="false" ht="15" hidden="false" customHeight="false" outlineLevel="0" collapsed="false">
      <c r="C104" s="0" t="s">
        <v>168</v>
      </c>
      <c r="D104" s="11" t="s">
        <v>13</v>
      </c>
      <c r="E104" s="39" t="n">
        <f aca="false">Calc_1!$E155</f>
        <v>1.24970223352323</v>
      </c>
      <c r="F104" s="39" t="n">
        <f aca="false">Calc_2!$E155</f>
        <v>1.24970223352323</v>
      </c>
    </row>
    <row r="105" customFormat="false" ht="15" hidden="false" customHeight="false" outlineLevel="0" collapsed="false">
      <c r="C105" s="0" t="s">
        <v>169</v>
      </c>
      <c r="D105" s="11" t="s">
        <v>73</v>
      </c>
      <c r="E105" s="28" t="n">
        <f aca="false">Calc_1!$E156/Thousand</f>
        <v>3.32854248477583</v>
      </c>
      <c r="F105" s="28" t="n">
        <f aca="false">Calc_2!$E156/Thousand</f>
        <v>3.32854248477583</v>
      </c>
    </row>
    <row r="107" customFormat="false" ht="15" hidden="false" customHeight="false" outlineLevel="0" collapsed="false">
      <c r="A107" s="9" t="s">
        <v>13</v>
      </c>
      <c r="B107" s="9"/>
      <c r="C107" s="9" t="s">
        <v>170</v>
      </c>
      <c r="D107" s="9"/>
      <c r="E107" s="10" t="s">
        <v>9</v>
      </c>
      <c r="F107" s="10" t="s">
        <v>10</v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customFormat="false" ht="15" hidden="false" customHeight="false" outlineLevel="0" collapsed="false">
      <c r="C108" s="30" t="s">
        <v>119</v>
      </c>
      <c r="D108" s="11" t="s">
        <v>73</v>
      </c>
      <c r="E108" s="31" t="n">
        <f aca="false">Calc_1!$E182/Thousand</f>
        <v>164.220224979066</v>
      </c>
      <c r="F108" s="31" t="n">
        <f aca="false">Calc_2!$E182/Thousand</f>
        <v>164.220224979066</v>
      </c>
    </row>
    <row r="109" customFormat="false" ht="15" hidden="false" customHeight="false" outlineLevel="0" collapsed="false">
      <c r="C109" s="0" t="s">
        <v>171</v>
      </c>
      <c r="D109" s="11" t="s">
        <v>73</v>
      </c>
      <c r="E109" s="28" t="n">
        <f aca="false">Calc_1!$E161/Thousand</f>
        <v>245</v>
      </c>
      <c r="F109" s="28" t="n">
        <f aca="false">Calc_2!$E161/Thousand</f>
        <v>245</v>
      </c>
    </row>
    <row r="110" customFormat="false" ht="15" hidden="false" customHeight="false" outlineLevel="0" collapsed="false">
      <c r="C110" s="0" t="s">
        <v>172</v>
      </c>
      <c r="D110" s="11" t="s">
        <v>73</v>
      </c>
      <c r="E110" s="28" t="n">
        <f aca="false">Calc_1!$F161/Thousand</f>
        <v>-3.83908122210466</v>
      </c>
      <c r="F110" s="28" t="n">
        <f aca="false">Calc_2!$F161/Thousand</f>
        <v>-3.83908122210466</v>
      </c>
    </row>
    <row r="111" customFormat="false" ht="15" hidden="false" customHeight="false" outlineLevel="0" collapsed="false">
      <c r="C111" s="0" t="s">
        <v>173</v>
      </c>
      <c r="D111" s="11" t="s">
        <v>73</v>
      </c>
      <c r="E111" s="28" t="n">
        <f aca="false">Calc_1!$E163/Thousand</f>
        <v>94.2205039225694</v>
      </c>
      <c r="F111" s="28" t="n">
        <f aca="false">Calc_2!$E163/Thousand</f>
        <v>94.2205039225694</v>
      </c>
    </row>
    <row r="112" customFormat="false" ht="15" hidden="false" customHeight="false" outlineLevel="0" collapsed="false">
      <c r="C112" s="0" t="s">
        <v>174</v>
      </c>
      <c r="D112" s="11" t="s">
        <v>73</v>
      </c>
      <c r="E112" s="28" t="n">
        <f aca="false">Calc_1!$F169/Thousand</f>
        <v>124.442364391184</v>
      </c>
      <c r="F112" s="28" t="n">
        <f aca="false">Calc_2!$F169/Thousand</f>
        <v>124.442364391184</v>
      </c>
    </row>
    <row r="113" customFormat="false" ht="15" hidden="false" customHeight="false" outlineLevel="0" collapsed="false">
      <c r="C113" s="0" t="s">
        <v>175</v>
      </c>
      <c r="D113" s="11" t="s">
        <v>73</v>
      </c>
      <c r="E113" s="28" t="n">
        <f aca="false">Calc_1!$I170/Thousand</f>
        <v>54.4426433346878</v>
      </c>
      <c r="F113" s="28" t="n">
        <f aca="false">Calc_2!$I170/Thousand</f>
        <v>54.4426433346878</v>
      </c>
    </row>
    <row r="114" customFormat="false" ht="15" hidden="false" customHeight="false" outlineLevel="0" collapsed="false">
      <c r="C114" s="0" t="s">
        <v>176</v>
      </c>
      <c r="D114" s="11" t="s">
        <v>13</v>
      </c>
      <c r="E114" s="39" t="n">
        <f aca="false">Calc_1!$E172</f>
        <v>1.77775514692048</v>
      </c>
      <c r="F114" s="39" t="n">
        <f aca="false">Calc_2!$E172</f>
        <v>1.77775514692048</v>
      </c>
    </row>
    <row r="116" customFormat="false" ht="15" hidden="false" customHeight="false" outlineLevel="0" collapsed="false">
      <c r="A116" s="9" t="s">
        <v>13</v>
      </c>
      <c r="B116" s="9"/>
      <c r="C116" s="9" t="s">
        <v>177</v>
      </c>
      <c r="D116" s="9"/>
      <c r="E116" s="10" t="s">
        <v>9</v>
      </c>
      <c r="F116" s="10" t="s">
        <v>10</v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</row>
    <row r="117" customFormat="false" ht="15" hidden="false" customHeight="false" outlineLevel="0" collapsed="false">
      <c r="C117" s="0" t="s">
        <v>178</v>
      </c>
      <c r="D117" s="11" t="s">
        <v>13</v>
      </c>
      <c r="E117" s="39" t="n">
        <f aca="false">Calc_1!$E192</f>
        <v>4.89335391904422</v>
      </c>
      <c r="F117" s="39" t="n">
        <f aca="false">Calc_2!$E192</f>
        <v>4.89335391904422</v>
      </c>
    </row>
    <row r="118" customFormat="false" ht="15" hidden="false" customHeight="false" outlineLevel="0" collapsed="false">
      <c r="C118" s="0" t="s">
        <v>179</v>
      </c>
      <c r="D118" s="11" t="s">
        <v>13</v>
      </c>
      <c r="E118" s="39" t="n">
        <f aca="false">Calc_1!$E194</f>
        <v>1.32847346238474</v>
      </c>
      <c r="F118" s="39" t="n">
        <f aca="false">Calc_2!$E194</f>
        <v>1.32847346238474</v>
      </c>
    </row>
    <row r="120" customFormat="false" ht="15" hidden="false" customHeight="false" outlineLevel="0" collapsed="false">
      <c r="A120" s="9" t="s">
        <v>13</v>
      </c>
      <c r="B120" s="9"/>
      <c r="C120" s="9" t="s">
        <v>180</v>
      </c>
      <c r="D120" s="9"/>
      <c r="E120" s="10" t="s">
        <v>12</v>
      </c>
      <c r="F120" s="10"/>
      <c r="G120" s="9"/>
      <c r="H120" s="10" t="str">
        <f aca="false">Inputs!H$7</f>
        <v>Base</v>
      </c>
      <c r="I120" s="10" t="str">
        <f aca="false">Inputs!I$7</f>
        <v>Overbuild built</v>
      </c>
      <c r="J120" s="10" t="str">
        <f aca="false">Inputs!J$7</f>
        <v>Full PB call</v>
      </c>
      <c r="K120" s="10" t="str">
        <f aca="false">Inputs!K$7</f>
        <v>Freeze off</v>
      </c>
      <c r="L120" s="10" t="str">
        <f aca="false">Inputs!L$7</f>
        <v>Low premium</v>
      </c>
      <c r="M120" s="10" t="str">
        <f aca="false">Inputs!M$7</f>
        <v>ÖSZ-4 on wind</v>
      </c>
      <c r="N120" s="9"/>
      <c r="O120" s="9"/>
      <c r="P120" s="9"/>
      <c r="Q120" s="9"/>
      <c r="R120" s="9"/>
    </row>
    <row r="121" customFormat="false" ht="15" hidden="false" customHeight="false" outlineLevel="0" collapsed="false">
      <c r="C121" s="0" t="s">
        <v>181</v>
      </c>
      <c r="D121" s="11" t="s">
        <v>70</v>
      </c>
      <c r="E121" s="14" t="n">
        <f aca="false">Calc_1!$E41</f>
        <v>85</v>
      </c>
      <c r="H121" s="15" t="n">
        <v>85</v>
      </c>
      <c r="I121" s="15" t="n">
        <v>85</v>
      </c>
      <c r="J121" s="15" t="n">
        <v>85</v>
      </c>
      <c r="K121" s="15" t="n">
        <v>85</v>
      </c>
      <c r="L121" s="15" t="n">
        <v>85</v>
      </c>
      <c r="M121" s="15" t="n">
        <v>80.5</v>
      </c>
    </row>
    <row r="122" customFormat="false" ht="15" hidden="false" customHeight="false" outlineLevel="0" collapsed="false">
      <c r="C122" s="0" t="s">
        <v>182</v>
      </c>
      <c r="D122" s="11" t="s">
        <v>70</v>
      </c>
      <c r="E122" s="14" t="n">
        <f aca="false">Calc_2!$E41</f>
        <v>85</v>
      </c>
      <c r="H122" s="15" t="n">
        <v>85</v>
      </c>
      <c r="I122" s="15" t="n">
        <v>85</v>
      </c>
      <c r="J122" s="15" t="n">
        <v>85</v>
      </c>
      <c r="K122" s="15" t="n">
        <v>85</v>
      </c>
      <c r="L122" s="15" t="n">
        <v>85</v>
      </c>
      <c r="M122" s="15" t="n">
        <v>80.5</v>
      </c>
    </row>
    <row r="123" customFormat="false" ht="15" hidden="false" customHeight="false" outlineLevel="0" collapsed="false">
      <c r="C123" s="0" t="s">
        <v>183</v>
      </c>
      <c r="D123" s="11" t="s">
        <v>73</v>
      </c>
      <c r="E123" s="28" t="n">
        <f aca="false">Calc_1!$I152/Thousand</f>
        <v>6.54675873853232</v>
      </c>
      <c r="H123" s="15" t="n">
        <v>6.54675873853232</v>
      </c>
      <c r="I123" s="15" t="n">
        <v>6.54675873853232</v>
      </c>
      <c r="J123" s="15" t="n">
        <v>6.54675873853232</v>
      </c>
      <c r="K123" s="15" t="n">
        <v>6.87295703790594</v>
      </c>
      <c r="L123" s="15" t="n">
        <v>3.04675873853231</v>
      </c>
      <c r="M123" s="15" t="n">
        <v>6.54675873853232</v>
      </c>
    </row>
    <row r="124" customFormat="false" ht="15" hidden="false" customHeight="false" outlineLevel="0" collapsed="false">
      <c r="C124" s="0" t="s">
        <v>184</v>
      </c>
      <c r="D124" s="11" t="s">
        <v>73</v>
      </c>
      <c r="E124" s="28" t="n">
        <f aca="false">Calc_2!$I152/Thousand</f>
        <v>6.54675873853232</v>
      </c>
      <c r="H124" s="15" t="n">
        <v>6.54675873853232</v>
      </c>
      <c r="I124" s="15" t="n">
        <v>6.54675873853232</v>
      </c>
      <c r="J124" s="15" t="n">
        <v>6.54675873853232</v>
      </c>
      <c r="K124" s="15" t="n">
        <v>6.87295703790594</v>
      </c>
      <c r="L124" s="15" t="n">
        <v>3.04675873853231</v>
      </c>
      <c r="M124" s="15" t="n">
        <v>6.54675873853232</v>
      </c>
    </row>
    <row r="125" customFormat="false" ht="15" hidden="false" customHeight="false" outlineLevel="0" collapsed="false">
      <c r="C125" s="0" t="s">
        <v>185</v>
      </c>
      <c r="D125" s="11" t="s">
        <v>35</v>
      </c>
      <c r="E125" s="26" t="n">
        <f aca="false">Calc_1!$E171</f>
        <v>0.378454368531697</v>
      </c>
      <c r="H125" s="29" t="n">
        <v>0.378454368531697</v>
      </c>
      <c r="I125" s="29" t="n">
        <v>0.544455538624024</v>
      </c>
      <c r="J125" s="29" t="n">
        <v>0.357802790721696</v>
      </c>
      <c r="K125" s="29" t="n">
        <v>0.381489407372956</v>
      </c>
      <c r="L125" s="29" t="n">
        <v>0.378454368531697</v>
      </c>
      <c r="M125" s="29" t="n">
        <v>0.378454368531697</v>
      </c>
    </row>
    <row r="126" customFormat="false" ht="15" hidden="false" customHeight="false" outlineLevel="0" collapsed="false">
      <c r="C126" s="0" t="s">
        <v>186</v>
      </c>
      <c r="D126" s="11" t="s">
        <v>35</v>
      </c>
      <c r="E126" s="26" t="n">
        <f aca="false">Calc_2!$E171</f>
        <v>0.378454368531697</v>
      </c>
      <c r="H126" s="29" t="n">
        <v>0.378454368531697</v>
      </c>
      <c r="I126" s="29" t="n">
        <v>0.544455538624024</v>
      </c>
      <c r="J126" s="29" t="n">
        <v>0.357802790721696</v>
      </c>
      <c r="K126" s="29" t="n">
        <v>0.381489407372956</v>
      </c>
      <c r="L126" s="29" t="n">
        <v>0.378454368531697</v>
      </c>
      <c r="M126" s="29" t="n">
        <v>0.378454368531697</v>
      </c>
    </row>
    <row r="127" customFormat="false" ht="15" hidden="false" customHeight="false" outlineLevel="0" collapsed="false">
      <c r="C127" s="0" t="s">
        <v>187</v>
      </c>
      <c r="D127" s="11" t="s">
        <v>35</v>
      </c>
      <c r="E127" s="26" t="n">
        <f aca="false">Calc_1!$E191</f>
        <v>0.0949073005175575</v>
      </c>
      <c r="H127" s="29" t="n">
        <v>0.0949073005175575</v>
      </c>
      <c r="I127" s="29" t="n">
        <v>0.114882860757191</v>
      </c>
      <c r="J127" s="29" t="n">
        <v>0.090505033756487</v>
      </c>
      <c r="K127" s="29" t="n">
        <v>0.0953747499696539</v>
      </c>
      <c r="L127" s="29" t="n">
        <v>0.0964262696931258</v>
      </c>
      <c r="M127" s="29" t="n">
        <v>0.0949073005175575</v>
      </c>
    </row>
    <row r="128" customFormat="false" ht="15" hidden="false" customHeight="false" outlineLevel="0" collapsed="false">
      <c r="C128" s="0" t="s">
        <v>188</v>
      </c>
      <c r="D128" s="11" t="s">
        <v>35</v>
      </c>
      <c r="E128" s="26" t="n">
        <f aca="false">Calc_2!$E191</f>
        <v>0.0949073005175575</v>
      </c>
      <c r="H128" s="29" t="n">
        <v>0.0949073005175575</v>
      </c>
      <c r="I128" s="29" t="n">
        <v>0.114882860757191</v>
      </c>
      <c r="J128" s="29" t="n">
        <v>0.090505033756487</v>
      </c>
      <c r="K128" s="29" t="n">
        <v>0.0953747499696539</v>
      </c>
      <c r="L128" s="29" t="n">
        <v>0.0964262696931258</v>
      </c>
      <c r="M128" s="29" t="n">
        <v>0.0949073005175575</v>
      </c>
    </row>
    <row r="129" customFormat="false" ht="15" hidden="false" customHeight="false" outlineLevel="0" collapsed="false">
      <c r="C129" s="0" t="s">
        <v>189</v>
      </c>
      <c r="D129" s="11" t="s">
        <v>73</v>
      </c>
      <c r="E129" s="28" t="n">
        <f aca="false">Calc_1!$F141/Thousand</f>
        <v>7.49469896051916</v>
      </c>
      <c r="H129" s="15" t="n">
        <v>7.49469896051916</v>
      </c>
      <c r="I129" s="15" t="n">
        <v>7.49469896051916</v>
      </c>
      <c r="J129" s="15" t="n">
        <v>7.49469896051916</v>
      </c>
      <c r="K129" s="15" t="n">
        <v>5.94137372540667</v>
      </c>
      <c r="L129" s="15" t="n">
        <v>2.49469896051917</v>
      </c>
      <c r="M129" s="15" t="n">
        <v>7.49469896051916</v>
      </c>
    </row>
    <row r="130" customFormat="false" ht="15" hidden="false" customHeight="false" outlineLevel="0" collapsed="false">
      <c r="C130" s="0" t="s">
        <v>190</v>
      </c>
      <c r="D130" s="11" t="s">
        <v>73</v>
      </c>
      <c r="E130" s="28" t="n">
        <f aca="false">Calc_2!$F141/Thousand</f>
        <v>7.49469896051916</v>
      </c>
      <c r="H130" s="15" t="n">
        <v>7.49469896051916</v>
      </c>
      <c r="I130" s="15" t="n">
        <v>7.49469896051916</v>
      </c>
      <c r="J130" s="15" t="n">
        <v>7.49469896051916</v>
      </c>
      <c r="K130" s="15" t="n">
        <v>5.94137372540667</v>
      </c>
      <c r="L130" s="15" t="n">
        <v>2.49469896051917</v>
      </c>
      <c r="M130" s="15" t="n">
        <v>7.49469896051916</v>
      </c>
    </row>
    <row r="131" customFormat="false" ht="15" hidden="false" customHeight="false" outlineLevel="0" collapsed="false">
      <c r="C131" s="0" t="s">
        <v>191</v>
      </c>
      <c r="D131" s="11" t="s">
        <v>73</v>
      </c>
      <c r="E131" s="28" t="n">
        <f aca="false">Calc_1!$E182/Thousand</f>
        <v>164.220224979066</v>
      </c>
      <c r="H131" s="15" t="n">
        <v>164.220224979066</v>
      </c>
      <c r="I131" s="15" t="n">
        <v>217.899554834464</v>
      </c>
      <c r="J131" s="15" t="n">
        <v>164.220224979066</v>
      </c>
      <c r="K131" s="15" t="n">
        <v>164.220224979066</v>
      </c>
      <c r="L131" s="15" t="n">
        <v>164.220224979066</v>
      </c>
      <c r="M131" s="15" t="n">
        <v>164.220224979066</v>
      </c>
    </row>
    <row r="132" customFormat="false" ht="15" hidden="false" customHeight="false" outlineLevel="0" collapsed="false">
      <c r="C132" s="0" t="s">
        <v>192</v>
      </c>
      <c r="D132" s="11" t="s">
        <v>73</v>
      </c>
      <c r="E132" s="28" t="n">
        <f aca="false">Calc_2!$E182/Thousand</f>
        <v>164.220224979066</v>
      </c>
      <c r="H132" s="15" t="n">
        <v>164.220224979066</v>
      </c>
      <c r="I132" s="15" t="n">
        <v>217.899554834464</v>
      </c>
      <c r="J132" s="15" t="n">
        <v>164.220224979066</v>
      </c>
      <c r="K132" s="15" t="n">
        <v>164.220224979066</v>
      </c>
      <c r="L132" s="15" t="n">
        <v>164.220224979066</v>
      </c>
      <c r="M132" s="15" t="n">
        <v>164.220224979066</v>
      </c>
    </row>
    <row r="134" customFormat="false" ht="15" hidden="false" customHeight="false" outlineLevel="0" collapsed="false">
      <c r="C134" s="40" t="s">
        <v>193</v>
      </c>
    </row>
  </sheetData>
  <conditionalFormatting sqref="E70:F70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71:F71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87:F87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194</v>
      </c>
      <c r="D4" s="0" t="s">
        <v>195</v>
      </c>
      <c r="F4" s="41" t="str">
        <f aca="false">Scenario_Name</f>
        <v>Base</v>
      </c>
    </row>
    <row r="5" customFormat="false" ht="15" hidden="false" customHeight="false" outlineLevel="0" collapsed="false">
      <c r="B5" s="0" t="s">
        <v>196</v>
      </c>
      <c r="F5" s="42" t="n">
        <f aca="false">MATCH(Scenario_Name,Scenario_Names,0)</f>
        <v>1</v>
      </c>
    </row>
    <row r="7" customFormat="false" ht="15" hidden="false" customHeight="false" outlineLevel="0" collapsed="false">
      <c r="B7" s="7" t="s">
        <v>197</v>
      </c>
      <c r="C7" s="7" t="s">
        <v>8</v>
      </c>
      <c r="D7" s="7" t="s">
        <v>198</v>
      </c>
      <c r="F7" s="8" t="s">
        <v>12</v>
      </c>
      <c r="H7" s="43" t="s">
        <v>30</v>
      </c>
      <c r="I7" s="43" t="s">
        <v>74</v>
      </c>
      <c r="J7" s="43" t="s">
        <v>199</v>
      </c>
      <c r="K7" s="43" t="s">
        <v>200</v>
      </c>
      <c r="L7" s="43" t="s">
        <v>201</v>
      </c>
      <c r="M7" s="43" t="s">
        <v>202</v>
      </c>
      <c r="N7" s="8"/>
      <c r="O7" s="8"/>
    </row>
    <row r="10" customFormat="false" ht="15" hidden="false" customHeight="false" outlineLevel="0" collapsed="false">
      <c r="A10" s="9" t="s">
        <v>13</v>
      </c>
      <c r="B10" s="9"/>
      <c r="C10" s="9" t="s">
        <v>203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204</v>
      </c>
      <c r="C11" s="11" t="s">
        <v>205</v>
      </c>
      <c r="D11" s="13" t="s">
        <v>206</v>
      </c>
      <c r="F11" s="43" t="n">
        <v>1000</v>
      </c>
    </row>
    <row r="12" customFormat="false" ht="15" hidden="false" customHeight="false" outlineLevel="0" collapsed="false">
      <c r="B12" s="0" t="s">
        <v>207</v>
      </c>
      <c r="C12" s="11" t="s">
        <v>205</v>
      </c>
      <c r="D12" s="13" t="s">
        <v>206</v>
      </c>
      <c r="F12" s="43" t="n">
        <v>1000000</v>
      </c>
    </row>
    <row r="13" customFormat="false" ht="15" hidden="false" customHeight="false" outlineLevel="0" collapsed="false">
      <c r="B13" s="0" t="s">
        <v>208</v>
      </c>
      <c r="C13" s="11" t="s">
        <v>209</v>
      </c>
      <c r="D13" s="13" t="s">
        <v>210</v>
      </c>
      <c r="F13" s="43" t="n">
        <v>365</v>
      </c>
    </row>
    <row r="14" customFormat="false" ht="15" hidden="false" customHeight="false" outlineLevel="0" collapsed="false">
      <c r="B14" s="0" t="s">
        <v>211</v>
      </c>
      <c r="C14" s="11" t="s">
        <v>212</v>
      </c>
      <c r="F14" s="43" t="n">
        <v>12</v>
      </c>
    </row>
    <row r="15" customFormat="false" ht="15" hidden="false" customHeight="false" outlineLevel="0" collapsed="false">
      <c r="B15" s="0" t="s">
        <v>213</v>
      </c>
      <c r="C15" s="11" t="s">
        <v>212</v>
      </c>
      <c r="D15" s="13" t="s">
        <v>214</v>
      </c>
      <c r="F15" s="43" t="n">
        <v>3</v>
      </c>
    </row>
    <row r="16" customFormat="false" ht="15" hidden="false" customHeight="false" outlineLevel="0" collapsed="false">
      <c r="B16" s="0" t="s">
        <v>215</v>
      </c>
      <c r="C16" s="11" t="s">
        <v>205</v>
      </c>
      <c r="D16" s="13" t="s">
        <v>216</v>
      </c>
      <c r="F16" s="43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217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218</v>
      </c>
      <c r="C19" s="11" t="s">
        <v>62</v>
      </c>
      <c r="D19" s="13" t="s">
        <v>219</v>
      </c>
      <c r="F19" s="44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</row>
    <row r="20" customFormat="false" ht="15" hidden="false" customHeight="false" outlineLevel="0" collapsed="false">
      <c r="B20" s="0" t="s">
        <v>220</v>
      </c>
      <c r="C20" s="11" t="s">
        <v>62</v>
      </c>
      <c r="D20" s="13" t="s">
        <v>221</v>
      </c>
      <c r="F20" s="44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</row>
    <row r="21" customFormat="false" ht="15" hidden="false" customHeight="false" outlineLevel="0" collapsed="false">
      <c r="B21" s="0" t="s">
        <v>222</v>
      </c>
      <c r="C21" s="11" t="s">
        <v>62</v>
      </c>
      <c r="D21" s="13" t="s">
        <v>223</v>
      </c>
      <c r="F21" s="44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</row>
    <row r="22" customFormat="false" ht="15" hidden="false" customHeight="false" outlineLevel="0" collapsed="false">
      <c r="B22" s="0" t="s">
        <v>224</v>
      </c>
      <c r="C22" s="11" t="s">
        <v>62</v>
      </c>
      <c r="D22" s="13" t="s">
        <v>225</v>
      </c>
      <c r="F22" s="44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</row>
    <row r="23" customFormat="false" ht="15" hidden="false" customHeight="false" outlineLevel="0" collapsed="false">
      <c r="B23" s="0" t="s">
        <v>226</v>
      </c>
      <c r="C23" s="11" t="s">
        <v>62</v>
      </c>
      <c r="D23" s="13" t="s">
        <v>227</v>
      </c>
      <c r="F23" s="44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</row>
    <row r="24" customFormat="false" ht="15" hidden="false" customHeight="false" outlineLevel="0" collapsed="false">
      <c r="B24" s="0" t="s">
        <v>228</v>
      </c>
      <c r="C24" s="11" t="s">
        <v>62</v>
      </c>
      <c r="D24" s="13" t="s">
        <v>229</v>
      </c>
      <c r="F24" s="44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</row>
    <row r="25" customFormat="false" ht="15" hidden="false" customHeight="false" outlineLevel="0" collapsed="false">
      <c r="B25" s="0" t="s">
        <v>230</v>
      </c>
      <c r="C25" s="11" t="s">
        <v>231</v>
      </c>
      <c r="D25" s="13" t="s">
        <v>232</v>
      </c>
      <c r="F25" s="42" t="n">
        <f aca="false">IF(INDEX($H25:$O25,1,Scenario_Selected)="",$H25,INDEX($H25:$O25,1,Scenario_Selected))</f>
        <v>30</v>
      </c>
      <c r="H25" s="45" t="n">
        <v>30</v>
      </c>
      <c r="I25" s="45"/>
      <c r="J25" s="45"/>
      <c r="K25" s="45"/>
      <c r="L25" s="45"/>
      <c r="M25" s="45"/>
    </row>
    <row r="26" customFormat="false" ht="15" hidden="false" customHeight="false" outlineLevel="0" collapsed="false">
      <c r="B26" s="0" t="s">
        <v>233</v>
      </c>
      <c r="C26" s="11" t="s">
        <v>62</v>
      </c>
      <c r="D26" s="13" t="s">
        <v>234</v>
      </c>
      <c r="F26" s="44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</row>
    <row r="27" customFormat="false" ht="15" hidden="false" customHeight="false" outlineLevel="0" collapsed="false">
      <c r="B27" s="0" t="s">
        <v>235</v>
      </c>
      <c r="C27" s="11" t="s">
        <v>62</v>
      </c>
      <c r="D27" s="13" t="s">
        <v>236</v>
      </c>
      <c r="F27" s="44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</row>
    <row r="28" customFormat="false" ht="15" hidden="false" customHeight="false" outlineLevel="0" collapsed="false">
      <c r="B28" s="0" t="s">
        <v>237</v>
      </c>
      <c r="C28" s="11" t="s">
        <v>41</v>
      </c>
      <c r="D28" s="13" t="s">
        <v>238</v>
      </c>
      <c r="F28" s="46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</row>
    <row r="29" customFormat="false" ht="15" hidden="false" customHeight="false" outlineLevel="0" collapsed="false">
      <c r="B29" s="0" t="s">
        <v>239</v>
      </c>
      <c r="C29" s="11" t="s">
        <v>212</v>
      </c>
      <c r="D29" s="13" t="s">
        <v>240</v>
      </c>
      <c r="F29" s="42" t="n">
        <f aca="false">IF(INDEX($H29:$O29,1,Scenario_Selected)="",$H29,INDEX($H29:$O29,1,Scenario_Selected))</f>
        <v>6</v>
      </c>
      <c r="H29" s="45" t="n">
        <v>6</v>
      </c>
      <c r="I29" s="45"/>
      <c r="J29" s="45"/>
      <c r="K29" s="45"/>
      <c r="L29" s="45"/>
      <c r="M29" s="45"/>
    </row>
    <row r="31" customFormat="false" ht="15" hidden="false" customHeight="false" outlineLevel="0" collapsed="false">
      <c r="A31" s="9" t="s">
        <v>13</v>
      </c>
      <c r="B31" s="9"/>
      <c r="C31" s="9" t="s">
        <v>241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242</v>
      </c>
      <c r="C32" s="11" t="s">
        <v>68</v>
      </c>
      <c r="D32" s="13" t="s">
        <v>243</v>
      </c>
      <c r="F32" s="33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</row>
    <row r="33" customFormat="false" ht="15" hidden="false" customHeight="false" outlineLevel="0" collapsed="false">
      <c r="B33" s="0" t="s">
        <v>244</v>
      </c>
      <c r="C33" s="11" t="s">
        <v>35</v>
      </c>
      <c r="D33" s="13" t="s">
        <v>245</v>
      </c>
      <c r="F33" s="47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</row>
    <row r="34" customFormat="false" ht="15" hidden="false" customHeight="false" outlineLevel="0" collapsed="false">
      <c r="B34" s="0" t="s">
        <v>246</v>
      </c>
      <c r="C34" s="11" t="s">
        <v>247</v>
      </c>
      <c r="D34" s="13" t="s">
        <v>248</v>
      </c>
      <c r="F34" s="33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</row>
    <row r="35" customFormat="false" ht="15" hidden="false" customHeight="false" outlineLevel="0" collapsed="false">
      <c r="B35" s="0" t="s">
        <v>249</v>
      </c>
      <c r="C35" s="11" t="s">
        <v>247</v>
      </c>
      <c r="D35" s="13" t="s">
        <v>250</v>
      </c>
      <c r="F35" s="33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</row>
    <row r="36" customFormat="false" ht="15" hidden="false" customHeight="false" outlineLevel="0" collapsed="false">
      <c r="B36" s="0" t="s">
        <v>251</v>
      </c>
      <c r="C36" s="11" t="s">
        <v>247</v>
      </c>
      <c r="D36" s="13" t="s">
        <v>252</v>
      </c>
      <c r="F36" s="33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</row>
    <row r="37" customFormat="false" ht="15" hidden="false" customHeight="false" outlineLevel="0" collapsed="false">
      <c r="B37" s="0" t="s">
        <v>253</v>
      </c>
      <c r="C37" s="11" t="s">
        <v>35</v>
      </c>
      <c r="D37" s="13" t="s">
        <v>254</v>
      </c>
      <c r="F37" s="47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</row>
    <row r="38" customFormat="false" ht="15" hidden="false" customHeight="false" outlineLevel="0" collapsed="false">
      <c r="B38" s="0" t="s">
        <v>255</v>
      </c>
      <c r="C38" s="11" t="s">
        <v>27</v>
      </c>
      <c r="D38" s="13" t="s">
        <v>256</v>
      </c>
      <c r="F38" s="32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</row>
    <row r="39" customFormat="false" ht="15" hidden="false" customHeight="false" outlineLevel="0" collapsed="false">
      <c r="B39" s="0" t="s">
        <v>257</v>
      </c>
      <c r="C39" s="11" t="s">
        <v>27</v>
      </c>
      <c r="D39" s="13" t="s">
        <v>258</v>
      </c>
      <c r="F39" s="33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</row>
    <row r="41" customFormat="false" ht="15" hidden="false" customHeight="false" outlineLevel="0" collapsed="false">
      <c r="A41" s="9" t="s">
        <v>13</v>
      </c>
      <c r="B41" s="9"/>
      <c r="C41" s="9" t="s">
        <v>259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260</v>
      </c>
      <c r="C42" s="11" t="s">
        <v>205</v>
      </c>
      <c r="D42" s="13" t="s">
        <v>261</v>
      </c>
      <c r="F42" s="43" t="n">
        <v>2</v>
      </c>
    </row>
    <row r="43" customFormat="false" ht="15" hidden="false" customHeight="false" outlineLevel="0" collapsed="false">
      <c r="B43" s="0" t="s">
        <v>262</v>
      </c>
      <c r="C43" s="11" t="s">
        <v>146</v>
      </c>
      <c r="D43" s="13" t="s">
        <v>263</v>
      </c>
      <c r="F43" s="33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</row>
    <row r="44" customFormat="false" ht="15" hidden="false" customHeight="false" outlineLevel="0" collapsed="false">
      <c r="B44" s="0" t="s">
        <v>264</v>
      </c>
      <c r="C44" s="11" t="s">
        <v>146</v>
      </c>
      <c r="D44" s="13" t="s">
        <v>265</v>
      </c>
      <c r="F44" s="33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</row>
    <row r="45" customFormat="false" ht="15" hidden="false" customHeight="false" outlineLevel="0" collapsed="false">
      <c r="B45" s="0" t="s">
        <v>266</v>
      </c>
      <c r="C45" s="11" t="s">
        <v>35</v>
      </c>
      <c r="D45" s="13" t="s">
        <v>267</v>
      </c>
      <c r="F45" s="47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</row>
    <row r="46" customFormat="false" ht="15" hidden="false" customHeight="false" outlineLevel="0" collapsed="false">
      <c r="B46" s="0" t="s">
        <v>268</v>
      </c>
      <c r="C46" s="11" t="s">
        <v>43</v>
      </c>
      <c r="D46" s="13" t="s">
        <v>269</v>
      </c>
      <c r="F46" s="32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</row>
    <row r="47" customFormat="false" ht="15" hidden="false" customHeight="false" outlineLevel="0" collapsed="false">
      <c r="B47" s="0" t="s">
        <v>270</v>
      </c>
      <c r="C47" s="11" t="s">
        <v>41</v>
      </c>
      <c r="D47" s="13" t="s">
        <v>271</v>
      </c>
      <c r="F47" s="46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</row>
    <row r="49" customFormat="false" ht="15" hidden="false" customHeight="false" outlineLevel="0" collapsed="false">
      <c r="A49" s="9" t="s">
        <v>13</v>
      </c>
      <c r="B49" s="9"/>
      <c r="C49" s="9" t="s">
        <v>272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273</v>
      </c>
      <c r="C50" s="11" t="s">
        <v>274</v>
      </c>
      <c r="D50" s="13" t="s">
        <v>275</v>
      </c>
      <c r="F50" s="33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</row>
    <row r="51" customFormat="false" ht="15" hidden="false" customHeight="false" outlineLevel="0" collapsed="false">
      <c r="B51" s="0" t="s">
        <v>276</v>
      </c>
      <c r="C51" s="11" t="s">
        <v>277</v>
      </c>
      <c r="D51" s="13" t="s">
        <v>275</v>
      </c>
      <c r="F51" s="33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</row>
    <row r="52" customFormat="false" ht="15" hidden="false" customHeight="false" outlineLevel="0" collapsed="false">
      <c r="B52" s="0" t="s">
        <v>278</v>
      </c>
      <c r="C52" s="11" t="s">
        <v>62</v>
      </c>
      <c r="D52" s="13" t="s">
        <v>279</v>
      </c>
      <c r="F52" s="44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</row>
    <row r="53" customFormat="false" ht="15" hidden="false" customHeight="false" outlineLevel="0" collapsed="false">
      <c r="B53" s="0" t="s">
        <v>280</v>
      </c>
      <c r="C53" s="11" t="s">
        <v>281</v>
      </c>
      <c r="D53" s="13" t="s">
        <v>282</v>
      </c>
      <c r="F53" s="32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</row>
    <row r="54" customFormat="false" ht="15" hidden="false" customHeight="false" outlineLevel="0" collapsed="false">
      <c r="B54" s="0" t="s">
        <v>283</v>
      </c>
      <c r="C54" s="11" t="s">
        <v>35</v>
      </c>
      <c r="D54" s="13" t="s">
        <v>284</v>
      </c>
      <c r="F54" s="48" t="n">
        <f aca="false">IF(INDEX($H54:$O54,1,Scenario_Selected)="",$H54,INDEX($H54:$O54,1,Scenario_Selected))</f>
        <v>0.005</v>
      </c>
      <c r="H54" s="49" t="n">
        <v>0.005</v>
      </c>
      <c r="I54" s="49"/>
      <c r="J54" s="49"/>
      <c r="K54" s="49"/>
      <c r="L54" s="49"/>
      <c r="M54" s="49"/>
    </row>
    <row r="55" customFormat="false" ht="15" hidden="false" customHeight="false" outlineLevel="0" collapsed="false">
      <c r="B55" s="0" t="s">
        <v>285</v>
      </c>
      <c r="C55" s="11" t="s">
        <v>62</v>
      </c>
      <c r="D55" s="13" t="s">
        <v>286</v>
      </c>
      <c r="F55" s="44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</row>
    <row r="56" customFormat="false" ht="15" hidden="false" customHeight="false" outlineLevel="0" collapsed="false">
      <c r="B56" s="0" t="s">
        <v>287</v>
      </c>
      <c r="C56" s="11" t="s">
        <v>209</v>
      </c>
      <c r="D56" s="13" t="s">
        <v>288</v>
      </c>
      <c r="F56" s="42" t="n">
        <f aca="false">IF(INDEX($H56:$O56,1,Scenario_Selected)="",$H56,INDEX($H56:$O56,1,Scenario_Selected))</f>
        <v>15</v>
      </c>
      <c r="H56" s="45" t="n">
        <v>15</v>
      </c>
      <c r="I56" s="45"/>
      <c r="J56" s="45"/>
      <c r="K56" s="45"/>
      <c r="L56" s="45"/>
      <c r="M56" s="45"/>
    </row>
    <row r="57" customFormat="false" ht="15" hidden="false" customHeight="false" outlineLevel="0" collapsed="false">
      <c r="B57" s="0" t="s">
        <v>289</v>
      </c>
      <c r="C57" s="11" t="s">
        <v>35</v>
      </c>
      <c r="D57" s="13" t="s">
        <v>290</v>
      </c>
      <c r="F57" s="48" t="n">
        <f aca="false">IF(INDEX($H57:$O57,1,Scenario_Selected)="",$H57,INDEX($H57:$O57,1,Scenario_Selected))</f>
        <v>0.025</v>
      </c>
      <c r="H57" s="49" t="n">
        <v>0.025</v>
      </c>
      <c r="I57" s="49"/>
      <c r="J57" s="49"/>
      <c r="K57" s="49"/>
      <c r="L57" s="49"/>
      <c r="M57" s="49"/>
    </row>
    <row r="58" customFormat="false" ht="15" hidden="false" customHeight="false" outlineLevel="0" collapsed="false">
      <c r="B58" s="0" t="s">
        <v>291</v>
      </c>
      <c r="C58" s="11" t="s">
        <v>62</v>
      </c>
      <c r="D58" s="13" t="s">
        <v>292</v>
      </c>
      <c r="F58" s="44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</row>
    <row r="59" customFormat="false" ht="15" hidden="false" customHeight="false" outlineLevel="0" collapsed="false">
      <c r="B59" s="0" t="s">
        <v>293</v>
      </c>
      <c r="C59" s="11" t="s">
        <v>294</v>
      </c>
      <c r="D59" s="13" t="s">
        <v>295</v>
      </c>
      <c r="F59" s="32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</row>
    <row r="60" customFormat="false" ht="15" hidden="false" customHeight="false" outlineLevel="0" collapsed="false">
      <c r="B60" s="0" t="s">
        <v>296</v>
      </c>
      <c r="C60" s="11" t="s">
        <v>62</v>
      </c>
      <c r="D60" s="13" t="s">
        <v>297</v>
      </c>
      <c r="F60" s="44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</row>
    <row r="61" customFormat="false" ht="15" hidden="false" customHeight="false" outlineLevel="0" collapsed="false">
      <c r="B61" s="0" t="s">
        <v>298</v>
      </c>
      <c r="C61" s="11" t="s">
        <v>281</v>
      </c>
      <c r="D61" s="13" t="s">
        <v>299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</row>
    <row r="62" customFormat="false" ht="15" hidden="false" customHeight="false" outlineLevel="0" collapsed="false">
      <c r="B62" s="0" t="s">
        <v>300</v>
      </c>
      <c r="C62" s="11" t="s">
        <v>294</v>
      </c>
      <c r="D62" s="13" t="s">
        <v>301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</row>
    <row r="63" customFormat="false" ht="15" hidden="false" customHeight="false" outlineLevel="0" collapsed="false">
      <c r="B63" s="0" t="s">
        <v>302</v>
      </c>
      <c r="C63" s="11" t="s">
        <v>62</v>
      </c>
      <c r="D63" s="13" t="s">
        <v>303</v>
      </c>
      <c r="F63" s="44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</row>
    <row r="64" customFormat="false" ht="15" hidden="false" customHeight="false" outlineLevel="0" collapsed="false">
      <c r="B64" s="0" t="s">
        <v>304</v>
      </c>
      <c r="C64" s="11" t="s">
        <v>35</v>
      </c>
      <c r="D64" s="13" t="s">
        <v>305</v>
      </c>
      <c r="F64" s="47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</row>
    <row r="66" customFormat="false" ht="15" hidden="false" customHeight="false" outlineLevel="0" collapsed="false">
      <c r="A66" s="9" t="s">
        <v>13</v>
      </c>
      <c r="B66" s="9"/>
      <c r="C66" s="9" t="s">
        <v>306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307</v>
      </c>
      <c r="C67" s="11" t="s">
        <v>35</v>
      </c>
      <c r="D67" s="13" t="s">
        <v>308</v>
      </c>
      <c r="F67" s="47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</row>
    <row r="68" customFormat="false" ht="15" hidden="false" customHeight="false" outlineLevel="0" collapsed="false">
      <c r="B68" s="0" t="s">
        <v>309</v>
      </c>
      <c r="C68" s="11" t="s">
        <v>35</v>
      </c>
      <c r="D68" s="13" t="s">
        <v>310</v>
      </c>
      <c r="F68" s="47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</row>
    <row r="69" customFormat="false" ht="15" hidden="false" customHeight="false" outlineLevel="0" collapsed="false">
      <c r="B69" s="0" t="s">
        <v>311</v>
      </c>
      <c r="C69" s="11" t="s">
        <v>35</v>
      </c>
      <c r="D69" s="13" t="s">
        <v>312</v>
      </c>
      <c r="F69" s="47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</row>
    <row r="70" customFormat="false" ht="15" hidden="false" customHeight="false" outlineLevel="0" collapsed="false">
      <c r="B70" s="0" t="s">
        <v>313</v>
      </c>
      <c r="C70" s="11" t="s">
        <v>13</v>
      </c>
      <c r="D70" s="13" t="s">
        <v>314</v>
      </c>
      <c r="F70" s="50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</row>
    <row r="71" customFormat="false" ht="15" hidden="false" customHeight="false" outlineLevel="0" collapsed="false">
      <c r="B71" s="0" t="s">
        <v>315</v>
      </c>
      <c r="C71" s="11" t="s">
        <v>35</v>
      </c>
      <c r="D71" s="13" t="s">
        <v>316</v>
      </c>
      <c r="F71" s="47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</row>
    <row r="73" customFormat="false" ht="15" hidden="false" customHeight="false" outlineLevel="0" collapsed="false">
      <c r="A73" s="9" t="s">
        <v>13</v>
      </c>
      <c r="B73" s="9"/>
      <c r="C73" s="9" t="s">
        <v>317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318</v>
      </c>
      <c r="C74" s="11" t="s">
        <v>46</v>
      </c>
      <c r="D74" s="13" t="s">
        <v>319</v>
      </c>
      <c r="F74" s="33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</row>
    <row r="75" customFormat="false" ht="15" hidden="false" customHeight="false" outlineLevel="0" collapsed="false">
      <c r="B75" s="0" t="s">
        <v>320</v>
      </c>
      <c r="C75" s="11" t="s">
        <v>35</v>
      </c>
      <c r="D75" s="13" t="s">
        <v>321</v>
      </c>
      <c r="F75" s="47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</row>
    <row r="76" customFormat="false" ht="15" hidden="false" customHeight="false" outlineLevel="0" collapsed="false">
      <c r="B76" s="0" t="s">
        <v>322</v>
      </c>
      <c r="C76" s="11" t="s">
        <v>27</v>
      </c>
      <c r="D76" s="13" t="s">
        <v>323</v>
      </c>
      <c r="F76" s="33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</row>
    <row r="77" customFormat="false" ht="15" hidden="false" customHeight="false" outlineLevel="0" collapsed="false">
      <c r="B77" s="0" t="s">
        <v>324</v>
      </c>
      <c r="C77" s="11" t="s">
        <v>27</v>
      </c>
      <c r="D77" s="13" t="s">
        <v>325</v>
      </c>
      <c r="F77" s="33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</row>
    <row r="78" customFormat="false" ht="15" hidden="false" customHeight="false" outlineLevel="0" collapsed="false">
      <c r="B78" s="0" t="s">
        <v>326</v>
      </c>
      <c r="C78" s="11" t="s">
        <v>32</v>
      </c>
      <c r="D78" s="13" t="s">
        <v>327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</row>
    <row r="79" customFormat="false" ht="15" hidden="false" customHeight="false" outlineLevel="0" collapsed="false">
      <c r="B79" s="0" t="s">
        <v>328</v>
      </c>
      <c r="C79" s="11" t="s">
        <v>35</v>
      </c>
      <c r="D79" s="13" t="s">
        <v>329</v>
      </c>
      <c r="F79" s="47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</row>
    <row r="80" customFormat="false" ht="15" hidden="false" customHeight="false" outlineLevel="0" collapsed="false">
      <c r="B80" s="0" t="s">
        <v>330</v>
      </c>
      <c r="C80" s="11" t="s">
        <v>35</v>
      </c>
      <c r="D80" s="13" t="s">
        <v>331</v>
      </c>
      <c r="F80" s="47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</row>
    <row r="82" customFormat="false" ht="15" hidden="false" customHeight="false" outlineLevel="0" collapsed="false">
      <c r="A82" s="9" t="s">
        <v>13</v>
      </c>
      <c r="B82" s="9"/>
      <c r="C82" s="9" t="s">
        <v>332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333</v>
      </c>
      <c r="C83" s="11" t="s">
        <v>41</v>
      </c>
      <c r="D83" s="13" t="s">
        <v>334</v>
      </c>
      <c r="F83" s="46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</row>
    <row r="84" customFormat="false" ht="15" hidden="false" customHeight="false" outlineLevel="0" collapsed="false">
      <c r="B84" s="0" t="s">
        <v>335</v>
      </c>
      <c r="C84" s="11" t="s">
        <v>41</v>
      </c>
      <c r="D84" s="13" t="s">
        <v>336</v>
      </c>
      <c r="F84" s="46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</row>
    <row r="85" customFormat="false" ht="15" hidden="false" customHeight="false" outlineLevel="0" collapsed="false">
      <c r="B85" s="0" t="s">
        <v>337</v>
      </c>
      <c r="C85" s="11" t="s">
        <v>41</v>
      </c>
      <c r="D85" s="13" t="s">
        <v>338</v>
      </c>
      <c r="F85" s="46" t="n">
        <f aca="false">IF(INDEX($H85:$O85,1,Scenario_Selected)="",$H85,INDEX($H85:$O85,1,Scenario_Selected))</f>
        <v>1</v>
      </c>
      <c r="H85" s="24" t="n">
        <v>1</v>
      </c>
      <c r="I85" s="24"/>
      <c r="J85" s="24" t="n">
        <v>2</v>
      </c>
      <c r="K85" s="24"/>
      <c r="L85" s="24"/>
      <c r="M85" s="24"/>
    </row>
    <row r="86" customFormat="false" ht="15" hidden="false" customHeight="false" outlineLevel="0" collapsed="false">
      <c r="B86" s="0" t="s">
        <v>339</v>
      </c>
      <c r="C86" s="11" t="s">
        <v>35</v>
      </c>
      <c r="D86" s="13" t="s">
        <v>340</v>
      </c>
      <c r="F86" s="47" t="n">
        <f aca="false">IF(INDEX($H86:$O86,1,Scenario_Selected)="",$H86,INDEX($H86:$O86,1,Scenario_Selected))</f>
        <v>0.05</v>
      </c>
      <c r="H86" s="19" t="n">
        <v>0.05</v>
      </c>
      <c r="I86" s="19"/>
      <c r="J86" s="19"/>
      <c r="K86" s="19"/>
      <c r="L86" s="19"/>
      <c r="M86" s="19"/>
    </row>
    <row r="88" customFormat="false" ht="15" hidden="false" customHeight="false" outlineLevel="0" collapsed="false">
      <c r="A88" s="9" t="s">
        <v>13</v>
      </c>
      <c r="B88" s="9"/>
      <c r="C88" s="9" t="s">
        <v>341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customFormat="false" ht="15" hidden="false" customHeight="false" outlineLevel="0" collapsed="false">
      <c r="B89" s="0" t="s">
        <v>40</v>
      </c>
      <c r="C89" s="11" t="s">
        <v>41</v>
      </c>
      <c r="D89" s="13" t="s">
        <v>342</v>
      </c>
      <c r="F89" s="46" t="n">
        <f aca="false">IF(INDEX($H89:$O89,1,Scenario_Selected)="",$H89,INDEX($H89:$O89,1,Scenario_Selected))</f>
        <v>0</v>
      </c>
      <c r="H89" s="24" t="n">
        <v>0</v>
      </c>
      <c r="I89" s="24"/>
      <c r="J89" s="24"/>
      <c r="K89" s="24"/>
      <c r="L89" s="24"/>
      <c r="M89" s="24"/>
    </row>
    <row r="90" customFormat="false" ht="15" hidden="false" customHeight="false" outlineLevel="0" collapsed="false">
      <c r="B90" s="0" t="s">
        <v>343</v>
      </c>
      <c r="C90" s="11" t="s">
        <v>27</v>
      </c>
      <c r="D90" s="13" t="s">
        <v>342</v>
      </c>
      <c r="F90" s="33" t="n">
        <f aca="false">IF(INDEX($H90:$O90,1,Scenario_Selected)="",$H90,INDEX($H90:$O90,1,Scenario_Selected))</f>
        <v>600</v>
      </c>
      <c r="H90" s="12" t="n">
        <v>600</v>
      </c>
      <c r="I90" s="12"/>
      <c r="J90" s="12"/>
      <c r="K90" s="12"/>
      <c r="L90" s="12"/>
      <c r="M90" s="12"/>
    </row>
    <row r="91" customFormat="false" ht="15" hidden="false" customHeight="false" outlineLevel="0" collapsed="false">
      <c r="B91" s="0" t="s">
        <v>344</v>
      </c>
      <c r="C91" s="11" t="s">
        <v>27</v>
      </c>
      <c r="D91" s="13" t="s">
        <v>345</v>
      </c>
      <c r="F91" s="33" t="n">
        <f aca="false">IF(INDEX($H91:$O91,1,Scenario_Selected)="",$H91,INDEX($H91:$O91,1,Scenario_Selected))</f>
        <v>500</v>
      </c>
      <c r="H91" s="12" t="n">
        <v>500</v>
      </c>
      <c r="I91" s="12"/>
      <c r="J91" s="12"/>
      <c r="K91" s="12"/>
      <c r="L91" s="12"/>
      <c r="M91" s="12"/>
    </row>
    <row r="92" customFormat="false" ht="15" hidden="false" customHeight="false" outlineLevel="0" collapsed="false">
      <c r="B92" s="0" t="s">
        <v>346</v>
      </c>
      <c r="C92" s="11" t="s">
        <v>27</v>
      </c>
      <c r="D92" s="13" t="s">
        <v>347</v>
      </c>
      <c r="F92" s="33" t="n">
        <f aca="false">IF(INDEX($H92:$O92,1,Scenario_Selected)="",$H92,INDEX($H92:$O92,1,Scenario_Selected))</f>
        <v>80</v>
      </c>
      <c r="H92" s="12" t="n">
        <v>80</v>
      </c>
      <c r="I92" s="12"/>
      <c r="J92" s="12"/>
      <c r="K92" s="12"/>
      <c r="L92" s="12"/>
      <c r="M92" s="12"/>
    </row>
    <row r="93" customFormat="false" ht="15" hidden="false" customHeight="false" outlineLevel="0" collapsed="false">
      <c r="B93" s="0" t="s">
        <v>108</v>
      </c>
      <c r="C93" s="11" t="s">
        <v>27</v>
      </c>
      <c r="D93" s="13" t="s">
        <v>348</v>
      </c>
      <c r="F93" s="33" t="n">
        <f aca="false">IF(INDEX($H93:$O93,1,Scenario_Selected)="",$H93,INDEX($H93:$O93,1,Scenario_Selected))</f>
        <v>90</v>
      </c>
      <c r="H93" s="12" t="n">
        <v>90</v>
      </c>
      <c r="I93" s="12"/>
      <c r="J93" s="12"/>
      <c r="K93" s="12"/>
      <c r="L93" s="12"/>
      <c r="M93" s="12"/>
    </row>
    <row r="94" customFormat="false" ht="15" hidden="false" customHeight="false" outlineLevel="0" collapsed="false">
      <c r="B94" s="0" t="s">
        <v>349</v>
      </c>
      <c r="C94" s="11" t="s">
        <v>27</v>
      </c>
      <c r="D94" s="13" t="s">
        <v>350</v>
      </c>
      <c r="F94" s="33" t="n">
        <f aca="false">IF(INDEX($H94:$O94,1,Scenario_Selected)="",$H94,INDEX($H94:$O94,1,Scenario_Selected))</f>
        <v>130</v>
      </c>
      <c r="H94" s="12" t="n">
        <v>130</v>
      </c>
      <c r="I94" s="12"/>
      <c r="J94" s="12"/>
      <c r="K94" s="12"/>
      <c r="L94" s="12"/>
      <c r="M94" s="12"/>
    </row>
    <row r="95" customFormat="false" ht="15" hidden="false" customHeight="false" outlineLevel="0" collapsed="false">
      <c r="B95" s="0" t="s">
        <v>351</v>
      </c>
      <c r="C95" s="11" t="s">
        <v>27</v>
      </c>
      <c r="D95" s="13" t="s">
        <v>352</v>
      </c>
      <c r="F95" s="33" t="n">
        <f aca="false">IF(INDEX($H95:$O95,1,Scenario_Selected)="",$H95,INDEX($H95:$O95,1,Scenario_Selected))</f>
        <v>40</v>
      </c>
      <c r="H95" s="12" t="n">
        <v>40</v>
      </c>
      <c r="I95" s="12"/>
      <c r="J95" s="12"/>
      <c r="K95" s="12"/>
      <c r="L95" s="12"/>
      <c r="M95" s="12"/>
    </row>
    <row r="96" customFormat="false" ht="15" hidden="false" customHeight="false" outlineLevel="0" collapsed="false">
      <c r="B96" s="0" t="s">
        <v>353</v>
      </c>
      <c r="C96" s="11" t="s">
        <v>27</v>
      </c>
      <c r="D96" s="13" t="s">
        <v>354</v>
      </c>
      <c r="F96" s="33" t="n">
        <f aca="false">IF(INDEX($H96:$O96,1,Scenario_Selected)="",$H96,INDEX($H96:$O96,1,Scenario_Selected))</f>
        <v>15</v>
      </c>
      <c r="H96" s="12" t="n">
        <v>15</v>
      </c>
      <c r="I96" s="12"/>
      <c r="J96" s="12"/>
      <c r="K96" s="12"/>
      <c r="L96" s="12"/>
      <c r="M96" s="12"/>
    </row>
    <row r="97" customFormat="false" ht="15" hidden="false" customHeight="false" outlineLevel="0" collapsed="false">
      <c r="B97" s="0" t="s">
        <v>355</v>
      </c>
      <c r="C97" s="11" t="s">
        <v>247</v>
      </c>
      <c r="D97" s="13" t="s">
        <v>356</v>
      </c>
      <c r="F97" s="33" t="n">
        <f aca="false">IF(INDEX($H97:$O97,1,Scenario_Selected)="",$H97,INDEX($H97:$O97,1,Scenario_Selected))</f>
        <v>12000</v>
      </c>
      <c r="H97" s="12" t="n">
        <v>12000</v>
      </c>
      <c r="I97" s="12"/>
      <c r="J97" s="12"/>
      <c r="K97" s="12"/>
      <c r="L97" s="12"/>
      <c r="M97" s="12"/>
    </row>
    <row r="98" customFormat="false" ht="15" hidden="false" customHeight="false" outlineLevel="0" collapsed="false">
      <c r="B98" s="0" t="s">
        <v>357</v>
      </c>
      <c r="C98" s="11" t="s">
        <v>247</v>
      </c>
      <c r="D98" s="13" t="s">
        <v>358</v>
      </c>
      <c r="F98" s="33" t="n">
        <f aca="false">IF(INDEX($H98:$O98,1,Scenario_Selected)="",$H98,INDEX($H98:$O98,1,Scenario_Selected))</f>
        <v>10800</v>
      </c>
      <c r="H98" s="12" t="n">
        <v>10800</v>
      </c>
      <c r="I98" s="12"/>
      <c r="J98" s="12"/>
      <c r="K98" s="12"/>
      <c r="L98" s="12"/>
      <c r="M98" s="12"/>
    </row>
    <row r="99" customFormat="false" ht="15" hidden="false" customHeight="false" outlineLevel="0" collapsed="false">
      <c r="B99" s="0" t="s">
        <v>359</v>
      </c>
      <c r="C99" s="11" t="s">
        <v>35</v>
      </c>
      <c r="D99" s="13" t="s">
        <v>360</v>
      </c>
      <c r="F99" s="47" t="n">
        <f aca="false">IF(INDEX($H99:$O99,1,Scenario_Selected)="",$H99,INDEX($H99:$O99,1,Scenario_Selected))</f>
        <v>0.05</v>
      </c>
      <c r="H99" s="19" t="n">
        <v>0.05</v>
      </c>
      <c r="I99" s="19"/>
      <c r="J99" s="19"/>
      <c r="K99" s="19"/>
      <c r="L99" s="19"/>
      <c r="M99" s="19"/>
    </row>
    <row r="100" customFormat="false" ht="15" hidden="false" customHeight="false" outlineLevel="0" collapsed="false">
      <c r="B100" s="0" t="s">
        <v>361</v>
      </c>
      <c r="C100" s="11" t="s">
        <v>27</v>
      </c>
      <c r="D100" s="13" t="s">
        <v>362</v>
      </c>
      <c r="F100" s="33" t="n">
        <f aca="false">IF(INDEX($H100:$O100,1,Scenario_Selected)="",$H100,INDEX($H100:$O100,1,Scenario_Selected))</f>
        <v>240</v>
      </c>
      <c r="H100" s="12" t="n">
        <v>240</v>
      </c>
      <c r="I100" s="12"/>
      <c r="J100" s="12"/>
      <c r="K100" s="12"/>
      <c r="L100" s="12"/>
      <c r="M100" s="12"/>
    </row>
    <row r="102" customFormat="false" ht="15" hidden="false" customHeight="false" outlineLevel="0" collapsed="false">
      <c r="A102" s="9" t="s">
        <v>13</v>
      </c>
      <c r="B102" s="9"/>
      <c r="C102" s="9" t="s">
        <v>363</v>
      </c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</row>
    <row r="103" customFormat="false" ht="15" hidden="false" customHeight="false" outlineLevel="0" collapsed="false">
      <c r="B103" s="0" t="s">
        <v>364</v>
      </c>
      <c r="C103" s="11" t="s">
        <v>365</v>
      </c>
      <c r="D103" s="13" t="s">
        <v>366</v>
      </c>
      <c r="F103" s="33" t="n">
        <f aca="false">IF(INDEX($H103:$O103,1,Scenario_Selected)="",$H103,INDEX($H103:$O103,1,Scenario_Selected))</f>
        <v>2460</v>
      </c>
      <c r="H103" s="12" t="n">
        <v>2460</v>
      </c>
      <c r="I103" s="12"/>
      <c r="J103" s="12"/>
      <c r="K103" s="12"/>
      <c r="L103" s="12"/>
      <c r="M103" s="12"/>
    </row>
    <row r="104" customFormat="false" ht="15" hidden="false" customHeight="false" outlineLevel="0" collapsed="false">
      <c r="B104" s="0" t="s">
        <v>367</v>
      </c>
      <c r="C104" s="11" t="s">
        <v>35</v>
      </c>
      <c r="D104" s="13" t="s">
        <v>368</v>
      </c>
      <c r="F104" s="47" t="n">
        <f aca="false">IF(INDEX($H104:$O104,1,Scenario_Selected)="",$H104,INDEX($H104:$O104,1,Scenario_Selected))</f>
        <v>0.02</v>
      </c>
      <c r="H104" s="19" t="n">
        <v>0.02</v>
      </c>
      <c r="I104" s="19"/>
      <c r="J104" s="19"/>
      <c r="K104" s="19"/>
      <c r="L104" s="19"/>
      <c r="M104" s="19"/>
    </row>
    <row r="105" customFormat="false" ht="15" hidden="false" customHeight="false" outlineLevel="0" collapsed="false">
      <c r="B105" s="0" t="s">
        <v>369</v>
      </c>
      <c r="C105" s="11" t="s">
        <v>35</v>
      </c>
      <c r="D105" s="13" t="s">
        <v>370</v>
      </c>
      <c r="F105" s="48" t="n">
        <f aca="false">IF(INDEX($H105:$O105,1,Scenario_Selected)="",$H105,INDEX($H105:$O105,1,Scenario_Selected))</f>
        <v>0.003</v>
      </c>
      <c r="H105" s="49" t="n">
        <v>0.003</v>
      </c>
      <c r="I105" s="49"/>
      <c r="J105" s="49"/>
      <c r="K105" s="49"/>
      <c r="L105" s="49"/>
      <c r="M105" s="49"/>
    </row>
    <row r="106" customFormat="false" ht="15" hidden="false" customHeight="false" outlineLevel="0" collapsed="false">
      <c r="B106" s="0" t="s">
        <v>371</v>
      </c>
      <c r="C106" s="11" t="s">
        <v>32</v>
      </c>
      <c r="D106" s="13" t="s">
        <v>342</v>
      </c>
      <c r="F106" s="32" t="n">
        <f aca="false">IF(INDEX($H106:$O106,1,Scenario_Selected)="",$H106,INDEX($H106:$O106,1,Scenario_Selected))</f>
        <v>90</v>
      </c>
      <c r="H106" s="21" t="n">
        <v>90</v>
      </c>
      <c r="I106" s="21"/>
      <c r="J106" s="21"/>
      <c r="K106" s="21"/>
      <c r="L106" s="21"/>
      <c r="M106" s="21"/>
    </row>
    <row r="107" customFormat="false" ht="15" hidden="false" customHeight="false" outlineLevel="0" collapsed="false">
      <c r="B107" s="0" t="s">
        <v>372</v>
      </c>
      <c r="C107" s="11" t="s">
        <v>35</v>
      </c>
      <c r="D107" s="13" t="s">
        <v>373</v>
      </c>
      <c r="F107" s="47" t="n">
        <f aca="false">IF(INDEX($H107:$O107,1,Scenario_Selected)="",$H107,INDEX($H107:$O107,1,Scenario_Selected))</f>
        <v>0.01</v>
      </c>
      <c r="H107" s="19" t="n">
        <v>0.01</v>
      </c>
      <c r="I107" s="19"/>
      <c r="J107" s="19"/>
      <c r="K107" s="19"/>
      <c r="L107" s="19"/>
      <c r="M107" s="19"/>
    </row>
    <row r="108" customFormat="false" ht="15" hidden="false" customHeight="false" outlineLevel="0" collapsed="false">
      <c r="B108" s="0" t="s">
        <v>374</v>
      </c>
      <c r="C108" s="11" t="s">
        <v>32</v>
      </c>
      <c r="D108" s="13" t="s">
        <v>375</v>
      </c>
      <c r="F108" s="32" t="n">
        <f aca="false">IF(INDEX($H108:$O108,1,Scenario_Selected)="",$H108,INDEX($H108:$O108,1,Scenario_Selected))</f>
        <v>5</v>
      </c>
      <c r="H108" s="21" t="n">
        <v>5</v>
      </c>
      <c r="I108" s="21"/>
      <c r="J108" s="21"/>
      <c r="K108" s="21"/>
      <c r="L108" s="21"/>
      <c r="M108" s="21"/>
    </row>
    <row r="109" customFormat="false" ht="15" hidden="false" customHeight="false" outlineLevel="0" collapsed="false">
      <c r="B109" s="0" t="s">
        <v>376</v>
      </c>
      <c r="C109" s="11" t="s">
        <v>27</v>
      </c>
      <c r="D109" s="13" t="s">
        <v>377</v>
      </c>
      <c r="F109" s="33" t="n">
        <f aca="false">IF(INDEX($H109:$O109,1,Scenario_Selected)="",$H109,INDEX($H109:$O109,1,Scenario_Selected))</f>
        <v>22</v>
      </c>
      <c r="H109" s="12" t="n">
        <v>22</v>
      </c>
      <c r="I109" s="12"/>
      <c r="J109" s="12"/>
      <c r="K109" s="12"/>
      <c r="L109" s="12"/>
      <c r="M109" s="12"/>
    </row>
    <row r="110" customFormat="false" ht="15" hidden="false" customHeight="false" outlineLevel="0" collapsed="false">
      <c r="B110" s="0" t="s">
        <v>378</v>
      </c>
      <c r="C110" s="11" t="s">
        <v>27</v>
      </c>
      <c r="D110" s="13" t="s">
        <v>379</v>
      </c>
      <c r="F110" s="33" t="n">
        <f aca="false">IF(INDEX($H110:$O110,1,Scenario_Selected)="",$H110,INDEX($H110:$O110,1,Scenario_Selected))</f>
        <v>3</v>
      </c>
      <c r="H110" s="12" t="n">
        <v>3</v>
      </c>
      <c r="I110" s="12"/>
      <c r="J110" s="12"/>
      <c r="K110" s="12"/>
      <c r="L110" s="12"/>
      <c r="M110" s="12"/>
    </row>
    <row r="111" customFormat="false" ht="15" hidden="false" customHeight="false" outlineLevel="0" collapsed="false">
      <c r="B111" s="0" t="s">
        <v>380</v>
      </c>
      <c r="C111" s="11" t="s">
        <v>247</v>
      </c>
      <c r="D111" s="13" t="s">
        <v>381</v>
      </c>
      <c r="F111" s="33" t="n">
        <f aca="false">IF(INDEX($H111:$O111,1,Scenario_Selected)="",$H111,INDEX($H111:$O111,1,Scenario_Selected))</f>
        <v>150</v>
      </c>
      <c r="H111" s="12" t="n">
        <v>150</v>
      </c>
      <c r="I111" s="12"/>
      <c r="J111" s="12"/>
      <c r="K111" s="12"/>
      <c r="L111" s="12"/>
      <c r="M111" s="12"/>
    </row>
    <row r="112" customFormat="false" ht="15" hidden="false" customHeight="false" outlineLevel="0" collapsed="false">
      <c r="B112" s="0" t="s">
        <v>382</v>
      </c>
      <c r="C112" s="11" t="s">
        <v>35</v>
      </c>
      <c r="D112" s="13" t="s">
        <v>383</v>
      </c>
      <c r="F112" s="47" t="n">
        <f aca="false">IF(INDEX($H112:$O112,1,Scenario_Selected)="",$H112,INDEX($H112:$O112,1,Scenario_Selected))</f>
        <v>0.05</v>
      </c>
      <c r="H112" s="19" t="n">
        <v>0.05</v>
      </c>
      <c r="I112" s="19"/>
      <c r="J112" s="19"/>
      <c r="K112" s="19"/>
      <c r="L112" s="19"/>
      <c r="M112" s="19"/>
    </row>
    <row r="113" customFormat="false" ht="15" hidden="false" customHeight="false" outlineLevel="0" collapsed="false">
      <c r="B113" s="0" t="s">
        <v>384</v>
      </c>
      <c r="C113" s="11" t="s">
        <v>35</v>
      </c>
      <c r="D113" s="13" t="s">
        <v>385</v>
      </c>
      <c r="F113" s="47" t="n">
        <f aca="false">IF(INDEX($H113:$O113,1,Scenario_Selected)="",$H113,INDEX($H113:$O113,1,Scenario_Selected))</f>
        <v>0.025</v>
      </c>
      <c r="H113" s="19" t="n">
        <v>0.025</v>
      </c>
      <c r="I113" s="19"/>
      <c r="J113" s="19"/>
      <c r="K113" s="19"/>
      <c r="L113" s="19"/>
      <c r="M113" s="19"/>
    </row>
    <row r="114" customFormat="false" ht="15" hidden="false" customHeight="false" outlineLevel="0" collapsed="false">
      <c r="B114" s="0" t="s">
        <v>386</v>
      </c>
      <c r="C114" s="11" t="s">
        <v>35</v>
      </c>
      <c r="D114" s="13" t="s">
        <v>387</v>
      </c>
      <c r="F114" s="48" t="n">
        <f aca="false">IF(INDEX($H114:$O114,1,Scenario_Selected)="",$H114,INDEX($H114:$O114,1,Scenario_Selected))</f>
        <v>0.001</v>
      </c>
      <c r="H114" s="49" t="n">
        <v>0.001</v>
      </c>
      <c r="I114" s="49"/>
      <c r="J114" s="49"/>
      <c r="K114" s="49"/>
      <c r="L114" s="49"/>
      <c r="M114" s="49"/>
    </row>
    <row r="115" customFormat="false" ht="15" hidden="false" customHeight="false" outlineLevel="0" collapsed="false">
      <c r="B115" s="0" t="s">
        <v>388</v>
      </c>
      <c r="C115" s="11" t="s">
        <v>35</v>
      </c>
      <c r="D115" s="13" t="s">
        <v>389</v>
      </c>
      <c r="F115" s="47" t="n">
        <f aca="false">IF(INDEX($H115:$O115,1,Scenario_Selected)="",$H115,INDEX($H115:$O115,1,Scenario_Selected))</f>
        <v>0.02</v>
      </c>
      <c r="H115" s="19" t="n">
        <v>0.02</v>
      </c>
      <c r="I115" s="19"/>
      <c r="J115" s="19"/>
      <c r="K115" s="19"/>
      <c r="L115" s="19"/>
      <c r="M115" s="19"/>
    </row>
    <row r="117" customFormat="false" ht="15" hidden="false" customHeight="false" outlineLevel="0" collapsed="false">
      <c r="A117" s="9" t="s">
        <v>13</v>
      </c>
      <c r="B117" s="9"/>
      <c r="C117" s="9" t="s">
        <v>390</v>
      </c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</row>
    <row r="118" customFormat="false" ht="15" hidden="false" customHeight="false" outlineLevel="0" collapsed="false">
      <c r="B118" s="0" t="s">
        <v>391</v>
      </c>
      <c r="C118" s="11" t="s">
        <v>35</v>
      </c>
      <c r="D118" s="13" t="s">
        <v>392</v>
      </c>
      <c r="F118" s="47" t="n">
        <f aca="false">IF(INDEX($H118:$O118,1,Scenario_Selected)="",$H118,INDEX($H118:$O118,1,Scenario_Selected))</f>
        <v>0.6</v>
      </c>
      <c r="H118" s="19" t="n">
        <v>0.6</v>
      </c>
      <c r="I118" s="19"/>
      <c r="J118" s="19"/>
      <c r="K118" s="19"/>
      <c r="L118" s="19"/>
      <c r="M118" s="19"/>
    </row>
    <row r="119" customFormat="false" ht="15" hidden="false" customHeight="false" outlineLevel="0" collapsed="false">
      <c r="B119" s="0" t="s">
        <v>393</v>
      </c>
      <c r="C119" s="11" t="s">
        <v>35</v>
      </c>
      <c r="D119" s="13" t="s">
        <v>394</v>
      </c>
      <c r="F119" s="47" t="n">
        <f aca="false">IF(INDEX($H119:$O119,1,Scenario_Selected)="",$H119,INDEX($H119:$O119,1,Scenario_Selected))</f>
        <v>0.5</v>
      </c>
      <c r="H119" s="19" t="n">
        <v>0.5</v>
      </c>
      <c r="I119" s="19"/>
      <c r="J119" s="19"/>
      <c r="K119" s="19"/>
      <c r="L119" s="19"/>
      <c r="M119" s="19"/>
    </row>
    <row r="120" customFormat="false" ht="15" hidden="false" customHeight="false" outlineLevel="0" collapsed="false">
      <c r="B120" s="0" t="s">
        <v>395</v>
      </c>
      <c r="C120" s="11" t="s">
        <v>35</v>
      </c>
      <c r="D120" s="13" t="s">
        <v>396</v>
      </c>
      <c r="F120" s="47" t="n">
        <f aca="false">IF(INDEX($H120:$O120,1,Scenario_Selected)="",$H120,INDEX($H120:$O120,1,Scenario_Selected))</f>
        <v>0.05</v>
      </c>
      <c r="H120" s="19" t="n">
        <v>0.05</v>
      </c>
      <c r="I120" s="19"/>
      <c r="J120" s="19"/>
      <c r="K120" s="19"/>
      <c r="L120" s="19"/>
      <c r="M120" s="19"/>
    </row>
    <row r="121" customFormat="false" ht="15" hidden="false" customHeight="false" outlineLevel="0" collapsed="false">
      <c r="B121" s="0" t="s">
        <v>397</v>
      </c>
      <c r="C121" s="11" t="s">
        <v>35</v>
      </c>
      <c r="D121" s="13" t="s">
        <v>398</v>
      </c>
      <c r="F121" s="48" t="n">
        <f aca="false">IF(INDEX($H121:$O121,1,Scenario_Selected)="",$H121,INDEX($H121:$O121,1,Scenario_Selected))</f>
        <v>0.0175</v>
      </c>
      <c r="H121" s="49" t="n">
        <v>0.0175</v>
      </c>
      <c r="I121" s="49"/>
      <c r="J121" s="49"/>
      <c r="K121" s="49"/>
      <c r="L121" s="49"/>
      <c r="M121" s="49"/>
    </row>
    <row r="122" customFormat="false" ht="15" hidden="false" customHeight="false" outlineLevel="0" collapsed="false">
      <c r="B122" s="0" t="s">
        <v>399</v>
      </c>
      <c r="C122" s="11" t="s">
        <v>35</v>
      </c>
      <c r="D122" s="13" t="s">
        <v>400</v>
      </c>
      <c r="F122" s="48" t="n">
        <f aca="false">IF(INDEX($H122:$O122,1,Scenario_Selected)="",$H122,INDEX($H122:$O122,1,Scenario_Selected))</f>
        <v>0.009</v>
      </c>
      <c r="H122" s="49" t="n">
        <v>0.009</v>
      </c>
      <c r="I122" s="49"/>
      <c r="J122" s="49"/>
      <c r="K122" s="49"/>
      <c r="L122" s="49"/>
      <c r="M122" s="49"/>
    </row>
    <row r="123" customFormat="false" ht="15" hidden="false" customHeight="false" outlineLevel="0" collapsed="false">
      <c r="B123" s="0" t="s">
        <v>401</v>
      </c>
      <c r="C123" s="11" t="s">
        <v>231</v>
      </c>
      <c r="D123" s="13" t="s">
        <v>402</v>
      </c>
      <c r="F123" s="42" t="n">
        <f aca="false">IF(INDEX($H123:$O123,1,Scenario_Selected)="",$H123,INDEX($H123:$O123,1,Scenario_Selected))</f>
        <v>10</v>
      </c>
      <c r="H123" s="45" t="n">
        <v>10</v>
      </c>
      <c r="I123" s="45"/>
      <c r="J123" s="45"/>
      <c r="K123" s="45"/>
      <c r="L123" s="45"/>
      <c r="M123" s="45"/>
    </row>
    <row r="124" customFormat="false" ht="15" hidden="false" customHeight="false" outlineLevel="0" collapsed="false">
      <c r="B124" s="0" t="s">
        <v>403</v>
      </c>
      <c r="C124" s="11" t="s">
        <v>231</v>
      </c>
      <c r="D124" s="13" t="s">
        <v>404</v>
      </c>
      <c r="F124" s="42" t="n">
        <f aca="false">IF(INDEX($H124:$O124,1,Scenario_Selected)="",$H124,INDEX($H124:$O124,1,Scenario_Selected))</f>
        <v>20</v>
      </c>
      <c r="H124" s="45" t="n">
        <v>20</v>
      </c>
      <c r="I124" s="45"/>
      <c r="J124" s="45"/>
      <c r="K124" s="45"/>
      <c r="L124" s="45"/>
      <c r="M124" s="45"/>
    </row>
    <row r="126" customFormat="false" ht="15" hidden="false" customHeight="false" outlineLevel="0" collapsed="false">
      <c r="C126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405</v>
      </c>
      <c r="D5" s="9"/>
      <c r="E5" s="9" t="s">
        <v>406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407</v>
      </c>
      <c r="F6" s="8" t="s">
        <v>408</v>
      </c>
      <c r="J6" s="8" t="s">
        <v>409</v>
      </c>
    </row>
    <row r="7" customFormat="false" ht="15" hidden="false" customHeight="false" outlineLevel="0" collapsed="false">
      <c r="C7" s="0" t="s">
        <v>410</v>
      </c>
      <c r="D7" s="11" t="s">
        <v>27</v>
      </c>
      <c r="E7" s="43" t="n">
        <v>10</v>
      </c>
      <c r="F7" s="43" t="n">
        <v>50</v>
      </c>
      <c r="J7" s="43" t="n">
        <v>10</v>
      </c>
      <c r="K7" s="43" t="n">
        <v>15</v>
      </c>
      <c r="L7" s="43" t="n">
        <v>20</v>
      </c>
      <c r="M7" s="43" t="n">
        <v>25</v>
      </c>
      <c r="N7" s="43" t="n">
        <v>30</v>
      </c>
      <c r="O7" s="43" t="n">
        <v>35</v>
      </c>
      <c r="P7" s="43" t="n">
        <v>40</v>
      </c>
      <c r="Q7" s="43" t="n">
        <v>45</v>
      </c>
      <c r="R7" s="43" t="n">
        <v>50</v>
      </c>
    </row>
    <row r="8" customFormat="false" ht="15" hidden="false" customHeight="false" outlineLevel="0" collapsed="false">
      <c r="C8" s="0" t="s">
        <v>411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412</v>
      </c>
      <c r="D9" s="11" t="s">
        <v>70</v>
      </c>
      <c r="E9" s="19" t="n">
        <v>0.2</v>
      </c>
      <c r="J9" s="45" t="n">
        <v>0</v>
      </c>
      <c r="K9" s="45" t="n">
        <v>10</v>
      </c>
      <c r="L9" s="45" t="n">
        <v>20</v>
      </c>
      <c r="M9" s="45" t="n">
        <v>30</v>
      </c>
      <c r="N9" s="45" t="n">
        <v>40</v>
      </c>
      <c r="O9" s="45" t="n">
        <v>55</v>
      </c>
      <c r="P9" s="45" t="n">
        <v>70</v>
      </c>
      <c r="Q9" s="45" t="n">
        <v>80</v>
      </c>
      <c r="R9" s="45" t="n">
        <v>90</v>
      </c>
      <c r="S9" s="45" t="n">
        <v>100</v>
      </c>
    </row>
    <row r="10" customFormat="false" ht="15" hidden="false" customHeight="false" outlineLevel="0" collapsed="false">
      <c r="C10" s="0" t="s">
        <v>413</v>
      </c>
      <c r="D10" s="11" t="s">
        <v>32</v>
      </c>
      <c r="E10" s="43" t="n">
        <v>2</v>
      </c>
      <c r="F10" s="43" t="n">
        <v>3</v>
      </c>
      <c r="J10" s="43" t="n">
        <v>2</v>
      </c>
      <c r="K10" s="43" t="n">
        <v>2.1</v>
      </c>
      <c r="L10" s="43" t="n">
        <v>2.2</v>
      </c>
      <c r="M10" s="43" t="n">
        <v>2.3</v>
      </c>
      <c r="N10" s="43" t="n">
        <v>2.4</v>
      </c>
      <c r="O10" s="43" t="n">
        <v>2.5</v>
      </c>
      <c r="P10" s="43" t="n">
        <v>2.6</v>
      </c>
      <c r="Q10" s="43" t="n">
        <v>2.7</v>
      </c>
      <c r="R10" s="43" t="n">
        <v>2.8</v>
      </c>
      <c r="S10" s="43" t="n">
        <v>2.9</v>
      </c>
      <c r="T10" s="43" t="n">
        <v>3</v>
      </c>
    </row>
    <row r="11" customFormat="false" ht="15" hidden="false" customHeight="false" outlineLevel="0" collapsed="false">
      <c r="C11" s="0" t="s">
        <v>414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415</v>
      </c>
      <c r="D12" s="11" t="s">
        <v>70</v>
      </c>
      <c r="E12" s="19" t="n">
        <v>0.15</v>
      </c>
      <c r="J12" s="45" t="n">
        <v>0</v>
      </c>
      <c r="K12" s="45" t="n">
        <v>5</v>
      </c>
      <c r="L12" s="45" t="n">
        <v>10</v>
      </c>
      <c r="M12" s="45" t="n">
        <v>20</v>
      </c>
      <c r="N12" s="45" t="n">
        <v>30</v>
      </c>
      <c r="O12" s="45" t="n">
        <v>40</v>
      </c>
      <c r="P12" s="45" t="n">
        <v>50</v>
      </c>
      <c r="Q12" s="45" t="n">
        <v>60</v>
      </c>
      <c r="R12" s="45" t="n">
        <v>70</v>
      </c>
      <c r="S12" s="45" t="n">
        <v>80</v>
      </c>
      <c r="T12" s="45" t="n">
        <v>90</v>
      </c>
      <c r="U12" s="45" t="n">
        <v>100</v>
      </c>
    </row>
    <row r="13" customFormat="false" ht="15" hidden="false" customHeight="false" outlineLevel="0" collapsed="false">
      <c r="C13" s="0" t="s">
        <v>416</v>
      </c>
      <c r="D13" s="11" t="s">
        <v>35</v>
      </c>
      <c r="J13" s="43" t="n">
        <v>0.02</v>
      </c>
      <c r="K13" s="43" t="n">
        <v>0.05</v>
      </c>
      <c r="L13" s="43" t="n">
        <v>0.1</v>
      </c>
      <c r="M13" s="43" t="n">
        <v>0.15</v>
      </c>
      <c r="N13" s="43" t="n">
        <v>0.2</v>
      </c>
      <c r="O13" s="43" t="n">
        <v>0.25</v>
      </c>
      <c r="P13" s="43" t="n">
        <v>0.3</v>
      </c>
      <c r="Q13" s="43" t="n">
        <v>0.35</v>
      </c>
      <c r="R13" s="43" t="n">
        <v>0.4</v>
      </c>
      <c r="S13" s="43" t="n">
        <v>0.5</v>
      </c>
    </row>
    <row r="14" customFormat="false" ht="15" hidden="false" customHeight="false" outlineLevel="0" collapsed="false">
      <c r="C14" s="0" t="s">
        <v>417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418</v>
      </c>
      <c r="D15" s="11" t="s">
        <v>70</v>
      </c>
      <c r="E15" s="19" t="n">
        <v>0.1</v>
      </c>
      <c r="J15" s="45" t="n">
        <v>0</v>
      </c>
      <c r="K15" s="45" t="n">
        <v>10</v>
      </c>
      <c r="L15" s="45" t="n">
        <v>20</v>
      </c>
      <c r="M15" s="45" t="n">
        <v>30</v>
      </c>
      <c r="N15" s="45" t="n">
        <v>40</v>
      </c>
      <c r="O15" s="45" t="n">
        <v>50</v>
      </c>
      <c r="P15" s="45" t="n">
        <v>60</v>
      </c>
      <c r="Q15" s="45" t="n">
        <v>70</v>
      </c>
      <c r="R15" s="45" t="n">
        <v>80</v>
      </c>
      <c r="S15" s="45" t="n">
        <v>90</v>
      </c>
      <c r="T15" s="45" t="n">
        <v>100</v>
      </c>
    </row>
    <row r="16" customFormat="false" ht="15" hidden="false" customHeight="false" outlineLevel="0" collapsed="false">
      <c r="C16" s="0" t="s">
        <v>419</v>
      </c>
      <c r="D16" s="11" t="s">
        <v>35</v>
      </c>
      <c r="E16" s="43" t="n">
        <v>0.05</v>
      </c>
      <c r="J16" s="43" t="n">
        <v>0.02</v>
      </c>
      <c r="K16" s="43" t="n">
        <v>0.05</v>
      </c>
      <c r="L16" s="43" t="n">
        <v>0.1</v>
      </c>
      <c r="M16" s="43" t="n">
        <v>0.15</v>
      </c>
      <c r="N16" s="43" t="n">
        <v>0.2</v>
      </c>
      <c r="O16" s="43" t="n">
        <v>0.25</v>
      </c>
      <c r="P16" s="43" t="n">
        <v>0.3</v>
      </c>
      <c r="Q16" s="43" t="n">
        <v>0.35</v>
      </c>
      <c r="R16" s="43" t="n">
        <v>0.4</v>
      </c>
      <c r="S16" s="43" t="n">
        <v>0.5</v>
      </c>
    </row>
    <row r="17" customFormat="false" ht="15" hidden="false" customHeight="false" outlineLevel="0" collapsed="false">
      <c r="C17" s="0" t="s">
        <v>420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421</v>
      </c>
      <c r="D18" s="11" t="s">
        <v>70</v>
      </c>
      <c r="E18" s="19" t="n">
        <v>0.15</v>
      </c>
      <c r="J18" s="45" t="n">
        <v>0</v>
      </c>
      <c r="K18" s="45" t="n">
        <v>10</v>
      </c>
      <c r="L18" s="45" t="n">
        <v>20</v>
      </c>
      <c r="M18" s="45" t="n">
        <v>30</v>
      </c>
      <c r="N18" s="45" t="n">
        <v>40</v>
      </c>
      <c r="O18" s="45" t="n">
        <v>50</v>
      </c>
      <c r="P18" s="45" t="n">
        <v>60</v>
      </c>
      <c r="Q18" s="45" t="n">
        <v>70</v>
      </c>
      <c r="R18" s="45" t="n">
        <v>80</v>
      </c>
      <c r="S18" s="45" t="n">
        <v>90</v>
      </c>
      <c r="T18" s="45" t="n">
        <v>100</v>
      </c>
    </row>
    <row r="19" customFormat="false" ht="15" hidden="false" customHeight="false" outlineLevel="0" collapsed="false">
      <c r="C19" s="0" t="s">
        <v>422</v>
      </c>
      <c r="D19" s="11" t="s">
        <v>13</v>
      </c>
      <c r="J19" s="43" t="n">
        <v>1</v>
      </c>
      <c r="K19" s="43" t="n">
        <v>1.2</v>
      </c>
      <c r="L19" s="43" t="n">
        <v>1.3</v>
      </c>
      <c r="M19" s="43" t="n">
        <v>1.4</v>
      </c>
      <c r="N19" s="43" t="n">
        <v>1.5</v>
      </c>
      <c r="O19" s="43" t="n">
        <v>1.6</v>
      </c>
      <c r="P19" s="43" t="n">
        <v>1.7</v>
      </c>
      <c r="Q19" s="43" t="n">
        <v>1.8</v>
      </c>
      <c r="R19" s="43" t="n">
        <v>1.9</v>
      </c>
      <c r="S19" s="43" t="n">
        <v>2</v>
      </c>
    </row>
    <row r="20" customFormat="false" ht="15" hidden="false" customHeight="false" outlineLevel="0" collapsed="false">
      <c r="C20" s="0" t="s">
        <v>423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424</v>
      </c>
      <c r="D21" s="11" t="s">
        <v>70</v>
      </c>
      <c r="E21" s="19" t="n">
        <v>0.05</v>
      </c>
      <c r="J21" s="45" t="n">
        <v>0</v>
      </c>
      <c r="K21" s="45" t="n">
        <v>10</v>
      </c>
      <c r="L21" s="45" t="n">
        <v>20</v>
      </c>
      <c r="M21" s="45" t="n">
        <v>30</v>
      </c>
      <c r="N21" s="45" t="n">
        <v>40</v>
      </c>
      <c r="O21" s="45" t="n">
        <v>50</v>
      </c>
      <c r="P21" s="45" t="n">
        <v>60</v>
      </c>
      <c r="Q21" s="45" t="n">
        <v>70</v>
      </c>
      <c r="R21" s="45" t="n">
        <v>80</v>
      </c>
      <c r="S21" s="45" t="n">
        <v>90</v>
      </c>
      <c r="T21" s="45" t="n">
        <v>100</v>
      </c>
    </row>
    <row r="22" customFormat="false" ht="15" hidden="false" customHeight="false" outlineLevel="0" collapsed="false">
      <c r="C22" s="0" t="s">
        <v>425</v>
      </c>
      <c r="D22" s="11" t="s">
        <v>70</v>
      </c>
      <c r="E22" s="19" t="n">
        <v>0.05</v>
      </c>
      <c r="J22" s="45" t="n">
        <v>100</v>
      </c>
    </row>
    <row r="23" customFormat="false" ht="15" hidden="false" customHeight="false" outlineLevel="0" collapsed="false">
      <c r="C23" s="0" t="s">
        <v>426</v>
      </c>
      <c r="D23" s="11" t="s">
        <v>70</v>
      </c>
      <c r="E23" s="19" t="n">
        <v>0.1</v>
      </c>
      <c r="J23" s="45" t="n">
        <v>100</v>
      </c>
    </row>
    <row r="24" customFormat="false" ht="15" hidden="false" customHeight="false" outlineLevel="0" collapsed="false">
      <c r="C24" s="0" t="s">
        <v>427</v>
      </c>
      <c r="D24" s="11" t="s">
        <v>70</v>
      </c>
      <c r="E24" s="19" t="n">
        <v>0.05</v>
      </c>
      <c r="J24" s="45" t="n">
        <v>100</v>
      </c>
    </row>
    <row r="25" customFormat="false" ht="15" hidden="false" customHeight="false" outlineLevel="0" collapsed="false">
      <c r="C25" s="0" t="s">
        <v>428</v>
      </c>
      <c r="D25" s="11" t="s">
        <v>70</v>
      </c>
      <c r="E25" s="19" t="n">
        <v>0.15</v>
      </c>
      <c r="J25" s="45" t="n">
        <v>80</v>
      </c>
    </row>
    <row r="26" customFormat="false" ht="15" hidden="false" customHeight="false" outlineLevel="0" collapsed="false">
      <c r="C26" s="0" t="s">
        <v>429</v>
      </c>
      <c r="D26" s="11" t="s">
        <v>70</v>
      </c>
      <c r="J26" s="45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430</v>
      </c>
      <c r="D28" s="9"/>
      <c r="E28" s="9" t="s">
        <v>431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432</v>
      </c>
      <c r="E29" s="8" t="s">
        <v>433</v>
      </c>
      <c r="F29" s="8" t="s">
        <v>247</v>
      </c>
      <c r="I29" s="8" t="s">
        <v>434</v>
      </c>
      <c r="J29" s="8" t="s">
        <v>435</v>
      </c>
      <c r="K29" s="8" t="s">
        <v>436</v>
      </c>
    </row>
    <row r="30" customFormat="false" ht="15" hidden="false" customHeight="false" outlineLevel="0" collapsed="false">
      <c r="C30" s="0" t="s">
        <v>437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438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439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440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441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442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443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444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445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446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447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448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449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450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451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452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453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454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455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456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457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458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459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460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461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462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463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464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465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466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467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468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5" t="n">
        <v>1</v>
      </c>
      <c r="C1" s="13" t="s">
        <v>469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470</v>
      </c>
      <c r="D3" s="11" t="s">
        <v>62</v>
      </c>
      <c r="J3" s="44" t="n">
        <f aca="false">I$4+1</f>
        <v>46204</v>
      </c>
      <c r="K3" s="44" t="n">
        <f aca="false">J$4+1</f>
        <v>46296</v>
      </c>
      <c r="L3" s="44" t="n">
        <f aca="false">K$4+1</f>
        <v>46388</v>
      </c>
      <c r="M3" s="44" t="n">
        <f aca="false">L$4+1</f>
        <v>46478</v>
      </c>
      <c r="N3" s="44" t="n">
        <f aca="false">M$4+1</f>
        <v>46569</v>
      </c>
      <c r="O3" s="44" t="n">
        <f aca="false">N$4+1</f>
        <v>46661</v>
      </c>
      <c r="P3" s="44" t="n">
        <f aca="false">O$4+1</f>
        <v>46753</v>
      </c>
      <c r="Q3" s="44" t="n">
        <f aca="false">P$4+1</f>
        <v>46844</v>
      </c>
      <c r="R3" s="44" t="n">
        <f aca="false">Q$4+1</f>
        <v>46935</v>
      </c>
      <c r="S3" s="44" t="n">
        <f aca="false">R$4+1</f>
        <v>47027</v>
      </c>
      <c r="T3" s="44" t="n">
        <f aca="false">S$4+1</f>
        <v>47119</v>
      </c>
      <c r="U3" s="44" t="n">
        <f aca="false">T$4+1</f>
        <v>47209</v>
      </c>
      <c r="V3" s="44" t="n">
        <f aca="false">U$4+1</f>
        <v>47300</v>
      </c>
      <c r="W3" s="44" t="n">
        <f aca="false">V$4+1</f>
        <v>47392</v>
      </c>
      <c r="X3" s="44" t="n">
        <f aca="false">W$4+1</f>
        <v>47484</v>
      </c>
      <c r="Y3" s="44" t="n">
        <f aca="false">X$4+1</f>
        <v>47574</v>
      </c>
      <c r="Z3" s="44" t="n">
        <f aca="false">Y$4+1</f>
        <v>47665</v>
      </c>
      <c r="AA3" s="44" t="n">
        <f aca="false">Z$4+1</f>
        <v>47757</v>
      </c>
      <c r="AB3" s="44" t="n">
        <f aca="false">AA$4+1</f>
        <v>47849</v>
      </c>
      <c r="AC3" s="44" t="n">
        <f aca="false">AB$4+1</f>
        <v>47939</v>
      </c>
      <c r="AD3" s="44" t="n">
        <f aca="false">AC$4+1</f>
        <v>48030</v>
      </c>
      <c r="AE3" s="44" t="n">
        <f aca="false">AD$4+1</f>
        <v>48122</v>
      </c>
      <c r="AF3" s="44" t="n">
        <f aca="false">AE$4+1</f>
        <v>48214</v>
      </c>
      <c r="AG3" s="44" t="n">
        <f aca="false">AF$4+1</f>
        <v>48305</v>
      </c>
      <c r="AH3" s="44" t="n">
        <f aca="false">AG$4+1</f>
        <v>48396</v>
      </c>
      <c r="AI3" s="44" t="n">
        <f aca="false">AH$4+1</f>
        <v>48488</v>
      </c>
      <c r="AJ3" s="44" t="n">
        <f aca="false">AI$4+1</f>
        <v>48580</v>
      </c>
      <c r="AK3" s="44" t="n">
        <f aca="false">AJ$4+1</f>
        <v>48670</v>
      </c>
      <c r="AL3" s="44" t="n">
        <f aca="false">AK$4+1</f>
        <v>48761</v>
      </c>
      <c r="AM3" s="44" t="n">
        <f aca="false">AL$4+1</f>
        <v>48853</v>
      </c>
      <c r="AN3" s="44" t="n">
        <f aca="false">AM$4+1</f>
        <v>48945</v>
      </c>
      <c r="AO3" s="44" t="n">
        <f aca="false">AN$4+1</f>
        <v>49035</v>
      </c>
      <c r="AP3" s="44" t="n">
        <f aca="false">AO$4+1</f>
        <v>49126</v>
      </c>
      <c r="AQ3" s="44" t="n">
        <f aca="false">AP$4+1</f>
        <v>49218</v>
      </c>
      <c r="AR3" s="44" t="n">
        <f aca="false">AQ$4+1</f>
        <v>49310</v>
      </c>
      <c r="AS3" s="44" t="n">
        <f aca="false">AR$4+1</f>
        <v>49400</v>
      </c>
      <c r="AT3" s="44" t="n">
        <f aca="false">AS$4+1</f>
        <v>49491</v>
      </c>
      <c r="AU3" s="44" t="n">
        <f aca="false">AT$4+1</f>
        <v>49583</v>
      </c>
      <c r="AV3" s="44" t="n">
        <f aca="false">AU$4+1</f>
        <v>49675</v>
      </c>
      <c r="AW3" s="44" t="n">
        <f aca="false">AV$4+1</f>
        <v>49766</v>
      </c>
      <c r="AX3" s="44" t="n">
        <f aca="false">AW$4+1</f>
        <v>49857</v>
      </c>
      <c r="AY3" s="44" t="n">
        <f aca="false">AX$4+1</f>
        <v>49949</v>
      </c>
      <c r="AZ3" s="44" t="n">
        <f aca="false">AY$4+1</f>
        <v>50041</v>
      </c>
      <c r="BA3" s="44" t="n">
        <f aca="false">AZ$4+1</f>
        <v>50131</v>
      </c>
      <c r="BB3" s="44" t="n">
        <f aca="false">BA$4+1</f>
        <v>50222</v>
      </c>
      <c r="BC3" s="44" t="n">
        <f aca="false">BB$4+1</f>
        <v>50314</v>
      </c>
      <c r="BD3" s="44" t="n">
        <f aca="false">BC$4+1</f>
        <v>50406</v>
      </c>
      <c r="BE3" s="44" t="n">
        <f aca="false">BD$4+1</f>
        <v>50496</v>
      </c>
      <c r="BF3" s="44" t="n">
        <f aca="false">BE$4+1</f>
        <v>50587</v>
      </c>
      <c r="BG3" s="44" t="n">
        <f aca="false">BF$4+1</f>
        <v>50679</v>
      </c>
      <c r="BH3" s="44" t="n">
        <f aca="false">BG$4+1</f>
        <v>50771</v>
      </c>
      <c r="BI3" s="44" t="n">
        <f aca="false">BH$4+1</f>
        <v>50861</v>
      </c>
      <c r="BJ3" s="44" t="n">
        <f aca="false">BI$4+1</f>
        <v>50952</v>
      </c>
      <c r="BK3" s="44" t="n">
        <f aca="false">BJ$4+1</f>
        <v>51044</v>
      </c>
      <c r="BL3" s="44" t="n">
        <f aca="false">BK$4+1</f>
        <v>51136</v>
      </c>
      <c r="BM3" s="44" t="n">
        <f aca="false">BL$4+1</f>
        <v>51227</v>
      </c>
      <c r="BN3" s="44" t="n">
        <f aca="false">BM$4+1</f>
        <v>51318</v>
      </c>
      <c r="BO3" s="44" t="n">
        <f aca="false">BN$4+1</f>
        <v>51410</v>
      </c>
      <c r="BP3" s="44" t="n">
        <f aca="false">BO$4+1</f>
        <v>51502</v>
      </c>
      <c r="BQ3" s="44" t="n">
        <f aca="false">BP$4+1</f>
        <v>51592</v>
      </c>
      <c r="BR3" s="44" t="n">
        <f aca="false">BQ$4+1</f>
        <v>51683</v>
      </c>
      <c r="BS3" s="44" t="n">
        <f aca="false">BR$4+1</f>
        <v>51775</v>
      </c>
      <c r="BT3" s="44" t="n">
        <f aca="false">BS$4+1</f>
        <v>51867</v>
      </c>
      <c r="BU3" s="44" t="n">
        <f aca="false">BT$4+1</f>
        <v>51957</v>
      </c>
      <c r="BV3" s="44" t="n">
        <f aca="false">BU$4+1</f>
        <v>52048</v>
      </c>
      <c r="BW3" s="44" t="n">
        <f aca="false">BV$4+1</f>
        <v>52140</v>
      </c>
      <c r="BX3" s="44" t="n">
        <f aca="false">BW$4+1</f>
        <v>52232</v>
      </c>
      <c r="BY3" s="44" t="n">
        <f aca="false">BX$4+1</f>
        <v>52322</v>
      </c>
      <c r="BZ3" s="44" t="n">
        <f aca="false">BY$4+1</f>
        <v>52413</v>
      </c>
      <c r="CA3" s="44" t="n">
        <f aca="false">BZ$4+1</f>
        <v>52505</v>
      </c>
      <c r="CB3" s="44" t="n">
        <f aca="false">CA$4+1</f>
        <v>52597</v>
      </c>
      <c r="CC3" s="44" t="n">
        <f aca="false">CB$4+1</f>
        <v>52688</v>
      </c>
      <c r="CD3" s="44" t="n">
        <f aca="false">CC$4+1</f>
        <v>52779</v>
      </c>
      <c r="CE3" s="44" t="n">
        <f aca="false">CD$4+1</f>
        <v>52871</v>
      </c>
      <c r="CF3" s="44" t="n">
        <f aca="false">CE$4+1</f>
        <v>52963</v>
      </c>
      <c r="CG3" s="44" t="n">
        <f aca="false">CF$4+1</f>
        <v>53053</v>
      </c>
      <c r="CH3" s="44" t="n">
        <f aca="false">CG$4+1</f>
        <v>53144</v>
      </c>
      <c r="CI3" s="44" t="n">
        <f aca="false">CH$4+1</f>
        <v>53236</v>
      </c>
      <c r="CJ3" s="44" t="n">
        <f aca="false">CI$4+1</f>
        <v>53328</v>
      </c>
      <c r="CK3" s="44" t="n">
        <f aca="false">CJ$4+1</f>
        <v>53418</v>
      </c>
      <c r="CL3" s="44" t="n">
        <f aca="false">CK$4+1</f>
        <v>53509</v>
      </c>
      <c r="CM3" s="44" t="n">
        <f aca="false">CL$4+1</f>
        <v>53601</v>
      </c>
      <c r="CN3" s="44" t="n">
        <f aca="false">CM$4+1</f>
        <v>53693</v>
      </c>
      <c r="CO3" s="44" t="n">
        <f aca="false">CN$4+1</f>
        <v>53783</v>
      </c>
      <c r="CP3" s="44" t="n">
        <f aca="false">CO$4+1</f>
        <v>53874</v>
      </c>
      <c r="CQ3" s="44" t="n">
        <f aca="false">CP$4+1</f>
        <v>53966</v>
      </c>
      <c r="CR3" s="44" t="n">
        <f aca="false">CQ$4+1</f>
        <v>54058</v>
      </c>
      <c r="CS3" s="44" t="n">
        <f aca="false">CR$4+1</f>
        <v>54149</v>
      </c>
      <c r="CT3" s="44" t="n">
        <f aca="false">CS$4+1</f>
        <v>54240</v>
      </c>
      <c r="CU3" s="44" t="n">
        <f aca="false">CT$4+1</f>
        <v>54332</v>
      </c>
      <c r="CV3" s="44" t="n">
        <f aca="false">CU$4+1</f>
        <v>54424</v>
      </c>
      <c r="CW3" s="44" t="n">
        <f aca="false">CV$4+1</f>
        <v>54514</v>
      </c>
      <c r="CX3" s="44" t="n">
        <f aca="false">CW$4+1</f>
        <v>54605</v>
      </c>
      <c r="CY3" s="44" t="n">
        <f aca="false">CX$4+1</f>
        <v>54697</v>
      </c>
      <c r="CZ3" s="44" t="n">
        <f aca="false">CY$4+1</f>
        <v>54789</v>
      </c>
      <c r="DA3" s="44" t="n">
        <f aca="false">CZ$4+1</f>
        <v>54879</v>
      </c>
      <c r="DB3" s="44" t="n">
        <f aca="false">DA$4+1</f>
        <v>54970</v>
      </c>
      <c r="DC3" s="44" t="n">
        <f aca="false">DB$4+1</f>
        <v>55062</v>
      </c>
      <c r="DD3" s="44" t="n">
        <f aca="false">DC$4+1</f>
        <v>55154</v>
      </c>
      <c r="DE3" s="44" t="n">
        <f aca="false">DD$4+1</f>
        <v>55244</v>
      </c>
      <c r="DF3" s="44" t="n">
        <f aca="false">DE$4+1</f>
        <v>55335</v>
      </c>
      <c r="DG3" s="44" t="n">
        <f aca="false">DF$4+1</f>
        <v>55427</v>
      </c>
      <c r="DH3" s="44" t="n">
        <f aca="false">DG$4+1</f>
        <v>55519</v>
      </c>
      <c r="DI3" s="44" t="n">
        <f aca="false">DH$4+1</f>
        <v>55610</v>
      </c>
      <c r="DJ3" s="44" t="n">
        <f aca="false">DI$4+1</f>
        <v>55701</v>
      </c>
      <c r="DK3" s="44" t="n">
        <f aca="false">DJ$4+1</f>
        <v>55793</v>
      </c>
      <c r="DL3" s="44" t="n">
        <f aca="false">DK$4+1</f>
        <v>55885</v>
      </c>
      <c r="DM3" s="44" t="n">
        <f aca="false">DL$4+1</f>
        <v>55975</v>
      </c>
      <c r="DN3" s="44" t="n">
        <f aca="false">DM$4+1</f>
        <v>56066</v>
      </c>
      <c r="DO3" s="44" t="n">
        <f aca="false">DN$4+1</f>
        <v>56158</v>
      </c>
      <c r="DP3" s="44" t="n">
        <f aca="false">DO$4+1</f>
        <v>56250</v>
      </c>
      <c r="DQ3" s="44" t="n">
        <f aca="false">DP$4+1</f>
        <v>56340</v>
      </c>
      <c r="DR3" s="44" t="n">
        <f aca="false">DQ$4+1</f>
        <v>56431</v>
      </c>
      <c r="DS3" s="44" t="n">
        <f aca="false">DR$4+1</f>
        <v>56523</v>
      </c>
      <c r="DT3" s="44" t="n">
        <f aca="false">DS$4+1</f>
        <v>56615</v>
      </c>
      <c r="DU3" s="44" t="n">
        <f aca="false">DT$4+1</f>
        <v>56705</v>
      </c>
      <c r="DV3" s="44" t="n">
        <f aca="false">DU$4+1</f>
        <v>56796</v>
      </c>
      <c r="DW3" s="44" t="n">
        <f aca="false">DV$4+1</f>
        <v>56888</v>
      </c>
      <c r="DX3" s="44" t="n">
        <f aca="false">DW$4+1</f>
        <v>56980</v>
      </c>
      <c r="DY3" s="44" t="n">
        <f aca="false">DX$4+1</f>
        <v>57071</v>
      </c>
      <c r="DZ3" s="44" t="n">
        <f aca="false">DY$4+1</f>
        <v>57162</v>
      </c>
      <c r="EA3" s="44" t="n">
        <f aca="false">DZ$4+1</f>
        <v>57254</v>
      </c>
      <c r="EB3" s="44" t="n">
        <f aca="false">EA$4+1</f>
        <v>57346</v>
      </c>
      <c r="EC3" s="44" t="n">
        <f aca="false">EB$4+1</f>
        <v>57436</v>
      </c>
      <c r="ED3" s="44" t="n">
        <f aca="false">EC$4+1</f>
        <v>57527</v>
      </c>
      <c r="EE3" s="44" t="n">
        <f aca="false">ED$4+1</f>
        <v>57619</v>
      </c>
      <c r="EF3" s="44" t="n">
        <f aca="false">EE$4+1</f>
        <v>57711</v>
      </c>
      <c r="EG3" s="44" t="n">
        <f aca="false">EF$4+1</f>
        <v>57801</v>
      </c>
      <c r="EH3" s="44" t="n">
        <f aca="false">EG$4+1</f>
        <v>57892</v>
      </c>
      <c r="EI3" s="44" t="n">
        <f aca="false">EH$4+1</f>
        <v>57984</v>
      </c>
      <c r="EJ3" s="44" t="n">
        <f aca="false">EI$4+1</f>
        <v>58076</v>
      </c>
      <c r="EK3" s="44" t="n">
        <f aca="false">EJ$4+1</f>
        <v>58166</v>
      </c>
      <c r="EL3" s="44" t="n">
        <f aca="false">EK$4+1</f>
        <v>58257</v>
      </c>
      <c r="EM3" s="44" t="n">
        <f aca="false">EL$4+1</f>
        <v>58349</v>
      </c>
      <c r="EN3" s="44" t="n">
        <f aca="false">EM$4+1</f>
        <v>58441</v>
      </c>
      <c r="EO3" s="44" t="n">
        <f aca="false">EN$4+1</f>
        <v>58532</v>
      </c>
      <c r="EP3" s="44" t="n">
        <f aca="false">EO$4+1</f>
        <v>58623</v>
      </c>
      <c r="EQ3" s="44" t="n">
        <f aca="false">EP$4+1</f>
        <v>58715</v>
      </c>
      <c r="ER3" s="44" t="n">
        <f aca="false">EQ$4+1</f>
        <v>58807</v>
      </c>
      <c r="ES3" s="44" t="n">
        <f aca="false">ER$4+1</f>
        <v>58897</v>
      </c>
      <c r="ET3" s="44" t="n">
        <f aca="false">ES$4+1</f>
        <v>58988</v>
      </c>
    </row>
    <row r="4" customFormat="false" ht="15" hidden="false" customHeight="false" outlineLevel="0" collapsed="false">
      <c r="C4" s="0" t="s">
        <v>471</v>
      </c>
      <c r="D4" s="11" t="s">
        <v>62</v>
      </c>
      <c r="I4" s="44" t="n">
        <f aca="false">In_Model_Start-1</f>
        <v>46203</v>
      </c>
      <c r="J4" s="51" t="n">
        <f aca="false">EOMONTH(J$3,Months_Per_Period-1)</f>
        <v>46295</v>
      </c>
      <c r="K4" s="51" t="n">
        <f aca="false">EOMONTH(K$3,Months_Per_Period-1)</f>
        <v>46387</v>
      </c>
      <c r="L4" s="51" t="n">
        <f aca="false">EOMONTH(L$3,Months_Per_Period-1)</f>
        <v>46477</v>
      </c>
      <c r="M4" s="51" t="n">
        <f aca="false">EOMONTH(M$3,Months_Per_Period-1)</f>
        <v>46568</v>
      </c>
      <c r="N4" s="51" t="n">
        <f aca="false">EOMONTH(N$3,Months_Per_Period-1)</f>
        <v>46660</v>
      </c>
      <c r="O4" s="51" t="n">
        <f aca="false">EOMONTH(O$3,Months_Per_Period-1)</f>
        <v>46752</v>
      </c>
      <c r="P4" s="51" t="n">
        <f aca="false">EOMONTH(P$3,Months_Per_Period-1)</f>
        <v>46843</v>
      </c>
      <c r="Q4" s="51" t="n">
        <f aca="false">EOMONTH(Q$3,Months_Per_Period-1)</f>
        <v>46934</v>
      </c>
      <c r="R4" s="51" t="n">
        <f aca="false">EOMONTH(R$3,Months_Per_Period-1)</f>
        <v>47026</v>
      </c>
      <c r="S4" s="51" t="n">
        <f aca="false">EOMONTH(S$3,Months_Per_Period-1)</f>
        <v>47118</v>
      </c>
      <c r="T4" s="51" t="n">
        <f aca="false">EOMONTH(T$3,Months_Per_Period-1)</f>
        <v>47208</v>
      </c>
      <c r="U4" s="51" t="n">
        <f aca="false">EOMONTH(U$3,Months_Per_Period-1)</f>
        <v>47299</v>
      </c>
      <c r="V4" s="51" t="n">
        <f aca="false">EOMONTH(V$3,Months_Per_Period-1)</f>
        <v>47391</v>
      </c>
      <c r="W4" s="51" t="n">
        <f aca="false">EOMONTH(W$3,Months_Per_Period-1)</f>
        <v>47483</v>
      </c>
      <c r="X4" s="51" t="n">
        <f aca="false">EOMONTH(X$3,Months_Per_Period-1)</f>
        <v>47573</v>
      </c>
      <c r="Y4" s="51" t="n">
        <f aca="false">EOMONTH(Y$3,Months_Per_Period-1)</f>
        <v>47664</v>
      </c>
      <c r="Z4" s="51" t="n">
        <f aca="false">EOMONTH(Z$3,Months_Per_Period-1)</f>
        <v>47756</v>
      </c>
      <c r="AA4" s="51" t="n">
        <f aca="false">EOMONTH(AA$3,Months_Per_Period-1)</f>
        <v>47848</v>
      </c>
      <c r="AB4" s="51" t="n">
        <f aca="false">EOMONTH(AB$3,Months_Per_Period-1)</f>
        <v>47938</v>
      </c>
      <c r="AC4" s="51" t="n">
        <f aca="false">EOMONTH(AC$3,Months_Per_Period-1)</f>
        <v>48029</v>
      </c>
      <c r="AD4" s="51" t="n">
        <f aca="false">EOMONTH(AD$3,Months_Per_Period-1)</f>
        <v>48121</v>
      </c>
      <c r="AE4" s="51" t="n">
        <f aca="false">EOMONTH(AE$3,Months_Per_Period-1)</f>
        <v>48213</v>
      </c>
      <c r="AF4" s="51" t="n">
        <f aca="false">EOMONTH(AF$3,Months_Per_Period-1)</f>
        <v>48304</v>
      </c>
      <c r="AG4" s="51" t="n">
        <f aca="false">EOMONTH(AG$3,Months_Per_Period-1)</f>
        <v>48395</v>
      </c>
      <c r="AH4" s="51" t="n">
        <f aca="false">EOMONTH(AH$3,Months_Per_Period-1)</f>
        <v>48487</v>
      </c>
      <c r="AI4" s="51" t="n">
        <f aca="false">EOMONTH(AI$3,Months_Per_Period-1)</f>
        <v>48579</v>
      </c>
      <c r="AJ4" s="51" t="n">
        <f aca="false">EOMONTH(AJ$3,Months_Per_Period-1)</f>
        <v>48669</v>
      </c>
      <c r="AK4" s="51" t="n">
        <f aca="false">EOMONTH(AK$3,Months_Per_Period-1)</f>
        <v>48760</v>
      </c>
      <c r="AL4" s="51" t="n">
        <f aca="false">EOMONTH(AL$3,Months_Per_Period-1)</f>
        <v>48852</v>
      </c>
      <c r="AM4" s="51" t="n">
        <f aca="false">EOMONTH(AM$3,Months_Per_Period-1)</f>
        <v>48944</v>
      </c>
      <c r="AN4" s="51" t="n">
        <f aca="false">EOMONTH(AN$3,Months_Per_Period-1)</f>
        <v>49034</v>
      </c>
      <c r="AO4" s="51" t="n">
        <f aca="false">EOMONTH(AO$3,Months_Per_Period-1)</f>
        <v>49125</v>
      </c>
      <c r="AP4" s="51" t="n">
        <f aca="false">EOMONTH(AP$3,Months_Per_Period-1)</f>
        <v>49217</v>
      </c>
      <c r="AQ4" s="51" t="n">
        <f aca="false">EOMONTH(AQ$3,Months_Per_Period-1)</f>
        <v>49309</v>
      </c>
      <c r="AR4" s="51" t="n">
        <f aca="false">EOMONTH(AR$3,Months_Per_Period-1)</f>
        <v>49399</v>
      </c>
      <c r="AS4" s="51" t="n">
        <f aca="false">EOMONTH(AS$3,Months_Per_Period-1)</f>
        <v>49490</v>
      </c>
      <c r="AT4" s="51" t="n">
        <f aca="false">EOMONTH(AT$3,Months_Per_Period-1)</f>
        <v>49582</v>
      </c>
      <c r="AU4" s="51" t="n">
        <f aca="false">EOMONTH(AU$3,Months_Per_Period-1)</f>
        <v>49674</v>
      </c>
      <c r="AV4" s="51" t="n">
        <f aca="false">EOMONTH(AV$3,Months_Per_Period-1)</f>
        <v>49765</v>
      </c>
      <c r="AW4" s="51" t="n">
        <f aca="false">EOMONTH(AW$3,Months_Per_Period-1)</f>
        <v>49856</v>
      </c>
      <c r="AX4" s="51" t="n">
        <f aca="false">EOMONTH(AX$3,Months_Per_Period-1)</f>
        <v>49948</v>
      </c>
      <c r="AY4" s="51" t="n">
        <f aca="false">EOMONTH(AY$3,Months_Per_Period-1)</f>
        <v>50040</v>
      </c>
      <c r="AZ4" s="51" t="n">
        <f aca="false">EOMONTH(AZ$3,Months_Per_Period-1)</f>
        <v>50130</v>
      </c>
      <c r="BA4" s="51" t="n">
        <f aca="false">EOMONTH(BA$3,Months_Per_Period-1)</f>
        <v>50221</v>
      </c>
      <c r="BB4" s="51" t="n">
        <f aca="false">EOMONTH(BB$3,Months_Per_Period-1)</f>
        <v>50313</v>
      </c>
      <c r="BC4" s="51" t="n">
        <f aca="false">EOMONTH(BC$3,Months_Per_Period-1)</f>
        <v>50405</v>
      </c>
      <c r="BD4" s="51" t="n">
        <f aca="false">EOMONTH(BD$3,Months_Per_Period-1)</f>
        <v>50495</v>
      </c>
      <c r="BE4" s="51" t="n">
        <f aca="false">EOMONTH(BE$3,Months_Per_Period-1)</f>
        <v>50586</v>
      </c>
      <c r="BF4" s="51" t="n">
        <f aca="false">EOMONTH(BF$3,Months_Per_Period-1)</f>
        <v>50678</v>
      </c>
      <c r="BG4" s="51" t="n">
        <f aca="false">EOMONTH(BG$3,Months_Per_Period-1)</f>
        <v>50770</v>
      </c>
      <c r="BH4" s="51" t="n">
        <f aca="false">EOMONTH(BH$3,Months_Per_Period-1)</f>
        <v>50860</v>
      </c>
      <c r="BI4" s="51" t="n">
        <f aca="false">EOMONTH(BI$3,Months_Per_Period-1)</f>
        <v>50951</v>
      </c>
      <c r="BJ4" s="51" t="n">
        <f aca="false">EOMONTH(BJ$3,Months_Per_Period-1)</f>
        <v>51043</v>
      </c>
      <c r="BK4" s="51" t="n">
        <f aca="false">EOMONTH(BK$3,Months_Per_Period-1)</f>
        <v>51135</v>
      </c>
      <c r="BL4" s="51" t="n">
        <f aca="false">EOMONTH(BL$3,Months_Per_Period-1)</f>
        <v>51226</v>
      </c>
      <c r="BM4" s="51" t="n">
        <f aca="false">EOMONTH(BM$3,Months_Per_Period-1)</f>
        <v>51317</v>
      </c>
      <c r="BN4" s="51" t="n">
        <f aca="false">EOMONTH(BN$3,Months_Per_Period-1)</f>
        <v>51409</v>
      </c>
      <c r="BO4" s="51" t="n">
        <f aca="false">EOMONTH(BO$3,Months_Per_Period-1)</f>
        <v>51501</v>
      </c>
      <c r="BP4" s="51" t="n">
        <f aca="false">EOMONTH(BP$3,Months_Per_Period-1)</f>
        <v>51591</v>
      </c>
      <c r="BQ4" s="51" t="n">
        <f aca="false">EOMONTH(BQ$3,Months_Per_Period-1)</f>
        <v>51682</v>
      </c>
      <c r="BR4" s="51" t="n">
        <f aca="false">EOMONTH(BR$3,Months_Per_Period-1)</f>
        <v>51774</v>
      </c>
      <c r="BS4" s="51" t="n">
        <f aca="false">EOMONTH(BS$3,Months_Per_Period-1)</f>
        <v>51866</v>
      </c>
      <c r="BT4" s="51" t="n">
        <f aca="false">EOMONTH(BT$3,Months_Per_Period-1)</f>
        <v>51956</v>
      </c>
      <c r="BU4" s="51" t="n">
        <f aca="false">EOMONTH(BU$3,Months_Per_Period-1)</f>
        <v>52047</v>
      </c>
      <c r="BV4" s="51" t="n">
        <f aca="false">EOMONTH(BV$3,Months_Per_Period-1)</f>
        <v>52139</v>
      </c>
      <c r="BW4" s="51" t="n">
        <f aca="false">EOMONTH(BW$3,Months_Per_Period-1)</f>
        <v>52231</v>
      </c>
      <c r="BX4" s="51" t="n">
        <f aca="false">EOMONTH(BX$3,Months_Per_Period-1)</f>
        <v>52321</v>
      </c>
      <c r="BY4" s="51" t="n">
        <f aca="false">EOMONTH(BY$3,Months_Per_Period-1)</f>
        <v>52412</v>
      </c>
      <c r="BZ4" s="51" t="n">
        <f aca="false">EOMONTH(BZ$3,Months_Per_Period-1)</f>
        <v>52504</v>
      </c>
      <c r="CA4" s="51" t="n">
        <f aca="false">EOMONTH(CA$3,Months_Per_Period-1)</f>
        <v>52596</v>
      </c>
      <c r="CB4" s="51" t="n">
        <f aca="false">EOMONTH(CB$3,Months_Per_Period-1)</f>
        <v>52687</v>
      </c>
      <c r="CC4" s="51" t="n">
        <f aca="false">EOMONTH(CC$3,Months_Per_Period-1)</f>
        <v>52778</v>
      </c>
      <c r="CD4" s="51" t="n">
        <f aca="false">EOMONTH(CD$3,Months_Per_Period-1)</f>
        <v>52870</v>
      </c>
      <c r="CE4" s="51" t="n">
        <f aca="false">EOMONTH(CE$3,Months_Per_Period-1)</f>
        <v>52962</v>
      </c>
      <c r="CF4" s="51" t="n">
        <f aca="false">EOMONTH(CF$3,Months_Per_Period-1)</f>
        <v>53052</v>
      </c>
      <c r="CG4" s="51" t="n">
        <f aca="false">EOMONTH(CG$3,Months_Per_Period-1)</f>
        <v>53143</v>
      </c>
      <c r="CH4" s="51" t="n">
        <f aca="false">EOMONTH(CH$3,Months_Per_Period-1)</f>
        <v>53235</v>
      </c>
      <c r="CI4" s="51" t="n">
        <f aca="false">EOMONTH(CI$3,Months_Per_Period-1)</f>
        <v>53327</v>
      </c>
      <c r="CJ4" s="51" t="n">
        <f aca="false">EOMONTH(CJ$3,Months_Per_Period-1)</f>
        <v>53417</v>
      </c>
      <c r="CK4" s="51" t="n">
        <f aca="false">EOMONTH(CK$3,Months_Per_Period-1)</f>
        <v>53508</v>
      </c>
      <c r="CL4" s="51" t="n">
        <f aca="false">EOMONTH(CL$3,Months_Per_Period-1)</f>
        <v>53600</v>
      </c>
      <c r="CM4" s="51" t="n">
        <f aca="false">EOMONTH(CM$3,Months_Per_Period-1)</f>
        <v>53692</v>
      </c>
      <c r="CN4" s="51" t="n">
        <f aca="false">EOMONTH(CN$3,Months_Per_Period-1)</f>
        <v>53782</v>
      </c>
      <c r="CO4" s="51" t="n">
        <f aca="false">EOMONTH(CO$3,Months_Per_Period-1)</f>
        <v>53873</v>
      </c>
      <c r="CP4" s="51" t="n">
        <f aca="false">EOMONTH(CP$3,Months_Per_Period-1)</f>
        <v>53965</v>
      </c>
      <c r="CQ4" s="51" t="n">
        <f aca="false">EOMONTH(CQ$3,Months_Per_Period-1)</f>
        <v>54057</v>
      </c>
      <c r="CR4" s="51" t="n">
        <f aca="false">EOMONTH(CR$3,Months_Per_Period-1)</f>
        <v>54148</v>
      </c>
      <c r="CS4" s="51" t="n">
        <f aca="false">EOMONTH(CS$3,Months_Per_Period-1)</f>
        <v>54239</v>
      </c>
      <c r="CT4" s="51" t="n">
        <f aca="false">EOMONTH(CT$3,Months_Per_Period-1)</f>
        <v>54331</v>
      </c>
      <c r="CU4" s="51" t="n">
        <f aca="false">EOMONTH(CU$3,Months_Per_Period-1)</f>
        <v>54423</v>
      </c>
      <c r="CV4" s="51" t="n">
        <f aca="false">EOMONTH(CV$3,Months_Per_Period-1)</f>
        <v>54513</v>
      </c>
      <c r="CW4" s="51" t="n">
        <f aca="false">EOMONTH(CW$3,Months_Per_Period-1)</f>
        <v>54604</v>
      </c>
      <c r="CX4" s="51" t="n">
        <f aca="false">EOMONTH(CX$3,Months_Per_Period-1)</f>
        <v>54696</v>
      </c>
      <c r="CY4" s="51" t="n">
        <f aca="false">EOMONTH(CY$3,Months_Per_Period-1)</f>
        <v>54788</v>
      </c>
      <c r="CZ4" s="51" t="n">
        <f aca="false">EOMONTH(CZ$3,Months_Per_Period-1)</f>
        <v>54878</v>
      </c>
      <c r="DA4" s="51" t="n">
        <f aca="false">EOMONTH(DA$3,Months_Per_Period-1)</f>
        <v>54969</v>
      </c>
      <c r="DB4" s="51" t="n">
        <f aca="false">EOMONTH(DB$3,Months_Per_Period-1)</f>
        <v>55061</v>
      </c>
      <c r="DC4" s="51" t="n">
        <f aca="false">EOMONTH(DC$3,Months_Per_Period-1)</f>
        <v>55153</v>
      </c>
      <c r="DD4" s="51" t="n">
        <f aca="false">EOMONTH(DD$3,Months_Per_Period-1)</f>
        <v>55243</v>
      </c>
      <c r="DE4" s="51" t="n">
        <f aca="false">EOMONTH(DE$3,Months_Per_Period-1)</f>
        <v>55334</v>
      </c>
      <c r="DF4" s="51" t="n">
        <f aca="false">EOMONTH(DF$3,Months_Per_Period-1)</f>
        <v>55426</v>
      </c>
      <c r="DG4" s="51" t="n">
        <f aca="false">EOMONTH(DG$3,Months_Per_Period-1)</f>
        <v>55518</v>
      </c>
      <c r="DH4" s="51" t="n">
        <f aca="false">EOMONTH(DH$3,Months_Per_Period-1)</f>
        <v>55609</v>
      </c>
      <c r="DI4" s="51" t="n">
        <f aca="false">EOMONTH(DI$3,Months_Per_Period-1)</f>
        <v>55700</v>
      </c>
      <c r="DJ4" s="51" t="n">
        <f aca="false">EOMONTH(DJ$3,Months_Per_Period-1)</f>
        <v>55792</v>
      </c>
      <c r="DK4" s="51" t="n">
        <f aca="false">EOMONTH(DK$3,Months_Per_Period-1)</f>
        <v>55884</v>
      </c>
      <c r="DL4" s="51" t="n">
        <f aca="false">EOMONTH(DL$3,Months_Per_Period-1)</f>
        <v>55974</v>
      </c>
      <c r="DM4" s="51" t="n">
        <f aca="false">EOMONTH(DM$3,Months_Per_Period-1)</f>
        <v>56065</v>
      </c>
      <c r="DN4" s="51" t="n">
        <f aca="false">EOMONTH(DN$3,Months_Per_Period-1)</f>
        <v>56157</v>
      </c>
      <c r="DO4" s="51" t="n">
        <f aca="false">EOMONTH(DO$3,Months_Per_Period-1)</f>
        <v>56249</v>
      </c>
      <c r="DP4" s="51" t="n">
        <f aca="false">EOMONTH(DP$3,Months_Per_Period-1)</f>
        <v>56339</v>
      </c>
      <c r="DQ4" s="51" t="n">
        <f aca="false">EOMONTH(DQ$3,Months_Per_Period-1)</f>
        <v>56430</v>
      </c>
      <c r="DR4" s="51" t="n">
        <f aca="false">EOMONTH(DR$3,Months_Per_Period-1)</f>
        <v>56522</v>
      </c>
      <c r="DS4" s="51" t="n">
        <f aca="false">EOMONTH(DS$3,Months_Per_Period-1)</f>
        <v>56614</v>
      </c>
      <c r="DT4" s="51" t="n">
        <f aca="false">EOMONTH(DT$3,Months_Per_Period-1)</f>
        <v>56704</v>
      </c>
      <c r="DU4" s="51" t="n">
        <f aca="false">EOMONTH(DU$3,Months_Per_Period-1)</f>
        <v>56795</v>
      </c>
      <c r="DV4" s="51" t="n">
        <f aca="false">EOMONTH(DV$3,Months_Per_Period-1)</f>
        <v>56887</v>
      </c>
      <c r="DW4" s="51" t="n">
        <f aca="false">EOMONTH(DW$3,Months_Per_Period-1)</f>
        <v>56979</v>
      </c>
      <c r="DX4" s="51" t="n">
        <f aca="false">EOMONTH(DX$3,Months_Per_Period-1)</f>
        <v>57070</v>
      </c>
      <c r="DY4" s="51" t="n">
        <f aca="false">EOMONTH(DY$3,Months_Per_Period-1)</f>
        <v>57161</v>
      </c>
      <c r="DZ4" s="51" t="n">
        <f aca="false">EOMONTH(DZ$3,Months_Per_Period-1)</f>
        <v>57253</v>
      </c>
      <c r="EA4" s="51" t="n">
        <f aca="false">EOMONTH(EA$3,Months_Per_Period-1)</f>
        <v>57345</v>
      </c>
      <c r="EB4" s="51" t="n">
        <f aca="false">EOMONTH(EB$3,Months_Per_Period-1)</f>
        <v>57435</v>
      </c>
      <c r="EC4" s="51" t="n">
        <f aca="false">EOMONTH(EC$3,Months_Per_Period-1)</f>
        <v>57526</v>
      </c>
      <c r="ED4" s="51" t="n">
        <f aca="false">EOMONTH(ED$3,Months_Per_Period-1)</f>
        <v>57618</v>
      </c>
      <c r="EE4" s="51" t="n">
        <f aca="false">EOMONTH(EE$3,Months_Per_Period-1)</f>
        <v>57710</v>
      </c>
      <c r="EF4" s="51" t="n">
        <f aca="false">EOMONTH(EF$3,Months_Per_Period-1)</f>
        <v>57800</v>
      </c>
      <c r="EG4" s="51" t="n">
        <f aca="false">EOMONTH(EG$3,Months_Per_Period-1)</f>
        <v>57891</v>
      </c>
      <c r="EH4" s="51" t="n">
        <f aca="false">EOMONTH(EH$3,Months_Per_Period-1)</f>
        <v>57983</v>
      </c>
      <c r="EI4" s="51" t="n">
        <f aca="false">EOMONTH(EI$3,Months_Per_Period-1)</f>
        <v>58075</v>
      </c>
      <c r="EJ4" s="51" t="n">
        <f aca="false">EOMONTH(EJ$3,Months_Per_Period-1)</f>
        <v>58165</v>
      </c>
      <c r="EK4" s="51" t="n">
        <f aca="false">EOMONTH(EK$3,Months_Per_Period-1)</f>
        <v>58256</v>
      </c>
      <c r="EL4" s="51" t="n">
        <f aca="false">EOMONTH(EL$3,Months_Per_Period-1)</f>
        <v>58348</v>
      </c>
      <c r="EM4" s="51" t="n">
        <f aca="false">EOMONTH(EM$3,Months_Per_Period-1)</f>
        <v>58440</v>
      </c>
      <c r="EN4" s="51" t="n">
        <f aca="false">EOMONTH(EN$3,Months_Per_Period-1)</f>
        <v>58531</v>
      </c>
      <c r="EO4" s="51" t="n">
        <f aca="false">EOMONTH(EO$3,Months_Per_Period-1)</f>
        <v>58622</v>
      </c>
      <c r="EP4" s="51" t="n">
        <f aca="false">EOMONTH(EP$3,Months_Per_Period-1)</f>
        <v>58714</v>
      </c>
      <c r="EQ4" s="51" t="n">
        <f aca="false">EOMONTH(EQ$3,Months_Per_Period-1)</f>
        <v>58806</v>
      </c>
      <c r="ER4" s="51" t="n">
        <f aca="false">EOMONTH(ER$3,Months_Per_Period-1)</f>
        <v>58896</v>
      </c>
      <c r="ES4" s="51" t="n">
        <f aca="false">EOMONTH(ES$3,Months_Per_Period-1)</f>
        <v>58987</v>
      </c>
      <c r="ET4" s="51" t="n">
        <f aca="false">EOMONTH(ET$3,Months_Per_Period-1)</f>
        <v>59079</v>
      </c>
    </row>
    <row r="5" customFormat="false" ht="15" hidden="false" customHeight="false" outlineLevel="0" collapsed="false">
      <c r="C5" s="0" t="s">
        <v>472</v>
      </c>
      <c r="D5" s="11" t="s">
        <v>209</v>
      </c>
      <c r="J5" s="42" t="n">
        <f aca="false">J$4-J$3+1</f>
        <v>92</v>
      </c>
      <c r="K5" s="42" t="n">
        <f aca="false">K$4-K$3+1</f>
        <v>92</v>
      </c>
      <c r="L5" s="42" t="n">
        <f aca="false">L$4-L$3+1</f>
        <v>90</v>
      </c>
      <c r="M5" s="42" t="n">
        <f aca="false">M$4-M$3+1</f>
        <v>91</v>
      </c>
      <c r="N5" s="42" t="n">
        <f aca="false">N$4-N$3+1</f>
        <v>92</v>
      </c>
      <c r="O5" s="42" t="n">
        <f aca="false">O$4-O$3+1</f>
        <v>92</v>
      </c>
      <c r="P5" s="42" t="n">
        <f aca="false">P$4-P$3+1</f>
        <v>91</v>
      </c>
      <c r="Q5" s="42" t="n">
        <f aca="false">Q$4-Q$3+1</f>
        <v>91</v>
      </c>
      <c r="R5" s="42" t="n">
        <f aca="false">R$4-R$3+1</f>
        <v>92</v>
      </c>
      <c r="S5" s="42" t="n">
        <f aca="false">S$4-S$3+1</f>
        <v>92</v>
      </c>
      <c r="T5" s="42" t="n">
        <f aca="false">T$4-T$3+1</f>
        <v>90</v>
      </c>
      <c r="U5" s="42" t="n">
        <f aca="false">U$4-U$3+1</f>
        <v>91</v>
      </c>
      <c r="V5" s="42" t="n">
        <f aca="false">V$4-V$3+1</f>
        <v>92</v>
      </c>
      <c r="W5" s="42" t="n">
        <f aca="false">W$4-W$3+1</f>
        <v>92</v>
      </c>
      <c r="X5" s="42" t="n">
        <f aca="false">X$4-X$3+1</f>
        <v>90</v>
      </c>
      <c r="Y5" s="42" t="n">
        <f aca="false">Y$4-Y$3+1</f>
        <v>91</v>
      </c>
      <c r="Z5" s="42" t="n">
        <f aca="false">Z$4-Z$3+1</f>
        <v>92</v>
      </c>
      <c r="AA5" s="42" t="n">
        <f aca="false">AA$4-AA$3+1</f>
        <v>92</v>
      </c>
      <c r="AB5" s="42" t="n">
        <f aca="false">AB$4-AB$3+1</f>
        <v>90</v>
      </c>
      <c r="AC5" s="42" t="n">
        <f aca="false">AC$4-AC$3+1</f>
        <v>91</v>
      </c>
      <c r="AD5" s="42" t="n">
        <f aca="false">AD$4-AD$3+1</f>
        <v>92</v>
      </c>
      <c r="AE5" s="42" t="n">
        <f aca="false">AE$4-AE$3+1</f>
        <v>92</v>
      </c>
      <c r="AF5" s="42" t="n">
        <f aca="false">AF$4-AF$3+1</f>
        <v>91</v>
      </c>
      <c r="AG5" s="42" t="n">
        <f aca="false">AG$4-AG$3+1</f>
        <v>91</v>
      </c>
      <c r="AH5" s="42" t="n">
        <f aca="false">AH$4-AH$3+1</f>
        <v>92</v>
      </c>
      <c r="AI5" s="42" t="n">
        <f aca="false">AI$4-AI$3+1</f>
        <v>92</v>
      </c>
      <c r="AJ5" s="42" t="n">
        <f aca="false">AJ$4-AJ$3+1</f>
        <v>90</v>
      </c>
      <c r="AK5" s="42" t="n">
        <f aca="false">AK$4-AK$3+1</f>
        <v>91</v>
      </c>
      <c r="AL5" s="42" t="n">
        <f aca="false">AL$4-AL$3+1</f>
        <v>92</v>
      </c>
      <c r="AM5" s="42" t="n">
        <f aca="false">AM$4-AM$3+1</f>
        <v>92</v>
      </c>
      <c r="AN5" s="42" t="n">
        <f aca="false">AN$4-AN$3+1</f>
        <v>90</v>
      </c>
      <c r="AO5" s="42" t="n">
        <f aca="false">AO$4-AO$3+1</f>
        <v>91</v>
      </c>
      <c r="AP5" s="42" t="n">
        <f aca="false">AP$4-AP$3+1</f>
        <v>92</v>
      </c>
      <c r="AQ5" s="42" t="n">
        <f aca="false">AQ$4-AQ$3+1</f>
        <v>92</v>
      </c>
      <c r="AR5" s="42" t="n">
        <f aca="false">AR$4-AR$3+1</f>
        <v>90</v>
      </c>
      <c r="AS5" s="42" t="n">
        <f aca="false">AS$4-AS$3+1</f>
        <v>91</v>
      </c>
      <c r="AT5" s="42" t="n">
        <f aca="false">AT$4-AT$3+1</f>
        <v>92</v>
      </c>
      <c r="AU5" s="42" t="n">
        <f aca="false">AU$4-AU$3+1</f>
        <v>92</v>
      </c>
      <c r="AV5" s="42" t="n">
        <f aca="false">AV$4-AV$3+1</f>
        <v>91</v>
      </c>
      <c r="AW5" s="42" t="n">
        <f aca="false">AW$4-AW$3+1</f>
        <v>91</v>
      </c>
      <c r="AX5" s="42" t="n">
        <f aca="false">AX$4-AX$3+1</f>
        <v>92</v>
      </c>
      <c r="AY5" s="42" t="n">
        <f aca="false">AY$4-AY$3+1</f>
        <v>92</v>
      </c>
      <c r="AZ5" s="42" t="n">
        <f aca="false">AZ$4-AZ$3+1</f>
        <v>90</v>
      </c>
      <c r="BA5" s="42" t="n">
        <f aca="false">BA$4-BA$3+1</f>
        <v>91</v>
      </c>
      <c r="BB5" s="42" t="n">
        <f aca="false">BB$4-BB$3+1</f>
        <v>92</v>
      </c>
      <c r="BC5" s="42" t="n">
        <f aca="false">BC$4-BC$3+1</f>
        <v>92</v>
      </c>
      <c r="BD5" s="42" t="n">
        <f aca="false">BD$4-BD$3+1</f>
        <v>90</v>
      </c>
      <c r="BE5" s="42" t="n">
        <f aca="false">BE$4-BE$3+1</f>
        <v>91</v>
      </c>
      <c r="BF5" s="42" t="n">
        <f aca="false">BF$4-BF$3+1</f>
        <v>92</v>
      </c>
      <c r="BG5" s="42" t="n">
        <f aca="false">BG$4-BG$3+1</f>
        <v>92</v>
      </c>
      <c r="BH5" s="42" t="n">
        <f aca="false">BH$4-BH$3+1</f>
        <v>90</v>
      </c>
      <c r="BI5" s="42" t="n">
        <f aca="false">BI$4-BI$3+1</f>
        <v>91</v>
      </c>
      <c r="BJ5" s="42" t="n">
        <f aca="false">BJ$4-BJ$3+1</f>
        <v>92</v>
      </c>
      <c r="BK5" s="42" t="n">
        <f aca="false">BK$4-BK$3+1</f>
        <v>92</v>
      </c>
      <c r="BL5" s="42" t="n">
        <f aca="false">BL$4-BL$3+1</f>
        <v>91</v>
      </c>
      <c r="BM5" s="42" t="n">
        <f aca="false">BM$4-BM$3+1</f>
        <v>91</v>
      </c>
      <c r="BN5" s="42" t="n">
        <f aca="false">BN$4-BN$3+1</f>
        <v>92</v>
      </c>
      <c r="BO5" s="42" t="n">
        <f aca="false">BO$4-BO$3+1</f>
        <v>92</v>
      </c>
      <c r="BP5" s="42" t="n">
        <f aca="false">BP$4-BP$3+1</f>
        <v>90</v>
      </c>
      <c r="BQ5" s="42" t="n">
        <f aca="false">BQ$4-BQ$3+1</f>
        <v>91</v>
      </c>
      <c r="BR5" s="42" t="n">
        <f aca="false">BR$4-BR$3+1</f>
        <v>92</v>
      </c>
      <c r="BS5" s="42" t="n">
        <f aca="false">BS$4-BS$3+1</f>
        <v>92</v>
      </c>
      <c r="BT5" s="42" t="n">
        <f aca="false">BT$4-BT$3+1</f>
        <v>90</v>
      </c>
      <c r="BU5" s="42" t="n">
        <f aca="false">BU$4-BU$3+1</f>
        <v>91</v>
      </c>
      <c r="BV5" s="42" t="n">
        <f aca="false">BV$4-BV$3+1</f>
        <v>92</v>
      </c>
      <c r="BW5" s="42" t="n">
        <f aca="false">BW$4-BW$3+1</f>
        <v>92</v>
      </c>
      <c r="BX5" s="42" t="n">
        <f aca="false">BX$4-BX$3+1</f>
        <v>90</v>
      </c>
      <c r="BY5" s="42" t="n">
        <f aca="false">BY$4-BY$3+1</f>
        <v>91</v>
      </c>
      <c r="BZ5" s="42" t="n">
        <f aca="false">BZ$4-BZ$3+1</f>
        <v>92</v>
      </c>
      <c r="CA5" s="42" t="n">
        <f aca="false">CA$4-CA$3+1</f>
        <v>92</v>
      </c>
      <c r="CB5" s="42" t="n">
        <f aca="false">CB$4-CB$3+1</f>
        <v>91</v>
      </c>
      <c r="CC5" s="42" t="n">
        <f aca="false">CC$4-CC$3+1</f>
        <v>91</v>
      </c>
      <c r="CD5" s="42" t="n">
        <f aca="false">CD$4-CD$3+1</f>
        <v>92</v>
      </c>
      <c r="CE5" s="42" t="n">
        <f aca="false">CE$4-CE$3+1</f>
        <v>92</v>
      </c>
      <c r="CF5" s="42" t="n">
        <f aca="false">CF$4-CF$3+1</f>
        <v>90</v>
      </c>
      <c r="CG5" s="42" t="n">
        <f aca="false">CG$4-CG$3+1</f>
        <v>91</v>
      </c>
      <c r="CH5" s="42" t="n">
        <f aca="false">CH$4-CH$3+1</f>
        <v>92</v>
      </c>
      <c r="CI5" s="42" t="n">
        <f aca="false">CI$4-CI$3+1</f>
        <v>92</v>
      </c>
      <c r="CJ5" s="42" t="n">
        <f aca="false">CJ$4-CJ$3+1</f>
        <v>90</v>
      </c>
      <c r="CK5" s="42" t="n">
        <f aca="false">CK$4-CK$3+1</f>
        <v>91</v>
      </c>
      <c r="CL5" s="42" t="n">
        <f aca="false">CL$4-CL$3+1</f>
        <v>92</v>
      </c>
      <c r="CM5" s="42" t="n">
        <f aca="false">CM$4-CM$3+1</f>
        <v>92</v>
      </c>
      <c r="CN5" s="42" t="n">
        <f aca="false">CN$4-CN$3+1</f>
        <v>90</v>
      </c>
      <c r="CO5" s="42" t="n">
        <f aca="false">CO$4-CO$3+1</f>
        <v>91</v>
      </c>
      <c r="CP5" s="42" t="n">
        <f aca="false">CP$4-CP$3+1</f>
        <v>92</v>
      </c>
      <c r="CQ5" s="42" t="n">
        <f aca="false">CQ$4-CQ$3+1</f>
        <v>92</v>
      </c>
      <c r="CR5" s="42" t="n">
        <f aca="false">CR$4-CR$3+1</f>
        <v>91</v>
      </c>
      <c r="CS5" s="42" t="n">
        <f aca="false">CS$4-CS$3+1</f>
        <v>91</v>
      </c>
      <c r="CT5" s="42" t="n">
        <f aca="false">CT$4-CT$3+1</f>
        <v>92</v>
      </c>
      <c r="CU5" s="42" t="n">
        <f aca="false">CU$4-CU$3+1</f>
        <v>92</v>
      </c>
      <c r="CV5" s="42" t="n">
        <f aca="false">CV$4-CV$3+1</f>
        <v>90</v>
      </c>
      <c r="CW5" s="42" t="n">
        <f aca="false">CW$4-CW$3+1</f>
        <v>91</v>
      </c>
      <c r="CX5" s="42" t="n">
        <f aca="false">CX$4-CX$3+1</f>
        <v>92</v>
      </c>
      <c r="CY5" s="42" t="n">
        <f aca="false">CY$4-CY$3+1</f>
        <v>92</v>
      </c>
      <c r="CZ5" s="42" t="n">
        <f aca="false">CZ$4-CZ$3+1</f>
        <v>90</v>
      </c>
      <c r="DA5" s="42" t="n">
        <f aca="false">DA$4-DA$3+1</f>
        <v>91</v>
      </c>
      <c r="DB5" s="42" t="n">
        <f aca="false">DB$4-DB$3+1</f>
        <v>92</v>
      </c>
      <c r="DC5" s="42" t="n">
        <f aca="false">DC$4-DC$3+1</f>
        <v>92</v>
      </c>
      <c r="DD5" s="42" t="n">
        <f aca="false">DD$4-DD$3+1</f>
        <v>90</v>
      </c>
      <c r="DE5" s="42" t="n">
        <f aca="false">DE$4-DE$3+1</f>
        <v>91</v>
      </c>
      <c r="DF5" s="42" t="n">
        <f aca="false">DF$4-DF$3+1</f>
        <v>92</v>
      </c>
      <c r="DG5" s="42" t="n">
        <f aca="false">DG$4-DG$3+1</f>
        <v>92</v>
      </c>
      <c r="DH5" s="42" t="n">
        <f aca="false">DH$4-DH$3+1</f>
        <v>91</v>
      </c>
      <c r="DI5" s="42" t="n">
        <f aca="false">DI$4-DI$3+1</f>
        <v>91</v>
      </c>
      <c r="DJ5" s="42" t="n">
        <f aca="false">DJ$4-DJ$3+1</f>
        <v>92</v>
      </c>
      <c r="DK5" s="42" t="n">
        <f aca="false">DK$4-DK$3+1</f>
        <v>92</v>
      </c>
      <c r="DL5" s="42" t="n">
        <f aca="false">DL$4-DL$3+1</f>
        <v>90</v>
      </c>
      <c r="DM5" s="42" t="n">
        <f aca="false">DM$4-DM$3+1</f>
        <v>91</v>
      </c>
      <c r="DN5" s="42" t="n">
        <f aca="false">DN$4-DN$3+1</f>
        <v>92</v>
      </c>
      <c r="DO5" s="42" t="n">
        <f aca="false">DO$4-DO$3+1</f>
        <v>92</v>
      </c>
      <c r="DP5" s="42" t="n">
        <f aca="false">DP$4-DP$3+1</f>
        <v>90</v>
      </c>
      <c r="DQ5" s="42" t="n">
        <f aca="false">DQ$4-DQ$3+1</f>
        <v>91</v>
      </c>
      <c r="DR5" s="42" t="n">
        <f aca="false">DR$4-DR$3+1</f>
        <v>92</v>
      </c>
      <c r="DS5" s="42" t="n">
        <f aca="false">DS$4-DS$3+1</f>
        <v>92</v>
      </c>
      <c r="DT5" s="42" t="n">
        <f aca="false">DT$4-DT$3+1</f>
        <v>90</v>
      </c>
      <c r="DU5" s="42" t="n">
        <f aca="false">DU$4-DU$3+1</f>
        <v>91</v>
      </c>
      <c r="DV5" s="42" t="n">
        <f aca="false">DV$4-DV$3+1</f>
        <v>92</v>
      </c>
      <c r="DW5" s="42" t="n">
        <f aca="false">DW$4-DW$3+1</f>
        <v>92</v>
      </c>
      <c r="DX5" s="42" t="n">
        <f aca="false">DX$4-DX$3+1</f>
        <v>91</v>
      </c>
      <c r="DY5" s="42" t="n">
        <f aca="false">DY$4-DY$3+1</f>
        <v>91</v>
      </c>
      <c r="DZ5" s="42" t="n">
        <f aca="false">DZ$4-DZ$3+1</f>
        <v>92</v>
      </c>
      <c r="EA5" s="42" t="n">
        <f aca="false">EA$4-EA$3+1</f>
        <v>92</v>
      </c>
      <c r="EB5" s="42" t="n">
        <f aca="false">EB$4-EB$3+1</f>
        <v>90</v>
      </c>
      <c r="EC5" s="42" t="n">
        <f aca="false">EC$4-EC$3+1</f>
        <v>91</v>
      </c>
      <c r="ED5" s="42" t="n">
        <f aca="false">ED$4-ED$3+1</f>
        <v>92</v>
      </c>
      <c r="EE5" s="42" t="n">
        <f aca="false">EE$4-EE$3+1</f>
        <v>92</v>
      </c>
      <c r="EF5" s="42" t="n">
        <f aca="false">EF$4-EF$3+1</f>
        <v>90</v>
      </c>
      <c r="EG5" s="42" t="n">
        <f aca="false">EG$4-EG$3+1</f>
        <v>91</v>
      </c>
      <c r="EH5" s="42" t="n">
        <f aca="false">EH$4-EH$3+1</f>
        <v>92</v>
      </c>
      <c r="EI5" s="42" t="n">
        <f aca="false">EI$4-EI$3+1</f>
        <v>92</v>
      </c>
      <c r="EJ5" s="42" t="n">
        <f aca="false">EJ$4-EJ$3+1</f>
        <v>90</v>
      </c>
      <c r="EK5" s="42" t="n">
        <f aca="false">EK$4-EK$3+1</f>
        <v>91</v>
      </c>
      <c r="EL5" s="42" t="n">
        <f aca="false">EL$4-EL$3+1</f>
        <v>92</v>
      </c>
      <c r="EM5" s="42" t="n">
        <f aca="false">EM$4-EM$3+1</f>
        <v>92</v>
      </c>
      <c r="EN5" s="42" t="n">
        <f aca="false">EN$4-EN$3+1</f>
        <v>91</v>
      </c>
      <c r="EO5" s="42" t="n">
        <f aca="false">EO$4-EO$3+1</f>
        <v>91</v>
      </c>
      <c r="EP5" s="42" t="n">
        <f aca="false">EP$4-EP$3+1</f>
        <v>92</v>
      </c>
      <c r="EQ5" s="42" t="n">
        <f aca="false">EQ$4-EQ$3+1</f>
        <v>92</v>
      </c>
      <c r="ER5" s="42" t="n">
        <f aca="false">ER$4-ER$3+1</f>
        <v>90</v>
      </c>
      <c r="ES5" s="42" t="n">
        <f aca="false">ES$4-ES$3+1</f>
        <v>91</v>
      </c>
      <c r="ET5" s="42" t="n">
        <f aca="false">ET$4-ET$3+1</f>
        <v>92</v>
      </c>
    </row>
    <row r="6" customFormat="false" ht="15" hidden="false" customHeight="false" outlineLevel="0" collapsed="false">
      <c r="C6" s="0" t="s">
        <v>473</v>
      </c>
      <c r="D6" s="11" t="s">
        <v>474</v>
      </c>
      <c r="J6" s="52" t="n">
        <f aca="false">J$5/Days_In_Year</f>
        <v>0.252054794520548</v>
      </c>
      <c r="K6" s="52" t="n">
        <f aca="false">K$5/Days_In_Year</f>
        <v>0.252054794520548</v>
      </c>
      <c r="L6" s="52" t="n">
        <f aca="false">L$5/Days_In_Year</f>
        <v>0.246575342465753</v>
      </c>
      <c r="M6" s="52" t="n">
        <f aca="false">M$5/Days_In_Year</f>
        <v>0.249315068493151</v>
      </c>
      <c r="N6" s="52" t="n">
        <f aca="false">N$5/Days_In_Year</f>
        <v>0.252054794520548</v>
      </c>
      <c r="O6" s="52" t="n">
        <f aca="false">O$5/Days_In_Year</f>
        <v>0.252054794520548</v>
      </c>
      <c r="P6" s="52" t="n">
        <f aca="false">P$5/Days_In_Year</f>
        <v>0.249315068493151</v>
      </c>
      <c r="Q6" s="52" t="n">
        <f aca="false">Q$5/Days_In_Year</f>
        <v>0.249315068493151</v>
      </c>
      <c r="R6" s="52" t="n">
        <f aca="false">R$5/Days_In_Year</f>
        <v>0.252054794520548</v>
      </c>
      <c r="S6" s="52" t="n">
        <f aca="false">S$5/Days_In_Year</f>
        <v>0.252054794520548</v>
      </c>
      <c r="T6" s="52" t="n">
        <f aca="false">T$5/Days_In_Year</f>
        <v>0.246575342465753</v>
      </c>
      <c r="U6" s="52" t="n">
        <f aca="false">U$5/Days_In_Year</f>
        <v>0.249315068493151</v>
      </c>
      <c r="V6" s="52" t="n">
        <f aca="false">V$5/Days_In_Year</f>
        <v>0.252054794520548</v>
      </c>
      <c r="W6" s="52" t="n">
        <f aca="false">W$5/Days_In_Year</f>
        <v>0.252054794520548</v>
      </c>
      <c r="X6" s="52" t="n">
        <f aca="false">X$5/Days_In_Year</f>
        <v>0.246575342465753</v>
      </c>
      <c r="Y6" s="52" t="n">
        <f aca="false">Y$5/Days_In_Year</f>
        <v>0.249315068493151</v>
      </c>
      <c r="Z6" s="52" t="n">
        <f aca="false">Z$5/Days_In_Year</f>
        <v>0.252054794520548</v>
      </c>
      <c r="AA6" s="52" t="n">
        <f aca="false">AA$5/Days_In_Year</f>
        <v>0.252054794520548</v>
      </c>
      <c r="AB6" s="52" t="n">
        <f aca="false">AB$5/Days_In_Year</f>
        <v>0.246575342465753</v>
      </c>
      <c r="AC6" s="52" t="n">
        <f aca="false">AC$5/Days_In_Year</f>
        <v>0.249315068493151</v>
      </c>
      <c r="AD6" s="52" t="n">
        <f aca="false">AD$5/Days_In_Year</f>
        <v>0.252054794520548</v>
      </c>
      <c r="AE6" s="52" t="n">
        <f aca="false">AE$5/Days_In_Year</f>
        <v>0.252054794520548</v>
      </c>
      <c r="AF6" s="52" t="n">
        <f aca="false">AF$5/Days_In_Year</f>
        <v>0.249315068493151</v>
      </c>
      <c r="AG6" s="52" t="n">
        <f aca="false">AG$5/Days_In_Year</f>
        <v>0.249315068493151</v>
      </c>
      <c r="AH6" s="52" t="n">
        <f aca="false">AH$5/Days_In_Year</f>
        <v>0.252054794520548</v>
      </c>
      <c r="AI6" s="52" t="n">
        <f aca="false">AI$5/Days_In_Year</f>
        <v>0.252054794520548</v>
      </c>
      <c r="AJ6" s="52" t="n">
        <f aca="false">AJ$5/Days_In_Year</f>
        <v>0.246575342465753</v>
      </c>
      <c r="AK6" s="52" t="n">
        <f aca="false">AK$5/Days_In_Year</f>
        <v>0.249315068493151</v>
      </c>
      <c r="AL6" s="52" t="n">
        <f aca="false">AL$5/Days_In_Year</f>
        <v>0.252054794520548</v>
      </c>
      <c r="AM6" s="52" t="n">
        <f aca="false">AM$5/Days_In_Year</f>
        <v>0.252054794520548</v>
      </c>
      <c r="AN6" s="52" t="n">
        <f aca="false">AN$5/Days_In_Year</f>
        <v>0.246575342465753</v>
      </c>
      <c r="AO6" s="52" t="n">
        <f aca="false">AO$5/Days_In_Year</f>
        <v>0.249315068493151</v>
      </c>
      <c r="AP6" s="52" t="n">
        <f aca="false">AP$5/Days_In_Year</f>
        <v>0.252054794520548</v>
      </c>
      <c r="AQ6" s="52" t="n">
        <f aca="false">AQ$5/Days_In_Year</f>
        <v>0.252054794520548</v>
      </c>
      <c r="AR6" s="52" t="n">
        <f aca="false">AR$5/Days_In_Year</f>
        <v>0.246575342465753</v>
      </c>
      <c r="AS6" s="52" t="n">
        <f aca="false">AS$5/Days_In_Year</f>
        <v>0.249315068493151</v>
      </c>
      <c r="AT6" s="52" t="n">
        <f aca="false">AT$5/Days_In_Year</f>
        <v>0.252054794520548</v>
      </c>
      <c r="AU6" s="52" t="n">
        <f aca="false">AU$5/Days_In_Year</f>
        <v>0.252054794520548</v>
      </c>
      <c r="AV6" s="52" t="n">
        <f aca="false">AV$5/Days_In_Year</f>
        <v>0.249315068493151</v>
      </c>
      <c r="AW6" s="52" t="n">
        <f aca="false">AW$5/Days_In_Year</f>
        <v>0.249315068493151</v>
      </c>
      <c r="AX6" s="52" t="n">
        <f aca="false">AX$5/Days_In_Year</f>
        <v>0.252054794520548</v>
      </c>
      <c r="AY6" s="52" t="n">
        <f aca="false">AY$5/Days_In_Year</f>
        <v>0.252054794520548</v>
      </c>
      <c r="AZ6" s="52" t="n">
        <f aca="false">AZ$5/Days_In_Year</f>
        <v>0.246575342465753</v>
      </c>
      <c r="BA6" s="52" t="n">
        <f aca="false">BA$5/Days_In_Year</f>
        <v>0.249315068493151</v>
      </c>
      <c r="BB6" s="52" t="n">
        <f aca="false">BB$5/Days_In_Year</f>
        <v>0.252054794520548</v>
      </c>
      <c r="BC6" s="52" t="n">
        <f aca="false">BC$5/Days_In_Year</f>
        <v>0.252054794520548</v>
      </c>
      <c r="BD6" s="52" t="n">
        <f aca="false">BD$5/Days_In_Year</f>
        <v>0.246575342465753</v>
      </c>
      <c r="BE6" s="52" t="n">
        <f aca="false">BE$5/Days_In_Year</f>
        <v>0.249315068493151</v>
      </c>
      <c r="BF6" s="52" t="n">
        <f aca="false">BF$5/Days_In_Year</f>
        <v>0.252054794520548</v>
      </c>
      <c r="BG6" s="52" t="n">
        <f aca="false">BG$5/Days_In_Year</f>
        <v>0.252054794520548</v>
      </c>
      <c r="BH6" s="52" t="n">
        <f aca="false">BH$5/Days_In_Year</f>
        <v>0.246575342465753</v>
      </c>
      <c r="BI6" s="52" t="n">
        <f aca="false">BI$5/Days_In_Year</f>
        <v>0.249315068493151</v>
      </c>
      <c r="BJ6" s="52" t="n">
        <f aca="false">BJ$5/Days_In_Year</f>
        <v>0.252054794520548</v>
      </c>
      <c r="BK6" s="52" t="n">
        <f aca="false">BK$5/Days_In_Year</f>
        <v>0.252054794520548</v>
      </c>
      <c r="BL6" s="52" t="n">
        <f aca="false">BL$5/Days_In_Year</f>
        <v>0.249315068493151</v>
      </c>
      <c r="BM6" s="52" t="n">
        <f aca="false">BM$5/Days_In_Year</f>
        <v>0.249315068493151</v>
      </c>
      <c r="BN6" s="52" t="n">
        <f aca="false">BN$5/Days_In_Year</f>
        <v>0.252054794520548</v>
      </c>
      <c r="BO6" s="52" t="n">
        <f aca="false">BO$5/Days_In_Year</f>
        <v>0.252054794520548</v>
      </c>
      <c r="BP6" s="52" t="n">
        <f aca="false">BP$5/Days_In_Year</f>
        <v>0.246575342465753</v>
      </c>
      <c r="BQ6" s="52" t="n">
        <f aca="false">BQ$5/Days_In_Year</f>
        <v>0.249315068493151</v>
      </c>
      <c r="BR6" s="52" t="n">
        <f aca="false">BR$5/Days_In_Year</f>
        <v>0.252054794520548</v>
      </c>
      <c r="BS6" s="52" t="n">
        <f aca="false">BS$5/Days_In_Year</f>
        <v>0.252054794520548</v>
      </c>
      <c r="BT6" s="52" t="n">
        <f aca="false">BT$5/Days_In_Year</f>
        <v>0.246575342465753</v>
      </c>
      <c r="BU6" s="52" t="n">
        <f aca="false">BU$5/Days_In_Year</f>
        <v>0.249315068493151</v>
      </c>
      <c r="BV6" s="52" t="n">
        <f aca="false">BV$5/Days_In_Year</f>
        <v>0.252054794520548</v>
      </c>
      <c r="BW6" s="52" t="n">
        <f aca="false">BW$5/Days_In_Year</f>
        <v>0.252054794520548</v>
      </c>
      <c r="BX6" s="52" t="n">
        <f aca="false">BX$5/Days_In_Year</f>
        <v>0.246575342465753</v>
      </c>
      <c r="BY6" s="52" t="n">
        <f aca="false">BY$5/Days_In_Year</f>
        <v>0.249315068493151</v>
      </c>
      <c r="BZ6" s="52" t="n">
        <f aca="false">BZ$5/Days_In_Year</f>
        <v>0.252054794520548</v>
      </c>
      <c r="CA6" s="52" t="n">
        <f aca="false">CA$5/Days_In_Year</f>
        <v>0.252054794520548</v>
      </c>
      <c r="CB6" s="52" t="n">
        <f aca="false">CB$5/Days_In_Year</f>
        <v>0.249315068493151</v>
      </c>
      <c r="CC6" s="52" t="n">
        <f aca="false">CC$5/Days_In_Year</f>
        <v>0.249315068493151</v>
      </c>
      <c r="CD6" s="52" t="n">
        <f aca="false">CD$5/Days_In_Year</f>
        <v>0.252054794520548</v>
      </c>
      <c r="CE6" s="52" t="n">
        <f aca="false">CE$5/Days_In_Year</f>
        <v>0.252054794520548</v>
      </c>
      <c r="CF6" s="52" t="n">
        <f aca="false">CF$5/Days_In_Year</f>
        <v>0.246575342465753</v>
      </c>
      <c r="CG6" s="52" t="n">
        <f aca="false">CG$5/Days_In_Year</f>
        <v>0.249315068493151</v>
      </c>
      <c r="CH6" s="52" t="n">
        <f aca="false">CH$5/Days_In_Year</f>
        <v>0.252054794520548</v>
      </c>
      <c r="CI6" s="52" t="n">
        <f aca="false">CI$5/Days_In_Year</f>
        <v>0.252054794520548</v>
      </c>
      <c r="CJ6" s="52" t="n">
        <f aca="false">CJ$5/Days_In_Year</f>
        <v>0.246575342465753</v>
      </c>
      <c r="CK6" s="52" t="n">
        <f aca="false">CK$5/Days_In_Year</f>
        <v>0.249315068493151</v>
      </c>
      <c r="CL6" s="52" t="n">
        <f aca="false">CL$5/Days_In_Year</f>
        <v>0.252054794520548</v>
      </c>
      <c r="CM6" s="52" t="n">
        <f aca="false">CM$5/Days_In_Year</f>
        <v>0.252054794520548</v>
      </c>
      <c r="CN6" s="52" t="n">
        <f aca="false">CN$5/Days_In_Year</f>
        <v>0.246575342465753</v>
      </c>
      <c r="CO6" s="52" t="n">
        <f aca="false">CO$5/Days_In_Year</f>
        <v>0.249315068493151</v>
      </c>
      <c r="CP6" s="52" t="n">
        <f aca="false">CP$5/Days_In_Year</f>
        <v>0.252054794520548</v>
      </c>
      <c r="CQ6" s="52" t="n">
        <f aca="false">CQ$5/Days_In_Year</f>
        <v>0.252054794520548</v>
      </c>
      <c r="CR6" s="52" t="n">
        <f aca="false">CR$5/Days_In_Year</f>
        <v>0.249315068493151</v>
      </c>
      <c r="CS6" s="52" t="n">
        <f aca="false">CS$5/Days_In_Year</f>
        <v>0.249315068493151</v>
      </c>
      <c r="CT6" s="52" t="n">
        <f aca="false">CT$5/Days_In_Year</f>
        <v>0.252054794520548</v>
      </c>
      <c r="CU6" s="52" t="n">
        <f aca="false">CU$5/Days_In_Year</f>
        <v>0.252054794520548</v>
      </c>
      <c r="CV6" s="52" t="n">
        <f aca="false">CV$5/Days_In_Year</f>
        <v>0.246575342465753</v>
      </c>
      <c r="CW6" s="52" t="n">
        <f aca="false">CW$5/Days_In_Year</f>
        <v>0.249315068493151</v>
      </c>
      <c r="CX6" s="52" t="n">
        <f aca="false">CX$5/Days_In_Year</f>
        <v>0.252054794520548</v>
      </c>
      <c r="CY6" s="52" t="n">
        <f aca="false">CY$5/Days_In_Year</f>
        <v>0.252054794520548</v>
      </c>
      <c r="CZ6" s="52" t="n">
        <f aca="false">CZ$5/Days_In_Year</f>
        <v>0.246575342465753</v>
      </c>
      <c r="DA6" s="52" t="n">
        <f aca="false">DA$5/Days_In_Year</f>
        <v>0.249315068493151</v>
      </c>
      <c r="DB6" s="52" t="n">
        <f aca="false">DB$5/Days_In_Year</f>
        <v>0.252054794520548</v>
      </c>
      <c r="DC6" s="52" t="n">
        <f aca="false">DC$5/Days_In_Year</f>
        <v>0.252054794520548</v>
      </c>
      <c r="DD6" s="52" t="n">
        <f aca="false">DD$5/Days_In_Year</f>
        <v>0.246575342465753</v>
      </c>
      <c r="DE6" s="52" t="n">
        <f aca="false">DE$5/Days_In_Year</f>
        <v>0.249315068493151</v>
      </c>
      <c r="DF6" s="52" t="n">
        <f aca="false">DF$5/Days_In_Year</f>
        <v>0.252054794520548</v>
      </c>
      <c r="DG6" s="52" t="n">
        <f aca="false">DG$5/Days_In_Year</f>
        <v>0.252054794520548</v>
      </c>
      <c r="DH6" s="52" t="n">
        <f aca="false">DH$5/Days_In_Year</f>
        <v>0.249315068493151</v>
      </c>
      <c r="DI6" s="52" t="n">
        <f aca="false">DI$5/Days_In_Year</f>
        <v>0.249315068493151</v>
      </c>
      <c r="DJ6" s="52" t="n">
        <f aca="false">DJ$5/Days_In_Year</f>
        <v>0.252054794520548</v>
      </c>
      <c r="DK6" s="52" t="n">
        <f aca="false">DK$5/Days_In_Year</f>
        <v>0.252054794520548</v>
      </c>
      <c r="DL6" s="52" t="n">
        <f aca="false">DL$5/Days_In_Year</f>
        <v>0.246575342465753</v>
      </c>
      <c r="DM6" s="52" t="n">
        <f aca="false">DM$5/Days_In_Year</f>
        <v>0.249315068493151</v>
      </c>
      <c r="DN6" s="52" t="n">
        <f aca="false">DN$5/Days_In_Year</f>
        <v>0.252054794520548</v>
      </c>
      <c r="DO6" s="52" t="n">
        <f aca="false">DO$5/Days_In_Year</f>
        <v>0.252054794520548</v>
      </c>
      <c r="DP6" s="52" t="n">
        <f aca="false">DP$5/Days_In_Year</f>
        <v>0.246575342465753</v>
      </c>
      <c r="DQ6" s="52" t="n">
        <f aca="false">DQ$5/Days_In_Year</f>
        <v>0.249315068493151</v>
      </c>
      <c r="DR6" s="52" t="n">
        <f aca="false">DR$5/Days_In_Year</f>
        <v>0.252054794520548</v>
      </c>
      <c r="DS6" s="52" t="n">
        <f aca="false">DS$5/Days_In_Year</f>
        <v>0.252054794520548</v>
      </c>
      <c r="DT6" s="52" t="n">
        <f aca="false">DT$5/Days_In_Year</f>
        <v>0.246575342465753</v>
      </c>
      <c r="DU6" s="52" t="n">
        <f aca="false">DU$5/Days_In_Year</f>
        <v>0.249315068493151</v>
      </c>
      <c r="DV6" s="52" t="n">
        <f aca="false">DV$5/Days_In_Year</f>
        <v>0.252054794520548</v>
      </c>
      <c r="DW6" s="52" t="n">
        <f aca="false">DW$5/Days_In_Year</f>
        <v>0.252054794520548</v>
      </c>
      <c r="DX6" s="52" t="n">
        <f aca="false">DX$5/Days_In_Year</f>
        <v>0.249315068493151</v>
      </c>
      <c r="DY6" s="52" t="n">
        <f aca="false">DY$5/Days_In_Year</f>
        <v>0.249315068493151</v>
      </c>
      <c r="DZ6" s="52" t="n">
        <f aca="false">DZ$5/Days_In_Year</f>
        <v>0.252054794520548</v>
      </c>
      <c r="EA6" s="52" t="n">
        <f aca="false">EA$5/Days_In_Year</f>
        <v>0.252054794520548</v>
      </c>
      <c r="EB6" s="52" t="n">
        <f aca="false">EB$5/Days_In_Year</f>
        <v>0.246575342465753</v>
      </c>
      <c r="EC6" s="52" t="n">
        <f aca="false">EC$5/Days_In_Year</f>
        <v>0.249315068493151</v>
      </c>
      <c r="ED6" s="52" t="n">
        <f aca="false">ED$5/Days_In_Year</f>
        <v>0.252054794520548</v>
      </c>
      <c r="EE6" s="52" t="n">
        <f aca="false">EE$5/Days_In_Year</f>
        <v>0.252054794520548</v>
      </c>
      <c r="EF6" s="52" t="n">
        <f aca="false">EF$5/Days_In_Year</f>
        <v>0.246575342465753</v>
      </c>
      <c r="EG6" s="52" t="n">
        <f aca="false">EG$5/Days_In_Year</f>
        <v>0.249315068493151</v>
      </c>
      <c r="EH6" s="52" t="n">
        <f aca="false">EH$5/Days_In_Year</f>
        <v>0.252054794520548</v>
      </c>
      <c r="EI6" s="52" t="n">
        <f aca="false">EI$5/Days_In_Year</f>
        <v>0.252054794520548</v>
      </c>
      <c r="EJ6" s="52" t="n">
        <f aca="false">EJ$5/Days_In_Year</f>
        <v>0.246575342465753</v>
      </c>
      <c r="EK6" s="52" t="n">
        <f aca="false">EK$5/Days_In_Year</f>
        <v>0.249315068493151</v>
      </c>
      <c r="EL6" s="52" t="n">
        <f aca="false">EL$5/Days_In_Year</f>
        <v>0.252054794520548</v>
      </c>
      <c r="EM6" s="52" t="n">
        <f aca="false">EM$5/Days_In_Year</f>
        <v>0.252054794520548</v>
      </c>
      <c r="EN6" s="52" t="n">
        <f aca="false">EN$5/Days_In_Year</f>
        <v>0.249315068493151</v>
      </c>
      <c r="EO6" s="52" t="n">
        <f aca="false">EO$5/Days_In_Year</f>
        <v>0.249315068493151</v>
      </c>
      <c r="EP6" s="52" t="n">
        <f aca="false">EP$5/Days_In_Year</f>
        <v>0.252054794520548</v>
      </c>
      <c r="EQ6" s="52" t="n">
        <f aca="false">EQ$5/Days_In_Year</f>
        <v>0.252054794520548</v>
      </c>
      <c r="ER6" s="52" t="n">
        <f aca="false">ER$5/Days_In_Year</f>
        <v>0.246575342465753</v>
      </c>
      <c r="ES6" s="52" t="n">
        <f aca="false">ES$5/Days_In_Year</f>
        <v>0.249315068493151</v>
      </c>
      <c r="ET6" s="52" t="n">
        <f aca="false">ET$5/Days_In_Year</f>
        <v>0.252054794520548</v>
      </c>
    </row>
    <row r="7" customFormat="false" ht="15" hidden="false" customHeight="false" outlineLevel="0" collapsed="false">
      <c r="C7" s="0" t="s">
        <v>475</v>
      </c>
      <c r="D7" s="11" t="s">
        <v>476</v>
      </c>
      <c r="J7" s="42" t="n">
        <f aca="false">YEAR(J$4)</f>
        <v>2026</v>
      </c>
      <c r="K7" s="42" t="n">
        <f aca="false">YEAR(K$4)</f>
        <v>2026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2027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2028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2029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2030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2031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2032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2033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2034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2035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2036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2037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2038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2039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2040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2041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2042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2043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2044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2045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2046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2047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2048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2049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2050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2051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2052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2053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2054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2055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2056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2057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2058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2059</v>
      </c>
      <c r="EN7" s="42" t="n">
        <f aca="false">YEAR(EN$4)</f>
        <v>2060</v>
      </c>
      <c r="EO7" s="42" t="n">
        <f aca="false">YEAR(EO$4)</f>
        <v>2060</v>
      </c>
      <c r="EP7" s="42" t="n">
        <f aca="false">YEAR(EP$4)</f>
        <v>2060</v>
      </c>
      <c r="EQ7" s="42" t="n">
        <f aca="false">YEAR(EQ$4)</f>
        <v>2060</v>
      </c>
      <c r="ER7" s="42" t="n">
        <f aca="false">YEAR(ER$4)</f>
        <v>2061</v>
      </c>
      <c r="ES7" s="42" t="n">
        <f aca="false">YEAR(ES$4)</f>
        <v>2061</v>
      </c>
      <c r="ET7" s="42" t="n">
        <f aca="false">YEAR(ET$4)</f>
        <v>2061</v>
      </c>
    </row>
    <row r="8" customFormat="false" ht="15" hidden="false" customHeight="false" outlineLevel="0" collapsed="false">
      <c r="C8" s="0" t="s">
        <v>477</v>
      </c>
      <c r="D8" s="11" t="s">
        <v>205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  <c r="EP8" s="42" t="n">
        <f aca="false">EO$8+1</f>
        <v>137</v>
      </c>
      <c r="EQ8" s="42" t="n">
        <f aca="false">EP$8+1</f>
        <v>138</v>
      </c>
      <c r="ER8" s="42" t="n">
        <f aca="false">EQ$8+1</f>
        <v>139</v>
      </c>
      <c r="ES8" s="42" t="n">
        <f aca="false">ER$8+1</f>
        <v>140</v>
      </c>
      <c r="ET8" s="42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478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479</v>
      </c>
      <c r="D12" s="11" t="s">
        <v>41</v>
      </c>
      <c r="E12" s="44" t="n">
        <f aca="false">INDEX(Dash_Exit_Date,1,$A$1)</f>
        <v>47483</v>
      </c>
      <c r="I12" s="46" t="n">
        <f aca="false">SUM(J12:ET12)</f>
        <v>1</v>
      </c>
      <c r="J12" s="46" t="n">
        <f aca="false">N(AND(J$3&lt;=$E12,J$4&gt;=$E12))</f>
        <v>0</v>
      </c>
      <c r="K12" s="46" t="n">
        <f aca="false">N(AND(K$3&lt;=$E12,K$4&gt;=$E12))</f>
        <v>0</v>
      </c>
      <c r="L12" s="46" t="n">
        <f aca="false">N(AND(L$3&lt;=$E12,L$4&gt;=$E12))</f>
        <v>0</v>
      </c>
      <c r="M12" s="46" t="n">
        <f aca="false">N(AND(M$3&lt;=$E12,M$4&gt;=$E12))</f>
        <v>0</v>
      </c>
      <c r="N12" s="46" t="n">
        <f aca="false">N(AND(N$3&lt;=$E12,N$4&gt;=$E12))</f>
        <v>0</v>
      </c>
      <c r="O12" s="46" t="n">
        <f aca="false">N(AND(O$3&lt;=$E12,O$4&gt;=$E12))</f>
        <v>0</v>
      </c>
      <c r="P12" s="46" t="n">
        <f aca="false">N(AND(P$3&lt;=$E12,P$4&gt;=$E12))</f>
        <v>0</v>
      </c>
      <c r="Q12" s="46" t="n">
        <f aca="false">N(AND(Q$3&lt;=$E12,Q$4&gt;=$E12))</f>
        <v>0</v>
      </c>
      <c r="R12" s="46" t="n">
        <f aca="false">N(AND(R$3&lt;=$E12,R$4&gt;=$E12))</f>
        <v>0</v>
      </c>
      <c r="S12" s="46" t="n">
        <f aca="false">N(AND(S$3&lt;=$E12,S$4&gt;=$E12))</f>
        <v>0</v>
      </c>
      <c r="T12" s="46" t="n">
        <f aca="false">N(AND(T$3&lt;=$E12,T$4&gt;=$E12))</f>
        <v>0</v>
      </c>
      <c r="U12" s="46" t="n">
        <f aca="false">N(AND(U$3&lt;=$E12,U$4&gt;=$E12))</f>
        <v>0</v>
      </c>
      <c r="V12" s="46" t="n">
        <f aca="false">N(AND(V$3&lt;=$E12,V$4&gt;=$E12))</f>
        <v>0</v>
      </c>
      <c r="W12" s="46" t="n">
        <f aca="false">N(AND(W$3&lt;=$E12,W$4&gt;=$E12))</f>
        <v>1</v>
      </c>
      <c r="X12" s="46" t="n">
        <f aca="false">N(AND(X$3&lt;=$E12,X$4&gt;=$E12))</f>
        <v>0</v>
      </c>
      <c r="Y12" s="46" t="n">
        <f aca="false">N(AND(Y$3&lt;=$E12,Y$4&gt;=$E12))</f>
        <v>0</v>
      </c>
      <c r="Z12" s="46" t="n">
        <f aca="false">N(AND(Z$3&lt;=$E12,Z$4&gt;=$E12))</f>
        <v>0</v>
      </c>
      <c r="AA12" s="46" t="n">
        <f aca="false">N(AND(AA$3&lt;=$E12,AA$4&gt;=$E12))</f>
        <v>0</v>
      </c>
      <c r="AB12" s="46" t="n">
        <f aca="false">N(AND(AB$3&lt;=$E12,AB$4&gt;=$E12))</f>
        <v>0</v>
      </c>
      <c r="AC12" s="46" t="n">
        <f aca="false">N(AND(AC$3&lt;=$E12,AC$4&gt;=$E12))</f>
        <v>0</v>
      </c>
      <c r="AD12" s="46" t="n">
        <f aca="false">N(AND(AD$3&lt;=$E12,AD$4&gt;=$E12))</f>
        <v>0</v>
      </c>
      <c r="AE12" s="46" t="n">
        <f aca="false">N(AND(AE$3&lt;=$E12,AE$4&gt;=$E12))</f>
        <v>0</v>
      </c>
      <c r="AF12" s="46" t="n">
        <f aca="false">N(AND(AF$3&lt;=$E12,AF$4&gt;=$E12))</f>
        <v>0</v>
      </c>
      <c r="AG12" s="46" t="n">
        <f aca="false">N(AND(AG$3&lt;=$E12,AG$4&gt;=$E12))</f>
        <v>0</v>
      </c>
      <c r="AH12" s="46" t="n">
        <f aca="false">N(AND(AH$3&lt;=$E12,AH$4&gt;=$E12))</f>
        <v>0</v>
      </c>
      <c r="AI12" s="46" t="n">
        <f aca="false">N(AND(AI$3&lt;=$E12,AI$4&gt;=$E12))</f>
        <v>0</v>
      </c>
      <c r="AJ12" s="46" t="n">
        <f aca="false">N(AND(AJ$3&lt;=$E12,AJ$4&gt;=$E12))</f>
        <v>0</v>
      </c>
      <c r="AK12" s="46" t="n">
        <f aca="false">N(AND(AK$3&lt;=$E12,AK$4&gt;=$E12))</f>
        <v>0</v>
      </c>
      <c r="AL12" s="46" t="n">
        <f aca="false">N(AND(AL$3&lt;=$E12,AL$4&gt;=$E12))</f>
        <v>0</v>
      </c>
      <c r="AM12" s="46" t="n">
        <f aca="false">N(AND(AM$3&lt;=$E12,AM$4&gt;=$E12))</f>
        <v>0</v>
      </c>
      <c r="AN12" s="46" t="n">
        <f aca="false">N(AND(AN$3&lt;=$E12,AN$4&gt;=$E12))</f>
        <v>0</v>
      </c>
      <c r="AO12" s="46" t="n">
        <f aca="false">N(AND(AO$3&lt;=$E12,AO$4&gt;=$E12))</f>
        <v>0</v>
      </c>
      <c r="AP12" s="46" t="n">
        <f aca="false">N(AND(AP$3&lt;=$E12,AP$4&gt;=$E12))</f>
        <v>0</v>
      </c>
      <c r="AQ12" s="46" t="n">
        <f aca="false">N(AND(AQ$3&lt;=$E12,AQ$4&gt;=$E12))</f>
        <v>0</v>
      </c>
      <c r="AR12" s="46" t="n">
        <f aca="false">N(AND(AR$3&lt;=$E12,AR$4&gt;=$E12))</f>
        <v>0</v>
      </c>
      <c r="AS12" s="46" t="n">
        <f aca="false">N(AND(AS$3&lt;=$E12,AS$4&gt;=$E12))</f>
        <v>0</v>
      </c>
      <c r="AT12" s="46" t="n">
        <f aca="false">N(AND(AT$3&lt;=$E12,AT$4&gt;=$E12))</f>
        <v>0</v>
      </c>
      <c r="AU12" s="46" t="n">
        <f aca="false">N(AND(AU$3&lt;=$E12,AU$4&gt;=$E12))</f>
        <v>0</v>
      </c>
      <c r="AV12" s="46" t="n">
        <f aca="false">N(AND(AV$3&lt;=$E12,AV$4&gt;=$E12))</f>
        <v>0</v>
      </c>
      <c r="AW12" s="46" t="n">
        <f aca="false">N(AND(AW$3&lt;=$E12,AW$4&gt;=$E12))</f>
        <v>0</v>
      </c>
      <c r="AX12" s="46" t="n">
        <f aca="false">N(AND(AX$3&lt;=$E12,AX$4&gt;=$E12))</f>
        <v>0</v>
      </c>
      <c r="AY12" s="46" t="n">
        <f aca="false">N(AND(AY$3&lt;=$E12,AY$4&gt;=$E12))</f>
        <v>0</v>
      </c>
      <c r="AZ12" s="46" t="n">
        <f aca="false">N(AND(AZ$3&lt;=$E12,AZ$4&gt;=$E12))</f>
        <v>0</v>
      </c>
      <c r="BA12" s="46" t="n">
        <f aca="false">N(AND(BA$3&lt;=$E12,BA$4&gt;=$E12))</f>
        <v>0</v>
      </c>
      <c r="BB12" s="46" t="n">
        <f aca="false">N(AND(BB$3&lt;=$E12,BB$4&gt;=$E12))</f>
        <v>0</v>
      </c>
      <c r="BC12" s="46" t="n">
        <f aca="false">N(AND(BC$3&lt;=$E12,BC$4&gt;=$E12))</f>
        <v>0</v>
      </c>
      <c r="BD12" s="46" t="n">
        <f aca="false">N(AND(BD$3&lt;=$E12,BD$4&gt;=$E12))</f>
        <v>0</v>
      </c>
      <c r="BE12" s="46" t="n">
        <f aca="false">N(AND(BE$3&lt;=$E12,BE$4&gt;=$E12))</f>
        <v>0</v>
      </c>
      <c r="BF12" s="46" t="n">
        <f aca="false">N(AND(BF$3&lt;=$E12,BF$4&gt;=$E12))</f>
        <v>0</v>
      </c>
      <c r="BG12" s="46" t="n">
        <f aca="false">N(AND(BG$3&lt;=$E12,BG$4&gt;=$E12))</f>
        <v>0</v>
      </c>
      <c r="BH12" s="46" t="n">
        <f aca="false">N(AND(BH$3&lt;=$E12,BH$4&gt;=$E12))</f>
        <v>0</v>
      </c>
      <c r="BI12" s="46" t="n">
        <f aca="false">N(AND(BI$3&lt;=$E12,BI$4&gt;=$E12))</f>
        <v>0</v>
      </c>
      <c r="BJ12" s="46" t="n">
        <f aca="false">N(AND(BJ$3&lt;=$E12,BJ$4&gt;=$E12))</f>
        <v>0</v>
      </c>
      <c r="BK12" s="46" t="n">
        <f aca="false">N(AND(BK$3&lt;=$E12,BK$4&gt;=$E12))</f>
        <v>0</v>
      </c>
      <c r="BL12" s="46" t="n">
        <f aca="false">N(AND(BL$3&lt;=$E12,BL$4&gt;=$E12))</f>
        <v>0</v>
      </c>
      <c r="BM12" s="46" t="n">
        <f aca="false">N(AND(BM$3&lt;=$E12,BM$4&gt;=$E12))</f>
        <v>0</v>
      </c>
      <c r="BN12" s="46" t="n">
        <f aca="false">N(AND(BN$3&lt;=$E12,BN$4&gt;=$E12))</f>
        <v>0</v>
      </c>
      <c r="BO12" s="46" t="n">
        <f aca="false">N(AND(BO$3&lt;=$E12,BO$4&gt;=$E12))</f>
        <v>0</v>
      </c>
      <c r="BP12" s="46" t="n">
        <f aca="false">N(AND(BP$3&lt;=$E12,BP$4&gt;=$E12))</f>
        <v>0</v>
      </c>
      <c r="BQ12" s="46" t="n">
        <f aca="false">N(AND(BQ$3&lt;=$E12,BQ$4&gt;=$E12))</f>
        <v>0</v>
      </c>
      <c r="BR12" s="46" t="n">
        <f aca="false">N(AND(BR$3&lt;=$E12,BR$4&gt;=$E12))</f>
        <v>0</v>
      </c>
      <c r="BS12" s="46" t="n">
        <f aca="false">N(AND(BS$3&lt;=$E12,BS$4&gt;=$E12))</f>
        <v>0</v>
      </c>
      <c r="BT12" s="46" t="n">
        <f aca="false">N(AND(BT$3&lt;=$E12,BT$4&gt;=$E12))</f>
        <v>0</v>
      </c>
      <c r="BU12" s="46" t="n">
        <f aca="false">N(AND(BU$3&lt;=$E12,BU$4&gt;=$E12))</f>
        <v>0</v>
      </c>
      <c r="BV12" s="46" t="n">
        <f aca="false">N(AND(BV$3&lt;=$E12,BV$4&gt;=$E12))</f>
        <v>0</v>
      </c>
      <c r="BW12" s="46" t="n">
        <f aca="false">N(AND(BW$3&lt;=$E12,BW$4&gt;=$E12))</f>
        <v>0</v>
      </c>
      <c r="BX12" s="46" t="n">
        <f aca="false">N(AND(BX$3&lt;=$E12,BX$4&gt;=$E12))</f>
        <v>0</v>
      </c>
      <c r="BY12" s="46" t="n">
        <f aca="false">N(AND(BY$3&lt;=$E12,BY$4&gt;=$E12))</f>
        <v>0</v>
      </c>
      <c r="BZ12" s="46" t="n">
        <f aca="false">N(AND(BZ$3&lt;=$E12,BZ$4&gt;=$E12))</f>
        <v>0</v>
      </c>
      <c r="CA12" s="46" t="n">
        <f aca="false">N(AND(CA$3&lt;=$E12,CA$4&gt;=$E12))</f>
        <v>0</v>
      </c>
      <c r="CB12" s="46" t="n">
        <f aca="false">N(AND(CB$3&lt;=$E12,CB$4&gt;=$E12))</f>
        <v>0</v>
      </c>
      <c r="CC12" s="46" t="n">
        <f aca="false">N(AND(CC$3&lt;=$E12,CC$4&gt;=$E12))</f>
        <v>0</v>
      </c>
      <c r="CD12" s="46" t="n">
        <f aca="false">N(AND(CD$3&lt;=$E12,CD$4&gt;=$E12))</f>
        <v>0</v>
      </c>
      <c r="CE12" s="46" t="n">
        <f aca="false">N(AND(CE$3&lt;=$E12,CE$4&gt;=$E12))</f>
        <v>0</v>
      </c>
      <c r="CF12" s="46" t="n">
        <f aca="false">N(AND(CF$3&lt;=$E12,CF$4&gt;=$E12))</f>
        <v>0</v>
      </c>
      <c r="CG12" s="46" t="n">
        <f aca="false">N(AND(CG$3&lt;=$E12,CG$4&gt;=$E12))</f>
        <v>0</v>
      </c>
      <c r="CH12" s="46" t="n">
        <f aca="false">N(AND(CH$3&lt;=$E12,CH$4&gt;=$E12))</f>
        <v>0</v>
      </c>
      <c r="CI12" s="46" t="n">
        <f aca="false">N(AND(CI$3&lt;=$E12,CI$4&gt;=$E12))</f>
        <v>0</v>
      </c>
      <c r="CJ12" s="46" t="n">
        <f aca="false">N(AND(CJ$3&lt;=$E12,CJ$4&gt;=$E12))</f>
        <v>0</v>
      </c>
      <c r="CK12" s="46" t="n">
        <f aca="false">N(AND(CK$3&lt;=$E12,CK$4&gt;=$E12))</f>
        <v>0</v>
      </c>
      <c r="CL12" s="46" t="n">
        <f aca="false">N(AND(CL$3&lt;=$E12,CL$4&gt;=$E12))</f>
        <v>0</v>
      </c>
      <c r="CM12" s="46" t="n">
        <f aca="false">N(AND(CM$3&lt;=$E12,CM$4&gt;=$E12))</f>
        <v>0</v>
      </c>
      <c r="CN12" s="46" t="n">
        <f aca="false">N(AND(CN$3&lt;=$E12,CN$4&gt;=$E12))</f>
        <v>0</v>
      </c>
      <c r="CO12" s="46" t="n">
        <f aca="false">N(AND(CO$3&lt;=$E12,CO$4&gt;=$E12))</f>
        <v>0</v>
      </c>
      <c r="CP12" s="46" t="n">
        <f aca="false">N(AND(CP$3&lt;=$E12,CP$4&gt;=$E12))</f>
        <v>0</v>
      </c>
      <c r="CQ12" s="46" t="n">
        <f aca="false">N(AND(CQ$3&lt;=$E12,CQ$4&gt;=$E12))</f>
        <v>0</v>
      </c>
      <c r="CR12" s="46" t="n">
        <f aca="false">N(AND(CR$3&lt;=$E12,CR$4&gt;=$E12))</f>
        <v>0</v>
      </c>
      <c r="CS12" s="46" t="n">
        <f aca="false">N(AND(CS$3&lt;=$E12,CS$4&gt;=$E12))</f>
        <v>0</v>
      </c>
      <c r="CT12" s="46" t="n">
        <f aca="false">N(AND(CT$3&lt;=$E12,CT$4&gt;=$E12))</f>
        <v>0</v>
      </c>
      <c r="CU12" s="46" t="n">
        <f aca="false">N(AND(CU$3&lt;=$E12,CU$4&gt;=$E12))</f>
        <v>0</v>
      </c>
      <c r="CV12" s="46" t="n">
        <f aca="false">N(AND(CV$3&lt;=$E12,CV$4&gt;=$E12))</f>
        <v>0</v>
      </c>
      <c r="CW12" s="46" t="n">
        <f aca="false">N(AND(CW$3&lt;=$E12,CW$4&gt;=$E12))</f>
        <v>0</v>
      </c>
      <c r="CX12" s="46" t="n">
        <f aca="false">N(AND(CX$3&lt;=$E12,CX$4&gt;=$E12))</f>
        <v>0</v>
      </c>
      <c r="CY12" s="46" t="n">
        <f aca="false">N(AND(CY$3&lt;=$E12,CY$4&gt;=$E12))</f>
        <v>0</v>
      </c>
      <c r="CZ12" s="46" t="n">
        <f aca="false">N(AND(CZ$3&lt;=$E12,CZ$4&gt;=$E12))</f>
        <v>0</v>
      </c>
      <c r="DA12" s="46" t="n">
        <f aca="false">N(AND(DA$3&lt;=$E12,DA$4&gt;=$E12))</f>
        <v>0</v>
      </c>
      <c r="DB12" s="46" t="n">
        <f aca="false">N(AND(DB$3&lt;=$E12,DB$4&gt;=$E12))</f>
        <v>0</v>
      </c>
      <c r="DC12" s="46" t="n">
        <f aca="false">N(AND(DC$3&lt;=$E12,DC$4&gt;=$E12))</f>
        <v>0</v>
      </c>
      <c r="DD12" s="46" t="n">
        <f aca="false">N(AND(DD$3&lt;=$E12,DD$4&gt;=$E12))</f>
        <v>0</v>
      </c>
      <c r="DE12" s="46" t="n">
        <f aca="false">N(AND(DE$3&lt;=$E12,DE$4&gt;=$E12))</f>
        <v>0</v>
      </c>
      <c r="DF12" s="46" t="n">
        <f aca="false">N(AND(DF$3&lt;=$E12,DF$4&gt;=$E12))</f>
        <v>0</v>
      </c>
      <c r="DG12" s="46" t="n">
        <f aca="false">N(AND(DG$3&lt;=$E12,DG$4&gt;=$E12))</f>
        <v>0</v>
      </c>
      <c r="DH12" s="46" t="n">
        <f aca="false">N(AND(DH$3&lt;=$E12,DH$4&gt;=$E12))</f>
        <v>0</v>
      </c>
      <c r="DI12" s="46" t="n">
        <f aca="false">N(AND(DI$3&lt;=$E12,DI$4&gt;=$E12))</f>
        <v>0</v>
      </c>
      <c r="DJ12" s="46" t="n">
        <f aca="false">N(AND(DJ$3&lt;=$E12,DJ$4&gt;=$E12))</f>
        <v>0</v>
      </c>
      <c r="DK12" s="46" t="n">
        <f aca="false">N(AND(DK$3&lt;=$E12,DK$4&gt;=$E12))</f>
        <v>0</v>
      </c>
      <c r="DL12" s="46" t="n">
        <f aca="false">N(AND(DL$3&lt;=$E12,DL$4&gt;=$E12))</f>
        <v>0</v>
      </c>
      <c r="DM12" s="46" t="n">
        <f aca="false">N(AND(DM$3&lt;=$E12,DM$4&gt;=$E12))</f>
        <v>0</v>
      </c>
      <c r="DN12" s="46" t="n">
        <f aca="false">N(AND(DN$3&lt;=$E12,DN$4&gt;=$E12))</f>
        <v>0</v>
      </c>
      <c r="DO12" s="46" t="n">
        <f aca="false">N(AND(DO$3&lt;=$E12,DO$4&gt;=$E12))</f>
        <v>0</v>
      </c>
      <c r="DP12" s="46" t="n">
        <f aca="false">N(AND(DP$3&lt;=$E12,DP$4&gt;=$E12))</f>
        <v>0</v>
      </c>
      <c r="DQ12" s="46" t="n">
        <f aca="false">N(AND(DQ$3&lt;=$E12,DQ$4&gt;=$E12))</f>
        <v>0</v>
      </c>
      <c r="DR12" s="46" t="n">
        <f aca="false">N(AND(DR$3&lt;=$E12,DR$4&gt;=$E12))</f>
        <v>0</v>
      </c>
      <c r="DS12" s="46" t="n">
        <f aca="false">N(AND(DS$3&lt;=$E12,DS$4&gt;=$E12))</f>
        <v>0</v>
      </c>
      <c r="DT12" s="46" t="n">
        <f aca="false">N(AND(DT$3&lt;=$E12,DT$4&gt;=$E12))</f>
        <v>0</v>
      </c>
      <c r="DU12" s="46" t="n">
        <f aca="false">N(AND(DU$3&lt;=$E12,DU$4&gt;=$E12))</f>
        <v>0</v>
      </c>
      <c r="DV12" s="46" t="n">
        <f aca="false">N(AND(DV$3&lt;=$E12,DV$4&gt;=$E12))</f>
        <v>0</v>
      </c>
      <c r="DW12" s="46" t="n">
        <f aca="false">N(AND(DW$3&lt;=$E12,DW$4&gt;=$E12))</f>
        <v>0</v>
      </c>
      <c r="DX12" s="46" t="n">
        <f aca="false">N(AND(DX$3&lt;=$E12,DX$4&gt;=$E12))</f>
        <v>0</v>
      </c>
      <c r="DY12" s="46" t="n">
        <f aca="false">N(AND(DY$3&lt;=$E12,DY$4&gt;=$E12))</f>
        <v>0</v>
      </c>
      <c r="DZ12" s="46" t="n">
        <f aca="false">N(AND(DZ$3&lt;=$E12,DZ$4&gt;=$E12))</f>
        <v>0</v>
      </c>
      <c r="EA12" s="46" t="n">
        <f aca="false">N(AND(EA$3&lt;=$E12,EA$4&gt;=$E12))</f>
        <v>0</v>
      </c>
      <c r="EB12" s="46" t="n">
        <f aca="false">N(AND(EB$3&lt;=$E12,EB$4&gt;=$E12))</f>
        <v>0</v>
      </c>
      <c r="EC12" s="46" t="n">
        <f aca="false">N(AND(EC$3&lt;=$E12,EC$4&gt;=$E12))</f>
        <v>0</v>
      </c>
      <c r="ED12" s="46" t="n">
        <f aca="false">N(AND(ED$3&lt;=$E12,ED$4&gt;=$E12))</f>
        <v>0</v>
      </c>
      <c r="EE12" s="46" t="n">
        <f aca="false">N(AND(EE$3&lt;=$E12,EE$4&gt;=$E12))</f>
        <v>0</v>
      </c>
      <c r="EF12" s="46" t="n">
        <f aca="false">N(AND(EF$3&lt;=$E12,EF$4&gt;=$E12))</f>
        <v>0</v>
      </c>
      <c r="EG12" s="46" t="n">
        <f aca="false">N(AND(EG$3&lt;=$E12,EG$4&gt;=$E12))</f>
        <v>0</v>
      </c>
      <c r="EH12" s="46" t="n">
        <f aca="false">N(AND(EH$3&lt;=$E12,EH$4&gt;=$E12))</f>
        <v>0</v>
      </c>
      <c r="EI12" s="46" t="n">
        <f aca="false">N(AND(EI$3&lt;=$E12,EI$4&gt;=$E12))</f>
        <v>0</v>
      </c>
      <c r="EJ12" s="46" t="n">
        <f aca="false">N(AND(EJ$3&lt;=$E12,EJ$4&gt;=$E12))</f>
        <v>0</v>
      </c>
      <c r="EK12" s="46" t="n">
        <f aca="false">N(AND(EK$3&lt;=$E12,EK$4&gt;=$E12))</f>
        <v>0</v>
      </c>
      <c r="EL12" s="46" t="n">
        <f aca="false">N(AND(EL$3&lt;=$E12,EL$4&gt;=$E12))</f>
        <v>0</v>
      </c>
      <c r="EM12" s="46" t="n">
        <f aca="false">N(AND(EM$3&lt;=$E12,EM$4&gt;=$E12))</f>
        <v>0</v>
      </c>
      <c r="EN12" s="46" t="n">
        <f aca="false">N(AND(EN$3&lt;=$E12,EN$4&gt;=$E12))</f>
        <v>0</v>
      </c>
      <c r="EO12" s="46" t="n">
        <f aca="false">N(AND(EO$3&lt;=$E12,EO$4&gt;=$E12))</f>
        <v>0</v>
      </c>
      <c r="EP12" s="46" t="n">
        <f aca="false">N(AND(EP$3&lt;=$E12,EP$4&gt;=$E12))</f>
        <v>0</v>
      </c>
      <c r="EQ12" s="46" t="n">
        <f aca="false">N(AND(EQ$3&lt;=$E12,EQ$4&gt;=$E12))</f>
        <v>0</v>
      </c>
      <c r="ER12" s="46" t="n">
        <f aca="false">N(AND(ER$3&lt;=$E12,ER$4&gt;=$E12))</f>
        <v>0</v>
      </c>
      <c r="ES12" s="46" t="n">
        <f aca="false">N(AND(ES$3&lt;=$E12,ES$4&gt;=$E12))</f>
        <v>0</v>
      </c>
      <c r="ET12" s="46" t="n">
        <f aca="false">N(AND(ET$3&lt;=$E12,ET$4&gt;=$E12))</f>
        <v>0</v>
      </c>
    </row>
    <row r="13" customFormat="false" ht="15" hidden="false" customHeight="false" outlineLevel="0" collapsed="false">
      <c r="C13" s="0" t="s">
        <v>480</v>
      </c>
      <c r="D13" s="11" t="s">
        <v>474</v>
      </c>
      <c r="E13" s="44" t="n">
        <f aca="false">In_NTP+1</f>
        <v>47392</v>
      </c>
      <c r="F13" s="27" t="n">
        <f aca="false">In_COD</f>
        <v>48121</v>
      </c>
      <c r="I13" s="52" t="n">
        <f aca="false">SUM(J13:ET13)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</v>
      </c>
      <c r="L13" s="52" t="n">
        <f aca="false">MAX(0,MIN($F13,L$4)-MAX($E13,L$3)+1)/($F13-$E13+1)</f>
        <v>0</v>
      </c>
      <c r="M13" s="52" t="n">
        <f aca="false">MAX(0,MIN($F13,M$4)-MAX($E13,M$3)+1)/($F13-$E13+1)</f>
        <v>0</v>
      </c>
      <c r="N13" s="52" t="n">
        <f aca="false">MAX(0,MIN($F13,N$4)-MAX($E13,N$3)+1)/($F13-$E13+1)</f>
        <v>0</v>
      </c>
      <c r="O13" s="52" t="n">
        <f aca="false">MAX(0,MIN($F13,O$4)-MAX($E13,O$3)+1)/($F13-$E13+1)</f>
        <v>0</v>
      </c>
      <c r="P13" s="52" t="n">
        <f aca="false">MAX(0,MIN($F13,P$4)-MAX($E13,P$3)+1)/($F13-$E13+1)</f>
        <v>0</v>
      </c>
      <c r="Q13" s="52" t="n">
        <f aca="false">MAX(0,MIN($F13,Q$4)-MAX($E13,Q$3)+1)/($F13-$E13+1)</f>
        <v>0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0.126027397260274</v>
      </c>
      <c r="X13" s="52" t="n">
        <f aca="false">MAX(0,MIN($F13,X$4)-MAX($E13,X$3)+1)/($F13-$E13+1)</f>
        <v>0.123287671232877</v>
      </c>
      <c r="Y13" s="52" t="n">
        <f aca="false">MAX(0,MIN($F13,Y$4)-MAX($E13,Y$3)+1)/($F13-$E13+1)</f>
        <v>0.124657534246575</v>
      </c>
      <c r="Z13" s="52" t="n">
        <f aca="false">MAX(0,MIN($F13,Z$4)-MAX($E13,Z$3)+1)/($F13-$E13+1)</f>
        <v>0.126027397260274</v>
      </c>
      <c r="AA13" s="52" t="n">
        <f aca="false">MAX(0,MIN($F13,AA$4)-MAX($E13,AA$3)+1)/($F13-$E13+1)</f>
        <v>0.126027397260274</v>
      </c>
      <c r="AB13" s="52" t="n">
        <f aca="false">MAX(0,MIN($F13,AB$4)-MAX($E13,AB$3)+1)/($F13-$E13+1)</f>
        <v>0.123287671232877</v>
      </c>
      <c r="AC13" s="52" t="n">
        <f aca="false">MAX(0,MIN($F13,AC$4)-MAX($E13,AC$3)+1)/($F13-$E13+1)</f>
        <v>0.124657534246575</v>
      </c>
      <c r="AD13" s="52" t="n">
        <f aca="false">MAX(0,MIN($F13,AD$4)-MAX($E13,AD$3)+1)/($F13-$E13+1)</f>
        <v>0.126027397260274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  <c r="EP13" s="52" t="n">
        <f aca="false">MAX(0,MIN($F13,EP$4)-MAX($E13,EP$3)+1)/($F13-$E13+1)</f>
        <v>0</v>
      </c>
      <c r="EQ13" s="52" t="n">
        <f aca="false">MAX(0,MIN($F13,EQ$4)-MAX($E13,EQ$3)+1)/($F13-$E13+1)</f>
        <v>0</v>
      </c>
      <c r="ER13" s="52" t="n">
        <f aca="false">MAX(0,MIN($F13,ER$4)-MAX($E13,ER$3)+1)/($F13-$E13+1)</f>
        <v>0</v>
      </c>
      <c r="ES13" s="52" t="n">
        <f aca="false">MAX(0,MIN($F13,ES$4)-MAX($E13,ES$3)+1)/($F13-$E13+1)</f>
        <v>0</v>
      </c>
      <c r="ET13" s="52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6" t="n">
        <f aca="false">SUM(J14:ET14)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0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1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  <c r="EP14" s="46" t="n">
        <f aca="false">N(AND(EP$3&lt;=$E14,EP$4&gt;=$E14))</f>
        <v>0</v>
      </c>
      <c r="EQ14" s="46" t="n">
        <f aca="false">N(AND(EQ$3&lt;=$E14,EQ$4&gt;=$E14))</f>
        <v>0</v>
      </c>
      <c r="ER14" s="46" t="n">
        <f aca="false">N(AND(ER$3&lt;=$E14,ER$4&gt;=$E14))</f>
        <v>0</v>
      </c>
      <c r="ES14" s="46" t="n">
        <f aca="false">N(AND(ES$3&lt;=$E14,ES$4&gt;=$E14))</f>
        <v>0</v>
      </c>
      <c r="ET14" s="46" t="n">
        <f aca="false">N(AND(ET$3&lt;=$E14,ET$4&gt;=$E14))</f>
        <v>0</v>
      </c>
    </row>
    <row r="15" customFormat="false" ht="15" hidden="false" customHeight="false" outlineLevel="0" collapsed="false">
      <c r="C15" s="0" t="s">
        <v>363</v>
      </c>
      <c r="D15" s="11" t="s">
        <v>41</v>
      </c>
      <c r="E15" s="44" t="n">
        <f aca="false">In_COD+1</f>
        <v>48122</v>
      </c>
      <c r="F15" s="44" t="n">
        <f aca="false">EDATE(In_COD,In_Life*Months_In_Year)</f>
        <v>59079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0</v>
      </c>
      <c r="AA15" s="52" t="n">
        <f aca="false">MAX(0,(MIN($F15,AA$4)-MAX($E15,AA$3)+1)/AA$5)</f>
        <v>0</v>
      </c>
      <c r="AB15" s="52" t="n">
        <f aca="false">MAX(0,(MIN($F15,AB$4)-MAX($E15,AB$3)+1)/AB$5)</f>
        <v>0</v>
      </c>
      <c r="AC15" s="52" t="n">
        <f aca="false">MAX(0,(MIN($F15,AC$4)-MAX($E15,AC$3)+1)/AC$5)</f>
        <v>0</v>
      </c>
      <c r="AD15" s="52" t="n">
        <f aca="false">MAX(0,(MIN($F15,AD$4)-MAX($E15,AD$3)+1)/AD$5)</f>
        <v>0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  <c r="EP15" s="52" t="n">
        <f aca="false">MAX(0,(MIN($F15,EP$4)-MAX($E15,EP$3)+1)/EP$5)</f>
        <v>1</v>
      </c>
      <c r="EQ15" s="52" t="n">
        <f aca="false">MAX(0,(MIN($F15,EQ$4)-MAX($E15,EQ$3)+1)/EQ$5)</f>
        <v>1</v>
      </c>
      <c r="ER15" s="52" t="n">
        <f aca="false">MAX(0,(MIN($F15,ER$4)-MAX($E15,ER$3)+1)/ER$5)</f>
        <v>1</v>
      </c>
      <c r="ES15" s="52" t="n">
        <f aca="false">MAX(0,(MIN($F15,ES$4)-MAX($E15,ES$3)+1)/ES$5)</f>
        <v>1</v>
      </c>
      <c r="ET15" s="52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481</v>
      </c>
      <c r="D16" s="11" t="s">
        <v>41</v>
      </c>
      <c r="E16" s="44" t="n">
        <f aca="false">In_NTP+1</f>
        <v>47392</v>
      </c>
      <c r="F16" s="44" t="n">
        <f aca="false">EDATE(In_COD,In_Life*Months_In_Year)</f>
        <v>59079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0</v>
      </c>
      <c r="S16" s="52" t="n">
        <f aca="false">MAX(0,(MIN($F16,S$4)-MAX($E16,S$3)+1)/S$5)</f>
        <v>0</v>
      </c>
      <c r="T16" s="52" t="n">
        <f aca="false">MAX(0,(MIN($F16,T$4)-MAX($E16,T$3)+1)/T$5)</f>
        <v>0</v>
      </c>
      <c r="U16" s="52" t="n">
        <f aca="false">MAX(0,(MIN($F16,U$4)-MAX($E16,U$3)+1)/U$5)</f>
        <v>0</v>
      </c>
      <c r="V16" s="52" t="n">
        <f aca="false">MAX(0,(MIN($F16,V$4)-MAX($E16,V$3)+1)/V$5)</f>
        <v>0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  <c r="EP16" s="52" t="n">
        <f aca="false">MAX(0,(MIN($F16,EP$4)-MAX($E16,EP$3)+1)/EP$5)</f>
        <v>1</v>
      </c>
      <c r="EQ16" s="52" t="n">
        <f aca="false">MAX(0,(MIN($F16,EQ$4)-MAX($E16,EQ$3)+1)/EQ$5)</f>
        <v>1</v>
      </c>
      <c r="ER16" s="52" t="n">
        <f aca="false">MAX(0,(MIN($F16,ER$4)-MAX($E16,ER$3)+1)/ER$5)</f>
        <v>1</v>
      </c>
      <c r="ES16" s="52" t="n">
        <f aca="false">MAX(0,(MIN($F16,ES$4)-MAX($E16,ES$3)+1)/ES$5)</f>
        <v>1</v>
      </c>
      <c r="ET16" s="52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482</v>
      </c>
      <c r="D17" s="11" t="s">
        <v>41</v>
      </c>
      <c r="E17" s="44" t="n">
        <f aca="false">In_COD+1</f>
        <v>48122</v>
      </c>
      <c r="F17" s="44" t="n">
        <f aca="false">EDATE(In_COD,In_Debt_Tenor*Months_In_Year)</f>
        <v>51774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0</v>
      </c>
      <c r="AA17" s="52" t="n">
        <f aca="false">MAX(0,(MIN($F17,AA$4)-MAX($E17,AA$3)+1)/AA$5)</f>
        <v>0</v>
      </c>
      <c r="AB17" s="52" t="n">
        <f aca="false">MAX(0,(MIN($F17,AB$4)-MAX($E17,AB$3)+1)/AB$5)</f>
        <v>0</v>
      </c>
      <c r="AC17" s="52" t="n">
        <f aca="false">MAX(0,(MIN($F17,AC$4)-MAX($E17,AC$3)+1)/AC$5)</f>
        <v>0</v>
      </c>
      <c r="AD17" s="52" t="n">
        <f aca="false">MAX(0,(MIN($F17,AD$4)-MAX($E17,AD$3)+1)/AD$5)</f>
        <v>0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0</v>
      </c>
      <c r="BT17" s="52" t="n">
        <f aca="false">MAX(0,(MIN($F17,BT$4)-MAX($E17,BT$3)+1)/BT$5)</f>
        <v>0</v>
      </c>
      <c r="BU17" s="52" t="n">
        <f aca="false">MAX(0,(MIN($F17,BU$4)-MAX($E17,BU$3)+1)/BU$5)</f>
        <v>0</v>
      </c>
      <c r="BV17" s="52" t="n">
        <f aca="false">MAX(0,(MIN($F17,BV$4)-MAX($E17,BV$3)+1)/BV$5)</f>
        <v>0</v>
      </c>
      <c r="BW17" s="52" t="n">
        <f aca="false">MAX(0,(MIN($F17,BW$4)-MAX($E17,BW$3)+1)/BW$5)</f>
        <v>0</v>
      </c>
      <c r="BX17" s="52" t="n">
        <f aca="false">MAX(0,(MIN($F17,BX$4)-MAX($E17,BX$3)+1)/BX$5)</f>
        <v>0</v>
      </c>
      <c r="BY17" s="52" t="n">
        <f aca="false">MAX(0,(MIN($F17,BY$4)-MAX($E17,BY$3)+1)/BY$5)</f>
        <v>0</v>
      </c>
      <c r="BZ17" s="52" t="n">
        <f aca="false">MAX(0,(MIN($F17,BZ$4)-MAX($E17,BZ$3)+1)/BZ$5)</f>
        <v>0</v>
      </c>
      <c r="CA17" s="52" t="n">
        <f aca="false">MAX(0,(MIN($F17,CA$4)-MAX($E17,CA$3)+1)/CA$5)</f>
        <v>0</v>
      </c>
      <c r="CB17" s="52" t="n">
        <f aca="false">MAX(0,(MIN($F17,CB$4)-MAX($E17,CB$3)+1)/CB$5)</f>
        <v>0</v>
      </c>
      <c r="CC17" s="52" t="n">
        <f aca="false">MAX(0,(MIN($F17,CC$4)-MAX($E17,CC$3)+1)/CC$5)</f>
        <v>0</v>
      </c>
      <c r="CD17" s="52" t="n">
        <f aca="false">MAX(0,(MIN($F17,CD$4)-MAX($E17,CD$3)+1)/CD$5)</f>
        <v>0</v>
      </c>
      <c r="CE17" s="52" t="n">
        <f aca="false">MAX(0,(MIN($F17,CE$4)-MAX($E17,CE$3)+1)/CE$5)</f>
        <v>0</v>
      </c>
      <c r="CF17" s="52" t="n">
        <f aca="false">MAX(0,(MIN($F17,CF$4)-MAX($E17,CF$3)+1)/CF$5)</f>
        <v>0</v>
      </c>
      <c r="CG17" s="52" t="n">
        <f aca="false">MAX(0,(MIN($F17,CG$4)-MAX($E17,CG$3)+1)/CG$5)</f>
        <v>0</v>
      </c>
      <c r="CH17" s="52" t="n">
        <f aca="false">MAX(0,(MIN($F17,CH$4)-MAX($E17,CH$3)+1)/CH$5)</f>
        <v>0</v>
      </c>
      <c r="CI17" s="52" t="n">
        <f aca="false">MAX(0,(MIN($F17,CI$4)-MAX($E17,CI$3)+1)/CI$5)</f>
        <v>0</v>
      </c>
      <c r="CJ17" s="52" t="n">
        <f aca="false">MAX(0,(MIN($F17,CJ$4)-MAX($E17,CJ$3)+1)/CJ$5)</f>
        <v>0</v>
      </c>
      <c r="CK17" s="52" t="n">
        <f aca="false">MAX(0,(MIN($F17,CK$4)-MAX($E17,CK$3)+1)/CK$5)</f>
        <v>0</v>
      </c>
      <c r="CL17" s="52" t="n">
        <f aca="false">MAX(0,(MIN($F17,CL$4)-MAX($E17,CL$3)+1)/CL$5)</f>
        <v>0</v>
      </c>
      <c r="CM17" s="52" t="n">
        <f aca="false">MAX(0,(MIN($F17,CM$4)-MAX($E17,CM$3)+1)/CM$5)</f>
        <v>0</v>
      </c>
      <c r="CN17" s="52" t="n">
        <f aca="false">MAX(0,(MIN($F17,CN$4)-MAX($E17,CN$3)+1)/CN$5)</f>
        <v>0</v>
      </c>
      <c r="CO17" s="52" t="n">
        <f aca="false">MAX(0,(MIN($F17,CO$4)-MAX($E17,CO$3)+1)/CO$5)</f>
        <v>0</v>
      </c>
      <c r="CP17" s="52" t="n">
        <f aca="false">MAX(0,(MIN($F17,CP$4)-MAX($E17,CP$3)+1)/CP$5)</f>
        <v>0</v>
      </c>
      <c r="CQ17" s="52" t="n">
        <f aca="false">MAX(0,(MIN($F17,CQ$4)-MAX($E17,CQ$3)+1)/CQ$5)</f>
        <v>0</v>
      </c>
      <c r="CR17" s="52" t="n">
        <f aca="false">MAX(0,(MIN($F17,CR$4)-MAX($E17,CR$3)+1)/CR$5)</f>
        <v>0</v>
      </c>
      <c r="CS17" s="52" t="n">
        <f aca="false">MAX(0,(MIN($F17,CS$4)-MAX($E17,CS$3)+1)/CS$5)</f>
        <v>0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  <c r="EP17" s="52" t="n">
        <f aca="false">MAX(0,(MIN($F17,EP$4)-MAX($E17,EP$3)+1)/EP$5)</f>
        <v>0</v>
      </c>
      <c r="EQ17" s="52" t="n">
        <f aca="false">MAX(0,(MIN($F17,EQ$4)-MAX($E17,EQ$3)+1)/EQ$5)</f>
        <v>0</v>
      </c>
      <c r="ER17" s="52" t="n">
        <f aca="false">MAX(0,(MIN($F17,ER$4)-MAX($E17,ER$3)+1)/ER$5)</f>
        <v>0</v>
      </c>
      <c r="ES17" s="52" t="n">
        <f aca="false">MAX(0,(MIN($F17,ES$4)-MAX($E17,ES$3)+1)/ES$5)</f>
        <v>0</v>
      </c>
      <c r="ET17" s="52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483</v>
      </c>
      <c r="D18" s="11" t="s">
        <v>474</v>
      </c>
      <c r="E18" s="44" t="n">
        <f aca="false">In_COD+1</f>
        <v>48122</v>
      </c>
      <c r="F18" s="44" t="n">
        <f aca="false">EDATE(In_COD,In_Dep_Years*Months_In_Year)</f>
        <v>55426</v>
      </c>
      <c r="I18" s="52" t="n">
        <f aca="false">SUM(J18:ET18)</f>
        <v>1</v>
      </c>
      <c r="J18" s="52" t="n">
        <f aca="false">MAX(0,MIN($F18,J$4)-MAX($E18,J$3)+1)/($F18-$E18+1)</f>
        <v>0</v>
      </c>
      <c r="K18" s="52" t="n">
        <f aca="false">MAX(0,MIN($F18,K$4)-MAX($E18,K$3)+1)/($F18-$E18+1)</f>
        <v>0</v>
      </c>
      <c r="L18" s="52" t="n">
        <f aca="false">MAX(0,MIN($F18,L$4)-MAX($E18,L$3)+1)/($F18-$E18+1)</f>
        <v>0</v>
      </c>
      <c r="M18" s="52" t="n">
        <f aca="false">MAX(0,MIN($F18,M$4)-MAX($E18,M$3)+1)/($F18-$E18+1)</f>
        <v>0</v>
      </c>
      <c r="N18" s="52" t="n">
        <f aca="false">MAX(0,MIN($F18,N$4)-MAX($E18,N$3)+1)/($F18-$E18+1)</f>
        <v>0</v>
      </c>
      <c r="O18" s="52" t="n">
        <f aca="false">MAX(0,MIN($F18,O$4)-MAX($E18,O$3)+1)/($F18-$E18+1)</f>
        <v>0</v>
      </c>
      <c r="P18" s="52" t="n">
        <f aca="false">MAX(0,MIN($F18,P$4)-MAX($E18,P$3)+1)/($F18-$E18+1)</f>
        <v>0</v>
      </c>
      <c r="Q18" s="52" t="n">
        <f aca="false">MAX(0,MIN($F18,Q$4)-MAX($E18,Q$3)+1)/($F18-$E18+1)</f>
        <v>0</v>
      </c>
      <c r="R18" s="52" t="n">
        <f aca="false">MAX(0,MIN($F18,R$4)-MAX($E18,R$3)+1)/($F18-$E18+1)</f>
        <v>0</v>
      </c>
      <c r="S18" s="52" t="n">
        <f aca="false">MAX(0,MIN($F18,S$4)-MAX($E18,S$3)+1)/($F18-$E18+1)</f>
        <v>0</v>
      </c>
      <c r="T18" s="52" t="n">
        <f aca="false">MAX(0,MIN($F18,T$4)-MAX($E18,T$3)+1)/($F18-$E18+1)</f>
        <v>0</v>
      </c>
      <c r="U18" s="52" t="n">
        <f aca="false">MAX(0,MIN($F18,U$4)-MAX($E18,U$3)+1)/($F18-$E18+1)</f>
        <v>0</v>
      </c>
      <c r="V18" s="52" t="n">
        <f aca="false">MAX(0,MIN($F18,V$4)-MAX($E18,V$3)+1)/($F18-$E18+1)</f>
        <v>0</v>
      </c>
      <c r="W18" s="52" t="n">
        <f aca="false">MAX(0,MIN($F18,W$4)-MAX($E18,W$3)+1)/($F18-$E18+1)</f>
        <v>0</v>
      </c>
      <c r="X18" s="52" t="n">
        <f aca="false">MAX(0,MIN($F18,X$4)-MAX($E18,X$3)+1)/($F18-$E18+1)</f>
        <v>0</v>
      </c>
      <c r="Y18" s="52" t="n">
        <f aca="false">MAX(0,MIN($F18,Y$4)-MAX($E18,Y$3)+1)/($F18-$E18+1)</f>
        <v>0</v>
      </c>
      <c r="Z18" s="52" t="n">
        <f aca="false">MAX(0,MIN($F18,Z$4)-MAX($E18,Z$3)+1)/($F18-$E18+1)</f>
        <v>0</v>
      </c>
      <c r="AA18" s="52" t="n">
        <f aca="false">MAX(0,MIN($F18,AA$4)-MAX($E18,AA$3)+1)/($F18-$E18+1)</f>
        <v>0</v>
      </c>
      <c r="AB18" s="52" t="n">
        <f aca="false">MAX(0,MIN($F18,AB$4)-MAX($E18,AB$3)+1)/($F18-$E18+1)</f>
        <v>0</v>
      </c>
      <c r="AC18" s="52" t="n">
        <f aca="false">MAX(0,MIN($F18,AC$4)-MAX($E18,AC$3)+1)/($F18-$E18+1)</f>
        <v>0</v>
      </c>
      <c r="AD18" s="52" t="n">
        <f aca="false">MAX(0,MIN($F18,AD$4)-MAX($E18,AD$3)+1)/($F18-$E18+1)</f>
        <v>0</v>
      </c>
      <c r="AE18" s="52" t="n">
        <f aca="false">MAX(0,MIN($F18,AE$4)-MAX($E18,AE$3)+1)/($F18-$E18+1)</f>
        <v>0.0125941136208077</v>
      </c>
      <c r="AF18" s="52" t="n">
        <f aca="false">MAX(0,MIN($F18,AF$4)-MAX($E18,AF$3)+1)/($F18-$E18+1)</f>
        <v>0.0124572210814511</v>
      </c>
      <c r="AG18" s="52" t="n">
        <f aca="false">MAX(0,MIN($F18,AG$4)-MAX($E18,AG$3)+1)/($F18-$E18+1)</f>
        <v>0.0124572210814511</v>
      </c>
      <c r="AH18" s="52" t="n">
        <f aca="false">MAX(0,MIN($F18,AH$4)-MAX($E18,AH$3)+1)/($F18-$E18+1)</f>
        <v>0.0125941136208077</v>
      </c>
      <c r="AI18" s="52" t="n">
        <f aca="false">MAX(0,MIN($F18,AI$4)-MAX($E18,AI$3)+1)/($F18-$E18+1)</f>
        <v>0.0125941136208077</v>
      </c>
      <c r="AJ18" s="52" t="n">
        <f aca="false">MAX(0,MIN($F18,AJ$4)-MAX($E18,AJ$3)+1)/($F18-$E18+1)</f>
        <v>0.0123203285420945</v>
      </c>
      <c r="AK18" s="52" t="n">
        <f aca="false">MAX(0,MIN($F18,AK$4)-MAX($E18,AK$3)+1)/($F18-$E18+1)</f>
        <v>0.0124572210814511</v>
      </c>
      <c r="AL18" s="52" t="n">
        <f aca="false">MAX(0,MIN($F18,AL$4)-MAX($E18,AL$3)+1)/($F18-$E18+1)</f>
        <v>0.0125941136208077</v>
      </c>
      <c r="AM18" s="52" t="n">
        <f aca="false">MAX(0,MIN($F18,AM$4)-MAX($E18,AM$3)+1)/($F18-$E18+1)</f>
        <v>0.0125941136208077</v>
      </c>
      <c r="AN18" s="52" t="n">
        <f aca="false">MAX(0,MIN($F18,AN$4)-MAX($E18,AN$3)+1)/($F18-$E18+1)</f>
        <v>0.0123203285420945</v>
      </c>
      <c r="AO18" s="52" t="n">
        <f aca="false">MAX(0,MIN($F18,AO$4)-MAX($E18,AO$3)+1)/($F18-$E18+1)</f>
        <v>0.0124572210814511</v>
      </c>
      <c r="AP18" s="52" t="n">
        <f aca="false">MAX(0,MIN($F18,AP$4)-MAX($E18,AP$3)+1)/($F18-$E18+1)</f>
        <v>0.0125941136208077</v>
      </c>
      <c r="AQ18" s="52" t="n">
        <f aca="false">MAX(0,MIN($F18,AQ$4)-MAX($E18,AQ$3)+1)/($F18-$E18+1)</f>
        <v>0.0125941136208077</v>
      </c>
      <c r="AR18" s="52" t="n">
        <f aca="false">MAX(0,MIN($F18,AR$4)-MAX($E18,AR$3)+1)/($F18-$E18+1)</f>
        <v>0.0123203285420945</v>
      </c>
      <c r="AS18" s="52" t="n">
        <f aca="false">MAX(0,MIN($F18,AS$4)-MAX($E18,AS$3)+1)/($F18-$E18+1)</f>
        <v>0.0124572210814511</v>
      </c>
      <c r="AT18" s="52" t="n">
        <f aca="false">MAX(0,MIN($F18,AT$4)-MAX($E18,AT$3)+1)/($F18-$E18+1)</f>
        <v>0.0125941136208077</v>
      </c>
      <c r="AU18" s="52" t="n">
        <f aca="false">MAX(0,MIN($F18,AU$4)-MAX($E18,AU$3)+1)/($F18-$E18+1)</f>
        <v>0.0125941136208077</v>
      </c>
      <c r="AV18" s="52" t="n">
        <f aca="false">MAX(0,MIN($F18,AV$4)-MAX($E18,AV$3)+1)/($F18-$E18+1)</f>
        <v>0.0124572210814511</v>
      </c>
      <c r="AW18" s="52" t="n">
        <f aca="false">MAX(0,MIN($F18,AW$4)-MAX($E18,AW$3)+1)/($F18-$E18+1)</f>
        <v>0.0124572210814511</v>
      </c>
      <c r="AX18" s="52" t="n">
        <f aca="false">MAX(0,MIN($F18,AX$4)-MAX($E18,AX$3)+1)/($F18-$E18+1)</f>
        <v>0.0125941136208077</v>
      </c>
      <c r="AY18" s="52" t="n">
        <f aca="false">MAX(0,MIN($F18,AY$4)-MAX($E18,AY$3)+1)/($F18-$E18+1)</f>
        <v>0.0125941136208077</v>
      </c>
      <c r="AZ18" s="52" t="n">
        <f aca="false">MAX(0,MIN($F18,AZ$4)-MAX($E18,AZ$3)+1)/($F18-$E18+1)</f>
        <v>0.0123203285420945</v>
      </c>
      <c r="BA18" s="52" t="n">
        <f aca="false">MAX(0,MIN($F18,BA$4)-MAX($E18,BA$3)+1)/($F18-$E18+1)</f>
        <v>0.0124572210814511</v>
      </c>
      <c r="BB18" s="52" t="n">
        <f aca="false">MAX(0,MIN($F18,BB$4)-MAX($E18,BB$3)+1)/($F18-$E18+1)</f>
        <v>0.0125941136208077</v>
      </c>
      <c r="BC18" s="52" t="n">
        <f aca="false">MAX(0,MIN($F18,BC$4)-MAX($E18,BC$3)+1)/($F18-$E18+1)</f>
        <v>0.0125941136208077</v>
      </c>
      <c r="BD18" s="52" t="n">
        <f aca="false">MAX(0,MIN($F18,BD$4)-MAX($E18,BD$3)+1)/($F18-$E18+1)</f>
        <v>0.0123203285420945</v>
      </c>
      <c r="BE18" s="52" t="n">
        <f aca="false">MAX(0,MIN($F18,BE$4)-MAX($E18,BE$3)+1)/($F18-$E18+1)</f>
        <v>0.0124572210814511</v>
      </c>
      <c r="BF18" s="52" t="n">
        <f aca="false">MAX(0,MIN($F18,BF$4)-MAX($E18,BF$3)+1)/($F18-$E18+1)</f>
        <v>0.0125941136208077</v>
      </c>
      <c r="BG18" s="52" t="n">
        <f aca="false">MAX(0,MIN($F18,BG$4)-MAX($E18,BG$3)+1)/($F18-$E18+1)</f>
        <v>0.0125941136208077</v>
      </c>
      <c r="BH18" s="52" t="n">
        <f aca="false">MAX(0,MIN($F18,BH$4)-MAX($E18,BH$3)+1)/($F18-$E18+1)</f>
        <v>0.0123203285420945</v>
      </c>
      <c r="BI18" s="52" t="n">
        <f aca="false">MAX(0,MIN($F18,BI$4)-MAX($E18,BI$3)+1)/($F18-$E18+1)</f>
        <v>0.0124572210814511</v>
      </c>
      <c r="BJ18" s="52" t="n">
        <f aca="false">MAX(0,MIN($F18,BJ$4)-MAX($E18,BJ$3)+1)/($F18-$E18+1)</f>
        <v>0.0125941136208077</v>
      </c>
      <c r="BK18" s="52" t="n">
        <f aca="false">MAX(0,MIN($F18,BK$4)-MAX($E18,BK$3)+1)/($F18-$E18+1)</f>
        <v>0.0125941136208077</v>
      </c>
      <c r="BL18" s="52" t="n">
        <f aca="false">MAX(0,MIN($F18,BL$4)-MAX($E18,BL$3)+1)/($F18-$E18+1)</f>
        <v>0.0124572210814511</v>
      </c>
      <c r="BM18" s="52" t="n">
        <f aca="false">MAX(0,MIN($F18,BM$4)-MAX($E18,BM$3)+1)/($F18-$E18+1)</f>
        <v>0.0124572210814511</v>
      </c>
      <c r="BN18" s="52" t="n">
        <f aca="false">MAX(0,MIN($F18,BN$4)-MAX($E18,BN$3)+1)/($F18-$E18+1)</f>
        <v>0.0125941136208077</v>
      </c>
      <c r="BO18" s="52" t="n">
        <f aca="false">MAX(0,MIN($F18,BO$4)-MAX($E18,BO$3)+1)/($F18-$E18+1)</f>
        <v>0.0125941136208077</v>
      </c>
      <c r="BP18" s="52" t="n">
        <f aca="false">MAX(0,MIN($F18,BP$4)-MAX($E18,BP$3)+1)/($F18-$E18+1)</f>
        <v>0.0123203285420945</v>
      </c>
      <c r="BQ18" s="52" t="n">
        <f aca="false">MAX(0,MIN($F18,BQ$4)-MAX($E18,BQ$3)+1)/($F18-$E18+1)</f>
        <v>0.0124572210814511</v>
      </c>
      <c r="BR18" s="52" t="n">
        <f aca="false">MAX(0,MIN($F18,BR$4)-MAX($E18,BR$3)+1)/($F18-$E18+1)</f>
        <v>0.0125941136208077</v>
      </c>
      <c r="BS18" s="52" t="n">
        <f aca="false">MAX(0,MIN($F18,BS$4)-MAX($E18,BS$3)+1)/($F18-$E18+1)</f>
        <v>0.0125941136208077</v>
      </c>
      <c r="BT18" s="52" t="n">
        <f aca="false">MAX(0,MIN($F18,BT$4)-MAX($E18,BT$3)+1)/($F18-$E18+1)</f>
        <v>0.0123203285420945</v>
      </c>
      <c r="BU18" s="52" t="n">
        <f aca="false">MAX(0,MIN($F18,BU$4)-MAX($E18,BU$3)+1)/($F18-$E18+1)</f>
        <v>0.0124572210814511</v>
      </c>
      <c r="BV18" s="52" t="n">
        <f aca="false">MAX(0,MIN($F18,BV$4)-MAX($E18,BV$3)+1)/($F18-$E18+1)</f>
        <v>0.0125941136208077</v>
      </c>
      <c r="BW18" s="52" t="n">
        <f aca="false">MAX(0,MIN($F18,BW$4)-MAX($E18,BW$3)+1)/($F18-$E18+1)</f>
        <v>0.0125941136208077</v>
      </c>
      <c r="BX18" s="52" t="n">
        <f aca="false">MAX(0,MIN($F18,BX$4)-MAX($E18,BX$3)+1)/($F18-$E18+1)</f>
        <v>0.0123203285420945</v>
      </c>
      <c r="BY18" s="52" t="n">
        <f aca="false">MAX(0,MIN($F18,BY$4)-MAX($E18,BY$3)+1)/($F18-$E18+1)</f>
        <v>0.0124572210814511</v>
      </c>
      <c r="BZ18" s="52" t="n">
        <f aca="false">MAX(0,MIN($F18,BZ$4)-MAX($E18,BZ$3)+1)/($F18-$E18+1)</f>
        <v>0.0125941136208077</v>
      </c>
      <c r="CA18" s="52" t="n">
        <f aca="false">MAX(0,MIN($F18,CA$4)-MAX($E18,CA$3)+1)/($F18-$E18+1)</f>
        <v>0.0125941136208077</v>
      </c>
      <c r="CB18" s="52" t="n">
        <f aca="false">MAX(0,MIN($F18,CB$4)-MAX($E18,CB$3)+1)/($F18-$E18+1)</f>
        <v>0.0124572210814511</v>
      </c>
      <c r="CC18" s="52" t="n">
        <f aca="false">MAX(0,MIN($F18,CC$4)-MAX($E18,CC$3)+1)/($F18-$E18+1)</f>
        <v>0.0124572210814511</v>
      </c>
      <c r="CD18" s="52" t="n">
        <f aca="false">MAX(0,MIN($F18,CD$4)-MAX($E18,CD$3)+1)/($F18-$E18+1)</f>
        <v>0.0125941136208077</v>
      </c>
      <c r="CE18" s="52" t="n">
        <f aca="false">MAX(0,MIN($F18,CE$4)-MAX($E18,CE$3)+1)/($F18-$E18+1)</f>
        <v>0.0125941136208077</v>
      </c>
      <c r="CF18" s="52" t="n">
        <f aca="false">MAX(0,MIN($F18,CF$4)-MAX($E18,CF$3)+1)/($F18-$E18+1)</f>
        <v>0.0123203285420945</v>
      </c>
      <c r="CG18" s="52" t="n">
        <f aca="false">MAX(0,MIN($F18,CG$4)-MAX($E18,CG$3)+1)/($F18-$E18+1)</f>
        <v>0.0124572210814511</v>
      </c>
      <c r="CH18" s="52" t="n">
        <f aca="false">MAX(0,MIN($F18,CH$4)-MAX($E18,CH$3)+1)/($F18-$E18+1)</f>
        <v>0.0125941136208077</v>
      </c>
      <c r="CI18" s="52" t="n">
        <f aca="false">MAX(0,MIN($F18,CI$4)-MAX($E18,CI$3)+1)/($F18-$E18+1)</f>
        <v>0.0125941136208077</v>
      </c>
      <c r="CJ18" s="52" t="n">
        <f aca="false">MAX(0,MIN($F18,CJ$4)-MAX($E18,CJ$3)+1)/($F18-$E18+1)</f>
        <v>0.0123203285420945</v>
      </c>
      <c r="CK18" s="52" t="n">
        <f aca="false">MAX(0,MIN($F18,CK$4)-MAX($E18,CK$3)+1)/($F18-$E18+1)</f>
        <v>0.0124572210814511</v>
      </c>
      <c r="CL18" s="52" t="n">
        <f aca="false">MAX(0,MIN($F18,CL$4)-MAX($E18,CL$3)+1)/($F18-$E18+1)</f>
        <v>0.0125941136208077</v>
      </c>
      <c r="CM18" s="52" t="n">
        <f aca="false">MAX(0,MIN($F18,CM$4)-MAX($E18,CM$3)+1)/($F18-$E18+1)</f>
        <v>0.0125941136208077</v>
      </c>
      <c r="CN18" s="52" t="n">
        <f aca="false">MAX(0,MIN($F18,CN$4)-MAX($E18,CN$3)+1)/($F18-$E18+1)</f>
        <v>0.0123203285420945</v>
      </c>
      <c r="CO18" s="52" t="n">
        <f aca="false">MAX(0,MIN($F18,CO$4)-MAX($E18,CO$3)+1)/($F18-$E18+1)</f>
        <v>0.0124572210814511</v>
      </c>
      <c r="CP18" s="52" t="n">
        <f aca="false">MAX(0,MIN($F18,CP$4)-MAX($E18,CP$3)+1)/($F18-$E18+1)</f>
        <v>0.0125941136208077</v>
      </c>
      <c r="CQ18" s="52" t="n">
        <f aca="false">MAX(0,MIN($F18,CQ$4)-MAX($E18,CQ$3)+1)/($F18-$E18+1)</f>
        <v>0.0125941136208077</v>
      </c>
      <c r="CR18" s="52" t="n">
        <f aca="false">MAX(0,MIN($F18,CR$4)-MAX($E18,CR$3)+1)/($F18-$E18+1)</f>
        <v>0.0124572210814511</v>
      </c>
      <c r="CS18" s="52" t="n">
        <f aca="false">MAX(0,MIN($F18,CS$4)-MAX($E18,CS$3)+1)/($F18-$E18+1)</f>
        <v>0.0124572210814511</v>
      </c>
      <c r="CT18" s="52" t="n">
        <f aca="false">MAX(0,MIN($F18,CT$4)-MAX($E18,CT$3)+1)/($F18-$E18+1)</f>
        <v>0.0125941136208077</v>
      </c>
      <c r="CU18" s="52" t="n">
        <f aca="false">MAX(0,MIN($F18,CU$4)-MAX($E18,CU$3)+1)/($F18-$E18+1)</f>
        <v>0.0125941136208077</v>
      </c>
      <c r="CV18" s="52" t="n">
        <f aca="false">MAX(0,MIN($F18,CV$4)-MAX($E18,CV$3)+1)/($F18-$E18+1)</f>
        <v>0.0123203285420945</v>
      </c>
      <c r="CW18" s="52" t="n">
        <f aca="false">MAX(0,MIN($F18,CW$4)-MAX($E18,CW$3)+1)/($F18-$E18+1)</f>
        <v>0.0124572210814511</v>
      </c>
      <c r="CX18" s="52" t="n">
        <f aca="false">MAX(0,MIN($F18,CX$4)-MAX($E18,CX$3)+1)/($F18-$E18+1)</f>
        <v>0.0125941136208077</v>
      </c>
      <c r="CY18" s="52" t="n">
        <f aca="false">MAX(0,MIN($F18,CY$4)-MAX($E18,CY$3)+1)/($F18-$E18+1)</f>
        <v>0.0125941136208077</v>
      </c>
      <c r="CZ18" s="52" t="n">
        <f aca="false">MAX(0,MIN($F18,CZ$4)-MAX($E18,CZ$3)+1)/($F18-$E18+1)</f>
        <v>0.0123203285420945</v>
      </c>
      <c r="DA18" s="52" t="n">
        <f aca="false">MAX(0,MIN($F18,DA$4)-MAX($E18,DA$3)+1)/($F18-$E18+1)</f>
        <v>0.0124572210814511</v>
      </c>
      <c r="DB18" s="52" t="n">
        <f aca="false">MAX(0,MIN($F18,DB$4)-MAX($E18,DB$3)+1)/($F18-$E18+1)</f>
        <v>0.0125941136208077</v>
      </c>
      <c r="DC18" s="52" t="n">
        <f aca="false">MAX(0,MIN($F18,DC$4)-MAX($E18,DC$3)+1)/($F18-$E18+1)</f>
        <v>0.0125941136208077</v>
      </c>
      <c r="DD18" s="52" t="n">
        <f aca="false">MAX(0,MIN($F18,DD$4)-MAX($E18,DD$3)+1)/($F18-$E18+1)</f>
        <v>0.0123203285420945</v>
      </c>
      <c r="DE18" s="52" t="n">
        <f aca="false">MAX(0,MIN($F18,DE$4)-MAX($E18,DE$3)+1)/($F18-$E18+1)</f>
        <v>0.0124572210814511</v>
      </c>
      <c r="DF18" s="52" t="n">
        <f aca="false">MAX(0,MIN($F18,DF$4)-MAX($E18,DF$3)+1)/($F18-$E18+1)</f>
        <v>0.0125941136208077</v>
      </c>
      <c r="DG18" s="52" t="n">
        <f aca="false">MAX(0,MIN($F18,DG$4)-MAX($E18,DG$3)+1)/($F18-$E18+1)</f>
        <v>0</v>
      </c>
      <c r="DH18" s="52" t="n">
        <f aca="false">MAX(0,MIN($F18,DH$4)-MAX($E18,DH$3)+1)/($F18-$E18+1)</f>
        <v>0</v>
      </c>
      <c r="DI18" s="52" t="n">
        <f aca="false">MAX(0,MIN($F18,DI$4)-MAX($E18,DI$3)+1)/($F18-$E18+1)</f>
        <v>0</v>
      </c>
      <c r="DJ18" s="52" t="n">
        <f aca="false">MAX(0,MIN($F18,DJ$4)-MAX($E18,DJ$3)+1)/($F18-$E18+1)</f>
        <v>0</v>
      </c>
      <c r="DK18" s="52" t="n">
        <f aca="false">MAX(0,MIN($F18,DK$4)-MAX($E18,DK$3)+1)/($F18-$E18+1)</f>
        <v>0</v>
      </c>
      <c r="DL18" s="52" t="n">
        <f aca="false">MAX(0,MIN($F18,DL$4)-MAX($E18,DL$3)+1)/($F18-$E18+1)</f>
        <v>0</v>
      </c>
      <c r="DM18" s="52" t="n">
        <f aca="false">MAX(0,MIN($F18,DM$4)-MAX($E18,DM$3)+1)/($F18-$E18+1)</f>
        <v>0</v>
      </c>
      <c r="DN18" s="52" t="n">
        <f aca="false">MAX(0,MIN($F18,DN$4)-MAX($E18,DN$3)+1)/($F18-$E18+1)</f>
        <v>0</v>
      </c>
      <c r="DO18" s="52" t="n">
        <f aca="false">MAX(0,MIN($F18,DO$4)-MAX($E18,DO$3)+1)/($F18-$E18+1)</f>
        <v>0</v>
      </c>
      <c r="DP18" s="52" t="n">
        <f aca="false">MAX(0,MIN($F18,DP$4)-MAX($E18,DP$3)+1)/($F18-$E18+1)</f>
        <v>0</v>
      </c>
      <c r="DQ18" s="52" t="n">
        <f aca="false">MAX(0,MIN($F18,DQ$4)-MAX($E18,DQ$3)+1)/($F18-$E18+1)</f>
        <v>0</v>
      </c>
      <c r="DR18" s="52" t="n">
        <f aca="false">MAX(0,MIN($F18,DR$4)-MAX($E18,DR$3)+1)/($F18-$E18+1)</f>
        <v>0</v>
      </c>
      <c r="DS18" s="52" t="n">
        <f aca="false">MAX(0,MIN($F18,DS$4)-MAX($E18,DS$3)+1)/($F18-$E18+1)</f>
        <v>0</v>
      </c>
      <c r="DT18" s="52" t="n">
        <f aca="false">MAX(0,MIN($F18,DT$4)-MAX($E18,DT$3)+1)/($F18-$E18+1)</f>
        <v>0</v>
      </c>
      <c r="DU18" s="52" t="n">
        <f aca="false">MAX(0,MIN($F18,DU$4)-MAX($E18,DU$3)+1)/($F18-$E18+1)</f>
        <v>0</v>
      </c>
      <c r="DV18" s="52" t="n">
        <f aca="false">MAX(0,MIN($F18,DV$4)-MAX($E18,DV$3)+1)/($F18-$E18+1)</f>
        <v>0</v>
      </c>
      <c r="DW18" s="52" t="n">
        <f aca="false">MAX(0,MIN($F18,DW$4)-MAX($E18,DW$3)+1)/($F18-$E18+1)</f>
        <v>0</v>
      </c>
      <c r="DX18" s="52" t="n">
        <f aca="false">MAX(0,MIN($F18,DX$4)-MAX($E18,DX$3)+1)/($F18-$E18+1)</f>
        <v>0</v>
      </c>
      <c r="DY18" s="52" t="n">
        <f aca="false">MAX(0,MIN($F18,DY$4)-MAX($E18,DY$3)+1)/($F18-$E18+1)</f>
        <v>0</v>
      </c>
      <c r="DZ18" s="52" t="n">
        <f aca="false">MAX(0,MIN($F18,DZ$4)-MAX($E18,DZ$3)+1)/($F18-$E18+1)</f>
        <v>0</v>
      </c>
      <c r="EA18" s="52" t="n">
        <f aca="false">MAX(0,MIN($F18,EA$4)-MAX($E18,EA$3)+1)/($F18-$E18+1)</f>
        <v>0</v>
      </c>
      <c r="EB18" s="52" t="n">
        <f aca="false">MAX(0,MIN($F18,EB$4)-MAX($E18,EB$3)+1)/($F18-$E18+1)</f>
        <v>0</v>
      </c>
      <c r="EC18" s="52" t="n">
        <f aca="false">MAX(0,MIN($F18,EC$4)-MAX($E18,EC$3)+1)/($F18-$E18+1)</f>
        <v>0</v>
      </c>
      <c r="ED18" s="52" t="n">
        <f aca="false">MAX(0,MIN($F18,ED$4)-MAX($E18,ED$3)+1)/($F18-$E18+1)</f>
        <v>0</v>
      </c>
      <c r="EE18" s="52" t="n">
        <f aca="false">MAX(0,MIN($F18,EE$4)-MAX($E18,EE$3)+1)/($F18-$E18+1)</f>
        <v>0</v>
      </c>
      <c r="EF18" s="52" t="n">
        <f aca="false">MAX(0,MIN($F18,EF$4)-MAX($E18,EF$3)+1)/($F18-$E18+1)</f>
        <v>0</v>
      </c>
      <c r="EG18" s="52" t="n">
        <f aca="false">MAX(0,MIN($F18,EG$4)-MAX($E18,EG$3)+1)/($F18-$E18+1)</f>
        <v>0</v>
      </c>
      <c r="EH18" s="52" t="n">
        <f aca="false">MAX(0,MIN($F18,EH$4)-MAX($E18,EH$3)+1)/($F18-$E18+1)</f>
        <v>0</v>
      </c>
      <c r="EI18" s="52" t="n">
        <f aca="false">MAX(0,MIN($F18,EI$4)-MAX($E18,EI$3)+1)/($F18-$E18+1)</f>
        <v>0</v>
      </c>
      <c r="EJ18" s="52" t="n">
        <f aca="false">MAX(0,MIN($F18,EJ$4)-MAX($E18,EJ$3)+1)/($F18-$E18+1)</f>
        <v>0</v>
      </c>
      <c r="EK18" s="52" t="n">
        <f aca="false">MAX(0,MIN($F18,EK$4)-MAX($E18,EK$3)+1)/($F18-$E18+1)</f>
        <v>0</v>
      </c>
      <c r="EL18" s="52" t="n">
        <f aca="false">MAX(0,MIN($F18,EL$4)-MAX($E18,EL$3)+1)/($F18-$E18+1)</f>
        <v>0</v>
      </c>
      <c r="EM18" s="52" t="n">
        <f aca="false">MAX(0,MIN($F18,EM$4)-MAX($E18,EM$3)+1)/($F18-$E18+1)</f>
        <v>0</v>
      </c>
      <c r="EN18" s="52" t="n">
        <f aca="false">MAX(0,MIN($F18,EN$4)-MAX($E18,EN$3)+1)/($F18-$E18+1)</f>
        <v>0</v>
      </c>
      <c r="EO18" s="52" t="n">
        <f aca="false">MAX(0,MIN($F18,EO$4)-MAX($E18,EO$3)+1)/($F18-$E18+1)</f>
        <v>0</v>
      </c>
      <c r="EP18" s="52" t="n">
        <f aca="false">MAX(0,MIN($F18,EP$4)-MAX($E18,EP$3)+1)/($F18-$E18+1)</f>
        <v>0</v>
      </c>
      <c r="EQ18" s="52" t="n">
        <f aca="false">MAX(0,MIN($F18,EQ$4)-MAX($E18,EQ$3)+1)/($F18-$E18+1)</f>
        <v>0</v>
      </c>
      <c r="ER18" s="52" t="n">
        <f aca="false">MAX(0,MIN($F18,ER$4)-MAX($E18,ER$3)+1)/($F18-$E18+1)</f>
        <v>0</v>
      </c>
      <c r="ES18" s="52" t="n">
        <f aca="false">MAX(0,MIN($F18,ES$4)-MAX($E18,ES$3)+1)/($F18-$E18+1)</f>
        <v>0</v>
      </c>
      <c r="ET18" s="52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484</v>
      </c>
      <c r="D19" s="11" t="s">
        <v>41</v>
      </c>
      <c r="E19" s="44" t="n">
        <f aca="false">In_Freeze_Start+1</f>
        <v>47300</v>
      </c>
      <c r="F19" s="44" t="n">
        <f aca="false">In_Freeze_Start+In_Freeze_On*(In_Freeze_End-In_Freeze_Start)-1</f>
        <v>47483</v>
      </c>
      <c r="J19" s="52" t="n">
        <f aca="false">MAX(0,(MIN($F19,J$4)-MAX($E19,J$3)+1)/J$5)</f>
        <v>0</v>
      </c>
      <c r="K19" s="52" t="n">
        <f aca="false">MAX(0,(MIN($F19,K$4)-MAX($E19,K$3)+1)/K$5)</f>
        <v>0</v>
      </c>
      <c r="L19" s="52" t="n">
        <f aca="false">MAX(0,(MIN($F19,L$4)-MAX($E19,L$3)+1)/L$5)</f>
        <v>0</v>
      </c>
      <c r="M19" s="52" t="n">
        <f aca="false">MAX(0,(MIN($F19,M$4)-MAX($E19,M$3)+1)/M$5)</f>
        <v>0</v>
      </c>
      <c r="N19" s="52" t="n">
        <f aca="false">MAX(0,(MIN($F19,N$4)-MAX($E19,N$3)+1)/N$5)</f>
        <v>0</v>
      </c>
      <c r="O19" s="52" t="n">
        <f aca="false">MAX(0,(MIN($F19,O$4)-MAX($E19,O$3)+1)/O$5)</f>
        <v>0</v>
      </c>
      <c r="P19" s="52" t="n">
        <f aca="false">MAX(0,(MIN($F19,P$4)-MAX($E19,P$3)+1)/P$5)</f>
        <v>0</v>
      </c>
      <c r="Q19" s="52" t="n">
        <f aca="false">MAX(0,(MIN($F19,Q$4)-MAX($E19,Q$3)+1)/Q$5)</f>
        <v>0</v>
      </c>
      <c r="R19" s="52" t="n">
        <f aca="false">MAX(0,(MIN($F19,R$4)-MAX($E19,R$3)+1)/R$5)</f>
        <v>0</v>
      </c>
      <c r="S19" s="52" t="n">
        <f aca="false">MAX(0,(MIN($F19,S$4)-MAX($E19,S$3)+1)/S$5)</f>
        <v>0</v>
      </c>
      <c r="T19" s="52" t="n">
        <f aca="false">MAX(0,(MIN($F19,T$4)-MAX($E19,T$3)+1)/T$5)</f>
        <v>0</v>
      </c>
      <c r="U19" s="52" t="n">
        <f aca="false">MAX(0,(MIN($F19,U$4)-MAX($E19,U$3)+1)/U$5)</f>
        <v>0</v>
      </c>
      <c r="V19" s="52" t="n">
        <f aca="false">MAX(0,(MIN($F19,V$4)-MAX($E19,V$3)+1)/V$5)</f>
        <v>1</v>
      </c>
      <c r="W19" s="52" t="n">
        <f aca="false">MAX(0,(MIN($F19,W$4)-MAX($E19,W$3)+1)/W$5)</f>
        <v>1</v>
      </c>
      <c r="X19" s="52" t="n">
        <f aca="false">MAX(0,(MIN($F19,X$4)-MAX($E19,X$3)+1)/X$5)</f>
        <v>0</v>
      </c>
      <c r="Y19" s="52" t="n">
        <f aca="false">MAX(0,(MIN($F19,Y$4)-MAX($E19,Y$3)+1)/Y$5)</f>
        <v>0</v>
      </c>
      <c r="Z19" s="52" t="n">
        <f aca="false">MAX(0,(MIN($F19,Z$4)-MAX($E19,Z$3)+1)/Z$5)</f>
        <v>0</v>
      </c>
      <c r="AA19" s="52" t="n">
        <f aca="false">MAX(0,(MIN($F19,AA$4)-MAX($E19,AA$3)+1)/AA$5)</f>
        <v>0</v>
      </c>
      <c r="AB19" s="52" t="n">
        <f aca="false">MAX(0,(MIN($F19,AB$4)-MAX($E19,AB$3)+1)/AB$5)</f>
        <v>0</v>
      </c>
      <c r="AC19" s="52" t="n">
        <f aca="false">MAX(0,(MIN($F19,AC$4)-MAX($E19,AC$3)+1)/AC$5)</f>
        <v>0</v>
      </c>
      <c r="AD19" s="52" t="n">
        <f aca="false">MAX(0,(MIN($F19,AD$4)-MAX($E19,AD$3)+1)/AD$5)</f>
        <v>0</v>
      </c>
      <c r="AE19" s="52" t="n">
        <f aca="false">MAX(0,(MIN($F19,AE$4)-MAX($E19,AE$3)+1)/AE$5)</f>
        <v>0</v>
      </c>
      <c r="AF19" s="52" t="n">
        <f aca="false">MAX(0,(MIN($F19,AF$4)-MAX($E19,AF$3)+1)/AF$5)</f>
        <v>0</v>
      </c>
      <c r="AG19" s="52" t="n">
        <f aca="false">MAX(0,(MIN($F19,AG$4)-MAX($E19,AG$3)+1)/AG$5)</f>
        <v>0</v>
      </c>
      <c r="AH19" s="52" t="n">
        <f aca="false">MAX(0,(MIN($F19,AH$4)-MAX($E19,AH$3)+1)/AH$5)</f>
        <v>0</v>
      </c>
      <c r="AI19" s="52" t="n">
        <f aca="false">MAX(0,(MIN($F19,AI$4)-MAX($E19,AI$3)+1)/AI$5)</f>
        <v>0</v>
      </c>
      <c r="AJ19" s="52" t="n">
        <f aca="false">MAX(0,(MIN($F19,AJ$4)-MAX($E19,AJ$3)+1)/AJ$5)</f>
        <v>0</v>
      </c>
      <c r="AK19" s="52" t="n">
        <f aca="false">MAX(0,(MIN($F19,AK$4)-MAX($E19,AK$3)+1)/AK$5)</f>
        <v>0</v>
      </c>
      <c r="AL19" s="52" t="n">
        <f aca="false">MAX(0,(MIN($F19,AL$4)-MAX($E19,AL$3)+1)/AL$5)</f>
        <v>0</v>
      </c>
      <c r="AM19" s="52" t="n">
        <f aca="false">MAX(0,(MIN($F19,AM$4)-MAX($E19,AM$3)+1)/AM$5)</f>
        <v>0</v>
      </c>
      <c r="AN19" s="52" t="n">
        <f aca="false">MAX(0,(MIN($F19,AN$4)-MAX($E19,AN$3)+1)/AN$5)</f>
        <v>0</v>
      </c>
      <c r="AO19" s="52" t="n">
        <f aca="false">MAX(0,(MIN($F19,AO$4)-MAX($E19,AO$3)+1)/AO$5)</f>
        <v>0</v>
      </c>
      <c r="AP19" s="52" t="n">
        <f aca="false">MAX(0,(MIN($F19,AP$4)-MAX($E19,AP$3)+1)/AP$5)</f>
        <v>0</v>
      </c>
      <c r="AQ19" s="52" t="n">
        <f aca="false">MAX(0,(MIN($F19,AQ$4)-MAX($E19,AQ$3)+1)/AQ$5)</f>
        <v>0</v>
      </c>
      <c r="AR19" s="52" t="n">
        <f aca="false">MAX(0,(MIN($F19,AR$4)-MAX($E19,AR$3)+1)/AR$5)</f>
        <v>0</v>
      </c>
      <c r="AS19" s="52" t="n">
        <f aca="false">MAX(0,(MIN($F19,AS$4)-MAX($E19,AS$3)+1)/AS$5)</f>
        <v>0</v>
      </c>
      <c r="AT19" s="52" t="n">
        <f aca="false">MAX(0,(MIN($F19,AT$4)-MAX($E19,AT$3)+1)/AT$5)</f>
        <v>0</v>
      </c>
      <c r="AU19" s="52" t="n">
        <f aca="false">MAX(0,(MIN($F19,AU$4)-MAX($E19,AU$3)+1)/AU$5)</f>
        <v>0</v>
      </c>
      <c r="AV19" s="52" t="n">
        <f aca="false">MAX(0,(MIN($F19,AV$4)-MAX($E19,AV$3)+1)/AV$5)</f>
        <v>0</v>
      </c>
      <c r="AW19" s="52" t="n">
        <f aca="false">MAX(0,(MIN($F19,AW$4)-MAX($E19,AW$3)+1)/AW$5)</f>
        <v>0</v>
      </c>
      <c r="AX19" s="52" t="n">
        <f aca="false">MAX(0,(MIN($F19,AX$4)-MAX($E19,AX$3)+1)/AX$5)</f>
        <v>0</v>
      </c>
      <c r="AY19" s="52" t="n">
        <f aca="false">MAX(0,(MIN($F19,AY$4)-MAX($E19,AY$3)+1)/AY$5)</f>
        <v>0</v>
      </c>
      <c r="AZ19" s="52" t="n">
        <f aca="false">MAX(0,(MIN($F19,AZ$4)-MAX($E19,AZ$3)+1)/AZ$5)</f>
        <v>0</v>
      </c>
      <c r="BA19" s="52" t="n">
        <f aca="false">MAX(0,(MIN($F19,BA$4)-MAX($E19,BA$3)+1)/BA$5)</f>
        <v>0</v>
      </c>
      <c r="BB19" s="52" t="n">
        <f aca="false">MAX(0,(MIN($F19,BB$4)-MAX($E19,BB$3)+1)/BB$5)</f>
        <v>0</v>
      </c>
      <c r="BC19" s="52" t="n">
        <f aca="false">MAX(0,(MIN($F19,BC$4)-MAX($E19,BC$3)+1)/BC$5)</f>
        <v>0</v>
      </c>
      <c r="BD19" s="52" t="n">
        <f aca="false">MAX(0,(MIN($F19,BD$4)-MAX($E19,BD$3)+1)/BD$5)</f>
        <v>0</v>
      </c>
      <c r="BE19" s="52" t="n">
        <f aca="false">MAX(0,(MIN($F19,BE$4)-MAX($E19,BE$3)+1)/BE$5)</f>
        <v>0</v>
      </c>
      <c r="BF19" s="52" t="n">
        <f aca="false">MAX(0,(MIN($F19,BF$4)-MAX($E19,BF$3)+1)/BF$5)</f>
        <v>0</v>
      </c>
      <c r="BG19" s="52" t="n">
        <f aca="false">MAX(0,(MIN($F19,BG$4)-MAX($E19,BG$3)+1)/BG$5)</f>
        <v>0</v>
      </c>
      <c r="BH19" s="52" t="n">
        <f aca="false">MAX(0,(MIN($F19,BH$4)-MAX($E19,BH$3)+1)/BH$5)</f>
        <v>0</v>
      </c>
      <c r="BI19" s="52" t="n">
        <f aca="false">MAX(0,(MIN($F19,BI$4)-MAX($E19,BI$3)+1)/BI$5)</f>
        <v>0</v>
      </c>
      <c r="BJ19" s="52" t="n">
        <f aca="false">MAX(0,(MIN($F19,BJ$4)-MAX($E19,BJ$3)+1)/BJ$5)</f>
        <v>0</v>
      </c>
      <c r="BK19" s="52" t="n">
        <f aca="false">MAX(0,(MIN($F19,BK$4)-MAX($E19,BK$3)+1)/BK$5)</f>
        <v>0</v>
      </c>
      <c r="BL19" s="52" t="n">
        <f aca="false">MAX(0,(MIN($F19,BL$4)-MAX($E19,BL$3)+1)/BL$5)</f>
        <v>0</v>
      </c>
      <c r="BM19" s="52" t="n">
        <f aca="false">MAX(0,(MIN($F19,BM$4)-MAX($E19,BM$3)+1)/BM$5)</f>
        <v>0</v>
      </c>
      <c r="BN19" s="52" t="n">
        <f aca="false">MAX(0,(MIN($F19,BN$4)-MAX($E19,BN$3)+1)/BN$5)</f>
        <v>0</v>
      </c>
      <c r="BO19" s="52" t="n">
        <f aca="false">MAX(0,(MIN($F19,BO$4)-MAX($E19,BO$3)+1)/BO$5)</f>
        <v>0</v>
      </c>
      <c r="BP19" s="52" t="n">
        <f aca="false">MAX(0,(MIN($F19,BP$4)-MAX($E19,BP$3)+1)/BP$5)</f>
        <v>0</v>
      </c>
      <c r="BQ19" s="52" t="n">
        <f aca="false">MAX(0,(MIN($F19,BQ$4)-MAX($E19,BQ$3)+1)/BQ$5)</f>
        <v>0</v>
      </c>
      <c r="BR19" s="52" t="n">
        <f aca="false">MAX(0,(MIN($F19,BR$4)-MAX($E19,BR$3)+1)/BR$5)</f>
        <v>0</v>
      </c>
      <c r="BS19" s="52" t="n">
        <f aca="false">MAX(0,(MIN($F19,BS$4)-MAX($E19,BS$3)+1)/BS$5)</f>
        <v>0</v>
      </c>
      <c r="BT19" s="52" t="n">
        <f aca="false">MAX(0,(MIN($F19,BT$4)-MAX($E19,BT$3)+1)/BT$5)</f>
        <v>0</v>
      </c>
      <c r="BU19" s="52" t="n">
        <f aca="false">MAX(0,(MIN($F19,BU$4)-MAX($E19,BU$3)+1)/BU$5)</f>
        <v>0</v>
      </c>
      <c r="BV19" s="52" t="n">
        <f aca="false">MAX(0,(MIN($F19,BV$4)-MAX($E19,BV$3)+1)/BV$5)</f>
        <v>0</v>
      </c>
      <c r="BW19" s="52" t="n">
        <f aca="false">MAX(0,(MIN($F19,BW$4)-MAX($E19,BW$3)+1)/BW$5)</f>
        <v>0</v>
      </c>
      <c r="BX19" s="52" t="n">
        <f aca="false">MAX(0,(MIN($F19,BX$4)-MAX($E19,BX$3)+1)/BX$5)</f>
        <v>0</v>
      </c>
      <c r="BY19" s="52" t="n">
        <f aca="false">MAX(0,(MIN($F19,BY$4)-MAX($E19,BY$3)+1)/BY$5)</f>
        <v>0</v>
      </c>
      <c r="BZ19" s="52" t="n">
        <f aca="false">MAX(0,(MIN($F19,BZ$4)-MAX($E19,BZ$3)+1)/BZ$5)</f>
        <v>0</v>
      </c>
      <c r="CA19" s="52" t="n">
        <f aca="false">MAX(0,(MIN($F19,CA$4)-MAX($E19,CA$3)+1)/CA$5)</f>
        <v>0</v>
      </c>
      <c r="CB19" s="52" t="n">
        <f aca="false">MAX(0,(MIN($F19,CB$4)-MAX($E19,CB$3)+1)/CB$5)</f>
        <v>0</v>
      </c>
      <c r="CC19" s="52" t="n">
        <f aca="false">MAX(0,(MIN($F19,CC$4)-MAX($E19,CC$3)+1)/CC$5)</f>
        <v>0</v>
      </c>
      <c r="CD19" s="52" t="n">
        <f aca="false">MAX(0,(MIN($F19,CD$4)-MAX($E19,CD$3)+1)/CD$5)</f>
        <v>0</v>
      </c>
      <c r="CE19" s="52" t="n">
        <f aca="false">MAX(0,(MIN($F19,CE$4)-MAX($E19,CE$3)+1)/CE$5)</f>
        <v>0</v>
      </c>
      <c r="CF19" s="52" t="n">
        <f aca="false">MAX(0,(MIN($F19,CF$4)-MAX($E19,CF$3)+1)/CF$5)</f>
        <v>0</v>
      </c>
      <c r="CG19" s="52" t="n">
        <f aca="false">MAX(0,(MIN($F19,CG$4)-MAX($E19,CG$3)+1)/CG$5)</f>
        <v>0</v>
      </c>
      <c r="CH19" s="52" t="n">
        <f aca="false">MAX(0,(MIN($F19,CH$4)-MAX($E19,CH$3)+1)/CH$5)</f>
        <v>0</v>
      </c>
      <c r="CI19" s="52" t="n">
        <f aca="false">MAX(0,(MIN($F19,CI$4)-MAX($E19,CI$3)+1)/CI$5)</f>
        <v>0</v>
      </c>
      <c r="CJ19" s="52" t="n">
        <f aca="false">MAX(0,(MIN($F19,CJ$4)-MAX($E19,CJ$3)+1)/CJ$5)</f>
        <v>0</v>
      </c>
      <c r="CK19" s="52" t="n">
        <f aca="false">MAX(0,(MIN($F19,CK$4)-MAX($E19,CK$3)+1)/CK$5)</f>
        <v>0</v>
      </c>
      <c r="CL19" s="52" t="n">
        <f aca="false">MAX(0,(MIN($F19,CL$4)-MAX($E19,CL$3)+1)/CL$5)</f>
        <v>0</v>
      </c>
      <c r="CM19" s="52" t="n">
        <f aca="false">MAX(0,(MIN($F19,CM$4)-MAX($E19,CM$3)+1)/CM$5)</f>
        <v>0</v>
      </c>
      <c r="CN19" s="52" t="n">
        <f aca="false">MAX(0,(MIN($F19,CN$4)-MAX($E19,CN$3)+1)/CN$5)</f>
        <v>0</v>
      </c>
      <c r="CO19" s="52" t="n">
        <f aca="false">MAX(0,(MIN($F19,CO$4)-MAX($E19,CO$3)+1)/CO$5)</f>
        <v>0</v>
      </c>
      <c r="CP19" s="52" t="n">
        <f aca="false">MAX(0,(MIN($F19,CP$4)-MAX($E19,CP$3)+1)/CP$5)</f>
        <v>0</v>
      </c>
      <c r="CQ19" s="52" t="n">
        <f aca="false">MAX(0,(MIN($F19,CQ$4)-MAX($E19,CQ$3)+1)/CQ$5)</f>
        <v>0</v>
      </c>
      <c r="CR19" s="52" t="n">
        <f aca="false">MAX(0,(MIN($F19,CR$4)-MAX($E19,CR$3)+1)/CR$5)</f>
        <v>0</v>
      </c>
      <c r="CS19" s="52" t="n">
        <f aca="false">MAX(0,(MIN($F19,CS$4)-MAX($E19,CS$3)+1)/CS$5)</f>
        <v>0</v>
      </c>
      <c r="CT19" s="52" t="n">
        <f aca="false">MAX(0,(MIN($F19,CT$4)-MAX($E19,CT$3)+1)/CT$5)</f>
        <v>0</v>
      </c>
      <c r="CU19" s="52" t="n">
        <f aca="false">MAX(0,(MIN($F19,CU$4)-MAX($E19,CU$3)+1)/CU$5)</f>
        <v>0</v>
      </c>
      <c r="CV19" s="52" t="n">
        <f aca="false">MAX(0,(MIN($F19,CV$4)-MAX($E19,CV$3)+1)/CV$5)</f>
        <v>0</v>
      </c>
      <c r="CW19" s="52" t="n">
        <f aca="false">MAX(0,(MIN($F19,CW$4)-MAX($E19,CW$3)+1)/CW$5)</f>
        <v>0</v>
      </c>
      <c r="CX19" s="52" t="n">
        <f aca="false">MAX(0,(MIN($F19,CX$4)-MAX($E19,CX$3)+1)/CX$5)</f>
        <v>0</v>
      </c>
      <c r="CY19" s="52" t="n">
        <f aca="false">MAX(0,(MIN($F19,CY$4)-MAX($E19,CY$3)+1)/CY$5)</f>
        <v>0</v>
      </c>
      <c r="CZ19" s="52" t="n">
        <f aca="false">MAX(0,(MIN($F19,CZ$4)-MAX($E19,CZ$3)+1)/CZ$5)</f>
        <v>0</v>
      </c>
      <c r="DA19" s="52" t="n">
        <f aca="false">MAX(0,(MIN($F19,DA$4)-MAX($E19,DA$3)+1)/DA$5)</f>
        <v>0</v>
      </c>
      <c r="DB19" s="52" t="n">
        <f aca="false">MAX(0,(MIN($F19,DB$4)-MAX($E19,DB$3)+1)/DB$5)</f>
        <v>0</v>
      </c>
      <c r="DC19" s="52" t="n">
        <f aca="false">MAX(0,(MIN($F19,DC$4)-MAX($E19,DC$3)+1)/DC$5)</f>
        <v>0</v>
      </c>
      <c r="DD19" s="52" t="n">
        <f aca="false">MAX(0,(MIN($F19,DD$4)-MAX($E19,DD$3)+1)/DD$5)</f>
        <v>0</v>
      </c>
      <c r="DE19" s="52" t="n">
        <f aca="false">MAX(0,(MIN($F19,DE$4)-MAX($E19,DE$3)+1)/DE$5)</f>
        <v>0</v>
      </c>
      <c r="DF19" s="52" t="n">
        <f aca="false">MAX(0,(MIN($F19,DF$4)-MAX($E19,DF$3)+1)/DF$5)</f>
        <v>0</v>
      </c>
      <c r="DG19" s="52" t="n">
        <f aca="false">MAX(0,(MIN($F19,DG$4)-MAX($E19,DG$3)+1)/DG$5)</f>
        <v>0</v>
      </c>
      <c r="DH19" s="52" t="n">
        <f aca="false">MAX(0,(MIN($F19,DH$4)-MAX($E19,DH$3)+1)/DH$5)</f>
        <v>0</v>
      </c>
      <c r="DI19" s="52" t="n">
        <f aca="false">MAX(0,(MIN($F19,DI$4)-MAX($E19,DI$3)+1)/DI$5)</f>
        <v>0</v>
      </c>
      <c r="DJ19" s="52" t="n">
        <f aca="false">MAX(0,(MIN($F19,DJ$4)-MAX($E19,DJ$3)+1)/DJ$5)</f>
        <v>0</v>
      </c>
      <c r="DK19" s="52" t="n">
        <f aca="false">MAX(0,(MIN($F19,DK$4)-MAX($E19,DK$3)+1)/DK$5)</f>
        <v>0</v>
      </c>
      <c r="DL19" s="52" t="n">
        <f aca="false">MAX(0,(MIN($F19,DL$4)-MAX($E19,DL$3)+1)/DL$5)</f>
        <v>0</v>
      </c>
      <c r="DM19" s="52" t="n">
        <f aca="false">MAX(0,(MIN($F19,DM$4)-MAX($E19,DM$3)+1)/DM$5)</f>
        <v>0</v>
      </c>
      <c r="DN19" s="52" t="n">
        <f aca="false">MAX(0,(MIN($F19,DN$4)-MAX($E19,DN$3)+1)/DN$5)</f>
        <v>0</v>
      </c>
      <c r="DO19" s="52" t="n">
        <f aca="false">MAX(0,(MIN($F19,DO$4)-MAX($E19,DO$3)+1)/DO$5)</f>
        <v>0</v>
      </c>
      <c r="DP19" s="52" t="n">
        <f aca="false">MAX(0,(MIN($F19,DP$4)-MAX($E19,DP$3)+1)/DP$5)</f>
        <v>0</v>
      </c>
      <c r="DQ19" s="52" t="n">
        <f aca="false">MAX(0,(MIN($F19,DQ$4)-MAX($E19,DQ$3)+1)/DQ$5)</f>
        <v>0</v>
      </c>
      <c r="DR19" s="52" t="n">
        <f aca="false">MAX(0,(MIN($F19,DR$4)-MAX($E19,DR$3)+1)/DR$5)</f>
        <v>0</v>
      </c>
      <c r="DS19" s="52" t="n">
        <f aca="false">MAX(0,(MIN($F19,DS$4)-MAX($E19,DS$3)+1)/DS$5)</f>
        <v>0</v>
      </c>
      <c r="DT19" s="52" t="n">
        <f aca="false">MAX(0,(MIN($F19,DT$4)-MAX($E19,DT$3)+1)/DT$5)</f>
        <v>0</v>
      </c>
      <c r="DU19" s="52" t="n">
        <f aca="false">MAX(0,(MIN($F19,DU$4)-MAX($E19,DU$3)+1)/DU$5)</f>
        <v>0</v>
      </c>
      <c r="DV19" s="52" t="n">
        <f aca="false">MAX(0,(MIN($F19,DV$4)-MAX($E19,DV$3)+1)/DV$5)</f>
        <v>0</v>
      </c>
      <c r="DW19" s="52" t="n">
        <f aca="false">MAX(0,(MIN($F19,DW$4)-MAX($E19,DW$3)+1)/DW$5)</f>
        <v>0</v>
      </c>
      <c r="DX19" s="52" t="n">
        <f aca="false">MAX(0,(MIN($F19,DX$4)-MAX($E19,DX$3)+1)/DX$5)</f>
        <v>0</v>
      </c>
      <c r="DY19" s="52" t="n">
        <f aca="false">MAX(0,(MIN($F19,DY$4)-MAX($E19,DY$3)+1)/DY$5)</f>
        <v>0</v>
      </c>
      <c r="DZ19" s="52" t="n">
        <f aca="false">MAX(0,(MIN($F19,DZ$4)-MAX($E19,DZ$3)+1)/DZ$5)</f>
        <v>0</v>
      </c>
      <c r="EA19" s="52" t="n">
        <f aca="false">MAX(0,(MIN($F19,EA$4)-MAX($E19,EA$3)+1)/EA$5)</f>
        <v>0</v>
      </c>
      <c r="EB19" s="52" t="n">
        <f aca="false">MAX(0,(MIN($F19,EB$4)-MAX($E19,EB$3)+1)/EB$5)</f>
        <v>0</v>
      </c>
      <c r="EC19" s="52" t="n">
        <f aca="false">MAX(0,(MIN($F19,EC$4)-MAX($E19,EC$3)+1)/EC$5)</f>
        <v>0</v>
      </c>
      <c r="ED19" s="52" t="n">
        <f aca="false">MAX(0,(MIN($F19,ED$4)-MAX($E19,ED$3)+1)/ED$5)</f>
        <v>0</v>
      </c>
      <c r="EE19" s="52" t="n">
        <f aca="false">MAX(0,(MIN($F19,EE$4)-MAX($E19,EE$3)+1)/EE$5)</f>
        <v>0</v>
      </c>
      <c r="EF19" s="52" t="n">
        <f aca="false">MAX(0,(MIN($F19,EF$4)-MAX($E19,EF$3)+1)/EF$5)</f>
        <v>0</v>
      </c>
      <c r="EG19" s="52" t="n">
        <f aca="false">MAX(0,(MIN($F19,EG$4)-MAX($E19,EG$3)+1)/EG$5)</f>
        <v>0</v>
      </c>
      <c r="EH19" s="52" t="n">
        <f aca="false">MAX(0,(MIN($F19,EH$4)-MAX($E19,EH$3)+1)/EH$5)</f>
        <v>0</v>
      </c>
      <c r="EI19" s="52" t="n">
        <f aca="false">MAX(0,(MIN($F19,EI$4)-MAX($E19,EI$3)+1)/EI$5)</f>
        <v>0</v>
      </c>
      <c r="EJ19" s="52" t="n">
        <f aca="false">MAX(0,(MIN($F19,EJ$4)-MAX($E19,EJ$3)+1)/EJ$5)</f>
        <v>0</v>
      </c>
      <c r="EK19" s="52" t="n">
        <f aca="false">MAX(0,(MIN($F19,EK$4)-MAX($E19,EK$3)+1)/EK$5)</f>
        <v>0</v>
      </c>
      <c r="EL19" s="52" t="n">
        <f aca="false">MAX(0,(MIN($F19,EL$4)-MAX($E19,EL$3)+1)/EL$5)</f>
        <v>0</v>
      </c>
      <c r="EM19" s="52" t="n">
        <f aca="false">MAX(0,(MIN($F19,EM$4)-MAX($E19,EM$3)+1)/EM$5)</f>
        <v>0</v>
      </c>
      <c r="EN19" s="52" t="n">
        <f aca="false">MAX(0,(MIN($F19,EN$4)-MAX($E19,EN$3)+1)/EN$5)</f>
        <v>0</v>
      </c>
      <c r="EO19" s="52" t="n">
        <f aca="false">MAX(0,(MIN($F19,EO$4)-MAX($E19,EO$3)+1)/EO$5)</f>
        <v>0</v>
      </c>
      <c r="EP19" s="52" t="n">
        <f aca="false">MAX(0,(MIN($F19,EP$4)-MAX($E19,EP$3)+1)/EP$5)</f>
        <v>0</v>
      </c>
      <c r="EQ19" s="52" t="n">
        <f aca="false">MAX(0,(MIN($F19,EQ$4)-MAX($E19,EQ$3)+1)/EQ$5)</f>
        <v>0</v>
      </c>
      <c r="ER19" s="52" t="n">
        <f aca="false">MAX(0,(MIN($F19,ER$4)-MAX($E19,ER$3)+1)/ER$5)</f>
        <v>0</v>
      </c>
      <c r="ES19" s="52" t="n">
        <f aca="false">MAX(0,(MIN($F19,ES$4)-MAX($E19,ES$3)+1)/ES$5)</f>
        <v>0</v>
      </c>
      <c r="ET19" s="52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485</v>
      </c>
      <c r="D20" s="11" t="s">
        <v>41</v>
      </c>
      <c r="J20" s="46" t="n">
        <f aca="false">N(MONTH(J$4)=Months_In_Year)</f>
        <v>0</v>
      </c>
      <c r="K20" s="46" t="n">
        <f aca="false">N(MONTH(K$4)=Months_In_Year)</f>
        <v>1</v>
      </c>
      <c r="L20" s="46" t="n">
        <f aca="false">N(MONTH(L$4)=Months_In_Year)</f>
        <v>0</v>
      </c>
      <c r="M20" s="46" t="n">
        <f aca="false">N(MONTH(M$4)=Months_In_Year)</f>
        <v>0</v>
      </c>
      <c r="N20" s="46" t="n">
        <f aca="false">N(MONTH(N$4)=Months_In_Year)</f>
        <v>0</v>
      </c>
      <c r="O20" s="46" t="n">
        <f aca="false">N(MONTH(O$4)=Months_In_Year)</f>
        <v>1</v>
      </c>
      <c r="P20" s="46" t="n">
        <f aca="false">N(MONTH(P$4)=Months_In_Year)</f>
        <v>0</v>
      </c>
      <c r="Q20" s="46" t="n">
        <f aca="false">N(MONTH(Q$4)=Months_In_Year)</f>
        <v>0</v>
      </c>
      <c r="R20" s="46" t="n">
        <f aca="false">N(MONTH(R$4)=Months_In_Year)</f>
        <v>0</v>
      </c>
      <c r="S20" s="46" t="n">
        <f aca="false">N(MONTH(S$4)=Months_In_Year)</f>
        <v>1</v>
      </c>
      <c r="T20" s="46" t="n">
        <f aca="false">N(MONTH(T$4)=Months_In_Year)</f>
        <v>0</v>
      </c>
      <c r="U20" s="46" t="n">
        <f aca="false">N(MONTH(U$4)=Months_In_Year)</f>
        <v>0</v>
      </c>
      <c r="V20" s="46" t="n">
        <f aca="false">N(MONTH(V$4)=Months_In_Year)</f>
        <v>0</v>
      </c>
      <c r="W20" s="46" t="n">
        <f aca="false">N(MONTH(W$4)=Months_In_Year)</f>
        <v>1</v>
      </c>
      <c r="X20" s="46" t="n">
        <f aca="false">N(MONTH(X$4)=Months_In_Year)</f>
        <v>0</v>
      </c>
      <c r="Y20" s="46" t="n">
        <f aca="false">N(MONTH(Y$4)=Months_In_Year)</f>
        <v>0</v>
      </c>
      <c r="Z20" s="46" t="n">
        <f aca="false">N(MONTH(Z$4)=Months_In_Year)</f>
        <v>0</v>
      </c>
      <c r="AA20" s="46" t="n">
        <f aca="false">N(MONTH(AA$4)=Months_In_Year)</f>
        <v>1</v>
      </c>
      <c r="AB20" s="46" t="n">
        <f aca="false">N(MONTH(AB$4)=Months_In_Year)</f>
        <v>0</v>
      </c>
      <c r="AC20" s="46" t="n">
        <f aca="false">N(MONTH(AC$4)=Months_In_Year)</f>
        <v>0</v>
      </c>
      <c r="AD20" s="46" t="n">
        <f aca="false">N(MONTH(AD$4)=Months_In_Year)</f>
        <v>0</v>
      </c>
      <c r="AE20" s="46" t="n">
        <f aca="false">N(MONTH(AE$4)=Months_In_Year)</f>
        <v>1</v>
      </c>
      <c r="AF20" s="46" t="n">
        <f aca="false">N(MONTH(AF$4)=Months_In_Year)</f>
        <v>0</v>
      </c>
      <c r="AG20" s="46" t="n">
        <f aca="false">N(MONTH(AG$4)=Months_In_Year)</f>
        <v>0</v>
      </c>
      <c r="AH20" s="46" t="n">
        <f aca="false">N(MONTH(AH$4)=Months_In_Year)</f>
        <v>0</v>
      </c>
      <c r="AI20" s="46" t="n">
        <f aca="false">N(MONTH(AI$4)=Months_In_Year)</f>
        <v>1</v>
      </c>
      <c r="AJ20" s="46" t="n">
        <f aca="false">N(MONTH(AJ$4)=Months_In_Year)</f>
        <v>0</v>
      </c>
      <c r="AK20" s="46" t="n">
        <f aca="false">N(MONTH(AK$4)=Months_In_Year)</f>
        <v>0</v>
      </c>
      <c r="AL20" s="46" t="n">
        <f aca="false">N(MONTH(AL$4)=Months_In_Year)</f>
        <v>0</v>
      </c>
      <c r="AM20" s="46" t="n">
        <f aca="false">N(MONTH(AM$4)=Months_In_Year)</f>
        <v>1</v>
      </c>
      <c r="AN20" s="46" t="n">
        <f aca="false">N(MONTH(AN$4)=Months_In_Year)</f>
        <v>0</v>
      </c>
      <c r="AO20" s="46" t="n">
        <f aca="false">N(MONTH(AO$4)=Months_In_Year)</f>
        <v>0</v>
      </c>
      <c r="AP20" s="46" t="n">
        <f aca="false">N(MONTH(AP$4)=Months_In_Year)</f>
        <v>0</v>
      </c>
      <c r="AQ20" s="46" t="n">
        <f aca="false">N(MONTH(AQ$4)=Months_In_Year)</f>
        <v>1</v>
      </c>
      <c r="AR20" s="46" t="n">
        <f aca="false">N(MONTH(AR$4)=Months_In_Year)</f>
        <v>0</v>
      </c>
      <c r="AS20" s="46" t="n">
        <f aca="false">N(MONTH(AS$4)=Months_In_Year)</f>
        <v>0</v>
      </c>
      <c r="AT20" s="46" t="n">
        <f aca="false">N(MONTH(AT$4)=Months_In_Year)</f>
        <v>0</v>
      </c>
      <c r="AU20" s="46" t="n">
        <f aca="false">N(MONTH(AU$4)=Months_In_Year)</f>
        <v>1</v>
      </c>
      <c r="AV20" s="46" t="n">
        <f aca="false">N(MONTH(AV$4)=Months_In_Year)</f>
        <v>0</v>
      </c>
      <c r="AW20" s="46" t="n">
        <f aca="false">N(MONTH(AW$4)=Months_In_Year)</f>
        <v>0</v>
      </c>
      <c r="AX20" s="46" t="n">
        <f aca="false">N(MONTH(AX$4)=Months_In_Year)</f>
        <v>0</v>
      </c>
      <c r="AY20" s="46" t="n">
        <f aca="false">N(MONTH(AY$4)=Months_In_Year)</f>
        <v>1</v>
      </c>
      <c r="AZ20" s="46" t="n">
        <f aca="false">N(MONTH(AZ$4)=Months_In_Year)</f>
        <v>0</v>
      </c>
      <c r="BA20" s="46" t="n">
        <f aca="false">N(MONTH(BA$4)=Months_In_Year)</f>
        <v>0</v>
      </c>
      <c r="BB20" s="46" t="n">
        <f aca="false">N(MONTH(BB$4)=Months_In_Year)</f>
        <v>0</v>
      </c>
      <c r="BC20" s="46" t="n">
        <f aca="false">N(MONTH(BC$4)=Months_In_Year)</f>
        <v>1</v>
      </c>
      <c r="BD20" s="46" t="n">
        <f aca="false">N(MONTH(BD$4)=Months_In_Year)</f>
        <v>0</v>
      </c>
      <c r="BE20" s="46" t="n">
        <f aca="false">N(MONTH(BE$4)=Months_In_Year)</f>
        <v>0</v>
      </c>
      <c r="BF20" s="46" t="n">
        <f aca="false">N(MONTH(BF$4)=Months_In_Year)</f>
        <v>0</v>
      </c>
      <c r="BG20" s="46" t="n">
        <f aca="false">N(MONTH(BG$4)=Months_In_Year)</f>
        <v>1</v>
      </c>
      <c r="BH20" s="46" t="n">
        <f aca="false">N(MONTH(BH$4)=Months_In_Year)</f>
        <v>0</v>
      </c>
      <c r="BI20" s="46" t="n">
        <f aca="false">N(MONTH(BI$4)=Months_In_Year)</f>
        <v>0</v>
      </c>
      <c r="BJ20" s="46" t="n">
        <f aca="false">N(MONTH(BJ$4)=Months_In_Year)</f>
        <v>0</v>
      </c>
      <c r="BK20" s="46" t="n">
        <f aca="false">N(MONTH(BK$4)=Months_In_Year)</f>
        <v>1</v>
      </c>
      <c r="BL20" s="46" t="n">
        <f aca="false">N(MONTH(BL$4)=Months_In_Year)</f>
        <v>0</v>
      </c>
      <c r="BM20" s="46" t="n">
        <f aca="false">N(MONTH(BM$4)=Months_In_Year)</f>
        <v>0</v>
      </c>
      <c r="BN20" s="46" t="n">
        <f aca="false">N(MONTH(BN$4)=Months_In_Year)</f>
        <v>0</v>
      </c>
      <c r="BO20" s="46" t="n">
        <f aca="false">N(MONTH(BO$4)=Months_In_Year)</f>
        <v>1</v>
      </c>
      <c r="BP20" s="46" t="n">
        <f aca="false">N(MONTH(BP$4)=Months_In_Year)</f>
        <v>0</v>
      </c>
      <c r="BQ20" s="46" t="n">
        <f aca="false">N(MONTH(BQ$4)=Months_In_Year)</f>
        <v>0</v>
      </c>
      <c r="BR20" s="46" t="n">
        <f aca="false">N(MONTH(BR$4)=Months_In_Year)</f>
        <v>0</v>
      </c>
      <c r="BS20" s="46" t="n">
        <f aca="false">N(MONTH(BS$4)=Months_In_Year)</f>
        <v>1</v>
      </c>
      <c r="BT20" s="46" t="n">
        <f aca="false">N(MONTH(BT$4)=Months_In_Year)</f>
        <v>0</v>
      </c>
      <c r="BU20" s="46" t="n">
        <f aca="false">N(MONTH(BU$4)=Months_In_Year)</f>
        <v>0</v>
      </c>
      <c r="BV20" s="46" t="n">
        <f aca="false">N(MONTH(BV$4)=Months_In_Year)</f>
        <v>0</v>
      </c>
      <c r="BW20" s="46" t="n">
        <f aca="false">N(MONTH(BW$4)=Months_In_Year)</f>
        <v>1</v>
      </c>
      <c r="BX20" s="46" t="n">
        <f aca="false">N(MONTH(BX$4)=Months_In_Year)</f>
        <v>0</v>
      </c>
      <c r="BY20" s="46" t="n">
        <f aca="false">N(MONTH(BY$4)=Months_In_Year)</f>
        <v>0</v>
      </c>
      <c r="BZ20" s="46" t="n">
        <f aca="false">N(MONTH(BZ$4)=Months_In_Year)</f>
        <v>0</v>
      </c>
      <c r="CA20" s="46" t="n">
        <f aca="false">N(MONTH(CA$4)=Months_In_Year)</f>
        <v>1</v>
      </c>
      <c r="CB20" s="46" t="n">
        <f aca="false">N(MONTH(CB$4)=Months_In_Year)</f>
        <v>0</v>
      </c>
      <c r="CC20" s="46" t="n">
        <f aca="false">N(MONTH(CC$4)=Months_In_Year)</f>
        <v>0</v>
      </c>
      <c r="CD20" s="46" t="n">
        <f aca="false">N(MONTH(CD$4)=Months_In_Year)</f>
        <v>0</v>
      </c>
      <c r="CE20" s="46" t="n">
        <f aca="false">N(MONTH(CE$4)=Months_In_Year)</f>
        <v>1</v>
      </c>
      <c r="CF20" s="46" t="n">
        <f aca="false">N(MONTH(CF$4)=Months_In_Year)</f>
        <v>0</v>
      </c>
      <c r="CG20" s="46" t="n">
        <f aca="false">N(MONTH(CG$4)=Months_In_Year)</f>
        <v>0</v>
      </c>
      <c r="CH20" s="46" t="n">
        <f aca="false">N(MONTH(CH$4)=Months_In_Year)</f>
        <v>0</v>
      </c>
      <c r="CI20" s="46" t="n">
        <f aca="false">N(MONTH(CI$4)=Months_In_Year)</f>
        <v>1</v>
      </c>
      <c r="CJ20" s="46" t="n">
        <f aca="false">N(MONTH(CJ$4)=Months_In_Year)</f>
        <v>0</v>
      </c>
      <c r="CK20" s="46" t="n">
        <f aca="false">N(MONTH(CK$4)=Months_In_Year)</f>
        <v>0</v>
      </c>
      <c r="CL20" s="46" t="n">
        <f aca="false">N(MONTH(CL$4)=Months_In_Year)</f>
        <v>0</v>
      </c>
      <c r="CM20" s="46" t="n">
        <f aca="false">N(MONTH(CM$4)=Months_In_Year)</f>
        <v>1</v>
      </c>
      <c r="CN20" s="46" t="n">
        <f aca="false">N(MONTH(CN$4)=Months_In_Year)</f>
        <v>0</v>
      </c>
      <c r="CO20" s="46" t="n">
        <f aca="false">N(MONTH(CO$4)=Months_In_Year)</f>
        <v>0</v>
      </c>
      <c r="CP20" s="46" t="n">
        <f aca="false">N(MONTH(CP$4)=Months_In_Year)</f>
        <v>0</v>
      </c>
      <c r="CQ20" s="46" t="n">
        <f aca="false">N(MONTH(CQ$4)=Months_In_Year)</f>
        <v>1</v>
      </c>
      <c r="CR20" s="46" t="n">
        <f aca="false">N(MONTH(CR$4)=Months_In_Year)</f>
        <v>0</v>
      </c>
      <c r="CS20" s="46" t="n">
        <f aca="false">N(MONTH(CS$4)=Months_In_Year)</f>
        <v>0</v>
      </c>
      <c r="CT20" s="46" t="n">
        <f aca="false">N(MONTH(CT$4)=Months_In_Year)</f>
        <v>0</v>
      </c>
      <c r="CU20" s="46" t="n">
        <f aca="false">N(MONTH(CU$4)=Months_In_Year)</f>
        <v>1</v>
      </c>
      <c r="CV20" s="46" t="n">
        <f aca="false">N(MONTH(CV$4)=Months_In_Year)</f>
        <v>0</v>
      </c>
      <c r="CW20" s="46" t="n">
        <f aca="false">N(MONTH(CW$4)=Months_In_Year)</f>
        <v>0</v>
      </c>
      <c r="CX20" s="46" t="n">
        <f aca="false">N(MONTH(CX$4)=Months_In_Year)</f>
        <v>0</v>
      </c>
      <c r="CY20" s="46" t="n">
        <f aca="false">N(MONTH(CY$4)=Months_In_Year)</f>
        <v>1</v>
      </c>
      <c r="CZ20" s="46" t="n">
        <f aca="false">N(MONTH(CZ$4)=Months_In_Year)</f>
        <v>0</v>
      </c>
      <c r="DA20" s="46" t="n">
        <f aca="false">N(MONTH(DA$4)=Months_In_Year)</f>
        <v>0</v>
      </c>
      <c r="DB20" s="46" t="n">
        <f aca="false">N(MONTH(DB$4)=Months_In_Year)</f>
        <v>0</v>
      </c>
      <c r="DC20" s="46" t="n">
        <f aca="false">N(MONTH(DC$4)=Months_In_Year)</f>
        <v>1</v>
      </c>
      <c r="DD20" s="46" t="n">
        <f aca="false">N(MONTH(DD$4)=Months_In_Year)</f>
        <v>0</v>
      </c>
      <c r="DE20" s="46" t="n">
        <f aca="false">N(MONTH(DE$4)=Months_In_Year)</f>
        <v>0</v>
      </c>
      <c r="DF20" s="46" t="n">
        <f aca="false">N(MONTH(DF$4)=Months_In_Year)</f>
        <v>0</v>
      </c>
      <c r="DG20" s="46" t="n">
        <f aca="false">N(MONTH(DG$4)=Months_In_Year)</f>
        <v>1</v>
      </c>
      <c r="DH20" s="46" t="n">
        <f aca="false">N(MONTH(DH$4)=Months_In_Year)</f>
        <v>0</v>
      </c>
      <c r="DI20" s="46" t="n">
        <f aca="false">N(MONTH(DI$4)=Months_In_Year)</f>
        <v>0</v>
      </c>
      <c r="DJ20" s="46" t="n">
        <f aca="false">N(MONTH(DJ$4)=Months_In_Year)</f>
        <v>0</v>
      </c>
      <c r="DK20" s="46" t="n">
        <f aca="false">N(MONTH(DK$4)=Months_In_Year)</f>
        <v>1</v>
      </c>
      <c r="DL20" s="46" t="n">
        <f aca="false">N(MONTH(DL$4)=Months_In_Year)</f>
        <v>0</v>
      </c>
      <c r="DM20" s="46" t="n">
        <f aca="false">N(MONTH(DM$4)=Months_In_Year)</f>
        <v>0</v>
      </c>
      <c r="DN20" s="46" t="n">
        <f aca="false">N(MONTH(DN$4)=Months_In_Year)</f>
        <v>0</v>
      </c>
      <c r="DO20" s="46" t="n">
        <f aca="false">N(MONTH(DO$4)=Months_In_Year)</f>
        <v>1</v>
      </c>
      <c r="DP20" s="46" t="n">
        <f aca="false">N(MONTH(DP$4)=Months_In_Year)</f>
        <v>0</v>
      </c>
      <c r="DQ20" s="46" t="n">
        <f aca="false">N(MONTH(DQ$4)=Months_In_Year)</f>
        <v>0</v>
      </c>
      <c r="DR20" s="46" t="n">
        <f aca="false">N(MONTH(DR$4)=Months_In_Year)</f>
        <v>0</v>
      </c>
      <c r="DS20" s="46" t="n">
        <f aca="false">N(MONTH(DS$4)=Months_In_Year)</f>
        <v>1</v>
      </c>
      <c r="DT20" s="46" t="n">
        <f aca="false">N(MONTH(DT$4)=Months_In_Year)</f>
        <v>0</v>
      </c>
      <c r="DU20" s="46" t="n">
        <f aca="false">N(MONTH(DU$4)=Months_In_Year)</f>
        <v>0</v>
      </c>
      <c r="DV20" s="46" t="n">
        <f aca="false">N(MONTH(DV$4)=Months_In_Year)</f>
        <v>0</v>
      </c>
      <c r="DW20" s="46" t="n">
        <f aca="false">N(MONTH(DW$4)=Months_In_Year)</f>
        <v>1</v>
      </c>
      <c r="DX20" s="46" t="n">
        <f aca="false">N(MONTH(DX$4)=Months_In_Year)</f>
        <v>0</v>
      </c>
      <c r="DY20" s="46" t="n">
        <f aca="false">N(MONTH(DY$4)=Months_In_Year)</f>
        <v>0</v>
      </c>
      <c r="DZ20" s="46" t="n">
        <f aca="false">N(MONTH(DZ$4)=Months_In_Year)</f>
        <v>0</v>
      </c>
      <c r="EA20" s="46" t="n">
        <f aca="false">N(MONTH(EA$4)=Months_In_Year)</f>
        <v>1</v>
      </c>
      <c r="EB20" s="46" t="n">
        <f aca="false">N(MONTH(EB$4)=Months_In_Year)</f>
        <v>0</v>
      </c>
      <c r="EC20" s="46" t="n">
        <f aca="false">N(MONTH(EC$4)=Months_In_Year)</f>
        <v>0</v>
      </c>
      <c r="ED20" s="46" t="n">
        <f aca="false">N(MONTH(ED$4)=Months_In_Year)</f>
        <v>0</v>
      </c>
      <c r="EE20" s="46" t="n">
        <f aca="false">N(MONTH(EE$4)=Months_In_Year)</f>
        <v>1</v>
      </c>
      <c r="EF20" s="46" t="n">
        <f aca="false">N(MONTH(EF$4)=Months_In_Year)</f>
        <v>0</v>
      </c>
      <c r="EG20" s="46" t="n">
        <f aca="false">N(MONTH(EG$4)=Months_In_Year)</f>
        <v>0</v>
      </c>
      <c r="EH20" s="46" t="n">
        <f aca="false">N(MONTH(EH$4)=Months_In_Year)</f>
        <v>0</v>
      </c>
      <c r="EI20" s="46" t="n">
        <f aca="false">N(MONTH(EI$4)=Months_In_Year)</f>
        <v>1</v>
      </c>
      <c r="EJ20" s="46" t="n">
        <f aca="false">N(MONTH(EJ$4)=Months_In_Year)</f>
        <v>0</v>
      </c>
      <c r="EK20" s="46" t="n">
        <f aca="false">N(MONTH(EK$4)=Months_In_Year)</f>
        <v>0</v>
      </c>
      <c r="EL20" s="46" t="n">
        <f aca="false">N(MONTH(EL$4)=Months_In_Year)</f>
        <v>0</v>
      </c>
      <c r="EM20" s="46" t="n">
        <f aca="false">N(MONTH(EM$4)=Months_In_Year)</f>
        <v>1</v>
      </c>
      <c r="EN20" s="46" t="n">
        <f aca="false">N(MONTH(EN$4)=Months_In_Year)</f>
        <v>0</v>
      </c>
      <c r="EO20" s="46" t="n">
        <f aca="false">N(MONTH(EO$4)=Months_In_Year)</f>
        <v>0</v>
      </c>
      <c r="EP20" s="46" t="n">
        <f aca="false">N(MONTH(EP$4)=Months_In_Year)</f>
        <v>0</v>
      </c>
      <c r="EQ20" s="46" t="n">
        <f aca="false">N(MONTH(EQ$4)=Months_In_Year)</f>
        <v>1</v>
      </c>
      <c r="ER20" s="46" t="n">
        <f aca="false">N(MONTH(ER$4)=Months_In_Year)</f>
        <v>0</v>
      </c>
      <c r="ES20" s="46" t="n">
        <f aca="false">N(MONTH(ES$4)=Months_In_Year)</f>
        <v>0</v>
      </c>
      <c r="ET20" s="46" t="n">
        <f aca="false">N(MONTH(ET$4)=Months_In_Year)</f>
        <v>0</v>
      </c>
    </row>
    <row r="21" customFormat="false" ht="15" hidden="false" customHeight="false" outlineLevel="0" collapsed="false">
      <c r="C21" s="0" t="s">
        <v>486</v>
      </c>
      <c r="D21" s="11" t="s">
        <v>474</v>
      </c>
      <c r="J21" s="52" t="n">
        <f aca="false">1/(1+In_Buyer_Rate)^(MAX(0,J$4-In_COD)/Days_In_Year)</f>
        <v>1</v>
      </c>
      <c r="K21" s="52" t="n">
        <f aca="false">1/(1+In_Buyer_Rate)^(MAX(0,K$4-In_COD)/Days_In_Year)</f>
        <v>1</v>
      </c>
      <c r="L21" s="52" t="n">
        <f aca="false">1/(1+In_Buyer_Rate)^(MAX(0,L$4-In_COD)/Days_In_Year)</f>
        <v>1</v>
      </c>
      <c r="M21" s="52" t="n">
        <f aca="false">1/(1+In_Buyer_Rate)^(MAX(0,M$4-In_COD)/Days_In_Year)</f>
        <v>1</v>
      </c>
      <c r="N21" s="52" t="n">
        <f aca="false">1/(1+In_Buyer_Rate)^(MAX(0,N$4-In_COD)/Days_In_Year)</f>
        <v>1</v>
      </c>
      <c r="O21" s="52" t="n">
        <f aca="false">1/(1+In_Buyer_Rate)^(MAX(0,O$4-In_COD)/Days_In_Year)</f>
        <v>1</v>
      </c>
      <c r="P21" s="52" t="n">
        <f aca="false">1/(1+In_Buyer_Rate)^(MAX(0,P$4-In_COD)/Days_In_Year)</f>
        <v>1</v>
      </c>
      <c r="Q21" s="52" t="n">
        <f aca="false">1/(1+In_Buyer_Rate)^(MAX(0,Q$4-In_COD)/Days_In_Year)</f>
        <v>1</v>
      </c>
      <c r="R21" s="52" t="n">
        <f aca="false">1/(1+In_Buyer_Rate)^(MAX(0,R$4-In_COD)/Days_In_Year)</f>
        <v>1</v>
      </c>
      <c r="S21" s="52" t="n">
        <f aca="false">1/(1+In_Buyer_Rate)^(MAX(0,S$4-In_COD)/Days_In_Year)</f>
        <v>1</v>
      </c>
      <c r="T21" s="52" t="n">
        <f aca="false">1/(1+In_Buyer_Rate)^(MAX(0,T$4-In_COD)/Days_In_Year)</f>
        <v>1</v>
      </c>
      <c r="U21" s="52" t="n">
        <f aca="false">1/(1+In_Buyer_Rate)^(MAX(0,U$4-In_COD)/Days_In_Year)</f>
        <v>1</v>
      </c>
      <c r="V21" s="52" t="n">
        <f aca="false">1/(1+In_Buyer_Rate)^(MAX(0,V$4-In_COD)/Days_In_Year)</f>
        <v>1</v>
      </c>
      <c r="W21" s="52" t="n">
        <f aca="false">1/(1+In_Buyer_Rate)^(MAX(0,W$4-In_COD)/Days_In_Year)</f>
        <v>1</v>
      </c>
      <c r="X21" s="52" t="n">
        <f aca="false">1/(1+In_Buyer_Rate)^(MAX(0,X$4-In_COD)/Days_In_Year)</f>
        <v>1</v>
      </c>
      <c r="Y21" s="52" t="n">
        <f aca="false">1/(1+In_Buyer_Rate)^(MAX(0,Y$4-In_COD)/Days_In_Year)</f>
        <v>1</v>
      </c>
      <c r="Z21" s="52" t="n">
        <f aca="false">1/(1+In_Buyer_Rate)^(MAX(0,Z$4-In_COD)/Days_In_Year)</f>
        <v>1</v>
      </c>
      <c r="AA21" s="52" t="n">
        <f aca="false">1/(1+In_Buyer_Rate)^(MAX(0,AA$4-In_COD)/Days_In_Year)</f>
        <v>1</v>
      </c>
      <c r="AB21" s="52" t="n">
        <f aca="false">1/(1+In_Buyer_Rate)^(MAX(0,AB$4-In_COD)/Days_In_Year)</f>
        <v>1</v>
      </c>
      <c r="AC21" s="52" t="n">
        <f aca="false">1/(1+In_Buyer_Rate)^(MAX(0,AC$4-In_COD)/Days_In_Year)</f>
        <v>1</v>
      </c>
      <c r="AD21" s="52" t="n">
        <f aca="false">1/(1+In_Buyer_Rate)^(MAX(0,AD$4-In_COD)/Days_In_Year)</f>
        <v>1</v>
      </c>
      <c r="AE21" s="52" t="n">
        <f aca="false">1/(1+In_Buyer_Rate)^(MAX(0,AE$4-In_COD)/Days_In_Year)</f>
        <v>0.980788538821203</v>
      </c>
      <c r="AF21" s="52" t="n">
        <f aca="false">1/(1+In_Buyer_Rate)^(MAX(0,AF$4-In_COD)/Days_In_Year)</f>
        <v>0.962149007700345</v>
      </c>
      <c r="AG21" s="52" t="n">
        <f aca="false">1/(1+In_Buyer_Rate)^(MAX(0,AG$4-In_COD)/Days_In_Year)</f>
        <v>0.943863714120663</v>
      </c>
      <c r="AH21" s="52" t="n">
        <f aca="false">1/(1+In_Buyer_Rate)^(MAX(0,AH$4-In_COD)/Days_In_Year)</f>
        <v>0.925730713018759</v>
      </c>
      <c r="AI21" s="52" t="n">
        <f aca="false">1/(1+In_Buyer_Rate)^(MAX(0,AI$4-In_COD)/Days_In_Year)</f>
        <v>0.907946073363579</v>
      </c>
      <c r="AJ21" s="52" t="n">
        <f aca="false">1/(1+In_Buyer_Rate)^(MAX(0,AJ$4-In_COD)/Days_In_Year)</f>
        <v>0.890878710833653</v>
      </c>
      <c r="AK21" s="52" t="n">
        <f aca="false">1/(1+In_Buyer_Rate)^(MAX(0,AK$4-In_COD)/Days_In_Year)</f>
        <v>0.873947883445058</v>
      </c>
      <c r="AL21" s="52" t="n">
        <f aca="false">1/(1+In_Buyer_Rate)^(MAX(0,AL$4-In_COD)/Days_In_Year)</f>
        <v>0.857158067609962</v>
      </c>
      <c r="AM21" s="52" t="n">
        <f aca="false">1/(1+In_Buyer_Rate)^(MAX(0,AM$4-In_COD)/Days_In_Year)</f>
        <v>0.840690808669981</v>
      </c>
      <c r="AN21" s="52" t="n">
        <f aca="false">1/(1+In_Buyer_Rate)^(MAX(0,AN$4-In_COD)/Days_In_Year)</f>
        <v>0.824887695216345</v>
      </c>
      <c r="AO21" s="52" t="n">
        <f aca="false">1/(1+In_Buyer_Rate)^(MAX(0,AO$4-In_COD)/Days_In_Year)</f>
        <v>0.809211003189869</v>
      </c>
      <c r="AP21" s="52" t="n">
        <f aca="false">1/(1+In_Buyer_Rate)^(MAX(0,AP$4-In_COD)/Days_In_Year)</f>
        <v>0.793664877416631</v>
      </c>
      <c r="AQ21" s="52" t="n">
        <f aca="false">1/(1+In_Buyer_Rate)^(MAX(0,AQ$4-In_COD)/Days_In_Year)</f>
        <v>0.778417415435167</v>
      </c>
      <c r="AR21" s="52" t="n">
        <f aca="false">1/(1+In_Buyer_Rate)^(MAX(0,AR$4-In_COD)/Days_In_Year)</f>
        <v>0.763784902978097</v>
      </c>
      <c r="AS21" s="52" t="n">
        <f aca="false">1/(1+In_Buyer_Rate)^(MAX(0,AS$4-In_COD)/Days_In_Year)</f>
        <v>0.749269447398027</v>
      </c>
      <c r="AT21" s="52" t="n">
        <f aca="false">1/(1+In_Buyer_Rate)^(MAX(0,AT$4-In_COD)/Days_In_Year)</f>
        <v>0.734874886496881</v>
      </c>
      <c r="AU21" s="52" t="n">
        <f aca="false">1/(1+In_Buyer_Rate)^(MAX(0,AU$4-In_COD)/Days_In_Year)</f>
        <v>0.720756866143673</v>
      </c>
      <c r="AV21" s="52" t="n">
        <f aca="false">1/(1+In_Buyer_Rate)^(MAX(0,AV$4-In_COD)/Days_In_Year)</f>
        <v>0.707059142826878</v>
      </c>
      <c r="AW21" s="52" t="n">
        <f aca="false">1/(1+In_Buyer_Rate)^(MAX(0,AW$4-In_COD)/Days_In_Year)</f>
        <v>0.693621739782947</v>
      </c>
      <c r="AX21" s="52" t="n">
        <f aca="false">1/(1+In_Buyer_Rate)^(MAX(0,AX$4-In_COD)/Days_In_Year)</f>
        <v>0.680296252656337</v>
      </c>
      <c r="AY21" s="52" t="n">
        <f aca="false">1/(1+In_Buyer_Rate)^(MAX(0,AY$4-In_COD)/Days_In_Year)</f>
        <v>0.667226767608349</v>
      </c>
      <c r="AZ21" s="52" t="n">
        <f aca="false">1/(1+In_Buyer_Rate)^(MAX(0,AZ$4-In_COD)/Days_In_Year)</f>
        <v>0.654684391506368</v>
      </c>
      <c r="BA21" s="52" t="n">
        <f aca="false">1/(1+In_Buyer_Rate)^(MAX(0,BA$4-In_COD)/Days_In_Year)</f>
        <v>0.642242351650877</v>
      </c>
      <c r="BB21" s="52" t="n">
        <f aca="false">1/(1+In_Buyer_Rate)^(MAX(0,BB$4-In_COD)/Days_In_Year)</f>
        <v>0.629903937644757</v>
      </c>
      <c r="BC21" s="52" t="n">
        <f aca="false">1/(1+In_Buyer_Rate)^(MAX(0,BC$4-In_COD)/Days_In_Year)</f>
        <v>0.617802562600323</v>
      </c>
      <c r="BD21" s="52" t="n">
        <f aca="false">1/(1+In_Buyer_Rate)^(MAX(0,BD$4-In_COD)/Days_In_Year)</f>
        <v>0.606189251394785</v>
      </c>
      <c r="BE21" s="52" t="n">
        <f aca="false">1/(1+In_Buyer_Rate)^(MAX(0,BE$4-In_COD)/Days_In_Year)</f>
        <v>0.594668844121182</v>
      </c>
      <c r="BF21" s="52" t="n">
        <f aca="false">1/(1+In_Buyer_Rate)^(MAX(0,BF$4-In_COD)/Days_In_Year)</f>
        <v>0.583244386708108</v>
      </c>
      <c r="BG21" s="52" t="n">
        <f aca="false">1/(1+In_Buyer_Rate)^(MAX(0,BG$4-In_COD)/Days_In_Year)</f>
        <v>0.572039409815114</v>
      </c>
      <c r="BH21" s="52" t="n">
        <f aca="false">1/(1+In_Buyer_Rate)^(MAX(0,BH$4-In_COD)/Days_In_Year)</f>
        <v>0.561286343884061</v>
      </c>
      <c r="BI21" s="52" t="n">
        <f aca="false">1/(1+In_Buyer_Rate)^(MAX(0,BI$4-In_COD)/Days_In_Year)</f>
        <v>0.550619300112206</v>
      </c>
      <c r="BJ21" s="52" t="n">
        <f aca="false">1/(1+In_Buyer_Rate)^(MAX(0,BJ$4-In_COD)/Days_In_Year)</f>
        <v>0.540041098803804</v>
      </c>
      <c r="BK21" s="52" t="n">
        <f aca="false">1/(1+In_Buyer_Rate)^(MAX(0,BK$4-In_COD)/Days_In_Year)</f>
        <v>0.529666120199179</v>
      </c>
      <c r="BL21" s="52" t="n">
        <f aca="false">1/(1+In_Buyer_Rate)^(MAX(0,BL$4-In_COD)/Days_In_Year)</f>
        <v>0.519600007331484</v>
      </c>
      <c r="BM21" s="52" t="n">
        <f aca="false">1/(1+In_Buyer_Rate)^(MAX(0,BM$4-In_COD)/Days_In_Year)</f>
        <v>0.509725197294762</v>
      </c>
      <c r="BN21" s="52" t="n">
        <f aca="false">1/(1+In_Buyer_Rate)^(MAX(0,BN$4-In_COD)/Days_In_Year)</f>
        <v>0.499932631455079</v>
      </c>
      <c r="BO21" s="52" t="n">
        <f aca="false">1/(1+In_Buyer_Rate)^(MAX(0,BO$4-In_COD)/Days_In_Year)</f>
        <v>0.490328195113866</v>
      </c>
      <c r="BP21" s="52" t="n">
        <f aca="false">1/(1+In_Buyer_Rate)^(MAX(0,BP$4-In_COD)/Days_In_Year)</f>
        <v>0.481111117899522</v>
      </c>
      <c r="BQ21" s="52" t="n">
        <f aca="false">1/(1+In_Buyer_Rate)^(MAX(0,BQ$4-In_COD)/Days_In_Year)</f>
        <v>0.471967775272928</v>
      </c>
      <c r="BR21" s="52" t="n">
        <f aca="false">1/(1+In_Buyer_Rate)^(MAX(0,BR$4-In_COD)/Days_In_Year)</f>
        <v>0.462900584680629</v>
      </c>
      <c r="BS21" s="52" t="n">
        <f aca="false">1/(1+In_Buyer_Rate)^(MAX(0,BS$4-In_COD)/Days_In_Year)</f>
        <v>0.454007588068395</v>
      </c>
      <c r="BT21" s="52" t="n">
        <f aca="false">1/(1+In_Buyer_Rate)^(MAX(0,BT$4-In_COD)/Days_In_Year)</f>
        <v>0.445473257314372</v>
      </c>
      <c r="BU21" s="52" t="n">
        <f aca="false">1/(1+In_Buyer_Rate)^(MAX(0,BU$4-In_COD)/Days_In_Year)</f>
        <v>0.437007199326785</v>
      </c>
      <c r="BV21" s="52" t="n">
        <f aca="false">1/(1+In_Buyer_Rate)^(MAX(0,BV$4-In_COD)/Days_In_Year)</f>
        <v>0.428611652482064</v>
      </c>
      <c r="BW21" s="52" t="n">
        <f aca="false">1/(1+In_Buyer_Rate)^(MAX(0,BW$4-In_COD)/Days_In_Year)</f>
        <v>0.420377396359624</v>
      </c>
      <c r="BX21" s="52" t="n">
        <f aca="false">1/(1+In_Buyer_Rate)^(MAX(0,BX$4-In_COD)/Days_In_Year)</f>
        <v>0.412475238254048</v>
      </c>
      <c r="BY21" s="52" t="n">
        <f aca="false">1/(1+In_Buyer_Rate)^(MAX(0,BY$4-In_COD)/Days_In_Year)</f>
        <v>0.404636295672949</v>
      </c>
      <c r="BZ21" s="52" t="n">
        <f aca="false">1/(1+In_Buyer_Rate)^(MAX(0,BZ$4-In_COD)/Days_In_Year)</f>
        <v>0.396862641187096</v>
      </c>
      <c r="CA21" s="52" t="n">
        <f aca="false">1/(1+In_Buyer_Rate)^(MAX(0,CA$4-In_COD)/Days_In_Year)</f>
        <v>0.389238329962615</v>
      </c>
      <c r="CB21" s="52" t="n">
        <f aca="false">1/(1+In_Buyer_Rate)^(MAX(0,CB$4-In_COD)/Days_In_Year)</f>
        <v>0.381840996411503</v>
      </c>
      <c r="CC21" s="52" t="n">
        <f aca="false">1/(1+In_Buyer_Rate)^(MAX(0,CC$4-In_COD)/Days_In_Year)</f>
        <v>0.374584246506588</v>
      </c>
      <c r="CD21" s="52" t="n">
        <f aca="false">1/(1+In_Buyer_Rate)^(MAX(0,CD$4-In_COD)/Days_In_Year)</f>
        <v>0.367387935796638</v>
      </c>
      <c r="CE21" s="52" t="n">
        <f aca="false">1/(1+In_Buyer_Rate)^(MAX(0,CE$4-In_COD)/Days_In_Year)</f>
        <v>0.360329876730523</v>
      </c>
      <c r="CF21" s="52" t="n">
        <f aca="false">1/(1+In_Buyer_Rate)^(MAX(0,CF$4-In_COD)/Days_In_Year)</f>
        <v>0.353556478158799</v>
      </c>
      <c r="CG21" s="52" t="n">
        <f aca="false">1/(1+In_Buyer_Rate)^(MAX(0,CG$4-In_COD)/Days_In_Year)</f>
        <v>0.346837265283878</v>
      </c>
      <c r="CH21" s="52" t="n">
        <f aca="false">1/(1+In_Buyer_Rate)^(MAX(0,CH$4-In_COD)/Days_In_Year)</f>
        <v>0.340174014626517</v>
      </c>
      <c r="CI21" s="52" t="n">
        <f aca="false">1/(1+In_Buyer_Rate)^(MAX(0,CI$4-In_COD)/Days_In_Year)</f>
        <v>0.333638774750484</v>
      </c>
      <c r="CJ21" s="52" t="n">
        <f aca="false">1/(1+In_Buyer_Rate)^(MAX(0,CJ$4-In_COD)/Days_In_Year)</f>
        <v>0.327367109406295</v>
      </c>
      <c r="CK21" s="52" t="n">
        <f aca="false">1/(1+In_Buyer_Rate)^(MAX(0,CK$4-In_COD)/Days_In_Year)</f>
        <v>0.321145616003591</v>
      </c>
      <c r="CL21" s="52" t="n">
        <f aca="false">1/(1+In_Buyer_Rate)^(MAX(0,CL$4-In_COD)/Days_In_Year)</f>
        <v>0.314975939468997</v>
      </c>
      <c r="CM21" s="52" t="n">
        <f aca="false">1/(1+In_Buyer_Rate)^(MAX(0,CM$4-In_COD)/Days_In_Year)</f>
        <v>0.308924791435633</v>
      </c>
      <c r="CN21" s="52" t="n">
        <f aca="false">1/(1+In_Buyer_Rate)^(MAX(0,CN$4-In_COD)/Days_In_Year)</f>
        <v>0.303117693894718</v>
      </c>
      <c r="CO21" s="52" t="n">
        <f aca="false">1/(1+In_Buyer_Rate)^(MAX(0,CO$4-In_COD)/Days_In_Year)</f>
        <v>0.297357051855177</v>
      </c>
      <c r="CP21" s="52" t="n">
        <f aca="false">1/(1+In_Buyer_Rate)^(MAX(0,CP$4-In_COD)/Days_In_Year)</f>
        <v>0.291644388397219</v>
      </c>
      <c r="CQ21" s="52" t="n">
        <f aca="false">1/(1+In_Buyer_Rate)^(MAX(0,CQ$4-In_COD)/Days_In_Year)</f>
        <v>0.286041473551512</v>
      </c>
      <c r="CR21" s="52" t="n">
        <f aca="false">1/(1+In_Buyer_Rate)^(MAX(0,CR$4-In_COD)/Days_In_Year)</f>
        <v>0.280605358897759</v>
      </c>
      <c r="CS21" s="52" t="n">
        <f aca="false">1/(1+In_Buyer_Rate)^(MAX(0,CS$4-In_COD)/Days_In_Year)</f>
        <v>0.275272555635049</v>
      </c>
      <c r="CT21" s="52" t="n">
        <f aca="false">1/(1+In_Buyer_Rate)^(MAX(0,CT$4-In_COD)/Days_In_Year)</f>
        <v>0.269984167618878</v>
      </c>
      <c r="CU21" s="52" t="n">
        <f aca="false">1/(1+In_Buyer_Rate)^(MAX(0,CU$4-In_COD)/Days_In_Year)</f>
        <v>0.264797377263778</v>
      </c>
      <c r="CV21" s="52" t="n">
        <f aca="false">1/(1+In_Buyer_Rate)^(MAX(0,CV$4-In_COD)/Days_In_Year)</f>
        <v>0.259819776757184</v>
      </c>
      <c r="CW21" s="52" t="n">
        <f aca="false">1/(1+In_Buyer_Rate)^(MAX(0,CW$4-In_COD)/Days_In_Year)</f>
        <v>0.254881995958379</v>
      </c>
      <c r="CX21" s="52" t="n">
        <f aca="false">1/(1+In_Buyer_Rate)^(MAX(0,CX$4-In_COD)/Days_In_Year)</f>
        <v>0.24998534038785</v>
      </c>
      <c r="CY21" s="52" t="n">
        <f aca="false">1/(1+In_Buyer_Rate)^(MAX(0,CY$4-In_COD)/Days_In_Year)</f>
        <v>0.24518275672572</v>
      </c>
      <c r="CZ21" s="52" t="n">
        <f aca="false">1/(1+In_Buyer_Rate)^(MAX(0,CZ$4-In_COD)/Days_In_Year)</f>
        <v>0.240573867367763</v>
      </c>
      <c r="DA21" s="52" t="n">
        <f aca="false">1/(1+In_Buyer_Rate)^(MAX(0,DA$4-In_COD)/Days_In_Year)</f>
        <v>0.23600184810961</v>
      </c>
      <c r="DB21" s="52" t="n">
        <f aca="false">1/(1+In_Buyer_Rate)^(MAX(0,DB$4-In_COD)/Days_In_Year)</f>
        <v>0.231467907766528</v>
      </c>
      <c r="DC21" s="52" t="n">
        <f aca="false">1/(1+In_Buyer_Rate)^(MAX(0,DC$4-In_COD)/Days_In_Year)</f>
        <v>0.227021071042334</v>
      </c>
      <c r="DD21" s="52" t="n">
        <f aca="false">1/(1+In_Buyer_Rate)^(MAX(0,DD$4-In_COD)/Days_In_Year)</f>
        <v>0.222753580896077</v>
      </c>
      <c r="DE21" s="52" t="n">
        <f aca="false">1/(1+In_Buyer_Rate)^(MAX(0,DE$4-In_COD)/Days_In_Year)</f>
        <v>0.21852022973112</v>
      </c>
      <c r="DF21" s="52" t="n">
        <f aca="false">1/(1+In_Buyer_Rate)^(MAX(0,DF$4-In_COD)/Days_In_Year)</f>
        <v>0.214322136820859</v>
      </c>
      <c r="DG21" s="52" t="n">
        <f aca="false">1/(1+In_Buyer_Rate)^(MAX(0,DG$4-In_COD)/Days_In_Year)</f>
        <v>0.210204695409568</v>
      </c>
      <c r="DH21" s="52" t="n">
        <f aca="false">1/(1+In_Buyer_Rate)^(MAX(0,DH$4-In_COD)/Days_In_Year)</f>
        <v>0.206209831270407</v>
      </c>
      <c r="DI21" s="52" t="n">
        <f aca="false">1/(1+In_Buyer_Rate)^(MAX(0,DI$4-In_COD)/Days_In_Year)</f>
        <v>0.202290888078013</v>
      </c>
      <c r="DJ21" s="52" t="n">
        <f aca="false">1/(1+In_Buyer_Rate)^(MAX(0,DJ$4-In_COD)/Days_In_Year)</f>
        <v>0.198404584534878</v>
      </c>
      <c r="DK21" s="52" t="n">
        <f aca="false">1/(1+In_Buyer_Rate)^(MAX(0,DK$4-In_COD)/Days_In_Year)</f>
        <v>0.194592942561391</v>
      </c>
      <c r="DL21" s="52" t="n">
        <f aca="false">1/(1+In_Buyer_Rate)^(MAX(0,DL$4-In_COD)/Days_In_Year)</f>
        <v>0.190935028954081</v>
      </c>
      <c r="DM21" s="52" t="n">
        <f aca="false">1/(1+In_Buyer_Rate)^(MAX(0,DM$4-In_COD)/Days_In_Year)</f>
        <v>0.187306377850012</v>
      </c>
      <c r="DN21" s="52" t="n">
        <f aca="false">1/(1+In_Buyer_Rate)^(MAX(0,DN$4-In_COD)/Days_In_Year)</f>
        <v>0.183707948643405</v>
      </c>
      <c r="DO21" s="52" t="n">
        <f aca="false">1/(1+In_Buyer_Rate)^(MAX(0,DO$4-In_COD)/Days_In_Year)</f>
        <v>0.180178650519806</v>
      </c>
      <c r="DP21" s="52" t="n">
        <f aca="false">1/(1+In_Buyer_Rate)^(MAX(0,DP$4-In_COD)/Days_In_Year)</f>
        <v>0.176791693476001</v>
      </c>
      <c r="DQ21" s="52" t="n">
        <f aca="false">1/(1+In_Buyer_Rate)^(MAX(0,DQ$4-In_COD)/Days_In_Year)</f>
        <v>0.173431831342604</v>
      </c>
      <c r="DR21" s="52" t="n">
        <f aca="false">1/(1+In_Buyer_Rate)^(MAX(0,DR$4-In_COD)/Days_In_Year)</f>
        <v>0.170099952447597</v>
      </c>
      <c r="DS21" s="52" t="n">
        <f aca="false">1/(1+In_Buyer_Rate)^(MAX(0,DS$4-In_COD)/Days_In_Year)</f>
        <v>0.166832083814635</v>
      </c>
      <c r="DT21" s="52" t="n">
        <f aca="false">1/(1+In_Buyer_Rate)^(MAX(0,DT$4-In_COD)/Days_In_Year)</f>
        <v>0.163696012477778</v>
      </c>
      <c r="DU21" s="52" t="n">
        <f aca="false">1/(1+In_Buyer_Rate)^(MAX(0,DU$4-In_COD)/Days_In_Year)</f>
        <v>0.160585029020929</v>
      </c>
      <c r="DV21" s="52" t="n">
        <f aca="false">1/(1+In_Buyer_Rate)^(MAX(0,DV$4-In_COD)/Days_In_Year)</f>
        <v>0.157499955969998</v>
      </c>
      <c r="DW21" s="52" t="n">
        <f aca="false">1/(1+In_Buyer_Rate)^(MAX(0,DW$4-In_COD)/Days_In_Year)</f>
        <v>0.154474151680218</v>
      </c>
      <c r="DX21" s="52" t="n">
        <f aca="false">1/(1+In_Buyer_Rate)^(MAX(0,DX$4-In_COD)/Days_In_Year)</f>
        <v>0.151538426349381</v>
      </c>
      <c r="DY21" s="52" t="n">
        <f aca="false">1/(1+In_Buyer_Rate)^(MAX(0,DY$4-In_COD)/Days_In_Year)</f>
        <v>0.148658493415683</v>
      </c>
      <c r="DZ21" s="52" t="n">
        <f aca="false">1/(1+In_Buyer_Rate)^(MAX(0,DZ$4-In_COD)/Days_In_Year)</f>
        <v>0.145802546540529</v>
      </c>
      <c r="EA21" s="52" t="n">
        <f aca="false">1/(1+In_Buyer_Rate)^(MAX(0,EA$4-In_COD)/Days_In_Year)</f>
        <v>0.143001466577896</v>
      </c>
      <c r="EB21" s="52" t="n">
        <f aca="false">1/(1+In_Buyer_Rate)^(MAX(0,EB$4-In_COD)/Days_In_Year)</f>
        <v>0.140313357730909</v>
      </c>
      <c r="EC21" s="52" t="n">
        <f aca="false">1/(1+In_Buyer_Rate)^(MAX(0,EC$4-In_COD)/Days_In_Year)</f>
        <v>0.137646753162669</v>
      </c>
      <c r="ED21" s="52" t="n">
        <f aca="false">1/(1+In_Buyer_Rate)^(MAX(0,ED$4-In_COD)/Days_In_Year)</f>
        <v>0.135002357907897</v>
      </c>
      <c r="EE21" s="52" t="n">
        <f aca="false">1/(1+In_Buyer_Rate)^(MAX(0,EE$4-In_COD)/Days_In_Year)</f>
        <v>0.132408765349904</v>
      </c>
      <c r="EF21" s="52" t="n">
        <f aca="false">1/(1+In_Buyer_Rate)^(MAX(0,EF$4-In_COD)/Days_In_Year)</f>
        <v>0.129919775676767</v>
      </c>
      <c r="EG21" s="52" t="n">
        <f aca="false">1/(1+In_Buyer_Rate)^(MAX(0,EG$4-In_COD)/Days_In_Year)</f>
        <v>0.127450697372842</v>
      </c>
      <c r="EH21" s="52" t="n">
        <f aca="false">1/(1+In_Buyer_Rate)^(MAX(0,EH$4-In_COD)/Days_In_Year)</f>
        <v>0.125002183248053</v>
      </c>
      <c r="EI21" s="52" t="n">
        <f aca="false">1/(1+In_Buyer_Rate)^(MAX(0,EI$4-In_COD)/Days_In_Year)</f>
        <v>0.122600708657318</v>
      </c>
      <c r="EJ21" s="52" t="n">
        <f aca="false">1/(1+In_Buyer_Rate)^(MAX(0,EJ$4-In_COD)/Days_In_Year)</f>
        <v>0.120296088589599</v>
      </c>
      <c r="EK21" s="52" t="n">
        <f aca="false">1/(1+In_Buyer_Rate)^(MAX(0,EK$4-In_COD)/Days_In_Year)</f>
        <v>0.118009904974854</v>
      </c>
      <c r="EL21" s="52" t="n">
        <f aca="false">1/(1+In_Buyer_Rate)^(MAX(0,EL$4-In_COD)/Days_In_Year)</f>
        <v>0.115742762266716</v>
      </c>
      <c r="EM21" s="52" t="n">
        <f aca="false">1/(1+In_Buyer_Rate)^(MAX(0,EM$4-In_COD)/Days_In_Year)</f>
        <v>0.113519174682702</v>
      </c>
      <c r="EN21" s="52" t="n">
        <f aca="false">1/(1+In_Buyer_Rate)^(MAX(0,EN$4-In_COD)/Days_In_Year)</f>
        <v>0.111361783863418</v>
      </c>
      <c r="EO21" s="52" t="n">
        <f aca="false">1/(1+In_Buyer_Rate)^(MAX(0,EO$4-In_COD)/Days_In_Year)</f>
        <v>0.109245393475647</v>
      </c>
      <c r="EP21" s="52" t="n">
        <f aca="false">1/(1+In_Buyer_Rate)^(MAX(0,EP$4-In_COD)/Days_In_Year)</f>
        <v>0.107146629839927</v>
      </c>
      <c r="EQ21" s="52" t="n">
        <f aca="false">1/(1+In_Buyer_Rate)^(MAX(0,EQ$4-In_COD)/Days_In_Year)</f>
        <v>0.105088186520319</v>
      </c>
      <c r="ER21" s="52" t="n">
        <f aca="false">1/(1+In_Buyer_Rate)^(MAX(0,ER$4-In_COD)/Days_In_Year)</f>
        <v>0.103112762836498</v>
      </c>
      <c r="ES21" s="52" t="n">
        <f aca="false">1/(1+In_Buyer_Rate)^(MAX(0,ES$4-In_COD)/Days_In_Year)</f>
        <v>0.101153142107081</v>
      </c>
      <c r="ET21" s="52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487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488</v>
      </c>
      <c r="D24" s="11" t="s">
        <v>122</v>
      </c>
      <c r="E24" s="32" t="n">
        <f aca="false">In_MVA*(1+INDEX(Dash_Overbuild,1,$A$1))</f>
        <v>151</v>
      </c>
      <c r="F24" s="32" t="n">
        <f aca="false">In_MVA+($E24-In_MVA)*In_Overbuild_Built</f>
        <v>100</v>
      </c>
    </row>
    <row r="25" customFormat="false" ht="15" hidden="false" customHeight="false" outlineLevel="0" collapsed="false">
      <c r="C25" s="0" t="s">
        <v>489</v>
      </c>
      <c r="D25" s="11" t="s">
        <v>122</v>
      </c>
      <c r="E25" s="32" t="n">
        <f aca="false">INDEX(Dash_BESS,1,$A$1)*In_MVA</f>
        <v>51</v>
      </c>
      <c r="F25" s="32" t="n">
        <f aca="false">$E25*In_BESS_Built</f>
        <v>51</v>
      </c>
    </row>
    <row r="26" customFormat="false" ht="15" hidden="false" customHeight="false" outlineLevel="0" collapsed="false">
      <c r="C26" s="0" t="s">
        <v>490</v>
      </c>
      <c r="D26" s="11" t="s">
        <v>491</v>
      </c>
      <c r="E26" s="32" t="n">
        <f aca="false">$E25*INDEX(Dash_BESS_Hours,1,$A$1)</f>
        <v>204</v>
      </c>
    </row>
    <row r="27" customFormat="false" ht="15" hidden="false" customHeight="false" outlineLevel="0" collapsed="false">
      <c r="C27" s="0" t="s">
        <v>492</v>
      </c>
      <c r="D27" s="11" t="s">
        <v>35</v>
      </c>
      <c r="E27" s="53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493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494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495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496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497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498</v>
      </c>
      <c r="D34" s="11" t="s">
        <v>41</v>
      </c>
      <c r="E34" s="46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499</v>
      </c>
      <c r="D35" s="11" t="s">
        <v>13</v>
      </c>
      <c r="E35" s="50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500</v>
      </c>
      <c r="D36" s="11" t="s">
        <v>41</v>
      </c>
      <c r="E36" s="46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501</v>
      </c>
      <c r="D37" s="11" t="s">
        <v>41</v>
      </c>
      <c r="E37" s="46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502</v>
      </c>
      <c r="D38" s="11" t="s">
        <v>41</v>
      </c>
      <c r="E38" s="46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503</v>
      </c>
      <c r="D39" s="11" t="s">
        <v>41</v>
      </c>
      <c r="E39" s="46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504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505</v>
      </c>
      <c r="D42" s="11" t="s">
        <v>205</v>
      </c>
      <c r="E42" s="42" t="n">
        <f aca="false">N(In_MVA&gt;In_Group_Cap)+N($E24&lt;In_MVA)+N($E25&gt;$E24)+N($E26&lt;$E25*In_Min_Hours)</f>
        <v>0</v>
      </c>
      <c r="F42" s="42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506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507</v>
      </c>
      <c r="D45" s="11" t="s">
        <v>281</v>
      </c>
      <c r="E45" s="33" t="n">
        <f aca="false">$E24*In_Bench_Wind+$E26*In_Bench_BESS</f>
        <v>102106</v>
      </c>
    </row>
    <row r="46" customFormat="false" ht="15" hidden="false" customHeight="false" outlineLevel="0" collapsed="false">
      <c r="C46" s="0" t="s">
        <v>89</v>
      </c>
      <c r="D46" s="11" t="s">
        <v>247</v>
      </c>
      <c r="E46" s="33" t="n">
        <f aca="false">In_Signing_Fee+In_DD</f>
        <v>400</v>
      </c>
      <c r="F46" s="27" t="n">
        <f aca="false">In_Invest_Date</f>
        <v>46234</v>
      </c>
      <c r="I46" s="33" t="n">
        <f aca="false">SUM(J46:ET46)</f>
        <v>-400</v>
      </c>
      <c r="J46" s="33" t="n">
        <f aca="false">-$E46*N(AND(J$3&lt;=$F46,J$4&gt;=$F46))</f>
        <v>-400</v>
      </c>
      <c r="K46" s="33" t="n">
        <f aca="false">-$E46*N(AND(K$3&lt;=$F46,K$4&gt;=$F46))</f>
        <v>-0</v>
      </c>
      <c r="L46" s="33" t="n">
        <f aca="false">-$E46*N(AND(L$3&lt;=$F46,L$4&gt;=$F46))</f>
        <v>-0</v>
      </c>
      <c r="M46" s="33" t="n">
        <f aca="false">-$E46*N(AND(M$3&lt;=$F46,M$4&gt;=$F46))</f>
        <v>-0</v>
      </c>
      <c r="N46" s="33" t="n">
        <f aca="false">-$E46*N(AND(N$3&lt;=$F46,N$4&gt;=$F46))</f>
        <v>-0</v>
      </c>
      <c r="O46" s="33" t="n">
        <f aca="false">-$E46*N(AND(O$3&lt;=$F46,O$4&gt;=$F46))</f>
        <v>-0</v>
      </c>
      <c r="P46" s="33" t="n">
        <f aca="false">-$E46*N(AND(P$3&lt;=$F46,P$4&gt;=$F46))</f>
        <v>-0</v>
      </c>
      <c r="Q46" s="33" t="n">
        <f aca="false">-$E46*N(AND(Q$3&lt;=$F46,Q$4&gt;=$F46))</f>
        <v>-0</v>
      </c>
      <c r="R46" s="33" t="n">
        <f aca="false">-$E46*N(AND(R$3&lt;=$F46,R$4&gt;=$F46))</f>
        <v>-0</v>
      </c>
      <c r="S46" s="33" t="n">
        <f aca="false">-$E46*N(AND(S$3&lt;=$F46,S$4&gt;=$F46))</f>
        <v>-0</v>
      </c>
      <c r="T46" s="33" t="n">
        <f aca="false">-$E46*N(AND(T$3&lt;=$F46,T$4&gt;=$F46))</f>
        <v>-0</v>
      </c>
      <c r="U46" s="33" t="n">
        <f aca="false">-$E46*N(AND(U$3&lt;=$F46,U$4&gt;=$F46))</f>
        <v>-0</v>
      </c>
      <c r="V46" s="33" t="n">
        <f aca="false">-$E46*N(AND(V$3&lt;=$F46,V$4&gt;=$F46))</f>
        <v>-0</v>
      </c>
      <c r="W46" s="33" t="n">
        <f aca="false">-$E46*N(AND(W$3&lt;=$F46,W$4&gt;=$F46))</f>
        <v>-0</v>
      </c>
      <c r="X46" s="33" t="n">
        <f aca="false">-$E46*N(AND(X$3&lt;=$F46,X$4&gt;=$F46))</f>
        <v>-0</v>
      </c>
      <c r="Y46" s="33" t="n">
        <f aca="false">-$E46*N(AND(Y$3&lt;=$F46,Y$4&gt;=$F46))</f>
        <v>-0</v>
      </c>
      <c r="Z46" s="33" t="n">
        <f aca="false">-$E46*N(AND(Z$3&lt;=$F46,Z$4&gt;=$F46))</f>
        <v>-0</v>
      </c>
      <c r="AA46" s="33" t="n">
        <f aca="false">-$E46*N(AND(AA$3&lt;=$F46,AA$4&gt;=$F46))</f>
        <v>-0</v>
      </c>
      <c r="AB46" s="33" t="n">
        <f aca="false">-$E46*N(AND(AB$3&lt;=$F46,AB$4&gt;=$F46))</f>
        <v>-0</v>
      </c>
      <c r="AC46" s="33" t="n">
        <f aca="false">-$E46*N(AND(AC$3&lt;=$F46,AC$4&gt;=$F46))</f>
        <v>-0</v>
      </c>
      <c r="AD46" s="33" t="n">
        <f aca="false">-$E46*N(AND(AD$3&lt;=$F46,AD$4&gt;=$F46))</f>
        <v>-0</v>
      </c>
      <c r="AE46" s="33" t="n">
        <f aca="false">-$E46*N(AND(AE$3&lt;=$F46,AE$4&gt;=$F46))</f>
        <v>-0</v>
      </c>
      <c r="AF46" s="33" t="n">
        <f aca="false">-$E46*N(AND(AF$3&lt;=$F46,AF$4&gt;=$F46))</f>
        <v>-0</v>
      </c>
      <c r="AG46" s="33" t="n">
        <f aca="false">-$E46*N(AND(AG$3&lt;=$F46,AG$4&gt;=$F46))</f>
        <v>-0</v>
      </c>
      <c r="AH46" s="33" t="n">
        <f aca="false">-$E46*N(AND(AH$3&lt;=$F46,AH$4&gt;=$F46))</f>
        <v>-0</v>
      </c>
      <c r="AI46" s="33" t="n">
        <f aca="false">-$E46*N(AND(AI$3&lt;=$F46,AI$4&gt;=$F46))</f>
        <v>-0</v>
      </c>
      <c r="AJ46" s="33" t="n">
        <f aca="false">-$E46*N(AND(AJ$3&lt;=$F46,AJ$4&gt;=$F46))</f>
        <v>-0</v>
      </c>
      <c r="AK46" s="33" t="n">
        <f aca="false">-$E46*N(AND(AK$3&lt;=$F46,AK$4&gt;=$F46))</f>
        <v>-0</v>
      </c>
      <c r="AL46" s="33" t="n">
        <f aca="false">-$E46*N(AND(AL$3&lt;=$F46,AL$4&gt;=$F46))</f>
        <v>-0</v>
      </c>
      <c r="AM46" s="33" t="n">
        <f aca="false">-$E46*N(AND(AM$3&lt;=$F46,AM$4&gt;=$F46))</f>
        <v>-0</v>
      </c>
      <c r="AN46" s="33" t="n">
        <f aca="false">-$E46*N(AND(AN$3&lt;=$F46,AN$4&gt;=$F46))</f>
        <v>-0</v>
      </c>
      <c r="AO46" s="33" t="n">
        <f aca="false">-$E46*N(AND(AO$3&lt;=$F46,AO$4&gt;=$F46))</f>
        <v>-0</v>
      </c>
      <c r="AP46" s="33" t="n">
        <f aca="false">-$E46*N(AND(AP$3&lt;=$F46,AP$4&gt;=$F46))</f>
        <v>-0</v>
      </c>
      <c r="AQ46" s="33" t="n">
        <f aca="false">-$E46*N(AND(AQ$3&lt;=$F46,AQ$4&gt;=$F46))</f>
        <v>-0</v>
      </c>
      <c r="AR46" s="33" t="n">
        <f aca="false">-$E46*N(AND(AR$3&lt;=$F46,AR$4&gt;=$F46))</f>
        <v>-0</v>
      </c>
      <c r="AS46" s="33" t="n">
        <f aca="false">-$E46*N(AND(AS$3&lt;=$F46,AS$4&gt;=$F46))</f>
        <v>-0</v>
      </c>
      <c r="AT46" s="33" t="n">
        <f aca="false">-$E46*N(AND(AT$3&lt;=$F46,AT$4&gt;=$F46))</f>
        <v>-0</v>
      </c>
      <c r="AU46" s="33" t="n">
        <f aca="false">-$E46*N(AND(AU$3&lt;=$F46,AU$4&gt;=$F46))</f>
        <v>-0</v>
      </c>
      <c r="AV46" s="33" t="n">
        <f aca="false">-$E46*N(AND(AV$3&lt;=$F46,AV$4&gt;=$F46))</f>
        <v>-0</v>
      </c>
      <c r="AW46" s="33" t="n">
        <f aca="false">-$E46*N(AND(AW$3&lt;=$F46,AW$4&gt;=$F46))</f>
        <v>-0</v>
      </c>
      <c r="AX46" s="33" t="n">
        <f aca="false">-$E46*N(AND(AX$3&lt;=$F46,AX$4&gt;=$F46))</f>
        <v>-0</v>
      </c>
      <c r="AY46" s="33" t="n">
        <f aca="false">-$E46*N(AND(AY$3&lt;=$F46,AY$4&gt;=$F46))</f>
        <v>-0</v>
      </c>
      <c r="AZ46" s="33" t="n">
        <f aca="false">-$E46*N(AND(AZ$3&lt;=$F46,AZ$4&gt;=$F46))</f>
        <v>-0</v>
      </c>
      <c r="BA46" s="33" t="n">
        <f aca="false">-$E46*N(AND(BA$3&lt;=$F46,BA$4&gt;=$F46))</f>
        <v>-0</v>
      </c>
      <c r="BB46" s="33" t="n">
        <f aca="false">-$E46*N(AND(BB$3&lt;=$F46,BB$4&gt;=$F46))</f>
        <v>-0</v>
      </c>
      <c r="BC46" s="33" t="n">
        <f aca="false">-$E46*N(AND(BC$3&lt;=$F46,BC$4&gt;=$F46))</f>
        <v>-0</v>
      </c>
      <c r="BD46" s="33" t="n">
        <f aca="false">-$E46*N(AND(BD$3&lt;=$F46,BD$4&gt;=$F46))</f>
        <v>-0</v>
      </c>
      <c r="BE46" s="33" t="n">
        <f aca="false">-$E46*N(AND(BE$3&lt;=$F46,BE$4&gt;=$F46))</f>
        <v>-0</v>
      </c>
      <c r="BF46" s="33" t="n">
        <f aca="false">-$E46*N(AND(BF$3&lt;=$F46,BF$4&gt;=$F46))</f>
        <v>-0</v>
      </c>
      <c r="BG46" s="33" t="n">
        <f aca="false">-$E46*N(AND(BG$3&lt;=$F46,BG$4&gt;=$F46))</f>
        <v>-0</v>
      </c>
      <c r="BH46" s="33" t="n">
        <f aca="false">-$E46*N(AND(BH$3&lt;=$F46,BH$4&gt;=$F46))</f>
        <v>-0</v>
      </c>
      <c r="BI46" s="33" t="n">
        <f aca="false">-$E46*N(AND(BI$3&lt;=$F46,BI$4&gt;=$F46))</f>
        <v>-0</v>
      </c>
      <c r="BJ46" s="33" t="n">
        <f aca="false">-$E46*N(AND(BJ$3&lt;=$F46,BJ$4&gt;=$F46))</f>
        <v>-0</v>
      </c>
      <c r="BK46" s="33" t="n">
        <f aca="false">-$E46*N(AND(BK$3&lt;=$F46,BK$4&gt;=$F46))</f>
        <v>-0</v>
      </c>
      <c r="BL46" s="33" t="n">
        <f aca="false">-$E46*N(AND(BL$3&lt;=$F46,BL$4&gt;=$F46))</f>
        <v>-0</v>
      </c>
      <c r="BM46" s="33" t="n">
        <f aca="false">-$E46*N(AND(BM$3&lt;=$F46,BM$4&gt;=$F46))</f>
        <v>-0</v>
      </c>
      <c r="BN46" s="33" t="n">
        <f aca="false">-$E46*N(AND(BN$3&lt;=$F46,BN$4&gt;=$F46))</f>
        <v>-0</v>
      </c>
      <c r="BO46" s="33" t="n">
        <f aca="false">-$E46*N(AND(BO$3&lt;=$F46,BO$4&gt;=$F46))</f>
        <v>-0</v>
      </c>
      <c r="BP46" s="33" t="n">
        <f aca="false">-$E46*N(AND(BP$3&lt;=$F46,BP$4&gt;=$F46))</f>
        <v>-0</v>
      </c>
      <c r="BQ46" s="33" t="n">
        <f aca="false">-$E46*N(AND(BQ$3&lt;=$F46,BQ$4&gt;=$F46))</f>
        <v>-0</v>
      </c>
      <c r="BR46" s="33" t="n">
        <f aca="false">-$E46*N(AND(BR$3&lt;=$F46,BR$4&gt;=$F46))</f>
        <v>-0</v>
      </c>
      <c r="BS46" s="33" t="n">
        <f aca="false">-$E46*N(AND(BS$3&lt;=$F46,BS$4&gt;=$F46))</f>
        <v>-0</v>
      </c>
      <c r="BT46" s="33" t="n">
        <f aca="false">-$E46*N(AND(BT$3&lt;=$F46,BT$4&gt;=$F46))</f>
        <v>-0</v>
      </c>
      <c r="BU46" s="33" t="n">
        <f aca="false">-$E46*N(AND(BU$3&lt;=$F46,BU$4&gt;=$F46))</f>
        <v>-0</v>
      </c>
      <c r="BV46" s="33" t="n">
        <f aca="false">-$E46*N(AND(BV$3&lt;=$F46,BV$4&gt;=$F46))</f>
        <v>-0</v>
      </c>
      <c r="BW46" s="33" t="n">
        <f aca="false">-$E46*N(AND(BW$3&lt;=$F46,BW$4&gt;=$F46))</f>
        <v>-0</v>
      </c>
      <c r="BX46" s="33" t="n">
        <f aca="false">-$E46*N(AND(BX$3&lt;=$F46,BX$4&gt;=$F46))</f>
        <v>-0</v>
      </c>
      <c r="BY46" s="33" t="n">
        <f aca="false">-$E46*N(AND(BY$3&lt;=$F46,BY$4&gt;=$F46))</f>
        <v>-0</v>
      </c>
      <c r="BZ46" s="33" t="n">
        <f aca="false">-$E46*N(AND(BZ$3&lt;=$F46,BZ$4&gt;=$F46))</f>
        <v>-0</v>
      </c>
      <c r="CA46" s="33" t="n">
        <f aca="false">-$E46*N(AND(CA$3&lt;=$F46,CA$4&gt;=$F46))</f>
        <v>-0</v>
      </c>
      <c r="CB46" s="33" t="n">
        <f aca="false">-$E46*N(AND(CB$3&lt;=$F46,CB$4&gt;=$F46))</f>
        <v>-0</v>
      </c>
      <c r="CC46" s="33" t="n">
        <f aca="false">-$E46*N(AND(CC$3&lt;=$F46,CC$4&gt;=$F46))</f>
        <v>-0</v>
      </c>
      <c r="CD46" s="33" t="n">
        <f aca="false">-$E46*N(AND(CD$3&lt;=$F46,CD$4&gt;=$F46))</f>
        <v>-0</v>
      </c>
      <c r="CE46" s="33" t="n">
        <f aca="false">-$E46*N(AND(CE$3&lt;=$F46,CE$4&gt;=$F46))</f>
        <v>-0</v>
      </c>
      <c r="CF46" s="33" t="n">
        <f aca="false">-$E46*N(AND(CF$3&lt;=$F46,CF$4&gt;=$F46))</f>
        <v>-0</v>
      </c>
      <c r="CG46" s="33" t="n">
        <f aca="false">-$E46*N(AND(CG$3&lt;=$F46,CG$4&gt;=$F46))</f>
        <v>-0</v>
      </c>
      <c r="CH46" s="33" t="n">
        <f aca="false">-$E46*N(AND(CH$3&lt;=$F46,CH$4&gt;=$F46))</f>
        <v>-0</v>
      </c>
      <c r="CI46" s="33" t="n">
        <f aca="false">-$E46*N(AND(CI$3&lt;=$F46,CI$4&gt;=$F46))</f>
        <v>-0</v>
      </c>
      <c r="CJ46" s="33" t="n">
        <f aca="false">-$E46*N(AND(CJ$3&lt;=$F46,CJ$4&gt;=$F46))</f>
        <v>-0</v>
      </c>
      <c r="CK46" s="33" t="n">
        <f aca="false">-$E46*N(AND(CK$3&lt;=$F46,CK$4&gt;=$F46))</f>
        <v>-0</v>
      </c>
      <c r="CL46" s="33" t="n">
        <f aca="false">-$E46*N(AND(CL$3&lt;=$F46,CL$4&gt;=$F46))</f>
        <v>-0</v>
      </c>
      <c r="CM46" s="33" t="n">
        <f aca="false">-$E46*N(AND(CM$3&lt;=$F46,CM$4&gt;=$F46))</f>
        <v>-0</v>
      </c>
      <c r="CN46" s="33" t="n">
        <f aca="false">-$E46*N(AND(CN$3&lt;=$F46,CN$4&gt;=$F46))</f>
        <v>-0</v>
      </c>
      <c r="CO46" s="33" t="n">
        <f aca="false">-$E46*N(AND(CO$3&lt;=$F46,CO$4&gt;=$F46))</f>
        <v>-0</v>
      </c>
      <c r="CP46" s="33" t="n">
        <f aca="false">-$E46*N(AND(CP$3&lt;=$F46,CP$4&gt;=$F46))</f>
        <v>-0</v>
      </c>
      <c r="CQ46" s="33" t="n">
        <f aca="false">-$E46*N(AND(CQ$3&lt;=$F46,CQ$4&gt;=$F46))</f>
        <v>-0</v>
      </c>
      <c r="CR46" s="33" t="n">
        <f aca="false">-$E46*N(AND(CR$3&lt;=$F46,CR$4&gt;=$F46))</f>
        <v>-0</v>
      </c>
      <c r="CS46" s="33" t="n">
        <f aca="false">-$E46*N(AND(CS$3&lt;=$F46,CS$4&gt;=$F46))</f>
        <v>-0</v>
      </c>
      <c r="CT46" s="33" t="n">
        <f aca="false">-$E46*N(AND(CT$3&lt;=$F46,CT$4&gt;=$F46))</f>
        <v>-0</v>
      </c>
      <c r="CU46" s="33" t="n">
        <f aca="false">-$E46*N(AND(CU$3&lt;=$F46,CU$4&gt;=$F46))</f>
        <v>-0</v>
      </c>
      <c r="CV46" s="33" t="n">
        <f aca="false">-$E46*N(AND(CV$3&lt;=$F46,CV$4&gt;=$F46))</f>
        <v>-0</v>
      </c>
      <c r="CW46" s="33" t="n">
        <f aca="false">-$E46*N(AND(CW$3&lt;=$F46,CW$4&gt;=$F46))</f>
        <v>-0</v>
      </c>
      <c r="CX46" s="33" t="n">
        <f aca="false">-$E46*N(AND(CX$3&lt;=$F46,CX$4&gt;=$F46))</f>
        <v>-0</v>
      </c>
      <c r="CY46" s="33" t="n">
        <f aca="false">-$E46*N(AND(CY$3&lt;=$F46,CY$4&gt;=$F46))</f>
        <v>-0</v>
      </c>
      <c r="CZ46" s="33" t="n">
        <f aca="false">-$E46*N(AND(CZ$3&lt;=$F46,CZ$4&gt;=$F46))</f>
        <v>-0</v>
      </c>
      <c r="DA46" s="33" t="n">
        <f aca="false">-$E46*N(AND(DA$3&lt;=$F46,DA$4&gt;=$F46))</f>
        <v>-0</v>
      </c>
      <c r="DB46" s="33" t="n">
        <f aca="false">-$E46*N(AND(DB$3&lt;=$F46,DB$4&gt;=$F46))</f>
        <v>-0</v>
      </c>
      <c r="DC46" s="33" t="n">
        <f aca="false">-$E46*N(AND(DC$3&lt;=$F46,DC$4&gt;=$F46))</f>
        <v>-0</v>
      </c>
      <c r="DD46" s="33" t="n">
        <f aca="false">-$E46*N(AND(DD$3&lt;=$F46,DD$4&gt;=$F46))</f>
        <v>-0</v>
      </c>
      <c r="DE46" s="33" t="n">
        <f aca="false">-$E46*N(AND(DE$3&lt;=$F46,DE$4&gt;=$F46))</f>
        <v>-0</v>
      </c>
      <c r="DF46" s="33" t="n">
        <f aca="false">-$E46*N(AND(DF$3&lt;=$F46,DF$4&gt;=$F46))</f>
        <v>-0</v>
      </c>
      <c r="DG46" s="33" t="n">
        <f aca="false">-$E46*N(AND(DG$3&lt;=$F46,DG$4&gt;=$F46))</f>
        <v>-0</v>
      </c>
      <c r="DH46" s="33" t="n">
        <f aca="false">-$E46*N(AND(DH$3&lt;=$F46,DH$4&gt;=$F46))</f>
        <v>-0</v>
      </c>
      <c r="DI46" s="33" t="n">
        <f aca="false">-$E46*N(AND(DI$3&lt;=$F46,DI$4&gt;=$F46))</f>
        <v>-0</v>
      </c>
      <c r="DJ46" s="33" t="n">
        <f aca="false">-$E46*N(AND(DJ$3&lt;=$F46,DJ$4&gt;=$F46))</f>
        <v>-0</v>
      </c>
      <c r="DK46" s="33" t="n">
        <f aca="false">-$E46*N(AND(DK$3&lt;=$F46,DK$4&gt;=$F46))</f>
        <v>-0</v>
      </c>
      <c r="DL46" s="33" t="n">
        <f aca="false">-$E46*N(AND(DL$3&lt;=$F46,DL$4&gt;=$F46))</f>
        <v>-0</v>
      </c>
      <c r="DM46" s="33" t="n">
        <f aca="false">-$E46*N(AND(DM$3&lt;=$F46,DM$4&gt;=$F46))</f>
        <v>-0</v>
      </c>
      <c r="DN46" s="33" t="n">
        <f aca="false">-$E46*N(AND(DN$3&lt;=$F46,DN$4&gt;=$F46))</f>
        <v>-0</v>
      </c>
      <c r="DO46" s="33" t="n">
        <f aca="false">-$E46*N(AND(DO$3&lt;=$F46,DO$4&gt;=$F46))</f>
        <v>-0</v>
      </c>
      <c r="DP46" s="33" t="n">
        <f aca="false">-$E46*N(AND(DP$3&lt;=$F46,DP$4&gt;=$F46))</f>
        <v>-0</v>
      </c>
      <c r="DQ46" s="33" t="n">
        <f aca="false">-$E46*N(AND(DQ$3&lt;=$F46,DQ$4&gt;=$F46))</f>
        <v>-0</v>
      </c>
      <c r="DR46" s="33" t="n">
        <f aca="false">-$E46*N(AND(DR$3&lt;=$F46,DR$4&gt;=$F46))</f>
        <v>-0</v>
      </c>
      <c r="DS46" s="33" t="n">
        <f aca="false">-$E46*N(AND(DS$3&lt;=$F46,DS$4&gt;=$F46))</f>
        <v>-0</v>
      </c>
      <c r="DT46" s="33" t="n">
        <f aca="false">-$E46*N(AND(DT$3&lt;=$F46,DT$4&gt;=$F46))</f>
        <v>-0</v>
      </c>
      <c r="DU46" s="33" t="n">
        <f aca="false">-$E46*N(AND(DU$3&lt;=$F46,DU$4&gt;=$F46))</f>
        <v>-0</v>
      </c>
      <c r="DV46" s="33" t="n">
        <f aca="false">-$E46*N(AND(DV$3&lt;=$F46,DV$4&gt;=$F46))</f>
        <v>-0</v>
      </c>
      <c r="DW46" s="33" t="n">
        <f aca="false">-$E46*N(AND(DW$3&lt;=$F46,DW$4&gt;=$F46))</f>
        <v>-0</v>
      </c>
      <c r="DX46" s="33" t="n">
        <f aca="false">-$E46*N(AND(DX$3&lt;=$F46,DX$4&gt;=$F46))</f>
        <v>-0</v>
      </c>
      <c r="DY46" s="33" t="n">
        <f aca="false">-$E46*N(AND(DY$3&lt;=$F46,DY$4&gt;=$F46))</f>
        <v>-0</v>
      </c>
      <c r="DZ46" s="33" t="n">
        <f aca="false">-$E46*N(AND(DZ$3&lt;=$F46,DZ$4&gt;=$F46))</f>
        <v>-0</v>
      </c>
      <c r="EA46" s="33" t="n">
        <f aca="false">-$E46*N(AND(EA$3&lt;=$F46,EA$4&gt;=$F46))</f>
        <v>-0</v>
      </c>
      <c r="EB46" s="33" t="n">
        <f aca="false">-$E46*N(AND(EB$3&lt;=$F46,EB$4&gt;=$F46))</f>
        <v>-0</v>
      </c>
      <c r="EC46" s="33" t="n">
        <f aca="false">-$E46*N(AND(EC$3&lt;=$F46,EC$4&gt;=$F46))</f>
        <v>-0</v>
      </c>
      <c r="ED46" s="33" t="n">
        <f aca="false">-$E46*N(AND(ED$3&lt;=$F46,ED$4&gt;=$F46))</f>
        <v>-0</v>
      </c>
      <c r="EE46" s="33" t="n">
        <f aca="false">-$E46*N(AND(EE$3&lt;=$F46,EE$4&gt;=$F46))</f>
        <v>-0</v>
      </c>
      <c r="EF46" s="33" t="n">
        <f aca="false">-$E46*N(AND(EF$3&lt;=$F46,EF$4&gt;=$F46))</f>
        <v>-0</v>
      </c>
      <c r="EG46" s="33" t="n">
        <f aca="false">-$E46*N(AND(EG$3&lt;=$F46,EG$4&gt;=$F46))</f>
        <v>-0</v>
      </c>
      <c r="EH46" s="33" t="n">
        <f aca="false">-$E46*N(AND(EH$3&lt;=$F46,EH$4&gt;=$F46))</f>
        <v>-0</v>
      </c>
      <c r="EI46" s="33" t="n">
        <f aca="false">-$E46*N(AND(EI$3&lt;=$F46,EI$4&gt;=$F46))</f>
        <v>-0</v>
      </c>
      <c r="EJ46" s="33" t="n">
        <f aca="false">-$E46*N(AND(EJ$3&lt;=$F46,EJ$4&gt;=$F46))</f>
        <v>-0</v>
      </c>
      <c r="EK46" s="33" t="n">
        <f aca="false">-$E46*N(AND(EK$3&lt;=$F46,EK$4&gt;=$F46))</f>
        <v>-0</v>
      </c>
      <c r="EL46" s="33" t="n">
        <f aca="false">-$E46*N(AND(EL$3&lt;=$F46,EL$4&gt;=$F46))</f>
        <v>-0</v>
      </c>
      <c r="EM46" s="33" t="n">
        <f aca="false">-$E46*N(AND(EM$3&lt;=$F46,EM$4&gt;=$F46))</f>
        <v>-0</v>
      </c>
      <c r="EN46" s="33" t="n">
        <f aca="false">-$E46*N(AND(EN$3&lt;=$F46,EN$4&gt;=$F46))</f>
        <v>-0</v>
      </c>
      <c r="EO46" s="33" t="n">
        <f aca="false">-$E46*N(AND(EO$3&lt;=$F46,EO$4&gt;=$F46))</f>
        <v>-0</v>
      </c>
      <c r="EP46" s="33" t="n">
        <f aca="false">-$E46*N(AND(EP$3&lt;=$F46,EP$4&gt;=$F46))</f>
        <v>-0</v>
      </c>
      <c r="EQ46" s="33" t="n">
        <f aca="false">-$E46*N(AND(EQ$3&lt;=$F46,EQ$4&gt;=$F46))</f>
        <v>-0</v>
      </c>
      <c r="ER46" s="33" t="n">
        <f aca="false">-$E46*N(AND(ER$3&lt;=$F46,ER$4&gt;=$F46))</f>
        <v>-0</v>
      </c>
      <c r="ES46" s="33" t="n">
        <f aca="false">-$E46*N(AND(ES$3&lt;=$F46,ES$4&gt;=$F46))</f>
        <v>-0</v>
      </c>
      <c r="ET46" s="33" t="n">
        <f aca="false">-$E46*N(AND(ET$3&lt;=$F46,ET$4&gt;=$F46))</f>
        <v>-0</v>
      </c>
    </row>
    <row r="47" customFormat="false" ht="15" hidden="false" customHeight="false" outlineLevel="0" collapsed="false">
      <c r="C47" s="0" t="s">
        <v>508</v>
      </c>
      <c r="D47" s="11" t="s">
        <v>247</v>
      </c>
      <c r="E47" s="33" t="n">
        <f aca="false">In_Part_Fee*Thousand/In_FX</f>
        <v>8.21917808219178</v>
      </c>
      <c r="F47" s="27" t="n">
        <f aca="false">In_Bid_Date</f>
        <v>46325</v>
      </c>
      <c r="I47" s="33" t="n">
        <f aca="false">SUM(J47:ET47)</f>
        <v>-8.21917808219178</v>
      </c>
      <c r="J47" s="33" t="n">
        <f aca="false">-$E47*N(AND(J$3&lt;=$F47,J$4&gt;=$F47))</f>
        <v>-0</v>
      </c>
      <c r="K47" s="33" t="n">
        <f aca="false">-$E47*N(AND(K$3&lt;=$F47,K$4&gt;=$F47))</f>
        <v>-8.21917808219178</v>
      </c>
      <c r="L47" s="33" t="n">
        <f aca="false">-$E47*N(AND(L$3&lt;=$F47,L$4&gt;=$F47))</f>
        <v>-0</v>
      </c>
      <c r="M47" s="33" t="n">
        <f aca="false">-$E47*N(AND(M$3&lt;=$F47,M$4&gt;=$F47))</f>
        <v>-0</v>
      </c>
      <c r="N47" s="33" t="n">
        <f aca="false">-$E47*N(AND(N$3&lt;=$F47,N$4&gt;=$F47))</f>
        <v>-0</v>
      </c>
      <c r="O47" s="33" t="n">
        <f aca="false">-$E47*N(AND(O$3&lt;=$F47,O$4&gt;=$F47))</f>
        <v>-0</v>
      </c>
      <c r="P47" s="33" t="n">
        <f aca="false">-$E47*N(AND(P$3&lt;=$F47,P$4&gt;=$F47))</f>
        <v>-0</v>
      </c>
      <c r="Q47" s="33" t="n">
        <f aca="false">-$E47*N(AND(Q$3&lt;=$F47,Q$4&gt;=$F47))</f>
        <v>-0</v>
      </c>
      <c r="R47" s="33" t="n">
        <f aca="false">-$E47*N(AND(R$3&lt;=$F47,R$4&gt;=$F47))</f>
        <v>-0</v>
      </c>
      <c r="S47" s="33" t="n">
        <f aca="false">-$E47*N(AND(S$3&lt;=$F47,S$4&gt;=$F47))</f>
        <v>-0</v>
      </c>
      <c r="T47" s="33" t="n">
        <f aca="false">-$E47*N(AND(T$3&lt;=$F47,T$4&gt;=$F47))</f>
        <v>-0</v>
      </c>
      <c r="U47" s="33" t="n">
        <f aca="false">-$E47*N(AND(U$3&lt;=$F47,U$4&gt;=$F47))</f>
        <v>-0</v>
      </c>
      <c r="V47" s="33" t="n">
        <f aca="false">-$E47*N(AND(V$3&lt;=$F47,V$4&gt;=$F47))</f>
        <v>-0</v>
      </c>
      <c r="W47" s="33" t="n">
        <f aca="false">-$E47*N(AND(W$3&lt;=$F47,W$4&gt;=$F47))</f>
        <v>-0</v>
      </c>
      <c r="X47" s="33" t="n">
        <f aca="false">-$E47*N(AND(X$3&lt;=$F47,X$4&gt;=$F47))</f>
        <v>-0</v>
      </c>
      <c r="Y47" s="33" t="n">
        <f aca="false">-$E47*N(AND(Y$3&lt;=$F47,Y$4&gt;=$F47))</f>
        <v>-0</v>
      </c>
      <c r="Z47" s="33" t="n">
        <f aca="false">-$E47*N(AND(Z$3&lt;=$F47,Z$4&gt;=$F47))</f>
        <v>-0</v>
      </c>
      <c r="AA47" s="33" t="n">
        <f aca="false">-$E47*N(AND(AA$3&lt;=$F47,AA$4&gt;=$F47))</f>
        <v>-0</v>
      </c>
      <c r="AB47" s="33" t="n">
        <f aca="false">-$E47*N(AND(AB$3&lt;=$F47,AB$4&gt;=$F47))</f>
        <v>-0</v>
      </c>
      <c r="AC47" s="33" t="n">
        <f aca="false">-$E47*N(AND(AC$3&lt;=$F47,AC$4&gt;=$F47))</f>
        <v>-0</v>
      </c>
      <c r="AD47" s="33" t="n">
        <f aca="false">-$E47*N(AND(AD$3&lt;=$F47,AD$4&gt;=$F47))</f>
        <v>-0</v>
      </c>
      <c r="AE47" s="33" t="n">
        <f aca="false">-$E47*N(AND(AE$3&lt;=$F47,AE$4&gt;=$F47))</f>
        <v>-0</v>
      </c>
      <c r="AF47" s="33" t="n">
        <f aca="false">-$E47*N(AND(AF$3&lt;=$F47,AF$4&gt;=$F47))</f>
        <v>-0</v>
      </c>
      <c r="AG47" s="33" t="n">
        <f aca="false">-$E47*N(AND(AG$3&lt;=$F47,AG$4&gt;=$F47))</f>
        <v>-0</v>
      </c>
      <c r="AH47" s="33" t="n">
        <f aca="false">-$E47*N(AND(AH$3&lt;=$F47,AH$4&gt;=$F47))</f>
        <v>-0</v>
      </c>
      <c r="AI47" s="33" t="n">
        <f aca="false">-$E47*N(AND(AI$3&lt;=$F47,AI$4&gt;=$F47))</f>
        <v>-0</v>
      </c>
      <c r="AJ47" s="33" t="n">
        <f aca="false">-$E47*N(AND(AJ$3&lt;=$F47,AJ$4&gt;=$F47))</f>
        <v>-0</v>
      </c>
      <c r="AK47" s="33" t="n">
        <f aca="false">-$E47*N(AND(AK$3&lt;=$F47,AK$4&gt;=$F47))</f>
        <v>-0</v>
      </c>
      <c r="AL47" s="33" t="n">
        <f aca="false">-$E47*N(AND(AL$3&lt;=$F47,AL$4&gt;=$F47))</f>
        <v>-0</v>
      </c>
      <c r="AM47" s="33" t="n">
        <f aca="false">-$E47*N(AND(AM$3&lt;=$F47,AM$4&gt;=$F47))</f>
        <v>-0</v>
      </c>
      <c r="AN47" s="33" t="n">
        <f aca="false">-$E47*N(AND(AN$3&lt;=$F47,AN$4&gt;=$F47))</f>
        <v>-0</v>
      </c>
      <c r="AO47" s="33" t="n">
        <f aca="false">-$E47*N(AND(AO$3&lt;=$F47,AO$4&gt;=$F47))</f>
        <v>-0</v>
      </c>
      <c r="AP47" s="33" t="n">
        <f aca="false">-$E47*N(AND(AP$3&lt;=$F47,AP$4&gt;=$F47))</f>
        <v>-0</v>
      </c>
      <c r="AQ47" s="33" t="n">
        <f aca="false">-$E47*N(AND(AQ$3&lt;=$F47,AQ$4&gt;=$F47))</f>
        <v>-0</v>
      </c>
      <c r="AR47" s="33" t="n">
        <f aca="false">-$E47*N(AND(AR$3&lt;=$F47,AR$4&gt;=$F47))</f>
        <v>-0</v>
      </c>
      <c r="AS47" s="33" t="n">
        <f aca="false">-$E47*N(AND(AS$3&lt;=$F47,AS$4&gt;=$F47))</f>
        <v>-0</v>
      </c>
      <c r="AT47" s="33" t="n">
        <f aca="false">-$E47*N(AND(AT$3&lt;=$F47,AT$4&gt;=$F47))</f>
        <v>-0</v>
      </c>
      <c r="AU47" s="33" t="n">
        <f aca="false">-$E47*N(AND(AU$3&lt;=$F47,AU$4&gt;=$F47))</f>
        <v>-0</v>
      </c>
      <c r="AV47" s="33" t="n">
        <f aca="false">-$E47*N(AND(AV$3&lt;=$F47,AV$4&gt;=$F47))</f>
        <v>-0</v>
      </c>
      <c r="AW47" s="33" t="n">
        <f aca="false">-$E47*N(AND(AW$3&lt;=$F47,AW$4&gt;=$F47))</f>
        <v>-0</v>
      </c>
      <c r="AX47" s="33" t="n">
        <f aca="false">-$E47*N(AND(AX$3&lt;=$F47,AX$4&gt;=$F47))</f>
        <v>-0</v>
      </c>
      <c r="AY47" s="33" t="n">
        <f aca="false">-$E47*N(AND(AY$3&lt;=$F47,AY$4&gt;=$F47))</f>
        <v>-0</v>
      </c>
      <c r="AZ47" s="33" t="n">
        <f aca="false">-$E47*N(AND(AZ$3&lt;=$F47,AZ$4&gt;=$F47))</f>
        <v>-0</v>
      </c>
      <c r="BA47" s="33" t="n">
        <f aca="false">-$E47*N(AND(BA$3&lt;=$F47,BA$4&gt;=$F47))</f>
        <v>-0</v>
      </c>
      <c r="BB47" s="33" t="n">
        <f aca="false">-$E47*N(AND(BB$3&lt;=$F47,BB$4&gt;=$F47))</f>
        <v>-0</v>
      </c>
      <c r="BC47" s="33" t="n">
        <f aca="false">-$E47*N(AND(BC$3&lt;=$F47,BC$4&gt;=$F47))</f>
        <v>-0</v>
      </c>
      <c r="BD47" s="33" t="n">
        <f aca="false">-$E47*N(AND(BD$3&lt;=$F47,BD$4&gt;=$F47))</f>
        <v>-0</v>
      </c>
      <c r="BE47" s="33" t="n">
        <f aca="false">-$E47*N(AND(BE$3&lt;=$F47,BE$4&gt;=$F47))</f>
        <v>-0</v>
      </c>
      <c r="BF47" s="33" t="n">
        <f aca="false">-$E47*N(AND(BF$3&lt;=$F47,BF$4&gt;=$F47))</f>
        <v>-0</v>
      </c>
      <c r="BG47" s="33" t="n">
        <f aca="false">-$E47*N(AND(BG$3&lt;=$F47,BG$4&gt;=$F47))</f>
        <v>-0</v>
      </c>
      <c r="BH47" s="33" t="n">
        <f aca="false">-$E47*N(AND(BH$3&lt;=$F47,BH$4&gt;=$F47))</f>
        <v>-0</v>
      </c>
      <c r="BI47" s="33" t="n">
        <f aca="false">-$E47*N(AND(BI$3&lt;=$F47,BI$4&gt;=$F47))</f>
        <v>-0</v>
      </c>
      <c r="BJ47" s="33" t="n">
        <f aca="false">-$E47*N(AND(BJ$3&lt;=$F47,BJ$4&gt;=$F47))</f>
        <v>-0</v>
      </c>
      <c r="BK47" s="33" t="n">
        <f aca="false">-$E47*N(AND(BK$3&lt;=$F47,BK$4&gt;=$F47))</f>
        <v>-0</v>
      </c>
      <c r="BL47" s="33" t="n">
        <f aca="false">-$E47*N(AND(BL$3&lt;=$F47,BL$4&gt;=$F47))</f>
        <v>-0</v>
      </c>
      <c r="BM47" s="33" t="n">
        <f aca="false">-$E47*N(AND(BM$3&lt;=$F47,BM$4&gt;=$F47))</f>
        <v>-0</v>
      </c>
      <c r="BN47" s="33" t="n">
        <f aca="false">-$E47*N(AND(BN$3&lt;=$F47,BN$4&gt;=$F47))</f>
        <v>-0</v>
      </c>
      <c r="BO47" s="33" t="n">
        <f aca="false">-$E47*N(AND(BO$3&lt;=$F47,BO$4&gt;=$F47))</f>
        <v>-0</v>
      </c>
      <c r="BP47" s="33" t="n">
        <f aca="false">-$E47*N(AND(BP$3&lt;=$F47,BP$4&gt;=$F47))</f>
        <v>-0</v>
      </c>
      <c r="BQ47" s="33" t="n">
        <f aca="false">-$E47*N(AND(BQ$3&lt;=$F47,BQ$4&gt;=$F47))</f>
        <v>-0</v>
      </c>
      <c r="BR47" s="33" t="n">
        <f aca="false">-$E47*N(AND(BR$3&lt;=$F47,BR$4&gt;=$F47))</f>
        <v>-0</v>
      </c>
      <c r="BS47" s="33" t="n">
        <f aca="false">-$E47*N(AND(BS$3&lt;=$F47,BS$4&gt;=$F47))</f>
        <v>-0</v>
      </c>
      <c r="BT47" s="33" t="n">
        <f aca="false">-$E47*N(AND(BT$3&lt;=$F47,BT$4&gt;=$F47))</f>
        <v>-0</v>
      </c>
      <c r="BU47" s="33" t="n">
        <f aca="false">-$E47*N(AND(BU$3&lt;=$F47,BU$4&gt;=$F47))</f>
        <v>-0</v>
      </c>
      <c r="BV47" s="33" t="n">
        <f aca="false">-$E47*N(AND(BV$3&lt;=$F47,BV$4&gt;=$F47))</f>
        <v>-0</v>
      </c>
      <c r="BW47" s="33" t="n">
        <f aca="false">-$E47*N(AND(BW$3&lt;=$F47,BW$4&gt;=$F47))</f>
        <v>-0</v>
      </c>
      <c r="BX47" s="33" t="n">
        <f aca="false">-$E47*N(AND(BX$3&lt;=$F47,BX$4&gt;=$F47))</f>
        <v>-0</v>
      </c>
      <c r="BY47" s="33" t="n">
        <f aca="false">-$E47*N(AND(BY$3&lt;=$F47,BY$4&gt;=$F47))</f>
        <v>-0</v>
      </c>
      <c r="BZ47" s="33" t="n">
        <f aca="false">-$E47*N(AND(BZ$3&lt;=$F47,BZ$4&gt;=$F47))</f>
        <v>-0</v>
      </c>
      <c r="CA47" s="33" t="n">
        <f aca="false">-$E47*N(AND(CA$3&lt;=$F47,CA$4&gt;=$F47))</f>
        <v>-0</v>
      </c>
      <c r="CB47" s="33" t="n">
        <f aca="false">-$E47*N(AND(CB$3&lt;=$F47,CB$4&gt;=$F47))</f>
        <v>-0</v>
      </c>
      <c r="CC47" s="33" t="n">
        <f aca="false">-$E47*N(AND(CC$3&lt;=$F47,CC$4&gt;=$F47))</f>
        <v>-0</v>
      </c>
      <c r="CD47" s="33" t="n">
        <f aca="false">-$E47*N(AND(CD$3&lt;=$F47,CD$4&gt;=$F47))</f>
        <v>-0</v>
      </c>
      <c r="CE47" s="33" t="n">
        <f aca="false">-$E47*N(AND(CE$3&lt;=$F47,CE$4&gt;=$F47))</f>
        <v>-0</v>
      </c>
      <c r="CF47" s="33" t="n">
        <f aca="false">-$E47*N(AND(CF$3&lt;=$F47,CF$4&gt;=$F47))</f>
        <v>-0</v>
      </c>
      <c r="CG47" s="33" t="n">
        <f aca="false">-$E47*N(AND(CG$3&lt;=$F47,CG$4&gt;=$F47))</f>
        <v>-0</v>
      </c>
      <c r="CH47" s="33" t="n">
        <f aca="false">-$E47*N(AND(CH$3&lt;=$F47,CH$4&gt;=$F47))</f>
        <v>-0</v>
      </c>
      <c r="CI47" s="33" t="n">
        <f aca="false">-$E47*N(AND(CI$3&lt;=$F47,CI$4&gt;=$F47))</f>
        <v>-0</v>
      </c>
      <c r="CJ47" s="33" t="n">
        <f aca="false">-$E47*N(AND(CJ$3&lt;=$F47,CJ$4&gt;=$F47))</f>
        <v>-0</v>
      </c>
      <c r="CK47" s="33" t="n">
        <f aca="false">-$E47*N(AND(CK$3&lt;=$F47,CK$4&gt;=$F47))</f>
        <v>-0</v>
      </c>
      <c r="CL47" s="33" t="n">
        <f aca="false">-$E47*N(AND(CL$3&lt;=$F47,CL$4&gt;=$F47))</f>
        <v>-0</v>
      </c>
      <c r="CM47" s="33" t="n">
        <f aca="false">-$E47*N(AND(CM$3&lt;=$F47,CM$4&gt;=$F47))</f>
        <v>-0</v>
      </c>
      <c r="CN47" s="33" t="n">
        <f aca="false">-$E47*N(AND(CN$3&lt;=$F47,CN$4&gt;=$F47))</f>
        <v>-0</v>
      </c>
      <c r="CO47" s="33" t="n">
        <f aca="false">-$E47*N(AND(CO$3&lt;=$F47,CO$4&gt;=$F47))</f>
        <v>-0</v>
      </c>
      <c r="CP47" s="33" t="n">
        <f aca="false">-$E47*N(AND(CP$3&lt;=$F47,CP$4&gt;=$F47))</f>
        <v>-0</v>
      </c>
      <c r="CQ47" s="33" t="n">
        <f aca="false">-$E47*N(AND(CQ$3&lt;=$F47,CQ$4&gt;=$F47))</f>
        <v>-0</v>
      </c>
      <c r="CR47" s="33" t="n">
        <f aca="false">-$E47*N(AND(CR$3&lt;=$F47,CR$4&gt;=$F47))</f>
        <v>-0</v>
      </c>
      <c r="CS47" s="33" t="n">
        <f aca="false">-$E47*N(AND(CS$3&lt;=$F47,CS$4&gt;=$F47))</f>
        <v>-0</v>
      </c>
      <c r="CT47" s="33" t="n">
        <f aca="false">-$E47*N(AND(CT$3&lt;=$F47,CT$4&gt;=$F47))</f>
        <v>-0</v>
      </c>
      <c r="CU47" s="33" t="n">
        <f aca="false">-$E47*N(AND(CU$3&lt;=$F47,CU$4&gt;=$F47))</f>
        <v>-0</v>
      </c>
      <c r="CV47" s="33" t="n">
        <f aca="false">-$E47*N(AND(CV$3&lt;=$F47,CV$4&gt;=$F47))</f>
        <v>-0</v>
      </c>
      <c r="CW47" s="33" t="n">
        <f aca="false">-$E47*N(AND(CW$3&lt;=$F47,CW$4&gt;=$F47))</f>
        <v>-0</v>
      </c>
      <c r="CX47" s="33" t="n">
        <f aca="false">-$E47*N(AND(CX$3&lt;=$F47,CX$4&gt;=$F47))</f>
        <v>-0</v>
      </c>
      <c r="CY47" s="33" t="n">
        <f aca="false">-$E47*N(AND(CY$3&lt;=$F47,CY$4&gt;=$F47))</f>
        <v>-0</v>
      </c>
      <c r="CZ47" s="33" t="n">
        <f aca="false">-$E47*N(AND(CZ$3&lt;=$F47,CZ$4&gt;=$F47))</f>
        <v>-0</v>
      </c>
      <c r="DA47" s="33" t="n">
        <f aca="false">-$E47*N(AND(DA$3&lt;=$F47,DA$4&gt;=$F47))</f>
        <v>-0</v>
      </c>
      <c r="DB47" s="33" t="n">
        <f aca="false">-$E47*N(AND(DB$3&lt;=$F47,DB$4&gt;=$F47))</f>
        <v>-0</v>
      </c>
      <c r="DC47" s="33" t="n">
        <f aca="false">-$E47*N(AND(DC$3&lt;=$F47,DC$4&gt;=$F47))</f>
        <v>-0</v>
      </c>
      <c r="DD47" s="33" t="n">
        <f aca="false">-$E47*N(AND(DD$3&lt;=$F47,DD$4&gt;=$F47))</f>
        <v>-0</v>
      </c>
      <c r="DE47" s="33" t="n">
        <f aca="false">-$E47*N(AND(DE$3&lt;=$F47,DE$4&gt;=$F47))</f>
        <v>-0</v>
      </c>
      <c r="DF47" s="33" t="n">
        <f aca="false">-$E47*N(AND(DF$3&lt;=$F47,DF$4&gt;=$F47))</f>
        <v>-0</v>
      </c>
      <c r="DG47" s="33" t="n">
        <f aca="false">-$E47*N(AND(DG$3&lt;=$F47,DG$4&gt;=$F47))</f>
        <v>-0</v>
      </c>
      <c r="DH47" s="33" t="n">
        <f aca="false">-$E47*N(AND(DH$3&lt;=$F47,DH$4&gt;=$F47))</f>
        <v>-0</v>
      </c>
      <c r="DI47" s="33" t="n">
        <f aca="false">-$E47*N(AND(DI$3&lt;=$F47,DI$4&gt;=$F47))</f>
        <v>-0</v>
      </c>
      <c r="DJ47" s="33" t="n">
        <f aca="false">-$E47*N(AND(DJ$3&lt;=$F47,DJ$4&gt;=$F47))</f>
        <v>-0</v>
      </c>
      <c r="DK47" s="33" t="n">
        <f aca="false">-$E47*N(AND(DK$3&lt;=$F47,DK$4&gt;=$F47))</f>
        <v>-0</v>
      </c>
      <c r="DL47" s="33" t="n">
        <f aca="false">-$E47*N(AND(DL$3&lt;=$F47,DL$4&gt;=$F47))</f>
        <v>-0</v>
      </c>
      <c r="DM47" s="33" t="n">
        <f aca="false">-$E47*N(AND(DM$3&lt;=$F47,DM$4&gt;=$F47))</f>
        <v>-0</v>
      </c>
      <c r="DN47" s="33" t="n">
        <f aca="false">-$E47*N(AND(DN$3&lt;=$F47,DN$4&gt;=$F47))</f>
        <v>-0</v>
      </c>
      <c r="DO47" s="33" t="n">
        <f aca="false">-$E47*N(AND(DO$3&lt;=$F47,DO$4&gt;=$F47))</f>
        <v>-0</v>
      </c>
      <c r="DP47" s="33" t="n">
        <f aca="false">-$E47*N(AND(DP$3&lt;=$F47,DP$4&gt;=$F47))</f>
        <v>-0</v>
      </c>
      <c r="DQ47" s="33" t="n">
        <f aca="false">-$E47*N(AND(DQ$3&lt;=$F47,DQ$4&gt;=$F47))</f>
        <v>-0</v>
      </c>
      <c r="DR47" s="33" t="n">
        <f aca="false">-$E47*N(AND(DR$3&lt;=$F47,DR$4&gt;=$F47))</f>
        <v>-0</v>
      </c>
      <c r="DS47" s="33" t="n">
        <f aca="false">-$E47*N(AND(DS$3&lt;=$F47,DS$4&gt;=$F47))</f>
        <v>-0</v>
      </c>
      <c r="DT47" s="33" t="n">
        <f aca="false">-$E47*N(AND(DT$3&lt;=$F47,DT$4&gt;=$F47))</f>
        <v>-0</v>
      </c>
      <c r="DU47" s="33" t="n">
        <f aca="false">-$E47*N(AND(DU$3&lt;=$F47,DU$4&gt;=$F47))</f>
        <v>-0</v>
      </c>
      <c r="DV47" s="33" t="n">
        <f aca="false">-$E47*N(AND(DV$3&lt;=$F47,DV$4&gt;=$F47))</f>
        <v>-0</v>
      </c>
      <c r="DW47" s="33" t="n">
        <f aca="false">-$E47*N(AND(DW$3&lt;=$F47,DW$4&gt;=$F47))</f>
        <v>-0</v>
      </c>
      <c r="DX47" s="33" t="n">
        <f aca="false">-$E47*N(AND(DX$3&lt;=$F47,DX$4&gt;=$F47))</f>
        <v>-0</v>
      </c>
      <c r="DY47" s="33" t="n">
        <f aca="false">-$E47*N(AND(DY$3&lt;=$F47,DY$4&gt;=$F47))</f>
        <v>-0</v>
      </c>
      <c r="DZ47" s="33" t="n">
        <f aca="false">-$E47*N(AND(DZ$3&lt;=$F47,DZ$4&gt;=$F47))</f>
        <v>-0</v>
      </c>
      <c r="EA47" s="33" t="n">
        <f aca="false">-$E47*N(AND(EA$3&lt;=$F47,EA$4&gt;=$F47))</f>
        <v>-0</v>
      </c>
      <c r="EB47" s="33" t="n">
        <f aca="false">-$E47*N(AND(EB$3&lt;=$F47,EB$4&gt;=$F47))</f>
        <v>-0</v>
      </c>
      <c r="EC47" s="33" t="n">
        <f aca="false">-$E47*N(AND(EC$3&lt;=$F47,EC$4&gt;=$F47))</f>
        <v>-0</v>
      </c>
      <c r="ED47" s="33" t="n">
        <f aca="false">-$E47*N(AND(ED$3&lt;=$F47,ED$4&gt;=$F47))</f>
        <v>-0</v>
      </c>
      <c r="EE47" s="33" t="n">
        <f aca="false">-$E47*N(AND(EE$3&lt;=$F47,EE$4&gt;=$F47))</f>
        <v>-0</v>
      </c>
      <c r="EF47" s="33" t="n">
        <f aca="false">-$E47*N(AND(EF$3&lt;=$F47,EF$4&gt;=$F47))</f>
        <v>-0</v>
      </c>
      <c r="EG47" s="33" t="n">
        <f aca="false">-$E47*N(AND(EG$3&lt;=$F47,EG$4&gt;=$F47))</f>
        <v>-0</v>
      </c>
      <c r="EH47" s="33" t="n">
        <f aca="false">-$E47*N(AND(EH$3&lt;=$F47,EH$4&gt;=$F47))</f>
        <v>-0</v>
      </c>
      <c r="EI47" s="33" t="n">
        <f aca="false">-$E47*N(AND(EI$3&lt;=$F47,EI$4&gt;=$F47))</f>
        <v>-0</v>
      </c>
      <c r="EJ47" s="33" t="n">
        <f aca="false">-$E47*N(AND(EJ$3&lt;=$F47,EJ$4&gt;=$F47))</f>
        <v>-0</v>
      </c>
      <c r="EK47" s="33" t="n">
        <f aca="false">-$E47*N(AND(EK$3&lt;=$F47,EK$4&gt;=$F47))</f>
        <v>-0</v>
      </c>
      <c r="EL47" s="33" t="n">
        <f aca="false">-$E47*N(AND(EL$3&lt;=$F47,EL$4&gt;=$F47))</f>
        <v>-0</v>
      </c>
      <c r="EM47" s="33" t="n">
        <f aca="false">-$E47*N(AND(EM$3&lt;=$F47,EM$4&gt;=$F47))</f>
        <v>-0</v>
      </c>
      <c r="EN47" s="33" t="n">
        <f aca="false">-$E47*N(AND(EN$3&lt;=$F47,EN$4&gt;=$F47))</f>
        <v>-0</v>
      </c>
      <c r="EO47" s="33" t="n">
        <f aca="false">-$E47*N(AND(EO$3&lt;=$F47,EO$4&gt;=$F47))</f>
        <v>-0</v>
      </c>
      <c r="EP47" s="33" t="n">
        <f aca="false">-$E47*N(AND(EP$3&lt;=$F47,EP$4&gt;=$F47))</f>
        <v>-0</v>
      </c>
      <c r="EQ47" s="33" t="n">
        <f aca="false">-$E47*N(AND(EQ$3&lt;=$F47,EQ$4&gt;=$F47))</f>
        <v>-0</v>
      </c>
      <c r="ER47" s="33" t="n">
        <f aca="false">-$E47*N(AND(ER$3&lt;=$F47,ER$4&gt;=$F47))</f>
        <v>-0</v>
      </c>
      <c r="ES47" s="33" t="n">
        <f aca="false">-$E47*N(AND(ES$3&lt;=$F47,ES$4&gt;=$F47))</f>
        <v>-0</v>
      </c>
      <c r="ET47" s="33" t="n">
        <f aca="false">-$E47*N(AND(ET$3&lt;=$F47,ET$4&gt;=$F47))</f>
        <v>-0</v>
      </c>
    </row>
    <row r="48" customFormat="false" ht="15" hidden="false" customHeight="false" outlineLevel="0" collapsed="false">
      <c r="C48" s="0" t="s">
        <v>509</v>
      </c>
      <c r="D48" s="11" t="s">
        <v>247</v>
      </c>
      <c r="E48" s="33" t="n">
        <f aca="false">In_Bid_Rate*$E45*Thousand/In_FX</f>
        <v>1398.71232876712</v>
      </c>
      <c r="F48" s="27" t="n">
        <f aca="false">In_Bid_Date</f>
        <v>46325</v>
      </c>
      <c r="J48" s="33" t="n">
        <f aca="false">$E48*MAX(0,(MIN(In_Award_Date+In_PB_Days-1,J$4)-MAX($F48,J$3)+1)/J$5)</f>
        <v>0</v>
      </c>
      <c r="K48" s="33" t="n">
        <f aca="false">$E48*MAX(0,(MIN(In_Award_Date+In_PB_Days-1,K$4)-MAX($F48,K$3)+1)/K$5)</f>
        <v>897.000297796307</v>
      </c>
      <c r="L48" s="33" t="n">
        <f aca="false">$E48*MAX(0,(MIN(In_Award_Date+In_PB_Days-1,L$4)-MAX($F48,L$3)+1)/L$5)</f>
        <v>0</v>
      </c>
      <c r="M48" s="33" t="n">
        <f aca="false">$E48*MAX(0,(MIN(In_Award_Date+In_PB_Days-1,M$4)-MAX($F48,M$3)+1)/M$5)</f>
        <v>0</v>
      </c>
      <c r="N48" s="33" t="n">
        <f aca="false">$E48*MAX(0,(MIN(In_Award_Date+In_PB_Days-1,N$4)-MAX($F48,N$3)+1)/N$5)</f>
        <v>0</v>
      </c>
      <c r="O48" s="33" t="n">
        <f aca="false">$E48*MAX(0,(MIN(In_Award_Date+In_PB_Days-1,O$4)-MAX($F48,O$3)+1)/O$5)</f>
        <v>0</v>
      </c>
      <c r="P48" s="33" t="n">
        <f aca="false">$E48*MAX(0,(MIN(In_Award_Date+In_PB_Days-1,P$4)-MAX($F48,P$3)+1)/P$5)</f>
        <v>0</v>
      </c>
      <c r="Q48" s="33" t="n">
        <f aca="false">$E48*MAX(0,(MIN(In_Award_Date+In_PB_Days-1,Q$4)-MAX($F48,Q$3)+1)/Q$5)</f>
        <v>0</v>
      </c>
      <c r="R48" s="33" t="n">
        <f aca="false">$E48*MAX(0,(MIN(In_Award_Date+In_PB_Days-1,R$4)-MAX($F48,R$3)+1)/R$5)</f>
        <v>0</v>
      </c>
      <c r="S48" s="33" t="n">
        <f aca="false">$E48*MAX(0,(MIN(In_Award_Date+In_PB_Days-1,S$4)-MAX($F48,S$3)+1)/S$5)</f>
        <v>0</v>
      </c>
      <c r="T48" s="33" t="n">
        <f aca="false">$E48*MAX(0,(MIN(In_Award_Date+In_PB_Days-1,T$4)-MAX($F48,T$3)+1)/T$5)</f>
        <v>0</v>
      </c>
      <c r="U48" s="33" t="n">
        <f aca="false">$E48*MAX(0,(MIN(In_Award_Date+In_PB_Days-1,U$4)-MAX($F48,U$3)+1)/U$5)</f>
        <v>0</v>
      </c>
      <c r="V48" s="33" t="n">
        <f aca="false">$E48*MAX(0,(MIN(In_Award_Date+In_PB_Days-1,V$4)-MAX($F48,V$3)+1)/V$5)</f>
        <v>0</v>
      </c>
      <c r="W48" s="33" t="n">
        <f aca="false">$E48*MAX(0,(MIN(In_Award_Date+In_PB_Days-1,W$4)-MAX($F48,W$3)+1)/W$5)</f>
        <v>0</v>
      </c>
      <c r="X48" s="33" t="n">
        <f aca="false">$E48*MAX(0,(MIN(In_Award_Date+In_PB_Days-1,X$4)-MAX($F48,X$3)+1)/X$5)</f>
        <v>0</v>
      </c>
      <c r="Y48" s="33" t="n">
        <f aca="false">$E48*MAX(0,(MIN(In_Award_Date+In_PB_Days-1,Y$4)-MAX($F48,Y$3)+1)/Y$5)</f>
        <v>0</v>
      </c>
      <c r="Z48" s="33" t="n">
        <f aca="false">$E48*MAX(0,(MIN(In_Award_Date+In_PB_Days-1,Z$4)-MAX($F48,Z$3)+1)/Z$5)</f>
        <v>0</v>
      </c>
      <c r="AA48" s="33" t="n">
        <f aca="false">$E48*MAX(0,(MIN(In_Award_Date+In_PB_Days-1,AA$4)-MAX($F48,AA$3)+1)/AA$5)</f>
        <v>0</v>
      </c>
      <c r="AB48" s="33" t="n">
        <f aca="false">$E48*MAX(0,(MIN(In_Award_Date+In_PB_Days-1,AB$4)-MAX($F48,AB$3)+1)/AB$5)</f>
        <v>0</v>
      </c>
      <c r="AC48" s="33" t="n">
        <f aca="false">$E48*MAX(0,(MIN(In_Award_Date+In_PB_Days-1,AC$4)-MAX($F48,AC$3)+1)/AC$5)</f>
        <v>0</v>
      </c>
      <c r="AD48" s="33" t="n">
        <f aca="false">$E48*MAX(0,(MIN(In_Award_Date+In_PB_Days-1,AD$4)-MAX($F48,AD$3)+1)/AD$5)</f>
        <v>0</v>
      </c>
      <c r="AE48" s="33" t="n">
        <f aca="false">$E48*MAX(0,(MIN(In_Award_Date+In_PB_Days-1,AE$4)-MAX($F48,AE$3)+1)/AE$5)</f>
        <v>0</v>
      </c>
      <c r="AF48" s="33" t="n">
        <f aca="false">$E48*MAX(0,(MIN(In_Award_Date+In_PB_Days-1,AF$4)-MAX($F48,AF$3)+1)/AF$5)</f>
        <v>0</v>
      </c>
      <c r="AG48" s="33" t="n">
        <f aca="false">$E48*MAX(0,(MIN(In_Award_Date+In_PB_Days-1,AG$4)-MAX($F48,AG$3)+1)/AG$5)</f>
        <v>0</v>
      </c>
      <c r="AH48" s="33" t="n">
        <f aca="false">$E48*MAX(0,(MIN(In_Award_Date+In_PB_Days-1,AH$4)-MAX($F48,AH$3)+1)/AH$5)</f>
        <v>0</v>
      </c>
      <c r="AI48" s="33" t="n">
        <f aca="false">$E48*MAX(0,(MIN(In_Award_Date+In_PB_Days-1,AI$4)-MAX($F48,AI$3)+1)/AI$5)</f>
        <v>0</v>
      </c>
      <c r="AJ48" s="33" t="n">
        <f aca="false">$E48*MAX(0,(MIN(In_Award_Date+In_PB_Days-1,AJ$4)-MAX($F48,AJ$3)+1)/AJ$5)</f>
        <v>0</v>
      </c>
      <c r="AK48" s="33" t="n">
        <f aca="false">$E48*MAX(0,(MIN(In_Award_Date+In_PB_Days-1,AK$4)-MAX($F48,AK$3)+1)/AK$5)</f>
        <v>0</v>
      </c>
      <c r="AL48" s="33" t="n">
        <f aca="false">$E48*MAX(0,(MIN(In_Award_Date+In_PB_Days-1,AL$4)-MAX($F48,AL$3)+1)/AL$5)</f>
        <v>0</v>
      </c>
      <c r="AM48" s="33" t="n">
        <f aca="false">$E48*MAX(0,(MIN(In_Award_Date+In_PB_Days-1,AM$4)-MAX($F48,AM$3)+1)/AM$5)</f>
        <v>0</v>
      </c>
      <c r="AN48" s="33" t="n">
        <f aca="false">$E48*MAX(0,(MIN(In_Award_Date+In_PB_Days-1,AN$4)-MAX($F48,AN$3)+1)/AN$5)</f>
        <v>0</v>
      </c>
      <c r="AO48" s="33" t="n">
        <f aca="false">$E48*MAX(0,(MIN(In_Award_Date+In_PB_Days-1,AO$4)-MAX($F48,AO$3)+1)/AO$5)</f>
        <v>0</v>
      </c>
      <c r="AP48" s="33" t="n">
        <f aca="false">$E48*MAX(0,(MIN(In_Award_Date+In_PB_Days-1,AP$4)-MAX($F48,AP$3)+1)/AP$5)</f>
        <v>0</v>
      </c>
      <c r="AQ48" s="33" t="n">
        <f aca="false">$E48*MAX(0,(MIN(In_Award_Date+In_PB_Days-1,AQ$4)-MAX($F48,AQ$3)+1)/AQ$5)</f>
        <v>0</v>
      </c>
      <c r="AR48" s="33" t="n">
        <f aca="false">$E48*MAX(0,(MIN(In_Award_Date+In_PB_Days-1,AR$4)-MAX($F48,AR$3)+1)/AR$5)</f>
        <v>0</v>
      </c>
      <c r="AS48" s="33" t="n">
        <f aca="false">$E48*MAX(0,(MIN(In_Award_Date+In_PB_Days-1,AS$4)-MAX($F48,AS$3)+1)/AS$5)</f>
        <v>0</v>
      </c>
      <c r="AT48" s="33" t="n">
        <f aca="false">$E48*MAX(0,(MIN(In_Award_Date+In_PB_Days-1,AT$4)-MAX($F48,AT$3)+1)/AT$5)</f>
        <v>0</v>
      </c>
      <c r="AU48" s="33" t="n">
        <f aca="false">$E48*MAX(0,(MIN(In_Award_Date+In_PB_Days-1,AU$4)-MAX($F48,AU$3)+1)/AU$5)</f>
        <v>0</v>
      </c>
      <c r="AV48" s="33" t="n">
        <f aca="false">$E48*MAX(0,(MIN(In_Award_Date+In_PB_Days-1,AV$4)-MAX($F48,AV$3)+1)/AV$5)</f>
        <v>0</v>
      </c>
      <c r="AW48" s="33" t="n">
        <f aca="false">$E48*MAX(0,(MIN(In_Award_Date+In_PB_Days-1,AW$4)-MAX($F48,AW$3)+1)/AW$5)</f>
        <v>0</v>
      </c>
      <c r="AX48" s="33" t="n">
        <f aca="false">$E48*MAX(0,(MIN(In_Award_Date+In_PB_Days-1,AX$4)-MAX($F48,AX$3)+1)/AX$5)</f>
        <v>0</v>
      </c>
      <c r="AY48" s="33" t="n">
        <f aca="false">$E48*MAX(0,(MIN(In_Award_Date+In_PB_Days-1,AY$4)-MAX($F48,AY$3)+1)/AY$5)</f>
        <v>0</v>
      </c>
      <c r="AZ48" s="33" t="n">
        <f aca="false">$E48*MAX(0,(MIN(In_Award_Date+In_PB_Days-1,AZ$4)-MAX($F48,AZ$3)+1)/AZ$5)</f>
        <v>0</v>
      </c>
      <c r="BA48" s="33" t="n">
        <f aca="false">$E48*MAX(0,(MIN(In_Award_Date+In_PB_Days-1,BA$4)-MAX($F48,BA$3)+1)/BA$5)</f>
        <v>0</v>
      </c>
      <c r="BB48" s="33" t="n">
        <f aca="false">$E48*MAX(0,(MIN(In_Award_Date+In_PB_Days-1,BB$4)-MAX($F48,BB$3)+1)/BB$5)</f>
        <v>0</v>
      </c>
      <c r="BC48" s="33" t="n">
        <f aca="false">$E48*MAX(0,(MIN(In_Award_Date+In_PB_Days-1,BC$4)-MAX($F48,BC$3)+1)/BC$5)</f>
        <v>0</v>
      </c>
      <c r="BD48" s="33" t="n">
        <f aca="false">$E48*MAX(0,(MIN(In_Award_Date+In_PB_Days-1,BD$4)-MAX($F48,BD$3)+1)/BD$5)</f>
        <v>0</v>
      </c>
      <c r="BE48" s="33" t="n">
        <f aca="false">$E48*MAX(0,(MIN(In_Award_Date+In_PB_Days-1,BE$4)-MAX($F48,BE$3)+1)/BE$5)</f>
        <v>0</v>
      </c>
      <c r="BF48" s="33" t="n">
        <f aca="false">$E48*MAX(0,(MIN(In_Award_Date+In_PB_Days-1,BF$4)-MAX($F48,BF$3)+1)/BF$5)</f>
        <v>0</v>
      </c>
      <c r="BG48" s="33" t="n">
        <f aca="false">$E48*MAX(0,(MIN(In_Award_Date+In_PB_Days-1,BG$4)-MAX($F48,BG$3)+1)/BG$5)</f>
        <v>0</v>
      </c>
      <c r="BH48" s="33" t="n">
        <f aca="false">$E48*MAX(0,(MIN(In_Award_Date+In_PB_Days-1,BH$4)-MAX($F48,BH$3)+1)/BH$5)</f>
        <v>0</v>
      </c>
      <c r="BI48" s="33" t="n">
        <f aca="false">$E48*MAX(0,(MIN(In_Award_Date+In_PB_Days-1,BI$4)-MAX($F48,BI$3)+1)/BI$5)</f>
        <v>0</v>
      </c>
      <c r="BJ48" s="33" t="n">
        <f aca="false">$E48*MAX(0,(MIN(In_Award_Date+In_PB_Days-1,BJ$4)-MAX($F48,BJ$3)+1)/BJ$5)</f>
        <v>0</v>
      </c>
      <c r="BK48" s="33" t="n">
        <f aca="false">$E48*MAX(0,(MIN(In_Award_Date+In_PB_Days-1,BK$4)-MAX($F48,BK$3)+1)/BK$5)</f>
        <v>0</v>
      </c>
      <c r="BL48" s="33" t="n">
        <f aca="false">$E48*MAX(0,(MIN(In_Award_Date+In_PB_Days-1,BL$4)-MAX($F48,BL$3)+1)/BL$5)</f>
        <v>0</v>
      </c>
      <c r="BM48" s="33" t="n">
        <f aca="false">$E48*MAX(0,(MIN(In_Award_Date+In_PB_Days-1,BM$4)-MAX($F48,BM$3)+1)/BM$5)</f>
        <v>0</v>
      </c>
      <c r="BN48" s="33" t="n">
        <f aca="false">$E48*MAX(0,(MIN(In_Award_Date+In_PB_Days-1,BN$4)-MAX($F48,BN$3)+1)/BN$5)</f>
        <v>0</v>
      </c>
      <c r="BO48" s="33" t="n">
        <f aca="false">$E48*MAX(0,(MIN(In_Award_Date+In_PB_Days-1,BO$4)-MAX($F48,BO$3)+1)/BO$5)</f>
        <v>0</v>
      </c>
      <c r="BP48" s="33" t="n">
        <f aca="false">$E48*MAX(0,(MIN(In_Award_Date+In_PB_Days-1,BP$4)-MAX($F48,BP$3)+1)/BP$5)</f>
        <v>0</v>
      </c>
      <c r="BQ48" s="33" t="n">
        <f aca="false">$E48*MAX(0,(MIN(In_Award_Date+In_PB_Days-1,BQ$4)-MAX($F48,BQ$3)+1)/BQ$5)</f>
        <v>0</v>
      </c>
      <c r="BR48" s="33" t="n">
        <f aca="false">$E48*MAX(0,(MIN(In_Award_Date+In_PB_Days-1,BR$4)-MAX($F48,BR$3)+1)/BR$5)</f>
        <v>0</v>
      </c>
      <c r="BS48" s="33" t="n">
        <f aca="false">$E48*MAX(0,(MIN(In_Award_Date+In_PB_Days-1,BS$4)-MAX($F48,BS$3)+1)/BS$5)</f>
        <v>0</v>
      </c>
      <c r="BT48" s="33" t="n">
        <f aca="false">$E48*MAX(0,(MIN(In_Award_Date+In_PB_Days-1,BT$4)-MAX($F48,BT$3)+1)/BT$5)</f>
        <v>0</v>
      </c>
      <c r="BU48" s="33" t="n">
        <f aca="false">$E48*MAX(0,(MIN(In_Award_Date+In_PB_Days-1,BU$4)-MAX($F48,BU$3)+1)/BU$5)</f>
        <v>0</v>
      </c>
      <c r="BV48" s="33" t="n">
        <f aca="false">$E48*MAX(0,(MIN(In_Award_Date+In_PB_Days-1,BV$4)-MAX($F48,BV$3)+1)/BV$5)</f>
        <v>0</v>
      </c>
      <c r="BW48" s="33" t="n">
        <f aca="false">$E48*MAX(0,(MIN(In_Award_Date+In_PB_Days-1,BW$4)-MAX($F48,BW$3)+1)/BW$5)</f>
        <v>0</v>
      </c>
      <c r="BX48" s="33" t="n">
        <f aca="false">$E48*MAX(0,(MIN(In_Award_Date+In_PB_Days-1,BX$4)-MAX($F48,BX$3)+1)/BX$5)</f>
        <v>0</v>
      </c>
      <c r="BY48" s="33" t="n">
        <f aca="false">$E48*MAX(0,(MIN(In_Award_Date+In_PB_Days-1,BY$4)-MAX($F48,BY$3)+1)/BY$5)</f>
        <v>0</v>
      </c>
      <c r="BZ48" s="33" t="n">
        <f aca="false">$E48*MAX(0,(MIN(In_Award_Date+In_PB_Days-1,BZ$4)-MAX($F48,BZ$3)+1)/BZ$5)</f>
        <v>0</v>
      </c>
      <c r="CA48" s="33" t="n">
        <f aca="false">$E48*MAX(0,(MIN(In_Award_Date+In_PB_Days-1,CA$4)-MAX($F48,CA$3)+1)/CA$5)</f>
        <v>0</v>
      </c>
      <c r="CB48" s="33" t="n">
        <f aca="false">$E48*MAX(0,(MIN(In_Award_Date+In_PB_Days-1,CB$4)-MAX($F48,CB$3)+1)/CB$5)</f>
        <v>0</v>
      </c>
      <c r="CC48" s="33" t="n">
        <f aca="false">$E48*MAX(0,(MIN(In_Award_Date+In_PB_Days-1,CC$4)-MAX($F48,CC$3)+1)/CC$5)</f>
        <v>0</v>
      </c>
      <c r="CD48" s="33" t="n">
        <f aca="false">$E48*MAX(0,(MIN(In_Award_Date+In_PB_Days-1,CD$4)-MAX($F48,CD$3)+1)/CD$5)</f>
        <v>0</v>
      </c>
      <c r="CE48" s="33" t="n">
        <f aca="false">$E48*MAX(0,(MIN(In_Award_Date+In_PB_Days-1,CE$4)-MAX($F48,CE$3)+1)/CE$5)</f>
        <v>0</v>
      </c>
      <c r="CF48" s="33" t="n">
        <f aca="false">$E48*MAX(0,(MIN(In_Award_Date+In_PB_Days-1,CF$4)-MAX($F48,CF$3)+1)/CF$5)</f>
        <v>0</v>
      </c>
      <c r="CG48" s="33" t="n">
        <f aca="false">$E48*MAX(0,(MIN(In_Award_Date+In_PB_Days-1,CG$4)-MAX($F48,CG$3)+1)/CG$5)</f>
        <v>0</v>
      </c>
      <c r="CH48" s="33" t="n">
        <f aca="false">$E48*MAX(0,(MIN(In_Award_Date+In_PB_Days-1,CH$4)-MAX($F48,CH$3)+1)/CH$5)</f>
        <v>0</v>
      </c>
      <c r="CI48" s="33" t="n">
        <f aca="false">$E48*MAX(0,(MIN(In_Award_Date+In_PB_Days-1,CI$4)-MAX($F48,CI$3)+1)/CI$5)</f>
        <v>0</v>
      </c>
      <c r="CJ48" s="33" t="n">
        <f aca="false">$E48*MAX(0,(MIN(In_Award_Date+In_PB_Days-1,CJ$4)-MAX($F48,CJ$3)+1)/CJ$5)</f>
        <v>0</v>
      </c>
      <c r="CK48" s="33" t="n">
        <f aca="false">$E48*MAX(0,(MIN(In_Award_Date+In_PB_Days-1,CK$4)-MAX($F48,CK$3)+1)/CK$5)</f>
        <v>0</v>
      </c>
      <c r="CL48" s="33" t="n">
        <f aca="false">$E48*MAX(0,(MIN(In_Award_Date+In_PB_Days-1,CL$4)-MAX($F48,CL$3)+1)/CL$5)</f>
        <v>0</v>
      </c>
      <c r="CM48" s="33" t="n">
        <f aca="false">$E48*MAX(0,(MIN(In_Award_Date+In_PB_Days-1,CM$4)-MAX($F48,CM$3)+1)/CM$5)</f>
        <v>0</v>
      </c>
      <c r="CN48" s="33" t="n">
        <f aca="false">$E48*MAX(0,(MIN(In_Award_Date+In_PB_Days-1,CN$4)-MAX($F48,CN$3)+1)/CN$5)</f>
        <v>0</v>
      </c>
      <c r="CO48" s="33" t="n">
        <f aca="false">$E48*MAX(0,(MIN(In_Award_Date+In_PB_Days-1,CO$4)-MAX($F48,CO$3)+1)/CO$5)</f>
        <v>0</v>
      </c>
      <c r="CP48" s="33" t="n">
        <f aca="false">$E48*MAX(0,(MIN(In_Award_Date+In_PB_Days-1,CP$4)-MAX($F48,CP$3)+1)/CP$5)</f>
        <v>0</v>
      </c>
      <c r="CQ48" s="33" t="n">
        <f aca="false">$E48*MAX(0,(MIN(In_Award_Date+In_PB_Days-1,CQ$4)-MAX($F48,CQ$3)+1)/CQ$5)</f>
        <v>0</v>
      </c>
      <c r="CR48" s="33" t="n">
        <f aca="false">$E48*MAX(0,(MIN(In_Award_Date+In_PB_Days-1,CR$4)-MAX($F48,CR$3)+1)/CR$5)</f>
        <v>0</v>
      </c>
      <c r="CS48" s="33" t="n">
        <f aca="false">$E48*MAX(0,(MIN(In_Award_Date+In_PB_Days-1,CS$4)-MAX($F48,CS$3)+1)/CS$5)</f>
        <v>0</v>
      </c>
      <c r="CT48" s="33" t="n">
        <f aca="false">$E48*MAX(0,(MIN(In_Award_Date+In_PB_Days-1,CT$4)-MAX($F48,CT$3)+1)/CT$5)</f>
        <v>0</v>
      </c>
      <c r="CU48" s="33" t="n">
        <f aca="false">$E48*MAX(0,(MIN(In_Award_Date+In_PB_Days-1,CU$4)-MAX($F48,CU$3)+1)/CU$5)</f>
        <v>0</v>
      </c>
      <c r="CV48" s="33" t="n">
        <f aca="false">$E48*MAX(0,(MIN(In_Award_Date+In_PB_Days-1,CV$4)-MAX($F48,CV$3)+1)/CV$5)</f>
        <v>0</v>
      </c>
      <c r="CW48" s="33" t="n">
        <f aca="false">$E48*MAX(0,(MIN(In_Award_Date+In_PB_Days-1,CW$4)-MAX($F48,CW$3)+1)/CW$5)</f>
        <v>0</v>
      </c>
      <c r="CX48" s="33" t="n">
        <f aca="false">$E48*MAX(0,(MIN(In_Award_Date+In_PB_Days-1,CX$4)-MAX($F48,CX$3)+1)/CX$5)</f>
        <v>0</v>
      </c>
      <c r="CY48" s="33" t="n">
        <f aca="false">$E48*MAX(0,(MIN(In_Award_Date+In_PB_Days-1,CY$4)-MAX($F48,CY$3)+1)/CY$5)</f>
        <v>0</v>
      </c>
      <c r="CZ48" s="33" t="n">
        <f aca="false">$E48*MAX(0,(MIN(In_Award_Date+In_PB_Days-1,CZ$4)-MAX($F48,CZ$3)+1)/CZ$5)</f>
        <v>0</v>
      </c>
      <c r="DA48" s="33" t="n">
        <f aca="false">$E48*MAX(0,(MIN(In_Award_Date+In_PB_Days-1,DA$4)-MAX($F48,DA$3)+1)/DA$5)</f>
        <v>0</v>
      </c>
      <c r="DB48" s="33" t="n">
        <f aca="false">$E48*MAX(0,(MIN(In_Award_Date+In_PB_Days-1,DB$4)-MAX($F48,DB$3)+1)/DB$5)</f>
        <v>0</v>
      </c>
      <c r="DC48" s="33" t="n">
        <f aca="false">$E48*MAX(0,(MIN(In_Award_Date+In_PB_Days-1,DC$4)-MAX($F48,DC$3)+1)/DC$5)</f>
        <v>0</v>
      </c>
      <c r="DD48" s="33" t="n">
        <f aca="false">$E48*MAX(0,(MIN(In_Award_Date+In_PB_Days-1,DD$4)-MAX($F48,DD$3)+1)/DD$5)</f>
        <v>0</v>
      </c>
      <c r="DE48" s="33" t="n">
        <f aca="false">$E48*MAX(0,(MIN(In_Award_Date+In_PB_Days-1,DE$4)-MAX($F48,DE$3)+1)/DE$5)</f>
        <v>0</v>
      </c>
      <c r="DF48" s="33" t="n">
        <f aca="false">$E48*MAX(0,(MIN(In_Award_Date+In_PB_Days-1,DF$4)-MAX($F48,DF$3)+1)/DF$5)</f>
        <v>0</v>
      </c>
      <c r="DG48" s="33" t="n">
        <f aca="false">$E48*MAX(0,(MIN(In_Award_Date+In_PB_Days-1,DG$4)-MAX($F48,DG$3)+1)/DG$5)</f>
        <v>0</v>
      </c>
      <c r="DH48" s="33" t="n">
        <f aca="false">$E48*MAX(0,(MIN(In_Award_Date+In_PB_Days-1,DH$4)-MAX($F48,DH$3)+1)/DH$5)</f>
        <v>0</v>
      </c>
      <c r="DI48" s="33" t="n">
        <f aca="false">$E48*MAX(0,(MIN(In_Award_Date+In_PB_Days-1,DI$4)-MAX($F48,DI$3)+1)/DI$5)</f>
        <v>0</v>
      </c>
      <c r="DJ48" s="33" t="n">
        <f aca="false">$E48*MAX(0,(MIN(In_Award_Date+In_PB_Days-1,DJ$4)-MAX($F48,DJ$3)+1)/DJ$5)</f>
        <v>0</v>
      </c>
      <c r="DK48" s="33" t="n">
        <f aca="false">$E48*MAX(0,(MIN(In_Award_Date+In_PB_Days-1,DK$4)-MAX($F48,DK$3)+1)/DK$5)</f>
        <v>0</v>
      </c>
      <c r="DL48" s="33" t="n">
        <f aca="false">$E48*MAX(0,(MIN(In_Award_Date+In_PB_Days-1,DL$4)-MAX($F48,DL$3)+1)/DL$5)</f>
        <v>0</v>
      </c>
      <c r="DM48" s="33" t="n">
        <f aca="false">$E48*MAX(0,(MIN(In_Award_Date+In_PB_Days-1,DM$4)-MAX($F48,DM$3)+1)/DM$5)</f>
        <v>0</v>
      </c>
      <c r="DN48" s="33" t="n">
        <f aca="false">$E48*MAX(0,(MIN(In_Award_Date+In_PB_Days-1,DN$4)-MAX($F48,DN$3)+1)/DN$5)</f>
        <v>0</v>
      </c>
      <c r="DO48" s="33" t="n">
        <f aca="false">$E48*MAX(0,(MIN(In_Award_Date+In_PB_Days-1,DO$4)-MAX($F48,DO$3)+1)/DO$5)</f>
        <v>0</v>
      </c>
      <c r="DP48" s="33" t="n">
        <f aca="false">$E48*MAX(0,(MIN(In_Award_Date+In_PB_Days-1,DP$4)-MAX($F48,DP$3)+1)/DP$5)</f>
        <v>0</v>
      </c>
      <c r="DQ48" s="33" t="n">
        <f aca="false">$E48*MAX(0,(MIN(In_Award_Date+In_PB_Days-1,DQ$4)-MAX($F48,DQ$3)+1)/DQ$5)</f>
        <v>0</v>
      </c>
      <c r="DR48" s="33" t="n">
        <f aca="false">$E48*MAX(0,(MIN(In_Award_Date+In_PB_Days-1,DR$4)-MAX($F48,DR$3)+1)/DR$5)</f>
        <v>0</v>
      </c>
      <c r="DS48" s="33" t="n">
        <f aca="false">$E48*MAX(0,(MIN(In_Award_Date+In_PB_Days-1,DS$4)-MAX($F48,DS$3)+1)/DS$5)</f>
        <v>0</v>
      </c>
      <c r="DT48" s="33" t="n">
        <f aca="false">$E48*MAX(0,(MIN(In_Award_Date+In_PB_Days-1,DT$4)-MAX($F48,DT$3)+1)/DT$5)</f>
        <v>0</v>
      </c>
      <c r="DU48" s="33" t="n">
        <f aca="false">$E48*MAX(0,(MIN(In_Award_Date+In_PB_Days-1,DU$4)-MAX($F48,DU$3)+1)/DU$5)</f>
        <v>0</v>
      </c>
      <c r="DV48" s="33" t="n">
        <f aca="false">$E48*MAX(0,(MIN(In_Award_Date+In_PB_Days-1,DV$4)-MAX($F48,DV$3)+1)/DV$5)</f>
        <v>0</v>
      </c>
      <c r="DW48" s="33" t="n">
        <f aca="false">$E48*MAX(0,(MIN(In_Award_Date+In_PB_Days-1,DW$4)-MAX($F48,DW$3)+1)/DW$5)</f>
        <v>0</v>
      </c>
      <c r="DX48" s="33" t="n">
        <f aca="false">$E48*MAX(0,(MIN(In_Award_Date+In_PB_Days-1,DX$4)-MAX($F48,DX$3)+1)/DX$5)</f>
        <v>0</v>
      </c>
      <c r="DY48" s="33" t="n">
        <f aca="false">$E48*MAX(0,(MIN(In_Award_Date+In_PB_Days-1,DY$4)-MAX($F48,DY$3)+1)/DY$5)</f>
        <v>0</v>
      </c>
      <c r="DZ48" s="33" t="n">
        <f aca="false">$E48*MAX(0,(MIN(In_Award_Date+In_PB_Days-1,DZ$4)-MAX($F48,DZ$3)+1)/DZ$5)</f>
        <v>0</v>
      </c>
      <c r="EA48" s="33" t="n">
        <f aca="false">$E48*MAX(0,(MIN(In_Award_Date+In_PB_Days-1,EA$4)-MAX($F48,EA$3)+1)/EA$5)</f>
        <v>0</v>
      </c>
      <c r="EB48" s="33" t="n">
        <f aca="false">$E48*MAX(0,(MIN(In_Award_Date+In_PB_Days-1,EB$4)-MAX($F48,EB$3)+1)/EB$5)</f>
        <v>0</v>
      </c>
      <c r="EC48" s="33" t="n">
        <f aca="false">$E48*MAX(0,(MIN(In_Award_Date+In_PB_Days-1,EC$4)-MAX($F48,EC$3)+1)/EC$5)</f>
        <v>0</v>
      </c>
      <c r="ED48" s="33" t="n">
        <f aca="false">$E48*MAX(0,(MIN(In_Award_Date+In_PB_Days-1,ED$4)-MAX($F48,ED$3)+1)/ED$5)</f>
        <v>0</v>
      </c>
      <c r="EE48" s="33" t="n">
        <f aca="false">$E48*MAX(0,(MIN(In_Award_Date+In_PB_Days-1,EE$4)-MAX($F48,EE$3)+1)/EE$5)</f>
        <v>0</v>
      </c>
      <c r="EF48" s="33" t="n">
        <f aca="false">$E48*MAX(0,(MIN(In_Award_Date+In_PB_Days-1,EF$4)-MAX($F48,EF$3)+1)/EF$5)</f>
        <v>0</v>
      </c>
      <c r="EG48" s="33" t="n">
        <f aca="false">$E48*MAX(0,(MIN(In_Award_Date+In_PB_Days-1,EG$4)-MAX($F48,EG$3)+1)/EG$5)</f>
        <v>0</v>
      </c>
      <c r="EH48" s="33" t="n">
        <f aca="false">$E48*MAX(0,(MIN(In_Award_Date+In_PB_Days-1,EH$4)-MAX($F48,EH$3)+1)/EH$5)</f>
        <v>0</v>
      </c>
      <c r="EI48" s="33" t="n">
        <f aca="false">$E48*MAX(0,(MIN(In_Award_Date+In_PB_Days-1,EI$4)-MAX($F48,EI$3)+1)/EI$5)</f>
        <v>0</v>
      </c>
      <c r="EJ48" s="33" t="n">
        <f aca="false">$E48*MAX(0,(MIN(In_Award_Date+In_PB_Days-1,EJ$4)-MAX($F48,EJ$3)+1)/EJ$5)</f>
        <v>0</v>
      </c>
      <c r="EK48" s="33" t="n">
        <f aca="false">$E48*MAX(0,(MIN(In_Award_Date+In_PB_Days-1,EK$4)-MAX($F48,EK$3)+1)/EK$5)</f>
        <v>0</v>
      </c>
      <c r="EL48" s="33" t="n">
        <f aca="false">$E48*MAX(0,(MIN(In_Award_Date+In_PB_Days-1,EL$4)-MAX($F48,EL$3)+1)/EL$5)</f>
        <v>0</v>
      </c>
      <c r="EM48" s="33" t="n">
        <f aca="false">$E48*MAX(0,(MIN(In_Award_Date+In_PB_Days-1,EM$4)-MAX($F48,EM$3)+1)/EM$5)</f>
        <v>0</v>
      </c>
      <c r="EN48" s="33" t="n">
        <f aca="false">$E48*MAX(0,(MIN(In_Award_Date+In_PB_Days-1,EN$4)-MAX($F48,EN$3)+1)/EN$5)</f>
        <v>0</v>
      </c>
      <c r="EO48" s="33" t="n">
        <f aca="false">$E48*MAX(0,(MIN(In_Award_Date+In_PB_Days-1,EO$4)-MAX($F48,EO$3)+1)/EO$5)</f>
        <v>0</v>
      </c>
      <c r="EP48" s="33" t="n">
        <f aca="false">$E48*MAX(0,(MIN(In_Award_Date+In_PB_Days-1,EP$4)-MAX($F48,EP$3)+1)/EP$5)</f>
        <v>0</v>
      </c>
      <c r="EQ48" s="33" t="n">
        <f aca="false">$E48*MAX(0,(MIN(In_Award_Date+In_PB_Days-1,EQ$4)-MAX($F48,EQ$3)+1)/EQ$5)</f>
        <v>0</v>
      </c>
      <c r="ER48" s="33" t="n">
        <f aca="false">$E48*MAX(0,(MIN(In_Award_Date+In_PB_Days-1,ER$4)-MAX($F48,ER$3)+1)/ER$5)</f>
        <v>0</v>
      </c>
      <c r="ES48" s="33" t="n">
        <f aca="false">$E48*MAX(0,(MIN(In_Award_Date+In_PB_Days-1,ES$4)-MAX($F48,ES$3)+1)/ES$5)</f>
        <v>0</v>
      </c>
      <c r="ET48" s="3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510</v>
      </c>
      <c r="D49" s="11" t="s">
        <v>247</v>
      </c>
      <c r="E49" s="33" t="n">
        <f aca="false">In_PB_Rate*$E35*$E45*Thousand/In_FX</f>
        <v>6993.56164383562</v>
      </c>
      <c r="F49" s="44" t="n">
        <f aca="false">In_Award_Date+In_PB_Days</f>
        <v>46384</v>
      </c>
      <c r="J49" s="33" t="n">
        <f aca="false">$E49*MAX(0,(MIN(In_PB_Release,J$4)-MAX($F49,J$3)+1)/J$5)</f>
        <v>0</v>
      </c>
      <c r="K49" s="33" t="n">
        <f aca="false">$E49*MAX(0,(MIN(In_PB_Release,K$4)-MAX($F49,K$3)+1)/K$5)</f>
        <v>304.06789755807</v>
      </c>
      <c r="L49" s="33" t="n">
        <f aca="false">$E49*MAX(0,(MIN(In_PB_Release,L$4)-MAX($F49,L$3)+1)/L$5)</f>
        <v>6993.56164383562</v>
      </c>
      <c r="M49" s="33" t="n">
        <f aca="false">$E49*MAX(0,(MIN(In_PB_Release,M$4)-MAX($F49,M$3)+1)/M$5)</f>
        <v>6993.56164383562</v>
      </c>
      <c r="N49" s="33" t="n">
        <f aca="false">$E49*MAX(0,(MIN(In_PB_Release,N$4)-MAX($F49,N$3)+1)/N$5)</f>
        <v>6993.56164383562</v>
      </c>
      <c r="O49" s="33" t="n">
        <f aca="false">$E49*MAX(0,(MIN(In_PB_Release,O$4)-MAX($F49,O$3)+1)/O$5)</f>
        <v>6993.56164383562</v>
      </c>
      <c r="P49" s="33" t="n">
        <f aca="false">$E49*MAX(0,(MIN(In_PB_Release,P$4)-MAX($F49,P$3)+1)/P$5)</f>
        <v>6993.56164383562</v>
      </c>
      <c r="Q49" s="33" t="n">
        <f aca="false">$E49*MAX(0,(MIN(In_PB_Release,Q$4)-MAX($F49,Q$3)+1)/Q$5)</f>
        <v>6993.56164383562</v>
      </c>
      <c r="R49" s="33" t="n">
        <f aca="false">$E49*MAX(0,(MIN(In_PB_Release,R$4)-MAX($F49,R$3)+1)/R$5)</f>
        <v>6993.56164383562</v>
      </c>
      <c r="S49" s="33" t="n">
        <f aca="false">$E49*MAX(0,(MIN(In_PB_Release,S$4)-MAX($F49,S$3)+1)/S$5)</f>
        <v>6993.56164383562</v>
      </c>
      <c r="T49" s="33" t="n">
        <f aca="false">$E49*MAX(0,(MIN(In_PB_Release,T$4)-MAX($F49,T$3)+1)/T$5)</f>
        <v>6993.56164383562</v>
      </c>
      <c r="U49" s="33" t="n">
        <f aca="false">$E49*MAX(0,(MIN(In_PB_Release,U$4)-MAX($F49,U$3)+1)/U$5)</f>
        <v>6993.56164383562</v>
      </c>
      <c r="V49" s="33" t="n">
        <f aca="false">$E49*MAX(0,(MIN(In_PB_Release,V$4)-MAX($F49,V$3)+1)/V$5)</f>
        <v>6993.56164383562</v>
      </c>
      <c r="W49" s="33" t="n">
        <f aca="false">$E49*MAX(0,(MIN(In_PB_Release,W$4)-MAX($F49,W$3)+1)/W$5)</f>
        <v>6993.56164383562</v>
      </c>
      <c r="X49" s="33" t="n">
        <f aca="false">$E49*MAX(0,(MIN(In_PB_Release,X$4)-MAX($F49,X$3)+1)/X$5)</f>
        <v>6993.56164383562</v>
      </c>
      <c r="Y49" s="33" t="n">
        <f aca="false">$E49*MAX(0,(MIN(In_PB_Release,Y$4)-MAX($F49,Y$3)+1)/Y$5)</f>
        <v>6993.56164383562</v>
      </c>
      <c r="Z49" s="33" t="n">
        <f aca="false">$E49*MAX(0,(MIN(In_PB_Release,Z$4)-MAX($F49,Z$3)+1)/Z$5)</f>
        <v>6993.56164383562</v>
      </c>
      <c r="AA49" s="33" t="n">
        <f aca="false">$E49*MAX(0,(MIN(In_PB_Release,AA$4)-MAX($F49,AA$3)+1)/AA$5)</f>
        <v>6993.56164383562</v>
      </c>
      <c r="AB49" s="33" t="n">
        <f aca="false">$E49*MAX(0,(MIN(In_PB_Release,AB$4)-MAX($F49,AB$3)+1)/AB$5)</f>
        <v>6993.56164383562</v>
      </c>
      <c r="AC49" s="33" t="n">
        <f aca="false">$E49*MAX(0,(MIN(In_PB_Release,AC$4)-MAX($F49,AC$3)+1)/AC$5)</f>
        <v>6993.56164383562</v>
      </c>
      <c r="AD49" s="33" t="n">
        <f aca="false">$E49*MAX(0,(MIN(In_PB_Release,AD$4)-MAX($F49,AD$3)+1)/AD$5)</f>
        <v>6993.56164383562</v>
      </c>
      <c r="AE49" s="33" t="n">
        <f aca="false">$E49*MAX(0,(MIN(In_PB_Release,AE$4)-MAX($F49,AE$3)+1)/AE$5)</f>
        <v>6993.56164383562</v>
      </c>
      <c r="AF49" s="33" t="n">
        <f aca="false">$E49*MAX(0,(MIN(In_PB_Release,AF$4)-MAX($F49,AF$3)+1)/AF$5)</f>
        <v>6993.56164383562</v>
      </c>
      <c r="AG49" s="33" t="n">
        <f aca="false">$E49*MAX(0,(MIN(In_PB_Release,AG$4)-MAX($F49,AG$3)+1)/AG$5)</f>
        <v>6993.56164383562</v>
      </c>
      <c r="AH49" s="33" t="n">
        <f aca="false">$E49*MAX(0,(MIN(In_PB_Release,AH$4)-MAX($F49,AH$3)+1)/AH$5)</f>
        <v>6993.56164383562</v>
      </c>
      <c r="AI49" s="33" t="n">
        <f aca="false">$E49*MAX(0,(MIN(In_PB_Release,AI$4)-MAX($F49,AI$3)+1)/AI$5)</f>
        <v>6993.56164383562</v>
      </c>
      <c r="AJ49" s="33" t="n">
        <f aca="false">$E49*MAX(0,(MIN(In_PB_Release,AJ$4)-MAX($F49,AJ$3)+1)/AJ$5)</f>
        <v>6993.56164383562</v>
      </c>
      <c r="AK49" s="33" t="n">
        <f aca="false">$E49*MAX(0,(MIN(In_PB_Release,AK$4)-MAX($F49,AK$3)+1)/AK$5)</f>
        <v>0</v>
      </c>
      <c r="AL49" s="33" t="n">
        <f aca="false">$E49*MAX(0,(MIN(In_PB_Release,AL$4)-MAX($F49,AL$3)+1)/AL$5)</f>
        <v>0</v>
      </c>
      <c r="AM49" s="33" t="n">
        <f aca="false">$E49*MAX(0,(MIN(In_PB_Release,AM$4)-MAX($F49,AM$3)+1)/AM$5)</f>
        <v>0</v>
      </c>
      <c r="AN49" s="33" t="n">
        <f aca="false">$E49*MAX(0,(MIN(In_PB_Release,AN$4)-MAX($F49,AN$3)+1)/AN$5)</f>
        <v>0</v>
      </c>
      <c r="AO49" s="33" t="n">
        <f aca="false">$E49*MAX(0,(MIN(In_PB_Release,AO$4)-MAX($F49,AO$3)+1)/AO$5)</f>
        <v>0</v>
      </c>
      <c r="AP49" s="33" t="n">
        <f aca="false">$E49*MAX(0,(MIN(In_PB_Release,AP$4)-MAX($F49,AP$3)+1)/AP$5)</f>
        <v>0</v>
      </c>
      <c r="AQ49" s="33" t="n">
        <f aca="false">$E49*MAX(0,(MIN(In_PB_Release,AQ$4)-MAX($F49,AQ$3)+1)/AQ$5)</f>
        <v>0</v>
      </c>
      <c r="AR49" s="33" t="n">
        <f aca="false">$E49*MAX(0,(MIN(In_PB_Release,AR$4)-MAX($F49,AR$3)+1)/AR$5)</f>
        <v>0</v>
      </c>
      <c r="AS49" s="33" t="n">
        <f aca="false">$E49*MAX(0,(MIN(In_PB_Release,AS$4)-MAX($F49,AS$3)+1)/AS$5)</f>
        <v>0</v>
      </c>
      <c r="AT49" s="33" t="n">
        <f aca="false">$E49*MAX(0,(MIN(In_PB_Release,AT$4)-MAX($F49,AT$3)+1)/AT$5)</f>
        <v>0</v>
      </c>
      <c r="AU49" s="33" t="n">
        <f aca="false">$E49*MAX(0,(MIN(In_PB_Release,AU$4)-MAX($F49,AU$3)+1)/AU$5)</f>
        <v>0</v>
      </c>
      <c r="AV49" s="33" t="n">
        <f aca="false">$E49*MAX(0,(MIN(In_PB_Release,AV$4)-MAX($F49,AV$3)+1)/AV$5)</f>
        <v>0</v>
      </c>
      <c r="AW49" s="33" t="n">
        <f aca="false">$E49*MAX(0,(MIN(In_PB_Release,AW$4)-MAX($F49,AW$3)+1)/AW$5)</f>
        <v>0</v>
      </c>
      <c r="AX49" s="33" t="n">
        <f aca="false">$E49*MAX(0,(MIN(In_PB_Release,AX$4)-MAX($F49,AX$3)+1)/AX$5)</f>
        <v>0</v>
      </c>
      <c r="AY49" s="33" t="n">
        <f aca="false">$E49*MAX(0,(MIN(In_PB_Release,AY$4)-MAX($F49,AY$3)+1)/AY$5)</f>
        <v>0</v>
      </c>
      <c r="AZ49" s="33" t="n">
        <f aca="false">$E49*MAX(0,(MIN(In_PB_Release,AZ$4)-MAX($F49,AZ$3)+1)/AZ$5)</f>
        <v>0</v>
      </c>
      <c r="BA49" s="33" t="n">
        <f aca="false">$E49*MAX(0,(MIN(In_PB_Release,BA$4)-MAX($F49,BA$3)+1)/BA$5)</f>
        <v>0</v>
      </c>
      <c r="BB49" s="33" t="n">
        <f aca="false">$E49*MAX(0,(MIN(In_PB_Release,BB$4)-MAX($F49,BB$3)+1)/BB$5)</f>
        <v>0</v>
      </c>
      <c r="BC49" s="33" t="n">
        <f aca="false">$E49*MAX(0,(MIN(In_PB_Release,BC$4)-MAX($F49,BC$3)+1)/BC$5)</f>
        <v>0</v>
      </c>
      <c r="BD49" s="33" t="n">
        <f aca="false">$E49*MAX(0,(MIN(In_PB_Release,BD$4)-MAX($F49,BD$3)+1)/BD$5)</f>
        <v>0</v>
      </c>
      <c r="BE49" s="33" t="n">
        <f aca="false">$E49*MAX(0,(MIN(In_PB_Release,BE$4)-MAX($F49,BE$3)+1)/BE$5)</f>
        <v>0</v>
      </c>
      <c r="BF49" s="33" t="n">
        <f aca="false">$E49*MAX(0,(MIN(In_PB_Release,BF$4)-MAX($F49,BF$3)+1)/BF$5)</f>
        <v>0</v>
      </c>
      <c r="BG49" s="33" t="n">
        <f aca="false">$E49*MAX(0,(MIN(In_PB_Release,BG$4)-MAX($F49,BG$3)+1)/BG$5)</f>
        <v>0</v>
      </c>
      <c r="BH49" s="33" t="n">
        <f aca="false">$E49*MAX(0,(MIN(In_PB_Release,BH$4)-MAX($F49,BH$3)+1)/BH$5)</f>
        <v>0</v>
      </c>
      <c r="BI49" s="33" t="n">
        <f aca="false">$E49*MAX(0,(MIN(In_PB_Release,BI$4)-MAX($F49,BI$3)+1)/BI$5)</f>
        <v>0</v>
      </c>
      <c r="BJ49" s="33" t="n">
        <f aca="false">$E49*MAX(0,(MIN(In_PB_Release,BJ$4)-MAX($F49,BJ$3)+1)/BJ$5)</f>
        <v>0</v>
      </c>
      <c r="BK49" s="33" t="n">
        <f aca="false">$E49*MAX(0,(MIN(In_PB_Release,BK$4)-MAX($F49,BK$3)+1)/BK$5)</f>
        <v>0</v>
      </c>
      <c r="BL49" s="33" t="n">
        <f aca="false">$E49*MAX(0,(MIN(In_PB_Release,BL$4)-MAX($F49,BL$3)+1)/BL$5)</f>
        <v>0</v>
      </c>
      <c r="BM49" s="33" t="n">
        <f aca="false">$E49*MAX(0,(MIN(In_PB_Release,BM$4)-MAX($F49,BM$3)+1)/BM$5)</f>
        <v>0</v>
      </c>
      <c r="BN49" s="33" t="n">
        <f aca="false">$E49*MAX(0,(MIN(In_PB_Release,BN$4)-MAX($F49,BN$3)+1)/BN$5)</f>
        <v>0</v>
      </c>
      <c r="BO49" s="33" t="n">
        <f aca="false">$E49*MAX(0,(MIN(In_PB_Release,BO$4)-MAX($F49,BO$3)+1)/BO$5)</f>
        <v>0</v>
      </c>
      <c r="BP49" s="33" t="n">
        <f aca="false">$E49*MAX(0,(MIN(In_PB_Release,BP$4)-MAX($F49,BP$3)+1)/BP$5)</f>
        <v>0</v>
      </c>
      <c r="BQ49" s="33" t="n">
        <f aca="false">$E49*MAX(0,(MIN(In_PB_Release,BQ$4)-MAX($F49,BQ$3)+1)/BQ$5)</f>
        <v>0</v>
      </c>
      <c r="BR49" s="33" t="n">
        <f aca="false">$E49*MAX(0,(MIN(In_PB_Release,BR$4)-MAX($F49,BR$3)+1)/BR$5)</f>
        <v>0</v>
      </c>
      <c r="BS49" s="33" t="n">
        <f aca="false">$E49*MAX(0,(MIN(In_PB_Release,BS$4)-MAX($F49,BS$3)+1)/BS$5)</f>
        <v>0</v>
      </c>
      <c r="BT49" s="33" t="n">
        <f aca="false">$E49*MAX(0,(MIN(In_PB_Release,BT$4)-MAX($F49,BT$3)+1)/BT$5)</f>
        <v>0</v>
      </c>
      <c r="BU49" s="33" t="n">
        <f aca="false">$E49*MAX(0,(MIN(In_PB_Release,BU$4)-MAX($F49,BU$3)+1)/BU$5)</f>
        <v>0</v>
      </c>
      <c r="BV49" s="33" t="n">
        <f aca="false">$E49*MAX(0,(MIN(In_PB_Release,BV$4)-MAX($F49,BV$3)+1)/BV$5)</f>
        <v>0</v>
      </c>
      <c r="BW49" s="33" t="n">
        <f aca="false">$E49*MAX(0,(MIN(In_PB_Release,BW$4)-MAX($F49,BW$3)+1)/BW$5)</f>
        <v>0</v>
      </c>
      <c r="BX49" s="33" t="n">
        <f aca="false">$E49*MAX(0,(MIN(In_PB_Release,BX$4)-MAX($F49,BX$3)+1)/BX$5)</f>
        <v>0</v>
      </c>
      <c r="BY49" s="33" t="n">
        <f aca="false">$E49*MAX(0,(MIN(In_PB_Release,BY$4)-MAX($F49,BY$3)+1)/BY$5)</f>
        <v>0</v>
      </c>
      <c r="BZ49" s="33" t="n">
        <f aca="false">$E49*MAX(0,(MIN(In_PB_Release,BZ$4)-MAX($F49,BZ$3)+1)/BZ$5)</f>
        <v>0</v>
      </c>
      <c r="CA49" s="33" t="n">
        <f aca="false">$E49*MAX(0,(MIN(In_PB_Release,CA$4)-MAX($F49,CA$3)+1)/CA$5)</f>
        <v>0</v>
      </c>
      <c r="CB49" s="33" t="n">
        <f aca="false">$E49*MAX(0,(MIN(In_PB_Release,CB$4)-MAX($F49,CB$3)+1)/CB$5)</f>
        <v>0</v>
      </c>
      <c r="CC49" s="33" t="n">
        <f aca="false">$E49*MAX(0,(MIN(In_PB_Release,CC$4)-MAX($F49,CC$3)+1)/CC$5)</f>
        <v>0</v>
      </c>
      <c r="CD49" s="33" t="n">
        <f aca="false">$E49*MAX(0,(MIN(In_PB_Release,CD$4)-MAX($F49,CD$3)+1)/CD$5)</f>
        <v>0</v>
      </c>
      <c r="CE49" s="33" t="n">
        <f aca="false">$E49*MAX(0,(MIN(In_PB_Release,CE$4)-MAX($F49,CE$3)+1)/CE$5)</f>
        <v>0</v>
      </c>
      <c r="CF49" s="33" t="n">
        <f aca="false">$E49*MAX(0,(MIN(In_PB_Release,CF$4)-MAX($F49,CF$3)+1)/CF$5)</f>
        <v>0</v>
      </c>
      <c r="CG49" s="33" t="n">
        <f aca="false">$E49*MAX(0,(MIN(In_PB_Release,CG$4)-MAX($F49,CG$3)+1)/CG$5)</f>
        <v>0</v>
      </c>
      <c r="CH49" s="33" t="n">
        <f aca="false">$E49*MAX(0,(MIN(In_PB_Release,CH$4)-MAX($F49,CH$3)+1)/CH$5)</f>
        <v>0</v>
      </c>
      <c r="CI49" s="33" t="n">
        <f aca="false">$E49*MAX(0,(MIN(In_PB_Release,CI$4)-MAX($F49,CI$3)+1)/CI$5)</f>
        <v>0</v>
      </c>
      <c r="CJ49" s="33" t="n">
        <f aca="false">$E49*MAX(0,(MIN(In_PB_Release,CJ$4)-MAX($F49,CJ$3)+1)/CJ$5)</f>
        <v>0</v>
      </c>
      <c r="CK49" s="33" t="n">
        <f aca="false">$E49*MAX(0,(MIN(In_PB_Release,CK$4)-MAX($F49,CK$3)+1)/CK$5)</f>
        <v>0</v>
      </c>
      <c r="CL49" s="33" t="n">
        <f aca="false">$E49*MAX(0,(MIN(In_PB_Release,CL$4)-MAX($F49,CL$3)+1)/CL$5)</f>
        <v>0</v>
      </c>
      <c r="CM49" s="33" t="n">
        <f aca="false">$E49*MAX(0,(MIN(In_PB_Release,CM$4)-MAX($F49,CM$3)+1)/CM$5)</f>
        <v>0</v>
      </c>
      <c r="CN49" s="33" t="n">
        <f aca="false">$E49*MAX(0,(MIN(In_PB_Release,CN$4)-MAX($F49,CN$3)+1)/CN$5)</f>
        <v>0</v>
      </c>
      <c r="CO49" s="33" t="n">
        <f aca="false">$E49*MAX(0,(MIN(In_PB_Release,CO$4)-MAX($F49,CO$3)+1)/CO$5)</f>
        <v>0</v>
      </c>
      <c r="CP49" s="33" t="n">
        <f aca="false">$E49*MAX(0,(MIN(In_PB_Release,CP$4)-MAX($F49,CP$3)+1)/CP$5)</f>
        <v>0</v>
      </c>
      <c r="CQ49" s="33" t="n">
        <f aca="false">$E49*MAX(0,(MIN(In_PB_Release,CQ$4)-MAX($F49,CQ$3)+1)/CQ$5)</f>
        <v>0</v>
      </c>
      <c r="CR49" s="33" t="n">
        <f aca="false">$E49*MAX(0,(MIN(In_PB_Release,CR$4)-MAX($F49,CR$3)+1)/CR$5)</f>
        <v>0</v>
      </c>
      <c r="CS49" s="33" t="n">
        <f aca="false">$E49*MAX(0,(MIN(In_PB_Release,CS$4)-MAX($F49,CS$3)+1)/CS$5)</f>
        <v>0</v>
      </c>
      <c r="CT49" s="33" t="n">
        <f aca="false">$E49*MAX(0,(MIN(In_PB_Release,CT$4)-MAX($F49,CT$3)+1)/CT$5)</f>
        <v>0</v>
      </c>
      <c r="CU49" s="33" t="n">
        <f aca="false">$E49*MAX(0,(MIN(In_PB_Release,CU$4)-MAX($F49,CU$3)+1)/CU$5)</f>
        <v>0</v>
      </c>
      <c r="CV49" s="33" t="n">
        <f aca="false">$E49*MAX(0,(MIN(In_PB_Release,CV$4)-MAX($F49,CV$3)+1)/CV$5)</f>
        <v>0</v>
      </c>
      <c r="CW49" s="33" t="n">
        <f aca="false">$E49*MAX(0,(MIN(In_PB_Release,CW$4)-MAX($F49,CW$3)+1)/CW$5)</f>
        <v>0</v>
      </c>
      <c r="CX49" s="33" t="n">
        <f aca="false">$E49*MAX(0,(MIN(In_PB_Release,CX$4)-MAX($F49,CX$3)+1)/CX$5)</f>
        <v>0</v>
      </c>
      <c r="CY49" s="33" t="n">
        <f aca="false">$E49*MAX(0,(MIN(In_PB_Release,CY$4)-MAX($F49,CY$3)+1)/CY$5)</f>
        <v>0</v>
      </c>
      <c r="CZ49" s="33" t="n">
        <f aca="false">$E49*MAX(0,(MIN(In_PB_Release,CZ$4)-MAX($F49,CZ$3)+1)/CZ$5)</f>
        <v>0</v>
      </c>
      <c r="DA49" s="33" t="n">
        <f aca="false">$E49*MAX(0,(MIN(In_PB_Release,DA$4)-MAX($F49,DA$3)+1)/DA$5)</f>
        <v>0</v>
      </c>
      <c r="DB49" s="33" t="n">
        <f aca="false">$E49*MAX(0,(MIN(In_PB_Release,DB$4)-MAX($F49,DB$3)+1)/DB$5)</f>
        <v>0</v>
      </c>
      <c r="DC49" s="33" t="n">
        <f aca="false">$E49*MAX(0,(MIN(In_PB_Release,DC$4)-MAX($F49,DC$3)+1)/DC$5)</f>
        <v>0</v>
      </c>
      <c r="DD49" s="33" t="n">
        <f aca="false">$E49*MAX(0,(MIN(In_PB_Release,DD$4)-MAX($F49,DD$3)+1)/DD$5)</f>
        <v>0</v>
      </c>
      <c r="DE49" s="33" t="n">
        <f aca="false">$E49*MAX(0,(MIN(In_PB_Release,DE$4)-MAX($F49,DE$3)+1)/DE$5)</f>
        <v>0</v>
      </c>
      <c r="DF49" s="33" t="n">
        <f aca="false">$E49*MAX(0,(MIN(In_PB_Release,DF$4)-MAX($F49,DF$3)+1)/DF$5)</f>
        <v>0</v>
      </c>
      <c r="DG49" s="33" t="n">
        <f aca="false">$E49*MAX(0,(MIN(In_PB_Release,DG$4)-MAX($F49,DG$3)+1)/DG$5)</f>
        <v>0</v>
      </c>
      <c r="DH49" s="33" t="n">
        <f aca="false">$E49*MAX(0,(MIN(In_PB_Release,DH$4)-MAX($F49,DH$3)+1)/DH$5)</f>
        <v>0</v>
      </c>
      <c r="DI49" s="33" t="n">
        <f aca="false">$E49*MAX(0,(MIN(In_PB_Release,DI$4)-MAX($F49,DI$3)+1)/DI$5)</f>
        <v>0</v>
      </c>
      <c r="DJ49" s="33" t="n">
        <f aca="false">$E49*MAX(0,(MIN(In_PB_Release,DJ$4)-MAX($F49,DJ$3)+1)/DJ$5)</f>
        <v>0</v>
      </c>
      <c r="DK49" s="33" t="n">
        <f aca="false">$E49*MAX(0,(MIN(In_PB_Release,DK$4)-MAX($F49,DK$3)+1)/DK$5)</f>
        <v>0</v>
      </c>
      <c r="DL49" s="33" t="n">
        <f aca="false">$E49*MAX(0,(MIN(In_PB_Release,DL$4)-MAX($F49,DL$3)+1)/DL$5)</f>
        <v>0</v>
      </c>
      <c r="DM49" s="33" t="n">
        <f aca="false">$E49*MAX(0,(MIN(In_PB_Release,DM$4)-MAX($F49,DM$3)+1)/DM$5)</f>
        <v>0</v>
      </c>
      <c r="DN49" s="33" t="n">
        <f aca="false">$E49*MAX(0,(MIN(In_PB_Release,DN$4)-MAX($F49,DN$3)+1)/DN$5)</f>
        <v>0</v>
      </c>
      <c r="DO49" s="33" t="n">
        <f aca="false">$E49*MAX(0,(MIN(In_PB_Release,DO$4)-MAX($F49,DO$3)+1)/DO$5)</f>
        <v>0</v>
      </c>
      <c r="DP49" s="33" t="n">
        <f aca="false">$E49*MAX(0,(MIN(In_PB_Release,DP$4)-MAX($F49,DP$3)+1)/DP$5)</f>
        <v>0</v>
      </c>
      <c r="DQ49" s="33" t="n">
        <f aca="false">$E49*MAX(0,(MIN(In_PB_Release,DQ$4)-MAX($F49,DQ$3)+1)/DQ$5)</f>
        <v>0</v>
      </c>
      <c r="DR49" s="33" t="n">
        <f aca="false">$E49*MAX(0,(MIN(In_PB_Release,DR$4)-MAX($F49,DR$3)+1)/DR$5)</f>
        <v>0</v>
      </c>
      <c r="DS49" s="33" t="n">
        <f aca="false">$E49*MAX(0,(MIN(In_PB_Release,DS$4)-MAX($F49,DS$3)+1)/DS$5)</f>
        <v>0</v>
      </c>
      <c r="DT49" s="33" t="n">
        <f aca="false">$E49*MAX(0,(MIN(In_PB_Release,DT$4)-MAX($F49,DT$3)+1)/DT$5)</f>
        <v>0</v>
      </c>
      <c r="DU49" s="33" t="n">
        <f aca="false">$E49*MAX(0,(MIN(In_PB_Release,DU$4)-MAX($F49,DU$3)+1)/DU$5)</f>
        <v>0</v>
      </c>
      <c r="DV49" s="33" t="n">
        <f aca="false">$E49*MAX(0,(MIN(In_PB_Release,DV$4)-MAX($F49,DV$3)+1)/DV$5)</f>
        <v>0</v>
      </c>
      <c r="DW49" s="33" t="n">
        <f aca="false">$E49*MAX(0,(MIN(In_PB_Release,DW$4)-MAX($F49,DW$3)+1)/DW$5)</f>
        <v>0</v>
      </c>
      <c r="DX49" s="33" t="n">
        <f aca="false">$E49*MAX(0,(MIN(In_PB_Release,DX$4)-MAX($F49,DX$3)+1)/DX$5)</f>
        <v>0</v>
      </c>
      <c r="DY49" s="33" t="n">
        <f aca="false">$E49*MAX(0,(MIN(In_PB_Release,DY$4)-MAX($F49,DY$3)+1)/DY$5)</f>
        <v>0</v>
      </c>
      <c r="DZ49" s="33" t="n">
        <f aca="false">$E49*MAX(0,(MIN(In_PB_Release,DZ$4)-MAX($F49,DZ$3)+1)/DZ$5)</f>
        <v>0</v>
      </c>
      <c r="EA49" s="33" t="n">
        <f aca="false">$E49*MAX(0,(MIN(In_PB_Release,EA$4)-MAX($F49,EA$3)+1)/EA$5)</f>
        <v>0</v>
      </c>
      <c r="EB49" s="33" t="n">
        <f aca="false">$E49*MAX(0,(MIN(In_PB_Release,EB$4)-MAX($F49,EB$3)+1)/EB$5)</f>
        <v>0</v>
      </c>
      <c r="EC49" s="33" t="n">
        <f aca="false">$E49*MAX(0,(MIN(In_PB_Release,EC$4)-MAX($F49,EC$3)+1)/EC$5)</f>
        <v>0</v>
      </c>
      <c r="ED49" s="33" t="n">
        <f aca="false">$E49*MAX(0,(MIN(In_PB_Release,ED$4)-MAX($F49,ED$3)+1)/ED$5)</f>
        <v>0</v>
      </c>
      <c r="EE49" s="33" t="n">
        <f aca="false">$E49*MAX(0,(MIN(In_PB_Release,EE$4)-MAX($F49,EE$3)+1)/EE$5)</f>
        <v>0</v>
      </c>
      <c r="EF49" s="33" t="n">
        <f aca="false">$E49*MAX(0,(MIN(In_PB_Release,EF$4)-MAX($F49,EF$3)+1)/EF$5)</f>
        <v>0</v>
      </c>
      <c r="EG49" s="33" t="n">
        <f aca="false">$E49*MAX(0,(MIN(In_PB_Release,EG$4)-MAX($F49,EG$3)+1)/EG$5)</f>
        <v>0</v>
      </c>
      <c r="EH49" s="33" t="n">
        <f aca="false">$E49*MAX(0,(MIN(In_PB_Release,EH$4)-MAX($F49,EH$3)+1)/EH$5)</f>
        <v>0</v>
      </c>
      <c r="EI49" s="33" t="n">
        <f aca="false">$E49*MAX(0,(MIN(In_PB_Release,EI$4)-MAX($F49,EI$3)+1)/EI$5)</f>
        <v>0</v>
      </c>
      <c r="EJ49" s="33" t="n">
        <f aca="false">$E49*MAX(0,(MIN(In_PB_Release,EJ$4)-MAX($F49,EJ$3)+1)/EJ$5)</f>
        <v>0</v>
      </c>
      <c r="EK49" s="33" t="n">
        <f aca="false">$E49*MAX(0,(MIN(In_PB_Release,EK$4)-MAX($F49,EK$3)+1)/EK$5)</f>
        <v>0</v>
      </c>
      <c r="EL49" s="33" t="n">
        <f aca="false">$E49*MAX(0,(MIN(In_PB_Release,EL$4)-MAX($F49,EL$3)+1)/EL$5)</f>
        <v>0</v>
      </c>
      <c r="EM49" s="33" t="n">
        <f aca="false">$E49*MAX(0,(MIN(In_PB_Release,EM$4)-MAX($F49,EM$3)+1)/EM$5)</f>
        <v>0</v>
      </c>
      <c r="EN49" s="33" t="n">
        <f aca="false">$E49*MAX(0,(MIN(In_PB_Release,EN$4)-MAX($F49,EN$3)+1)/EN$5)</f>
        <v>0</v>
      </c>
      <c r="EO49" s="33" t="n">
        <f aca="false">$E49*MAX(0,(MIN(In_PB_Release,EO$4)-MAX($F49,EO$3)+1)/EO$5)</f>
        <v>0</v>
      </c>
      <c r="EP49" s="33" t="n">
        <f aca="false">$E49*MAX(0,(MIN(In_PB_Release,EP$4)-MAX($F49,EP$3)+1)/EP$5)</f>
        <v>0</v>
      </c>
      <c r="EQ49" s="33" t="n">
        <f aca="false">$E49*MAX(0,(MIN(In_PB_Release,EQ$4)-MAX($F49,EQ$3)+1)/EQ$5)</f>
        <v>0</v>
      </c>
      <c r="ER49" s="33" t="n">
        <f aca="false">$E49*MAX(0,(MIN(In_PB_Release,ER$4)-MAX($F49,ER$3)+1)/ER$5)</f>
        <v>0</v>
      </c>
      <c r="ES49" s="33" t="n">
        <f aca="false">$E49*MAX(0,(MIN(In_PB_Release,ES$4)-MAX($F49,ES$3)+1)/ES$5)</f>
        <v>0</v>
      </c>
      <c r="ET49" s="3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511</v>
      </c>
      <c r="D50" s="11" t="s">
        <v>247</v>
      </c>
      <c r="E50" s="33" t="n">
        <f aca="false">In_TSO_Security*In_MVA*Thousand/In_FX</f>
        <v>1232.87671232877</v>
      </c>
      <c r="F50" s="27" t="n">
        <f aca="false">In_TSO_Date</f>
        <v>46386</v>
      </c>
      <c r="I50" s="33" t="n">
        <f aca="false">SUM(J50:ET50)</f>
        <v>-1232.87671232877</v>
      </c>
      <c r="J50" s="33" t="n">
        <f aca="false">-$E50*N(AND(J$3&lt;=$F50,J$4&gt;=$F50))</f>
        <v>-0</v>
      </c>
      <c r="K50" s="33" t="n">
        <f aca="false">-$E50*N(AND(K$3&lt;=$F50,K$4&gt;=$F50))</f>
        <v>-1232.87671232877</v>
      </c>
      <c r="L50" s="33" t="n">
        <f aca="false">-$E50*N(AND(L$3&lt;=$F50,L$4&gt;=$F50))</f>
        <v>-0</v>
      </c>
      <c r="M50" s="33" t="n">
        <f aca="false">-$E50*N(AND(M$3&lt;=$F50,M$4&gt;=$F50))</f>
        <v>-0</v>
      </c>
      <c r="N50" s="33" t="n">
        <f aca="false">-$E50*N(AND(N$3&lt;=$F50,N$4&gt;=$F50))</f>
        <v>-0</v>
      </c>
      <c r="O50" s="33" t="n">
        <f aca="false">-$E50*N(AND(O$3&lt;=$F50,O$4&gt;=$F50))</f>
        <v>-0</v>
      </c>
      <c r="P50" s="33" t="n">
        <f aca="false">-$E50*N(AND(P$3&lt;=$F50,P$4&gt;=$F50))</f>
        <v>-0</v>
      </c>
      <c r="Q50" s="33" t="n">
        <f aca="false">-$E50*N(AND(Q$3&lt;=$F50,Q$4&gt;=$F50))</f>
        <v>-0</v>
      </c>
      <c r="R50" s="33" t="n">
        <f aca="false">-$E50*N(AND(R$3&lt;=$F50,R$4&gt;=$F50))</f>
        <v>-0</v>
      </c>
      <c r="S50" s="33" t="n">
        <f aca="false">-$E50*N(AND(S$3&lt;=$F50,S$4&gt;=$F50))</f>
        <v>-0</v>
      </c>
      <c r="T50" s="33" t="n">
        <f aca="false">-$E50*N(AND(T$3&lt;=$F50,T$4&gt;=$F50))</f>
        <v>-0</v>
      </c>
      <c r="U50" s="33" t="n">
        <f aca="false">-$E50*N(AND(U$3&lt;=$F50,U$4&gt;=$F50))</f>
        <v>-0</v>
      </c>
      <c r="V50" s="33" t="n">
        <f aca="false">-$E50*N(AND(V$3&lt;=$F50,V$4&gt;=$F50))</f>
        <v>-0</v>
      </c>
      <c r="W50" s="33" t="n">
        <f aca="false">-$E50*N(AND(W$3&lt;=$F50,W$4&gt;=$F50))</f>
        <v>-0</v>
      </c>
      <c r="X50" s="33" t="n">
        <f aca="false">-$E50*N(AND(X$3&lt;=$F50,X$4&gt;=$F50))</f>
        <v>-0</v>
      </c>
      <c r="Y50" s="33" t="n">
        <f aca="false">-$E50*N(AND(Y$3&lt;=$F50,Y$4&gt;=$F50))</f>
        <v>-0</v>
      </c>
      <c r="Z50" s="33" t="n">
        <f aca="false">-$E50*N(AND(Z$3&lt;=$F50,Z$4&gt;=$F50))</f>
        <v>-0</v>
      </c>
      <c r="AA50" s="33" t="n">
        <f aca="false">-$E50*N(AND(AA$3&lt;=$F50,AA$4&gt;=$F50))</f>
        <v>-0</v>
      </c>
      <c r="AB50" s="33" t="n">
        <f aca="false">-$E50*N(AND(AB$3&lt;=$F50,AB$4&gt;=$F50))</f>
        <v>-0</v>
      </c>
      <c r="AC50" s="33" t="n">
        <f aca="false">-$E50*N(AND(AC$3&lt;=$F50,AC$4&gt;=$F50))</f>
        <v>-0</v>
      </c>
      <c r="AD50" s="33" t="n">
        <f aca="false">-$E50*N(AND(AD$3&lt;=$F50,AD$4&gt;=$F50))</f>
        <v>-0</v>
      </c>
      <c r="AE50" s="33" t="n">
        <f aca="false">-$E50*N(AND(AE$3&lt;=$F50,AE$4&gt;=$F50))</f>
        <v>-0</v>
      </c>
      <c r="AF50" s="33" t="n">
        <f aca="false">-$E50*N(AND(AF$3&lt;=$F50,AF$4&gt;=$F50))</f>
        <v>-0</v>
      </c>
      <c r="AG50" s="33" t="n">
        <f aca="false">-$E50*N(AND(AG$3&lt;=$F50,AG$4&gt;=$F50))</f>
        <v>-0</v>
      </c>
      <c r="AH50" s="33" t="n">
        <f aca="false">-$E50*N(AND(AH$3&lt;=$F50,AH$4&gt;=$F50))</f>
        <v>-0</v>
      </c>
      <c r="AI50" s="33" t="n">
        <f aca="false">-$E50*N(AND(AI$3&lt;=$F50,AI$4&gt;=$F50))</f>
        <v>-0</v>
      </c>
      <c r="AJ50" s="33" t="n">
        <f aca="false">-$E50*N(AND(AJ$3&lt;=$F50,AJ$4&gt;=$F50))</f>
        <v>-0</v>
      </c>
      <c r="AK50" s="33" t="n">
        <f aca="false">-$E50*N(AND(AK$3&lt;=$F50,AK$4&gt;=$F50))</f>
        <v>-0</v>
      </c>
      <c r="AL50" s="33" t="n">
        <f aca="false">-$E50*N(AND(AL$3&lt;=$F50,AL$4&gt;=$F50))</f>
        <v>-0</v>
      </c>
      <c r="AM50" s="33" t="n">
        <f aca="false">-$E50*N(AND(AM$3&lt;=$F50,AM$4&gt;=$F50))</f>
        <v>-0</v>
      </c>
      <c r="AN50" s="33" t="n">
        <f aca="false">-$E50*N(AND(AN$3&lt;=$F50,AN$4&gt;=$F50))</f>
        <v>-0</v>
      </c>
      <c r="AO50" s="33" t="n">
        <f aca="false">-$E50*N(AND(AO$3&lt;=$F50,AO$4&gt;=$F50))</f>
        <v>-0</v>
      </c>
      <c r="AP50" s="33" t="n">
        <f aca="false">-$E50*N(AND(AP$3&lt;=$F50,AP$4&gt;=$F50))</f>
        <v>-0</v>
      </c>
      <c r="AQ50" s="33" t="n">
        <f aca="false">-$E50*N(AND(AQ$3&lt;=$F50,AQ$4&gt;=$F50))</f>
        <v>-0</v>
      </c>
      <c r="AR50" s="33" t="n">
        <f aca="false">-$E50*N(AND(AR$3&lt;=$F50,AR$4&gt;=$F50))</f>
        <v>-0</v>
      </c>
      <c r="AS50" s="33" t="n">
        <f aca="false">-$E50*N(AND(AS$3&lt;=$F50,AS$4&gt;=$F50))</f>
        <v>-0</v>
      </c>
      <c r="AT50" s="33" t="n">
        <f aca="false">-$E50*N(AND(AT$3&lt;=$F50,AT$4&gt;=$F50))</f>
        <v>-0</v>
      </c>
      <c r="AU50" s="33" t="n">
        <f aca="false">-$E50*N(AND(AU$3&lt;=$F50,AU$4&gt;=$F50))</f>
        <v>-0</v>
      </c>
      <c r="AV50" s="33" t="n">
        <f aca="false">-$E50*N(AND(AV$3&lt;=$F50,AV$4&gt;=$F50))</f>
        <v>-0</v>
      </c>
      <c r="AW50" s="33" t="n">
        <f aca="false">-$E50*N(AND(AW$3&lt;=$F50,AW$4&gt;=$F50))</f>
        <v>-0</v>
      </c>
      <c r="AX50" s="33" t="n">
        <f aca="false">-$E50*N(AND(AX$3&lt;=$F50,AX$4&gt;=$F50))</f>
        <v>-0</v>
      </c>
      <c r="AY50" s="33" t="n">
        <f aca="false">-$E50*N(AND(AY$3&lt;=$F50,AY$4&gt;=$F50))</f>
        <v>-0</v>
      </c>
      <c r="AZ50" s="33" t="n">
        <f aca="false">-$E50*N(AND(AZ$3&lt;=$F50,AZ$4&gt;=$F50))</f>
        <v>-0</v>
      </c>
      <c r="BA50" s="33" t="n">
        <f aca="false">-$E50*N(AND(BA$3&lt;=$F50,BA$4&gt;=$F50))</f>
        <v>-0</v>
      </c>
      <c r="BB50" s="33" t="n">
        <f aca="false">-$E50*N(AND(BB$3&lt;=$F50,BB$4&gt;=$F50))</f>
        <v>-0</v>
      </c>
      <c r="BC50" s="33" t="n">
        <f aca="false">-$E50*N(AND(BC$3&lt;=$F50,BC$4&gt;=$F50))</f>
        <v>-0</v>
      </c>
      <c r="BD50" s="33" t="n">
        <f aca="false">-$E50*N(AND(BD$3&lt;=$F50,BD$4&gt;=$F50))</f>
        <v>-0</v>
      </c>
      <c r="BE50" s="33" t="n">
        <f aca="false">-$E50*N(AND(BE$3&lt;=$F50,BE$4&gt;=$F50))</f>
        <v>-0</v>
      </c>
      <c r="BF50" s="33" t="n">
        <f aca="false">-$E50*N(AND(BF$3&lt;=$F50,BF$4&gt;=$F50))</f>
        <v>-0</v>
      </c>
      <c r="BG50" s="33" t="n">
        <f aca="false">-$E50*N(AND(BG$3&lt;=$F50,BG$4&gt;=$F50))</f>
        <v>-0</v>
      </c>
      <c r="BH50" s="33" t="n">
        <f aca="false">-$E50*N(AND(BH$3&lt;=$F50,BH$4&gt;=$F50))</f>
        <v>-0</v>
      </c>
      <c r="BI50" s="33" t="n">
        <f aca="false">-$E50*N(AND(BI$3&lt;=$F50,BI$4&gt;=$F50))</f>
        <v>-0</v>
      </c>
      <c r="BJ50" s="33" t="n">
        <f aca="false">-$E50*N(AND(BJ$3&lt;=$F50,BJ$4&gt;=$F50))</f>
        <v>-0</v>
      </c>
      <c r="BK50" s="33" t="n">
        <f aca="false">-$E50*N(AND(BK$3&lt;=$F50,BK$4&gt;=$F50))</f>
        <v>-0</v>
      </c>
      <c r="BL50" s="33" t="n">
        <f aca="false">-$E50*N(AND(BL$3&lt;=$F50,BL$4&gt;=$F50))</f>
        <v>-0</v>
      </c>
      <c r="BM50" s="33" t="n">
        <f aca="false">-$E50*N(AND(BM$3&lt;=$F50,BM$4&gt;=$F50))</f>
        <v>-0</v>
      </c>
      <c r="BN50" s="33" t="n">
        <f aca="false">-$E50*N(AND(BN$3&lt;=$F50,BN$4&gt;=$F50))</f>
        <v>-0</v>
      </c>
      <c r="BO50" s="33" t="n">
        <f aca="false">-$E50*N(AND(BO$3&lt;=$F50,BO$4&gt;=$F50))</f>
        <v>-0</v>
      </c>
      <c r="BP50" s="33" t="n">
        <f aca="false">-$E50*N(AND(BP$3&lt;=$F50,BP$4&gt;=$F50))</f>
        <v>-0</v>
      </c>
      <c r="BQ50" s="33" t="n">
        <f aca="false">-$E50*N(AND(BQ$3&lt;=$F50,BQ$4&gt;=$F50))</f>
        <v>-0</v>
      </c>
      <c r="BR50" s="33" t="n">
        <f aca="false">-$E50*N(AND(BR$3&lt;=$F50,BR$4&gt;=$F50))</f>
        <v>-0</v>
      </c>
      <c r="BS50" s="33" t="n">
        <f aca="false">-$E50*N(AND(BS$3&lt;=$F50,BS$4&gt;=$F50))</f>
        <v>-0</v>
      </c>
      <c r="BT50" s="33" t="n">
        <f aca="false">-$E50*N(AND(BT$3&lt;=$F50,BT$4&gt;=$F50))</f>
        <v>-0</v>
      </c>
      <c r="BU50" s="33" t="n">
        <f aca="false">-$E50*N(AND(BU$3&lt;=$F50,BU$4&gt;=$F50))</f>
        <v>-0</v>
      </c>
      <c r="BV50" s="33" t="n">
        <f aca="false">-$E50*N(AND(BV$3&lt;=$F50,BV$4&gt;=$F50))</f>
        <v>-0</v>
      </c>
      <c r="BW50" s="33" t="n">
        <f aca="false">-$E50*N(AND(BW$3&lt;=$F50,BW$4&gt;=$F50))</f>
        <v>-0</v>
      </c>
      <c r="BX50" s="33" t="n">
        <f aca="false">-$E50*N(AND(BX$3&lt;=$F50,BX$4&gt;=$F50))</f>
        <v>-0</v>
      </c>
      <c r="BY50" s="33" t="n">
        <f aca="false">-$E50*N(AND(BY$3&lt;=$F50,BY$4&gt;=$F50))</f>
        <v>-0</v>
      </c>
      <c r="BZ50" s="33" t="n">
        <f aca="false">-$E50*N(AND(BZ$3&lt;=$F50,BZ$4&gt;=$F50))</f>
        <v>-0</v>
      </c>
      <c r="CA50" s="33" t="n">
        <f aca="false">-$E50*N(AND(CA$3&lt;=$F50,CA$4&gt;=$F50))</f>
        <v>-0</v>
      </c>
      <c r="CB50" s="33" t="n">
        <f aca="false">-$E50*N(AND(CB$3&lt;=$F50,CB$4&gt;=$F50))</f>
        <v>-0</v>
      </c>
      <c r="CC50" s="33" t="n">
        <f aca="false">-$E50*N(AND(CC$3&lt;=$F50,CC$4&gt;=$F50))</f>
        <v>-0</v>
      </c>
      <c r="CD50" s="33" t="n">
        <f aca="false">-$E50*N(AND(CD$3&lt;=$F50,CD$4&gt;=$F50))</f>
        <v>-0</v>
      </c>
      <c r="CE50" s="33" t="n">
        <f aca="false">-$E50*N(AND(CE$3&lt;=$F50,CE$4&gt;=$F50))</f>
        <v>-0</v>
      </c>
      <c r="CF50" s="33" t="n">
        <f aca="false">-$E50*N(AND(CF$3&lt;=$F50,CF$4&gt;=$F50))</f>
        <v>-0</v>
      </c>
      <c r="CG50" s="33" t="n">
        <f aca="false">-$E50*N(AND(CG$3&lt;=$F50,CG$4&gt;=$F50))</f>
        <v>-0</v>
      </c>
      <c r="CH50" s="33" t="n">
        <f aca="false">-$E50*N(AND(CH$3&lt;=$F50,CH$4&gt;=$F50))</f>
        <v>-0</v>
      </c>
      <c r="CI50" s="33" t="n">
        <f aca="false">-$E50*N(AND(CI$3&lt;=$F50,CI$4&gt;=$F50))</f>
        <v>-0</v>
      </c>
      <c r="CJ50" s="33" t="n">
        <f aca="false">-$E50*N(AND(CJ$3&lt;=$F50,CJ$4&gt;=$F50))</f>
        <v>-0</v>
      </c>
      <c r="CK50" s="33" t="n">
        <f aca="false">-$E50*N(AND(CK$3&lt;=$F50,CK$4&gt;=$F50))</f>
        <v>-0</v>
      </c>
      <c r="CL50" s="33" t="n">
        <f aca="false">-$E50*N(AND(CL$3&lt;=$F50,CL$4&gt;=$F50))</f>
        <v>-0</v>
      </c>
      <c r="CM50" s="33" t="n">
        <f aca="false">-$E50*N(AND(CM$3&lt;=$F50,CM$4&gt;=$F50))</f>
        <v>-0</v>
      </c>
      <c r="CN50" s="33" t="n">
        <f aca="false">-$E50*N(AND(CN$3&lt;=$F50,CN$4&gt;=$F50))</f>
        <v>-0</v>
      </c>
      <c r="CO50" s="33" t="n">
        <f aca="false">-$E50*N(AND(CO$3&lt;=$F50,CO$4&gt;=$F50))</f>
        <v>-0</v>
      </c>
      <c r="CP50" s="33" t="n">
        <f aca="false">-$E50*N(AND(CP$3&lt;=$F50,CP$4&gt;=$F50))</f>
        <v>-0</v>
      </c>
      <c r="CQ50" s="33" t="n">
        <f aca="false">-$E50*N(AND(CQ$3&lt;=$F50,CQ$4&gt;=$F50))</f>
        <v>-0</v>
      </c>
      <c r="CR50" s="33" t="n">
        <f aca="false">-$E50*N(AND(CR$3&lt;=$F50,CR$4&gt;=$F50))</f>
        <v>-0</v>
      </c>
      <c r="CS50" s="33" t="n">
        <f aca="false">-$E50*N(AND(CS$3&lt;=$F50,CS$4&gt;=$F50))</f>
        <v>-0</v>
      </c>
      <c r="CT50" s="33" t="n">
        <f aca="false">-$E50*N(AND(CT$3&lt;=$F50,CT$4&gt;=$F50))</f>
        <v>-0</v>
      </c>
      <c r="CU50" s="33" t="n">
        <f aca="false">-$E50*N(AND(CU$3&lt;=$F50,CU$4&gt;=$F50))</f>
        <v>-0</v>
      </c>
      <c r="CV50" s="33" t="n">
        <f aca="false">-$E50*N(AND(CV$3&lt;=$F50,CV$4&gt;=$F50))</f>
        <v>-0</v>
      </c>
      <c r="CW50" s="33" t="n">
        <f aca="false">-$E50*N(AND(CW$3&lt;=$F50,CW$4&gt;=$F50))</f>
        <v>-0</v>
      </c>
      <c r="CX50" s="33" t="n">
        <f aca="false">-$E50*N(AND(CX$3&lt;=$F50,CX$4&gt;=$F50))</f>
        <v>-0</v>
      </c>
      <c r="CY50" s="33" t="n">
        <f aca="false">-$E50*N(AND(CY$3&lt;=$F50,CY$4&gt;=$F50))</f>
        <v>-0</v>
      </c>
      <c r="CZ50" s="33" t="n">
        <f aca="false">-$E50*N(AND(CZ$3&lt;=$F50,CZ$4&gt;=$F50))</f>
        <v>-0</v>
      </c>
      <c r="DA50" s="33" t="n">
        <f aca="false">-$E50*N(AND(DA$3&lt;=$F50,DA$4&gt;=$F50))</f>
        <v>-0</v>
      </c>
      <c r="DB50" s="33" t="n">
        <f aca="false">-$E50*N(AND(DB$3&lt;=$F50,DB$4&gt;=$F50))</f>
        <v>-0</v>
      </c>
      <c r="DC50" s="33" t="n">
        <f aca="false">-$E50*N(AND(DC$3&lt;=$F50,DC$4&gt;=$F50))</f>
        <v>-0</v>
      </c>
      <c r="DD50" s="33" t="n">
        <f aca="false">-$E50*N(AND(DD$3&lt;=$F50,DD$4&gt;=$F50))</f>
        <v>-0</v>
      </c>
      <c r="DE50" s="33" t="n">
        <f aca="false">-$E50*N(AND(DE$3&lt;=$F50,DE$4&gt;=$F50))</f>
        <v>-0</v>
      </c>
      <c r="DF50" s="33" t="n">
        <f aca="false">-$E50*N(AND(DF$3&lt;=$F50,DF$4&gt;=$F50))</f>
        <v>-0</v>
      </c>
      <c r="DG50" s="33" t="n">
        <f aca="false">-$E50*N(AND(DG$3&lt;=$F50,DG$4&gt;=$F50))</f>
        <v>-0</v>
      </c>
      <c r="DH50" s="33" t="n">
        <f aca="false">-$E50*N(AND(DH$3&lt;=$F50,DH$4&gt;=$F50))</f>
        <v>-0</v>
      </c>
      <c r="DI50" s="33" t="n">
        <f aca="false">-$E50*N(AND(DI$3&lt;=$F50,DI$4&gt;=$F50))</f>
        <v>-0</v>
      </c>
      <c r="DJ50" s="33" t="n">
        <f aca="false">-$E50*N(AND(DJ$3&lt;=$F50,DJ$4&gt;=$F50))</f>
        <v>-0</v>
      </c>
      <c r="DK50" s="33" t="n">
        <f aca="false">-$E50*N(AND(DK$3&lt;=$F50,DK$4&gt;=$F50))</f>
        <v>-0</v>
      </c>
      <c r="DL50" s="33" t="n">
        <f aca="false">-$E50*N(AND(DL$3&lt;=$F50,DL$4&gt;=$F50))</f>
        <v>-0</v>
      </c>
      <c r="DM50" s="33" t="n">
        <f aca="false">-$E50*N(AND(DM$3&lt;=$F50,DM$4&gt;=$F50))</f>
        <v>-0</v>
      </c>
      <c r="DN50" s="33" t="n">
        <f aca="false">-$E50*N(AND(DN$3&lt;=$F50,DN$4&gt;=$F50))</f>
        <v>-0</v>
      </c>
      <c r="DO50" s="33" t="n">
        <f aca="false">-$E50*N(AND(DO$3&lt;=$F50,DO$4&gt;=$F50))</f>
        <v>-0</v>
      </c>
      <c r="DP50" s="33" t="n">
        <f aca="false">-$E50*N(AND(DP$3&lt;=$F50,DP$4&gt;=$F50))</f>
        <v>-0</v>
      </c>
      <c r="DQ50" s="33" t="n">
        <f aca="false">-$E50*N(AND(DQ$3&lt;=$F50,DQ$4&gt;=$F50))</f>
        <v>-0</v>
      </c>
      <c r="DR50" s="33" t="n">
        <f aca="false">-$E50*N(AND(DR$3&lt;=$F50,DR$4&gt;=$F50))</f>
        <v>-0</v>
      </c>
      <c r="DS50" s="33" t="n">
        <f aca="false">-$E50*N(AND(DS$3&lt;=$F50,DS$4&gt;=$F50))</f>
        <v>-0</v>
      </c>
      <c r="DT50" s="33" t="n">
        <f aca="false">-$E50*N(AND(DT$3&lt;=$F50,DT$4&gt;=$F50))</f>
        <v>-0</v>
      </c>
      <c r="DU50" s="33" t="n">
        <f aca="false">-$E50*N(AND(DU$3&lt;=$F50,DU$4&gt;=$F50))</f>
        <v>-0</v>
      </c>
      <c r="DV50" s="33" t="n">
        <f aca="false">-$E50*N(AND(DV$3&lt;=$F50,DV$4&gt;=$F50))</f>
        <v>-0</v>
      </c>
      <c r="DW50" s="33" t="n">
        <f aca="false">-$E50*N(AND(DW$3&lt;=$F50,DW$4&gt;=$F50))</f>
        <v>-0</v>
      </c>
      <c r="DX50" s="33" t="n">
        <f aca="false">-$E50*N(AND(DX$3&lt;=$F50,DX$4&gt;=$F50))</f>
        <v>-0</v>
      </c>
      <c r="DY50" s="33" t="n">
        <f aca="false">-$E50*N(AND(DY$3&lt;=$F50,DY$4&gt;=$F50))</f>
        <v>-0</v>
      </c>
      <c r="DZ50" s="33" t="n">
        <f aca="false">-$E50*N(AND(DZ$3&lt;=$F50,DZ$4&gt;=$F50))</f>
        <v>-0</v>
      </c>
      <c r="EA50" s="33" t="n">
        <f aca="false">-$E50*N(AND(EA$3&lt;=$F50,EA$4&gt;=$F50))</f>
        <v>-0</v>
      </c>
      <c r="EB50" s="33" t="n">
        <f aca="false">-$E50*N(AND(EB$3&lt;=$F50,EB$4&gt;=$F50))</f>
        <v>-0</v>
      </c>
      <c r="EC50" s="33" t="n">
        <f aca="false">-$E50*N(AND(EC$3&lt;=$F50,EC$4&gt;=$F50))</f>
        <v>-0</v>
      </c>
      <c r="ED50" s="33" t="n">
        <f aca="false">-$E50*N(AND(ED$3&lt;=$F50,ED$4&gt;=$F50))</f>
        <v>-0</v>
      </c>
      <c r="EE50" s="33" t="n">
        <f aca="false">-$E50*N(AND(EE$3&lt;=$F50,EE$4&gt;=$F50))</f>
        <v>-0</v>
      </c>
      <c r="EF50" s="33" t="n">
        <f aca="false">-$E50*N(AND(EF$3&lt;=$F50,EF$4&gt;=$F50))</f>
        <v>-0</v>
      </c>
      <c r="EG50" s="33" t="n">
        <f aca="false">-$E50*N(AND(EG$3&lt;=$F50,EG$4&gt;=$F50))</f>
        <v>-0</v>
      </c>
      <c r="EH50" s="33" t="n">
        <f aca="false">-$E50*N(AND(EH$3&lt;=$F50,EH$4&gt;=$F50))</f>
        <v>-0</v>
      </c>
      <c r="EI50" s="33" t="n">
        <f aca="false">-$E50*N(AND(EI$3&lt;=$F50,EI$4&gt;=$F50))</f>
        <v>-0</v>
      </c>
      <c r="EJ50" s="33" t="n">
        <f aca="false">-$E50*N(AND(EJ$3&lt;=$F50,EJ$4&gt;=$F50))</f>
        <v>-0</v>
      </c>
      <c r="EK50" s="33" t="n">
        <f aca="false">-$E50*N(AND(EK$3&lt;=$F50,EK$4&gt;=$F50))</f>
        <v>-0</v>
      </c>
      <c r="EL50" s="33" t="n">
        <f aca="false">-$E50*N(AND(EL$3&lt;=$F50,EL$4&gt;=$F50))</f>
        <v>-0</v>
      </c>
      <c r="EM50" s="33" t="n">
        <f aca="false">-$E50*N(AND(EM$3&lt;=$F50,EM$4&gt;=$F50))</f>
        <v>-0</v>
      </c>
      <c r="EN50" s="33" t="n">
        <f aca="false">-$E50*N(AND(EN$3&lt;=$F50,EN$4&gt;=$F50))</f>
        <v>-0</v>
      </c>
      <c r="EO50" s="33" t="n">
        <f aca="false">-$E50*N(AND(EO$3&lt;=$F50,EO$4&gt;=$F50))</f>
        <v>-0</v>
      </c>
      <c r="EP50" s="33" t="n">
        <f aca="false">-$E50*N(AND(EP$3&lt;=$F50,EP$4&gt;=$F50))</f>
        <v>-0</v>
      </c>
      <c r="EQ50" s="33" t="n">
        <f aca="false">-$E50*N(AND(EQ$3&lt;=$F50,EQ$4&gt;=$F50))</f>
        <v>-0</v>
      </c>
      <c r="ER50" s="33" t="n">
        <f aca="false">-$E50*N(AND(ER$3&lt;=$F50,ER$4&gt;=$F50))</f>
        <v>-0</v>
      </c>
      <c r="ES50" s="33" t="n">
        <f aca="false">-$E50*N(AND(ES$3&lt;=$F50,ES$4&gt;=$F50))</f>
        <v>-0</v>
      </c>
      <c r="ET50" s="33" t="n">
        <f aca="false">-$E50*N(AND(ET$3&lt;=$F50,ET$4&gt;=$F50))</f>
        <v>-0</v>
      </c>
    </row>
    <row r="51" customFormat="false" ht="15" hidden="false" customHeight="false" outlineLevel="0" collapsed="false">
      <c r="C51" s="0" t="s">
        <v>512</v>
      </c>
      <c r="D51" s="11" t="s">
        <v>247</v>
      </c>
      <c r="E51" s="33" t="n">
        <f aca="false">In_Direct_Fee*Thousand/In_FX</f>
        <v>1392.72823013699</v>
      </c>
      <c r="F51" s="27" t="n">
        <f aca="false">In_HCSSZ_Date</f>
        <v>47126</v>
      </c>
      <c r="I51" s="33" t="n">
        <f aca="false">SUM(J51:ET51)</f>
        <v>-1392.72823013699</v>
      </c>
      <c r="J51" s="33" t="n">
        <f aca="false">-$E51*N(AND(J$3&lt;=$F51,J$4&gt;=$F51))</f>
        <v>-0</v>
      </c>
      <c r="K51" s="33" t="n">
        <f aca="false">-$E51*N(AND(K$3&lt;=$F51,K$4&gt;=$F51))</f>
        <v>-0</v>
      </c>
      <c r="L51" s="33" t="n">
        <f aca="false">-$E51*N(AND(L$3&lt;=$F51,L$4&gt;=$F51))</f>
        <v>-0</v>
      </c>
      <c r="M51" s="33" t="n">
        <f aca="false">-$E51*N(AND(M$3&lt;=$F51,M$4&gt;=$F51))</f>
        <v>-0</v>
      </c>
      <c r="N51" s="33" t="n">
        <f aca="false">-$E51*N(AND(N$3&lt;=$F51,N$4&gt;=$F51))</f>
        <v>-0</v>
      </c>
      <c r="O51" s="33" t="n">
        <f aca="false">-$E51*N(AND(O$3&lt;=$F51,O$4&gt;=$F51))</f>
        <v>-0</v>
      </c>
      <c r="P51" s="33" t="n">
        <f aca="false">-$E51*N(AND(P$3&lt;=$F51,P$4&gt;=$F51))</f>
        <v>-0</v>
      </c>
      <c r="Q51" s="33" t="n">
        <f aca="false">-$E51*N(AND(Q$3&lt;=$F51,Q$4&gt;=$F51))</f>
        <v>-0</v>
      </c>
      <c r="R51" s="33" t="n">
        <f aca="false">-$E51*N(AND(R$3&lt;=$F51,R$4&gt;=$F51))</f>
        <v>-0</v>
      </c>
      <c r="S51" s="33" t="n">
        <f aca="false">-$E51*N(AND(S$3&lt;=$F51,S$4&gt;=$F51))</f>
        <v>-0</v>
      </c>
      <c r="T51" s="33" t="n">
        <f aca="false">-$E51*N(AND(T$3&lt;=$F51,T$4&gt;=$F51))</f>
        <v>-1392.72823013699</v>
      </c>
      <c r="U51" s="33" t="n">
        <f aca="false">-$E51*N(AND(U$3&lt;=$F51,U$4&gt;=$F51))</f>
        <v>-0</v>
      </c>
      <c r="V51" s="33" t="n">
        <f aca="false">-$E51*N(AND(V$3&lt;=$F51,V$4&gt;=$F51))</f>
        <v>-0</v>
      </c>
      <c r="W51" s="33" t="n">
        <f aca="false">-$E51*N(AND(W$3&lt;=$F51,W$4&gt;=$F51))</f>
        <v>-0</v>
      </c>
      <c r="X51" s="33" t="n">
        <f aca="false">-$E51*N(AND(X$3&lt;=$F51,X$4&gt;=$F51))</f>
        <v>-0</v>
      </c>
      <c r="Y51" s="33" t="n">
        <f aca="false">-$E51*N(AND(Y$3&lt;=$F51,Y$4&gt;=$F51))</f>
        <v>-0</v>
      </c>
      <c r="Z51" s="33" t="n">
        <f aca="false">-$E51*N(AND(Z$3&lt;=$F51,Z$4&gt;=$F51))</f>
        <v>-0</v>
      </c>
      <c r="AA51" s="33" t="n">
        <f aca="false">-$E51*N(AND(AA$3&lt;=$F51,AA$4&gt;=$F51))</f>
        <v>-0</v>
      </c>
      <c r="AB51" s="33" t="n">
        <f aca="false">-$E51*N(AND(AB$3&lt;=$F51,AB$4&gt;=$F51))</f>
        <v>-0</v>
      </c>
      <c r="AC51" s="33" t="n">
        <f aca="false">-$E51*N(AND(AC$3&lt;=$F51,AC$4&gt;=$F51))</f>
        <v>-0</v>
      </c>
      <c r="AD51" s="33" t="n">
        <f aca="false">-$E51*N(AND(AD$3&lt;=$F51,AD$4&gt;=$F51))</f>
        <v>-0</v>
      </c>
      <c r="AE51" s="33" t="n">
        <f aca="false">-$E51*N(AND(AE$3&lt;=$F51,AE$4&gt;=$F51))</f>
        <v>-0</v>
      </c>
      <c r="AF51" s="33" t="n">
        <f aca="false">-$E51*N(AND(AF$3&lt;=$F51,AF$4&gt;=$F51))</f>
        <v>-0</v>
      </c>
      <c r="AG51" s="33" t="n">
        <f aca="false">-$E51*N(AND(AG$3&lt;=$F51,AG$4&gt;=$F51))</f>
        <v>-0</v>
      </c>
      <c r="AH51" s="33" t="n">
        <f aca="false">-$E51*N(AND(AH$3&lt;=$F51,AH$4&gt;=$F51))</f>
        <v>-0</v>
      </c>
      <c r="AI51" s="33" t="n">
        <f aca="false">-$E51*N(AND(AI$3&lt;=$F51,AI$4&gt;=$F51))</f>
        <v>-0</v>
      </c>
      <c r="AJ51" s="33" t="n">
        <f aca="false">-$E51*N(AND(AJ$3&lt;=$F51,AJ$4&gt;=$F51))</f>
        <v>-0</v>
      </c>
      <c r="AK51" s="33" t="n">
        <f aca="false">-$E51*N(AND(AK$3&lt;=$F51,AK$4&gt;=$F51))</f>
        <v>-0</v>
      </c>
      <c r="AL51" s="33" t="n">
        <f aca="false">-$E51*N(AND(AL$3&lt;=$F51,AL$4&gt;=$F51))</f>
        <v>-0</v>
      </c>
      <c r="AM51" s="33" t="n">
        <f aca="false">-$E51*N(AND(AM$3&lt;=$F51,AM$4&gt;=$F51))</f>
        <v>-0</v>
      </c>
      <c r="AN51" s="33" t="n">
        <f aca="false">-$E51*N(AND(AN$3&lt;=$F51,AN$4&gt;=$F51))</f>
        <v>-0</v>
      </c>
      <c r="AO51" s="33" t="n">
        <f aca="false">-$E51*N(AND(AO$3&lt;=$F51,AO$4&gt;=$F51))</f>
        <v>-0</v>
      </c>
      <c r="AP51" s="33" t="n">
        <f aca="false">-$E51*N(AND(AP$3&lt;=$F51,AP$4&gt;=$F51))</f>
        <v>-0</v>
      </c>
      <c r="AQ51" s="33" t="n">
        <f aca="false">-$E51*N(AND(AQ$3&lt;=$F51,AQ$4&gt;=$F51))</f>
        <v>-0</v>
      </c>
      <c r="AR51" s="33" t="n">
        <f aca="false">-$E51*N(AND(AR$3&lt;=$F51,AR$4&gt;=$F51))</f>
        <v>-0</v>
      </c>
      <c r="AS51" s="33" t="n">
        <f aca="false">-$E51*N(AND(AS$3&lt;=$F51,AS$4&gt;=$F51))</f>
        <v>-0</v>
      </c>
      <c r="AT51" s="33" t="n">
        <f aca="false">-$E51*N(AND(AT$3&lt;=$F51,AT$4&gt;=$F51))</f>
        <v>-0</v>
      </c>
      <c r="AU51" s="33" t="n">
        <f aca="false">-$E51*N(AND(AU$3&lt;=$F51,AU$4&gt;=$F51))</f>
        <v>-0</v>
      </c>
      <c r="AV51" s="33" t="n">
        <f aca="false">-$E51*N(AND(AV$3&lt;=$F51,AV$4&gt;=$F51))</f>
        <v>-0</v>
      </c>
      <c r="AW51" s="33" t="n">
        <f aca="false">-$E51*N(AND(AW$3&lt;=$F51,AW$4&gt;=$F51))</f>
        <v>-0</v>
      </c>
      <c r="AX51" s="33" t="n">
        <f aca="false">-$E51*N(AND(AX$3&lt;=$F51,AX$4&gt;=$F51))</f>
        <v>-0</v>
      </c>
      <c r="AY51" s="33" t="n">
        <f aca="false">-$E51*N(AND(AY$3&lt;=$F51,AY$4&gt;=$F51))</f>
        <v>-0</v>
      </c>
      <c r="AZ51" s="33" t="n">
        <f aca="false">-$E51*N(AND(AZ$3&lt;=$F51,AZ$4&gt;=$F51))</f>
        <v>-0</v>
      </c>
      <c r="BA51" s="33" t="n">
        <f aca="false">-$E51*N(AND(BA$3&lt;=$F51,BA$4&gt;=$F51))</f>
        <v>-0</v>
      </c>
      <c r="BB51" s="33" t="n">
        <f aca="false">-$E51*N(AND(BB$3&lt;=$F51,BB$4&gt;=$F51))</f>
        <v>-0</v>
      </c>
      <c r="BC51" s="33" t="n">
        <f aca="false">-$E51*N(AND(BC$3&lt;=$F51,BC$4&gt;=$F51))</f>
        <v>-0</v>
      </c>
      <c r="BD51" s="33" t="n">
        <f aca="false">-$E51*N(AND(BD$3&lt;=$F51,BD$4&gt;=$F51))</f>
        <v>-0</v>
      </c>
      <c r="BE51" s="33" t="n">
        <f aca="false">-$E51*N(AND(BE$3&lt;=$F51,BE$4&gt;=$F51))</f>
        <v>-0</v>
      </c>
      <c r="BF51" s="33" t="n">
        <f aca="false">-$E51*N(AND(BF$3&lt;=$F51,BF$4&gt;=$F51))</f>
        <v>-0</v>
      </c>
      <c r="BG51" s="33" t="n">
        <f aca="false">-$E51*N(AND(BG$3&lt;=$F51,BG$4&gt;=$F51))</f>
        <v>-0</v>
      </c>
      <c r="BH51" s="33" t="n">
        <f aca="false">-$E51*N(AND(BH$3&lt;=$F51,BH$4&gt;=$F51))</f>
        <v>-0</v>
      </c>
      <c r="BI51" s="33" t="n">
        <f aca="false">-$E51*N(AND(BI$3&lt;=$F51,BI$4&gt;=$F51))</f>
        <v>-0</v>
      </c>
      <c r="BJ51" s="33" t="n">
        <f aca="false">-$E51*N(AND(BJ$3&lt;=$F51,BJ$4&gt;=$F51))</f>
        <v>-0</v>
      </c>
      <c r="BK51" s="33" t="n">
        <f aca="false">-$E51*N(AND(BK$3&lt;=$F51,BK$4&gt;=$F51))</f>
        <v>-0</v>
      </c>
      <c r="BL51" s="33" t="n">
        <f aca="false">-$E51*N(AND(BL$3&lt;=$F51,BL$4&gt;=$F51))</f>
        <v>-0</v>
      </c>
      <c r="BM51" s="33" t="n">
        <f aca="false">-$E51*N(AND(BM$3&lt;=$F51,BM$4&gt;=$F51))</f>
        <v>-0</v>
      </c>
      <c r="BN51" s="33" t="n">
        <f aca="false">-$E51*N(AND(BN$3&lt;=$F51,BN$4&gt;=$F51))</f>
        <v>-0</v>
      </c>
      <c r="BO51" s="33" t="n">
        <f aca="false">-$E51*N(AND(BO$3&lt;=$F51,BO$4&gt;=$F51))</f>
        <v>-0</v>
      </c>
      <c r="BP51" s="33" t="n">
        <f aca="false">-$E51*N(AND(BP$3&lt;=$F51,BP$4&gt;=$F51))</f>
        <v>-0</v>
      </c>
      <c r="BQ51" s="33" t="n">
        <f aca="false">-$E51*N(AND(BQ$3&lt;=$F51,BQ$4&gt;=$F51))</f>
        <v>-0</v>
      </c>
      <c r="BR51" s="33" t="n">
        <f aca="false">-$E51*N(AND(BR$3&lt;=$F51,BR$4&gt;=$F51))</f>
        <v>-0</v>
      </c>
      <c r="BS51" s="33" t="n">
        <f aca="false">-$E51*N(AND(BS$3&lt;=$F51,BS$4&gt;=$F51))</f>
        <v>-0</v>
      </c>
      <c r="BT51" s="33" t="n">
        <f aca="false">-$E51*N(AND(BT$3&lt;=$F51,BT$4&gt;=$F51))</f>
        <v>-0</v>
      </c>
      <c r="BU51" s="33" t="n">
        <f aca="false">-$E51*N(AND(BU$3&lt;=$F51,BU$4&gt;=$F51))</f>
        <v>-0</v>
      </c>
      <c r="BV51" s="33" t="n">
        <f aca="false">-$E51*N(AND(BV$3&lt;=$F51,BV$4&gt;=$F51))</f>
        <v>-0</v>
      </c>
      <c r="BW51" s="33" t="n">
        <f aca="false">-$E51*N(AND(BW$3&lt;=$F51,BW$4&gt;=$F51))</f>
        <v>-0</v>
      </c>
      <c r="BX51" s="33" t="n">
        <f aca="false">-$E51*N(AND(BX$3&lt;=$F51,BX$4&gt;=$F51))</f>
        <v>-0</v>
      </c>
      <c r="BY51" s="33" t="n">
        <f aca="false">-$E51*N(AND(BY$3&lt;=$F51,BY$4&gt;=$F51))</f>
        <v>-0</v>
      </c>
      <c r="BZ51" s="33" t="n">
        <f aca="false">-$E51*N(AND(BZ$3&lt;=$F51,BZ$4&gt;=$F51))</f>
        <v>-0</v>
      </c>
      <c r="CA51" s="33" t="n">
        <f aca="false">-$E51*N(AND(CA$3&lt;=$F51,CA$4&gt;=$F51))</f>
        <v>-0</v>
      </c>
      <c r="CB51" s="33" t="n">
        <f aca="false">-$E51*N(AND(CB$3&lt;=$F51,CB$4&gt;=$F51))</f>
        <v>-0</v>
      </c>
      <c r="CC51" s="33" t="n">
        <f aca="false">-$E51*N(AND(CC$3&lt;=$F51,CC$4&gt;=$F51))</f>
        <v>-0</v>
      </c>
      <c r="CD51" s="33" t="n">
        <f aca="false">-$E51*N(AND(CD$3&lt;=$F51,CD$4&gt;=$F51))</f>
        <v>-0</v>
      </c>
      <c r="CE51" s="33" t="n">
        <f aca="false">-$E51*N(AND(CE$3&lt;=$F51,CE$4&gt;=$F51))</f>
        <v>-0</v>
      </c>
      <c r="CF51" s="33" t="n">
        <f aca="false">-$E51*N(AND(CF$3&lt;=$F51,CF$4&gt;=$F51))</f>
        <v>-0</v>
      </c>
      <c r="CG51" s="33" t="n">
        <f aca="false">-$E51*N(AND(CG$3&lt;=$F51,CG$4&gt;=$F51))</f>
        <v>-0</v>
      </c>
      <c r="CH51" s="33" t="n">
        <f aca="false">-$E51*N(AND(CH$3&lt;=$F51,CH$4&gt;=$F51))</f>
        <v>-0</v>
      </c>
      <c r="CI51" s="33" t="n">
        <f aca="false">-$E51*N(AND(CI$3&lt;=$F51,CI$4&gt;=$F51))</f>
        <v>-0</v>
      </c>
      <c r="CJ51" s="33" t="n">
        <f aca="false">-$E51*N(AND(CJ$3&lt;=$F51,CJ$4&gt;=$F51))</f>
        <v>-0</v>
      </c>
      <c r="CK51" s="33" t="n">
        <f aca="false">-$E51*N(AND(CK$3&lt;=$F51,CK$4&gt;=$F51))</f>
        <v>-0</v>
      </c>
      <c r="CL51" s="33" t="n">
        <f aca="false">-$E51*N(AND(CL$3&lt;=$F51,CL$4&gt;=$F51))</f>
        <v>-0</v>
      </c>
      <c r="CM51" s="33" t="n">
        <f aca="false">-$E51*N(AND(CM$3&lt;=$F51,CM$4&gt;=$F51))</f>
        <v>-0</v>
      </c>
      <c r="CN51" s="33" t="n">
        <f aca="false">-$E51*N(AND(CN$3&lt;=$F51,CN$4&gt;=$F51))</f>
        <v>-0</v>
      </c>
      <c r="CO51" s="33" t="n">
        <f aca="false">-$E51*N(AND(CO$3&lt;=$F51,CO$4&gt;=$F51))</f>
        <v>-0</v>
      </c>
      <c r="CP51" s="33" t="n">
        <f aca="false">-$E51*N(AND(CP$3&lt;=$F51,CP$4&gt;=$F51))</f>
        <v>-0</v>
      </c>
      <c r="CQ51" s="33" t="n">
        <f aca="false">-$E51*N(AND(CQ$3&lt;=$F51,CQ$4&gt;=$F51))</f>
        <v>-0</v>
      </c>
      <c r="CR51" s="33" t="n">
        <f aca="false">-$E51*N(AND(CR$3&lt;=$F51,CR$4&gt;=$F51))</f>
        <v>-0</v>
      </c>
      <c r="CS51" s="33" t="n">
        <f aca="false">-$E51*N(AND(CS$3&lt;=$F51,CS$4&gt;=$F51))</f>
        <v>-0</v>
      </c>
      <c r="CT51" s="33" t="n">
        <f aca="false">-$E51*N(AND(CT$3&lt;=$F51,CT$4&gt;=$F51))</f>
        <v>-0</v>
      </c>
      <c r="CU51" s="33" t="n">
        <f aca="false">-$E51*N(AND(CU$3&lt;=$F51,CU$4&gt;=$F51))</f>
        <v>-0</v>
      </c>
      <c r="CV51" s="33" t="n">
        <f aca="false">-$E51*N(AND(CV$3&lt;=$F51,CV$4&gt;=$F51))</f>
        <v>-0</v>
      </c>
      <c r="CW51" s="33" t="n">
        <f aca="false">-$E51*N(AND(CW$3&lt;=$F51,CW$4&gt;=$F51))</f>
        <v>-0</v>
      </c>
      <c r="CX51" s="33" t="n">
        <f aca="false">-$E51*N(AND(CX$3&lt;=$F51,CX$4&gt;=$F51))</f>
        <v>-0</v>
      </c>
      <c r="CY51" s="33" t="n">
        <f aca="false">-$E51*N(AND(CY$3&lt;=$F51,CY$4&gt;=$F51))</f>
        <v>-0</v>
      </c>
      <c r="CZ51" s="33" t="n">
        <f aca="false">-$E51*N(AND(CZ$3&lt;=$F51,CZ$4&gt;=$F51))</f>
        <v>-0</v>
      </c>
      <c r="DA51" s="33" t="n">
        <f aca="false">-$E51*N(AND(DA$3&lt;=$F51,DA$4&gt;=$F51))</f>
        <v>-0</v>
      </c>
      <c r="DB51" s="33" t="n">
        <f aca="false">-$E51*N(AND(DB$3&lt;=$F51,DB$4&gt;=$F51))</f>
        <v>-0</v>
      </c>
      <c r="DC51" s="33" t="n">
        <f aca="false">-$E51*N(AND(DC$3&lt;=$F51,DC$4&gt;=$F51))</f>
        <v>-0</v>
      </c>
      <c r="DD51" s="33" t="n">
        <f aca="false">-$E51*N(AND(DD$3&lt;=$F51,DD$4&gt;=$F51))</f>
        <v>-0</v>
      </c>
      <c r="DE51" s="33" t="n">
        <f aca="false">-$E51*N(AND(DE$3&lt;=$F51,DE$4&gt;=$F51))</f>
        <v>-0</v>
      </c>
      <c r="DF51" s="33" t="n">
        <f aca="false">-$E51*N(AND(DF$3&lt;=$F51,DF$4&gt;=$F51))</f>
        <v>-0</v>
      </c>
      <c r="DG51" s="33" t="n">
        <f aca="false">-$E51*N(AND(DG$3&lt;=$F51,DG$4&gt;=$F51))</f>
        <v>-0</v>
      </c>
      <c r="DH51" s="33" t="n">
        <f aca="false">-$E51*N(AND(DH$3&lt;=$F51,DH$4&gt;=$F51))</f>
        <v>-0</v>
      </c>
      <c r="DI51" s="33" t="n">
        <f aca="false">-$E51*N(AND(DI$3&lt;=$F51,DI$4&gt;=$F51))</f>
        <v>-0</v>
      </c>
      <c r="DJ51" s="33" t="n">
        <f aca="false">-$E51*N(AND(DJ$3&lt;=$F51,DJ$4&gt;=$F51))</f>
        <v>-0</v>
      </c>
      <c r="DK51" s="33" t="n">
        <f aca="false">-$E51*N(AND(DK$3&lt;=$F51,DK$4&gt;=$F51))</f>
        <v>-0</v>
      </c>
      <c r="DL51" s="33" t="n">
        <f aca="false">-$E51*N(AND(DL$3&lt;=$F51,DL$4&gt;=$F51))</f>
        <v>-0</v>
      </c>
      <c r="DM51" s="33" t="n">
        <f aca="false">-$E51*N(AND(DM$3&lt;=$F51,DM$4&gt;=$F51))</f>
        <v>-0</v>
      </c>
      <c r="DN51" s="33" t="n">
        <f aca="false">-$E51*N(AND(DN$3&lt;=$F51,DN$4&gt;=$F51))</f>
        <v>-0</v>
      </c>
      <c r="DO51" s="33" t="n">
        <f aca="false">-$E51*N(AND(DO$3&lt;=$F51,DO$4&gt;=$F51))</f>
        <v>-0</v>
      </c>
      <c r="DP51" s="33" t="n">
        <f aca="false">-$E51*N(AND(DP$3&lt;=$F51,DP$4&gt;=$F51))</f>
        <v>-0</v>
      </c>
      <c r="DQ51" s="33" t="n">
        <f aca="false">-$E51*N(AND(DQ$3&lt;=$F51,DQ$4&gt;=$F51))</f>
        <v>-0</v>
      </c>
      <c r="DR51" s="33" t="n">
        <f aca="false">-$E51*N(AND(DR$3&lt;=$F51,DR$4&gt;=$F51))</f>
        <v>-0</v>
      </c>
      <c r="DS51" s="33" t="n">
        <f aca="false">-$E51*N(AND(DS$3&lt;=$F51,DS$4&gt;=$F51))</f>
        <v>-0</v>
      </c>
      <c r="DT51" s="33" t="n">
        <f aca="false">-$E51*N(AND(DT$3&lt;=$F51,DT$4&gt;=$F51))</f>
        <v>-0</v>
      </c>
      <c r="DU51" s="33" t="n">
        <f aca="false">-$E51*N(AND(DU$3&lt;=$F51,DU$4&gt;=$F51))</f>
        <v>-0</v>
      </c>
      <c r="DV51" s="33" t="n">
        <f aca="false">-$E51*N(AND(DV$3&lt;=$F51,DV$4&gt;=$F51))</f>
        <v>-0</v>
      </c>
      <c r="DW51" s="33" t="n">
        <f aca="false">-$E51*N(AND(DW$3&lt;=$F51,DW$4&gt;=$F51))</f>
        <v>-0</v>
      </c>
      <c r="DX51" s="33" t="n">
        <f aca="false">-$E51*N(AND(DX$3&lt;=$F51,DX$4&gt;=$F51))</f>
        <v>-0</v>
      </c>
      <c r="DY51" s="33" t="n">
        <f aca="false">-$E51*N(AND(DY$3&lt;=$F51,DY$4&gt;=$F51))</f>
        <v>-0</v>
      </c>
      <c r="DZ51" s="33" t="n">
        <f aca="false">-$E51*N(AND(DZ$3&lt;=$F51,DZ$4&gt;=$F51))</f>
        <v>-0</v>
      </c>
      <c r="EA51" s="33" t="n">
        <f aca="false">-$E51*N(AND(EA$3&lt;=$F51,EA$4&gt;=$F51))</f>
        <v>-0</v>
      </c>
      <c r="EB51" s="33" t="n">
        <f aca="false">-$E51*N(AND(EB$3&lt;=$F51,EB$4&gt;=$F51))</f>
        <v>-0</v>
      </c>
      <c r="EC51" s="33" t="n">
        <f aca="false">-$E51*N(AND(EC$3&lt;=$F51,EC$4&gt;=$F51))</f>
        <v>-0</v>
      </c>
      <c r="ED51" s="33" t="n">
        <f aca="false">-$E51*N(AND(ED$3&lt;=$F51,ED$4&gt;=$F51))</f>
        <v>-0</v>
      </c>
      <c r="EE51" s="33" t="n">
        <f aca="false">-$E51*N(AND(EE$3&lt;=$F51,EE$4&gt;=$F51))</f>
        <v>-0</v>
      </c>
      <c r="EF51" s="33" t="n">
        <f aca="false">-$E51*N(AND(EF$3&lt;=$F51,EF$4&gt;=$F51))</f>
        <v>-0</v>
      </c>
      <c r="EG51" s="33" t="n">
        <f aca="false">-$E51*N(AND(EG$3&lt;=$F51,EG$4&gt;=$F51))</f>
        <v>-0</v>
      </c>
      <c r="EH51" s="33" t="n">
        <f aca="false">-$E51*N(AND(EH$3&lt;=$F51,EH$4&gt;=$F51))</f>
        <v>-0</v>
      </c>
      <c r="EI51" s="33" t="n">
        <f aca="false">-$E51*N(AND(EI$3&lt;=$F51,EI$4&gt;=$F51))</f>
        <v>-0</v>
      </c>
      <c r="EJ51" s="33" t="n">
        <f aca="false">-$E51*N(AND(EJ$3&lt;=$F51,EJ$4&gt;=$F51))</f>
        <v>-0</v>
      </c>
      <c r="EK51" s="33" t="n">
        <f aca="false">-$E51*N(AND(EK$3&lt;=$F51,EK$4&gt;=$F51))</f>
        <v>-0</v>
      </c>
      <c r="EL51" s="33" t="n">
        <f aca="false">-$E51*N(AND(EL$3&lt;=$F51,EL$4&gt;=$F51))</f>
        <v>-0</v>
      </c>
      <c r="EM51" s="33" t="n">
        <f aca="false">-$E51*N(AND(EM$3&lt;=$F51,EM$4&gt;=$F51))</f>
        <v>-0</v>
      </c>
      <c r="EN51" s="33" t="n">
        <f aca="false">-$E51*N(AND(EN$3&lt;=$F51,EN$4&gt;=$F51))</f>
        <v>-0</v>
      </c>
      <c r="EO51" s="33" t="n">
        <f aca="false">-$E51*N(AND(EO$3&lt;=$F51,EO$4&gt;=$F51))</f>
        <v>-0</v>
      </c>
      <c r="EP51" s="33" t="n">
        <f aca="false">-$E51*N(AND(EP$3&lt;=$F51,EP$4&gt;=$F51))</f>
        <v>-0</v>
      </c>
      <c r="EQ51" s="33" t="n">
        <f aca="false">-$E51*N(AND(EQ$3&lt;=$F51,EQ$4&gt;=$F51))</f>
        <v>-0</v>
      </c>
      <c r="ER51" s="33" t="n">
        <f aca="false">-$E51*N(AND(ER$3&lt;=$F51,ER$4&gt;=$F51))</f>
        <v>-0</v>
      </c>
      <c r="ES51" s="33" t="n">
        <f aca="false">-$E51*N(AND(ES$3&lt;=$F51,ES$4&gt;=$F51))</f>
        <v>-0</v>
      </c>
      <c r="ET51" s="33" t="n">
        <f aca="false">-$E51*N(AND(ET$3&lt;=$F51,ET$4&gt;=$F51))</f>
        <v>-0</v>
      </c>
    </row>
    <row r="52" customFormat="false" ht="15" hidden="false" customHeight="false" outlineLevel="0" collapsed="false">
      <c r="C52" s="0" t="s">
        <v>513</v>
      </c>
      <c r="D52" s="11" t="s">
        <v>247</v>
      </c>
      <c r="E52" s="33" t="n">
        <f aca="false">(In_Indirect_Fee-In_TSO_Security)*In_MVA*Thousand/In_FX</f>
        <v>18786.6591780822</v>
      </c>
      <c r="F52" s="27" t="n">
        <f aca="false">In_HCSSZ_Date</f>
        <v>47126</v>
      </c>
      <c r="I52" s="33" t="n">
        <f aca="false">SUM(J52:ET52)</f>
        <v>-18786.6591780822</v>
      </c>
      <c r="J52" s="33" t="n">
        <f aca="false">-$E52*N(AND(J$3&lt;=$F52,J$4&gt;=$F52))</f>
        <v>-0</v>
      </c>
      <c r="K52" s="33" t="n">
        <f aca="false">-$E52*N(AND(K$3&lt;=$F52,K$4&gt;=$F52))</f>
        <v>-0</v>
      </c>
      <c r="L52" s="33" t="n">
        <f aca="false">-$E52*N(AND(L$3&lt;=$F52,L$4&gt;=$F52))</f>
        <v>-0</v>
      </c>
      <c r="M52" s="33" t="n">
        <f aca="false">-$E52*N(AND(M$3&lt;=$F52,M$4&gt;=$F52))</f>
        <v>-0</v>
      </c>
      <c r="N52" s="33" t="n">
        <f aca="false">-$E52*N(AND(N$3&lt;=$F52,N$4&gt;=$F52))</f>
        <v>-0</v>
      </c>
      <c r="O52" s="33" t="n">
        <f aca="false">-$E52*N(AND(O$3&lt;=$F52,O$4&gt;=$F52))</f>
        <v>-0</v>
      </c>
      <c r="P52" s="33" t="n">
        <f aca="false">-$E52*N(AND(P$3&lt;=$F52,P$4&gt;=$F52))</f>
        <v>-0</v>
      </c>
      <c r="Q52" s="33" t="n">
        <f aca="false">-$E52*N(AND(Q$3&lt;=$F52,Q$4&gt;=$F52))</f>
        <v>-0</v>
      </c>
      <c r="R52" s="33" t="n">
        <f aca="false">-$E52*N(AND(R$3&lt;=$F52,R$4&gt;=$F52))</f>
        <v>-0</v>
      </c>
      <c r="S52" s="33" t="n">
        <f aca="false">-$E52*N(AND(S$3&lt;=$F52,S$4&gt;=$F52))</f>
        <v>-0</v>
      </c>
      <c r="T52" s="33" t="n">
        <f aca="false">-$E52*N(AND(T$3&lt;=$F52,T$4&gt;=$F52))</f>
        <v>-18786.6591780822</v>
      </c>
      <c r="U52" s="33" t="n">
        <f aca="false">-$E52*N(AND(U$3&lt;=$F52,U$4&gt;=$F52))</f>
        <v>-0</v>
      </c>
      <c r="V52" s="33" t="n">
        <f aca="false">-$E52*N(AND(V$3&lt;=$F52,V$4&gt;=$F52))</f>
        <v>-0</v>
      </c>
      <c r="W52" s="33" t="n">
        <f aca="false">-$E52*N(AND(W$3&lt;=$F52,W$4&gt;=$F52))</f>
        <v>-0</v>
      </c>
      <c r="X52" s="33" t="n">
        <f aca="false">-$E52*N(AND(X$3&lt;=$F52,X$4&gt;=$F52))</f>
        <v>-0</v>
      </c>
      <c r="Y52" s="33" t="n">
        <f aca="false">-$E52*N(AND(Y$3&lt;=$F52,Y$4&gt;=$F52))</f>
        <v>-0</v>
      </c>
      <c r="Z52" s="33" t="n">
        <f aca="false">-$E52*N(AND(Z$3&lt;=$F52,Z$4&gt;=$F52))</f>
        <v>-0</v>
      </c>
      <c r="AA52" s="33" t="n">
        <f aca="false">-$E52*N(AND(AA$3&lt;=$F52,AA$4&gt;=$F52))</f>
        <v>-0</v>
      </c>
      <c r="AB52" s="33" t="n">
        <f aca="false">-$E52*N(AND(AB$3&lt;=$F52,AB$4&gt;=$F52))</f>
        <v>-0</v>
      </c>
      <c r="AC52" s="33" t="n">
        <f aca="false">-$E52*N(AND(AC$3&lt;=$F52,AC$4&gt;=$F52))</f>
        <v>-0</v>
      </c>
      <c r="AD52" s="33" t="n">
        <f aca="false">-$E52*N(AND(AD$3&lt;=$F52,AD$4&gt;=$F52))</f>
        <v>-0</v>
      </c>
      <c r="AE52" s="33" t="n">
        <f aca="false">-$E52*N(AND(AE$3&lt;=$F52,AE$4&gt;=$F52))</f>
        <v>-0</v>
      </c>
      <c r="AF52" s="33" t="n">
        <f aca="false">-$E52*N(AND(AF$3&lt;=$F52,AF$4&gt;=$F52))</f>
        <v>-0</v>
      </c>
      <c r="AG52" s="33" t="n">
        <f aca="false">-$E52*N(AND(AG$3&lt;=$F52,AG$4&gt;=$F52))</f>
        <v>-0</v>
      </c>
      <c r="AH52" s="33" t="n">
        <f aca="false">-$E52*N(AND(AH$3&lt;=$F52,AH$4&gt;=$F52))</f>
        <v>-0</v>
      </c>
      <c r="AI52" s="33" t="n">
        <f aca="false">-$E52*N(AND(AI$3&lt;=$F52,AI$4&gt;=$F52))</f>
        <v>-0</v>
      </c>
      <c r="AJ52" s="33" t="n">
        <f aca="false">-$E52*N(AND(AJ$3&lt;=$F52,AJ$4&gt;=$F52))</f>
        <v>-0</v>
      </c>
      <c r="AK52" s="33" t="n">
        <f aca="false">-$E52*N(AND(AK$3&lt;=$F52,AK$4&gt;=$F52))</f>
        <v>-0</v>
      </c>
      <c r="AL52" s="33" t="n">
        <f aca="false">-$E52*N(AND(AL$3&lt;=$F52,AL$4&gt;=$F52))</f>
        <v>-0</v>
      </c>
      <c r="AM52" s="33" t="n">
        <f aca="false">-$E52*N(AND(AM$3&lt;=$F52,AM$4&gt;=$F52))</f>
        <v>-0</v>
      </c>
      <c r="AN52" s="33" t="n">
        <f aca="false">-$E52*N(AND(AN$3&lt;=$F52,AN$4&gt;=$F52))</f>
        <v>-0</v>
      </c>
      <c r="AO52" s="33" t="n">
        <f aca="false">-$E52*N(AND(AO$3&lt;=$F52,AO$4&gt;=$F52))</f>
        <v>-0</v>
      </c>
      <c r="AP52" s="33" t="n">
        <f aca="false">-$E52*N(AND(AP$3&lt;=$F52,AP$4&gt;=$F52))</f>
        <v>-0</v>
      </c>
      <c r="AQ52" s="33" t="n">
        <f aca="false">-$E52*N(AND(AQ$3&lt;=$F52,AQ$4&gt;=$F52))</f>
        <v>-0</v>
      </c>
      <c r="AR52" s="33" t="n">
        <f aca="false">-$E52*N(AND(AR$3&lt;=$F52,AR$4&gt;=$F52))</f>
        <v>-0</v>
      </c>
      <c r="AS52" s="33" t="n">
        <f aca="false">-$E52*N(AND(AS$3&lt;=$F52,AS$4&gt;=$F52))</f>
        <v>-0</v>
      </c>
      <c r="AT52" s="33" t="n">
        <f aca="false">-$E52*N(AND(AT$3&lt;=$F52,AT$4&gt;=$F52))</f>
        <v>-0</v>
      </c>
      <c r="AU52" s="33" t="n">
        <f aca="false">-$E52*N(AND(AU$3&lt;=$F52,AU$4&gt;=$F52))</f>
        <v>-0</v>
      </c>
      <c r="AV52" s="33" t="n">
        <f aca="false">-$E52*N(AND(AV$3&lt;=$F52,AV$4&gt;=$F52))</f>
        <v>-0</v>
      </c>
      <c r="AW52" s="33" t="n">
        <f aca="false">-$E52*N(AND(AW$3&lt;=$F52,AW$4&gt;=$F52))</f>
        <v>-0</v>
      </c>
      <c r="AX52" s="33" t="n">
        <f aca="false">-$E52*N(AND(AX$3&lt;=$F52,AX$4&gt;=$F52))</f>
        <v>-0</v>
      </c>
      <c r="AY52" s="33" t="n">
        <f aca="false">-$E52*N(AND(AY$3&lt;=$F52,AY$4&gt;=$F52))</f>
        <v>-0</v>
      </c>
      <c r="AZ52" s="33" t="n">
        <f aca="false">-$E52*N(AND(AZ$3&lt;=$F52,AZ$4&gt;=$F52))</f>
        <v>-0</v>
      </c>
      <c r="BA52" s="33" t="n">
        <f aca="false">-$E52*N(AND(BA$3&lt;=$F52,BA$4&gt;=$F52))</f>
        <v>-0</v>
      </c>
      <c r="BB52" s="33" t="n">
        <f aca="false">-$E52*N(AND(BB$3&lt;=$F52,BB$4&gt;=$F52))</f>
        <v>-0</v>
      </c>
      <c r="BC52" s="33" t="n">
        <f aca="false">-$E52*N(AND(BC$3&lt;=$F52,BC$4&gt;=$F52))</f>
        <v>-0</v>
      </c>
      <c r="BD52" s="33" t="n">
        <f aca="false">-$E52*N(AND(BD$3&lt;=$F52,BD$4&gt;=$F52))</f>
        <v>-0</v>
      </c>
      <c r="BE52" s="33" t="n">
        <f aca="false">-$E52*N(AND(BE$3&lt;=$F52,BE$4&gt;=$F52))</f>
        <v>-0</v>
      </c>
      <c r="BF52" s="33" t="n">
        <f aca="false">-$E52*N(AND(BF$3&lt;=$F52,BF$4&gt;=$F52))</f>
        <v>-0</v>
      </c>
      <c r="BG52" s="33" t="n">
        <f aca="false">-$E52*N(AND(BG$3&lt;=$F52,BG$4&gt;=$F52))</f>
        <v>-0</v>
      </c>
      <c r="BH52" s="33" t="n">
        <f aca="false">-$E52*N(AND(BH$3&lt;=$F52,BH$4&gt;=$F52))</f>
        <v>-0</v>
      </c>
      <c r="BI52" s="33" t="n">
        <f aca="false">-$E52*N(AND(BI$3&lt;=$F52,BI$4&gt;=$F52))</f>
        <v>-0</v>
      </c>
      <c r="BJ52" s="33" t="n">
        <f aca="false">-$E52*N(AND(BJ$3&lt;=$F52,BJ$4&gt;=$F52))</f>
        <v>-0</v>
      </c>
      <c r="BK52" s="33" t="n">
        <f aca="false">-$E52*N(AND(BK$3&lt;=$F52,BK$4&gt;=$F52))</f>
        <v>-0</v>
      </c>
      <c r="BL52" s="33" t="n">
        <f aca="false">-$E52*N(AND(BL$3&lt;=$F52,BL$4&gt;=$F52))</f>
        <v>-0</v>
      </c>
      <c r="BM52" s="33" t="n">
        <f aca="false">-$E52*N(AND(BM$3&lt;=$F52,BM$4&gt;=$F52))</f>
        <v>-0</v>
      </c>
      <c r="BN52" s="33" t="n">
        <f aca="false">-$E52*N(AND(BN$3&lt;=$F52,BN$4&gt;=$F52))</f>
        <v>-0</v>
      </c>
      <c r="BO52" s="33" t="n">
        <f aca="false">-$E52*N(AND(BO$3&lt;=$F52,BO$4&gt;=$F52))</f>
        <v>-0</v>
      </c>
      <c r="BP52" s="33" t="n">
        <f aca="false">-$E52*N(AND(BP$3&lt;=$F52,BP$4&gt;=$F52))</f>
        <v>-0</v>
      </c>
      <c r="BQ52" s="33" t="n">
        <f aca="false">-$E52*N(AND(BQ$3&lt;=$F52,BQ$4&gt;=$F52))</f>
        <v>-0</v>
      </c>
      <c r="BR52" s="33" t="n">
        <f aca="false">-$E52*N(AND(BR$3&lt;=$F52,BR$4&gt;=$F52))</f>
        <v>-0</v>
      </c>
      <c r="BS52" s="33" t="n">
        <f aca="false">-$E52*N(AND(BS$3&lt;=$F52,BS$4&gt;=$F52))</f>
        <v>-0</v>
      </c>
      <c r="BT52" s="33" t="n">
        <f aca="false">-$E52*N(AND(BT$3&lt;=$F52,BT$4&gt;=$F52))</f>
        <v>-0</v>
      </c>
      <c r="BU52" s="33" t="n">
        <f aca="false">-$E52*N(AND(BU$3&lt;=$F52,BU$4&gt;=$F52))</f>
        <v>-0</v>
      </c>
      <c r="BV52" s="33" t="n">
        <f aca="false">-$E52*N(AND(BV$3&lt;=$F52,BV$4&gt;=$F52))</f>
        <v>-0</v>
      </c>
      <c r="BW52" s="33" t="n">
        <f aca="false">-$E52*N(AND(BW$3&lt;=$F52,BW$4&gt;=$F52))</f>
        <v>-0</v>
      </c>
      <c r="BX52" s="33" t="n">
        <f aca="false">-$E52*N(AND(BX$3&lt;=$F52,BX$4&gt;=$F52))</f>
        <v>-0</v>
      </c>
      <c r="BY52" s="33" t="n">
        <f aca="false">-$E52*N(AND(BY$3&lt;=$F52,BY$4&gt;=$F52))</f>
        <v>-0</v>
      </c>
      <c r="BZ52" s="33" t="n">
        <f aca="false">-$E52*N(AND(BZ$3&lt;=$F52,BZ$4&gt;=$F52))</f>
        <v>-0</v>
      </c>
      <c r="CA52" s="33" t="n">
        <f aca="false">-$E52*N(AND(CA$3&lt;=$F52,CA$4&gt;=$F52))</f>
        <v>-0</v>
      </c>
      <c r="CB52" s="33" t="n">
        <f aca="false">-$E52*N(AND(CB$3&lt;=$F52,CB$4&gt;=$F52))</f>
        <v>-0</v>
      </c>
      <c r="CC52" s="33" t="n">
        <f aca="false">-$E52*N(AND(CC$3&lt;=$F52,CC$4&gt;=$F52))</f>
        <v>-0</v>
      </c>
      <c r="CD52" s="33" t="n">
        <f aca="false">-$E52*N(AND(CD$3&lt;=$F52,CD$4&gt;=$F52))</f>
        <v>-0</v>
      </c>
      <c r="CE52" s="33" t="n">
        <f aca="false">-$E52*N(AND(CE$3&lt;=$F52,CE$4&gt;=$F52))</f>
        <v>-0</v>
      </c>
      <c r="CF52" s="33" t="n">
        <f aca="false">-$E52*N(AND(CF$3&lt;=$F52,CF$4&gt;=$F52))</f>
        <v>-0</v>
      </c>
      <c r="CG52" s="33" t="n">
        <f aca="false">-$E52*N(AND(CG$3&lt;=$F52,CG$4&gt;=$F52))</f>
        <v>-0</v>
      </c>
      <c r="CH52" s="33" t="n">
        <f aca="false">-$E52*N(AND(CH$3&lt;=$F52,CH$4&gt;=$F52))</f>
        <v>-0</v>
      </c>
      <c r="CI52" s="33" t="n">
        <f aca="false">-$E52*N(AND(CI$3&lt;=$F52,CI$4&gt;=$F52))</f>
        <v>-0</v>
      </c>
      <c r="CJ52" s="33" t="n">
        <f aca="false">-$E52*N(AND(CJ$3&lt;=$F52,CJ$4&gt;=$F52))</f>
        <v>-0</v>
      </c>
      <c r="CK52" s="33" t="n">
        <f aca="false">-$E52*N(AND(CK$3&lt;=$F52,CK$4&gt;=$F52))</f>
        <v>-0</v>
      </c>
      <c r="CL52" s="33" t="n">
        <f aca="false">-$E52*N(AND(CL$3&lt;=$F52,CL$4&gt;=$F52))</f>
        <v>-0</v>
      </c>
      <c r="CM52" s="33" t="n">
        <f aca="false">-$E52*N(AND(CM$3&lt;=$F52,CM$4&gt;=$F52))</f>
        <v>-0</v>
      </c>
      <c r="CN52" s="33" t="n">
        <f aca="false">-$E52*N(AND(CN$3&lt;=$F52,CN$4&gt;=$F52))</f>
        <v>-0</v>
      </c>
      <c r="CO52" s="33" t="n">
        <f aca="false">-$E52*N(AND(CO$3&lt;=$F52,CO$4&gt;=$F52))</f>
        <v>-0</v>
      </c>
      <c r="CP52" s="33" t="n">
        <f aca="false">-$E52*N(AND(CP$3&lt;=$F52,CP$4&gt;=$F52))</f>
        <v>-0</v>
      </c>
      <c r="CQ52" s="33" t="n">
        <f aca="false">-$E52*N(AND(CQ$3&lt;=$F52,CQ$4&gt;=$F52))</f>
        <v>-0</v>
      </c>
      <c r="CR52" s="33" t="n">
        <f aca="false">-$E52*N(AND(CR$3&lt;=$F52,CR$4&gt;=$F52))</f>
        <v>-0</v>
      </c>
      <c r="CS52" s="33" t="n">
        <f aca="false">-$E52*N(AND(CS$3&lt;=$F52,CS$4&gt;=$F52))</f>
        <v>-0</v>
      </c>
      <c r="CT52" s="33" t="n">
        <f aca="false">-$E52*N(AND(CT$3&lt;=$F52,CT$4&gt;=$F52))</f>
        <v>-0</v>
      </c>
      <c r="CU52" s="33" t="n">
        <f aca="false">-$E52*N(AND(CU$3&lt;=$F52,CU$4&gt;=$F52))</f>
        <v>-0</v>
      </c>
      <c r="CV52" s="33" t="n">
        <f aca="false">-$E52*N(AND(CV$3&lt;=$F52,CV$4&gt;=$F52))</f>
        <v>-0</v>
      </c>
      <c r="CW52" s="33" t="n">
        <f aca="false">-$E52*N(AND(CW$3&lt;=$F52,CW$4&gt;=$F52))</f>
        <v>-0</v>
      </c>
      <c r="CX52" s="33" t="n">
        <f aca="false">-$E52*N(AND(CX$3&lt;=$F52,CX$4&gt;=$F52))</f>
        <v>-0</v>
      </c>
      <c r="CY52" s="33" t="n">
        <f aca="false">-$E52*N(AND(CY$3&lt;=$F52,CY$4&gt;=$F52))</f>
        <v>-0</v>
      </c>
      <c r="CZ52" s="33" t="n">
        <f aca="false">-$E52*N(AND(CZ$3&lt;=$F52,CZ$4&gt;=$F52))</f>
        <v>-0</v>
      </c>
      <c r="DA52" s="33" t="n">
        <f aca="false">-$E52*N(AND(DA$3&lt;=$F52,DA$4&gt;=$F52))</f>
        <v>-0</v>
      </c>
      <c r="DB52" s="33" t="n">
        <f aca="false">-$E52*N(AND(DB$3&lt;=$F52,DB$4&gt;=$F52))</f>
        <v>-0</v>
      </c>
      <c r="DC52" s="33" t="n">
        <f aca="false">-$E52*N(AND(DC$3&lt;=$F52,DC$4&gt;=$F52))</f>
        <v>-0</v>
      </c>
      <c r="DD52" s="33" t="n">
        <f aca="false">-$E52*N(AND(DD$3&lt;=$F52,DD$4&gt;=$F52))</f>
        <v>-0</v>
      </c>
      <c r="DE52" s="33" t="n">
        <f aca="false">-$E52*N(AND(DE$3&lt;=$F52,DE$4&gt;=$F52))</f>
        <v>-0</v>
      </c>
      <c r="DF52" s="33" t="n">
        <f aca="false">-$E52*N(AND(DF$3&lt;=$F52,DF$4&gt;=$F52))</f>
        <v>-0</v>
      </c>
      <c r="DG52" s="33" t="n">
        <f aca="false">-$E52*N(AND(DG$3&lt;=$F52,DG$4&gt;=$F52))</f>
        <v>-0</v>
      </c>
      <c r="DH52" s="33" t="n">
        <f aca="false">-$E52*N(AND(DH$3&lt;=$F52,DH$4&gt;=$F52))</f>
        <v>-0</v>
      </c>
      <c r="DI52" s="33" t="n">
        <f aca="false">-$E52*N(AND(DI$3&lt;=$F52,DI$4&gt;=$F52))</f>
        <v>-0</v>
      </c>
      <c r="DJ52" s="33" t="n">
        <f aca="false">-$E52*N(AND(DJ$3&lt;=$F52,DJ$4&gt;=$F52))</f>
        <v>-0</v>
      </c>
      <c r="DK52" s="33" t="n">
        <f aca="false">-$E52*N(AND(DK$3&lt;=$F52,DK$4&gt;=$F52))</f>
        <v>-0</v>
      </c>
      <c r="DL52" s="33" t="n">
        <f aca="false">-$E52*N(AND(DL$3&lt;=$F52,DL$4&gt;=$F52))</f>
        <v>-0</v>
      </c>
      <c r="DM52" s="33" t="n">
        <f aca="false">-$E52*N(AND(DM$3&lt;=$F52,DM$4&gt;=$F52))</f>
        <v>-0</v>
      </c>
      <c r="DN52" s="33" t="n">
        <f aca="false">-$E52*N(AND(DN$3&lt;=$F52,DN$4&gt;=$F52))</f>
        <v>-0</v>
      </c>
      <c r="DO52" s="33" t="n">
        <f aca="false">-$E52*N(AND(DO$3&lt;=$F52,DO$4&gt;=$F52))</f>
        <v>-0</v>
      </c>
      <c r="DP52" s="33" t="n">
        <f aca="false">-$E52*N(AND(DP$3&lt;=$F52,DP$4&gt;=$F52))</f>
        <v>-0</v>
      </c>
      <c r="DQ52" s="33" t="n">
        <f aca="false">-$E52*N(AND(DQ$3&lt;=$F52,DQ$4&gt;=$F52))</f>
        <v>-0</v>
      </c>
      <c r="DR52" s="33" t="n">
        <f aca="false">-$E52*N(AND(DR$3&lt;=$F52,DR$4&gt;=$F52))</f>
        <v>-0</v>
      </c>
      <c r="DS52" s="33" t="n">
        <f aca="false">-$E52*N(AND(DS$3&lt;=$F52,DS$4&gt;=$F52))</f>
        <v>-0</v>
      </c>
      <c r="DT52" s="33" t="n">
        <f aca="false">-$E52*N(AND(DT$3&lt;=$F52,DT$4&gt;=$F52))</f>
        <v>-0</v>
      </c>
      <c r="DU52" s="33" t="n">
        <f aca="false">-$E52*N(AND(DU$3&lt;=$F52,DU$4&gt;=$F52))</f>
        <v>-0</v>
      </c>
      <c r="DV52" s="33" t="n">
        <f aca="false">-$E52*N(AND(DV$3&lt;=$F52,DV$4&gt;=$F52))</f>
        <v>-0</v>
      </c>
      <c r="DW52" s="33" t="n">
        <f aca="false">-$E52*N(AND(DW$3&lt;=$F52,DW$4&gt;=$F52))</f>
        <v>-0</v>
      </c>
      <c r="DX52" s="33" t="n">
        <f aca="false">-$E52*N(AND(DX$3&lt;=$F52,DX$4&gt;=$F52))</f>
        <v>-0</v>
      </c>
      <c r="DY52" s="33" t="n">
        <f aca="false">-$E52*N(AND(DY$3&lt;=$F52,DY$4&gt;=$F52))</f>
        <v>-0</v>
      </c>
      <c r="DZ52" s="33" t="n">
        <f aca="false">-$E52*N(AND(DZ$3&lt;=$F52,DZ$4&gt;=$F52))</f>
        <v>-0</v>
      </c>
      <c r="EA52" s="33" t="n">
        <f aca="false">-$E52*N(AND(EA$3&lt;=$F52,EA$4&gt;=$F52))</f>
        <v>-0</v>
      </c>
      <c r="EB52" s="33" t="n">
        <f aca="false">-$E52*N(AND(EB$3&lt;=$F52,EB$4&gt;=$F52))</f>
        <v>-0</v>
      </c>
      <c r="EC52" s="33" t="n">
        <f aca="false">-$E52*N(AND(EC$3&lt;=$F52,EC$4&gt;=$F52))</f>
        <v>-0</v>
      </c>
      <c r="ED52" s="33" t="n">
        <f aca="false">-$E52*N(AND(ED$3&lt;=$F52,ED$4&gt;=$F52))</f>
        <v>-0</v>
      </c>
      <c r="EE52" s="33" t="n">
        <f aca="false">-$E52*N(AND(EE$3&lt;=$F52,EE$4&gt;=$F52))</f>
        <v>-0</v>
      </c>
      <c r="EF52" s="33" t="n">
        <f aca="false">-$E52*N(AND(EF$3&lt;=$F52,EF$4&gt;=$F52))</f>
        <v>-0</v>
      </c>
      <c r="EG52" s="33" t="n">
        <f aca="false">-$E52*N(AND(EG$3&lt;=$F52,EG$4&gt;=$F52))</f>
        <v>-0</v>
      </c>
      <c r="EH52" s="33" t="n">
        <f aca="false">-$E52*N(AND(EH$3&lt;=$F52,EH$4&gt;=$F52))</f>
        <v>-0</v>
      </c>
      <c r="EI52" s="33" t="n">
        <f aca="false">-$E52*N(AND(EI$3&lt;=$F52,EI$4&gt;=$F52))</f>
        <v>-0</v>
      </c>
      <c r="EJ52" s="33" t="n">
        <f aca="false">-$E52*N(AND(EJ$3&lt;=$F52,EJ$4&gt;=$F52))</f>
        <v>-0</v>
      </c>
      <c r="EK52" s="33" t="n">
        <f aca="false">-$E52*N(AND(EK$3&lt;=$F52,EK$4&gt;=$F52))</f>
        <v>-0</v>
      </c>
      <c r="EL52" s="33" t="n">
        <f aca="false">-$E52*N(AND(EL$3&lt;=$F52,EL$4&gt;=$F52))</f>
        <v>-0</v>
      </c>
      <c r="EM52" s="33" t="n">
        <f aca="false">-$E52*N(AND(EM$3&lt;=$F52,EM$4&gt;=$F52))</f>
        <v>-0</v>
      </c>
      <c r="EN52" s="33" t="n">
        <f aca="false">-$E52*N(AND(EN$3&lt;=$F52,EN$4&gt;=$F52))</f>
        <v>-0</v>
      </c>
      <c r="EO52" s="33" t="n">
        <f aca="false">-$E52*N(AND(EO$3&lt;=$F52,EO$4&gt;=$F52))</f>
        <v>-0</v>
      </c>
      <c r="EP52" s="33" t="n">
        <f aca="false">-$E52*N(AND(EP$3&lt;=$F52,EP$4&gt;=$F52))</f>
        <v>-0</v>
      </c>
      <c r="EQ52" s="33" t="n">
        <f aca="false">-$E52*N(AND(EQ$3&lt;=$F52,EQ$4&gt;=$F52))</f>
        <v>-0</v>
      </c>
      <c r="ER52" s="33" t="n">
        <f aca="false">-$E52*N(AND(ER$3&lt;=$F52,ER$4&gt;=$F52))</f>
        <v>-0</v>
      </c>
      <c r="ES52" s="33" t="n">
        <f aca="false">-$E52*N(AND(ES$3&lt;=$F52,ES$4&gt;=$F52))</f>
        <v>-0</v>
      </c>
      <c r="ET52" s="33" t="n">
        <f aca="false">-$E52*N(AND(ET$3&lt;=$F52,ET$4&gt;=$F52))</f>
        <v>-0</v>
      </c>
    </row>
    <row r="53" customFormat="false" ht="15" hidden="false" customHeight="false" outlineLevel="0" collapsed="false">
      <c r="C53" s="0" t="s">
        <v>115</v>
      </c>
      <c r="D53" s="11" t="s">
        <v>247</v>
      </c>
      <c r="I53" s="33" t="n">
        <f aca="false">SUM(J53:ET53)</f>
        <v>-20179.3874082192</v>
      </c>
      <c r="J53" s="33" t="n">
        <f aca="false">J51+J52</f>
        <v>-0</v>
      </c>
      <c r="K53" s="33" t="n">
        <f aca="false">K51+K52</f>
        <v>-0</v>
      </c>
      <c r="L53" s="33" t="n">
        <f aca="false">L51+L52</f>
        <v>-0</v>
      </c>
      <c r="M53" s="33" t="n">
        <f aca="false">M51+M52</f>
        <v>-0</v>
      </c>
      <c r="N53" s="33" t="n">
        <f aca="false">N51+N52</f>
        <v>-0</v>
      </c>
      <c r="O53" s="33" t="n">
        <f aca="false">O51+O52</f>
        <v>-0</v>
      </c>
      <c r="P53" s="33" t="n">
        <f aca="false">P51+P52</f>
        <v>-0</v>
      </c>
      <c r="Q53" s="33" t="n">
        <f aca="false">Q51+Q52</f>
        <v>-0</v>
      </c>
      <c r="R53" s="33" t="n">
        <f aca="false">R51+R52</f>
        <v>-0</v>
      </c>
      <c r="S53" s="33" t="n">
        <f aca="false">S51+S52</f>
        <v>-0</v>
      </c>
      <c r="T53" s="33" t="n">
        <f aca="false">T51+T52</f>
        <v>-20179.3874082192</v>
      </c>
      <c r="U53" s="33" t="n">
        <f aca="false">U51+U52</f>
        <v>-0</v>
      </c>
      <c r="V53" s="33" t="n">
        <f aca="false">V51+V52</f>
        <v>-0</v>
      </c>
      <c r="W53" s="33" t="n">
        <f aca="false">W51+W52</f>
        <v>-0</v>
      </c>
      <c r="X53" s="33" t="n">
        <f aca="false">X51+X52</f>
        <v>-0</v>
      </c>
      <c r="Y53" s="33" t="n">
        <f aca="false">Y51+Y52</f>
        <v>-0</v>
      </c>
      <c r="Z53" s="33" t="n">
        <f aca="false">Z51+Z52</f>
        <v>-0</v>
      </c>
      <c r="AA53" s="33" t="n">
        <f aca="false">AA51+AA52</f>
        <v>-0</v>
      </c>
      <c r="AB53" s="33" t="n">
        <f aca="false">AB51+AB52</f>
        <v>-0</v>
      </c>
      <c r="AC53" s="33" t="n">
        <f aca="false">AC51+AC52</f>
        <v>-0</v>
      </c>
      <c r="AD53" s="33" t="n">
        <f aca="false">AD51+AD52</f>
        <v>-0</v>
      </c>
      <c r="AE53" s="33" t="n">
        <f aca="false">AE51+AE52</f>
        <v>-0</v>
      </c>
      <c r="AF53" s="33" t="n">
        <f aca="false">AF51+AF52</f>
        <v>-0</v>
      </c>
      <c r="AG53" s="33" t="n">
        <f aca="false">AG51+AG52</f>
        <v>-0</v>
      </c>
      <c r="AH53" s="33" t="n">
        <f aca="false">AH51+AH52</f>
        <v>-0</v>
      </c>
      <c r="AI53" s="33" t="n">
        <f aca="false">AI51+AI52</f>
        <v>-0</v>
      </c>
      <c r="AJ53" s="33" t="n">
        <f aca="false">AJ51+AJ52</f>
        <v>-0</v>
      </c>
      <c r="AK53" s="33" t="n">
        <f aca="false">AK51+AK52</f>
        <v>-0</v>
      </c>
      <c r="AL53" s="33" t="n">
        <f aca="false">AL51+AL52</f>
        <v>-0</v>
      </c>
      <c r="AM53" s="33" t="n">
        <f aca="false">AM51+AM52</f>
        <v>-0</v>
      </c>
      <c r="AN53" s="33" t="n">
        <f aca="false">AN51+AN52</f>
        <v>-0</v>
      </c>
      <c r="AO53" s="33" t="n">
        <f aca="false">AO51+AO52</f>
        <v>-0</v>
      </c>
      <c r="AP53" s="33" t="n">
        <f aca="false">AP51+AP52</f>
        <v>-0</v>
      </c>
      <c r="AQ53" s="33" t="n">
        <f aca="false">AQ51+AQ52</f>
        <v>-0</v>
      </c>
      <c r="AR53" s="33" t="n">
        <f aca="false">AR51+AR52</f>
        <v>-0</v>
      </c>
      <c r="AS53" s="33" t="n">
        <f aca="false">AS51+AS52</f>
        <v>-0</v>
      </c>
      <c r="AT53" s="33" t="n">
        <f aca="false">AT51+AT52</f>
        <v>-0</v>
      </c>
      <c r="AU53" s="33" t="n">
        <f aca="false">AU51+AU52</f>
        <v>-0</v>
      </c>
      <c r="AV53" s="33" t="n">
        <f aca="false">AV51+AV52</f>
        <v>-0</v>
      </c>
      <c r="AW53" s="33" t="n">
        <f aca="false">AW51+AW52</f>
        <v>-0</v>
      </c>
      <c r="AX53" s="33" t="n">
        <f aca="false">AX51+AX52</f>
        <v>-0</v>
      </c>
      <c r="AY53" s="33" t="n">
        <f aca="false">AY51+AY52</f>
        <v>-0</v>
      </c>
      <c r="AZ53" s="33" t="n">
        <f aca="false">AZ51+AZ52</f>
        <v>-0</v>
      </c>
      <c r="BA53" s="33" t="n">
        <f aca="false">BA51+BA52</f>
        <v>-0</v>
      </c>
      <c r="BB53" s="33" t="n">
        <f aca="false">BB51+BB52</f>
        <v>-0</v>
      </c>
      <c r="BC53" s="33" t="n">
        <f aca="false">BC51+BC52</f>
        <v>-0</v>
      </c>
      <c r="BD53" s="33" t="n">
        <f aca="false">BD51+BD52</f>
        <v>-0</v>
      </c>
      <c r="BE53" s="33" t="n">
        <f aca="false">BE51+BE52</f>
        <v>-0</v>
      </c>
      <c r="BF53" s="33" t="n">
        <f aca="false">BF51+BF52</f>
        <v>-0</v>
      </c>
      <c r="BG53" s="33" t="n">
        <f aca="false">BG51+BG52</f>
        <v>-0</v>
      </c>
      <c r="BH53" s="33" t="n">
        <f aca="false">BH51+BH52</f>
        <v>-0</v>
      </c>
      <c r="BI53" s="33" t="n">
        <f aca="false">BI51+BI52</f>
        <v>-0</v>
      </c>
      <c r="BJ53" s="33" t="n">
        <f aca="false">BJ51+BJ52</f>
        <v>-0</v>
      </c>
      <c r="BK53" s="33" t="n">
        <f aca="false">BK51+BK52</f>
        <v>-0</v>
      </c>
      <c r="BL53" s="33" t="n">
        <f aca="false">BL51+BL52</f>
        <v>-0</v>
      </c>
      <c r="BM53" s="33" t="n">
        <f aca="false">BM51+BM52</f>
        <v>-0</v>
      </c>
      <c r="BN53" s="33" t="n">
        <f aca="false">BN51+BN52</f>
        <v>-0</v>
      </c>
      <c r="BO53" s="33" t="n">
        <f aca="false">BO51+BO52</f>
        <v>-0</v>
      </c>
      <c r="BP53" s="33" t="n">
        <f aca="false">BP51+BP52</f>
        <v>-0</v>
      </c>
      <c r="BQ53" s="33" t="n">
        <f aca="false">BQ51+BQ52</f>
        <v>-0</v>
      </c>
      <c r="BR53" s="33" t="n">
        <f aca="false">BR51+BR52</f>
        <v>-0</v>
      </c>
      <c r="BS53" s="33" t="n">
        <f aca="false">BS51+BS52</f>
        <v>-0</v>
      </c>
      <c r="BT53" s="33" t="n">
        <f aca="false">BT51+BT52</f>
        <v>-0</v>
      </c>
      <c r="BU53" s="33" t="n">
        <f aca="false">BU51+BU52</f>
        <v>-0</v>
      </c>
      <c r="BV53" s="33" t="n">
        <f aca="false">BV51+BV52</f>
        <v>-0</v>
      </c>
      <c r="BW53" s="33" t="n">
        <f aca="false">BW51+BW52</f>
        <v>-0</v>
      </c>
      <c r="BX53" s="33" t="n">
        <f aca="false">BX51+BX52</f>
        <v>-0</v>
      </c>
      <c r="BY53" s="33" t="n">
        <f aca="false">BY51+BY52</f>
        <v>-0</v>
      </c>
      <c r="BZ53" s="33" t="n">
        <f aca="false">BZ51+BZ52</f>
        <v>-0</v>
      </c>
      <c r="CA53" s="33" t="n">
        <f aca="false">CA51+CA52</f>
        <v>-0</v>
      </c>
      <c r="CB53" s="33" t="n">
        <f aca="false">CB51+CB52</f>
        <v>-0</v>
      </c>
      <c r="CC53" s="33" t="n">
        <f aca="false">CC51+CC52</f>
        <v>-0</v>
      </c>
      <c r="CD53" s="33" t="n">
        <f aca="false">CD51+CD52</f>
        <v>-0</v>
      </c>
      <c r="CE53" s="33" t="n">
        <f aca="false">CE51+CE52</f>
        <v>-0</v>
      </c>
      <c r="CF53" s="33" t="n">
        <f aca="false">CF51+CF52</f>
        <v>-0</v>
      </c>
      <c r="CG53" s="33" t="n">
        <f aca="false">CG51+CG52</f>
        <v>-0</v>
      </c>
      <c r="CH53" s="33" t="n">
        <f aca="false">CH51+CH52</f>
        <v>-0</v>
      </c>
      <c r="CI53" s="33" t="n">
        <f aca="false">CI51+CI52</f>
        <v>-0</v>
      </c>
      <c r="CJ53" s="33" t="n">
        <f aca="false">CJ51+CJ52</f>
        <v>-0</v>
      </c>
      <c r="CK53" s="33" t="n">
        <f aca="false">CK51+CK52</f>
        <v>-0</v>
      </c>
      <c r="CL53" s="33" t="n">
        <f aca="false">CL51+CL52</f>
        <v>-0</v>
      </c>
      <c r="CM53" s="33" t="n">
        <f aca="false">CM51+CM52</f>
        <v>-0</v>
      </c>
      <c r="CN53" s="33" t="n">
        <f aca="false">CN51+CN52</f>
        <v>-0</v>
      </c>
      <c r="CO53" s="33" t="n">
        <f aca="false">CO51+CO52</f>
        <v>-0</v>
      </c>
      <c r="CP53" s="33" t="n">
        <f aca="false">CP51+CP52</f>
        <v>-0</v>
      </c>
      <c r="CQ53" s="33" t="n">
        <f aca="false">CQ51+CQ52</f>
        <v>-0</v>
      </c>
      <c r="CR53" s="33" t="n">
        <f aca="false">CR51+CR52</f>
        <v>-0</v>
      </c>
      <c r="CS53" s="33" t="n">
        <f aca="false">CS51+CS52</f>
        <v>-0</v>
      </c>
      <c r="CT53" s="33" t="n">
        <f aca="false">CT51+CT52</f>
        <v>-0</v>
      </c>
      <c r="CU53" s="33" t="n">
        <f aca="false">CU51+CU52</f>
        <v>-0</v>
      </c>
      <c r="CV53" s="33" t="n">
        <f aca="false">CV51+CV52</f>
        <v>-0</v>
      </c>
      <c r="CW53" s="33" t="n">
        <f aca="false">CW51+CW52</f>
        <v>-0</v>
      </c>
      <c r="CX53" s="33" t="n">
        <f aca="false">CX51+CX52</f>
        <v>-0</v>
      </c>
      <c r="CY53" s="33" t="n">
        <f aca="false">CY51+CY52</f>
        <v>-0</v>
      </c>
      <c r="CZ53" s="33" t="n">
        <f aca="false">CZ51+CZ52</f>
        <v>-0</v>
      </c>
      <c r="DA53" s="33" t="n">
        <f aca="false">DA51+DA52</f>
        <v>-0</v>
      </c>
      <c r="DB53" s="33" t="n">
        <f aca="false">DB51+DB52</f>
        <v>-0</v>
      </c>
      <c r="DC53" s="33" t="n">
        <f aca="false">DC51+DC52</f>
        <v>-0</v>
      </c>
      <c r="DD53" s="33" t="n">
        <f aca="false">DD51+DD52</f>
        <v>-0</v>
      </c>
      <c r="DE53" s="33" t="n">
        <f aca="false">DE51+DE52</f>
        <v>-0</v>
      </c>
      <c r="DF53" s="33" t="n">
        <f aca="false">DF51+DF52</f>
        <v>-0</v>
      </c>
      <c r="DG53" s="33" t="n">
        <f aca="false">DG51+DG52</f>
        <v>-0</v>
      </c>
      <c r="DH53" s="33" t="n">
        <f aca="false">DH51+DH52</f>
        <v>-0</v>
      </c>
      <c r="DI53" s="33" t="n">
        <f aca="false">DI51+DI52</f>
        <v>-0</v>
      </c>
      <c r="DJ53" s="33" t="n">
        <f aca="false">DJ51+DJ52</f>
        <v>-0</v>
      </c>
      <c r="DK53" s="33" t="n">
        <f aca="false">DK51+DK52</f>
        <v>-0</v>
      </c>
      <c r="DL53" s="33" t="n">
        <f aca="false">DL51+DL52</f>
        <v>-0</v>
      </c>
      <c r="DM53" s="33" t="n">
        <f aca="false">DM51+DM52</f>
        <v>-0</v>
      </c>
      <c r="DN53" s="33" t="n">
        <f aca="false">DN51+DN52</f>
        <v>-0</v>
      </c>
      <c r="DO53" s="33" t="n">
        <f aca="false">DO51+DO52</f>
        <v>-0</v>
      </c>
      <c r="DP53" s="33" t="n">
        <f aca="false">DP51+DP52</f>
        <v>-0</v>
      </c>
      <c r="DQ53" s="33" t="n">
        <f aca="false">DQ51+DQ52</f>
        <v>-0</v>
      </c>
      <c r="DR53" s="33" t="n">
        <f aca="false">DR51+DR52</f>
        <v>-0</v>
      </c>
      <c r="DS53" s="33" t="n">
        <f aca="false">DS51+DS52</f>
        <v>-0</v>
      </c>
      <c r="DT53" s="33" t="n">
        <f aca="false">DT51+DT52</f>
        <v>-0</v>
      </c>
      <c r="DU53" s="33" t="n">
        <f aca="false">DU51+DU52</f>
        <v>-0</v>
      </c>
      <c r="DV53" s="33" t="n">
        <f aca="false">DV51+DV52</f>
        <v>-0</v>
      </c>
      <c r="DW53" s="33" t="n">
        <f aca="false">DW51+DW52</f>
        <v>-0</v>
      </c>
      <c r="DX53" s="33" t="n">
        <f aca="false">DX51+DX52</f>
        <v>-0</v>
      </c>
      <c r="DY53" s="33" t="n">
        <f aca="false">DY51+DY52</f>
        <v>-0</v>
      </c>
      <c r="DZ53" s="33" t="n">
        <f aca="false">DZ51+DZ52</f>
        <v>-0</v>
      </c>
      <c r="EA53" s="33" t="n">
        <f aca="false">EA51+EA52</f>
        <v>-0</v>
      </c>
      <c r="EB53" s="33" t="n">
        <f aca="false">EB51+EB52</f>
        <v>-0</v>
      </c>
      <c r="EC53" s="33" t="n">
        <f aca="false">EC51+EC52</f>
        <v>-0</v>
      </c>
      <c r="ED53" s="33" t="n">
        <f aca="false">ED51+ED52</f>
        <v>-0</v>
      </c>
      <c r="EE53" s="33" t="n">
        <f aca="false">EE51+EE52</f>
        <v>-0</v>
      </c>
      <c r="EF53" s="33" t="n">
        <f aca="false">EF51+EF52</f>
        <v>-0</v>
      </c>
      <c r="EG53" s="33" t="n">
        <f aca="false">EG51+EG52</f>
        <v>-0</v>
      </c>
      <c r="EH53" s="33" t="n">
        <f aca="false">EH51+EH52</f>
        <v>-0</v>
      </c>
      <c r="EI53" s="33" t="n">
        <f aca="false">EI51+EI52</f>
        <v>-0</v>
      </c>
      <c r="EJ53" s="33" t="n">
        <f aca="false">EJ51+EJ52</f>
        <v>-0</v>
      </c>
      <c r="EK53" s="33" t="n">
        <f aca="false">EK51+EK52</f>
        <v>-0</v>
      </c>
      <c r="EL53" s="33" t="n">
        <f aca="false">EL51+EL52</f>
        <v>-0</v>
      </c>
      <c r="EM53" s="33" t="n">
        <f aca="false">EM51+EM52</f>
        <v>-0</v>
      </c>
      <c r="EN53" s="33" t="n">
        <f aca="false">EN51+EN52</f>
        <v>-0</v>
      </c>
      <c r="EO53" s="33" t="n">
        <f aca="false">EO51+EO52</f>
        <v>-0</v>
      </c>
      <c r="EP53" s="33" t="n">
        <f aca="false">EP51+EP52</f>
        <v>-0</v>
      </c>
      <c r="EQ53" s="33" t="n">
        <f aca="false">EQ51+EQ52</f>
        <v>-0</v>
      </c>
      <c r="ER53" s="33" t="n">
        <f aca="false">ER51+ER52</f>
        <v>-0</v>
      </c>
      <c r="ES53" s="33" t="n">
        <f aca="false">ES51+ES52</f>
        <v>-0</v>
      </c>
      <c r="ET53" s="33" t="n">
        <f aca="false">ET51+ET52</f>
        <v>-0</v>
      </c>
    </row>
    <row r="54" customFormat="false" ht="15" hidden="false" customHeight="false" outlineLevel="0" collapsed="false">
      <c r="C54" s="0" t="s">
        <v>514</v>
      </c>
      <c r="D54" s="11" t="s">
        <v>247</v>
      </c>
      <c r="I54" s="33" t="n">
        <f aca="false">SUM(J54:ET54)</f>
        <v>-2404.83056505452</v>
      </c>
      <c r="J54" s="33" t="n">
        <f aca="false">-SUMIFS(Devex_Keur,Devex_Date,"&gt;="&amp;J$3,Devex_Date,"&lt;="&amp;J$4,Devex_Land,0)</f>
        <v>-0</v>
      </c>
      <c r="K54" s="33" t="n">
        <f aca="false">-SUMIFS(Devex_Keur,Devex_Date,"&gt;="&amp;K$3,Devex_Date,"&lt;="&amp;K$4,Devex_Land,0)</f>
        <v>-178.520547945205</v>
      </c>
      <c r="L54" s="33" t="n">
        <f aca="false">-SUMIFS(Devex_Keur,Devex_Date,"&gt;="&amp;L$3,Devex_Date,"&lt;="&amp;L$4,Devex_Land,0)</f>
        <v>-407.86301369863</v>
      </c>
      <c r="M54" s="33" t="n">
        <f aca="false">-SUMIFS(Devex_Keur,Devex_Date,"&gt;="&amp;M$3,Devex_Date,"&lt;="&amp;M$4,Devex_Land,0)</f>
        <v>-43.8356164383562</v>
      </c>
      <c r="N54" s="33" t="n">
        <f aca="false">-SUMIFS(Devex_Keur,Devex_Date,"&gt;="&amp;N$3,Devex_Date,"&lt;="&amp;N$4,Devex_Land,0)</f>
        <v>-43.8356164383562</v>
      </c>
      <c r="O54" s="33" t="n">
        <f aca="false">-SUMIFS(Devex_Keur,Devex_Date,"&gt;="&amp;O$3,Devex_Date,"&lt;="&amp;O$4,Devex_Land,0)</f>
        <v>-184.361643835616</v>
      </c>
      <c r="P54" s="33" t="n">
        <f aca="false">-SUMIFS(Devex_Keur,Devex_Date,"&gt;="&amp;P$3,Devex_Date,"&lt;="&amp;P$4,Devex_Land,0)</f>
        <v>-1290.04179480011</v>
      </c>
      <c r="Q54" s="33" t="n">
        <f aca="false">-SUMIFS(Devex_Keur,Devex_Date,"&gt;="&amp;Q$3,Devex_Date,"&lt;="&amp;Q$4,Devex_Land,0)</f>
        <v>-4.60958904109589</v>
      </c>
      <c r="R54" s="33" t="n">
        <f aca="false">-SUMIFS(Devex_Keur,Devex_Date,"&gt;="&amp;R$3,Devex_Date,"&lt;="&amp;R$4,Devex_Land,0)</f>
        <v>-164.091509980431</v>
      </c>
      <c r="S54" s="33" t="n">
        <f aca="false">-SUMIFS(Devex_Keur,Devex_Date,"&gt;="&amp;S$3,Devex_Date,"&lt;="&amp;S$4,Devex_Land,0)</f>
        <v>-32.8767123287671</v>
      </c>
      <c r="T54" s="33" t="n">
        <f aca="false">-SUMIFS(Devex_Keur,Devex_Date,"&gt;="&amp;T$3,Devex_Date,"&lt;="&amp;T$4,Devex_Land,0)</f>
        <v>-54.7945205479452</v>
      </c>
      <c r="U54" s="33" t="n">
        <f aca="false">-SUMIFS(Devex_Keur,Devex_Date,"&gt;="&amp;U$3,Devex_Date,"&lt;="&amp;U$4,Devex_Land,0)</f>
        <v>-0</v>
      </c>
      <c r="V54" s="33" t="n">
        <f aca="false">-SUMIFS(Devex_Keur,Devex_Date,"&gt;="&amp;V$3,Devex_Date,"&lt;="&amp;V$4,Devex_Land,0)</f>
        <v>-0</v>
      </c>
      <c r="W54" s="33" t="n">
        <f aca="false">-SUMIFS(Devex_Keur,Devex_Date,"&gt;="&amp;W$3,Devex_Date,"&lt;="&amp;W$4,Devex_Land,0)</f>
        <v>-0</v>
      </c>
      <c r="X54" s="33" t="n">
        <f aca="false">-SUMIFS(Devex_Keur,Devex_Date,"&gt;="&amp;X$3,Devex_Date,"&lt;="&amp;X$4,Devex_Land,0)</f>
        <v>-0</v>
      </c>
      <c r="Y54" s="33" t="n">
        <f aca="false">-SUMIFS(Devex_Keur,Devex_Date,"&gt;="&amp;Y$3,Devex_Date,"&lt;="&amp;Y$4,Devex_Land,0)</f>
        <v>-0</v>
      </c>
      <c r="Z54" s="33" t="n">
        <f aca="false">-SUMIFS(Devex_Keur,Devex_Date,"&gt;="&amp;Z$3,Devex_Date,"&lt;="&amp;Z$4,Devex_Land,0)</f>
        <v>-0</v>
      </c>
      <c r="AA54" s="33" t="n">
        <f aca="false">-SUMIFS(Devex_Keur,Devex_Date,"&gt;="&amp;AA$3,Devex_Date,"&lt;="&amp;AA$4,Devex_Land,0)</f>
        <v>-0</v>
      </c>
      <c r="AB54" s="33" t="n">
        <f aca="false">-SUMIFS(Devex_Keur,Devex_Date,"&gt;="&amp;AB$3,Devex_Date,"&lt;="&amp;AB$4,Devex_Land,0)</f>
        <v>-0</v>
      </c>
      <c r="AC54" s="33" t="n">
        <f aca="false">-SUMIFS(Devex_Keur,Devex_Date,"&gt;="&amp;AC$3,Devex_Date,"&lt;="&amp;AC$4,Devex_Land,0)</f>
        <v>-0</v>
      </c>
      <c r="AD54" s="33" t="n">
        <f aca="false">-SUMIFS(Devex_Keur,Devex_Date,"&gt;="&amp;AD$3,Devex_Date,"&lt;="&amp;AD$4,Devex_Land,0)</f>
        <v>-0</v>
      </c>
      <c r="AE54" s="33" t="n">
        <f aca="false">-SUMIFS(Devex_Keur,Devex_Date,"&gt;="&amp;AE$3,Devex_Date,"&lt;="&amp;AE$4,Devex_Land,0)</f>
        <v>-0</v>
      </c>
      <c r="AF54" s="33" t="n">
        <f aca="false">-SUMIFS(Devex_Keur,Devex_Date,"&gt;="&amp;AF$3,Devex_Date,"&lt;="&amp;AF$4,Devex_Land,0)</f>
        <v>-0</v>
      </c>
      <c r="AG54" s="33" t="n">
        <f aca="false">-SUMIFS(Devex_Keur,Devex_Date,"&gt;="&amp;AG$3,Devex_Date,"&lt;="&amp;AG$4,Devex_Land,0)</f>
        <v>-0</v>
      </c>
      <c r="AH54" s="33" t="n">
        <f aca="false">-SUMIFS(Devex_Keur,Devex_Date,"&gt;="&amp;AH$3,Devex_Date,"&lt;="&amp;AH$4,Devex_Land,0)</f>
        <v>-0</v>
      </c>
      <c r="AI54" s="33" t="n">
        <f aca="false">-SUMIFS(Devex_Keur,Devex_Date,"&gt;="&amp;AI$3,Devex_Date,"&lt;="&amp;AI$4,Devex_Land,0)</f>
        <v>-0</v>
      </c>
      <c r="AJ54" s="33" t="n">
        <f aca="false">-SUMIFS(Devex_Keur,Devex_Date,"&gt;="&amp;AJ$3,Devex_Date,"&lt;="&amp;AJ$4,Devex_Land,0)</f>
        <v>-0</v>
      </c>
      <c r="AK54" s="33" t="n">
        <f aca="false">-SUMIFS(Devex_Keur,Devex_Date,"&gt;="&amp;AK$3,Devex_Date,"&lt;="&amp;AK$4,Devex_Land,0)</f>
        <v>-0</v>
      </c>
      <c r="AL54" s="33" t="n">
        <f aca="false">-SUMIFS(Devex_Keur,Devex_Date,"&gt;="&amp;AL$3,Devex_Date,"&lt;="&amp;AL$4,Devex_Land,0)</f>
        <v>-0</v>
      </c>
      <c r="AM54" s="33" t="n">
        <f aca="false">-SUMIFS(Devex_Keur,Devex_Date,"&gt;="&amp;AM$3,Devex_Date,"&lt;="&amp;AM$4,Devex_Land,0)</f>
        <v>-0</v>
      </c>
      <c r="AN54" s="33" t="n">
        <f aca="false">-SUMIFS(Devex_Keur,Devex_Date,"&gt;="&amp;AN$3,Devex_Date,"&lt;="&amp;AN$4,Devex_Land,0)</f>
        <v>-0</v>
      </c>
      <c r="AO54" s="33" t="n">
        <f aca="false">-SUMIFS(Devex_Keur,Devex_Date,"&gt;="&amp;AO$3,Devex_Date,"&lt;="&amp;AO$4,Devex_Land,0)</f>
        <v>-0</v>
      </c>
      <c r="AP54" s="33" t="n">
        <f aca="false">-SUMIFS(Devex_Keur,Devex_Date,"&gt;="&amp;AP$3,Devex_Date,"&lt;="&amp;AP$4,Devex_Land,0)</f>
        <v>-0</v>
      </c>
      <c r="AQ54" s="33" t="n">
        <f aca="false">-SUMIFS(Devex_Keur,Devex_Date,"&gt;="&amp;AQ$3,Devex_Date,"&lt;="&amp;AQ$4,Devex_Land,0)</f>
        <v>-0</v>
      </c>
      <c r="AR54" s="33" t="n">
        <f aca="false">-SUMIFS(Devex_Keur,Devex_Date,"&gt;="&amp;AR$3,Devex_Date,"&lt;="&amp;AR$4,Devex_Land,0)</f>
        <v>-0</v>
      </c>
      <c r="AS54" s="33" t="n">
        <f aca="false">-SUMIFS(Devex_Keur,Devex_Date,"&gt;="&amp;AS$3,Devex_Date,"&lt;="&amp;AS$4,Devex_Land,0)</f>
        <v>-0</v>
      </c>
      <c r="AT54" s="33" t="n">
        <f aca="false">-SUMIFS(Devex_Keur,Devex_Date,"&gt;="&amp;AT$3,Devex_Date,"&lt;="&amp;AT$4,Devex_Land,0)</f>
        <v>-0</v>
      </c>
      <c r="AU54" s="33" t="n">
        <f aca="false">-SUMIFS(Devex_Keur,Devex_Date,"&gt;="&amp;AU$3,Devex_Date,"&lt;="&amp;AU$4,Devex_Land,0)</f>
        <v>-0</v>
      </c>
      <c r="AV54" s="33" t="n">
        <f aca="false">-SUMIFS(Devex_Keur,Devex_Date,"&gt;="&amp;AV$3,Devex_Date,"&lt;="&amp;AV$4,Devex_Land,0)</f>
        <v>-0</v>
      </c>
      <c r="AW54" s="33" t="n">
        <f aca="false">-SUMIFS(Devex_Keur,Devex_Date,"&gt;="&amp;AW$3,Devex_Date,"&lt;="&amp;AW$4,Devex_Land,0)</f>
        <v>-0</v>
      </c>
      <c r="AX54" s="33" t="n">
        <f aca="false">-SUMIFS(Devex_Keur,Devex_Date,"&gt;="&amp;AX$3,Devex_Date,"&lt;="&amp;AX$4,Devex_Land,0)</f>
        <v>-0</v>
      </c>
      <c r="AY54" s="33" t="n">
        <f aca="false">-SUMIFS(Devex_Keur,Devex_Date,"&gt;="&amp;AY$3,Devex_Date,"&lt;="&amp;AY$4,Devex_Land,0)</f>
        <v>-0</v>
      </c>
      <c r="AZ54" s="33" t="n">
        <f aca="false">-SUMIFS(Devex_Keur,Devex_Date,"&gt;="&amp;AZ$3,Devex_Date,"&lt;="&amp;AZ$4,Devex_Land,0)</f>
        <v>-0</v>
      </c>
      <c r="BA54" s="33" t="n">
        <f aca="false">-SUMIFS(Devex_Keur,Devex_Date,"&gt;="&amp;BA$3,Devex_Date,"&lt;="&amp;BA$4,Devex_Land,0)</f>
        <v>-0</v>
      </c>
      <c r="BB54" s="33" t="n">
        <f aca="false">-SUMIFS(Devex_Keur,Devex_Date,"&gt;="&amp;BB$3,Devex_Date,"&lt;="&amp;BB$4,Devex_Land,0)</f>
        <v>-0</v>
      </c>
      <c r="BC54" s="33" t="n">
        <f aca="false">-SUMIFS(Devex_Keur,Devex_Date,"&gt;="&amp;BC$3,Devex_Date,"&lt;="&amp;BC$4,Devex_Land,0)</f>
        <v>-0</v>
      </c>
      <c r="BD54" s="33" t="n">
        <f aca="false">-SUMIFS(Devex_Keur,Devex_Date,"&gt;="&amp;BD$3,Devex_Date,"&lt;="&amp;BD$4,Devex_Land,0)</f>
        <v>-0</v>
      </c>
      <c r="BE54" s="33" t="n">
        <f aca="false">-SUMIFS(Devex_Keur,Devex_Date,"&gt;="&amp;BE$3,Devex_Date,"&lt;="&amp;BE$4,Devex_Land,0)</f>
        <v>-0</v>
      </c>
      <c r="BF54" s="33" t="n">
        <f aca="false">-SUMIFS(Devex_Keur,Devex_Date,"&gt;="&amp;BF$3,Devex_Date,"&lt;="&amp;BF$4,Devex_Land,0)</f>
        <v>-0</v>
      </c>
      <c r="BG54" s="33" t="n">
        <f aca="false">-SUMIFS(Devex_Keur,Devex_Date,"&gt;="&amp;BG$3,Devex_Date,"&lt;="&amp;BG$4,Devex_Land,0)</f>
        <v>-0</v>
      </c>
      <c r="BH54" s="33" t="n">
        <f aca="false">-SUMIFS(Devex_Keur,Devex_Date,"&gt;="&amp;BH$3,Devex_Date,"&lt;="&amp;BH$4,Devex_Land,0)</f>
        <v>-0</v>
      </c>
      <c r="BI54" s="33" t="n">
        <f aca="false">-SUMIFS(Devex_Keur,Devex_Date,"&gt;="&amp;BI$3,Devex_Date,"&lt;="&amp;BI$4,Devex_Land,0)</f>
        <v>-0</v>
      </c>
      <c r="BJ54" s="33" t="n">
        <f aca="false">-SUMIFS(Devex_Keur,Devex_Date,"&gt;="&amp;BJ$3,Devex_Date,"&lt;="&amp;BJ$4,Devex_Land,0)</f>
        <v>-0</v>
      </c>
      <c r="BK54" s="33" t="n">
        <f aca="false">-SUMIFS(Devex_Keur,Devex_Date,"&gt;="&amp;BK$3,Devex_Date,"&lt;="&amp;BK$4,Devex_Land,0)</f>
        <v>-0</v>
      </c>
      <c r="BL54" s="33" t="n">
        <f aca="false">-SUMIFS(Devex_Keur,Devex_Date,"&gt;="&amp;BL$3,Devex_Date,"&lt;="&amp;BL$4,Devex_Land,0)</f>
        <v>-0</v>
      </c>
      <c r="BM54" s="33" t="n">
        <f aca="false">-SUMIFS(Devex_Keur,Devex_Date,"&gt;="&amp;BM$3,Devex_Date,"&lt;="&amp;BM$4,Devex_Land,0)</f>
        <v>-0</v>
      </c>
      <c r="BN54" s="33" t="n">
        <f aca="false">-SUMIFS(Devex_Keur,Devex_Date,"&gt;="&amp;BN$3,Devex_Date,"&lt;="&amp;BN$4,Devex_Land,0)</f>
        <v>-0</v>
      </c>
      <c r="BO54" s="33" t="n">
        <f aca="false">-SUMIFS(Devex_Keur,Devex_Date,"&gt;="&amp;BO$3,Devex_Date,"&lt;="&amp;BO$4,Devex_Land,0)</f>
        <v>-0</v>
      </c>
      <c r="BP54" s="33" t="n">
        <f aca="false">-SUMIFS(Devex_Keur,Devex_Date,"&gt;="&amp;BP$3,Devex_Date,"&lt;="&amp;BP$4,Devex_Land,0)</f>
        <v>-0</v>
      </c>
      <c r="BQ54" s="33" t="n">
        <f aca="false">-SUMIFS(Devex_Keur,Devex_Date,"&gt;="&amp;BQ$3,Devex_Date,"&lt;="&amp;BQ$4,Devex_Land,0)</f>
        <v>-0</v>
      </c>
      <c r="BR54" s="33" t="n">
        <f aca="false">-SUMIFS(Devex_Keur,Devex_Date,"&gt;="&amp;BR$3,Devex_Date,"&lt;="&amp;BR$4,Devex_Land,0)</f>
        <v>-0</v>
      </c>
      <c r="BS54" s="33" t="n">
        <f aca="false">-SUMIFS(Devex_Keur,Devex_Date,"&gt;="&amp;BS$3,Devex_Date,"&lt;="&amp;BS$4,Devex_Land,0)</f>
        <v>-0</v>
      </c>
      <c r="BT54" s="33" t="n">
        <f aca="false">-SUMIFS(Devex_Keur,Devex_Date,"&gt;="&amp;BT$3,Devex_Date,"&lt;="&amp;BT$4,Devex_Land,0)</f>
        <v>-0</v>
      </c>
      <c r="BU54" s="33" t="n">
        <f aca="false">-SUMIFS(Devex_Keur,Devex_Date,"&gt;="&amp;BU$3,Devex_Date,"&lt;="&amp;BU$4,Devex_Land,0)</f>
        <v>-0</v>
      </c>
      <c r="BV54" s="33" t="n">
        <f aca="false">-SUMIFS(Devex_Keur,Devex_Date,"&gt;="&amp;BV$3,Devex_Date,"&lt;="&amp;BV$4,Devex_Land,0)</f>
        <v>-0</v>
      </c>
      <c r="BW54" s="33" t="n">
        <f aca="false">-SUMIFS(Devex_Keur,Devex_Date,"&gt;="&amp;BW$3,Devex_Date,"&lt;="&amp;BW$4,Devex_Land,0)</f>
        <v>-0</v>
      </c>
      <c r="BX54" s="33" t="n">
        <f aca="false">-SUMIFS(Devex_Keur,Devex_Date,"&gt;="&amp;BX$3,Devex_Date,"&lt;="&amp;BX$4,Devex_Land,0)</f>
        <v>-0</v>
      </c>
      <c r="BY54" s="33" t="n">
        <f aca="false">-SUMIFS(Devex_Keur,Devex_Date,"&gt;="&amp;BY$3,Devex_Date,"&lt;="&amp;BY$4,Devex_Land,0)</f>
        <v>-0</v>
      </c>
      <c r="BZ54" s="33" t="n">
        <f aca="false">-SUMIFS(Devex_Keur,Devex_Date,"&gt;="&amp;BZ$3,Devex_Date,"&lt;="&amp;BZ$4,Devex_Land,0)</f>
        <v>-0</v>
      </c>
      <c r="CA54" s="33" t="n">
        <f aca="false">-SUMIFS(Devex_Keur,Devex_Date,"&gt;="&amp;CA$3,Devex_Date,"&lt;="&amp;CA$4,Devex_Land,0)</f>
        <v>-0</v>
      </c>
      <c r="CB54" s="33" t="n">
        <f aca="false">-SUMIFS(Devex_Keur,Devex_Date,"&gt;="&amp;CB$3,Devex_Date,"&lt;="&amp;CB$4,Devex_Land,0)</f>
        <v>-0</v>
      </c>
      <c r="CC54" s="33" t="n">
        <f aca="false">-SUMIFS(Devex_Keur,Devex_Date,"&gt;="&amp;CC$3,Devex_Date,"&lt;="&amp;CC$4,Devex_Land,0)</f>
        <v>-0</v>
      </c>
      <c r="CD54" s="33" t="n">
        <f aca="false">-SUMIFS(Devex_Keur,Devex_Date,"&gt;="&amp;CD$3,Devex_Date,"&lt;="&amp;CD$4,Devex_Land,0)</f>
        <v>-0</v>
      </c>
      <c r="CE54" s="33" t="n">
        <f aca="false">-SUMIFS(Devex_Keur,Devex_Date,"&gt;="&amp;CE$3,Devex_Date,"&lt;="&amp;CE$4,Devex_Land,0)</f>
        <v>-0</v>
      </c>
      <c r="CF54" s="33" t="n">
        <f aca="false">-SUMIFS(Devex_Keur,Devex_Date,"&gt;="&amp;CF$3,Devex_Date,"&lt;="&amp;CF$4,Devex_Land,0)</f>
        <v>-0</v>
      </c>
      <c r="CG54" s="33" t="n">
        <f aca="false">-SUMIFS(Devex_Keur,Devex_Date,"&gt;="&amp;CG$3,Devex_Date,"&lt;="&amp;CG$4,Devex_Land,0)</f>
        <v>-0</v>
      </c>
      <c r="CH54" s="33" t="n">
        <f aca="false">-SUMIFS(Devex_Keur,Devex_Date,"&gt;="&amp;CH$3,Devex_Date,"&lt;="&amp;CH$4,Devex_Land,0)</f>
        <v>-0</v>
      </c>
      <c r="CI54" s="33" t="n">
        <f aca="false">-SUMIFS(Devex_Keur,Devex_Date,"&gt;="&amp;CI$3,Devex_Date,"&lt;="&amp;CI$4,Devex_Land,0)</f>
        <v>-0</v>
      </c>
      <c r="CJ54" s="33" t="n">
        <f aca="false">-SUMIFS(Devex_Keur,Devex_Date,"&gt;="&amp;CJ$3,Devex_Date,"&lt;="&amp;CJ$4,Devex_Land,0)</f>
        <v>-0</v>
      </c>
      <c r="CK54" s="33" t="n">
        <f aca="false">-SUMIFS(Devex_Keur,Devex_Date,"&gt;="&amp;CK$3,Devex_Date,"&lt;="&amp;CK$4,Devex_Land,0)</f>
        <v>-0</v>
      </c>
      <c r="CL54" s="33" t="n">
        <f aca="false">-SUMIFS(Devex_Keur,Devex_Date,"&gt;="&amp;CL$3,Devex_Date,"&lt;="&amp;CL$4,Devex_Land,0)</f>
        <v>-0</v>
      </c>
      <c r="CM54" s="33" t="n">
        <f aca="false">-SUMIFS(Devex_Keur,Devex_Date,"&gt;="&amp;CM$3,Devex_Date,"&lt;="&amp;CM$4,Devex_Land,0)</f>
        <v>-0</v>
      </c>
      <c r="CN54" s="33" t="n">
        <f aca="false">-SUMIFS(Devex_Keur,Devex_Date,"&gt;="&amp;CN$3,Devex_Date,"&lt;="&amp;CN$4,Devex_Land,0)</f>
        <v>-0</v>
      </c>
      <c r="CO54" s="33" t="n">
        <f aca="false">-SUMIFS(Devex_Keur,Devex_Date,"&gt;="&amp;CO$3,Devex_Date,"&lt;="&amp;CO$4,Devex_Land,0)</f>
        <v>-0</v>
      </c>
      <c r="CP54" s="33" t="n">
        <f aca="false">-SUMIFS(Devex_Keur,Devex_Date,"&gt;="&amp;CP$3,Devex_Date,"&lt;="&amp;CP$4,Devex_Land,0)</f>
        <v>-0</v>
      </c>
      <c r="CQ54" s="33" t="n">
        <f aca="false">-SUMIFS(Devex_Keur,Devex_Date,"&gt;="&amp;CQ$3,Devex_Date,"&lt;="&amp;CQ$4,Devex_Land,0)</f>
        <v>-0</v>
      </c>
      <c r="CR54" s="33" t="n">
        <f aca="false">-SUMIFS(Devex_Keur,Devex_Date,"&gt;="&amp;CR$3,Devex_Date,"&lt;="&amp;CR$4,Devex_Land,0)</f>
        <v>-0</v>
      </c>
      <c r="CS54" s="33" t="n">
        <f aca="false">-SUMIFS(Devex_Keur,Devex_Date,"&gt;="&amp;CS$3,Devex_Date,"&lt;="&amp;CS$4,Devex_Land,0)</f>
        <v>-0</v>
      </c>
      <c r="CT54" s="33" t="n">
        <f aca="false">-SUMIFS(Devex_Keur,Devex_Date,"&gt;="&amp;CT$3,Devex_Date,"&lt;="&amp;CT$4,Devex_Land,0)</f>
        <v>-0</v>
      </c>
      <c r="CU54" s="33" t="n">
        <f aca="false">-SUMIFS(Devex_Keur,Devex_Date,"&gt;="&amp;CU$3,Devex_Date,"&lt;="&amp;CU$4,Devex_Land,0)</f>
        <v>-0</v>
      </c>
      <c r="CV54" s="33" t="n">
        <f aca="false">-SUMIFS(Devex_Keur,Devex_Date,"&gt;="&amp;CV$3,Devex_Date,"&lt;="&amp;CV$4,Devex_Land,0)</f>
        <v>-0</v>
      </c>
      <c r="CW54" s="33" t="n">
        <f aca="false">-SUMIFS(Devex_Keur,Devex_Date,"&gt;="&amp;CW$3,Devex_Date,"&lt;="&amp;CW$4,Devex_Land,0)</f>
        <v>-0</v>
      </c>
      <c r="CX54" s="33" t="n">
        <f aca="false">-SUMIFS(Devex_Keur,Devex_Date,"&gt;="&amp;CX$3,Devex_Date,"&lt;="&amp;CX$4,Devex_Land,0)</f>
        <v>-0</v>
      </c>
      <c r="CY54" s="33" t="n">
        <f aca="false">-SUMIFS(Devex_Keur,Devex_Date,"&gt;="&amp;CY$3,Devex_Date,"&lt;="&amp;CY$4,Devex_Land,0)</f>
        <v>-0</v>
      </c>
      <c r="CZ54" s="33" t="n">
        <f aca="false">-SUMIFS(Devex_Keur,Devex_Date,"&gt;="&amp;CZ$3,Devex_Date,"&lt;="&amp;CZ$4,Devex_Land,0)</f>
        <v>-0</v>
      </c>
      <c r="DA54" s="33" t="n">
        <f aca="false">-SUMIFS(Devex_Keur,Devex_Date,"&gt;="&amp;DA$3,Devex_Date,"&lt;="&amp;DA$4,Devex_Land,0)</f>
        <v>-0</v>
      </c>
      <c r="DB54" s="33" t="n">
        <f aca="false">-SUMIFS(Devex_Keur,Devex_Date,"&gt;="&amp;DB$3,Devex_Date,"&lt;="&amp;DB$4,Devex_Land,0)</f>
        <v>-0</v>
      </c>
      <c r="DC54" s="33" t="n">
        <f aca="false">-SUMIFS(Devex_Keur,Devex_Date,"&gt;="&amp;DC$3,Devex_Date,"&lt;="&amp;DC$4,Devex_Land,0)</f>
        <v>-0</v>
      </c>
      <c r="DD54" s="33" t="n">
        <f aca="false">-SUMIFS(Devex_Keur,Devex_Date,"&gt;="&amp;DD$3,Devex_Date,"&lt;="&amp;DD$4,Devex_Land,0)</f>
        <v>-0</v>
      </c>
      <c r="DE54" s="33" t="n">
        <f aca="false">-SUMIFS(Devex_Keur,Devex_Date,"&gt;="&amp;DE$3,Devex_Date,"&lt;="&amp;DE$4,Devex_Land,0)</f>
        <v>-0</v>
      </c>
      <c r="DF54" s="33" t="n">
        <f aca="false">-SUMIFS(Devex_Keur,Devex_Date,"&gt;="&amp;DF$3,Devex_Date,"&lt;="&amp;DF$4,Devex_Land,0)</f>
        <v>-0</v>
      </c>
      <c r="DG54" s="33" t="n">
        <f aca="false">-SUMIFS(Devex_Keur,Devex_Date,"&gt;="&amp;DG$3,Devex_Date,"&lt;="&amp;DG$4,Devex_Land,0)</f>
        <v>-0</v>
      </c>
      <c r="DH54" s="33" t="n">
        <f aca="false">-SUMIFS(Devex_Keur,Devex_Date,"&gt;="&amp;DH$3,Devex_Date,"&lt;="&amp;DH$4,Devex_Land,0)</f>
        <v>-0</v>
      </c>
      <c r="DI54" s="33" t="n">
        <f aca="false">-SUMIFS(Devex_Keur,Devex_Date,"&gt;="&amp;DI$3,Devex_Date,"&lt;="&amp;DI$4,Devex_Land,0)</f>
        <v>-0</v>
      </c>
      <c r="DJ54" s="33" t="n">
        <f aca="false">-SUMIFS(Devex_Keur,Devex_Date,"&gt;="&amp;DJ$3,Devex_Date,"&lt;="&amp;DJ$4,Devex_Land,0)</f>
        <v>-0</v>
      </c>
      <c r="DK54" s="33" t="n">
        <f aca="false">-SUMIFS(Devex_Keur,Devex_Date,"&gt;="&amp;DK$3,Devex_Date,"&lt;="&amp;DK$4,Devex_Land,0)</f>
        <v>-0</v>
      </c>
      <c r="DL54" s="33" t="n">
        <f aca="false">-SUMIFS(Devex_Keur,Devex_Date,"&gt;="&amp;DL$3,Devex_Date,"&lt;="&amp;DL$4,Devex_Land,0)</f>
        <v>-0</v>
      </c>
      <c r="DM54" s="33" t="n">
        <f aca="false">-SUMIFS(Devex_Keur,Devex_Date,"&gt;="&amp;DM$3,Devex_Date,"&lt;="&amp;DM$4,Devex_Land,0)</f>
        <v>-0</v>
      </c>
      <c r="DN54" s="33" t="n">
        <f aca="false">-SUMIFS(Devex_Keur,Devex_Date,"&gt;="&amp;DN$3,Devex_Date,"&lt;="&amp;DN$4,Devex_Land,0)</f>
        <v>-0</v>
      </c>
      <c r="DO54" s="33" t="n">
        <f aca="false">-SUMIFS(Devex_Keur,Devex_Date,"&gt;="&amp;DO$3,Devex_Date,"&lt;="&amp;DO$4,Devex_Land,0)</f>
        <v>-0</v>
      </c>
      <c r="DP54" s="33" t="n">
        <f aca="false">-SUMIFS(Devex_Keur,Devex_Date,"&gt;="&amp;DP$3,Devex_Date,"&lt;="&amp;DP$4,Devex_Land,0)</f>
        <v>-0</v>
      </c>
      <c r="DQ54" s="33" t="n">
        <f aca="false">-SUMIFS(Devex_Keur,Devex_Date,"&gt;="&amp;DQ$3,Devex_Date,"&lt;="&amp;DQ$4,Devex_Land,0)</f>
        <v>-0</v>
      </c>
      <c r="DR54" s="33" t="n">
        <f aca="false">-SUMIFS(Devex_Keur,Devex_Date,"&gt;="&amp;DR$3,Devex_Date,"&lt;="&amp;DR$4,Devex_Land,0)</f>
        <v>-0</v>
      </c>
      <c r="DS54" s="33" t="n">
        <f aca="false">-SUMIFS(Devex_Keur,Devex_Date,"&gt;="&amp;DS$3,Devex_Date,"&lt;="&amp;DS$4,Devex_Land,0)</f>
        <v>-0</v>
      </c>
      <c r="DT54" s="33" t="n">
        <f aca="false">-SUMIFS(Devex_Keur,Devex_Date,"&gt;="&amp;DT$3,Devex_Date,"&lt;="&amp;DT$4,Devex_Land,0)</f>
        <v>-0</v>
      </c>
      <c r="DU54" s="33" t="n">
        <f aca="false">-SUMIFS(Devex_Keur,Devex_Date,"&gt;="&amp;DU$3,Devex_Date,"&lt;="&amp;DU$4,Devex_Land,0)</f>
        <v>-0</v>
      </c>
      <c r="DV54" s="33" t="n">
        <f aca="false">-SUMIFS(Devex_Keur,Devex_Date,"&gt;="&amp;DV$3,Devex_Date,"&lt;="&amp;DV$4,Devex_Land,0)</f>
        <v>-0</v>
      </c>
      <c r="DW54" s="33" t="n">
        <f aca="false">-SUMIFS(Devex_Keur,Devex_Date,"&gt;="&amp;DW$3,Devex_Date,"&lt;="&amp;DW$4,Devex_Land,0)</f>
        <v>-0</v>
      </c>
      <c r="DX54" s="33" t="n">
        <f aca="false">-SUMIFS(Devex_Keur,Devex_Date,"&gt;="&amp;DX$3,Devex_Date,"&lt;="&amp;DX$4,Devex_Land,0)</f>
        <v>-0</v>
      </c>
      <c r="DY54" s="33" t="n">
        <f aca="false">-SUMIFS(Devex_Keur,Devex_Date,"&gt;="&amp;DY$3,Devex_Date,"&lt;="&amp;DY$4,Devex_Land,0)</f>
        <v>-0</v>
      </c>
      <c r="DZ54" s="33" t="n">
        <f aca="false">-SUMIFS(Devex_Keur,Devex_Date,"&gt;="&amp;DZ$3,Devex_Date,"&lt;="&amp;DZ$4,Devex_Land,0)</f>
        <v>-0</v>
      </c>
      <c r="EA54" s="33" t="n">
        <f aca="false">-SUMIFS(Devex_Keur,Devex_Date,"&gt;="&amp;EA$3,Devex_Date,"&lt;="&amp;EA$4,Devex_Land,0)</f>
        <v>-0</v>
      </c>
      <c r="EB54" s="33" t="n">
        <f aca="false">-SUMIFS(Devex_Keur,Devex_Date,"&gt;="&amp;EB$3,Devex_Date,"&lt;="&amp;EB$4,Devex_Land,0)</f>
        <v>-0</v>
      </c>
      <c r="EC54" s="33" t="n">
        <f aca="false">-SUMIFS(Devex_Keur,Devex_Date,"&gt;="&amp;EC$3,Devex_Date,"&lt;="&amp;EC$4,Devex_Land,0)</f>
        <v>-0</v>
      </c>
      <c r="ED54" s="33" t="n">
        <f aca="false">-SUMIFS(Devex_Keur,Devex_Date,"&gt;="&amp;ED$3,Devex_Date,"&lt;="&amp;ED$4,Devex_Land,0)</f>
        <v>-0</v>
      </c>
      <c r="EE54" s="33" t="n">
        <f aca="false">-SUMIFS(Devex_Keur,Devex_Date,"&gt;="&amp;EE$3,Devex_Date,"&lt;="&amp;EE$4,Devex_Land,0)</f>
        <v>-0</v>
      </c>
      <c r="EF54" s="33" t="n">
        <f aca="false">-SUMIFS(Devex_Keur,Devex_Date,"&gt;="&amp;EF$3,Devex_Date,"&lt;="&amp;EF$4,Devex_Land,0)</f>
        <v>-0</v>
      </c>
      <c r="EG54" s="33" t="n">
        <f aca="false">-SUMIFS(Devex_Keur,Devex_Date,"&gt;="&amp;EG$3,Devex_Date,"&lt;="&amp;EG$4,Devex_Land,0)</f>
        <v>-0</v>
      </c>
      <c r="EH54" s="33" t="n">
        <f aca="false">-SUMIFS(Devex_Keur,Devex_Date,"&gt;="&amp;EH$3,Devex_Date,"&lt;="&amp;EH$4,Devex_Land,0)</f>
        <v>-0</v>
      </c>
      <c r="EI54" s="33" t="n">
        <f aca="false">-SUMIFS(Devex_Keur,Devex_Date,"&gt;="&amp;EI$3,Devex_Date,"&lt;="&amp;EI$4,Devex_Land,0)</f>
        <v>-0</v>
      </c>
      <c r="EJ54" s="33" t="n">
        <f aca="false">-SUMIFS(Devex_Keur,Devex_Date,"&gt;="&amp;EJ$3,Devex_Date,"&lt;="&amp;EJ$4,Devex_Land,0)</f>
        <v>-0</v>
      </c>
      <c r="EK54" s="33" t="n">
        <f aca="false">-SUMIFS(Devex_Keur,Devex_Date,"&gt;="&amp;EK$3,Devex_Date,"&lt;="&amp;EK$4,Devex_Land,0)</f>
        <v>-0</v>
      </c>
      <c r="EL54" s="33" t="n">
        <f aca="false">-SUMIFS(Devex_Keur,Devex_Date,"&gt;="&amp;EL$3,Devex_Date,"&lt;="&amp;EL$4,Devex_Land,0)</f>
        <v>-0</v>
      </c>
      <c r="EM54" s="33" t="n">
        <f aca="false">-SUMIFS(Devex_Keur,Devex_Date,"&gt;="&amp;EM$3,Devex_Date,"&lt;="&amp;EM$4,Devex_Land,0)</f>
        <v>-0</v>
      </c>
      <c r="EN54" s="33" t="n">
        <f aca="false">-SUMIFS(Devex_Keur,Devex_Date,"&gt;="&amp;EN$3,Devex_Date,"&lt;="&amp;EN$4,Devex_Land,0)</f>
        <v>-0</v>
      </c>
      <c r="EO54" s="33" t="n">
        <f aca="false">-SUMIFS(Devex_Keur,Devex_Date,"&gt;="&amp;EO$3,Devex_Date,"&lt;="&amp;EO$4,Devex_Land,0)</f>
        <v>-0</v>
      </c>
      <c r="EP54" s="33" t="n">
        <f aca="false">-SUMIFS(Devex_Keur,Devex_Date,"&gt;="&amp;EP$3,Devex_Date,"&lt;="&amp;EP$4,Devex_Land,0)</f>
        <v>-0</v>
      </c>
      <c r="EQ54" s="33" t="n">
        <f aca="false">-SUMIFS(Devex_Keur,Devex_Date,"&gt;="&amp;EQ$3,Devex_Date,"&lt;="&amp;EQ$4,Devex_Land,0)</f>
        <v>-0</v>
      </c>
      <c r="ER54" s="33" t="n">
        <f aca="false">-SUMIFS(Devex_Keur,Devex_Date,"&gt;="&amp;ER$3,Devex_Date,"&lt;="&amp;ER$4,Devex_Land,0)</f>
        <v>-0</v>
      </c>
      <c r="ES54" s="33" t="n">
        <f aca="false">-SUMIFS(Devex_Keur,Devex_Date,"&gt;="&amp;ES$3,Devex_Date,"&lt;="&amp;ES$4,Devex_Land,0)</f>
        <v>-0</v>
      </c>
      <c r="ET54" s="3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515</v>
      </c>
      <c r="D55" s="11" t="s">
        <v>247</v>
      </c>
      <c r="E55" s="33" t="n">
        <f aca="false">-SUMIF($J$4:$ET$4,"&lt;="&amp;$E12,$J55:$ET55)</f>
        <v>430.444520547945</v>
      </c>
      <c r="I55" s="33" t="n">
        <f aca="false">SUM(J55:ET55)</f>
        <v>-430.444520547945</v>
      </c>
      <c r="J55" s="33" t="n">
        <f aca="false">-SUMIFS(Devex_Keur,Devex_Date,"&gt;="&amp;J$3,Devex_Date,"&lt;="&amp;J$4,Devex_Land,1)</f>
        <v>-0</v>
      </c>
      <c r="K55" s="33" t="n">
        <f aca="false">-SUMIFS(Devex_Keur,Devex_Date,"&gt;="&amp;K$3,Devex_Date,"&lt;="&amp;K$4,Devex_Land,1)</f>
        <v>-0</v>
      </c>
      <c r="L55" s="33" t="n">
        <f aca="false">-SUMIFS(Devex_Keur,Devex_Date,"&gt;="&amp;L$3,Devex_Date,"&lt;="&amp;L$4,Devex_Land,1)</f>
        <v>-180.581506849315</v>
      </c>
      <c r="M55" s="33" t="n">
        <f aca="false">-SUMIFS(Devex_Keur,Devex_Date,"&gt;="&amp;M$3,Devex_Date,"&lt;="&amp;M$4,Devex_Land,1)</f>
        <v>-0</v>
      </c>
      <c r="N55" s="33" t="n">
        <f aca="false">-SUMIFS(Devex_Keur,Devex_Date,"&gt;="&amp;N$3,Devex_Date,"&lt;="&amp;N$4,Devex_Land,1)</f>
        <v>-0</v>
      </c>
      <c r="O55" s="33" t="n">
        <f aca="false">-SUMIFS(Devex_Keur,Devex_Date,"&gt;="&amp;O$3,Devex_Date,"&lt;="&amp;O$4,Devex_Land,1)</f>
        <v>-0</v>
      </c>
      <c r="P55" s="33" t="n">
        <f aca="false">-SUMIFS(Devex_Keur,Devex_Date,"&gt;="&amp;P$3,Devex_Date,"&lt;="&amp;P$4,Devex_Land,1)</f>
        <v>-0</v>
      </c>
      <c r="Q55" s="33" t="n">
        <f aca="false">-SUMIFS(Devex_Keur,Devex_Date,"&gt;="&amp;Q$3,Devex_Date,"&lt;="&amp;Q$4,Devex_Land,1)</f>
        <v>-0</v>
      </c>
      <c r="R55" s="33" t="n">
        <f aca="false">-SUMIFS(Devex_Keur,Devex_Date,"&gt;="&amp;R$3,Devex_Date,"&lt;="&amp;R$4,Devex_Land,1)</f>
        <v>-0</v>
      </c>
      <c r="S55" s="33" t="n">
        <f aca="false">-SUMIFS(Devex_Keur,Devex_Date,"&gt;="&amp;S$3,Devex_Date,"&lt;="&amp;S$4,Devex_Land,1)</f>
        <v>-0</v>
      </c>
      <c r="T55" s="33" t="n">
        <f aca="false">-SUMIFS(Devex_Keur,Devex_Date,"&gt;="&amp;T$3,Devex_Date,"&lt;="&amp;T$4,Devex_Land,1)</f>
        <v>-249.86301369863</v>
      </c>
      <c r="U55" s="33" t="n">
        <f aca="false">-SUMIFS(Devex_Keur,Devex_Date,"&gt;="&amp;U$3,Devex_Date,"&lt;="&amp;U$4,Devex_Land,1)</f>
        <v>-0</v>
      </c>
      <c r="V55" s="33" t="n">
        <f aca="false">-SUMIFS(Devex_Keur,Devex_Date,"&gt;="&amp;V$3,Devex_Date,"&lt;="&amp;V$4,Devex_Land,1)</f>
        <v>-0</v>
      </c>
      <c r="W55" s="33" t="n">
        <f aca="false">-SUMIFS(Devex_Keur,Devex_Date,"&gt;="&amp;W$3,Devex_Date,"&lt;="&amp;W$4,Devex_Land,1)</f>
        <v>-0</v>
      </c>
      <c r="X55" s="33" t="n">
        <f aca="false">-SUMIFS(Devex_Keur,Devex_Date,"&gt;="&amp;X$3,Devex_Date,"&lt;="&amp;X$4,Devex_Land,1)</f>
        <v>-0</v>
      </c>
      <c r="Y55" s="33" t="n">
        <f aca="false">-SUMIFS(Devex_Keur,Devex_Date,"&gt;="&amp;Y$3,Devex_Date,"&lt;="&amp;Y$4,Devex_Land,1)</f>
        <v>-0</v>
      </c>
      <c r="Z55" s="33" t="n">
        <f aca="false">-SUMIFS(Devex_Keur,Devex_Date,"&gt;="&amp;Z$3,Devex_Date,"&lt;="&amp;Z$4,Devex_Land,1)</f>
        <v>-0</v>
      </c>
      <c r="AA55" s="33" t="n">
        <f aca="false">-SUMIFS(Devex_Keur,Devex_Date,"&gt;="&amp;AA$3,Devex_Date,"&lt;="&amp;AA$4,Devex_Land,1)</f>
        <v>-0</v>
      </c>
      <c r="AB55" s="33" t="n">
        <f aca="false">-SUMIFS(Devex_Keur,Devex_Date,"&gt;="&amp;AB$3,Devex_Date,"&lt;="&amp;AB$4,Devex_Land,1)</f>
        <v>-0</v>
      </c>
      <c r="AC55" s="33" t="n">
        <f aca="false">-SUMIFS(Devex_Keur,Devex_Date,"&gt;="&amp;AC$3,Devex_Date,"&lt;="&amp;AC$4,Devex_Land,1)</f>
        <v>-0</v>
      </c>
      <c r="AD55" s="33" t="n">
        <f aca="false">-SUMIFS(Devex_Keur,Devex_Date,"&gt;="&amp;AD$3,Devex_Date,"&lt;="&amp;AD$4,Devex_Land,1)</f>
        <v>-0</v>
      </c>
      <c r="AE55" s="33" t="n">
        <f aca="false">-SUMIFS(Devex_Keur,Devex_Date,"&gt;="&amp;AE$3,Devex_Date,"&lt;="&amp;AE$4,Devex_Land,1)</f>
        <v>-0</v>
      </c>
      <c r="AF55" s="33" t="n">
        <f aca="false">-SUMIFS(Devex_Keur,Devex_Date,"&gt;="&amp;AF$3,Devex_Date,"&lt;="&amp;AF$4,Devex_Land,1)</f>
        <v>-0</v>
      </c>
      <c r="AG55" s="33" t="n">
        <f aca="false">-SUMIFS(Devex_Keur,Devex_Date,"&gt;="&amp;AG$3,Devex_Date,"&lt;="&amp;AG$4,Devex_Land,1)</f>
        <v>-0</v>
      </c>
      <c r="AH55" s="33" t="n">
        <f aca="false">-SUMIFS(Devex_Keur,Devex_Date,"&gt;="&amp;AH$3,Devex_Date,"&lt;="&amp;AH$4,Devex_Land,1)</f>
        <v>-0</v>
      </c>
      <c r="AI55" s="33" t="n">
        <f aca="false">-SUMIFS(Devex_Keur,Devex_Date,"&gt;="&amp;AI$3,Devex_Date,"&lt;="&amp;AI$4,Devex_Land,1)</f>
        <v>-0</v>
      </c>
      <c r="AJ55" s="33" t="n">
        <f aca="false">-SUMIFS(Devex_Keur,Devex_Date,"&gt;="&amp;AJ$3,Devex_Date,"&lt;="&amp;AJ$4,Devex_Land,1)</f>
        <v>-0</v>
      </c>
      <c r="AK55" s="33" t="n">
        <f aca="false">-SUMIFS(Devex_Keur,Devex_Date,"&gt;="&amp;AK$3,Devex_Date,"&lt;="&amp;AK$4,Devex_Land,1)</f>
        <v>-0</v>
      </c>
      <c r="AL55" s="33" t="n">
        <f aca="false">-SUMIFS(Devex_Keur,Devex_Date,"&gt;="&amp;AL$3,Devex_Date,"&lt;="&amp;AL$4,Devex_Land,1)</f>
        <v>-0</v>
      </c>
      <c r="AM55" s="33" t="n">
        <f aca="false">-SUMIFS(Devex_Keur,Devex_Date,"&gt;="&amp;AM$3,Devex_Date,"&lt;="&amp;AM$4,Devex_Land,1)</f>
        <v>-0</v>
      </c>
      <c r="AN55" s="33" t="n">
        <f aca="false">-SUMIFS(Devex_Keur,Devex_Date,"&gt;="&amp;AN$3,Devex_Date,"&lt;="&amp;AN$4,Devex_Land,1)</f>
        <v>-0</v>
      </c>
      <c r="AO55" s="33" t="n">
        <f aca="false">-SUMIFS(Devex_Keur,Devex_Date,"&gt;="&amp;AO$3,Devex_Date,"&lt;="&amp;AO$4,Devex_Land,1)</f>
        <v>-0</v>
      </c>
      <c r="AP55" s="33" t="n">
        <f aca="false">-SUMIFS(Devex_Keur,Devex_Date,"&gt;="&amp;AP$3,Devex_Date,"&lt;="&amp;AP$4,Devex_Land,1)</f>
        <v>-0</v>
      </c>
      <c r="AQ55" s="33" t="n">
        <f aca="false">-SUMIFS(Devex_Keur,Devex_Date,"&gt;="&amp;AQ$3,Devex_Date,"&lt;="&amp;AQ$4,Devex_Land,1)</f>
        <v>-0</v>
      </c>
      <c r="AR55" s="33" t="n">
        <f aca="false">-SUMIFS(Devex_Keur,Devex_Date,"&gt;="&amp;AR$3,Devex_Date,"&lt;="&amp;AR$4,Devex_Land,1)</f>
        <v>-0</v>
      </c>
      <c r="AS55" s="33" t="n">
        <f aca="false">-SUMIFS(Devex_Keur,Devex_Date,"&gt;="&amp;AS$3,Devex_Date,"&lt;="&amp;AS$4,Devex_Land,1)</f>
        <v>-0</v>
      </c>
      <c r="AT55" s="33" t="n">
        <f aca="false">-SUMIFS(Devex_Keur,Devex_Date,"&gt;="&amp;AT$3,Devex_Date,"&lt;="&amp;AT$4,Devex_Land,1)</f>
        <v>-0</v>
      </c>
      <c r="AU55" s="33" t="n">
        <f aca="false">-SUMIFS(Devex_Keur,Devex_Date,"&gt;="&amp;AU$3,Devex_Date,"&lt;="&amp;AU$4,Devex_Land,1)</f>
        <v>-0</v>
      </c>
      <c r="AV55" s="33" t="n">
        <f aca="false">-SUMIFS(Devex_Keur,Devex_Date,"&gt;="&amp;AV$3,Devex_Date,"&lt;="&amp;AV$4,Devex_Land,1)</f>
        <v>-0</v>
      </c>
      <c r="AW55" s="33" t="n">
        <f aca="false">-SUMIFS(Devex_Keur,Devex_Date,"&gt;="&amp;AW$3,Devex_Date,"&lt;="&amp;AW$4,Devex_Land,1)</f>
        <v>-0</v>
      </c>
      <c r="AX55" s="33" t="n">
        <f aca="false">-SUMIFS(Devex_Keur,Devex_Date,"&gt;="&amp;AX$3,Devex_Date,"&lt;="&amp;AX$4,Devex_Land,1)</f>
        <v>-0</v>
      </c>
      <c r="AY55" s="33" t="n">
        <f aca="false">-SUMIFS(Devex_Keur,Devex_Date,"&gt;="&amp;AY$3,Devex_Date,"&lt;="&amp;AY$4,Devex_Land,1)</f>
        <v>-0</v>
      </c>
      <c r="AZ55" s="33" t="n">
        <f aca="false">-SUMIFS(Devex_Keur,Devex_Date,"&gt;="&amp;AZ$3,Devex_Date,"&lt;="&amp;AZ$4,Devex_Land,1)</f>
        <v>-0</v>
      </c>
      <c r="BA55" s="33" t="n">
        <f aca="false">-SUMIFS(Devex_Keur,Devex_Date,"&gt;="&amp;BA$3,Devex_Date,"&lt;="&amp;BA$4,Devex_Land,1)</f>
        <v>-0</v>
      </c>
      <c r="BB55" s="33" t="n">
        <f aca="false">-SUMIFS(Devex_Keur,Devex_Date,"&gt;="&amp;BB$3,Devex_Date,"&lt;="&amp;BB$4,Devex_Land,1)</f>
        <v>-0</v>
      </c>
      <c r="BC55" s="33" t="n">
        <f aca="false">-SUMIFS(Devex_Keur,Devex_Date,"&gt;="&amp;BC$3,Devex_Date,"&lt;="&amp;BC$4,Devex_Land,1)</f>
        <v>-0</v>
      </c>
      <c r="BD55" s="33" t="n">
        <f aca="false">-SUMIFS(Devex_Keur,Devex_Date,"&gt;="&amp;BD$3,Devex_Date,"&lt;="&amp;BD$4,Devex_Land,1)</f>
        <v>-0</v>
      </c>
      <c r="BE55" s="33" t="n">
        <f aca="false">-SUMIFS(Devex_Keur,Devex_Date,"&gt;="&amp;BE$3,Devex_Date,"&lt;="&amp;BE$4,Devex_Land,1)</f>
        <v>-0</v>
      </c>
      <c r="BF55" s="33" t="n">
        <f aca="false">-SUMIFS(Devex_Keur,Devex_Date,"&gt;="&amp;BF$3,Devex_Date,"&lt;="&amp;BF$4,Devex_Land,1)</f>
        <v>-0</v>
      </c>
      <c r="BG55" s="33" t="n">
        <f aca="false">-SUMIFS(Devex_Keur,Devex_Date,"&gt;="&amp;BG$3,Devex_Date,"&lt;="&amp;BG$4,Devex_Land,1)</f>
        <v>-0</v>
      </c>
      <c r="BH55" s="33" t="n">
        <f aca="false">-SUMIFS(Devex_Keur,Devex_Date,"&gt;="&amp;BH$3,Devex_Date,"&lt;="&amp;BH$4,Devex_Land,1)</f>
        <v>-0</v>
      </c>
      <c r="BI55" s="33" t="n">
        <f aca="false">-SUMIFS(Devex_Keur,Devex_Date,"&gt;="&amp;BI$3,Devex_Date,"&lt;="&amp;BI$4,Devex_Land,1)</f>
        <v>-0</v>
      </c>
      <c r="BJ55" s="33" t="n">
        <f aca="false">-SUMIFS(Devex_Keur,Devex_Date,"&gt;="&amp;BJ$3,Devex_Date,"&lt;="&amp;BJ$4,Devex_Land,1)</f>
        <v>-0</v>
      </c>
      <c r="BK55" s="33" t="n">
        <f aca="false">-SUMIFS(Devex_Keur,Devex_Date,"&gt;="&amp;BK$3,Devex_Date,"&lt;="&amp;BK$4,Devex_Land,1)</f>
        <v>-0</v>
      </c>
      <c r="BL55" s="33" t="n">
        <f aca="false">-SUMIFS(Devex_Keur,Devex_Date,"&gt;="&amp;BL$3,Devex_Date,"&lt;="&amp;BL$4,Devex_Land,1)</f>
        <v>-0</v>
      </c>
      <c r="BM55" s="33" t="n">
        <f aca="false">-SUMIFS(Devex_Keur,Devex_Date,"&gt;="&amp;BM$3,Devex_Date,"&lt;="&amp;BM$4,Devex_Land,1)</f>
        <v>-0</v>
      </c>
      <c r="BN55" s="33" t="n">
        <f aca="false">-SUMIFS(Devex_Keur,Devex_Date,"&gt;="&amp;BN$3,Devex_Date,"&lt;="&amp;BN$4,Devex_Land,1)</f>
        <v>-0</v>
      </c>
      <c r="BO55" s="33" t="n">
        <f aca="false">-SUMIFS(Devex_Keur,Devex_Date,"&gt;="&amp;BO$3,Devex_Date,"&lt;="&amp;BO$4,Devex_Land,1)</f>
        <v>-0</v>
      </c>
      <c r="BP55" s="33" t="n">
        <f aca="false">-SUMIFS(Devex_Keur,Devex_Date,"&gt;="&amp;BP$3,Devex_Date,"&lt;="&amp;BP$4,Devex_Land,1)</f>
        <v>-0</v>
      </c>
      <c r="BQ55" s="33" t="n">
        <f aca="false">-SUMIFS(Devex_Keur,Devex_Date,"&gt;="&amp;BQ$3,Devex_Date,"&lt;="&amp;BQ$4,Devex_Land,1)</f>
        <v>-0</v>
      </c>
      <c r="BR55" s="33" t="n">
        <f aca="false">-SUMIFS(Devex_Keur,Devex_Date,"&gt;="&amp;BR$3,Devex_Date,"&lt;="&amp;BR$4,Devex_Land,1)</f>
        <v>-0</v>
      </c>
      <c r="BS55" s="33" t="n">
        <f aca="false">-SUMIFS(Devex_Keur,Devex_Date,"&gt;="&amp;BS$3,Devex_Date,"&lt;="&amp;BS$4,Devex_Land,1)</f>
        <v>-0</v>
      </c>
      <c r="BT55" s="33" t="n">
        <f aca="false">-SUMIFS(Devex_Keur,Devex_Date,"&gt;="&amp;BT$3,Devex_Date,"&lt;="&amp;BT$4,Devex_Land,1)</f>
        <v>-0</v>
      </c>
      <c r="BU55" s="33" t="n">
        <f aca="false">-SUMIFS(Devex_Keur,Devex_Date,"&gt;="&amp;BU$3,Devex_Date,"&lt;="&amp;BU$4,Devex_Land,1)</f>
        <v>-0</v>
      </c>
      <c r="BV55" s="33" t="n">
        <f aca="false">-SUMIFS(Devex_Keur,Devex_Date,"&gt;="&amp;BV$3,Devex_Date,"&lt;="&amp;BV$4,Devex_Land,1)</f>
        <v>-0</v>
      </c>
      <c r="BW55" s="33" t="n">
        <f aca="false">-SUMIFS(Devex_Keur,Devex_Date,"&gt;="&amp;BW$3,Devex_Date,"&lt;="&amp;BW$4,Devex_Land,1)</f>
        <v>-0</v>
      </c>
      <c r="BX55" s="33" t="n">
        <f aca="false">-SUMIFS(Devex_Keur,Devex_Date,"&gt;="&amp;BX$3,Devex_Date,"&lt;="&amp;BX$4,Devex_Land,1)</f>
        <v>-0</v>
      </c>
      <c r="BY55" s="33" t="n">
        <f aca="false">-SUMIFS(Devex_Keur,Devex_Date,"&gt;="&amp;BY$3,Devex_Date,"&lt;="&amp;BY$4,Devex_Land,1)</f>
        <v>-0</v>
      </c>
      <c r="BZ55" s="33" t="n">
        <f aca="false">-SUMIFS(Devex_Keur,Devex_Date,"&gt;="&amp;BZ$3,Devex_Date,"&lt;="&amp;BZ$4,Devex_Land,1)</f>
        <v>-0</v>
      </c>
      <c r="CA55" s="33" t="n">
        <f aca="false">-SUMIFS(Devex_Keur,Devex_Date,"&gt;="&amp;CA$3,Devex_Date,"&lt;="&amp;CA$4,Devex_Land,1)</f>
        <v>-0</v>
      </c>
      <c r="CB55" s="33" t="n">
        <f aca="false">-SUMIFS(Devex_Keur,Devex_Date,"&gt;="&amp;CB$3,Devex_Date,"&lt;="&amp;CB$4,Devex_Land,1)</f>
        <v>-0</v>
      </c>
      <c r="CC55" s="33" t="n">
        <f aca="false">-SUMIFS(Devex_Keur,Devex_Date,"&gt;="&amp;CC$3,Devex_Date,"&lt;="&amp;CC$4,Devex_Land,1)</f>
        <v>-0</v>
      </c>
      <c r="CD55" s="33" t="n">
        <f aca="false">-SUMIFS(Devex_Keur,Devex_Date,"&gt;="&amp;CD$3,Devex_Date,"&lt;="&amp;CD$4,Devex_Land,1)</f>
        <v>-0</v>
      </c>
      <c r="CE55" s="33" t="n">
        <f aca="false">-SUMIFS(Devex_Keur,Devex_Date,"&gt;="&amp;CE$3,Devex_Date,"&lt;="&amp;CE$4,Devex_Land,1)</f>
        <v>-0</v>
      </c>
      <c r="CF55" s="33" t="n">
        <f aca="false">-SUMIFS(Devex_Keur,Devex_Date,"&gt;="&amp;CF$3,Devex_Date,"&lt;="&amp;CF$4,Devex_Land,1)</f>
        <v>-0</v>
      </c>
      <c r="CG55" s="33" t="n">
        <f aca="false">-SUMIFS(Devex_Keur,Devex_Date,"&gt;="&amp;CG$3,Devex_Date,"&lt;="&amp;CG$4,Devex_Land,1)</f>
        <v>-0</v>
      </c>
      <c r="CH55" s="33" t="n">
        <f aca="false">-SUMIFS(Devex_Keur,Devex_Date,"&gt;="&amp;CH$3,Devex_Date,"&lt;="&amp;CH$4,Devex_Land,1)</f>
        <v>-0</v>
      </c>
      <c r="CI55" s="33" t="n">
        <f aca="false">-SUMIFS(Devex_Keur,Devex_Date,"&gt;="&amp;CI$3,Devex_Date,"&lt;="&amp;CI$4,Devex_Land,1)</f>
        <v>-0</v>
      </c>
      <c r="CJ55" s="33" t="n">
        <f aca="false">-SUMIFS(Devex_Keur,Devex_Date,"&gt;="&amp;CJ$3,Devex_Date,"&lt;="&amp;CJ$4,Devex_Land,1)</f>
        <v>-0</v>
      </c>
      <c r="CK55" s="33" t="n">
        <f aca="false">-SUMIFS(Devex_Keur,Devex_Date,"&gt;="&amp;CK$3,Devex_Date,"&lt;="&amp;CK$4,Devex_Land,1)</f>
        <v>-0</v>
      </c>
      <c r="CL55" s="33" t="n">
        <f aca="false">-SUMIFS(Devex_Keur,Devex_Date,"&gt;="&amp;CL$3,Devex_Date,"&lt;="&amp;CL$4,Devex_Land,1)</f>
        <v>-0</v>
      </c>
      <c r="CM55" s="33" t="n">
        <f aca="false">-SUMIFS(Devex_Keur,Devex_Date,"&gt;="&amp;CM$3,Devex_Date,"&lt;="&amp;CM$4,Devex_Land,1)</f>
        <v>-0</v>
      </c>
      <c r="CN55" s="33" t="n">
        <f aca="false">-SUMIFS(Devex_Keur,Devex_Date,"&gt;="&amp;CN$3,Devex_Date,"&lt;="&amp;CN$4,Devex_Land,1)</f>
        <v>-0</v>
      </c>
      <c r="CO55" s="33" t="n">
        <f aca="false">-SUMIFS(Devex_Keur,Devex_Date,"&gt;="&amp;CO$3,Devex_Date,"&lt;="&amp;CO$4,Devex_Land,1)</f>
        <v>-0</v>
      </c>
      <c r="CP55" s="33" t="n">
        <f aca="false">-SUMIFS(Devex_Keur,Devex_Date,"&gt;="&amp;CP$3,Devex_Date,"&lt;="&amp;CP$4,Devex_Land,1)</f>
        <v>-0</v>
      </c>
      <c r="CQ55" s="33" t="n">
        <f aca="false">-SUMIFS(Devex_Keur,Devex_Date,"&gt;="&amp;CQ$3,Devex_Date,"&lt;="&amp;CQ$4,Devex_Land,1)</f>
        <v>-0</v>
      </c>
      <c r="CR55" s="33" t="n">
        <f aca="false">-SUMIFS(Devex_Keur,Devex_Date,"&gt;="&amp;CR$3,Devex_Date,"&lt;="&amp;CR$4,Devex_Land,1)</f>
        <v>-0</v>
      </c>
      <c r="CS55" s="33" t="n">
        <f aca="false">-SUMIFS(Devex_Keur,Devex_Date,"&gt;="&amp;CS$3,Devex_Date,"&lt;="&amp;CS$4,Devex_Land,1)</f>
        <v>-0</v>
      </c>
      <c r="CT55" s="33" t="n">
        <f aca="false">-SUMIFS(Devex_Keur,Devex_Date,"&gt;="&amp;CT$3,Devex_Date,"&lt;="&amp;CT$4,Devex_Land,1)</f>
        <v>-0</v>
      </c>
      <c r="CU55" s="33" t="n">
        <f aca="false">-SUMIFS(Devex_Keur,Devex_Date,"&gt;="&amp;CU$3,Devex_Date,"&lt;="&amp;CU$4,Devex_Land,1)</f>
        <v>-0</v>
      </c>
      <c r="CV55" s="33" t="n">
        <f aca="false">-SUMIFS(Devex_Keur,Devex_Date,"&gt;="&amp;CV$3,Devex_Date,"&lt;="&amp;CV$4,Devex_Land,1)</f>
        <v>-0</v>
      </c>
      <c r="CW55" s="33" t="n">
        <f aca="false">-SUMIFS(Devex_Keur,Devex_Date,"&gt;="&amp;CW$3,Devex_Date,"&lt;="&amp;CW$4,Devex_Land,1)</f>
        <v>-0</v>
      </c>
      <c r="CX55" s="33" t="n">
        <f aca="false">-SUMIFS(Devex_Keur,Devex_Date,"&gt;="&amp;CX$3,Devex_Date,"&lt;="&amp;CX$4,Devex_Land,1)</f>
        <v>-0</v>
      </c>
      <c r="CY55" s="33" t="n">
        <f aca="false">-SUMIFS(Devex_Keur,Devex_Date,"&gt;="&amp;CY$3,Devex_Date,"&lt;="&amp;CY$4,Devex_Land,1)</f>
        <v>-0</v>
      </c>
      <c r="CZ55" s="33" t="n">
        <f aca="false">-SUMIFS(Devex_Keur,Devex_Date,"&gt;="&amp;CZ$3,Devex_Date,"&lt;="&amp;CZ$4,Devex_Land,1)</f>
        <v>-0</v>
      </c>
      <c r="DA55" s="33" t="n">
        <f aca="false">-SUMIFS(Devex_Keur,Devex_Date,"&gt;="&amp;DA$3,Devex_Date,"&lt;="&amp;DA$4,Devex_Land,1)</f>
        <v>-0</v>
      </c>
      <c r="DB55" s="33" t="n">
        <f aca="false">-SUMIFS(Devex_Keur,Devex_Date,"&gt;="&amp;DB$3,Devex_Date,"&lt;="&amp;DB$4,Devex_Land,1)</f>
        <v>-0</v>
      </c>
      <c r="DC55" s="33" t="n">
        <f aca="false">-SUMIFS(Devex_Keur,Devex_Date,"&gt;="&amp;DC$3,Devex_Date,"&lt;="&amp;DC$4,Devex_Land,1)</f>
        <v>-0</v>
      </c>
      <c r="DD55" s="33" t="n">
        <f aca="false">-SUMIFS(Devex_Keur,Devex_Date,"&gt;="&amp;DD$3,Devex_Date,"&lt;="&amp;DD$4,Devex_Land,1)</f>
        <v>-0</v>
      </c>
      <c r="DE55" s="33" t="n">
        <f aca="false">-SUMIFS(Devex_Keur,Devex_Date,"&gt;="&amp;DE$3,Devex_Date,"&lt;="&amp;DE$4,Devex_Land,1)</f>
        <v>-0</v>
      </c>
      <c r="DF55" s="33" t="n">
        <f aca="false">-SUMIFS(Devex_Keur,Devex_Date,"&gt;="&amp;DF$3,Devex_Date,"&lt;="&amp;DF$4,Devex_Land,1)</f>
        <v>-0</v>
      </c>
      <c r="DG55" s="33" t="n">
        <f aca="false">-SUMIFS(Devex_Keur,Devex_Date,"&gt;="&amp;DG$3,Devex_Date,"&lt;="&amp;DG$4,Devex_Land,1)</f>
        <v>-0</v>
      </c>
      <c r="DH55" s="33" t="n">
        <f aca="false">-SUMIFS(Devex_Keur,Devex_Date,"&gt;="&amp;DH$3,Devex_Date,"&lt;="&amp;DH$4,Devex_Land,1)</f>
        <v>-0</v>
      </c>
      <c r="DI55" s="33" t="n">
        <f aca="false">-SUMIFS(Devex_Keur,Devex_Date,"&gt;="&amp;DI$3,Devex_Date,"&lt;="&amp;DI$4,Devex_Land,1)</f>
        <v>-0</v>
      </c>
      <c r="DJ55" s="33" t="n">
        <f aca="false">-SUMIFS(Devex_Keur,Devex_Date,"&gt;="&amp;DJ$3,Devex_Date,"&lt;="&amp;DJ$4,Devex_Land,1)</f>
        <v>-0</v>
      </c>
      <c r="DK55" s="33" t="n">
        <f aca="false">-SUMIFS(Devex_Keur,Devex_Date,"&gt;="&amp;DK$3,Devex_Date,"&lt;="&amp;DK$4,Devex_Land,1)</f>
        <v>-0</v>
      </c>
      <c r="DL55" s="33" t="n">
        <f aca="false">-SUMIFS(Devex_Keur,Devex_Date,"&gt;="&amp;DL$3,Devex_Date,"&lt;="&amp;DL$4,Devex_Land,1)</f>
        <v>-0</v>
      </c>
      <c r="DM55" s="33" t="n">
        <f aca="false">-SUMIFS(Devex_Keur,Devex_Date,"&gt;="&amp;DM$3,Devex_Date,"&lt;="&amp;DM$4,Devex_Land,1)</f>
        <v>-0</v>
      </c>
      <c r="DN55" s="33" t="n">
        <f aca="false">-SUMIFS(Devex_Keur,Devex_Date,"&gt;="&amp;DN$3,Devex_Date,"&lt;="&amp;DN$4,Devex_Land,1)</f>
        <v>-0</v>
      </c>
      <c r="DO55" s="33" t="n">
        <f aca="false">-SUMIFS(Devex_Keur,Devex_Date,"&gt;="&amp;DO$3,Devex_Date,"&lt;="&amp;DO$4,Devex_Land,1)</f>
        <v>-0</v>
      </c>
      <c r="DP55" s="33" t="n">
        <f aca="false">-SUMIFS(Devex_Keur,Devex_Date,"&gt;="&amp;DP$3,Devex_Date,"&lt;="&amp;DP$4,Devex_Land,1)</f>
        <v>-0</v>
      </c>
      <c r="DQ55" s="33" t="n">
        <f aca="false">-SUMIFS(Devex_Keur,Devex_Date,"&gt;="&amp;DQ$3,Devex_Date,"&lt;="&amp;DQ$4,Devex_Land,1)</f>
        <v>-0</v>
      </c>
      <c r="DR55" s="33" t="n">
        <f aca="false">-SUMIFS(Devex_Keur,Devex_Date,"&gt;="&amp;DR$3,Devex_Date,"&lt;="&amp;DR$4,Devex_Land,1)</f>
        <v>-0</v>
      </c>
      <c r="DS55" s="33" t="n">
        <f aca="false">-SUMIFS(Devex_Keur,Devex_Date,"&gt;="&amp;DS$3,Devex_Date,"&lt;="&amp;DS$4,Devex_Land,1)</f>
        <v>-0</v>
      </c>
      <c r="DT55" s="33" t="n">
        <f aca="false">-SUMIFS(Devex_Keur,Devex_Date,"&gt;="&amp;DT$3,Devex_Date,"&lt;="&amp;DT$4,Devex_Land,1)</f>
        <v>-0</v>
      </c>
      <c r="DU55" s="33" t="n">
        <f aca="false">-SUMIFS(Devex_Keur,Devex_Date,"&gt;="&amp;DU$3,Devex_Date,"&lt;="&amp;DU$4,Devex_Land,1)</f>
        <v>-0</v>
      </c>
      <c r="DV55" s="33" t="n">
        <f aca="false">-SUMIFS(Devex_Keur,Devex_Date,"&gt;="&amp;DV$3,Devex_Date,"&lt;="&amp;DV$4,Devex_Land,1)</f>
        <v>-0</v>
      </c>
      <c r="DW55" s="33" t="n">
        <f aca="false">-SUMIFS(Devex_Keur,Devex_Date,"&gt;="&amp;DW$3,Devex_Date,"&lt;="&amp;DW$4,Devex_Land,1)</f>
        <v>-0</v>
      </c>
      <c r="DX55" s="33" t="n">
        <f aca="false">-SUMIFS(Devex_Keur,Devex_Date,"&gt;="&amp;DX$3,Devex_Date,"&lt;="&amp;DX$4,Devex_Land,1)</f>
        <v>-0</v>
      </c>
      <c r="DY55" s="33" t="n">
        <f aca="false">-SUMIFS(Devex_Keur,Devex_Date,"&gt;="&amp;DY$3,Devex_Date,"&lt;="&amp;DY$4,Devex_Land,1)</f>
        <v>-0</v>
      </c>
      <c r="DZ55" s="33" t="n">
        <f aca="false">-SUMIFS(Devex_Keur,Devex_Date,"&gt;="&amp;DZ$3,Devex_Date,"&lt;="&amp;DZ$4,Devex_Land,1)</f>
        <v>-0</v>
      </c>
      <c r="EA55" s="33" t="n">
        <f aca="false">-SUMIFS(Devex_Keur,Devex_Date,"&gt;="&amp;EA$3,Devex_Date,"&lt;="&amp;EA$4,Devex_Land,1)</f>
        <v>-0</v>
      </c>
      <c r="EB55" s="33" t="n">
        <f aca="false">-SUMIFS(Devex_Keur,Devex_Date,"&gt;="&amp;EB$3,Devex_Date,"&lt;="&amp;EB$4,Devex_Land,1)</f>
        <v>-0</v>
      </c>
      <c r="EC55" s="33" t="n">
        <f aca="false">-SUMIFS(Devex_Keur,Devex_Date,"&gt;="&amp;EC$3,Devex_Date,"&lt;="&amp;EC$4,Devex_Land,1)</f>
        <v>-0</v>
      </c>
      <c r="ED55" s="33" t="n">
        <f aca="false">-SUMIFS(Devex_Keur,Devex_Date,"&gt;="&amp;ED$3,Devex_Date,"&lt;="&amp;ED$4,Devex_Land,1)</f>
        <v>-0</v>
      </c>
      <c r="EE55" s="33" t="n">
        <f aca="false">-SUMIFS(Devex_Keur,Devex_Date,"&gt;="&amp;EE$3,Devex_Date,"&lt;="&amp;EE$4,Devex_Land,1)</f>
        <v>-0</v>
      </c>
      <c r="EF55" s="33" t="n">
        <f aca="false">-SUMIFS(Devex_Keur,Devex_Date,"&gt;="&amp;EF$3,Devex_Date,"&lt;="&amp;EF$4,Devex_Land,1)</f>
        <v>-0</v>
      </c>
      <c r="EG55" s="33" t="n">
        <f aca="false">-SUMIFS(Devex_Keur,Devex_Date,"&gt;="&amp;EG$3,Devex_Date,"&lt;="&amp;EG$4,Devex_Land,1)</f>
        <v>-0</v>
      </c>
      <c r="EH55" s="33" t="n">
        <f aca="false">-SUMIFS(Devex_Keur,Devex_Date,"&gt;="&amp;EH$3,Devex_Date,"&lt;="&amp;EH$4,Devex_Land,1)</f>
        <v>-0</v>
      </c>
      <c r="EI55" s="33" t="n">
        <f aca="false">-SUMIFS(Devex_Keur,Devex_Date,"&gt;="&amp;EI$3,Devex_Date,"&lt;="&amp;EI$4,Devex_Land,1)</f>
        <v>-0</v>
      </c>
      <c r="EJ55" s="33" t="n">
        <f aca="false">-SUMIFS(Devex_Keur,Devex_Date,"&gt;="&amp;EJ$3,Devex_Date,"&lt;="&amp;EJ$4,Devex_Land,1)</f>
        <v>-0</v>
      </c>
      <c r="EK55" s="33" t="n">
        <f aca="false">-SUMIFS(Devex_Keur,Devex_Date,"&gt;="&amp;EK$3,Devex_Date,"&lt;="&amp;EK$4,Devex_Land,1)</f>
        <v>-0</v>
      </c>
      <c r="EL55" s="33" t="n">
        <f aca="false">-SUMIFS(Devex_Keur,Devex_Date,"&gt;="&amp;EL$3,Devex_Date,"&lt;="&amp;EL$4,Devex_Land,1)</f>
        <v>-0</v>
      </c>
      <c r="EM55" s="33" t="n">
        <f aca="false">-SUMIFS(Devex_Keur,Devex_Date,"&gt;="&amp;EM$3,Devex_Date,"&lt;="&amp;EM$4,Devex_Land,1)</f>
        <v>-0</v>
      </c>
      <c r="EN55" s="33" t="n">
        <f aca="false">-SUMIFS(Devex_Keur,Devex_Date,"&gt;="&amp;EN$3,Devex_Date,"&lt;="&amp;EN$4,Devex_Land,1)</f>
        <v>-0</v>
      </c>
      <c r="EO55" s="33" t="n">
        <f aca="false">-SUMIFS(Devex_Keur,Devex_Date,"&gt;="&amp;EO$3,Devex_Date,"&lt;="&amp;EO$4,Devex_Land,1)</f>
        <v>-0</v>
      </c>
      <c r="EP55" s="33" t="n">
        <f aca="false">-SUMIFS(Devex_Keur,Devex_Date,"&gt;="&amp;EP$3,Devex_Date,"&lt;="&amp;EP$4,Devex_Land,1)</f>
        <v>-0</v>
      </c>
      <c r="EQ55" s="33" t="n">
        <f aca="false">-SUMIFS(Devex_Keur,Devex_Date,"&gt;="&amp;EQ$3,Devex_Date,"&lt;="&amp;EQ$4,Devex_Land,1)</f>
        <v>-0</v>
      </c>
      <c r="ER55" s="33" t="n">
        <f aca="false">-SUMIFS(Devex_Keur,Devex_Date,"&gt;="&amp;ER$3,Devex_Date,"&lt;="&amp;ER$4,Devex_Land,1)</f>
        <v>-0</v>
      </c>
      <c r="ES55" s="33" t="n">
        <f aca="false">-SUMIFS(Devex_Keur,Devex_Date,"&gt;="&amp;ES$3,Devex_Date,"&lt;="&amp;ES$4,Devex_Land,1)</f>
        <v>-0</v>
      </c>
      <c r="ET55" s="3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516</v>
      </c>
      <c r="D56" s="11" t="s">
        <v>247</v>
      </c>
      <c r="E56" s="33" t="n">
        <f aca="false">In_Devex_Contingency*(SUM(Devex_Keur)+$E47)</f>
        <v>284.349426368465</v>
      </c>
      <c r="F56" s="27" t="n">
        <f aca="false">In_Contingency_Date</f>
        <v>47118</v>
      </c>
      <c r="I56" s="33" t="n">
        <f aca="false">SUM(J56:ET56)</f>
        <v>-284.349426368465</v>
      </c>
      <c r="J56" s="33" t="n">
        <f aca="false">-$E56*N(AND(J$3&lt;=$F56,J$4&gt;=$F56))</f>
        <v>-0</v>
      </c>
      <c r="K56" s="33" t="n">
        <f aca="false">-$E56*N(AND(K$3&lt;=$F56,K$4&gt;=$F56))</f>
        <v>-0</v>
      </c>
      <c r="L56" s="33" t="n">
        <f aca="false">-$E56*N(AND(L$3&lt;=$F56,L$4&gt;=$F56))</f>
        <v>-0</v>
      </c>
      <c r="M56" s="33" t="n">
        <f aca="false">-$E56*N(AND(M$3&lt;=$F56,M$4&gt;=$F56))</f>
        <v>-0</v>
      </c>
      <c r="N56" s="33" t="n">
        <f aca="false">-$E56*N(AND(N$3&lt;=$F56,N$4&gt;=$F56))</f>
        <v>-0</v>
      </c>
      <c r="O56" s="33" t="n">
        <f aca="false">-$E56*N(AND(O$3&lt;=$F56,O$4&gt;=$F56))</f>
        <v>-0</v>
      </c>
      <c r="P56" s="33" t="n">
        <f aca="false">-$E56*N(AND(P$3&lt;=$F56,P$4&gt;=$F56))</f>
        <v>-0</v>
      </c>
      <c r="Q56" s="33" t="n">
        <f aca="false">-$E56*N(AND(Q$3&lt;=$F56,Q$4&gt;=$F56))</f>
        <v>-0</v>
      </c>
      <c r="R56" s="33" t="n">
        <f aca="false">-$E56*N(AND(R$3&lt;=$F56,R$4&gt;=$F56))</f>
        <v>-0</v>
      </c>
      <c r="S56" s="33" t="n">
        <f aca="false">-$E56*N(AND(S$3&lt;=$F56,S$4&gt;=$F56))</f>
        <v>-284.349426368465</v>
      </c>
      <c r="T56" s="33" t="n">
        <f aca="false">-$E56*N(AND(T$3&lt;=$F56,T$4&gt;=$F56))</f>
        <v>-0</v>
      </c>
      <c r="U56" s="33" t="n">
        <f aca="false">-$E56*N(AND(U$3&lt;=$F56,U$4&gt;=$F56))</f>
        <v>-0</v>
      </c>
      <c r="V56" s="33" t="n">
        <f aca="false">-$E56*N(AND(V$3&lt;=$F56,V$4&gt;=$F56))</f>
        <v>-0</v>
      </c>
      <c r="W56" s="33" t="n">
        <f aca="false">-$E56*N(AND(W$3&lt;=$F56,W$4&gt;=$F56))</f>
        <v>-0</v>
      </c>
      <c r="X56" s="33" t="n">
        <f aca="false">-$E56*N(AND(X$3&lt;=$F56,X$4&gt;=$F56))</f>
        <v>-0</v>
      </c>
      <c r="Y56" s="33" t="n">
        <f aca="false">-$E56*N(AND(Y$3&lt;=$F56,Y$4&gt;=$F56))</f>
        <v>-0</v>
      </c>
      <c r="Z56" s="33" t="n">
        <f aca="false">-$E56*N(AND(Z$3&lt;=$F56,Z$4&gt;=$F56))</f>
        <v>-0</v>
      </c>
      <c r="AA56" s="33" t="n">
        <f aca="false">-$E56*N(AND(AA$3&lt;=$F56,AA$4&gt;=$F56))</f>
        <v>-0</v>
      </c>
      <c r="AB56" s="33" t="n">
        <f aca="false">-$E56*N(AND(AB$3&lt;=$F56,AB$4&gt;=$F56))</f>
        <v>-0</v>
      </c>
      <c r="AC56" s="33" t="n">
        <f aca="false">-$E56*N(AND(AC$3&lt;=$F56,AC$4&gt;=$F56))</f>
        <v>-0</v>
      </c>
      <c r="AD56" s="33" t="n">
        <f aca="false">-$E56*N(AND(AD$3&lt;=$F56,AD$4&gt;=$F56))</f>
        <v>-0</v>
      </c>
      <c r="AE56" s="33" t="n">
        <f aca="false">-$E56*N(AND(AE$3&lt;=$F56,AE$4&gt;=$F56))</f>
        <v>-0</v>
      </c>
      <c r="AF56" s="33" t="n">
        <f aca="false">-$E56*N(AND(AF$3&lt;=$F56,AF$4&gt;=$F56))</f>
        <v>-0</v>
      </c>
      <c r="AG56" s="33" t="n">
        <f aca="false">-$E56*N(AND(AG$3&lt;=$F56,AG$4&gt;=$F56))</f>
        <v>-0</v>
      </c>
      <c r="AH56" s="33" t="n">
        <f aca="false">-$E56*N(AND(AH$3&lt;=$F56,AH$4&gt;=$F56))</f>
        <v>-0</v>
      </c>
      <c r="AI56" s="33" t="n">
        <f aca="false">-$E56*N(AND(AI$3&lt;=$F56,AI$4&gt;=$F56))</f>
        <v>-0</v>
      </c>
      <c r="AJ56" s="33" t="n">
        <f aca="false">-$E56*N(AND(AJ$3&lt;=$F56,AJ$4&gt;=$F56))</f>
        <v>-0</v>
      </c>
      <c r="AK56" s="33" t="n">
        <f aca="false">-$E56*N(AND(AK$3&lt;=$F56,AK$4&gt;=$F56))</f>
        <v>-0</v>
      </c>
      <c r="AL56" s="33" t="n">
        <f aca="false">-$E56*N(AND(AL$3&lt;=$F56,AL$4&gt;=$F56))</f>
        <v>-0</v>
      </c>
      <c r="AM56" s="33" t="n">
        <f aca="false">-$E56*N(AND(AM$3&lt;=$F56,AM$4&gt;=$F56))</f>
        <v>-0</v>
      </c>
      <c r="AN56" s="33" t="n">
        <f aca="false">-$E56*N(AND(AN$3&lt;=$F56,AN$4&gt;=$F56))</f>
        <v>-0</v>
      </c>
      <c r="AO56" s="33" t="n">
        <f aca="false">-$E56*N(AND(AO$3&lt;=$F56,AO$4&gt;=$F56))</f>
        <v>-0</v>
      </c>
      <c r="AP56" s="33" t="n">
        <f aca="false">-$E56*N(AND(AP$3&lt;=$F56,AP$4&gt;=$F56))</f>
        <v>-0</v>
      </c>
      <c r="AQ56" s="33" t="n">
        <f aca="false">-$E56*N(AND(AQ$3&lt;=$F56,AQ$4&gt;=$F56))</f>
        <v>-0</v>
      </c>
      <c r="AR56" s="33" t="n">
        <f aca="false">-$E56*N(AND(AR$3&lt;=$F56,AR$4&gt;=$F56))</f>
        <v>-0</v>
      </c>
      <c r="AS56" s="33" t="n">
        <f aca="false">-$E56*N(AND(AS$3&lt;=$F56,AS$4&gt;=$F56))</f>
        <v>-0</v>
      </c>
      <c r="AT56" s="33" t="n">
        <f aca="false">-$E56*N(AND(AT$3&lt;=$F56,AT$4&gt;=$F56))</f>
        <v>-0</v>
      </c>
      <c r="AU56" s="33" t="n">
        <f aca="false">-$E56*N(AND(AU$3&lt;=$F56,AU$4&gt;=$F56))</f>
        <v>-0</v>
      </c>
      <c r="AV56" s="33" t="n">
        <f aca="false">-$E56*N(AND(AV$3&lt;=$F56,AV$4&gt;=$F56))</f>
        <v>-0</v>
      </c>
      <c r="AW56" s="33" t="n">
        <f aca="false">-$E56*N(AND(AW$3&lt;=$F56,AW$4&gt;=$F56))</f>
        <v>-0</v>
      </c>
      <c r="AX56" s="33" t="n">
        <f aca="false">-$E56*N(AND(AX$3&lt;=$F56,AX$4&gt;=$F56))</f>
        <v>-0</v>
      </c>
      <c r="AY56" s="33" t="n">
        <f aca="false">-$E56*N(AND(AY$3&lt;=$F56,AY$4&gt;=$F56))</f>
        <v>-0</v>
      </c>
      <c r="AZ56" s="33" t="n">
        <f aca="false">-$E56*N(AND(AZ$3&lt;=$F56,AZ$4&gt;=$F56))</f>
        <v>-0</v>
      </c>
      <c r="BA56" s="33" t="n">
        <f aca="false">-$E56*N(AND(BA$3&lt;=$F56,BA$4&gt;=$F56))</f>
        <v>-0</v>
      </c>
      <c r="BB56" s="33" t="n">
        <f aca="false">-$E56*N(AND(BB$3&lt;=$F56,BB$4&gt;=$F56))</f>
        <v>-0</v>
      </c>
      <c r="BC56" s="33" t="n">
        <f aca="false">-$E56*N(AND(BC$3&lt;=$F56,BC$4&gt;=$F56))</f>
        <v>-0</v>
      </c>
      <c r="BD56" s="33" t="n">
        <f aca="false">-$E56*N(AND(BD$3&lt;=$F56,BD$4&gt;=$F56))</f>
        <v>-0</v>
      </c>
      <c r="BE56" s="33" t="n">
        <f aca="false">-$E56*N(AND(BE$3&lt;=$F56,BE$4&gt;=$F56))</f>
        <v>-0</v>
      </c>
      <c r="BF56" s="33" t="n">
        <f aca="false">-$E56*N(AND(BF$3&lt;=$F56,BF$4&gt;=$F56))</f>
        <v>-0</v>
      </c>
      <c r="BG56" s="33" t="n">
        <f aca="false">-$E56*N(AND(BG$3&lt;=$F56,BG$4&gt;=$F56))</f>
        <v>-0</v>
      </c>
      <c r="BH56" s="33" t="n">
        <f aca="false">-$E56*N(AND(BH$3&lt;=$F56,BH$4&gt;=$F56))</f>
        <v>-0</v>
      </c>
      <c r="BI56" s="33" t="n">
        <f aca="false">-$E56*N(AND(BI$3&lt;=$F56,BI$4&gt;=$F56))</f>
        <v>-0</v>
      </c>
      <c r="BJ56" s="33" t="n">
        <f aca="false">-$E56*N(AND(BJ$3&lt;=$F56,BJ$4&gt;=$F56))</f>
        <v>-0</v>
      </c>
      <c r="BK56" s="33" t="n">
        <f aca="false">-$E56*N(AND(BK$3&lt;=$F56,BK$4&gt;=$F56))</f>
        <v>-0</v>
      </c>
      <c r="BL56" s="33" t="n">
        <f aca="false">-$E56*N(AND(BL$3&lt;=$F56,BL$4&gt;=$F56))</f>
        <v>-0</v>
      </c>
      <c r="BM56" s="33" t="n">
        <f aca="false">-$E56*N(AND(BM$3&lt;=$F56,BM$4&gt;=$F56))</f>
        <v>-0</v>
      </c>
      <c r="BN56" s="33" t="n">
        <f aca="false">-$E56*N(AND(BN$3&lt;=$F56,BN$4&gt;=$F56))</f>
        <v>-0</v>
      </c>
      <c r="BO56" s="33" t="n">
        <f aca="false">-$E56*N(AND(BO$3&lt;=$F56,BO$4&gt;=$F56))</f>
        <v>-0</v>
      </c>
      <c r="BP56" s="33" t="n">
        <f aca="false">-$E56*N(AND(BP$3&lt;=$F56,BP$4&gt;=$F56))</f>
        <v>-0</v>
      </c>
      <c r="BQ56" s="33" t="n">
        <f aca="false">-$E56*N(AND(BQ$3&lt;=$F56,BQ$4&gt;=$F56))</f>
        <v>-0</v>
      </c>
      <c r="BR56" s="33" t="n">
        <f aca="false">-$E56*N(AND(BR$3&lt;=$F56,BR$4&gt;=$F56))</f>
        <v>-0</v>
      </c>
      <c r="BS56" s="33" t="n">
        <f aca="false">-$E56*N(AND(BS$3&lt;=$F56,BS$4&gt;=$F56))</f>
        <v>-0</v>
      </c>
      <c r="BT56" s="33" t="n">
        <f aca="false">-$E56*N(AND(BT$3&lt;=$F56,BT$4&gt;=$F56))</f>
        <v>-0</v>
      </c>
      <c r="BU56" s="33" t="n">
        <f aca="false">-$E56*N(AND(BU$3&lt;=$F56,BU$4&gt;=$F56))</f>
        <v>-0</v>
      </c>
      <c r="BV56" s="33" t="n">
        <f aca="false">-$E56*N(AND(BV$3&lt;=$F56,BV$4&gt;=$F56))</f>
        <v>-0</v>
      </c>
      <c r="BW56" s="33" t="n">
        <f aca="false">-$E56*N(AND(BW$3&lt;=$F56,BW$4&gt;=$F56))</f>
        <v>-0</v>
      </c>
      <c r="BX56" s="33" t="n">
        <f aca="false">-$E56*N(AND(BX$3&lt;=$F56,BX$4&gt;=$F56))</f>
        <v>-0</v>
      </c>
      <c r="BY56" s="33" t="n">
        <f aca="false">-$E56*N(AND(BY$3&lt;=$F56,BY$4&gt;=$F56))</f>
        <v>-0</v>
      </c>
      <c r="BZ56" s="33" t="n">
        <f aca="false">-$E56*N(AND(BZ$3&lt;=$F56,BZ$4&gt;=$F56))</f>
        <v>-0</v>
      </c>
      <c r="CA56" s="33" t="n">
        <f aca="false">-$E56*N(AND(CA$3&lt;=$F56,CA$4&gt;=$F56))</f>
        <v>-0</v>
      </c>
      <c r="CB56" s="33" t="n">
        <f aca="false">-$E56*N(AND(CB$3&lt;=$F56,CB$4&gt;=$F56))</f>
        <v>-0</v>
      </c>
      <c r="CC56" s="33" t="n">
        <f aca="false">-$E56*N(AND(CC$3&lt;=$F56,CC$4&gt;=$F56))</f>
        <v>-0</v>
      </c>
      <c r="CD56" s="33" t="n">
        <f aca="false">-$E56*N(AND(CD$3&lt;=$F56,CD$4&gt;=$F56))</f>
        <v>-0</v>
      </c>
      <c r="CE56" s="33" t="n">
        <f aca="false">-$E56*N(AND(CE$3&lt;=$F56,CE$4&gt;=$F56))</f>
        <v>-0</v>
      </c>
      <c r="CF56" s="33" t="n">
        <f aca="false">-$E56*N(AND(CF$3&lt;=$F56,CF$4&gt;=$F56))</f>
        <v>-0</v>
      </c>
      <c r="CG56" s="33" t="n">
        <f aca="false">-$E56*N(AND(CG$3&lt;=$F56,CG$4&gt;=$F56))</f>
        <v>-0</v>
      </c>
      <c r="CH56" s="33" t="n">
        <f aca="false">-$E56*N(AND(CH$3&lt;=$F56,CH$4&gt;=$F56))</f>
        <v>-0</v>
      </c>
      <c r="CI56" s="33" t="n">
        <f aca="false">-$E56*N(AND(CI$3&lt;=$F56,CI$4&gt;=$F56))</f>
        <v>-0</v>
      </c>
      <c r="CJ56" s="33" t="n">
        <f aca="false">-$E56*N(AND(CJ$3&lt;=$F56,CJ$4&gt;=$F56))</f>
        <v>-0</v>
      </c>
      <c r="CK56" s="33" t="n">
        <f aca="false">-$E56*N(AND(CK$3&lt;=$F56,CK$4&gt;=$F56))</f>
        <v>-0</v>
      </c>
      <c r="CL56" s="33" t="n">
        <f aca="false">-$E56*N(AND(CL$3&lt;=$F56,CL$4&gt;=$F56))</f>
        <v>-0</v>
      </c>
      <c r="CM56" s="33" t="n">
        <f aca="false">-$E56*N(AND(CM$3&lt;=$F56,CM$4&gt;=$F56))</f>
        <v>-0</v>
      </c>
      <c r="CN56" s="33" t="n">
        <f aca="false">-$E56*N(AND(CN$3&lt;=$F56,CN$4&gt;=$F56))</f>
        <v>-0</v>
      </c>
      <c r="CO56" s="33" t="n">
        <f aca="false">-$E56*N(AND(CO$3&lt;=$F56,CO$4&gt;=$F56))</f>
        <v>-0</v>
      </c>
      <c r="CP56" s="33" t="n">
        <f aca="false">-$E56*N(AND(CP$3&lt;=$F56,CP$4&gt;=$F56))</f>
        <v>-0</v>
      </c>
      <c r="CQ56" s="33" t="n">
        <f aca="false">-$E56*N(AND(CQ$3&lt;=$F56,CQ$4&gt;=$F56))</f>
        <v>-0</v>
      </c>
      <c r="CR56" s="33" t="n">
        <f aca="false">-$E56*N(AND(CR$3&lt;=$F56,CR$4&gt;=$F56))</f>
        <v>-0</v>
      </c>
      <c r="CS56" s="33" t="n">
        <f aca="false">-$E56*N(AND(CS$3&lt;=$F56,CS$4&gt;=$F56))</f>
        <v>-0</v>
      </c>
      <c r="CT56" s="33" t="n">
        <f aca="false">-$E56*N(AND(CT$3&lt;=$F56,CT$4&gt;=$F56))</f>
        <v>-0</v>
      </c>
      <c r="CU56" s="33" t="n">
        <f aca="false">-$E56*N(AND(CU$3&lt;=$F56,CU$4&gt;=$F56))</f>
        <v>-0</v>
      </c>
      <c r="CV56" s="33" t="n">
        <f aca="false">-$E56*N(AND(CV$3&lt;=$F56,CV$4&gt;=$F56))</f>
        <v>-0</v>
      </c>
      <c r="CW56" s="33" t="n">
        <f aca="false">-$E56*N(AND(CW$3&lt;=$F56,CW$4&gt;=$F56))</f>
        <v>-0</v>
      </c>
      <c r="CX56" s="33" t="n">
        <f aca="false">-$E56*N(AND(CX$3&lt;=$F56,CX$4&gt;=$F56))</f>
        <v>-0</v>
      </c>
      <c r="CY56" s="33" t="n">
        <f aca="false">-$E56*N(AND(CY$3&lt;=$F56,CY$4&gt;=$F56))</f>
        <v>-0</v>
      </c>
      <c r="CZ56" s="33" t="n">
        <f aca="false">-$E56*N(AND(CZ$3&lt;=$F56,CZ$4&gt;=$F56))</f>
        <v>-0</v>
      </c>
      <c r="DA56" s="33" t="n">
        <f aca="false">-$E56*N(AND(DA$3&lt;=$F56,DA$4&gt;=$F56))</f>
        <v>-0</v>
      </c>
      <c r="DB56" s="33" t="n">
        <f aca="false">-$E56*N(AND(DB$3&lt;=$F56,DB$4&gt;=$F56))</f>
        <v>-0</v>
      </c>
      <c r="DC56" s="33" t="n">
        <f aca="false">-$E56*N(AND(DC$3&lt;=$F56,DC$4&gt;=$F56))</f>
        <v>-0</v>
      </c>
      <c r="DD56" s="33" t="n">
        <f aca="false">-$E56*N(AND(DD$3&lt;=$F56,DD$4&gt;=$F56))</f>
        <v>-0</v>
      </c>
      <c r="DE56" s="33" t="n">
        <f aca="false">-$E56*N(AND(DE$3&lt;=$F56,DE$4&gt;=$F56))</f>
        <v>-0</v>
      </c>
      <c r="DF56" s="33" t="n">
        <f aca="false">-$E56*N(AND(DF$3&lt;=$F56,DF$4&gt;=$F56))</f>
        <v>-0</v>
      </c>
      <c r="DG56" s="33" t="n">
        <f aca="false">-$E56*N(AND(DG$3&lt;=$F56,DG$4&gt;=$F56))</f>
        <v>-0</v>
      </c>
      <c r="DH56" s="33" t="n">
        <f aca="false">-$E56*N(AND(DH$3&lt;=$F56,DH$4&gt;=$F56))</f>
        <v>-0</v>
      </c>
      <c r="DI56" s="33" t="n">
        <f aca="false">-$E56*N(AND(DI$3&lt;=$F56,DI$4&gt;=$F56))</f>
        <v>-0</v>
      </c>
      <c r="DJ56" s="33" t="n">
        <f aca="false">-$E56*N(AND(DJ$3&lt;=$F56,DJ$4&gt;=$F56))</f>
        <v>-0</v>
      </c>
      <c r="DK56" s="33" t="n">
        <f aca="false">-$E56*N(AND(DK$3&lt;=$F56,DK$4&gt;=$F56))</f>
        <v>-0</v>
      </c>
      <c r="DL56" s="33" t="n">
        <f aca="false">-$E56*N(AND(DL$3&lt;=$F56,DL$4&gt;=$F56))</f>
        <v>-0</v>
      </c>
      <c r="DM56" s="33" t="n">
        <f aca="false">-$E56*N(AND(DM$3&lt;=$F56,DM$4&gt;=$F56))</f>
        <v>-0</v>
      </c>
      <c r="DN56" s="33" t="n">
        <f aca="false">-$E56*N(AND(DN$3&lt;=$F56,DN$4&gt;=$F56))</f>
        <v>-0</v>
      </c>
      <c r="DO56" s="33" t="n">
        <f aca="false">-$E56*N(AND(DO$3&lt;=$F56,DO$4&gt;=$F56))</f>
        <v>-0</v>
      </c>
      <c r="DP56" s="33" t="n">
        <f aca="false">-$E56*N(AND(DP$3&lt;=$F56,DP$4&gt;=$F56))</f>
        <v>-0</v>
      </c>
      <c r="DQ56" s="33" t="n">
        <f aca="false">-$E56*N(AND(DQ$3&lt;=$F56,DQ$4&gt;=$F56))</f>
        <v>-0</v>
      </c>
      <c r="DR56" s="33" t="n">
        <f aca="false">-$E56*N(AND(DR$3&lt;=$F56,DR$4&gt;=$F56))</f>
        <v>-0</v>
      </c>
      <c r="DS56" s="33" t="n">
        <f aca="false">-$E56*N(AND(DS$3&lt;=$F56,DS$4&gt;=$F56))</f>
        <v>-0</v>
      </c>
      <c r="DT56" s="33" t="n">
        <f aca="false">-$E56*N(AND(DT$3&lt;=$F56,DT$4&gt;=$F56))</f>
        <v>-0</v>
      </c>
      <c r="DU56" s="33" t="n">
        <f aca="false">-$E56*N(AND(DU$3&lt;=$F56,DU$4&gt;=$F56))</f>
        <v>-0</v>
      </c>
      <c r="DV56" s="33" t="n">
        <f aca="false">-$E56*N(AND(DV$3&lt;=$F56,DV$4&gt;=$F56))</f>
        <v>-0</v>
      </c>
      <c r="DW56" s="33" t="n">
        <f aca="false">-$E56*N(AND(DW$3&lt;=$F56,DW$4&gt;=$F56))</f>
        <v>-0</v>
      </c>
      <c r="DX56" s="33" t="n">
        <f aca="false">-$E56*N(AND(DX$3&lt;=$F56,DX$4&gt;=$F56))</f>
        <v>-0</v>
      </c>
      <c r="DY56" s="33" t="n">
        <f aca="false">-$E56*N(AND(DY$3&lt;=$F56,DY$4&gt;=$F56))</f>
        <v>-0</v>
      </c>
      <c r="DZ56" s="33" t="n">
        <f aca="false">-$E56*N(AND(DZ$3&lt;=$F56,DZ$4&gt;=$F56))</f>
        <v>-0</v>
      </c>
      <c r="EA56" s="33" t="n">
        <f aca="false">-$E56*N(AND(EA$3&lt;=$F56,EA$4&gt;=$F56))</f>
        <v>-0</v>
      </c>
      <c r="EB56" s="33" t="n">
        <f aca="false">-$E56*N(AND(EB$3&lt;=$F56,EB$4&gt;=$F56))</f>
        <v>-0</v>
      </c>
      <c r="EC56" s="33" t="n">
        <f aca="false">-$E56*N(AND(EC$3&lt;=$F56,EC$4&gt;=$F56))</f>
        <v>-0</v>
      </c>
      <c r="ED56" s="33" t="n">
        <f aca="false">-$E56*N(AND(ED$3&lt;=$F56,ED$4&gt;=$F56))</f>
        <v>-0</v>
      </c>
      <c r="EE56" s="33" t="n">
        <f aca="false">-$E56*N(AND(EE$3&lt;=$F56,EE$4&gt;=$F56))</f>
        <v>-0</v>
      </c>
      <c r="EF56" s="33" t="n">
        <f aca="false">-$E56*N(AND(EF$3&lt;=$F56,EF$4&gt;=$F56))</f>
        <v>-0</v>
      </c>
      <c r="EG56" s="33" t="n">
        <f aca="false">-$E56*N(AND(EG$3&lt;=$F56,EG$4&gt;=$F56))</f>
        <v>-0</v>
      </c>
      <c r="EH56" s="33" t="n">
        <f aca="false">-$E56*N(AND(EH$3&lt;=$F56,EH$4&gt;=$F56))</f>
        <v>-0</v>
      </c>
      <c r="EI56" s="33" t="n">
        <f aca="false">-$E56*N(AND(EI$3&lt;=$F56,EI$4&gt;=$F56))</f>
        <v>-0</v>
      </c>
      <c r="EJ56" s="33" t="n">
        <f aca="false">-$E56*N(AND(EJ$3&lt;=$F56,EJ$4&gt;=$F56))</f>
        <v>-0</v>
      </c>
      <c r="EK56" s="33" t="n">
        <f aca="false">-$E56*N(AND(EK$3&lt;=$F56,EK$4&gt;=$F56))</f>
        <v>-0</v>
      </c>
      <c r="EL56" s="33" t="n">
        <f aca="false">-$E56*N(AND(EL$3&lt;=$F56,EL$4&gt;=$F56))</f>
        <v>-0</v>
      </c>
      <c r="EM56" s="33" t="n">
        <f aca="false">-$E56*N(AND(EM$3&lt;=$F56,EM$4&gt;=$F56))</f>
        <v>-0</v>
      </c>
      <c r="EN56" s="33" t="n">
        <f aca="false">-$E56*N(AND(EN$3&lt;=$F56,EN$4&gt;=$F56))</f>
        <v>-0</v>
      </c>
      <c r="EO56" s="33" t="n">
        <f aca="false">-$E56*N(AND(EO$3&lt;=$F56,EO$4&gt;=$F56))</f>
        <v>-0</v>
      </c>
      <c r="EP56" s="33" t="n">
        <f aca="false">-$E56*N(AND(EP$3&lt;=$F56,EP$4&gt;=$F56))</f>
        <v>-0</v>
      </c>
      <c r="EQ56" s="33" t="n">
        <f aca="false">-$E56*N(AND(EQ$3&lt;=$F56,EQ$4&gt;=$F56))</f>
        <v>-0</v>
      </c>
      <c r="ER56" s="33" t="n">
        <f aca="false">-$E56*N(AND(ER$3&lt;=$F56,ER$4&gt;=$F56))</f>
        <v>-0</v>
      </c>
      <c r="ES56" s="33" t="n">
        <f aca="false">-$E56*N(AND(ES$3&lt;=$F56,ES$4&gt;=$F56))</f>
        <v>-0</v>
      </c>
      <c r="ET56" s="33" t="n">
        <f aca="false">-$E56*N(AND(ET$3&lt;=$F56,ET$4&gt;=$F56))</f>
        <v>-0</v>
      </c>
    </row>
    <row r="57" customFormat="false" ht="15" hidden="false" customHeight="false" outlineLevel="0" collapsed="false">
      <c r="C57" s="0" t="s">
        <v>517</v>
      </c>
      <c r="D57" s="11" t="s">
        <v>247</v>
      </c>
      <c r="E57" s="33" t="n">
        <f aca="false">-SUMIF($J$4:$ET$4,"&lt;="&amp;$E12,$J57:$ET57)</f>
        <v>3119.62451197093</v>
      </c>
      <c r="F57" s="33" t="n">
        <f aca="false">-SUMIF($J$4:$ET$4,"&lt;="&amp;In_COD,$J57:$ET57)</f>
        <v>3119.62451197093</v>
      </c>
      <c r="I57" s="33" t="n">
        <f aca="false">SUM(J57:ET57)</f>
        <v>-3119.62451197093</v>
      </c>
      <c r="J57" s="33" t="n">
        <f aca="false">J54+J55+J56</f>
        <v>-0</v>
      </c>
      <c r="K57" s="33" t="n">
        <f aca="false">K54+K55+K56</f>
        <v>-178.520547945205</v>
      </c>
      <c r="L57" s="33" t="n">
        <f aca="false">L54+L55+L56</f>
        <v>-588.444520547945</v>
      </c>
      <c r="M57" s="33" t="n">
        <f aca="false">M54+M55+M56</f>
        <v>-43.8356164383562</v>
      </c>
      <c r="N57" s="33" t="n">
        <f aca="false">N54+N55+N56</f>
        <v>-43.8356164383562</v>
      </c>
      <c r="O57" s="33" t="n">
        <f aca="false">O54+O55+O56</f>
        <v>-184.361643835616</v>
      </c>
      <c r="P57" s="33" t="n">
        <f aca="false">P54+P55+P56</f>
        <v>-1290.04179480011</v>
      </c>
      <c r="Q57" s="33" t="n">
        <f aca="false">Q54+Q55+Q56</f>
        <v>-4.60958904109589</v>
      </c>
      <c r="R57" s="33" t="n">
        <f aca="false">R54+R55+R56</f>
        <v>-164.091509980431</v>
      </c>
      <c r="S57" s="33" t="n">
        <f aca="false">S54+S55+S56</f>
        <v>-317.226138697232</v>
      </c>
      <c r="T57" s="33" t="n">
        <f aca="false">T54+T55+T56</f>
        <v>-304.657534246575</v>
      </c>
      <c r="U57" s="33" t="n">
        <f aca="false">U54+U55+U56</f>
        <v>-0</v>
      </c>
      <c r="V57" s="33" t="n">
        <f aca="false">V54+V55+V56</f>
        <v>-0</v>
      </c>
      <c r="W57" s="33" t="n">
        <f aca="false">W54+W55+W56</f>
        <v>-0</v>
      </c>
      <c r="X57" s="33" t="n">
        <f aca="false">X54+X55+X56</f>
        <v>-0</v>
      </c>
      <c r="Y57" s="33" t="n">
        <f aca="false">Y54+Y55+Y56</f>
        <v>-0</v>
      </c>
      <c r="Z57" s="33" t="n">
        <f aca="false">Z54+Z55+Z56</f>
        <v>-0</v>
      </c>
      <c r="AA57" s="33" t="n">
        <f aca="false">AA54+AA55+AA56</f>
        <v>-0</v>
      </c>
      <c r="AB57" s="33" t="n">
        <f aca="false">AB54+AB55+AB56</f>
        <v>-0</v>
      </c>
      <c r="AC57" s="33" t="n">
        <f aca="false">AC54+AC55+AC56</f>
        <v>-0</v>
      </c>
      <c r="AD57" s="33" t="n">
        <f aca="false">AD54+AD55+AD56</f>
        <v>-0</v>
      </c>
      <c r="AE57" s="33" t="n">
        <f aca="false">AE54+AE55+AE56</f>
        <v>-0</v>
      </c>
      <c r="AF57" s="33" t="n">
        <f aca="false">AF54+AF55+AF56</f>
        <v>-0</v>
      </c>
      <c r="AG57" s="33" t="n">
        <f aca="false">AG54+AG55+AG56</f>
        <v>-0</v>
      </c>
      <c r="AH57" s="33" t="n">
        <f aca="false">AH54+AH55+AH56</f>
        <v>-0</v>
      </c>
      <c r="AI57" s="33" t="n">
        <f aca="false">AI54+AI55+AI56</f>
        <v>-0</v>
      </c>
      <c r="AJ57" s="33" t="n">
        <f aca="false">AJ54+AJ55+AJ56</f>
        <v>-0</v>
      </c>
      <c r="AK57" s="33" t="n">
        <f aca="false">AK54+AK55+AK56</f>
        <v>-0</v>
      </c>
      <c r="AL57" s="33" t="n">
        <f aca="false">AL54+AL55+AL56</f>
        <v>-0</v>
      </c>
      <c r="AM57" s="33" t="n">
        <f aca="false">AM54+AM55+AM56</f>
        <v>-0</v>
      </c>
      <c r="AN57" s="33" t="n">
        <f aca="false">AN54+AN55+AN56</f>
        <v>-0</v>
      </c>
      <c r="AO57" s="33" t="n">
        <f aca="false">AO54+AO55+AO56</f>
        <v>-0</v>
      </c>
      <c r="AP57" s="33" t="n">
        <f aca="false">AP54+AP55+AP56</f>
        <v>-0</v>
      </c>
      <c r="AQ57" s="33" t="n">
        <f aca="false">AQ54+AQ55+AQ56</f>
        <v>-0</v>
      </c>
      <c r="AR57" s="33" t="n">
        <f aca="false">AR54+AR55+AR56</f>
        <v>-0</v>
      </c>
      <c r="AS57" s="33" t="n">
        <f aca="false">AS54+AS55+AS56</f>
        <v>-0</v>
      </c>
      <c r="AT57" s="33" t="n">
        <f aca="false">AT54+AT55+AT56</f>
        <v>-0</v>
      </c>
      <c r="AU57" s="33" t="n">
        <f aca="false">AU54+AU55+AU56</f>
        <v>-0</v>
      </c>
      <c r="AV57" s="33" t="n">
        <f aca="false">AV54+AV55+AV56</f>
        <v>-0</v>
      </c>
      <c r="AW57" s="33" t="n">
        <f aca="false">AW54+AW55+AW56</f>
        <v>-0</v>
      </c>
      <c r="AX57" s="33" t="n">
        <f aca="false">AX54+AX55+AX56</f>
        <v>-0</v>
      </c>
      <c r="AY57" s="33" t="n">
        <f aca="false">AY54+AY55+AY56</f>
        <v>-0</v>
      </c>
      <c r="AZ57" s="33" t="n">
        <f aca="false">AZ54+AZ55+AZ56</f>
        <v>-0</v>
      </c>
      <c r="BA57" s="33" t="n">
        <f aca="false">BA54+BA55+BA56</f>
        <v>-0</v>
      </c>
      <c r="BB57" s="33" t="n">
        <f aca="false">BB54+BB55+BB56</f>
        <v>-0</v>
      </c>
      <c r="BC57" s="33" t="n">
        <f aca="false">BC54+BC55+BC56</f>
        <v>-0</v>
      </c>
      <c r="BD57" s="33" t="n">
        <f aca="false">BD54+BD55+BD56</f>
        <v>-0</v>
      </c>
      <c r="BE57" s="33" t="n">
        <f aca="false">BE54+BE55+BE56</f>
        <v>-0</v>
      </c>
      <c r="BF57" s="33" t="n">
        <f aca="false">BF54+BF55+BF56</f>
        <v>-0</v>
      </c>
      <c r="BG57" s="33" t="n">
        <f aca="false">BG54+BG55+BG56</f>
        <v>-0</v>
      </c>
      <c r="BH57" s="33" t="n">
        <f aca="false">BH54+BH55+BH56</f>
        <v>-0</v>
      </c>
      <c r="BI57" s="33" t="n">
        <f aca="false">BI54+BI55+BI56</f>
        <v>-0</v>
      </c>
      <c r="BJ57" s="33" t="n">
        <f aca="false">BJ54+BJ55+BJ56</f>
        <v>-0</v>
      </c>
      <c r="BK57" s="33" t="n">
        <f aca="false">BK54+BK55+BK56</f>
        <v>-0</v>
      </c>
      <c r="BL57" s="33" t="n">
        <f aca="false">BL54+BL55+BL56</f>
        <v>-0</v>
      </c>
      <c r="BM57" s="33" t="n">
        <f aca="false">BM54+BM55+BM56</f>
        <v>-0</v>
      </c>
      <c r="BN57" s="33" t="n">
        <f aca="false">BN54+BN55+BN56</f>
        <v>-0</v>
      </c>
      <c r="BO57" s="33" t="n">
        <f aca="false">BO54+BO55+BO56</f>
        <v>-0</v>
      </c>
      <c r="BP57" s="33" t="n">
        <f aca="false">BP54+BP55+BP56</f>
        <v>-0</v>
      </c>
      <c r="BQ57" s="33" t="n">
        <f aca="false">BQ54+BQ55+BQ56</f>
        <v>-0</v>
      </c>
      <c r="BR57" s="33" t="n">
        <f aca="false">BR54+BR55+BR56</f>
        <v>-0</v>
      </c>
      <c r="BS57" s="33" t="n">
        <f aca="false">BS54+BS55+BS56</f>
        <v>-0</v>
      </c>
      <c r="BT57" s="33" t="n">
        <f aca="false">BT54+BT55+BT56</f>
        <v>-0</v>
      </c>
      <c r="BU57" s="33" t="n">
        <f aca="false">BU54+BU55+BU56</f>
        <v>-0</v>
      </c>
      <c r="BV57" s="33" t="n">
        <f aca="false">BV54+BV55+BV56</f>
        <v>-0</v>
      </c>
      <c r="BW57" s="33" t="n">
        <f aca="false">BW54+BW55+BW56</f>
        <v>-0</v>
      </c>
      <c r="BX57" s="33" t="n">
        <f aca="false">BX54+BX55+BX56</f>
        <v>-0</v>
      </c>
      <c r="BY57" s="33" t="n">
        <f aca="false">BY54+BY55+BY56</f>
        <v>-0</v>
      </c>
      <c r="BZ57" s="33" t="n">
        <f aca="false">BZ54+BZ55+BZ56</f>
        <v>-0</v>
      </c>
      <c r="CA57" s="33" t="n">
        <f aca="false">CA54+CA55+CA56</f>
        <v>-0</v>
      </c>
      <c r="CB57" s="33" t="n">
        <f aca="false">CB54+CB55+CB56</f>
        <v>-0</v>
      </c>
      <c r="CC57" s="33" t="n">
        <f aca="false">CC54+CC55+CC56</f>
        <v>-0</v>
      </c>
      <c r="CD57" s="33" t="n">
        <f aca="false">CD54+CD55+CD56</f>
        <v>-0</v>
      </c>
      <c r="CE57" s="33" t="n">
        <f aca="false">CE54+CE55+CE56</f>
        <v>-0</v>
      </c>
      <c r="CF57" s="33" t="n">
        <f aca="false">CF54+CF55+CF56</f>
        <v>-0</v>
      </c>
      <c r="CG57" s="33" t="n">
        <f aca="false">CG54+CG55+CG56</f>
        <v>-0</v>
      </c>
      <c r="CH57" s="33" t="n">
        <f aca="false">CH54+CH55+CH56</f>
        <v>-0</v>
      </c>
      <c r="CI57" s="33" t="n">
        <f aca="false">CI54+CI55+CI56</f>
        <v>-0</v>
      </c>
      <c r="CJ57" s="33" t="n">
        <f aca="false">CJ54+CJ55+CJ56</f>
        <v>-0</v>
      </c>
      <c r="CK57" s="33" t="n">
        <f aca="false">CK54+CK55+CK56</f>
        <v>-0</v>
      </c>
      <c r="CL57" s="33" t="n">
        <f aca="false">CL54+CL55+CL56</f>
        <v>-0</v>
      </c>
      <c r="CM57" s="33" t="n">
        <f aca="false">CM54+CM55+CM56</f>
        <v>-0</v>
      </c>
      <c r="CN57" s="33" t="n">
        <f aca="false">CN54+CN55+CN56</f>
        <v>-0</v>
      </c>
      <c r="CO57" s="33" t="n">
        <f aca="false">CO54+CO55+CO56</f>
        <v>-0</v>
      </c>
      <c r="CP57" s="33" t="n">
        <f aca="false">CP54+CP55+CP56</f>
        <v>-0</v>
      </c>
      <c r="CQ57" s="33" t="n">
        <f aca="false">CQ54+CQ55+CQ56</f>
        <v>-0</v>
      </c>
      <c r="CR57" s="33" t="n">
        <f aca="false">CR54+CR55+CR56</f>
        <v>-0</v>
      </c>
      <c r="CS57" s="33" t="n">
        <f aca="false">CS54+CS55+CS56</f>
        <v>-0</v>
      </c>
      <c r="CT57" s="33" t="n">
        <f aca="false">CT54+CT55+CT56</f>
        <v>-0</v>
      </c>
      <c r="CU57" s="33" t="n">
        <f aca="false">CU54+CU55+CU56</f>
        <v>-0</v>
      </c>
      <c r="CV57" s="33" t="n">
        <f aca="false">CV54+CV55+CV56</f>
        <v>-0</v>
      </c>
      <c r="CW57" s="33" t="n">
        <f aca="false">CW54+CW55+CW56</f>
        <v>-0</v>
      </c>
      <c r="CX57" s="33" t="n">
        <f aca="false">CX54+CX55+CX56</f>
        <v>-0</v>
      </c>
      <c r="CY57" s="33" t="n">
        <f aca="false">CY54+CY55+CY56</f>
        <v>-0</v>
      </c>
      <c r="CZ57" s="33" t="n">
        <f aca="false">CZ54+CZ55+CZ56</f>
        <v>-0</v>
      </c>
      <c r="DA57" s="33" t="n">
        <f aca="false">DA54+DA55+DA56</f>
        <v>-0</v>
      </c>
      <c r="DB57" s="33" t="n">
        <f aca="false">DB54+DB55+DB56</f>
        <v>-0</v>
      </c>
      <c r="DC57" s="33" t="n">
        <f aca="false">DC54+DC55+DC56</f>
        <v>-0</v>
      </c>
      <c r="DD57" s="33" t="n">
        <f aca="false">DD54+DD55+DD56</f>
        <v>-0</v>
      </c>
      <c r="DE57" s="33" t="n">
        <f aca="false">DE54+DE55+DE56</f>
        <v>-0</v>
      </c>
      <c r="DF57" s="33" t="n">
        <f aca="false">DF54+DF55+DF56</f>
        <v>-0</v>
      </c>
      <c r="DG57" s="33" t="n">
        <f aca="false">DG54+DG55+DG56</f>
        <v>-0</v>
      </c>
      <c r="DH57" s="33" t="n">
        <f aca="false">DH54+DH55+DH56</f>
        <v>-0</v>
      </c>
      <c r="DI57" s="33" t="n">
        <f aca="false">DI54+DI55+DI56</f>
        <v>-0</v>
      </c>
      <c r="DJ57" s="33" t="n">
        <f aca="false">DJ54+DJ55+DJ56</f>
        <v>-0</v>
      </c>
      <c r="DK57" s="33" t="n">
        <f aca="false">DK54+DK55+DK56</f>
        <v>-0</v>
      </c>
      <c r="DL57" s="33" t="n">
        <f aca="false">DL54+DL55+DL56</f>
        <v>-0</v>
      </c>
      <c r="DM57" s="33" t="n">
        <f aca="false">DM54+DM55+DM56</f>
        <v>-0</v>
      </c>
      <c r="DN57" s="33" t="n">
        <f aca="false">DN54+DN55+DN56</f>
        <v>-0</v>
      </c>
      <c r="DO57" s="33" t="n">
        <f aca="false">DO54+DO55+DO56</f>
        <v>-0</v>
      </c>
      <c r="DP57" s="33" t="n">
        <f aca="false">DP54+DP55+DP56</f>
        <v>-0</v>
      </c>
      <c r="DQ57" s="33" t="n">
        <f aca="false">DQ54+DQ55+DQ56</f>
        <v>-0</v>
      </c>
      <c r="DR57" s="33" t="n">
        <f aca="false">DR54+DR55+DR56</f>
        <v>-0</v>
      </c>
      <c r="DS57" s="33" t="n">
        <f aca="false">DS54+DS55+DS56</f>
        <v>-0</v>
      </c>
      <c r="DT57" s="33" t="n">
        <f aca="false">DT54+DT55+DT56</f>
        <v>-0</v>
      </c>
      <c r="DU57" s="33" t="n">
        <f aca="false">DU54+DU55+DU56</f>
        <v>-0</v>
      </c>
      <c r="DV57" s="33" t="n">
        <f aca="false">DV54+DV55+DV56</f>
        <v>-0</v>
      </c>
      <c r="DW57" s="33" t="n">
        <f aca="false">DW54+DW55+DW56</f>
        <v>-0</v>
      </c>
      <c r="DX57" s="33" t="n">
        <f aca="false">DX54+DX55+DX56</f>
        <v>-0</v>
      </c>
      <c r="DY57" s="33" t="n">
        <f aca="false">DY54+DY55+DY56</f>
        <v>-0</v>
      </c>
      <c r="DZ57" s="33" t="n">
        <f aca="false">DZ54+DZ55+DZ56</f>
        <v>-0</v>
      </c>
      <c r="EA57" s="33" t="n">
        <f aca="false">EA54+EA55+EA56</f>
        <v>-0</v>
      </c>
      <c r="EB57" s="33" t="n">
        <f aca="false">EB54+EB55+EB56</f>
        <v>-0</v>
      </c>
      <c r="EC57" s="33" t="n">
        <f aca="false">EC54+EC55+EC56</f>
        <v>-0</v>
      </c>
      <c r="ED57" s="33" t="n">
        <f aca="false">ED54+ED55+ED56</f>
        <v>-0</v>
      </c>
      <c r="EE57" s="33" t="n">
        <f aca="false">EE54+EE55+EE56</f>
        <v>-0</v>
      </c>
      <c r="EF57" s="33" t="n">
        <f aca="false">EF54+EF55+EF56</f>
        <v>-0</v>
      </c>
      <c r="EG57" s="33" t="n">
        <f aca="false">EG54+EG55+EG56</f>
        <v>-0</v>
      </c>
      <c r="EH57" s="33" t="n">
        <f aca="false">EH54+EH55+EH56</f>
        <v>-0</v>
      </c>
      <c r="EI57" s="33" t="n">
        <f aca="false">EI54+EI55+EI56</f>
        <v>-0</v>
      </c>
      <c r="EJ57" s="33" t="n">
        <f aca="false">EJ54+EJ55+EJ56</f>
        <v>-0</v>
      </c>
      <c r="EK57" s="33" t="n">
        <f aca="false">EK54+EK55+EK56</f>
        <v>-0</v>
      </c>
      <c r="EL57" s="33" t="n">
        <f aca="false">EL54+EL55+EL56</f>
        <v>-0</v>
      </c>
      <c r="EM57" s="33" t="n">
        <f aca="false">EM54+EM55+EM56</f>
        <v>-0</v>
      </c>
      <c r="EN57" s="33" t="n">
        <f aca="false">EN54+EN55+EN56</f>
        <v>-0</v>
      </c>
      <c r="EO57" s="33" t="n">
        <f aca="false">EO54+EO55+EO56</f>
        <v>-0</v>
      </c>
      <c r="EP57" s="33" t="n">
        <f aca="false">EP54+EP55+EP56</f>
        <v>-0</v>
      </c>
      <c r="EQ57" s="33" t="n">
        <f aca="false">EQ54+EQ55+EQ56</f>
        <v>-0</v>
      </c>
      <c r="ER57" s="33" t="n">
        <f aca="false">ER54+ER55+ER56</f>
        <v>-0</v>
      </c>
      <c r="ES57" s="33" t="n">
        <f aca="false">ES54+ES55+ES56</f>
        <v>-0</v>
      </c>
      <c r="ET57" s="33" t="n">
        <f aca="false">ET54+ET55+ET56</f>
        <v>-0</v>
      </c>
    </row>
    <row r="58" customFormat="false" ht="15" hidden="false" customHeight="false" outlineLevel="0" collapsed="false">
      <c r="C58" s="0" t="s">
        <v>518</v>
      </c>
      <c r="D58" s="11" t="s">
        <v>247</v>
      </c>
      <c r="I58" s="33" t="n">
        <f aca="false">SUM(J58:ET58)</f>
        <v>-3119.62451197093</v>
      </c>
      <c r="J58" s="33" t="n">
        <f aca="false">J20*SUMIF($J$7:J$7,J$7,$J57:J57)</f>
        <v>0</v>
      </c>
      <c r="K58" s="33" t="n">
        <f aca="false">K20*SUMIF($J$7:K$7,K$7,$J57:K57)</f>
        <v>-178.520547945205</v>
      </c>
      <c r="L58" s="33" t="n">
        <f aca="false">L20*SUMIF($J$7:L$7,L$7,$J57:L57)</f>
        <v>-0</v>
      </c>
      <c r="M58" s="33" t="n">
        <f aca="false">M20*SUMIF($J$7:M$7,M$7,$J57:M57)</f>
        <v>-0</v>
      </c>
      <c r="N58" s="33" t="n">
        <f aca="false">N20*SUMIF($J$7:N$7,N$7,$J57:N57)</f>
        <v>-0</v>
      </c>
      <c r="O58" s="33" t="n">
        <f aca="false">O20*SUMIF($J$7:O$7,O$7,$J57:O57)</f>
        <v>-860.477397260274</v>
      </c>
      <c r="P58" s="33" t="n">
        <f aca="false">P20*SUMIF($J$7:P$7,P$7,$J57:P57)</f>
        <v>-0</v>
      </c>
      <c r="Q58" s="33" t="n">
        <f aca="false">Q20*SUMIF($J$7:Q$7,Q$7,$J57:Q57)</f>
        <v>-0</v>
      </c>
      <c r="R58" s="33" t="n">
        <f aca="false">R20*SUMIF($J$7:R$7,R$7,$J57:R57)</f>
        <v>-0</v>
      </c>
      <c r="S58" s="33" t="n">
        <f aca="false">S20*SUMIF($J$7:S$7,S$7,$J57:S57)</f>
        <v>-1775.96903251887</v>
      </c>
      <c r="T58" s="33" t="n">
        <f aca="false">T20*SUMIF($J$7:T$7,T$7,$J57:T57)</f>
        <v>-0</v>
      </c>
      <c r="U58" s="33" t="n">
        <f aca="false">U20*SUMIF($J$7:U$7,U$7,$J57:U57)</f>
        <v>-0</v>
      </c>
      <c r="V58" s="33" t="n">
        <f aca="false">V20*SUMIF($J$7:V$7,V$7,$J57:V57)</f>
        <v>-0</v>
      </c>
      <c r="W58" s="33" t="n">
        <f aca="false">W20*SUMIF($J$7:W$7,W$7,$J57:W57)</f>
        <v>-304.657534246575</v>
      </c>
      <c r="X58" s="33" t="n">
        <f aca="false">X20*SUMIF($J$7:X$7,X$7,$J57:X57)</f>
        <v>0</v>
      </c>
      <c r="Y58" s="33" t="n">
        <f aca="false">Y20*SUMIF($J$7:Y$7,Y$7,$J57:Y57)</f>
        <v>0</v>
      </c>
      <c r="Z58" s="33" t="n">
        <f aca="false">Z20*SUMIF($J$7:Z$7,Z$7,$J57:Z57)</f>
        <v>0</v>
      </c>
      <c r="AA58" s="33" t="n">
        <f aca="false">AA20*SUMIF($J$7:AA$7,AA$7,$J57:AA57)</f>
        <v>0</v>
      </c>
      <c r="AB58" s="33" t="n">
        <f aca="false">AB20*SUMIF($J$7:AB$7,AB$7,$J57:AB57)</f>
        <v>0</v>
      </c>
      <c r="AC58" s="33" t="n">
        <f aca="false">AC20*SUMIF($J$7:AC$7,AC$7,$J57:AC57)</f>
        <v>0</v>
      </c>
      <c r="AD58" s="33" t="n">
        <f aca="false">AD20*SUMIF($J$7:AD$7,AD$7,$J57:AD57)</f>
        <v>0</v>
      </c>
      <c r="AE58" s="33" t="n">
        <f aca="false">AE20*SUMIF($J$7:AE$7,AE$7,$J57:AE57)</f>
        <v>0</v>
      </c>
      <c r="AF58" s="33" t="n">
        <f aca="false">AF20*SUMIF($J$7:AF$7,AF$7,$J57:AF57)</f>
        <v>0</v>
      </c>
      <c r="AG58" s="33" t="n">
        <f aca="false">AG20*SUMIF($J$7:AG$7,AG$7,$J57:AG57)</f>
        <v>0</v>
      </c>
      <c r="AH58" s="33" t="n">
        <f aca="false">AH20*SUMIF($J$7:AH$7,AH$7,$J57:AH57)</f>
        <v>0</v>
      </c>
      <c r="AI58" s="33" t="n">
        <f aca="false">AI20*SUMIF($J$7:AI$7,AI$7,$J57:AI57)</f>
        <v>0</v>
      </c>
      <c r="AJ58" s="33" t="n">
        <f aca="false">AJ20*SUMIF($J$7:AJ$7,AJ$7,$J57:AJ57)</f>
        <v>0</v>
      </c>
      <c r="AK58" s="33" t="n">
        <f aca="false">AK20*SUMIF($J$7:AK$7,AK$7,$J57:AK57)</f>
        <v>0</v>
      </c>
      <c r="AL58" s="33" t="n">
        <f aca="false">AL20*SUMIF($J$7:AL$7,AL$7,$J57:AL57)</f>
        <v>0</v>
      </c>
      <c r="AM58" s="33" t="n">
        <f aca="false">AM20*SUMIF($J$7:AM$7,AM$7,$J57:AM57)</f>
        <v>0</v>
      </c>
      <c r="AN58" s="33" t="n">
        <f aca="false">AN20*SUMIF($J$7:AN$7,AN$7,$J57:AN57)</f>
        <v>0</v>
      </c>
      <c r="AO58" s="33" t="n">
        <f aca="false">AO20*SUMIF($J$7:AO$7,AO$7,$J57:AO57)</f>
        <v>0</v>
      </c>
      <c r="AP58" s="33" t="n">
        <f aca="false">AP20*SUMIF($J$7:AP$7,AP$7,$J57:AP57)</f>
        <v>0</v>
      </c>
      <c r="AQ58" s="33" t="n">
        <f aca="false">AQ20*SUMIF($J$7:AQ$7,AQ$7,$J57:AQ57)</f>
        <v>0</v>
      </c>
      <c r="AR58" s="33" t="n">
        <f aca="false">AR20*SUMIF($J$7:AR$7,AR$7,$J57:AR57)</f>
        <v>0</v>
      </c>
      <c r="AS58" s="33" t="n">
        <f aca="false">AS20*SUMIF($J$7:AS$7,AS$7,$J57:AS57)</f>
        <v>0</v>
      </c>
      <c r="AT58" s="33" t="n">
        <f aca="false">AT20*SUMIF($J$7:AT$7,AT$7,$J57:AT57)</f>
        <v>0</v>
      </c>
      <c r="AU58" s="33" t="n">
        <f aca="false">AU20*SUMIF($J$7:AU$7,AU$7,$J57:AU57)</f>
        <v>0</v>
      </c>
      <c r="AV58" s="33" t="n">
        <f aca="false">AV20*SUMIF($J$7:AV$7,AV$7,$J57:AV57)</f>
        <v>0</v>
      </c>
      <c r="AW58" s="33" t="n">
        <f aca="false">AW20*SUMIF($J$7:AW$7,AW$7,$J57:AW57)</f>
        <v>0</v>
      </c>
      <c r="AX58" s="33" t="n">
        <f aca="false">AX20*SUMIF($J$7:AX$7,AX$7,$J57:AX57)</f>
        <v>0</v>
      </c>
      <c r="AY58" s="33" t="n">
        <f aca="false">AY20*SUMIF($J$7:AY$7,AY$7,$J57:AY57)</f>
        <v>0</v>
      </c>
      <c r="AZ58" s="33" t="n">
        <f aca="false">AZ20*SUMIF($J$7:AZ$7,AZ$7,$J57:AZ57)</f>
        <v>0</v>
      </c>
      <c r="BA58" s="33" t="n">
        <f aca="false">BA20*SUMIF($J$7:BA$7,BA$7,$J57:BA57)</f>
        <v>0</v>
      </c>
      <c r="BB58" s="33" t="n">
        <f aca="false">BB20*SUMIF($J$7:BB$7,BB$7,$J57:BB57)</f>
        <v>0</v>
      </c>
      <c r="BC58" s="33" t="n">
        <f aca="false">BC20*SUMIF($J$7:BC$7,BC$7,$J57:BC57)</f>
        <v>0</v>
      </c>
      <c r="BD58" s="33" t="n">
        <f aca="false">BD20*SUMIF($J$7:BD$7,BD$7,$J57:BD57)</f>
        <v>0</v>
      </c>
      <c r="BE58" s="33" t="n">
        <f aca="false">BE20*SUMIF($J$7:BE$7,BE$7,$J57:BE57)</f>
        <v>0</v>
      </c>
      <c r="BF58" s="33" t="n">
        <f aca="false">BF20*SUMIF($J$7:BF$7,BF$7,$J57:BF57)</f>
        <v>0</v>
      </c>
      <c r="BG58" s="33" t="n">
        <f aca="false">BG20*SUMIF($J$7:BG$7,BG$7,$J57:BG57)</f>
        <v>0</v>
      </c>
      <c r="BH58" s="33" t="n">
        <f aca="false">BH20*SUMIF($J$7:BH$7,BH$7,$J57:BH57)</f>
        <v>0</v>
      </c>
      <c r="BI58" s="33" t="n">
        <f aca="false">BI20*SUMIF($J$7:BI$7,BI$7,$J57:BI57)</f>
        <v>0</v>
      </c>
      <c r="BJ58" s="33" t="n">
        <f aca="false">BJ20*SUMIF($J$7:BJ$7,BJ$7,$J57:BJ57)</f>
        <v>0</v>
      </c>
      <c r="BK58" s="33" t="n">
        <f aca="false">BK20*SUMIF($J$7:BK$7,BK$7,$J57:BK57)</f>
        <v>0</v>
      </c>
      <c r="BL58" s="33" t="n">
        <f aca="false">BL20*SUMIF($J$7:BL$7,BL$7,$J57:BL57)</f>
        <v>0</v>
      </c>
      <c r="BM58" s="33" t="n">
        <f aca="false">BM20*SUMIF($J$7:BM$7,BM$7,$J57:BM57)</f>
        <v>0</v>
      </c>
      <c r="BN58" s="33" t="n">
        <f aca="false">BN20*SUMIF($J$7:BN$7,BN$7,$J57:BN57)</f>
        <v>0</v>
      </c>
      <c r="BO58" s="33" t="n">
        <f aca="false">BO20*SUMIF($J$7:BO$7,BO$7,$J57:BO57)</f>
        <v>0</v>
      </c>
      <c r="BP58" s="33" t="n">
        <f aca="false">BP20*SUMIF($J$7:BP$7,BP$7,$J57:BP57)</f>
        <v>0</v>
      </c>
      <c r="BQ58" s="33" t="n">
        <f aca="false">BQ20*SUMIF($J$7:BQ$7,BQ$7,$J57:BQ57)</f>
        <v>0</v>
      </c>
      <c r="BR58" s="33" t="n">
        <f aca="false">BR20*SUMIF($J$7:BR$7,BR$7,$J57:BR57)</f>
        <v>0</v>
      </c>
      <c r="BS58" s="33" t="n">
        <f aca="false">BS20*SUMIF($J$7:BS$7,BS$7,$J57:BS57)</f>
        <v>0</v>
      </c>
      <c r="BT58" s="33" t="n">
        <f aca="false">BT20*SUMIF($J$7:BT$7,BT$7,$J57:BT57)</f>
        <v>0</v>
      </c>
      <c r="BU58" s="33" t="n">
        <f aca="false">BU20*SUMIF($J$7:BU$7,BU$7,$J57:BU57)</f>
        <v>0</v>
      </c>
      <c r="BV58" s="33" t="n">
        <f aca="false">BV20*SUMIF($J$7:BV$7,BV$7,$J57:BV57)</f>
        <v>0</v>
      </c>
      <c r="BW58" s="33" t="n">
        <f aca="false">BW20*SUMIF($J$7:BW$7,BW$7,$J57:BW57)</f>
        <v>0</v>
      </c>
      <c r="BX58" s="33" t="n">
        <f aca="false">BX20*SUMIF($J$7:BX$7,BX$7,$J57:BX57)</f>
        <v>0</v>
      </c>
      <c r="BY58" s="33" t="n">
        <f aca="false">BY20*SUMIF($J$7:BY$7,BY$7,$J57:BY57)</f>
        <v>0</v>
      </c>
      <c r="BZ58" s="33" t="n">
        <f aca="false">BZ20*SUMIF($J$7:BZ$7,BZ$7,$J57:BZ57)</f>
        <v>0</v>
      </c>
      <c r="CA58" s="33" t="n">
        <f aca="false">CA20*SUMIF($J$7:CA$7,CA$7,$J57:CA57)</f>
        <v>0</v>
      </c>
      <c r="CB58" s="33" t="n">
        <f aca="false">CB20*SUMIF($J$7:CB$7,CB$7,$J57:CB57)</f>
        <v>0</v>
      </c>
      <c r="CC58" s="33" t="n">
        <f aca="false">CC20*SUMIF($J$7:CC$7,CC$7,$J57:CC57)</f>
        <v>0</v>
      </c>
      <c r="CD58" s="33" t="n">
        <f aca="false">CD20*SUMIF($J$7:CD$7,CD$7,$J57:CD57)</f>
        <v>0</v>
      </c>
      <c r="CE58" s="33" t="n">
        <f aca="false">CE20*SUMIF($J$7:CE$7,CE$7,$J57:CE57)</f>
        <v>0</v>
      </c>
      <c r="CF58" s="33" t="n">
        <f aca="false">CF20*SUMIF($J$7:CF$7,CF$7,$J57:CF57)</f>
        <v>0</v>
      </c>
      <c r="CG58" s="33" t="n">
        <f aca="false">CG20*SUMIF($J$7:CG$7,CG$7,$J57:CG57)</f>
        <v>0</v>
      </c>
      <c r="CH58" s="33" t="n">
        <f aca="false">CH20*SUMIF($J$7:CH$7,CH$7,$J57:CH57)</f>
        <v>0</v>
      </c>
      <c r="CI58" s="33" t="n">
        <f aca="false">CI20*SUMIF($J$7:CI$7,CI$7,$J57:CI57)</f>
        <v>0</v>
      </c>
      <c r="CJ58" s="33" t="n">
        <f aca="false">CJ20*SUMIF($J$7:CJ$7,CJ$7,$J57:CJ57)</f>
        <v>0</v>
      </c>
      <c r="CK58" s="33" t="n">
        <f aca="false">CK20*SUMIF($J$7:CK$7,CK$7,$J57:CK57)</f>
        <v>0</v>
      </c>
      <c r="CL58" s="33" t="n">
        <f aca="false">CL20*SUMIF($J$7:CL$7,CL$7,$J57:CL57)</f>
        <v>0</v>
      </c>
      <c r="CM58" s="33" t="n">
        <f aca="false">CM20*SUMIF($J$7:CM$7,CM$7,$J57:CM57)</f>
        <v>0</v>
      </c>
      <c r="CN58" s="33" t="n">
        <f aca="false">CN20*SUMIF($J$7:CN$7,CN$7,$J57:CN57)</f>
        <v>0</v>
      </c>
      <c r="CO58" s="33" t="n">
        <f aca="false">CO20*SUMIF($J$7:CO$7,CO$7,$J57:CO57)</f>
        <v>0</v>
      </c>
      <c r="CP58" s="33" t="n">
        <f aca="false">CP20*SUMIF($J$7:CP$7,CP$7,$J57:CP57)</f>
        <v>0</v>
      </c>
      <c r="CQ58" s="33" t="n">
        <f aca="false">CQ20*SUMIF($J$7:CQ$7,CQ$7,$J57:CQ57)</f>
        <v>0</v>
      </c>
      <c r="CR58" s="33" t="n">
        <f aca="false">CR20*SUMIF($J$7:CR$7,CR$7,$J57:CR57)</f>
        <v>0</v>
      </c>
      <c r="CS58" s="33" t="n">
        <f aca="false">CS20*SUMIF($J$7:CS$7,CS$7,$J57:CS57)</f>
        <v>0</v>
      </c>
      <c r="CT58" s="33" t="n">
        <f aca="false">CT20*SUMIF($J$7:CT$7,CT$7,$J57:CT57)</f>
        <v>0</v>
      </c>
      <c r="CU58" s="33" t="n">
        <f aca="false">CU20*SUMIF($J$7:CU$7,CU$7,$J57:CU57)</f>
        <v>0</v>
      </c>
      <c r="CV58" s="33" t="n">
        <f aca="false">CV20*SUMIF($J$7:CV$7,CV$7,$J57:CV57)</f>
        <v>0</v>
      </c>
      <c r="CW58" s="33" t="n">
        <f aca="false">CW20*SUMIF($J$7:CW$7,CW$7,$J57:CW57)</f>
        <v>0</v>
      </c>
      <c r="CX58" s="33" t="n">
        <f aca="false">CX20*SUMIF($J$7:CX$7,CX$7,$J57:CX57)</f>
        <v>0</v>
      </c>
      <c r="CY58" s="33" t="n">
        <f aca="false">CY20*SUMIF($J$7:CY$7,CY$7,$J57:CY57)</f>
        <v>0</v>
      </c>
      <c r="CZ58" s="33" t="n">
        <f aca="false">CZ20*SUMIF($J$7:CZ$7,CZ$7,$J57:CZ57)</f>
        <v>0</v>
      </c>
      <c r="DA58" s="33" t="n">
        <f aca="false">DA20*SUMIF($J$7:DA$7,DA$7,$J57:DA57)</f>
        <v>0</v>
      </c>
      <c r="DB58" s="33" t="n">
        <f aca="false">DB20*SUMIF($J$7:DB$7,DB$7,$J57:DB57)</f>
        <v>0</v>
      </c>
      <c r="DC58" s="33" t="n">
        <f aca="false">DC20*SUMIF($J$7:DC$7,DC$7,$J57:DC57)</f>
        <v>0</v>
      </c>
      <c r="DD58" s="33" t="n">
        <f aca="false">DD20*SUMIF($J$7:DD$7,DD$7,$J57:DD57)</f>
        <v>0</v>
      </c>
      <c r="DE58" s="33" t="n">
        <f aca="false">DE20*SUMIF($J$7:DE$7,DE$7,$J57:DE57)</f>
        <v>0</v>
      </c>
      <c r="DF58" s="33" t="n">
        <f aca="false">DF20*SUMIF($J$7:DF$7,DF$7,$J57:DF57)</f>
        <v>0</v>
      </c>
      <c r="DG58" s="33" t="n">
        <f aca="false">DG20*SUMIF($J$7:DG$7,DG$7,$J57:DG57)</f>
        <v>0</v>
      </c>
      <c r="DH58" s="33" t="n">
        <f aca="false">DH20*SUMIF($J$7:DH$7,DH$7,$J57:DH57)</f>
        <v>0</v>
      </c>
      <c r="DI58" s="33" t="n">
        <f aca="false">DI20*SUMIF($J$7:DI$7,DI$7,$J57:DI57)</f>
        <v>0</v>
      </c>
      <c r="DJ58" s="33" t="n">
        <f aca="false">DJ20*SUMIF($J$7:DJ$7,DJ$7,$J57:DJ57)</f>
        <v>0</v>
      </c>
      <c r="DK58" s="33" t="n">
        <f aca="false">DK20*SUMIF($J$7:DK$7,DK$7,$J57:DK57)</f>
        <v>0</v>
      </c>
      <c r="DL58" s="33" t="n">
        <f aca="false">DL20*SUMIF($J$7:DL$7,DL$7,$J57:DL57)</f>
        <v>0</v>
      </c>
      <c r="DM58" s="33" t="n">
        <f aca="false">DM20*SUMIF($J$7:DM$7,DM$7,$J57:DM57)</f>
        <v>0</v>
      </c>
      <c r="DN58" s="33" t="n">
        <f aca="false">DN20*SUMIF($J$7:DN$7,DN$7,$J57:DN57)</f>
        <v>0</v>
      </c>
      <c r="DO58" s="33" t="n">
        <f aca="false">DO20*SUMIF($J$7:DO$7,DO$7,$J57:DO57)</f>
        <v>0</v>
      </c>
      <c r="DP58" s="33" t="n">
        <f aca="false">DP20*SUMIF($J$7:DP$7,DP$7,$J57:DP57)</f>
        <v>0</v>
      </c>
      <c r="DQ58" s="33" t="n">
        <f aca="false">DQ20*SUMIF($J$7:DQ$7,DQ$7,$J57:DQ57)</f>
        <v>0</v>
      </c>
      <c r="DR58" s="33" t="n">
        <f aca="false">DR20*SUMIF($J$7:DR$7,DR$7,$J57:DR57)</f>
        <v>0</v>
      </c>
      <c r="DS58" s="33" t="n">
        <f aca="false">DS20*SUMIF($J$7:DS$7,DS$7,$J57:DS57)</f>
        <v>0</v>
      </c>
      <c r="DT58" s="33" t="n">
        <f aca="false">DT20*SUMIF($J$7:DT$7,DT$7,$J57:DT57)</f>
        <v>0</v>
      </c>
      <c r="DU58" s="33" t="n">
        <f aca="false">DU20*SUMIF($J$7:DU$7,DU$7,$J57:DU57)</f>
        <v>0</v>
      </c>
      <c r="DV58" s="33" t="n">
        <f aca="false">DV20*SUMIF($J$7:DV$7,DV$7,$J57:DV57)</f>
        <v>0</v>
      </c>
      <c r="DW58" s="33" t="n">
        <f aca="false">DW20*SUMIF($J$7:DW$7,DW$7,$J57:DW57)</f>
        <v>0</v>
      </c>
      <c r="DX58" s="33" t="n">
        <f aca="false">DX20*SUMIF($J$7:DX$7,DX$7,$J57:DX57)</f>
        <v>0</v>
      </c>
      <c r="DY58" s="33" t="n">
        <f aca="false">DY20*SUMIF($J$7:DY$7,DY$7,$J57:DY57)</f>
        <v>0</v>
      </c>
      <c r="DZ58" s="33" t="n">
        <f aca="false">DZ20*SUMIF($J$7:DZ$7,DZ$7,$J57:DZ57)</f>
        <v>0</v>
      </c>
      <c r="EA58" s="33" t="n">
        <f aca="false">EA20*SUMIF($J$7:EA$7,EA$7,$J57:EA57)</f>
        <v>0</v>
      </c>
      <c r="EB58" s="33" t="n">
        <f aca="false">EB20*SUMIF($J$7:EB$7,EB$7,$J57:EB57)</f>
        <v>0</v>
      </c>
      <c r="EC58" s="33" t="n">
        <f aca="false">EC20*SUMIF($J$7:EC$7,EC$7,$J57:EC57)</f>
        <v>0</v>
      </c>
      <c r="ED58" s="33" t="n">
        <f aca="false">ED20*SUMIF($J$7:ED$7,ED$7,$J57:ED57)</f>
        <v>0</v>
      </c>
      <c r="EE58" s="33" t="n">
        <f aca="false">EE20*SUMIF($J$7:EE$7,EE$7,$J57:EE57)</f>
        <v>0</v>
      </c>
      <c r="EF58" s="33" t="n">
        <f aca="false">EF20*SUMIF($J$7:EF$7,EF$7,$J57:EF57)</f>
        <v>0</v>
      </c>
      <c r="EG58" s="33" t="n">
        <f aca="false">EG20*SUMIF($J$7:EG$7,EG$7,$J57:EG57)</f>
        <v>0</v>
      </c>
      <c r="EH58" s="33" t="n">
        <f aca="false">EH20*SUMIF($J$7:EH$7,EH$7,$J57:EH57)</f>
        <v>0</v>
      </c>
      <c r="EI58" s="33" t="n">
        <f aca="false">EI20*SUMIF($J$7:EI$7,EI$7,$J57:EI57)</f>
        <v>0</v>
      </c>
      <c r="EJ58" s="33" t="n">
        <f aca="false">EJ20*SUMIF($J$7:EJ$7,EJ$7,$J57:EJ57)</f>
        <v>0</v>
      </c>
      <c r="EK58" s="33" t="n">
        <f aca="false">EK20*SUMIF($J$7:EK$7,EK$7,$J57:EK57)</f>
        <v>0</v>
      </c>
      <c r="EL58" s="33" t="n">
        <f aca="false">EL20*SUMIF($J$7:EL$7,EL$7,$J57:EL57)</f>
        <v>0</v>
      </c>
      <c r="EM58" s="33" t="n">
        <f aca="false">EM20*SUMIF($J$7:EM$7,EM$7,$J57:EM57)</f>
        <v>0</v>
      </c>
      <c r="EN58" s="33" t="n">
        <f aca="false">EN20*SUMIF($J$7:EN$7,EN$7,$J57:EN57)</f>
        <v>0</v>
      </c>
      <c r="EO58" s="33" t="n">
        <f aca="false">EO20*SUMIF($J$7:EO$7,EO$7,$J57:EO57)</f>
        <v>0</v>
      </c>
      <c r="EP58" s="33" t="n">
        <f aca="false">EP20*SUMIF($J$7:EP$7,EP$7,$J57:EP57)</f>
        <v>0</v>
      </c>
      <c r="EQ58" s="33" t="n">
        <f aca="false">EQ20*SUMIF($J$7:EQ$7,EQ$7,$J57:EQ57)</f>
        <v>0</v>
      </c>
      <c r="ER58" s="33" t="n">
        <f aca="false">ER20*SUMIF($J$7:ER$7,ER$7,$J57:ER57)</f>
        <v>0</v>
      </c>
      <c r="ES58" s="33" t="n">
        <f aca="false">ES20*SUMIF($J$7:ES$7,ES$7,$J57:ES57)</f>
        <v>0</v>
      </c>
      <c r="ET58" s="33" t="n">
        <f aca="false">ET20*SUMIF($J$7:ET$7,ET$7,$J57:ET57)</f>
        <v>0</v>
      </c>
    </row>
    <row r="59" customFormat="false" ht="15" hidden="false" customHeight="false" outlineLevel="0" collapsed="false">
      <c r="C59" s="0" t="s">
        <v>519</v>
      </c>
      <c r="D59" s="11" t="s">
        <v>247</v>
      </c>
      <c r="E59" s="33" t="n">
        <f aca="false">SUMIF($J$4:$ET$4,"&lt;="&amp;$E12,$J59:$ET59)</f>
        <v>-1278.15482229311</v>
      </c>
      <c r="F59" s="33" t="n">
        <f aca="false">SUMIF($J$4:$ET$4,"&lt;="&amp;In_COD,$J59:$ET59)</f>
        <v>-2011.61657496716</v>
      </c>
      <c r="I59" s="33" t="n">
        <f aca="false">SUM(J59:ET59)</f>
        <v>-2641.61193619816</v>
      </c>
      <c r="J59" s="33" t="n">
        <f aca="false">-(J48+J49)*In_Guarantee_Fee*J$5/Days_In_Year</f>
        <v>-0</v>
      </c>
      <c r="K59" s="33" t="n">
        <f aca="false">-(K48+K49)*In_Guarantee_Fee*K$5/Days_In_Year</f>
        <v>-18.1640998311128</v>
      </c>
      <c r="L59" s="33" t="n">
        <f aca="false">-(L48+L49)*In_Guarantee_Fee*L$5/Days_In_Year</f>
        <v>-103.466391443047</v>
      </c>
      <c r="M59" s="33" t="n">
        <f aca="false">-(M48+M49)*In_Guarantee_Fee*M$5/Days_In_Year</f>
        <v>-104.616018014637</v>
      </c>
      <c r="N59" s="33" t="n">
        <f aca="false">-(N48+N49)*In_Guarantee_Fee*N$5/Days_In_Year</f>
        <v>-105.765644586226</v>
      </c>
      <c r="O59" s="33" t="n">
        <f aca="false">-(O48+O49)*In_Guarantee_Fee*O$5/Days_In_Year</f>
        <v>-105.765644586226</v>
      </c>
      <c r="P59" s="33" t="n">
        <f aca="false">-(P48+P49)*In_Guarantee_Fee*P$5/Days_In_Year</f>
        <v>-104.616018014637</v>
      </c>
      <c r="Q59" s="33" t="n">
        <f aca="false">-(Q48+Q49)*In_Guarantee_Fee*Q$5/Days_In_Year</f>
        <v>-104.616018014637</v>
      </c>
      <c r="R59" s="33" t="n">
        <f aca="false">-(R48+R49)*In_Guarantee_Fee*R$5/Days_In_Year</f>
        <v>-105.765644586226</v>
      </c>
      <c r="S59" s="33" t="n">
        <f aca="false">-(S48+S49)*In_Guarantee_Fee*S$5/Days_In_Year</f>
        <v>-105.765644586226</v>
      </c>
      <c r="T59" s="33" t="n">
        <f aca="false">-(T48+T49)*In_Guarantee_Fee*T$5/Days_In_Year</f>
        <v>-103.466391443047</v>
      </c>
      <c r="U59" s="33" t="n">
        <f aca="false">-(U48+U49)*In_Guarantee_Fee*U$5/Days_In_Year</f>
        <v>-104.616018014637</v>
      </c>
      <c r="V59" s="33" t="n">
        <f aca="false">-(V48+V49)*In_Guarantee_Fee*V$5/Days_In_Year</f>
        <v>-105.765644586226</v>
      </c>
      <c r="W59" s="33" t="n">
        <f aca="false">-(W48+W49)*In_Guarantee_Fee*W$5/Days_In_Year</f>
        <v>-105.765644586226</v>
      </c>
      <c r="X59" s="33" t="n">
        <f aca="false">-(X48+X49)*In_Guarantee_Fee*X$5/Days_In_Year</f>
        <v>-103.466391443047</v>
      </c>
      <c r="Y59" s="33" t="n">
        <f aca="false">-(Y48+Y49)*In_Guarantee_Fee*Y$5/Days_In_Year</f>
        <v>-104.616018014637</v>
      </c>
      <c r="Z59" s="33" t="n">
        <f aca="false">-(Z48+Z49)*In_Guarantee_Fee*Z$5/Days_In_Year</f>
        <v>-105.765644586226</v>
      </c>
      <c r="AA59" s="33" t="n">
        <f aca="false">-(AA48+AA49)*In_Guarantee_Fee*AA$5/Days_In_Year</f>
        <v>-105.765644586226</v>
      </c>
      <c r="AB59" s="33" t="n">
        <f aca="false">-(AB48+AB49)*In_Guarantee_Fee*AB$5/Days_In_Year</f>
        <v>-103.466391443047</v>
      </c>
      <c r="AC59" s="33" t="n">
        <f aca="false">-(AC48+AC49)*In_Guarantee_Fee*AC$5/Days_In_Year</f>
        <v>-104.616018014637</v>
      </c>
      <c r="AD59" s="33" t="n">
        <f aca="false">-(AD48+AD49)*In_Guarantee_Fee*AD$5/Days_In_Year</f>
        <v>-105.765644586226</v>
      </c>
      <c r="AE59" s="33" t="n">
        <f aca="false">-(AE48+AE49)*In_Guarantee_Fee*AE$5/Days_In_Year</f>
        <v>-105.765644586226</v>
      </c>
      <c r="AF59" s="33" t="n">
        <f aca="false">-(AF48+AF49)*In_Guarantee_Fee*AF$5/Days_In_Year</f>
        <v>-104.616018014637</v>
      </c>
      <c r="AG59" s="33" t="n">
        <f aca="false">-(AG48+AG49)*In_Guarantee_Fee*AG$5/Days_In_Year</f>
        <v>-104.616018014637</v>
      </c>
      <c r="AH59" s="33" t="n">
        <f aca="false">-(AH48+AH49)*In_Guarantee_Fee*AH$5/Days_In_Year</f>
        <v>-105.765644586226</v>
      </c>
      <c r="AI59" s="33" t="n">
        <f aca="false">-(AI48+AI49)*In_Guarantee_Fee*AI$5/Days_In_Year</f>
        <v>-105.765644586226</v>
      </c>
      <c r="AJ59" s="33" t="n">
        <f aca="false">-(AJ48+AJ49)*In_Guarantee_Fee*AJ$5/Days_In_Year</f>
        <v>-103.466391443047</v>
      </c>
      <c r="AK59" s="33" t="n">
        <f aca="false">-(AK48+AK49)*In_Guarantee_Fee*AK$5/Days_In_Year</f>
        <v>-0</v>
      </c>
      <c r="AL59" s="33" t="n">
        <f aca="false">-(AL48+AL49)*In_Guarantee_Fee*AL$5/Days_In_Year</f>
        <v>-0</v>
      </c>
      <c r="AM59" s="33" t="n">
        <f aca="false">-(AM48+AM49)*In_Guarantee_Fee*AM$5/Days_In_Year</f>
        <v>-0</v>
      </c>
      <c r="AN59" s="33" t="n">
        <f aca="false">-(AN48+AN49)*In_Guarantee_Fee*AN$5/Days_In_Year</f>
        <v>-0</v>
      </c>
      <c r="AO59" s="33" t="n">
        <f aca="false">-(AO48+AO49)*In_Guarantee_Fee*AO$5/Days_In_Year</f>
        <v>-0</v>
      </c>
      <c r="AP59" s="33" t="n">
        <f aca="false">-(AP48+AP49)*In_Guarantee_Fee*AP$5/Days_In_Year</f>
        <v>-0</v>
      </c>
      <c r="AQ59" s="33" t="n">
        <f aca="false">-(AQ48+AQ49)*In_Guarantee_Fee*AQ$5/Days_In_Year</f>
        <v>-0</v>
      </c>
      <c r="AR59" s="33" t="n">
        <f aca="false">-(AR48+AR49)*In_Guarantee_Fee*AR$5/Days_In_Year</f>
        <v>-0</v>
      </c>
      <c r="AS59" s="33" t="n">
        <f aca="false">-(AS48+AS49)*In_Guarantee_Fee*AS$5/Days_In_Year</f>
        <v>-0</v>
      </c>
      <c r="AT59" s="33" t="n">
        <f aca="false">-(AT48+AT49)*In_Guarantee_Fee*AT$5/Days_In_Year</f>
        <v>-0</v>
      </c>
      <c r="AU59" s="33" t="n">
        <f aca="false">-(AU48+AU49)*In_Guarantee_Fee*AU$5/Days_In_Year</f>
        <v>-0</v>
      </c>
      <c r="AV59" s="33" t="n">
        <f aca="false">-(AV48+AV49)*In_Guarantee_Fee*AV$5/Days_In_Year</f>
        <v>-0</v>
      </c>
      <c r="AW59" s="33" t="n">
        <f aca="false">-(AW48+AW49)*In_Guarantee_Fee*AW$5/Days_In_Year</f>
        <v>-0</v>
      </c>
      <c r="AX59" s="33" t="n">
        <f aca="false">-(AX48+AX49)*In_Guarantee_Fee*AX$5/Days_In_Year</f>
        <v>-0</v>
      </c>
      <c r="AY59" s="33" t="n">
        <f aca="false">-(AY48+AY49)*In_Guarantee_Fee*AY$5/Days_In_Year</f>
        <v>-0</v>
      </c>
      <c r="AZ59" s="33" t="n">
        <f aca="false">-(AZ48+AZ49)*In_Guarantee_Fee*AZ$5/Days_In_Year</f>
        <v>-0</v>
      </c>
      <c r="BA59" s="33" t="n">
        <f aca="false">-(BA48+BA49)*In_Guarantee_Fee*BA$5/Days_In_Year</f>
        <v>-0</v>
      </c>
      <c r="BB59" s="33" t="n">
        <f aca="false">-(BB48+BB49)*In_Guarantee_Fee*BB$5/Days_In_Year</f>
        <v>-0</v>
      </c>
      <c r="BC59" s="33" t="n">
        <f aca="false">-(BC48+BC49)*In_Guarantee_Fee*BC$5/Days_In_Year</f>
        <v>-0</v>
      </c>
      <c r="BD59" s="33" t="n">
        <f aca="false">-(BD48+BD49)*In_Guarantee_Fee*BD$5/Days_In_Year</f>
        <v>-0</v>
      </c>
      <c r="BE59" s="33" t="n">
        <f aca="false">-(BE48+BE49)*In_Guarantee_Fee*BE$5/Days_In_Year</f>
        <v>-0</v>
      </c>
      <c r="BF59" s="33" t="n">
        <f aca="false">-(BF48+BF49)*In_Guarantee_Fee*BF$5/Days_In_Year</f>
        <v>-0</v>
      </c>
      <c r="BG59" s="33" t="n">
        <f aca="false">-(BG48+BG49)*In_Guarantee_Fee*BG$5/Days_In_Year</f>
        <v>-0</v>
      </c>
      <c r="BH59" s="33" t="n">
        <f aca="false">-(BH48+BH49)*In_Guarantee_Fee*BH$5/Days_In_Year</f>
        <v>-0</v>
      </c>
      <c r="BI59" s="33" t="n">
        <f aca="false">-(BI48+BI49)*In_Guarantee_Fee*BI$5/Days_In_Year</f>
        <v>-0</v>
      </c>
      <c r="BJ59" s="33" t="n">
        <f aca="false">-(BJ48+BJ49)*In_Guarantee_Fee*BJ$5/Days_In_Year</f>
        <v>-0</v>
      </c>
      <c r="BK59" s="33" t="n">
        <f aca="false">-(BK48+BK49)*In_Guarantee_Fee*BK$5/Days_In_Year</f>
        <v>-0</v>
      </c>
      <c r="BL59" s="33" t="n">
        <f aca="false">-(BL48+BL49)*In_Guarantee_Fee*BL$5/Days_In_Year</f>
        <v>-0</v>
      </c>
      <c r="BM59" s="33" t="n">
        <f aca="false">-(BM48+BM49)*In_Guarantee_Fee*BM$5/Days_In_Year</f>
        <v>-0</v>
      </c>
      <c r="BN59" s="33" t="n">
        <f aca="false">-(BN48+BN49)*In_Guarantee_Fee*BN$5/Days_In_Year</f>
        <v>-0</v>
      </c>
      <c r="BO59" s="33" t="n">
        <f aca="false">-(BO48+BO49)*In_Guarantee_Fee*BO$5/Days_In_Year</f>
        <v>-0</v>
      </c>
      <c r="BP59" s="33" t="n">
        <f aca="false">-(BP48+BP49)*In_Guarantee_Fee*BP$5/Days_In_Year</f>
        <v>-0</v>
      </c>
      <c r="BQ59" s="33" t="n">
        <f aca="false">-(BQ48+BQ49)*In_Guarantee_Fee*BQ$5/Days_In_Year</f>
        <v>-0</v>
      </c>
      <c r="BR59" s="33" t="n">
        <f aca="false">-(BR48+BR49)*In_Guarantee_Fee*BR$5/Days_In_Year</f>
        <v>-0</v>
      </c>
      <c r="BS59" s="33" t="n">
        <f aca="false">-(BS48+BS49)*In_Guarantee_Fee*BS$5/Days_In_Year</f>
        <v>-0</v>
      </c>
      <c r="BT59" s="33" t="n">
        <f aca="false">-(BT48+BT49)*In_Guarantee_Fee*BT$5/Days_In_Year</f>
        <v>-0</v>
      </c>
      <c r="BU59" s="33" t="n">
        <f aca="false">-(BU48+BU49)*In_Guarantee_Fee*BU$5/Days_In_Year</f>
        <v>-0</v>
      </c>
      <c r="BV59" s="33" t="n">
        <f aca="false">-(BV48+BV49)*In_Guarantee_Fee*BV$5/Days_In_Year</f>
        <v>-0</v>
      </c>
      <c r="BW59" s="33" t="n">
        <f aca="false">-(BW48+BW49)*In_Guarantee_Fee*BW$5/Days_In_Year</f>
        <v>-0</v>
      </c>
      <c r="BX59" s="33" t="n">
        <f aca="false">-(BX48+BX49)*In_Guarantee_Fee*BX$5/Days_In_Year</f>
        <v>-0</v>
      </c>
      <c r="BY59" s="33" t="n">
        <f aca="false">-(BY48+BY49)*In_Guarantee_Fee*BY$5/Days_In_Year</f>
        <v>-0</v>
      </c>
      <c r="BZ59" s="33" t="n">
        <f aca="false">-(BZ48+BZ49)*In_Guarantee_Fee*BZ$5/Days_In_Year</f>
        <v>-0</v>
      </c>
      <c r="CA59" s="33" t="n">
        <f aca="false">-(CA48+CA49)*In_Guarantee_Fee*CA$5/Days_In_Year</f>
        <v>-0</v>
      </c>
      <c r="CB59" s="33" t="n">
        <f aca="false">-(CB48+CB49)*In_Guarantee_Fee*CB$5/Days_In_Year</f>
        <v>-0</v>
      </c>
      <c r="CC59" s="33" t="n">
        <f aca="false">-(CC48+CC49)*In_Guarantee_Fee*CC$5/Days_In_Year</f>
        <v>-0</v>
      </c>
      <c r="CD59" s="33" t="n">
        <f aca="false">-(CD48+CD49)*In_Guarantee_Fee*CD$5/Days_In_Year</f>
        <v>-0</v>
      </c>
      <c r="CE59" s="33" t="n">
        <f aca="false">-(CE48+CE49)*In_Guarantee_Fee*CE$5/Days_In_Year</f>
        <v>-0</v>
      </c>
      <c r="CF59" s="33" t="n">
        <f aca="false">-(CF48+CF49)*In_Guarantee_Fee*CF$5/Days_In_Year</f>
        <v>-0</v>
      </c>
      <c r="CG59" s="33" t="n">
        <f aca="false">-(CG48+CG49)*In_Guarantee_Fee*CG$5/Days_In_Year</f>
        <v>-0</v>
      </c>
      <c r="CH59" s="33" t="n">
        <f aca="false">-(CH48+CH49)*In_Guarantee_Fee*CH$5/Days_In_Year</f>
        <v>-0</v>
      </c>
      <c r="CI59" s="33" t="n">
        <f aca="false">-(CI48+CI49)*In_Guarantee_Fee*CI$5/Days_In_Year</f>
        <v>-0</v>
      </c>
      <c r="CJ59" s="33" t="n">
        <f aca="false">-(CJ48+CJ49)*In_Guarantee_Fee*CJ$5/Days_In_Year</f>
        <v>-0</v>
      </c>
      <c r="CK59" s="33" t="n">
        <f aca="false">-(CK48+CK49)*In_Guarantee_Fee*CK$5/Days_In_Year</f>
        <v>-0</v>
      </c>
      <c r="CL59" s="33" t="n">
        <f aca="false">-(CL48+CL49)*In_Guarantee_Fee*CL$5/Days_In_Year</f>
        <v>-0</v>
      </c>
      <c r="CM59" s="33" t="n">
        <f aca="false">-(CM48+CM49)*In_Guarantee_Fee*CM$5/Days_In_Year</f>
        <v>-0</v>
      </c>
      <c r="CN59" s="33" t="n">
        <f aca="false">-(CN48+CN49)*In_Guarantee_Fee*CN$5/Days_In_Year</f>
        <v>-0</v>
      </c>
      <c r="CO59" s="33" t="n">
        <f aca="false">-(CO48+CO49)*In_Guarantee_Fee*CO$5/Days_In_Year</f>
        <v>-0</v>
      </c>
      <c r="CP59" s="33" t="n">
        <f aca="false">-(CP48+CP49)*In_Guarantee_Fee*CP$5/Days_In_Year</f>
        <v>-0</v>
      </c>
      <c r="CQ59" s="33" t="n">
        <f aca="false">-(CQ48+CQ49)*In_Guarantee_Fee*CQ$5/Days_In_Year</f>
        <v>-0</v>
      </c>
      <c r="CR59" s="33" t="n">
        <f aca="false">-(CR48+CR49)*In_Guarantee_Fee*CR$5/Days_In_Year</f>
        <v>-0</v>
      </c>
      <c r="CS59" s="33" t="n">
        <f aca="false">-(CS48+CS49)*In_Guarantee_Fee*CS$5/Days_In_Year</f>
        <v>-0</v>
      </c>
      <c r="CT59" s="33" t="n">
        <f aca="false">-(CT48+CT49)*In_Guarantee_Fee*CT$5/Days_In_Year</f>
        <v>-0</v>
      </c>
      <c r="CU59" s="33" t="n">
        <f aca="false">-(CU48+CU49)*In_Guarantee_Fee*CU$5/Days_In_Year</f>
        <v>-0</v>
      </c>
      <c r="CV59" s="33" t="n">
        <f aca="false">-(CV48+CV49)*In_Guarantee_Fee*CV$5/Days_In_Year</f>
        <v>-0</v>
      </c>
      <c r="CW59" s="33" t="n">
        <f aca="false">-(CW48+CW49)*In_Guarantee_Fee*CW$5/Days_In_Year</f>
        <v>-0</v>
      </c>
      <c r="CX59" s="33" t="n">
        <f aca="false">-(CX48+CX49)*In_Guarantee_Fee*CX$5/Days_In_Year</f>
        <v>-0</v>
      </c>
      <c r="CY59" s="33" t="n">
        <f aca="false">-(CY48+CY49)*In_Guarantee_Fee*CY$5/Days_In_Year</f>
        <v>-0</v>
      </c>
      <c r="CZ59" s="33" t="n">
        <f aca="false">-(CZ48+CZ49)*In_Guarantee_Fee*CZ$5/Days_In_Year</f>
        <v>-0</v>
      </c>
      <c r="DA59" s="33" t="n">
        <f aca="false">-(DA48+DA49)*In_Guarantee_Fee*DA$5/Days_In_Year</f>
        <v>-0</v>
      </c>
      <c r="DB59" s="33" t="n">
        <f aca="false">-(DB48+DB49)*In_Guarantee_Fee*DB$5/Days_In_Year</f>
        <v>-0</v>
      </c>
      <c r="DC59" s="33" t="n">
        <f aca="false">-(DC48+DC49)*In_Guarantee_Fee*DC$5/Days_In_Year</f>
        <v>-0</v>
      </c>
      <c r="DD59" s="33" t="n">
        <f aca="false">-(DD48+DD49)*In_Guarantee_Fee*DD$5/Days_In_Year</f>
        <v>-0</v>
      </c>
      <c r="DE59" s="33" t="n">
        <f aca="false">-(DE48+DE49)*In_Guarantee_Fee*DE$5/Days_In_Year</f>
        <v>-0</v>
      </c>
      <c r="DF59" s="33" t="n">
        <f aca="false">-(DF48+DF49)*In_Guarantee_Fee*DF$5/Days_In_Year</f>
        <v>-0</v>
      </c>
      <c r="DG59" s="33" t="n">
        <f aca="false">-(DG48+DG49)*In_Guarantee_Fee*DG$5/Days_In_Year</f>
        <v>-0</v>
      </c>
      <c r="DH59" s="33" t="n">
        <f aca="false">-(DH48+DH49)*In_Guarantee_Fee*DH$5/Days_In_Year</f>
        <v>-0</v>
      </c>
      <c r="DI59" s="33" t="n">
        <f aca="false">-(DI48+DI49)*In_Guarantee_Fee*DI$5/Days_In_Year</f>
        <v>-0</v>
      </c>
      <c r="DJ59" s="33" t="n">
        <f aca="false">-(DJ48+DJ49)*In_Guarantee_Fee*DJ$5/Days_In_Year</f>
        <v>-0</v>
      </c>
      <c r="DK59" s="33" t="n">
        <f aca="false">-(DK48+DK49)*In_Guarantee_Fee*DK$5/Days_In_Year</f>
        <v>-0</v>
      </c>
      <c r="DL59" s="33" t="n">
        <f aca="false">-(DL48+DL49)*In_Guarantee_Fee*DL$5/Days_In_Year</f>
        <v>-0</v>
      </c>
      <c r="DM59" s="33" t="n">
        <f aca="false">-(DM48+DM49)*In_Guarantee_Fee*DM$5/Days_In_Year</f>
        <v>-0</v>
      </c>
      <c r="DN59" s="33" t="n">
        <f aca="false">-(DN48+DN49)*In_Guarantee_Fee*DN$5/Days_In_Year</f>
        <v>-0</v>
      </c>
      <c r="DO59" s="33" t="n">
        <f aca="false">-(DO48+DO49)*In_Guarantee_Fee*DO$5/Days_In_Year</f>
        <v>-0</v>
      </c>
      <c r="DP59" s="33" t="n">
        <f aca="false">-(DP48+DP49)*In_Guarantee_Fee*DP$5/Days_In_Year</f>
        <v>-0</v>
      </c>
      <c r="DQ59" s="33" t="n">
        <f aca="false">-(DQ48+DQ49)*In_Guarantee_Fee*DQ$5/Days_In_Year</f>
        <v>-0</v>
      </c>
      <c r="DR59" s="33" t="n">
        <f aca="false">-(DR48+DR49)*In_Guarantee_Fee*DR$5/Days_In_Year</f>
        <v>-0</v>
      </c>
      <c r="DS59" s="33" t="n">
        <f aca="false">-(DS48+DS49)*In_Guarantee_Fee*DS$5/Days_In_Year</f>
        <v>-0</v>
      </c>
      <c r="DT59" s="33" t="n">
        <f aca="false">-(DT48+DT49)*In_Guarantee_Fee*DT$5/Days_In_Year</f>
        <v>-0</v>
      </c>
      <c r="DU59" s="33" t="n">
        <f aca="false">-(DU48+DU49)*In_Guarantee_Fee*DU$5/Days_In_Year</f>
        <v>-0</v>
      </c>
      <c r="DV59" s="33" t="n">
        <f aca="false">-(DV48+DV49)*In_Guarantee_Fee*DV$5/Days_In_Year</f>
        <v>-0</v>
      </c>
      <c r="DW59" s="33" t="n">
        <f aca="false">-(DW48+DW49)*In_Guarantee_Fee*DW$5/Days_In_Year</f>
        <v>-0</v>
      </c>
      <c r="DX59" s="33" t="n">
        <f aca="false">-(DX48+DX49)*In_Guarantee_Fee*DX$5/Days_In_Year</f>
        <v>-0</v>
      </c>
      <c r="DY59" s="33" t="n">
        <f aca="false">-(DY48+DY49)*In_Guarantee_Fee*DY$5/Days_In_Year</f>
        <v>-0</v>
      </c>
      <c r="DZ59" s="33" t="n">
        <f aca="false">-(DZ48+DZ49)*In_Guarantee_Fee*DZ$5/Days_In_Year</f>
        <v>-0</v>
      </c>
      <c r="EA59" s="33" t="n">
        <f aca="false">-(EA48+EA49)*In_Guarantee_Fee*EA$5/Days_In_Year</f>
        <v>-0</v>
      </c>
      <c r="EB59" s="33" t="n">
        <f aca="false">-(EB48+EB49)*In_Guarantee_Fee*EB$5/Days_In_Year</f>
        <v>-0</v>
      </c>
      <c r="EC59" s="33" t="n">
        <f aca="false">-(EC48+EC49)*In_Guarantee_Fee*EC$5/Days_In_Year</f>
        <v>-0</v>
      </c>
      <c r="ED59" s="33" t="n">
        <f aca="false">-(ED48+ED49)*In_Guarantee_Fee*ED$5/Days_In_Year</f>
        <v>-0</v>
      </c>
      <c r="EE59" s="33" t="n">
        <f aca="false">-(EE48+EE49)*In_Guarantee_Fee*EE$5/Days_In_Year</f>
        <v>-0</v>
      </c>
      <c r="EF59" s="33" t="n">
        <f aca="false">-(EF48+EF49)*In_Guarantee_Fee*EF$5/Days_In_Year</f>
        <v>-0</v>
      </c>
      <c r="EG59" s="33" t="n">
        <f aca="false">-(EG48+EG49)*In_Guarantee_Fee*EG$5/Days_In_Year</f>
        <v>-0</v>
      </c>
      <c r="EH59" s="33" t="n">
        <f aca="false">-(EH48+EH49)*In_Guarantee_Fee*EH$5/Days_In_Year</f>
        <v>-0</v>
      </c>
      <c r="EI59" s="33" t="n">
        <f aca="false">-(EI48+EI49)*In_Guarantee_Fee*EI$5/Days_In_Year</f>
        <v>-0</v>
      </c>
      <c r="EJ59" s="33" t="n">
        <f aca="false">-(EJ48+EJ49)*In_Guarantee_Fee*EJ$5/Days_In_Year</f>
        <v>-0</v>
      </c>
      <c r="EK59" s="33" t="n">
        <f aca="false">-(EK48+EK49)*In_Guarantee_Fee*EK$5/Days_In_Year</f>
        <v>-0</v>
      </c>
      <c r="EL59" s="33" t="n">
        <f aca="false">-(EL48+EL49)*In_Guarantee_Fee*EL$5/Days_In_Year</f>
        <v>-0</v>
      </c>
      <c r="EM59" s="33" t="n">
        <f aca="false">-(EM48+EM49)*In_Guarantee_Fee*EM$5/Days_In_Year</f>
        <v>-0</v>
      </c>
      <c r="EN59" s="33" t="n">
        <f aca="false">-(EN48+EN49)*In_Guarantee_Fee*EN$5/Days_In_Year</f>
        <v>-0</v>
      </c>
      <c r="EO59" s="33" t="n">
        <f aca="false">-(EO48+EO49)*In_Guarantee_Fee*EO$5/Days_In_Year</f>
        <v>-0</v>
      </c>
      <c r="EP59" s="33" t="n">
        <f aca="false">-(EP48+EP49)*In_Guarantee_Fee*EP$5/Days_In_Year</f>
        <v>-0</v>
      </c>
      <c r="EQ59" s="33" t="n">
        <f aca="false">-(EQ48+EQ49)*In_Guarantee_Fee*EQ$5/Days_In_Year</f>
        <v>-0</v>
      </c>
      <c r="ER59" s="33" t="n">
        <f aca="false">-(ER48+ER49)*In_Guarantee_Fee*ER$5/Days_In_Year</f>
        <v>-0</v>
      </c>
      <c r="ES59" s="33" t="n">
        <f aca="false">-(ES48+ES49)*In_Guarantee_Fee*ES$5/Days_In_Year</f>
        <v>-0</v>
      </c>
      <c r="ET59" s="33" t="n">
        <f aca="false">-(ET48+ET49)*In_Guarantee_Fee*ET$5/Days_In_Year</f>
        <v>-0</v>
      </c>
    </row>
    <row r="60" customFormat="false" ht="15" hidden="false" customHeight="false" outlineLevel="0" collapsed="false">
      <c r="C60" s="30" t="s">
        <v>520</v>
      </c>
      <c r="D60" s="11" t="s">
        <v>247</v>
      </c>
      <c r="I60" s="35" t="n">
        <f aca="false">SUM(J60:ET60)</f>
        <v>-7402.33233858005</v>
      </c>
      <c r="J60" s="35" t="n">
        <f aca="false">J46+J47+J50+J57+J59</f>
        <v>-400</v>
      </c>
      <c r="K60" s="35" t="n">
        <f aca="false">K46+K47+K50+K57+K59</f>
        <v>-1437.78053818728</v>
      </c>
      <c r="L60" s="35" t="n">
        <f aca="false">L46+L47+L50+L57+L59</f>
        <v>-691.910911990993</v>
      </c>
      <c r="M60" s="35" t="n">
        <f aca="false">M46+M47+M50+M57+M59</f>
        <v>-148.451634452993</v>
      </c>
      <c r="N60" s="35" t="n">
        <f aca="false">N46+N47+N50+N57+N59</f>
        <v>-149.601261024582</v>
      </c>
      <c r="O60" s="35" t="n">
        <f aca="false">O46+O47+O50+O57+O59</f>
        <v>-290.127288421843</v>
      </c>
      <c r="P60" s="35" t="n">
        <f aca="false">P46+P47+P50+P57+P59</f>
        <v>-1394.65781281475</v>
      </c>
      <c r="Q60" s="35" t="n">
        <f aca="false">Q46+Q47+Q50+Q57+Q59</f>
        <v>-109.225607055733</v>
      </c>
      <c r="R60" s="35" t="n">
        <f aca="false">R46+R47+R50+R57+R59</f>
        <v>-269.857154566657</v>
      </c>
      <c r="S60" s="35" t="n">
        <f aca="false">S46+S47+S50+S57+S59</f>
        <v>-422.991783283459</v>
      </c>
      <c r="T60" s="35" t="n">
        <f aca="false">T46+T47+T50+T57+T59</f>
        <v>-408.123925689623</v>
      </c>
      <c r="U60" s="35" t="n">
        <f aca="false">U46+U47+U50+U57+U59</f>
        <v>-104.616018014637</v>
      </c>
      <c r="V60" s="35" t="n">
        <f aca="false">V46+V47+V50+V57+V59</f>
        <v>-105.765644586226</v>
      </c>
      <c r="W60" s="35" t="n">
        <f aca="false">W46+W47+W50+W57+W59</f>
        <v>-105.765644586226</v>
      </c>
      <c r="X60" s="35" t="n">
        <f aca="false">X46+X47+X50+X57+X59</f>
        <v>-103.466391443047</v>
      </c>
      <c r="Y60" s="35" t="n">
        <f aca="false">Y46+Y47+Y50+Y57+Y59</f>
        <v>-104.616018014637</v>
      </c>
      <c r="Z60" s="35" t="n">
        <f aca="false">Z46+Z47+Z50+Z57+Z59</f>
        <v>-105.765644586226</v>
      </c>
      <c r="AA60" s="35" t="n">
        <f aca="false">AA46+AA47+AA50+AA57+AA59</f>
        <v>-105.765644586226</v>
      </c>
      <c r="AB60" s="35" t="n">
        <f aca="false">AB46+AB47+AB50+AB57+AB59</f>
        <v>-103.466391443047</v>
      </c>
      <c r="AC60" s="35" t="n">
        <f aca="false">AC46+AC47+AC50+AC57+AC59</f>
        <v>-104.616018014637</v>
      </c>
      <c r="AD60" s="35" t="n">
        <f aca="false">AD46+AD47+AD50+AD57+AD59</f>
        <v>-105.765644586226</v>
      </c>
      <c r="AE60" s="35" t="n">
        <f aca="false">AE46+AE47+AE50+AE57+AE59</f>
        <v>-105.765644586226</v>
      </c>
      <c r="AF60" s="35" t="n">
        <f aca="false">AF46+AF47+AF50+AF57+AF59</f>
        <v>-104.616018014637</v>
      </c>
      <c r="AG60" s="35" t="n">
        <f aca="false">AG46+AG47+AG50+AG57+AG59</f>
        <v>-104.616018014637</v>
      </c>
      <c r="AH60" s="35" t="n">
        <f aca="false">AH46+AH47+AH50+AH57+AH59</f>
        <v>-105.765644586226</v>
      </c>
      <c r="AI60" s="35" t="n">
        <f aca="false">AI46+AI47+AI50+AI57+AI59</f>
        <v>-105.765644586226</v>
      </c>
      <c r="AJ60" s="35" t="n">
        <f aca="false">AJ46+AJ47+AJ50+AJ57+AJ59</f>
        <v>-103.466391443047</v>
      </c>
      <c r="AK60" s="35" t="n">
        <f aca="false">AK46+AK47+AK50+AK57+AK59</f>
        <v>-0</v>
      </c>
      <c r="AL60" s="35" t="n">
        <f aca="false">AL46+AL47+AL50+AL57+AL59</f>
        <v>-0</v>
      </c>
      <c r="AM60" s="35" t="n">
        <f aca="false">AM46+AM47+AM50+AM57+AM59</f>
        <v>-0</v>
      </c>
      <c r="AN60" s="35" t="n">
        <f aca="false">AN46+AN47+AN50+AN57+AN59</f>
        <v>-0</v>
      </c>
      <c r="AO60" s="35" t="n">
        <f aca="false">AO46+AO47+AO50+AO57+AO59</f>
        <v>-0</v>
      </c>
      <c r="AP60" s="35" t="n">
        <f aca="false">AP46+AP47+AP50+AP57+AP59</f>
        <v>-0</v>
      </c>
      <c r="AQ60" s="35" t="n">
        <f aca="false">AQ46+AQ47+AQ50+AQ57+AQ59</f>
        <v>-0</v>
      </c>
      <c r="AR60" s="35" t="n">
        <f aca="false">AR46+AR47+AR50+AR57+AR59</f>
        <v>-0</v>
      </c>
      <c r="AS60" s="35" t="n">
        <f aca="false">AS46+AS47+AS50+AS57+AS59</f>
        <v>-0</v>
      </c>
      <c r="AT60" s="35" t="n">
        <f aca="false">AT46+AT47+AT50+AT57+AT59</f>
        <v>-0</v>
      </c>
      <c r="AU60" s="35" t="n">
        <f aca="false">AU46+AU47+AU50+AU57+AU59</f>
        <v>-0</v>
      </c>
      <c r="AV60" s="35" t="n">
        <f aca="false">AV46+AV47+AV50+AV57+AV59</f>
        <v>-0</v>
      </c>
      <c r="AW60" s="35" t="n">
        <f aca="false">AW46+AW47+AW50+AW57+AW59</f>
        <v>-0</v>
      </c>
      <c r="AX60" s="35" t="n">
        <f aca="false">AX46+AX47+AX50+AX57+AX59</f>
        <v>-0</v>
      </c>
      <c r="AY60" s="35" t="n">
        <f aca="false">AY46+AY47+AY50+AY57+AY59</f>
        <v>-0</v>
      </c>
      <c r="AZ60" s="35" t="n">
        <f aca="false">AZ46+AZ47+AZ50+AZ57+AZ59</f>
        <v>-0</v>
      </c>
      <c r="BA60" s="35" t="n">
        <f aca="false">BA46+BA47+BA50+BA57+BA59</f>
        <v>-0</v>
      </c>
      <c r="BB60" s="35" t="n">
        <f aca="false">BB46+BB47+BB50+BB57+BB59</f>
        <v>-0</v>
      </c>
      <c r="BC60" s="35" t="n">
        <f aca="false">BC46+BC47+BC50+BC57+BC59</f>
        <v>-0</v>
      </c>
      <c r="BD60" s="35" t="n">
        <f aca="false">BD46+BD47+BD50+BD57+BD59</f>
        <v>-0</v>
      </c>
      <c r="BE60" s="35" t="n">
        <f aca="false">BE46+BE47+BE50+BE57+BE59</f>
        <v>-0</v>
      </c>
      <c r="BF60" s="35" t="n">
        <f aca="false">BF46+BF47+BF50+BF57+BF59</f>
        <v>-0</v>
      </c>
      <c r="BG60" s="35" t="n">
        <f aca="false">BG46+BG47+BG50+BG57+BG59</f>
        <v>-0</v>
      </c>
      <c r="BH60" s="35" t="n">
        <f aca="false">BH46+BH47+BH50+BH57+BH59</f>
        <v>-0</v>
      </c>
      <c r="BI60" s="35" t="n">
        <f aca="false">BI46+BI47+BI50+BI57+BI59</f>
        <v>-0</v>
      </c>
      <c r="BJ60" s="35" t="n">
        <f aca="false">BJ46+BJ47+BJ50+BJ57+BJ59</f>
        <v>-0</v>
      </c>
      <c r="BK60" s="35" t="n">
        <f aca="false">BK46+BK47+BK50+BK57+BK59</f>
        <v>-0</v>
      </c>
      <c r="BL60" s="35" t="n">
        <f aca="false">BL46+BL47+BL50+BL57+BL59</f>
        <v>-0</v>
      </c>
      <c r="BM60" s="35" t="n">
        <f aca="false">BM46+BM47+BM50+BM57+BM59</f>
        <v>-0</v>
      </c>
      <c r="BN60" s="35" t="n">
        <f aca="false">BN46+BN47+BN50+BN57+BN59</f>
        <v>-0</v>
      </c>
      <c r="BO60" s="35" t="n">
        <f aca="false">BO46+BO47+BO50+BO57+BO59</f>
        <v>-0</v>
      </c>
      <c r="BP60" s="35" t="n">
        <f aca="false">BP46+BP47+BP50+BP57+BP59</f>
        <v>-0</v>
      </c>
      <c r="BQ60" s="35" t="n">
        <f aca="false">BQ46+BQ47+BQ50+BQ57+BQ59</f>
        <v>-0</v>
      </c>
      <c r="BR60" s="35" t="n">
        <f aca="false">BR46+BR47+BR50+BR57+BR59</f>
        <v>-0</v>
      </c>
      <c r="BS60" s="35" t="n">
        <f aca="false">BS46+BS47+BS50+BS57+BS59</f>
        <v>-0</v>
      </c>
      <c r="BT60" s="35" t="n">
        <f aca="false">BT46+BT47+BT50+BT57+BT59</f>
        <v>-0</v>
      </c>
      <c r="BU60" s="35" t="n">
        <f aca="false">BU46+BU47+BU50+BU57+BU59</f>
        <v>-0</v>
      </c>
      <c r="BV60" s="35" t="n">
        <f aca="false">BV46+BV47+BV50+BV57+BV59</f>
        <v>-0</v>
      </c>
      <c r="BW60" s="35" t="n">
        <f aca="false">BW46+BW47+BW50+BW57+BW59</f>
        <v>-0</v>
      </c>
      <c r="BX60" s="35" t="n">
        <f aca="false">BX46+BX47+BX50+BX57+BX59</f>
        <v>-0</v>
      </c>
      <c r="BY60" s="35" t="n">
        <f aca="false">BY46+BY47+BY50+BY57+BY59</f>
        <v>-0</v>
      </c>
      <c r="BZ60" s="35" t="n">
        <f aca="false">BZ46+BZ47+BZ50+BZ57+BZ59</f>
        <v>-0</v>
      </c>
      <c r="CA60" s="35" t="n">
        <f aca="false">CA46+CA47+CA50+CA57+CA59</f>
        <v>-0</v>
      </c>
      <c r="CB60" s="35" t="n">
        <f aca="false">CB46+CB47+CB50+CB57+CB59</f>
        <v>-0</v>
      </c>
      <c r="CC60" s="35" t="n">
        <f aca="false">CC46+CC47+CC50+CC57+CC59</f>
        <v>-0</v>
      </c>
      <c r="CD60" s="35" t="n">
        <f aca="false">CD46+CD47+CD50+CD57+CD59</f>
        <v>-0</v>
      </c>
      <c r="CE60" s="35" t="n">
        <f aca="false">CE46+CE47+CE50+CE57+CE59</f>
        <v>-0</v>
      </c>
      <c r="CF60" s="35" t="n">
        <f aca="false">CF46+CF47+CF50+CF57+CF59</f>
        <v>-0</v>
      </c>
      <c r="CG60" s="35" t="n">
        <f aca="false">CG46+CG47+CG50+CG57+CG59</f>
        <v>-0</v>
      </c>
      <c r="CH60" s="35" t="n">
        <f aca="false">CH46+CH47+CH50+CH57+CH59</f>
        <v>-0</v>
      </c>
      <c r="CI60" s="35" t="n">
        <f aca="false">CI46+CI47+CI50+CI57+CI59</f>
        <v>-0</v>
      </c>
      <c r="CJ60" s="35" t="n">
        <f aca="false">CJ46+CJ47+CJ50+CJ57+CJ59</f>
        <v>-0</v>
      </c>
      <c r="CK60" s="35" t="n">
        <f aca="false">CK46+CK47+CK50+CK57+CK59</f>
        <v>-0</v>
      </c>
      <c r="CL60" s="35" t="n">
        <f aca="false">CL46+CL47+CL50+CL57+CL59</f>
        <v>-0</v>
      </c>
      <c r="CM60" s="35" t="n">
        <f aca="false">CM46+CM47+CM50+CM57+CM59</f>
        <v>-0</v>
      </c>
      <c r="CN60" s="35" t="n">
        <f aca="false">CN46+CN47+CN50+CN57+CN59</f>
        <v>-0</v>
      </c>
      <c r="CO60" s="35" t="n">
        <f aca="false">CO46+CO47+CO50+CO57+CO59</f>
        <v>-0</v>
      </c>
      <c r="CP60" s="35" t="n">
        <f aca="false">CP46+CP47+CP50+CP57+CP59</f>
        <v>-0</v>
      </c>
      <c r="CQ60" s="35" t="n">
        <f aca="false">CQ46+CQ47+CQ50+CQ57+CQ59</f>
        <v>-0</v>
      </c>
      <c r="CR60" s="35" t="n">
        <f aca="false">CR46+CR47+CR50+CR57+CR59</f>
        <v>-0</v>
      </c>
      <c r="CS60" s="35" t="n">
        <f aca="false">CS46+CS47+CS50+CS57+CS59</f>
        <v>-0</v>
      </c>
      <c r="CT60" s="35" t="n">
        <f aca="false">CT46+CT47+CT50+CT57+CT59</f>
        <v>-0</v>
      </c>
      <c r="CU60" s="35" t="n">
        <f aca="false">CU46+CU47+CU50+CU57+CU59</f>
        <v>-0</v>
      </c>
      <c r="CV60" s="35" t="n">
        <f aca="false">CV46+CV47+CV50+CV57+CV59</f>
        <v>-0</v>
      </c>
      <c r="CW60" s="35" t="n">
        <f aca="false">CW46+CW47+CW50+CW57+CW59</f>
        <v>-0</v>
      </c>
      <c r="CX60" s="35" t="n">
        <f aca="false">CX46+CX47+CX50+CX57+CX59</f>
        <v>-0</v>
      </c>
      <c r="CY60" s="35" t="n">
        <f aca="false">CY46+CY47+CY50+CY57+CY59</f>
        <v>-0</v>
      </c>
      <c r="CZ60" s="35" t="n">
        <f aca="false">CZ46+CZ47+CZ50+CZ57+CZ59</f>
        <v>-0</v>
      </c>
      <c r="DA60" s="35" t="n">
        <f aca="false">DA46+DA47+DA50+DA57+DA59</f>
        <v>-0</v>
      </c>
      <c r="DB60" s="35" t="n">
        <f aca="false">DB46+DB47+DB50+DB57+DB59</f>
        <v>-0</v>
      </c>
      <c r="DC60" s="35" t="n">
        <f aca="false">DC46+DC47+DC50+DC57+DC59</f>
        <v>-0</v>
      </c>
      <c r="DD60" s="35" t="n">
        <f aca="false">DD46+DD47+DD50+DD57+DD59</f>
        <v>-0</v>
      </c>
      <c r="DE60" s="35" t="n">
        <f aca="false">DE46+DE47+DE50+DE57+DE59</f>
        <v>-0</v>
      </c>
      <c r="DF60" s="35" t="n">
        <f aca="false">DF46+DF47+DF50+DF57+DF59</f>
        <v>-0</v>
      </c>
      <c r="DG60" s="35" t="n">
        <f aca="false">DG46+DG47+DG50+DG57+DG59</f>
        <v>-0</v>
      </c>
      <c r="DH60" s="35" t="n">
        <f aca="false">DH46+DH47+DH50+DH57+DH59</f>
        <v>-0</v>
      </c>
      <c r="DI60" s="35" t="n">
        <f aca="false">DI46+DI47+DI50+DI57+DI59</f>
        <v>-0</v>
      </c>
      <c r="DJ60" s="35" t="n">
        <f aca="false">DJ46+DJ47+DJ50+DJ57+DJ59</f>
        <v>-0</v>
      </c>
      <c r="DK60" s="35" t="n">
        <f aca="false">DK46+DK47+DK50+DK57+DK59</f>
        <v>-0</v>
      </c>
      <c r="DL60" s="35" t="n">
        <f aca="false">DL46+DL47+DL50+DL57+DL59</f>
        <v>-0</v>
      </c>
      <c r="DM60" s="35" t="n">
        <f aca="false">DM46+DM47+DM50+DM57+DM59</f>
        <v>-0</v>
      </c>
      <c r="DN60" s="35" t="n">
        <f aca="false">DN46+DN47+DN50+DN57+DN59</f>
        <v>-0</v>
      </c>
      <c r="DO60" s="35" t="n">
        <f aca="false">DO46+DO47+DO50+DO57+DO59</f>
        <v>-0</v>
      </c>
      <c r="DP60" s="35" t="n">
        <f aca="false">DP46+DP47+DP50+DP57+DP59</f>
        <v>-0</v>
      </c>
      <c r="DQ60" s="35" t="n">
        <f aca="false">DQ46+DQ47+DQ50+DQ57+DQ59</f>
        <v>-0</v>
      </c>
      <c r="DR60" s="35" t="n">
        <f aca="false">DR46+DR47+DR50+DR57+DR59</f>
        <v>-0</v>
      </c>
      <c r="DS60" s="35" t="n">
        <f aca="false">DS46+DS47+DS50+DS57+DS59</f>
        <v>-0</v>
      </c>
      <c r="DT60" s="35" t="n">
        <f aca="false">DT46+DT47+DT50+DT57+DT59</f>
        <v>-0</v>
      </c>
      <c r="DU60" s="35" t="n">
        <f aca="false">DU46+DU47+DU50+DU57+DU59</f>
        <v>-0</v>
      </c>
      <c r="DV60" s="35" t="n">
        <f aca="false">DV46+DV47+DV50+DV57+DV59</f>
        <v>-0</v>
      </c>
      <c r="DW60" s="35" t="n">
        <f aca="false">DW46+DW47+DW50+DW57+DW59</f>
        <v>-0</v>
      </c>
      <c r="DX60" s="35" t="n">
        <f aca="false">DX46+DX47+DX50+DX57+DX59</f>
        <v>-0</v>
      </c>
      <c r="DY60" s="35" t="n">
        <f aca="false">DY46+DY47+DY50+DY57+DY59</f>
        <v>-0</v>
      </c>
      <c r="DZ60" s="35" t="n">
        <f aca="false">DZ46+DZ47+DZ50+DZ57+DZ59</f>
        <v>-0</v>
      </c>
      <c r="EA60" s="35" t="n">
        <f aca="false">EA46+EA47+EA50+EA57+EA59</f>
        <v>-0</v>
      </c>
      <c r="EB60" s="35" t="n">
        <f aca="false">EB46+EB47+EB50+EB57+EB59</f>
        <v>-0</v>
      </c>
      <c r="EC60" s="35" t="n">
        <f aca="false">EC46+EC47+EC50+EC57+EC59</f>
        <v>-0</v>
      </c>
      <c r="ED60" s="35" t="n">
        <f aca="false">ED46+ED47+ED50+ED57+ED59</f>
        <v>-0</v>
      </c>
      <c r="EE60" s="35" t="n">
        <f aca="false">EE46+EE47+EE50+EE57+EE59</f>
        <v>-0</v>
      </c>
      <c r="EF60" s="35" t="n">
        <f aca="false">EF46+EF47+EF50+EF57+EF59</f>
        <v>-0</v>
      </c>
      <c r="EG60" s="35" t="n">
        <f aca="false">EG46+EG47+EG50+EG57+EG59</f>
        <v>-0</v>
      </c>
      <c r="EH60" s="35" t="n">
        <f aca="false">EH46+EH47+EH50+EH57+EH59</f>
        <v>-0</v>
      </c>
      <c r="EI60" s="35" t="n">
        <f aca="false">EI46+EI47+EI50+EI57+EI59</f>
        <v>-0</v>
      </c>
      <c r="EJ60" s="35" t="n">
        <f aca="false">EJ46+EJ47+EJ50+EJ57+EJ59</f>
        <v>-0</v>
      </c>
      <c r="EK60" s="35" t="n">
        <f aca="false">EK46+EK47+EK50+EK57+EK59</f>
        <v>-0</v>
      </c>
      <c r="EL60" s="35" t="n">
        <f aca="false">EL46+EL47+EL50+EL57+EL59</f>
        <v>-0</v>
      </c>
      <c r="EM60" s="35" t="n">
        <f aca="false">EM46+EM47+EM50+EM57+EM59</f>
        <v>-0</v>
      </c>
      <c r="EN60" s="35" t="n">
        <f aca="false">EN46+EN47+EN50+EN57+EN59</f>
        <v>-0</v>
      </c>
      <c r="EO60" s="35" t="n">
        <f aca="false">EO46+EO47+EO50+EO57+EO59</f>
        <v>-0</v>
      </c>
      <c r="EP60" s="35" t="n">
        <f aca="false">EP46+EP47+EP50+EP57+EP59</f>
        <v>-0</v>
      </c>
      <c r="EQ60" s="35" t="n">
        <f aca="false">EQ46+EQ47+EQ50+EQ57+EQ59</f>
        <v>-0</v>
      </c>
      <c r="ER60" s="35" t="n">
        <f aca="false">ER46+ER47+ER50+ER57+ER59</f>
        <v>-0</v>
      </c>
      <c r="ES60" s="35" t="n">
        <f aca="false">ES46+ES47+ES50+ES57+ES59</f>
        <v>-0</v>
      </c>
      <c r="ET60" s="35" t="n">
        <f aca="false">ET46+ET47+ET50+ET57+ET59</f>
        <v>-0</v>
      </c>
    </row>
    <row r="61" customFormat="false" ht="15" hidden="false" customHeight="false" outlineLevel="0" collapsed="false">
      <c r="C61" s="0" t="s">
        <v>521</v>
      </c>
      <c r="D61" s="11" t="s">
        <v>247</v>
      </c>
      <c r="E61" s="33" t="n">
        <f aca="false">SUMIF($J$4:$ET$4,$E12,$J61:$ET61)</f>
        <v>21850.9278191781</v>
      </c>
      <c r="I61" s="54"/>
      <c r="J61" s="33" t="n">
        <f aca="false">I61-J47-J50-J53-J55</f>
        <v>0</v>
      </c>
      <c r="K61" s="33" t="n">
        <f aca="false">J61-K47-K50-K53-K55</f>
        <v>1241.09589041096</v>
      </c>
      <c r="L61" s="33" t="n">
        <f aca="false">K61-L47-L50-L53-L55</f>
        <v>1421.67739726027</v>
      </c>
      <c r="M61" s="33" t="n">
        <f aca="false">L61-M47-M50-M53-M55</f>
        <v>1421.67739726027</v>
      </c>
      <c r="N61" s="33" t="n">
        <f aca="false">M61-N47-N50-N53-N55</f>
        <v>1421.67739726027</v>
      </c>
      <c r="O61" s="33" t="n">
        <f aca="false">N61-O47-O50-O53-O55</f>
        <v>1421.67739726027</v>
      </c>
      <c r="P61" s="33" t="n">
        <f aca="false">O61-P47-P50-P53-P55</f>
        <v>1421.67739726027</v>
      </c>
      <c r="Q61" s="33" t="n">
        <f aca="false">P61-Q47-Q50-Q53-Q55</f>
        <v>1421.67739726027</v>
      </c>
      <c r="R61" s="33" t="n">
        <f aca="false">Q61-R47-R50-R53-R55</f>
        <v>1421.67739726027</v>
      </c>
      <c r="S61" s="33" t="n">
        <f aca="false">R61-S47-S50-S53-S55</f>
        <v>1421.67739726027</v>
      </c>
      <c r="T61" s="33" t="n">
        <f aca="false">S61-T47-T50-T53-T55</f>
        <v>21850.9278191781</v>
      </c>
      <c r="U61" s="33" t="n">
        <f aca="false">T61-U47-U50-U53-U55</f>
        <v>21850.9278191781</v>
      </c>
      <c r="V61" s="33" t="n">
        <f aca="false">U61-V47-V50-V53-V55</f>
        <v>21850.9278191781</v>
      </c>
      <c r="W61" s="33" t="n">
        <f aca="false">V61-W47-W50-W53-W55</f>
        <v>21850.9278191781</v>
      </c>
      <c r="X61" s="33" t="n">
        <f aca="false">W61-X47-X50-X53-X55</f>
        <v>21850.9278191781</v>
      </c>
      <c r="Y61" s="33" t="n">
        <f aca="false">X61-Y47-Y50-Y53-Y55</f>
        <v>21850.9278191781</v>
      </c>
      <c r="Z61" s="33" t="n">
        <f aca="false">Y61-Z47-Z50-Z53-Z55</f>
        <v>21850.9278191781</v>
      </c>
      <c r="AA61" s="33" t="n">
        <f aca="false">Z61-AA47-AA50-AA53-AA55</f>
        <v>21850.9278191781</v>
      </c>
      <c r="AB61" s="33" t="n">
        <f aca="false">AA61-AB47-AB50-AB53-AB55</f>
        <v>21850.9278191781</v>
      </c>
      <c r="AC61" s="33" t="n">
        <f aca="false">AB61-AC47-AC50-AC53-AC55</f>
        <v>21850.9278191781</v>
      </c>
      <c r="AD61" s="33" t="n">
        <f aca="false">AC61-AD47-AD50-AD53-AD55</f>
        <v>21850.9278191781</v>
      </c>
      <c r="AE61" s="33" t="n">
        <f aca="false">AD61-AE47-AE50-AE53-AE55</f>
        <v>21850.9278191781</v>
      </c>
      <c r="AF61" s="33" t="n">
        <f aca="false">AE61-AF47-AF50-AF53-AF55</f>
        <v>21850.9278191781</v>
      </c>
      <c r="AG61" s="33" t="n">
        <f aca="false">AF61-AG47-AG50-AG53-AG55</f>
        <v>21850.9278191781</v>
      </c>
      <c r="AH61" s="33" t="n">
        <f aca="false">AG61-AH47-AH50-AH53-AH55</f>
        <v>21850.9278191781</v>
      </c>
      <c r="AI61" s="33" t="n">
        <f aca="false">AH61-AI47-AI50-AI53-AI55</f>
        <v>21850.9278191781</v>
      </c>
      <c r="AJ61" s="33" t="n">
        <f aca="false">AI61-AJ47-AJ50-AJ53-AJ55</f>
        <v>21850.9278191781</v>
      </c>
      <c r="AK61" s="33" t="n">
        <f aca="false">AJ61-AK47-AK50-AK53-AK55</f>
        <v>21850.9278191781</v>
      </c>
      <c r="AL61" s="33" t="n">
        <f aca="false">AK61-AL47-AL50-AL53-AL55</f>
        <v>21850.9278191781</v>
      </c>
      <c r="AM61" s="33" t="n">
        <f aca="false">AL61-AM47-AM50-AM53-AM55</f>
        <v>21850.9278191781</v>
      </c>
      <c r="AN61" s="33" t="n">
        <f aca="false">AM61-AN47-AN50-AN53-AN55</f>
        <v>21850.9278191781</v>
      </c>
      <c r="AO61" s="33" t="n">
        <f aca="false">AN61-AO47-AO50-AO53-AO55</f>
        <v>21850.9278191781</v>
      </c>
      <c r="AP61" s="33" t="n">
        <f aca="false">AO61-AP47-AP50-AP53-AP55</f>
        <v>21850.9278191781</v>
      </c>
      <c r="AQ61" s="33" t="n">
        <f aca="false">AP61-AQ47-AQ50-AQ53-AQ55</f>
        <v>21850.9278191781</v>
      </c>
      <c r="AR61" s="33" t="n">
        <f aca="false">AQ61-AR47-AR50-AR53-AR55</f>
        <v>21850.9278191781</v>
      </c>
      <c r="AS61" s="33" t="n">
        <f aca="false">AR61-AS47-AS50-AS53-AS55</f>
        <v>21850.9278191781</v>
      </c>
      <c r="AT61" s="33" t="n">
        <f aca="false">AS61-AT47-AT50-AT53-AT55</f>
        <v>21850.9278191781</v>
      </c>
      <c r="AU61" s="33" t="n">
        <f aca="false">AT61-AU47-AU50-AU53-AU55</f>
        <v>21850.9278191781</v>
      </c>
      <c r="AV61" s="33" t="n">
        <f aca="false">AU61-AV47-AV50-AV53-AV55</f>
        <v>21850.9278191781</v>
      </c>
      <c r="AW61" s="33" t="n">
        <f aca="false">AV61-AW47-AW50-AW53-AW55</f>
        <v>21850.9278191781</v>
      </c>
      <c r="AX61" s="33" t="n">
        <f aca="false">AW61-AX47-AX50-AX53-AX55</f>
        <v>21850.9278191781</v>
      </c>
      <c r="AY61" s="33" t="n">
        <f aca="false">AX61-AY47-AY50-AY53-AY55</f>
        <v>21850.9278191781</v>
      </c>
      <c r="AZ61" s="33" t="n">
        <f aca="false">AY61-AZ47-AZ50-AZ53-AZ55</f>
        <v>21850.9278191781</v>
      </c>
      <c r="BA61" s="33" t="n">
        <f aca="false">AZ61-BA47-BA50-BA53-BA55</f>
        <v>21850.9278191781</v>
      </c>
      <c r="BB61" s="33" t="n">
        <f aca="false">BA61-BB47-BB50-BB53-BB55</f>
        <v>21850.9278191781</v>
      </c>
      <c r="BC61" s="33" t="n">
        <f aca="false">BB61-BC47-BC50-BC53-BC55</f>
        <v>21850.9278191781</v>
      </c>
      <c r="BD61" s="33" t="n">
        <f aca="false">BC61-BD47-BD50-BD53-BD55</f>
        <v>21850.9278191781</v>
      </c>
      <c r="BE61" s="33" t="n">
        <f aca="false">BD61-BE47-BE50-BE53-BE55</f>
        <v>21850.9278191781</v>
      </c>
      <c r="BF61" s="33" t="n">
        <f aca="false">BE61-BF47-BF50-BF53-BF55</f>
        <v>21850.9278191781</v>
      </c>
      <c r="BG61" s="33" t="n">
        <f aca="false">BF61-BG47-BG50-BG53-BG55</f>
        <v>21850.9278191781</v>
      </c>
      <c r="BH61" s="33" t="n">
        <f aca="false">BG61-BH47-BH50-BH53-BH55</f>
        <v>21850.9278191781</v>
      </c>
      <c r="BI61" s="33" t="n">
        <f aca="false">BH61-BI47-BI50-BI53-BI55</f>
        <v>21850.9278191781</v>
      </c>
      <c r="BJ61" s="33" t="n">
        <f aca="false">BI61-BJ47-BJ50-BJ53-BJ55</f>
        <v>21850.9278191781</v>
      </c>
      <c r="BK61" s="33" t="n">
        <f aca="false">BJ61-BK47-BK50-BK53-BK55</f>
        <v>21850.9278191781</v>
      </c>
      <c r="BL61" s="33" t="n">
        <f aca="false">BK61-BL47-BL50-BL53-BL55</f>
        <v>21850.9278191781</v>
      </c>
      <c r="BM61" s="33" t="n">
        <f aca="false">BL61-BM47-BM50-BM53-BM55</f>
        <v>21850.9278191781</v>
      </c>
      <c r="BN61" s="33" t="n">
        <f aca="false">BM61-BN47-BN50-BN53-BN55</f>
        <v>21850.9278191781</v>
      </c>
      <c r="BO61" s="33" t="n">
        <f aca="false">BN61-BO47-BO50-BO53-BO55</f>
        <v>21850.9278191781</v>
      </c>
      <c r="BP61" s="33" t="n">
        <f aca="false">BO61-BP47-BP50-BP53-BP55</f>
        <v>21850.9278191781</v>
      </c>
      <c r="BQ61" s="33" t="n">
        <f aca="false">BP61-BQ47-BQ50-BQ53-BQ55</f>
        <v>21850.9278191781</v>
      </c>
      <c r="BR61" s="33" t="n">
        <f aca="false">BQ61-BR47-BR50-BR53-BR55</f>
        <v>21850.9278191781</v>
      </c>
      <c r="BS61" s="33" t="n">
        <f aca="false">BR61-BS47-BS50-BS53-BS55</f>
        <v>21850.9278191781</v>
      </c>
      <c r="BT61" s="33" t="n">
        <f aca="false">BS61-BT47-BT50-BT53-BT55</f>
        <v>21850.9278191781</v>
      </c>
      <c r="BU61" s="33" t="n">
        <f aca="false">BT61-BU47-BU50-BU53-BU55</f>
        <v>21850.9278191781</v>
      </c>
      <c r="BV61" s="33" t="n">
        <f aca="false">BU61-BV47-BV50-BV53-BV55</f>
        <v>21850.9278191781</v>
      </c>
      <c r="BW61" s="33" t="n">
        <f aca="false">BV61-BW47-BW50-BW53-BW55</f>
        <v>21850.9278191781</v>
      </c>
      <c r="BX61" s="33" t="n">
        <f aca="false">BW61-BX47-BX50-BX53-BX55</f>
        <v>21850.9278191781</v>
      </c>
      <c r="BY61" s="33" t="n">
        <f aca="false">BX61-BY47-BY50-BY53-BY55</f>
        <v>21850.9278191781</v>
      </c>
      <c r="BZ61" s="33" t="n">
        <f aca="false">BY61-BZ47-BZ50-BZ53-BZ55</f>
        <v>21850.9278191781</v>
      </c>
      <c r="CA61" s="33" t="n">
        <f aca="false">BZ61-CA47-CA50-CA53-CA55</f>
        <v>21850.9278191781</v>
      </c>
      <c r="CB61" s="33" t="n">
        <f aca="false">CA61-CB47-CB50-CB53-CB55</f>
        <v>21850.9278191781</v>
      </c>
      <c r="CC61" s="33" t="n">
        <f aca="false">CB61-CC47-CC50-CC53-CC55</f>
        <v>21850.9278191781</v>
      </c>
      <c r="CD61" s="33" t="n">
        <f aca="false">CC61-CD47-CD50-CD53-CD55</f>
        <v>21850.9278191781</v>
      </c>
      <c r="CE61" s="33" t="n">
        <f aca="false">CD61-CE47-CE50-CE53-CE55</f>
        <v>21850.9278191781</v>
      </c>
      <c r="CF61" s="33" t="n">
        <f aca="false">CE61-CF47-CF50-CF53-CF55</f>
        <v>21850.9278191781</v>
      </c>
      <c r="CG61" s="33" t="n">
        <f aca="false">CF61-CG47-CG50-CG53-CG55</f>
        <v>21850.9278191781</v>
      </c>
      <c r="CH61" s="33" t="n">
        <f aca="false">CG61-CH47-CH50-CH53-CH55</f>
        <v>21850.9278191781</v>
      </c>
      <c r="CI61" s="33" t="n">
        <f aca="false">CH61-CI47-CI50-CI53-CI55</f>
        <v>21850.9278191781</v>
      </c>
      <c r="CJ61" s="33" t="n">
        <f aca="false">CI61-CJ47-CJ50-CJ53-CJ55</f>
        <v>21850.9278191781</v>
      </c>
      <c r="CK61" s="33" t="n">
        <f aca="false">CJ61-CK47-CK50-CK53-CK55</f>
        <v>21850.9278191781</v>
      </c>
      <c r="CL61" s="33" t="n">
        <f aca="false">CK61-CL47-CL50-CL53-CL55</f>
        <v>21850.9278191781</v>
      </c>
      <c r="CM61" s="33" t="n">
        <f aca="false">CL61-CM47-CM50-CM53-CM55</f>
        <v>21850.9278191781</v>
      </c>
      <c r="CN61" s="33" t="n">
        <f aca="false">CM61-CN47-CN50-CN53-CN55</f>
        <v>21850.9278191781</v>
      </c>
      <c r="CO61" s="33" t="n">
        <f aca="false">CN61-CO47-CO50-CO53-CO55</f>
        <v>21850.9278191781</v>
      </c>
      <c r="CP61" s="33" t="n">
        <f aca="false">CO61-CP47-CP50-CP53-CP55</f>
        <v>21850.9278191781</v>
      </c>
      <c r="CQ61" s="33" t="n">
        <f aca="false">CP61-CQ47-CQ50-CQ53-CQ55</f>
        <v>21850.9278191781</v>
      </c>
      <c r="CR61" s="33" t="n">
        <f aca="false">CQ61-CR47-CR50-CR53-CR55</f>
        <v>21850.9278191781</v>
      </c>
      <c r="CS61" s="33" t="n">
        <f aca="false">CR61-CS47-CS50-CS53-CS55</f>
        <v>21850.9278191781</v>
      </c>
      <c r="CT61" s="33" t="n">
        <f aca="false">CS61-CT47-CT50-CT53-CT55</f>
        <v>21850.9278191781</v>
      </c>
      <c r="CU61" s="33" t="n">
        <f aca="false">CT61-CU47-CU50-CU53-CU55</f>
        <v>21850.9278191781</v>
      </c>
      <c r="CV61" s="33" t="n">
        <f aca="false">CU61-CV47-CV50-CV53-CV55</f>
        <v>21850.9278191781</v>
      </c>
      <c r="CW61" s="33" t="n">
        <f aca="false">CV61-CW47-CW50-CW53-CW55</f>
        <v>21850.9278191781</v>
      </c>
      <c r="CX61" s="33" t="n">
        <f aca="false">CW61-CX47-CX50-CX53-CX55</f>
        <v>21850.9278191781</v>
      </c>
      <c r="CY61" s="33" t="n">
        <f aca="false">CX61-CY47-CY50-CY53-CY55</f>
        <v>21850.9278191781</v>
      </c>
      <c r="CZ61" s="33" t="n">
        <f aca="false">CY61-CZ47-CZ50-CZ53-CZ55</f>
        <v>21850.9278191781</v>
      </c>
      <c r="DA61" s="33" t="n">
        <f aca="false">CZ61-DA47-DA50-DA53-DA55</f>
        <v>21850.9278191781</v>
      </c>
      <c r="DB61" s="33" t="n">
        <f aca="false">DA61-DB47-DB50-DB53-DB55</f>
        <v>21850.9278191781</v>
      </c>
      <c r="DC61" s="33" t="n">
        <f aca="false">DB61-DC47-DC50-DC53-DC55</f>
        <v>21850.9278191781</v>
      </c>
      <c r="DD61" s="33" t="n">
        <f aca="false">DC61-DD47-DD50-DD53-DD55</f>
        <v>21850.9278191781</v>
      </c>
      <c r="DE61" s="33" t="n">
        <f aca="false">DD61-DE47-DE50-DE53-DE55</f>
        <v>21850.9278191781</v>
      </c>
      <c r="DF61" s="33" t="n">
        <f aca="false">DE61-DF47-DF50-DF53-DF55</f>
        <v>21850.9278191781</v>
      </c>
      <c r="DG61" s="33" t="n">
        <f aca="false">DF61-DG47-DG50-DG53-DG55</f>
        <v>21850.9278191781</v>
      </c>
      <c r="DH61" s="33" t="n">
        <f aca="false">DG61-DH47-DH50-DH53-DH55</f>
        <v>21850.9278191781</v>
      </c>
      <c r="DI61" s="33" t="n">
        <f aca="false">DH61-DI47-DI50-DI53-DI55</f>
        <v>21850.9278191781</v>
      </c>
      <c r="DJ61" s="33" t="n">
        <f aca="false">DI61-DJ47-DJ50-DJ53-DJ55</f>
        <v>21850.9278191781</v>
      </c>
      <c r="DK61" s="33" t="n">
        <f aca="false">DJ61-DK47-DK50-DK53-DK55</f>
        <v>21850.9278191781</v>
      </c>
      <c r="DL61" s="33" t="n">
        <f aca="false">DK61-DL47-DL50-DL53-DL55</f>
        <v>21850.9278191781</v>
      </c>
      <c r="DM61" s="33" t="n">
        <f aca="false">DL61-DM47-DM50-DM53-DM55</f>
        <v>21850.9278191781</v>
      </c>
      <c r="DN61" s="33" t="n">
        <f aca="false">DM61-DN47-DN50-DN53-DN55</f>
        <v>21850.9278191781</v>
      </c>
      <c r="DO61" s="33" t="n">
        <f aca="false">DN61-DO47-DO50-DO53-DO55</f>
        <v>21850.9278191781</v>
      </c>
      <c r="DP61" s="33" t="n">
        <f aca="false">DO61-DP47-DP50-DP53-DP55</f>
        <v>21850.9278191781</v>
      </c>
      <c r="DQ61" s="33" t="n">
        <f aca="false">DP61-DQ47-DQ50-DQ53-DQ55</f>
        <v>21850.9278191781</v>
      </c>
      <c r="DR61" s="33" t="n">
        <f aca="false">DQ61-DR47-DR50-DR53-DR55</f>
        <v>21850.9278191781</v>
      </c>
      <c r="DS61" s="33" t="n">
        <f aca="false">DR61-DS47-DS50-DS53-DS55</f>
        <v>21850.9278191781</v>
      </c>
      <c r="DT61" s="33" t="n">
        <f aca="false">DS61-DT47-DT50-DT53-DT55</f>
        <v>21850.9278191781</v>
      </c>
      <c r="DU61" s="33" t="n">
        <f aca="false">DT61-DU47-DU50-DU53-DU55</f>
        <v>21850.9278191781</v>
      </c>
      <c r="DV61" s="33" t="n">
        <f aca="false">DU61-DV47-DV50-DV53-DV55</f>
        <v>21850.9278191781</v>
      </c>
      <c r="DW61" s="33" t="n">
        <f aca="false">DV61-DW47-DW50-DW53-DW55</f>
        <v>21850.9278191781</v>
      </c>
      <c r="DX61" s="33" t="n">
        <f aca="false">DW61-DX47-DX50-DX53-DX55</f>
        <v>21850.9278191781</v>
      </c>
      <c r="DY61" s="33" t="n">
        <f aca="false">DX61-DY47-DY50-DY53-DY55</f>
        <v>21850.9278191781</v>
      </c>
      <c r="DZ61" s="33" t="n">
        <f aca="false">DY61-DZ47-DZ50-DZ53-DZ55</f>
        <v>21850.9278191781</v>
      </c>
      <c r="EA61" s="33" t="n">
        <f aca="false">DZ61-EA47-EA50-EA53-EA55</f>
        <v>21850.9278191781</v>
      </c>
      <c r="EB61" s="33" t="n">
        <f aca="false">EA61-EB47-EB50-EB53-EB55</f>
        <v>21850.9278191781</v>
      </c>
      <c r="EC61" s="33" t="n">
        <f aca="false">EB61-EC47-EC50-EC53-EC55</f>
        <v>21850.9278191781</v>
      </c>
      <c r="ED61" s="33" t="n">
        <f aca="false">EC61-ED47-ED50-ED53-ED55</f>
        <v>21850.9278191781</v>
      </c>
      <c r="EE61" s="33" t="n">
        <f aca="false">ED61-EE47-EE50-EE53-EE55</f>
        <v>21850.9278191781</v>
      </c>
      <c r="EF61" s="33" t="n">
        <f aca="false">EE61-EF47-EF50-EF53-EF55</f>
        <v>21850.9278191781</v>
      </c>
      <c r="EG61" s="33" t="n">
        <f aca="false">EF61-EG47-EG50-EG53-EG55</f>
        <v>21850.9278191781</v>
      </c>
      <c r="EH61" s="33" t="n">
        <f aca="false">EG61-EH47-EH50-EH53-EH55</f>
        <v>21850.9278191781</v>
      </c>
      <c r="EI61" s="33" t="n">
        <f aca="false">EH61-EI47-EI50-EI53-EI55</f>
        <v>21850.9278191781</v>
      </c>
      <c r="EJ61" s="33" t="n">
        <f aca="false">EI61-EJ47-EJ50-EJ53-EJ55</f>
        <v>21850.9278191781</v>
      </c>
      <c r="EK61" s="33" t="n">
        <f aca="false">EJ61-EK47-EK50-EK53-EK55</f>
        <v>21850.9278191781</v>
      </c>
      <c r="EL61" s="33" t="n">
        <f aca="false">EK61-EL47-EL50-EL53-EL55</f>
        <v>21850.9278191781</v>
      </c>
      <c r="EM61" s="33" t="n">
        <f aca="false">EL61-EM47-EM50-EM53-EM55</f>
        <v>21850.9278191781</v>
      </c>
      <c r="EN61" s="33" t="n">
        <f aca="false">EM61-EN47-EN50-EN53-EN55</f>
        <v>21850.9278191781</v>
      </c>
      <c r="EO61" s="33" t="n">
        <f aca="false">EN61-EO47-EO50-EO53-EO55</f>
        <v>21850.9278191781</v>
      </c>
      <c r="EP61" s="33" t="n">
        <f aca="false">EO61-EP47-EP50-EP53-EP55</f>
        <v>21850.9278191781</v>
      </c>
      <c r="EQ61" s="33" t="n">
        <f aca="false">EP61-EQ47-EQ50-EQ53-EQ55</f>
        <v>21850.9278191781</v>
      </c>
      <c r="ER61" s="33" t="n">
        <f aca="false">EQ61-ER47-ER50-ER53-ER55</f>
        <v>21850.9278191781</v>
      </c>
      <c r="ES61" s="33" t="n">
        <f aca="false">ER61-ES47-ES50-ES53-ES55</f>
        <v>21850.9278191781</v>
      </c>
      <c r="ET61" s="33" t="n">
        <f aca="false">ES61-ET47-ET50-ET53-ET55</f>
        <v>21850.9278191781</v>
      </c>
    </row>
    <row r="63" customFormat="false" ht="15" hidden="false" customHeight="false" outlineLevel="0" collapsed="false">
      <c r="A63" s="9" t="s">
        <v>13</v>
      </c>
      <c r="B63" s="9"/>
      <c r="C63" s="9" t="s">
        <v>522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</row>
    <row r="64" customFormat="false" ht="15" hidden="false" customHeight="false" outlineLevel="0" collapsed="false">
      <c r="A64" s="55"/>
      <c r="B64" s="55"/>
      <c r="C64" s="55" t="s">
        <v>523</v>
      </c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</row>
    <row r="65" customFormat="false" ht="15" hidden="false" customHeight="false" outlineLevel="0" collapsed="false">
      <c r="C65" s="0" t="s">
        <v>524</v>
      </c>
      <c r="D65" s="11" t="s">
        <v>247</v>
      </c>
      <c r="E65" s="33" t="n">
        <f aca="false">SUMIF($J$4:$ET$4,"&lt;="&amp;$E12,$J65:$ET65)+$I47</f>
        <v>21412.2641205479</v>
      </c>
      <c r="I65" s="33" t="n">
        <f aca="false">SUM(J65:ET65)</f>
        <v>21420.4832986301</v>
      </c>
      <c r="J65" s="33" t="n">
        <f aca="false">-(J47+J50+J53)</f>
        <v>0</v>
      </c>
      <c r="K65" s="33" t="n">
        <f aca="false">-(K47+K50+K53)</f>
        <v>1241.09589041096</v>
      </c>
      <c r="L65" s="33" t="n">
        <f aca="false">-(L47+L50+L53)</f>
        <v>0</v>
      </c>
      <c r="M65" s="33" t="n">
        <f aca="false">-(M47+M50+M53)</f>
        <v>0</v>
      </c>
      <c r="N65" s="33" t="n">
        <f aca="false">-(N47+N50+N53)</f>
        <v>0</v>
      </c>
      <c r="O65" s="33" t="n">
        <f aca="false">-(O47+O50+O53)</f>
        <v>0</v>
      </c>
      <c r="P65" s="33" t="n">
        <f aca="false">-(P47+P50+P53)</f>
        <v>0</v>
      </c>
      <c r="Q65" s="33" t="n">
        <f aca="false">-(Q47+Q50+Q53)</f>
        <v>0</v>
      </c>
      <c r="R65" s="33" t="n">
        <f aca="false">-(R47+R50+R53)</f>
        <v>0</v>
      </c>
      <c r="S65" s="33" t="n">
        <f aca="false">-(S47+S50+S53)</f>
        <v>0</v>
      </c>
      <c r="T65" s="33" t="n">
        <f aca="false">-(T47+T50+T53)</f>
        <v>20179.3874082192</v>
      </c>
      <c r="U65" s="33" t="n">
        <f aca="false">-(U47+U50+U53)</f>
        <v>0</v>
      </c>
      <c r="V65" s="33" t="n">
        <f aca="false">-(V47+V50+V53)</f>
        <v>0</v>
      </c>
      <c r="W65" s="33" t="n">
        <f aca="false">-(W47+W50+W53)</f>
        <v>0</v>
      </c>
      <c r="X65" s="33" t="n">
        <f aca="false">-(X47+X50+X53)</f>
        <v>0</v>
      </c>
      <c r="Y65" s="33" t="n">
        <f aca="false">-(Y47+Y50+Y53)</f>
        <v>0</v>
      </c>
      <c r="Z65" s="33" t="n">
        <f aca="false">-(Z47+Z50+Z53)</f>
        <v>0</v>
      </c>
      <c r="AA65" s="33" t="n">
        <f aca="false">-(AA47+AA50+AA53)</f>
        <v>0</v>
      </c>
      <c r="AB65" s="33" t="n">
        <f aca="false">-(AB47+AB50+AB53)</f>
        <v>0</v>
      </c>
      <c r="AC65" s="33" t="n">
        <f aca="false">-(AC47+AC50+AC53)</f>
        <v>0</v>
      </c>
      <c r="AD65" s="33" t="n">
        <f aca="false">-(AD47+AD50+AD53)</f>
        <v>0</v>
      </c>
      <c r="AE65" s="33" t="n">
        <f aca="false">-(AE47+AE50+AE53)</f>
        <v>0</v>
      </c>
      <c r="AF65" s="33" t="n">
        <f aca="false">-(AF47+AF50+AF53)</f>
        <v>0</v>
      </c>
      <c r="AG65" s="33" t="n">
        <f aca="false">-(AG47+AG50+AG53)</f>
        <v>0</v>
      </c>
      <c r="AH65" s="33" t="n">
        <f aca="false">-(AH47+AH50+AH53)</f>
        <v>0</v>
      </c>
      <c r="AI65" s="33" t="n">
        <f aca="false">-(AI47+AI50+AI53)</f>
        <v>0</v>
      </c>
      <c r="AJ65" s="33" t="n">
        <f aca="false">-(AJ47+AJ50+AJ53)</f>
        <v>0</v>
      </c>
      <c r="AK65" s="33" t="n">
        <f aca="false">-(AK47+AK50+AK53)</f>
        <v>0</v>
      </c>
      <c r="AL65" s="33" t="n">
        <f aca="false">-(AL47+AL50+AL53)</f>
        <v>0</v>
      </c>
      <c r="AM65" s="33" t="n">
        <f aca="false">-(AM47+AM50+AM53)</f>
        <v>0</v>
      </c>
      <c r="AN65" s="33" t="n">
        <f aca="false">-(AN47+AN50+AN53)</f>
        <v>0</v>
      </c>
      <c r="AO65" s="33" t="n">
        <f aca="false">-(AO47+AO50+AO53)</f>
        <v>0</v>
      </c>
      <c r="AP65" s="33" t="n">
        <f aca="false">-(AP47+AP50+AP53)</f>
        <v>0</v>
      </c>
      <c r="AQ65" s="33" t="n">
        <f aca="false">-(AQ47+AQ50+AQ53)</f>
        <v>0</v>
      </c>
      <c r="AR65" s="33" t="n">
        <f aca="false">-(AR47+AR50+AR53)</f>
        <v>0</v>
      </c>
      <c r="AS65" s="33" t="n">
        <f aca="false">-(AS47+AS50+AS53)</f>
        <v>0</v>
      </c>
      <c r="AT65" s="33" t="n">
        <f aca="false">-(AT47+AT50+AT53)</f>
        <v>0</v>
      </c>
      <c r="AU65" s="33" t="n">
        <f aca="false">-(AU47+AU50+AU53)</f>
        <v>0</v>
      </c>
      <c r="AV65" s="33" t="n">
        <f aca="false">-(AV47+AV50+AV53)</f>
        <v>0</v>
      </c>
      <c r="AW65" s="33" t="n">
        <f aca="false">-(AW47+AW50+AW53)</f>
        <v>0</v>
      </c>
      <c r="AX65" s="33" t="n">
        <f aca="false">-(AX47+AX50+AX53)</f>
        <v>0</v>
      </c>
      <c r="AY65" s="33" t="n">
        <f aca="false">-(AY47+AY50+AY53)</f>
        <v>0</v>
      </c>
      <c r="AZ65" s="33" t="n">
        <f aca="false">-(AZ47+AZ50+AZ53)</f>
        <v>0</v>
      </c>
      <c r="BA65" s="33" t="n">
        <f aca="false">-(BA47+BA50+BA53)</f>
        <v>0</v>
      </c>
      <c r="BB65" s="33" t="n">
        <f aca="false">-(BB47+BB50+BB53)</f>
        <v>0</v>
      </c>
      <c r="BC65" s="33" t="n">
        <f aca="false">-(BC47+BC50+BC53)</f>
        <v>0</v>
      </c>
      <c r="BD65" s="33" t="n">
        <f aca="false">-(BD47+BD50+BD53)</f>
        <v>0</v>
      </c>
      <c r="BE65" s="33" t="n">
        <f aca="false">-(BE47+BE50+BE53)</f>
        <v>0</v>
      </c>
      <c r="BF65" s="33" t="n">
        <f aca="false">-(BF47+BF50+BF53)</f>
        <v>0</v>
      </c>
      <c r="BG65" s="33" t="n">
        <f aca="false">-(BG47+BG50+BG53)</f>
        <v>0</v>
      </c>
      <c r="BH65" s="33" t="n">
        <f aca="false">-(BH47+BH50+BH53)</f>
        <v>0</v>
      </c>
      <c r="BI65" s="33" t="n">
        <f aca="false">-(BI47+BI50+BI53)</f>
        <v>0</v>
      </c>
      <c r="BJ65" s="33" t="n">
        <f aca="false">-(BJ47+BJ50+BJ53)</f>
        <v>0</v>
      </c>
      <c r="BK65" s="33" t="n">
        <f aca="false">-(BK47+BK50+BK53)</f>
        <v>0</v>
      </c>
      <c r="BL65" s="33" t="n">
        <f aca="false">-(BL47+BL50+BL53)</f>
        <v>0</v>
      </c>
      <c r="BM65" s="33" t="n">
        <f aca="false">-(BM47+BM50+BM53)</f>
        <v>0</v>
      </c>
      <c r="BN65" s="33" t="n">
        <f aca="false">-(BN47+BN50+BN53)</f>
        <v>0</v>
      </c>
      <c r="BO65" s="33" t="n">
        <f aca="false">-(BO47+BO50+BO53)</f>
        <v>0</v>
      </c>
      <c r="BP65" s="33" t="n">
        <f aca="false">-(BP47+BP50+BP53)</f>
        <v>0</v>
      </c>
      <c r="BQ65" s="33" t="n">
        <f aca="false">-(BQ47+BQ50+BQ53)</f>
        <v>0</v>
      </c>
      <c r="BR65" s="33" t="n">
        <f aca="false">-(BR47+BR50+BR53)</f>
        <v>0</v>
      </c>
      <c r="BS65" s="33" t="n">
        <f aca="false">-(BS47+BS50+BS53)</f>
        <v>0</v>
      </c>
      <c r="BT65" s="33" t="n">
        <f aca="false">-(BT47+BT50+BT53)</f>
        <v>0</v>
      </c>
      <c r="BU65" s="33" t="n">
        <f aca="false">-(BU47+BU50+BU53)</f>
        <v>0</v>
      </c>
      <c r="BV65" s="33" t="n">
        <f aca="false">-(BV47+BV50+BV53)</f>
        <v>0</v>
      </c>
      <c r="BW65" s="33" t="n">
        <f aca="false">-(BW47+BW50+BW53)</f>
        <v>0</v>
      </c>
      <c r="BX65" s="33" t="n">
        <f aca="false">-(BX47+BX50+BX53)</f>
        <v>0</v>
      </c>
      <c r="BY65" s="33" t="n">
        <f aca="false">-(BY47+BY50+BY53)</f>
        <v>0</v>
      </c>
      <c r="BZ65" s="33" t="n">
        <f aca="false">-(BZ47+BZ50+BZ53)</f>
        <v>0</v>
      </c>
      <c r="CA65" s="33" t="n">
        <f aca="false">-(CA47+CA50+CA53)</f>
        <v>0</v>
      </c>
      <c r="CB65" s="33" t="n">
        <f aca="false">-(CB47+CB50+CB53)</f>
        <v>0</v>
      </c>
      <c r="CC65" s="33" t="n">
        <f aca="false">-(CC47+CC50+CC53)</f>
        <v>0</v>
      </c>
      <c r="CD65" s="33" t="n">
        <f aca="false">-(CD47+CD50+CD53)</f>
        <v>0</v>
      </c>
      <c r="CE65" s="33" t="n">
        <f aca="false">-(CE47+CE50+CE53)</f>
        <v>0</v>
      </c>
      <c r="CF65" s="33" t="n">
        <f aca="false">-(CF47+CF50+CF53)</f>
        <v>0</v>
      </c>
      <c r="CG65" s="33" t="n">
        <f aca="false">-(CG47+CG50+CG53)</f>
        <v>0</v>
      </c>
      <c r="CH65" s="33" t="n">
        <f aca="false">-(CH47+CH50+CH53)</f>
        <v>0</v>
      </c>
      <c r="CI65" s="33" t="n">
        <f aca="false">-(CI47+CI50+CI53)</f>
        <v>0</v>
      </c>
      <c r="CJ65" s="33" t="n">
        <f aca="false">-(CJ47+CJ50+CJ53)</f>
        <v>0</v>
      </c>
      <c r="CK65" s="33" t="n">
        <f aca="false">-(CK47+CK50+CK53)</f>
        <v>0</v>
      </c>
      <c r="CL65" s="33" t="n">
        <f aca="false">-(CL47+CL50+CL53)</f>
        <v>0</v>
      </c>
      <c r="CM65" s="33" t="n">
        <f aca="false">-(CM47+CM50+CM53)</f>
        <v>0</v>
      </c>
      <c r="CN65" s="33" t="n">
        <f aca="false">-(CN47+CN50+CN53)</f>
        <v>0</v>
      </c>
      <c r="CO65" s="33" t="n">
        <f aca="false">-(CO47+CO50+CO53)</f>
        <v>0</v>
      </c>
      <c r="CP65" s="33" t="n">
        <f aca="false">-(CP47+CP50+CP53)</f>
        <v>0</v>
      </c>
      <c r="CQ65" s="33" t="n">
        <f aca="false">-(CQ47+CQ50+CQ53)</f>
        <v>0</v>
      </c>
      <c r="CR65" s="33" t="n">
        <f aca="false">-(CR47+CR50+CR53)</f>
        <v>0</v>
      </c>
      <c r="CS65" s="33" t="n">
        <f aca="false">-(CS47+CS50+CS53)</f>
        <v>0</v>
      </c>
      <c r="CT65" s="33" t="n">
        <f aca="false">-(CT47+CT50+CT53)</f>
        <v>0</v>
      </c>
      <c r="CU65" s="33" t="n">
        <f aca="false">-(CU47+CU50+CU53)</f>
        <v>0</v>
      </c>
      <c r="CV65" s="33" t="n">
        <f aca="false">-(CV47+CV50+CV53)</f>
        <v>0</v>
      </c>
      <c r="CW65" s="33" t="n">
        <f aca="false">-(CW47+CW50+CW53)</f>
        <v>0</v>
      </c>
      <c r="CX65" s="33" t="n">
        <f aca="false">-(CX47+CX50+CX53)</f>
        <v>0</v>
      </c>
      <c r="CY65" s="33" t="n">
        <f aca="false">-(CY47+CY50+CY53)</f>
        <v>0</v>
      </c>
      <c r="CZ65" s="33" t="n">
        <f aca="false">-(CZ47+CZ50+CZ53)</f>
        <v>0</v>
      </c>
      <c r="DA65" s="33" t="n">
        <f aca="false">-(DA47+DA50+DA53)</f>
        <v>0</v>
      </c>
      <c r="DB65" s="33" t="n">
        <f aca="false">-(DB47+DB50+DB53)</f>
        <v>0</v>
      </c>
      <c r="DC65" s="33" t="n">
        <f aca="false">-(DC47+DC50+DC53)</f>
        <v>0</v>
      </c>
      <c r="DD65" s="33" t="n">
        <f aca="false">-(DD47+DD50+DD53)</f>
        <v>0</v>
      </c>
      <c r="DE65" s="33" t="n">
        <f aca="false">-(DE47+DE50+DE53)</f>
        <v>0</v>
      </c>
      <c r="DF65" s="33" t="n">
        <f aca="false">-(DF47+DF50+DF53)</f>
        <v>0</v>
      </c>
      <c r="DG65" s="33" t="n">
        <f aca="false">-(DG47+DG50+DG53)</f>
        <v>0</v>
      </c>
      <c r="DH65" s="33" t="n">
        <f aca="false">-(DH47+DH50+DH53)</f>
        <v>0</v>
      </c>
      <c r="DI65" s="33" t="n">
        <f aca="false">-(DI47+DI50+DI53)</f>
        <v>0</v>
      </c>
      <c r="DJ65" s="33" t="n">
        <f aca="false">-(DJ47+DJ50+DJ53)</f>
        <v>0</v>
      </c>
      <c r="DK65" s="33" t="n">
        <f aca="false">-(DK47+DK50+DK53)</f>
        <v>0</v>
      </c>
      <c r="DL65" s="33" t="n">
        <f aca="false">-(DL47+DL50+DL53)</f>
        <v>0</v>
      </c>
      <c r="DM65" s="33" t="n">
        <f aca="false">-(DM47+DM50+DM53)</f>
        <v>0</v>
      </c>
      <c r="DN65" s="33" t="n">
        <f aca="false">-(DN47+DN50+DN53)</f>
        <v>0</v>
      </c>
      <c r="DO65" s="33" t="n">
        <f aca="false">-(DO47+DO50+DO53)</f>
        <v>0</v>
      </c>
      <c r="DP65" s="33" t="n">
        <f aca="false">-(DP47+DP50+DP53)</f>
        <v>0</v>
      </c>
      <c r="DQ65" s="33" t="n">
        <f aca="false">-(DQ47+DQ50+DQ53)</f>
        <v>0</v>
      </c>
      <c r="DR65" s="33" t="n">
        <f aca="false">-(DR47+DR50+DR53)</f>
        <v>0</v>
      </c>
      <c r="DS65" s="33" t="n">
        <f aca="false">-(DS47+DS50+DS53)</f>
        <v>0</v>
      </c>
      <c r="DT65" s="33" t="n">
        <f aca="false">-(DT47+DT50+DT53)</f>
        <v>0</v>
      </c>
      <c r="DU65" s="33" t="n">
        <f aca="false">-(DU47+DU50+DU53)</f>
        <v>0</v>
      </c>
      <c r="DV65" s="33" t="n">
        <f aca="false">-(DV47+DV50+DV53)</f>
        <v>0</v>
      </c>
      <c r="DW65" s="33" t="n">
        <f aca="false">-(DW47+DW50+DW53)</f>
        <v>0</v>
      </c>
      <c r="DX65" s="33" t="n">
        <f aca="false">-(DX47+DX50+DX53)</f>
        <v>0</v>
      </c>
      <c r="DY65" s="33" t="n">
        <f aca="false">-(DY47+DY50+DY53)</f>
        <v>0</v>
      </c>
      <c r="DZ65" s="33" t="n">
        <f aca="false">-(DZ47+DZ50+DZ53)</f>
        <v>0</v>
      </c>
      <c r="EA65" s="33" t="n">
        <f aca="false">-(EA47+EA50+EA53)</f>
        <v>0</v>
      </c>
      <c r="EB65" s="33" t="n">
        <f aca="false">-(EB47+EB50+EB53)</f>
        <v>0</v>
      </c>
      <c r="EC65" s="33" t="n">
        <f aca="false">-(EC47+EC50+EC53)</f>
        <v>0</v>
      </c>
      <c r="ED65" s="33" t="n">
        <f aca="false">-(ED47+ED50+ED53)</f>
        <v>0</v>
      </c>
      <c r="EE65" s="33" t="n">
        <f aca="false">-(EE47+EE50+EE53)</f>
        <v>0</v>
      </c>
      <c r="EF65" s="33" t="n">
        <f aca="false">-(EF47+EF50+EF53)</f>
        <v>0</v>
      </c>
      <c r="EG65" s="33" t="n">
        <f aca="false">-(EG47+EG50+EG53)</f>
        <v>0</v>
      </c>
      <c r="EH65" s="33" t="n">
        <f aca="false">-(EH47+EH50+EH53)</f>
        <v>0</v>
      </c>
      <c r="EI65" s="33" t="n">
        <f aca="false">-(EI47+EI50+EI53)</f>
        <v>0</v>
      </c>
      <c r="EJ65" s="33" t="n">
        <f aca="false">-(EJ47+EJ50+EJ53)</f>
        <v>0</v>
      </c>
      <c r="EK65" s="33" t="n">
        <f aca="false">-(EK47+EK50+EK53)</f>
        <v>0</v>
      </c>
      <c r="EL65" s="33" t="n">
        <f aca="false">-(EL47+EL50+EL53)</f>
        <v>0</v>
      </c>
      <c r="EM65" s="33" t="n">
        <f aca="false">-(EM47+EM50+EM53)</f>
        <v>0</v>
      </c>
      <c r="EN65" s="33" t="n">
        <f aca="false">-(EN47+EN50+EN53)</f>
        <v>0</v>
      </c>
      <c r="EO65" s="33" t="n">
        <f aca="false">-(EO47+EO50+EO53)</f>
        <v>0</v>
      </c>
      <c r="EP65" s="33" t="n">
        <f aca="false">-(EP47+EP50+EP53)</f>
        <v>0</v>
      </c>
      <c r="EQ65" s="33" t="n">
        <f aca="false">-(EQ47+EQ50+EQ53)</f>
        <v>0</v>
      </c>
      <c r="ER65" s="33" t="n">
        <f aca="false">-(ER47+ER50+ER53)</f>
        <v>0</v>
      </c>
      <c r="ES65" s="33" t="n">
        <f aca="false">-(ES47+ES50+ES53)</f>
        <v>0</v>
      </c>
      <c r="ET65" s="33" t="n">
        <f aca="false">-(ET47+ET50+ET53)</f>
        <v>0</v>
      </c>
    </row>
    <row r="66" customFormat="false" ht="15" hidden="false" customHeight="false" outlineLevel="0" collapsed="false">
      <c r="C66" s="0" t="s">
        <v>525</v>
      </c>
      <c r="D66" s="11" t="s">
        <v>205</v>
      </c>
      <c r="J66" s="56" t="n">
        <f aca="false">-(J47*$F47+J50*$F50+J51*$F51+J52*$F52)</f>
        <v>0</v>
      </c>
      <c r="K66" s="56" t="n">
        <f aca="false">-(K47*$F47+K50*$F50+K51*$F51+K52*$F52)</f>
        <v>57568972.6027397</v>
      </c>
      <c r="L66" s="56" t="n">
        <f aca="false">-(L47*$F47+L50*$F50+L51*$F51+L52*$F52)</f>
        <v>0</v>
      </c>
      <c r="M66" s="56" t="n">
        <f aca="false">-(M47*$F47+M50*$F50+M51*$F51+M52*$F52)</f>
        <v>0</v>
      </c>
      <c r="N66" s="56" t="n">
        <f aca="false">-(N47*$F47+N50*$F50+N51*$F51+N52*$F52)</f>
        <v>0</v>
      </c>
      <c r="O66" s="56" t="n">
        <f aca="false">-(O47*$F47+O50*$F50+O51*$F51+O52*$F52)</f>
        <v>0</v>
      </c>
      <c r="P66" s="56" t="n">
        <f aca="false">-(P47*$F47+P50*$F50+P51*$F51+P52*$F52)</f>
        <v>0</v>
      </c>
      <c r="Q66" s="56" t="n">
        <f aca="false">-(Q47*$F47+Q50*$F50+Q51*$F51+Q52*$F52)</f>
        <v>0</v>
      </c>
      <c r="R66" s="56" t="n">
        <f aca="false">-(R47*$F47+R50*$F50+R51*$F51+R52*$F52)</f>
        <v>0</v>
      </c>
      <c r="S66" s="56" t="n">
        <f aca="false">-(S47*$F47+S50*$F50+S51*$F51+S52*$F52)</f>
        <v>0</v>
      </c>
      <c r="T66" s="56" t="n">
        <f aca="false">-(T47*$F47+T50*$F50+T51*$F51+T52*$F52)</f>
        <v>950973810.999737</v>
      </c>
      <c r="U66" s="56" t="n">
        <f aca="false">-(U47*$F47+U50*$F50+U51*$F51+U52*$F52)</f>
        <v>0</v>
      </c>
      <c r="V66" s="56" t="n">
        <f aca="false">-(V47*$F47+V50*$F50+V51*$F51+V52*$F52)</f>
        <v>0</v>
      </c>
      <c r="W66" s="56" t="n">
        <f aca="false">-(W47*$F47+W50*$F50+W51*$F51+W52*$F52)</f>
        <v>0</v>
      </c>
      <c r="X66" s="56" t="n">
        <f aca="false">-(X47*$F47+X50*$F50+X51*$F51+X52*$F52)</f>
        <v>0</v>
      </c>
      <c r="Y66" s="56" t="n">
        <f aca="false">-(Y47*$F47+Y50*$F50+Y51*$F51+Y52*$F52)</f>
        <v>0</v>
      </c>
      <c r="Z66" s="56" t="n">
        <f aca="false">-(Z47*$F47+Z50*$F50+Z51*$F51+Z52*$F52)</f>
        <v>0</v>
      </c>
      <c r="AA66" s="56" t="n">
        <f aca="false">-(AA47*$F47+AA50*$F50+AA51*$F51+AA52*$F52)</f>
        <v>0</v>
      </c>
      <c r="AB66" s="56" t="n">
        <f aca="false">-(AB47*$F47+AB50*$F50+AB51*$F51+AB52*$F52)</f>
        <v>0</v>
      </c>
      <c r="AC66" s="56" t="n">
        <f aca="false">-(AC47*$F47+AC50*$F50+AC51*$F51+AC52*$F52)</f>
        <v>0</v>
      </c>
      <c r="AD66" s="56" t="n">
        <f aca="false">-(AD47*$F47+AD50*$F50+AD51*$F51+AD52*$F52)</f>
        <v>0</v>
      </c>
      <c r="AE66" s="56" t="n">
        <f aca="false">-(AE47*$F47+AE50*$F50+AE51*$F51+AE52*$F52)</f>
        <v>0</v>
      </c>
      <c r="AF66" s="56" t="n">
        <f aca="false">-(AF47*$F47+AF50*$F50+AF51*$F51+AF52*$F52)</f>
        <v>0</v>
      </c>
      <c r="AG66" s="56" t="n">
        <f aca="false">-(AG47*$F47+AG50*$F50+AG51*$F51+AG52*$F52)</f>
        <v>0</v>
      </c>
      <c r="AH66" s="56" t="n">
        <f aca="false">-(AH47*$F47+AH50*$F50+AH51*$F51+AH52*$F52)</f>
        <v>0</v>
      </c>
      <c r="AI66" s="56" t="n">
        <f aca="false">-(AI47*$F47+AI50*$F50+AI51*$F51+AI52*$F52)</f>
        <v>0</v>
      </c>
      <c r="AJ66" s="56" t="n">
        <f aca="false">-(AJ47*$F47+AJ50*$F50+AJ51*$F51+AJ52*$F52)</f>
        <v>0</v>
      </c>
      <c r="AK66" s="56" t="n">
        <f aca="false">-(AK47*$F47+AK50*$F50+AK51*$F51+AK52*$F52)</f>
        <v>0</v>
      </c>
      <c r="AL66" s="56" t="n">
        <f aca="false">-(AL47*$F47+AL50*$F50+AL51*$F51+AL52*$F52)</f>
        <v>0</v>
      </c>
      <c r="AM66" s="56" t="n">
        <f aca="false">-(AM47*$F47+AM50*$F50+AM51*$F51+AM52*$F52)</f>
        <v>0</v>
      </c>
      <c r="AN66" s="56" t="n">
        <f aca="false">-(AN47*$F47+AN50*$F50+AN51*$F51+AN52*$F52)</f>
        <v>0</v>
      </c>
      <c r="AO66" s="56" t="n">
        <f aca="false">-(AO47*$F47+AO50*$F50+AO51*$F51+AO52*$F52)</f>
        <v>0</v>
      </c>
      <c r="AP66" s="56" t="n">
        <f aca="false">-(AP47*$F47+AP50*$F50+AP51*$F51+AP52*$F52)</f>
        <v>0</v>
      </c>
      <c r="AQ66" s="56" t="n">
        <f aca="false">-(AQ47*$F47+AQ50*$F50+AQ51*$F51+AQ52*$F52)</f>
        <v>0</v>
      </c>
      <c r="AR66" s="56" t="n">
        <f aca="false">-(AR47*$F47+AR50*$F50+AR51*$F51+AR52*$F52)</f>
        <v>0</v>
      </c>
      <c r="AS66" s="56" t="n">
        <f aca="false">-(AS47*$F47+AS50*$F50+AS51*$F51+AS52*$F52)</f>
        <v>0</v>
      </c>
      <c r="AT66" s="56" t="n">
        <f aca="false">-(AT47*$F47+AT50*$F50+AT51*$F51+AT52*$F52)</f>
        <v>0</v>
      </c>
      <c r="AU66" s="56" t="n">
        <f aca="false">-(AU47*$F47+AU50*$F50+AU51*$F51+AU52*$F52)</f>
        <v>0</v>
      </c>
      <c r="AV66" s="56" t="n">
        <f aca="false">-(AV47*$F47+AV50*$F50+AV51*$F51+AV52*$F52)</f>
        <v>0</v>
      </c>
      <c r="AW66" s="56" t="n">
        <f aca="false">-(AW47*$F47+AW50*$F50+AW51*$F51+AW52*$F52)</f>
        <v>0</v>
      </c>
      <c r="AX66" s="56" t="n">
        <f aca="false">-(AX47*$F47+AX50*$F50+AX51*$F51+AX52*$F52)</f>
        <v>0</v>
      </c>
      <c r="AY66" s="56" t="n">
        <f aca="false">-(AY47*$F47+AY50*$F50+AY51*$F51+AY52*$F52)</f>
        <v>0</v>
      </c>
      <c r="AZ66" s="56" t="n">
        <f aca="false">-(AZ47*$F47+AZ50*$F50+AZ51*$F51+AZ52*$F52)</f>
        <v>0</v>
      </c>
      <c r="BA66" s="56" t="n">
        <f aca="false">-(BA47*$F47+BA50*$F50+BA51*$F51+BA52*$F52)</f>
        <v>0</v>
      </c>
      <c r="BB66" s="56" t="n">
        <f aca="false">-(BB47*$F47+BB50*$F50+BB51*$F51+BB52*$F52)</f>
        <v>0</v>
      </c>
      <c r="BC66" s="56" t="n">
        <f aca="false">-(BC47*$F47+BC50*$F50+BC51*$F51+BC52*$F52)</f>
        <v>0</v>
      </c>
      <c r="BD66" s="56" t="n">
        <f aca="false">-(BD47*$F47+BD50*$F50+BD51*$F51+BD52*$F52)</f>
        <v>0</v>
      </c>
      <c r="BE66" s="56" t="n">
        <f aca="false">-(BE47*$F47+BE50*$F50+BE51*$F51+BE52*$F52)</f>
        <v>0</v>
      </c>
      <c r="BF66" s="56" t="n">
        <f aca="false">-(BF47*$F47+BF50*$F50+BF51*$F51+BF52*$F52)</f>
        <v>0</v>
      </c>
      <c r="BG66" s="56" t="n">
        <f aca="false">-(BG47*$F47+BG50*$F50+BG51*$F51+BG52*$F52)</f>
        <v>0</v>
      </c>
      <c r="BH66" s="56" t="n">
        <f aca="false">-(BH47*$F47+BH50*$F50+BH51*$F51+BH52*$F52)</f>
        <v>0</v>
      </c>
      <c r="BI66" s="56" t="n">
        <f aca="false">-(BI47*$F47+BI50*$F50+BI51*$F51+BI52*$F52)</f>
        <v>0</v>
      </c>
      <c r="BJ66" s="56" t="n">
        <f aca="false">-(BJ47*$F47+BJ50*$F50+BJ51*$F51+BJ52*$F52)</f>
        <v>0</v>
      </c>
      <c r="BK66" s="56" t="n">
        <f aca="false">-(BK47*$F47+BK50*$F50+BK51*$F51+BK52*$F52)</f>
        <v>0</v>
      </c>
      <c r="BL66" s="56" t="n">
        <f aca="false">-(BL47*$F47+BL50*$F50+BL51*$F51+BL52*$F52)</f>
        <v>0</v>
      </c>
      <c r="BM66" s="56" t="n">
        <f aca="false">-(BM47*$F47+BM50*$F50+BM51*$F51+BM52*$F52)</f>
        <v>0</v>
      </c>
      <c r="BN66" s="56" t="n">
        <f aca="false">-(BN47*$F47+BN50*$F50+BN51*$F51+BN52*$F52)</f>
        <v>0</v>
      </c>
      <c r="BO66" s="56" t="n">
        <f aca="false">-(BO47*$F47+BO50*$F50+BO51*$F51+BO52*$F52)</f>
        <v>0</v>
      </c>
      <c r="BP66" s="56" t="n">
        <f aca="false">-(BP47*$F47+BP50*$F50+BP51*$F51+BP52*$F52)</f>
        <v>0</v>
      </c>
      <c r="BQ66" s="56" t="n">
        <f aca="false">-(BQ47*$F47+BQ50*$F50+BQ51*$F51+BQ52*$F52)</f>
        <v>0</v>
      </c>
      <c r="BR66" s="56" t="n">
        <f aca="false">-(BR47*$F47+BR50*$F50+BR51*$F51+BR52*$F52)</f>
        <v>0</v>
      </c>
      <c r="BS66" s="56" t="n">
        <f aca="false">-(BS47*$F47+BS50*$F50+BS51*$F51+BS52*$F52)</f>
        <v>0</v>
      </c>
      <c r="BT66" s="56" t="n">
        <f aca="false">-(BT47*$F47+BT50*$F50+BT51*$F51+BT52*$F52)</f>
        <v>0</v>
      </c>
      <c r="BU66" s="56" t="n">
        <f aca="false">-(BU47*$F47+BU50*$F50+BU51*$F51+BU52*$F52)</f>
        <v>0</v>
      </c>
      <c r="BV66" s="56" t="n">
        <f aca="false">-(BV47*$F47+BV50*$F50+BV51*$F51+BV52*$F52)</f>
        <v>0</v>
      </c>
      <c r="BW66" s="56" t="n">
        <f aca="false">-(BW47*$F47+BW50*$F50+BW51*$F51+BW52*$F52)</f>
        <v>0</v>
      </c>
      <c r="BX66" s="56" t="n">
        <f aca="false">-(BX47*$F47+BX50*$F50+BX51*$F51+BX52*$F52)</f>
        <v>0</v>
      </c>
      <c r="BY66" s="56" t="n">
        <f aca="false">-(BY47*$F47+BY50*$F50+BY51*$F51+BY52*$F52)</f>
        <v>0</v>
      </c>
      <c r="BZ66" s="56" t="n">
        <f aca="false">-(BZ47*$F47+BZ50*$F50+BZ51*$F51+BZ52*$F52)</f>
        <v>0</v>
      </c>
      <c r="CA66" s="56" t="n">
        <f aca="false">-(CA47*$F47+CA50*$F50+CA51*$F51+CA52*$F52)</f>
        <v>0</v>
      </c>
      <c r="CB66" s="56" t="n">
        <f aca="false">-(CB47*$F47+CB50*$F50+CB51*$F51+CB52*$F52)</f>
        <v>0</v>
      </c>
      <c r="CC66" s="56" t="n">
        <f aca="false">-(CC47*$F47+CC50*$F50+CC51*$F51+CC52*$F52)</f>
        <v>0</v>
      </c>
      <c r="CD66" s="56" t="n">
        <f aca="false">-(CD47*$F47+CD50*$F50+CD51*$F51+CD52*$F52)</f>
        <v>0</v>
      </c>
      <c r="CE66" s="56" t="n">
        <f aca="false">-(CE47*$F47+CE50*$F50+CE51*$F51+CE52*$F52)</f>
        <v>0</v>
      </c>
      <c r="CF66" s="56" t="n">
        <f aca="false">-(CF47*$F47+CF50*$F50+CF51*$F51+CF52*$F52)</f>
        <v>0</v>
      </c>
      <c r="CG66" s="56" t="n">
        <f aca="false">-(CG47*$F47+CG50*$F50+CG51*$F51+CG52*$F52)</f>
        <v>0</v>
      </c>
      <c r="CH66" s="56" t="n">
        <f aca="false">-(CH47*$F47+CH50*$F50+CH51*$F51+CH52*$F52)</f>
        <v>0</v>
      </c>
      <c r="CI66" s="56" t="n">
        <f aca="false">-(CI47*$F47+CI50*$F50+CI51*$F51+CI52*$F52)</f>
        <v>0</v>
      </c>
      <c r="CJ66" s="56" t="n">
        <f aca="false">-(CJ47*$F47+CJ50*$F50+CJ51*$F51+CJ52*$F52)</f>
        <v>0</v>
      </c>
      <c r="CK66" s="56" t="n">
        <f aca="false">-(CK47*$F47+CK50*$F50+CK51*$F51+CK52*$F52)</f>
        <v>0</v>
      </c>
      <c r="CL66" s="56" t="n">
        <f aca="false">-(CL47*$F47+CL50*$F50+CL51*$F51+CL52*$F52)</f>
        <v>0</v>
      </c>
      <c r="CM66" s="56" t="n">
        <f aca="false">-(CM47*$F47+CM50*$F50+CM51*$F51+CM52*$F52)</f>
        <v>0</v>
      </c>
      <c r="CN66" s="56" t="n">
        <f aca="false">-(CN47*$F47+CN50*$F50+CN51*$F51+CN52*$F52)</f>
        <v>0</v>
      </c>
      <c r="CO66" s="56" t="n">
        <f aca="false">-(CO47*$F47+CO50*$F50+CO51*$F51+CO52*$F52)</f>
        <v>0</v>
      </c>
      <c r="CP66" s="56" t="n">
        <f aca="false">-(CP47*$F47+CP50*$F50+CP51*$F51+CP52*$F52)</f>
        <v>0</v>
      </c>
      <c r="CQ66" s="56" t="n">
        <f aca="false">-(CQ47*$F47+CQ50*$F50+CQ51*$F51+CQ52*$F52)</f>
        <v>0</v>
      </c>
      <c r="CR66" s="56" t="n">
        <f aca="false">-(CR47*$F47+CR50*$F50+CR51*$F51+CR52*$F52)</f>
        <v>0</v>
      </c>
      <c r="CS66" s="56" t="n">
        <f aca="false">-(CS47*$F47+CS50*$F50+CS51*$F51+CS52*$F52)</f>
        <v>0</v>
      </c>
      <c r="CT66" s="56" t="n">
        <f aca="false">-(CT47*$F47+CT50*$F50+CT51*$F51+CT52*$F52)</f>
        <v>0</v>
      </c>
      <c r="CU66" s="56" t="n">
        <f aca="false">-(CU47*$F47+CU50*$F50+CU51*$F51+CU52*$F52)</f>
        <v>0</v>
      </c>
      <c r="CV66" s="56" t="n">
        <f aca="false">-(CV47*$F47+CV50*$F50+CV51*$F51+CV52*$F52)</f>
        <v>0</v>
      </c>
      <c r="CW66" s="56" t="n">
        <f aca="false">-(CW47*$F47+CW50*$F50+CW51*$F51+CW52*$F52)</f>
        <v>0</v>
      </c>
      <c r="CX66" s="56" t="n">
        <f aca="false">-(CX47*$F47+CX50*$F50+CX51*$F51+CX52*$F52)</f>
        <v>0</v>
      </c>
      <c r="CY66" s="56" t="n">
        <f aca="false">-(CY47*$F47+CY50*$F50+CY51*$F51+CY52*$F52)</f>
        <v>0</v>
      </c>
      <c r="CZ66" s="56" t="n">
        <f aca="false">-(CZ47*$F47+CZ50*$F50+CZ51*$F51+CZ52*$F52)</f>
        <v>0</v>
      </c>
      <c r="DA66" s="56" t="n">
        <f aca="false">-(DA47*$F47+DA50*$F50+DA51*$F51+DA52*$F52)</f>
        <v>0</v>
      </c>
      <c r="DB66" s="56" t="n">
        <f aca="false">-(DB47*$F47+DB50*$F50+DB51*$F51+DB52*$F52)</f>
        <v>0</v>
      </c>
      <c r="DC66" s="56" t="n">
        <f aca="false">-(DC47*$F47+DC50*$F50+DC51*$F51+DC52*$F52)</f>
        <v>0</v>
      </c>
      <c r="DD66" s="56" t="n">
        <f aca="false">-(DD47*$F47+DD50*$F50+DD51*$F51+DD52*$F52)</f>
        <v>0</v>
      </c>
      <c r="DE66" s="56" t="n">
        <f aca="false">-(DE47*$F47+DE50*$F50+DE51*$F51+DE52*$F52)</f>
        <v>0</v>
      </c>
      <c r="DF66" s="56" t="n">
        <f aca="false">-(DF47*$F47+DF50*$F50+DF51*$F51+DF52*$F52)</f>
        <v>0</v>
      </c>
      <c r="DG66" s="56" t="n">
        <f aca="false">-(DG47*$F47+DG50*$F50+DG51*$F51+DG52*$F52)</f>
        <v>0</v>
      </c>
      <c r="DH66" s="56" t="n">
        <f aca="false">-(DH47*$F47+DH50*$F50+DH51*$F51+DH52*$F52)</f>
        <v>0</v>
      </c>
      <c r="DI66" s="56" t="n">
        <f aca="false">-(DI47*$F47+DI50*$F50+DI51*$F51+DI52*$F52)</f>
        <v>0</v>
      </c>
      <c r="DJ66" s="56" t="n">
        <f aca="false">-(DJ47*$F47+DJ50*$F50+DJ51*$F51+DJ52*$F52)</f>
        <v>0</v>
      </c>
      <c r="DK66" s="56" t="n">
        <f aca="false">-(DK47*$F47+DK50*$F50+DK51*$F51+DK52*$F52)</f>
        <v>0</v>
      </c>
      <c r="DL66" s="56" t="n">
        <f aca="false">-(DL47*$F47+DL50*$F50+DL51*$F51+DL52*$F52)</f>
        <v>0</v>
      </c>
      <c r="DM66" s="56" t="n">
        <f aca="false">-(DM47*$F47+DM50*$F50+DM51*$F51+DM52*$F52)</f>
        <v>0</v>
      </c>
      <c r="DN66" s="56" t="n">
        <f aca="false">-(DN47*$F47+DN50*$F50+DN51*$F51+DN52*$F52)</f>
        <v>0</v>
      </c>
      <c r="DO66" s="56" t="n">
        <f aca="false">-(DO47*$F47+DO50*$F50+DO51*$F51+DO52*$F52)</f>
        <v>0</v>
      </c>
      <c r="DP66" s="56" t="n">
        <f aca="false">-(DP47*$F47+DP50*$F50+DP51*$F51+DP52*$F52)</f>
        <v>0</v>
      </c>
      <c r="DQ66" s="56" t="n">
        <f aca="false">-(DQ47*$F47+DQ50*$F50+DQ51*$F51+DQ52*$F52)</f>
        <v>0</v>
      </c>
      <c r="DR66" s="56" t="n">
        <f aca="false">-(DR47*$F47+DR50*$F50+DR51*$F51+DR52*$F52)</f>
        <v>0</v>
      </c>
      <c r="DS66" s="56" t="n">
        <f aca="false">-(DS47*$F47+DS50*$F50+DS51*$F51+DS52*$F52)</f>
        <v>0</v>
      </c>
      <c r="DT66" s="56" t="n">
        <f aca="false">-(DT47*$F47+DT50*$F50+DT51*$F51+DT52*$F52)</f>
        <v>0</v>
      </c>
      <c r="DU66" s="56" t="n">
        <f aca="false">-(DU47*$F47+DU50*$F50+DU51*$F51+DU52*$F52)</f>
        <v>0</v>
      </c>
      <c r="DV66" s="56" t="n">
        <f aca="false">-(DV47*$F47+DV50*$F50+DV51*$F51+DV52*$F52)</f>
        <v>0</v>
      </c>
      <c r="DW66" s="56" t="n">
        <f aca="false">-(DW47*$F47+DW50*$F50+DW51*$F51+DW52*$F52)</f>
        <v>0</v>
      </c>
      <c r="DX66" s="56" t="n">
        <f aca="false">-(DX47*$F47+DX50*$F50+DX51*$F51+DX52*$F52)</f>
        <v>0</v>
      </c>
      <c r="DY66" s="56" t="n">
        <f aca="false">-(DY47*$F47+DY50*$F50+DY51*$F51+DY52*$F52)</f>
        <v>0</v>
      </c>
      <c r="DZ66" s="56" t="n">
        <f aca="false">-(DZ47*$F47+DZ50*$F50+DZ51*$F51+DZ52*$F52)</f>
        <v>0</v>
      </c>
      <c r="EA66" s="56" t="n">
        <f aca="false">-(EA47*$F47+EA50*$F50+EA51*$F51+EA52*$F52)</f>
        <v>0</v>
      </c>
      <c r="EB66" s="56" t="n">
        <f aca="false">-(EB47*$F47+EB50*$F50+EB51*$F51+EB52*$F52)</f>
        <v>0</v>
      </c>
      <c r="EC66" s="56" t="n">
        <f aca="false">-(EC47*$F47+EC50*$F50+EC51*$F51+EC52*$F52)</f>
        <v>0</v>
      </c>
      <c r="ED66" s="56" t="n">
        <f aca="false">-(ED47*$F47+ED50*$F50+ED51*$F51+ED52*$F52)</f>
        <v>0</v>
      </c>
      <c r="EE66" s="56" t="n">
        <f aca="false">-(EE47*$F47+EE50*$F50+EE51*$F51+EE52*$F52)</f>
        <v>0</v>
      </c>
      <c r="EF66" s="56" t="n">
        <f aca="false">-(EF47*$F47+EF50*$F50+EF51*$F51+EF52*$F52)</f>
        <v>0</v>
      </c>
      <c r="EG66" s="56" t="n">
        <f aca="false">-(EG47*$F47+EG50*$F50+EG51*$F51+EG52*$F52)</f>
        <v>0</v>
      </c>
      <c r="EH66" s="56" t="n">
        <f aca="false">-(EH47*$F47+EH50*$F50+EH51*$F51+EH52*$F52)</f>
        <v>0</v>
      </c>
      <c r="EI66" s="56" t="n">
        <f aca="false">-(EI47*$F47+EI50*$F50+EI51*$F51+EI52*$F52)</f>
        <v>0</v>
      </c>
      <c r="EJ66" s="56" t="n">
        <f aca="false">-(EJ47*$F47+EJ50*$F50+EJ51*$F51+EJ52*$F52)</f>
        <v>0</v>
      </c>
      <c r="EK66" s="56" t="n">
        <f aca="false">-(EK47*$F47+EK50*$F50+EK51*$F51+EK52*$F52)</f>
        <v>0</v>
      </c>
      <c r="EL66" s="56" t="n">
        <f aca="false">-(EL47*$F47+EL50*$F50+EL51*$F51+EL52*$F52)</f>
        <v>0</v>
      </c>
      <c r="EM66" s="56" t="n">
        <f aca="false">-(EM47*$F47+EM50*$F50+EM51*$F51+EM52*$F52)</f>
        <v>0</v>
      </c>
      <c r="EN66" s="56" t="n">
        <f aca="false">-(EN47*$F47+EN50*$F50+EN51*$F51+EN52*$F52)</f>
        <v>0</v>
      </c>
      <c r="EO66" s="56" t="n">
        <f aca="false">-(EO47*$F47+EO50*$F50+EO51*$F51+EO52*$F52)</f>
        <v>0</v>
      </c>
      <c r="EP66" s="56" t="n">
        <f aca="false">-(EP47*$F47+EP50*$F50+EP51*$F51+EP52*$F52)</f>
        <v>0</v>
      </c>
      <c r="EQ66" s="56" t="n">
        <f aca="false">-(EQ47*$F47+EQ50*$F50+EQ51*$F51+EQ52*$F52)</f>
        <v>0</v>
      </c>
      <c r="ER66" s="56" t="n">
        <f aca="false">-(ER47*$F47+ER50*$F50+ER51*$F51+ER52*$F52)</f>
        <v>0</v>
      </c>
      <c r="ES66" s="56" t="n">
        <f aca="false">-(ES47*$F47+ES50*$F50+ES51*$F51+ES52*$F52)</f>
        <v>0</v>
      </c>
      <c r="ET66" s="56" t="n">
        <f aca="false">-(ET47*$F47+ET50*$F50+ET51*$F51+ET52*$F52)</f>
        <v>0</v>
      </c>
    </row>
    <row r="67" customFormat="false" ht="15" hidden="false" customHeight="false" outlineLevel="0" collapsed="false">
      <c r="C67" s="0" t="s">
        <v>526</v>
      </c>
      <c r="D67" s="11" t="s">
        <v>247</v>
      </c>
      <c r="J67" s="22" t="n">
        <f aca="false">I70</f>
        <v>0</v>
      </c>
      <c r="K67" s="22" t="n">
        <f aca="false">J70</f>
        <v>0</v>
      </c>
      <c r="L67" s="22" t="n">
        <f aca="false">K70</f>
        <v>1242.07678738976</v>
      </c>
      <c r="M67" s="22" t="n">
        <f aca="false">L70</f>
        <v>1242.07678738976</v>
      </c>
      <c r="N67" s="22" t="n">
        <f aca="false">M70</f>
        <v>1242.07678738976</v>
      </c>
      <c r="O67" s="22" t="n">
        <f aca="false">N70</f>
        <v>1242.07678738976</v>
      </c>
      <c r="P67" s="22" t="n">
        <f aca="false">O70</f>
        <v>1391.12600187653</v>
      </c>
      <c r="Q67" s="22" t="n">
        <f aca="false">P70</f>
        <v>1391.12600187653</v>
      </c>
      <c r="R67" s="22" t="n">
        <f aca="false">Q70</f>
        <v>1391.12600187653</v>
      </c>
      <c r="S67" s="22" t="n">
        <f aca="false">R70</f>
        <v>1391.12600187653</v>
      </c>
      <c r="T67" s="22" t="n">
        <f aca="false">S70</f>
        <v>1558.51847859548</v>
      </c>
      <c r="U67" s="22" t="n">
        <f aca="false">T70</f>
        <v>21737.9058868147</v>
      </c>
      <c r="V67" s="22" t="n">
        <f aca="false">U70</f>
        <v>21737.9058868147</v>
      </c>
      <c r="W67" s="22" t="n">
        <f aca="false">V70</f>
        <v>21737.9058868147</v>
      </c>
      <c r="X67" s="22" t="n">
        <f aca="false">W70</f>
        <v>22985.0199428111</v>
      </c>
      <c r="Y67" s="22" t="n">
        <f aca="false">X70</f>
        <v>22985.0199428111</v>
      </c>
      <c r="Z67" s="22" t="n">
        <f aca="false">Y70</f>
        <v>22985.0199428111</v>
      </c>
      <c r="AA67" s="22" t="n">
        <f aca="false">Z70</f>
        <v>22985.0199428111</v>
      </c>
      <c r="AB67" s="22" t="n">
        <f aca="false">AA70</f>
        <v>25743.2223359484</v>
      </c>
      <c r="AC67" s="22" t="n">
        <f aca="false">AB70</f>
        <v>25743.2223359484</v>
      </c>
      <c r="AD67" s="22" t="n">
        <f aca="false">AC70</f>
        <v>25743.2223359484</v>
      </c>
      <c r="AE67" s="22" t="n">
        <f aca="false">AD70</f>
        <v>25743.2223359484</v>
      </c>
      <c r="AF67" s="22" t="n">
        <f aca="false">AE70</f>
        <v>28053.7647023201</v>
      </c>
      <c r="AG67" s="22" t="n">
        <f aca="false">AF70</f>
        <v>28053.7647023201</v>
      </c>
      <c r="AH67" s="22" t="n">
        <f aca="false">AG70</f>
        <v>28053.7647023201</v>
      </c>
      <c r="AI67" s="22" t="n">
        <f aca="false">AH70</f>
        <v>28053.7647023201</v>
      </c>
      <c r="AJ67" s="22" t="n">
        <f aca="false">AI70</f>
        <v>28053.7647023201</v>
      </c>
      <c r="AK67" s="22" t="n">
        <f aca="false">AJ70</f>
        <v>28053.7647023201</v>
      </c>
      <c r="AL67" s="22" t="n">
        <f aca="false">AK70</f>
        <v>28053.7647023201</v>
      </c>
      <c r="AM67" s="22" t="n">
        <f aca="false">AL70</f>
        <v>28053.7647023201</v>
      </c>
      <c r="AN67" s="22" t="n">
        <f aca="false">AM70</f>
        <v>28053.7647023201</v>
      </c>
      <c r="AO67" s="22" t="n">
        <f aca="false">AN70</f>
        <v>28053.7647023201</v>
      </c>
      <c r="AP67" s="22" t="n">
        <f aca="false">AO70</f>
        <v>28053.7647023201</v>
      </c>
      <c r="AQ67" s="22" t="n">
        <f aca="false">AP70</f>
        <v>28053.7647023201</v>
      </c>
      <c r="AR67" s="22" t="n">
        <f aca="false">AQ70</f>
        <v>28053.7647023201</v>
      </c>
      <c r="AS67" s="22" t="n">
        <f aca="false">AR70</f>
        <v>28053.7647023201</v>
      </c>
      <c r="AT67" s="22" t="n">
        <f aca="false">AS70</f>
        <v>28053.7647023201</v>
      </c>
      <c r="AU67" s="22" t="n">
        <f aca="false">AT70</f>
        <v>28053.7647023201</v>
      </c>
      <c r="AV67" s="22" t="n">
        <f aca="false">AU70</f>
        <v>28053.7647023201</v>
      </c>
      <c r="AW67" s="22" t="n">
        <f aca="false">AV70</f>
        <v>28053.7647023201</v>
      </c>
      <c r="AX67" s="22" t="n">
        <f aca="false">AW70</f>
        <v>28053.7647023201</v>
      </c>
      <c r="AY67" s="22" t="n">
        <f aca="false">AX70</f>
        <v>28053.7647023201</v>
      </c>
      <c r="AZ67" s="22" t="n">
        <f aca="false">AY70</f>
        <v>28053.7647023201</v>
      </c>
      <c r="BA67" s="22" t="n">
        <f aca="false">AZ70</f>
        <v>28053.7647023201</v>
      </c>
      <c r="BB67" s="22" t="n">
        <f aca="false">BA70</f>
        <v>28053.7647023201</v>
      </c>
      <c r="BC67" s="22" t="n">
        <f aca="false">BB70</f>
        <v>28053.7647023201</v>
      </c>
      <c r="BD67" s="22" t="n">
        <f aca="false">BC70</f>
        <v>28053.7647023201</v>
      </c>
      <c r="BE67" s="22" t="n">
        <f aca="false">BD70</f>
        <v>28053.7647023201</v>
      </c>
      <c r="BF67" s="22" t="n">
        <f aca="false">BE70</f>
        <v>28053.7647023201</v>
      </c>
      <c r="BG67" s="22" t="n">
        <f aca="false">BF70</f>
        <v>28053.7647023201</v>
      </c>
      <c r="BH67" s="22" t="n">
        <f aca="false">BG70</f>
        <v>28053.7647023201</v>
      </c>
      <c r="BI67" s="22" t="n">
        <f aca="false">BH70</f>
        <v>28053.7647023201</v>
      </c>
      <c r="BJ67" s="22" t="n">
        <f aca="false">BI70</f>
        <v>28053.7647023201</v>
      </c>
      <c r="BK67" s="22" t="n">
        <f aca="false">BJ70</f>
        <v>28053.7647023201</v>
      </c>
      <c r="BL67" s="22" t="n">
        <f aca="false">BK70</f>
        <v>28053.7647023201</v>
      </c>
      <c r="BM67" s="22" t="n">
        <f aca="false">BL70</f>
        <v>28053.7647023201</v>
      </c>
      <c r="BN67" s="22" t="n">
        <f aca="false">BM70</f>
        <v>28053.7647023201</v>
      </c>
      <c r="BO67" s="22" t="n">
        <f aca="false">BN70</f>
        <v>28053.7647023201</v>
      </c>
      <c r="BP67" s="22" t="n">
        <f aca="false">BO70</f>
        <v>28053.7647023201</v>
      </c>
      <c r="BQ67" s="22" t="n">
        <f aca="false">BP70</f>
        <v>28053.7647023201</v>
      </c>
      <c r="BR67" s="22" t="n">
        <f aca="false">BQ70</f>
        <v>28053.7647023201</v>
      </c>
      <c r="BS67" s="22" t="n">
        <f aca="false">BR70</f>
        <v>28053.7647023201</v>
      </c>
      <c r="BT67" s="22" t="n">
        <f aca="false">BS70</f>
        <v>28053.7647023201</v>
      </c>
      <c r="BU67" s="22" t="n">
        <f aca="false">BT70</f>
        <v>28053.7647023201</v>
      </c>
      <c r="BV67" s="22" t="n">
        <f aca="false">BU70</f>
        <v>28053.7647023201</v>
      </c>
      <c r="BW67" s="22" t="n">
        <f aca="false">BV70</f>
        <v>28053.7647023201</v>
      </c>
      <c r="BX67" s="22" t="n">
        <f aca="false">BW70</f>
        <v>28053.7647023201</v>
      </c>
      <c r="BY67" s="22" t="n">
        <f aca="false">BX70</f>
        <v>28053.7647023201</v>
      </c>
      <c r="BZ67" s="22" t="n">
        <f aca="false">BY70</f>
        <v>28053.7647023201</v>
      </c>
      <c r="CA67" s="22" t="n">
        <f aca="false">BZ70</f>
        <v>28053.7647023201</v>
      </c>
      <c r="CB67" s="22" t="n">
        <f aca="false">CA70</f>
        <v>28053.7647023201</v>
      </c>
      <c r="CC67" s="22" t="n">
        <f aca="false">CB70</f>
        <v>28053.7647023201</v>
      </c>
      <c r="CD67" s="22" t="n">
        <f aca="false">CC70</f>
        <v>28053.7647023201</v>
      </c>
      <c r="CE67" s="22" t="n">
        <f aca="false">CD70</f>
        <v>28053.7647023201</v>
      </c>
      <c r="CF67" s="22" t="n">
        <f aca="false">CE70</f>
        <v>28053.7647023201</v>
      </c>
      <c r="CG67" s="22" t="n">
        <f aca="false">CF70</f>
        <v>28053.7647023201</v>
      </c>
      <c r="CH67" s="22" t="n">
        <f aca="false">CG70</f>
        <v>28053.7647023201</v>
      </c>
      <c r="CI67" s="22" t="n">
        <f aca="false">CH70</f>
        <v>28053.7647023201</v>
      </c>
      <c r="CJ67" s="22" t="n">
        <f aca="false">CI70</f>
        <v>28053.7647023201</v>
      </c>
      <c r="CK67" s="22" t="n">
        <f aca="false">CJ70</f>
        <v>28053.7647023201</v>
      </c>
      <c r="CL67" s="22" t="n">
        <f aca="false">CK70</f>
        <v>28053.7647023201</v>
      </c>
      <c r="CM67" s="22" t="n">
        <f aca="false">CL70</f>
        <v>28053.7647023201</v>
      </c>
      <c r="CN67" s="22" t="n">
        <f aca="false">CM70</f>
        <v>28053.7647023201</v>
      </c>
      <c r="CO67" s="22" t="n">
        <f aca="false">CN70</f>
        <v>28053.7647023201</v>
      </c>
      <c r="CP67" s="22" t="n">
        <f aca="false">CO70</f>
        <v>28053.7647023201</v>
      </c>
      <c r="CQ67" s="22" t="n">
        <f aca="false">CP70</f>
        <v>28053.7647023201</v>
      </c>
      <c r="CR67" s="22" t="n">
        <f aca="false">CQ70</f>
        <v>28053.7647023201</v>
      </c>
      <c r="CS67" s="22" t="n">
        <f aca="false">CR70</f>
        <v>28053.7647023201</v>
      </c>
      <c r="CT67" s="22" t="n">
        <f aca="false">CS70</f>
        <v>28053.7647023201</v>
      </c>
      <c r="CU67" s="22" t="n">
        <f aca="false">CT70</f>
        <v>28053.7647023201</v>
      </c>
      <c r="CV67" s="22" t="n">
        <f aca="false">CU70</f>
        <v>28053.7647023201</v>
      </c>
      <c r="CW67" s="22" t="n">
        <f aca="false">CV70</f>
        <v>28053.7647023201</v>
      </c>
      <c r="CX67" s="22" t="n">
        <f aca="false">CW70</f>
        <v>28053.7647023201</v>
      </c>
      <c r="CY67" s="22" t="n">
        <f aca="false">CX70</f>
        <v>28053.7647023201</v>
      </c>
      <c r="CZ67" s="22" t="n">
        <f aca="false">CY70</f>
        <v>28053.7647023201</v>
      </c>
      <c r="DA67" s="22" t="n">
        <f aca="false">CZ70</f>
        <v>28053.7647023201</v>
      </c>
      <c r="DB67" s="22" t="n">
        <f aca="false">DA70</f>
        <v>28053.7647023201</v>
      </c>
      <c r="DC67" s="22" t="n">
        <f aca="false">DB70</f>
        <v>28053.7647023201</v>
      </c>
      <c r="DD67" s="22" t="n">
        <f aca="false">DC70</f>
        <v>28053.7647023201</v>
      </c>
      <c r="DE67" s="22" t="n">
        <f aca="false">DD70</f>
        <v>28053.7647023201</v>
      </c>
      <c r="DF67" s="22" t="n">
        <f aca="false">DE70</f>
        <v>28053.7647023201</v>
      </c>
      <c r="DG67" s="22" t="n">
        <f aca="false">DF70</f>
        <v>28053.7647023201</v>
      </c>
      <c r="DH67" s="22" t="n">
        <f aca="false">DG70</f>
        <v>28053.7647023201</v>
      </c>
      <c r="DI67" s="22" t="n">
        <f aca="false">DH70</f>
        <v>28053.7647023201</v>
      </c>
      <c r="DJ67" s="22" t="n">
        <f aca="false">DI70</f>
        <v>28053.7647023201</v>
      </c>
      <c r="DK67" s="22" t="n">
        <f aca="false">DJ70</f>
        <v>28053.7647023201</v>
      </c>
      <c r="DL67" s="22" t="n">
        <f aca="false">DK70</f>
        <v>28053.7647023201</v>
      </c>
      <c r="DM67" s="22" t="n">
        <f aca="false">DL70</f>
        <v>28053.7647023201</v>
      </c>
      <c r="DN67" s="22" t="n">
        <f aca="false">DM70</f>
        <v>28053.7647023201</v>
      </c>
      <c r="DO67" s="22" t="n">
        <f aca="false">DN70</f>
        <v>28053.7647023201</v>
      </c>
      <c r="DP67" s="22" t="n">
        <f aca="false">DO70</f>
        <v>28053.7647023201</v>
      </c>
      <c r="DQ67" s="22" t="n">
        <f aca="false">DP70</f>
        <v>28053.7647023201</v>
      </c>
      <c r="DR67" s="22" t="n">
        <f aca="false">DQ70</f>
        <v>28053.7647023201</v>
      </c>
      <c r="DS67" s="22" t="n">
        <f aca="false">DR70</f>
        <v>28053.7647023201</v>
      </c>
      <c r="DT67" s="22" t="n">
        <f aca="false">DS70</f>
        <v>28053.7647023201</v>
      </c>
      <c r="DU67" s="22" t="n">
        <f aca="false">DT70</f>
        <v>28053.7647023201</v>
      </c>
      <c r="DV67" s="22" t="n">
        <f aca="false">DU70</f>
        <v>28053.7647023201</v>
      </c>
      <c r="DW67" s="22" t="n">
        <f aca="false">DV70</f>
        <v>28053.7647023201</v>
      </c>
      <c r="DX67" s="22" t="n">
        <f aca="false">DW70</f>
        <v>28053.7647023201</v>
      </c>
      <c r="DY67" s="22" t="n">
        <f aca="false">DX70</f>
        <v>28053.7647023201</v>
      </c>
      <c r="DZ67" s="22" t="n">
        <f aca="false">DY70</f>
        <v>28053.7647023201</v>
      </c>
      <c r="EA67" s="22" t="n">
        <f aca="false">DZ70</f>
        <v>28053.7647023201</v>
      </c>
      <c r="EB67" s="22" t="n">
        <f aca="false">EA70</f>
        <v>28053.7647023201</v>
      </c>
      <c r="EC67" s="22" t="n">
        <f aca="false">EB70</f>
        <v>28053.7647023201</v>
      </c>
      <c r="ED67" s="22" t="n">
        <f aca="false">EC70</f>
        <v>28053.7647023201</v>
      </c>
      <c r="EE67" s="22" t="n">
        <f aca="false">ED70</f>
        <v>28053.7647023201</v>
      </c>
      <c r="EF67" s="22" t="n">
        <f aca="false">EE70</f>
        <v>28053.7647023201</v>
      </c>
      <c r="EG67" s="22" t="n">
        <f aca="false">EF70</f>
        <v>28053.7647023201</v>
      </c>
      <c r="EH67" s="22" t="n">
        <f aca="false">EG70</f>
        <v>28053.7647023201</v>
      </c>
      <c r="EI67" s="22" t="n">
        <f aca="false">EH70</f>
        <v>28053.7647023201</v>
      </c>
      <c r="EJ67" s="22" t="n">
        <f aca="false">EI70</f>
        <v>28053.7647023201</v>
      </c>
      <c r="EK67" s="22" t="n">
        <f aca="false">EJ70</f>
        <v>28053.7647023201</v>
      </c>
      <c r="EL67" s="22" t="n">
        <f aca="false">EK70</f>
        <v>28053.7647023201</v>
      </c>
      <c r="EM67" s="22" t="n">
        <f aca="false">EL70</f>
        <v>28053.7647023201</v>
      </c>
      <c r="EN67" s="22" t="n">
        <f aca="false">EM70</f>
        <v>28053.7647023201</v>
      </c>
      <c r="EO67" s="22" t="n">
        <f aca="false">EN70</f>
        <v>28053.7647023201</v>
      </c>
      <c r="EP67" s="22" t="n">
        <f aca="false">EO70</f>
        <v>28053.7647023201</v>
      </c>
      <c r="EQ67" s="22" t="n">
        <f aca="false">EP70</f>
        <v>28053.7647023201</v>
      </c>
      <c r="ER67" s="22" t="n">
        <f aca="false">EQ70</f>
        <v>28053.7647023201</v>
      </c>
      <c r="ES67" s="22" t="n">
        <f aca="false">ER70</f>
        <v>28053.7647023201</v>
      </c>
      <c r="ET67" s="22" t="n">
        <f aca="false">ES70</f>
        <v>28053.7647023201</v>
      </c>
    </row>
    <row r="68" customFormat="false" ht="15" hidden="false" customHeight="false" outlineLevel="0" collapsed="false">
      <c r="C68" s="0" t="s">
        <v>527</v>
      </c>
      <c r="D68" s="11" t="s">
        <v>247</v>
      </c>
      <c r="E68" s="33" t="n">
        <f aca="false">SUMIF($J$4:$ET$4,"&lt;="&amp;$E12,$J68:$ET68)</f>
        <v>1564.53664418093</v>
      </c>
      <c r="F68" s="33" t="n">
        <f aca="false">SUMIF($J$4:$ET$4,"&lt;="&amp;In_COD,$J68:$ET68)</f>
        <v>6633.28140368995</v>
      </c>
      <c r="I68" s="33" t="n">
        <f aca="false">SUM(J68:ET68)</f>
        <v>6633.28140368995</v>
      </c>
      <c r="J68" s="33" t="n">
        <f aca="false">In_Cash_Rate/Days_In_Year*(1-J19)*(J67*J$5+(J$4+1)*J65-J66)*(J$4&lt;=In_COD)</f>
        <v>0</v>
      </c>
      <c r="K68" s="33" t="n">
        <f aca="false">In_Cash_Rate/Days_In_Year*(1-K19)*(K67*K$5+(K$4+1)*K65-K66)*(K$4&lt;=In_COD)</f>
        <v>0.980896978796345</v>
      </c>
      <c r="L68" s="33" t="n">
        <f aca="false">In_Cash_Rate/Days_In_Year*(1-L19)*(L67*L$5+(L$4+1)*L65-L66)*(L$4&lt;=In_COD)</f>
        <v>36.751861106327</v>
      </c>
      <c r="M68" s="33" t="n">
        <f aca="false">In_Cash_Rate/Days_In_Year*(1-M19)*(M67*M$5+(M$4+1)*M65-M66)*(M$4&lt;=In_COD)</f>
        <v>37.1602151186195</v>
      </c>
      <c r="N68" s="33" t="n">
        <f aca="false">In_Cash_Rate/Days_In_Year*(1-N19)*(N67*N$5+(N$4+1)*N65-N66)*(N$4&lt;=In_COD)</f>
        <v>37.5685691309121</v>
      </c>
      <c r="O68" s="33" t="n">
        <f aca="false">In_Cash_Rate/Days_In_Year*(1-O19)*(O67*O$5+(O$4+1)*O65-O66)*(O$4&lt;=In_COD)</f>
        <v>37.5685691309121</v>
      </c>
      <c r="P68" s="33" t="n">
        <f aca="false">In_Cash_Rate/Days_In_Year*(1-P19)*(P67*P$5+(P$4+1)*P65-P66)*(P$4&lt;=In_COD)</f>
        <v>41.6194409328539</v>
      </c>
      <c r="Q68" s="33" t="n">
        <f aca="false">In_Cash_Rate/Days_In_Year*(1-Q19)*(Q67*Q$5+(Q$4+1)*Q65-Q66)*(Q$4&lt;=In_COD)</f>
        <v>41.6194409328539</v>
      </c>
      <c r="R68" s="33" t="n">
        <f aca="false">In_Cash_Rate/Days_In_Year*(1-R19)*(R67*R$5+(R$4+1)*R65-R66)*(R$4&lt;=In_COD)</f>
        <v>42.0767974266215</v>
      </c>
      <c r="S68" s="33" t="n">
        <f aca="false">In_Cash_Rate/Days_In_Year*(1-S19)*(S67*S$5+(S$4+1)*S65-S66)*(S$4&lt;=In_COD)</f>
        <v>42.0767974266215</v>
      </c>
      <c r="T68" s="33" t="n">
        <f aca="false">In_Cash_Rate/Days_In_Year*(1-T19)*(T67*T$5+(T$4+1)*T65-T66)*(T$4&lt;=In_COD)</f>
        <v>596.763556588147</v>
      </c>
      <c r="U68" s="33" t="n">
        <f aca="false">In_Cash_Rate/Days_In_Year*(1-U19)*(U67*U$5+(U$4+1)*U65-U66)*(U$4&lt;=In_COD)</f>
        <v>650.350499408263</v>
      </c>
      <c r="V68" s="33" t="n">
        <f aca="false">In_Cash_Rate/Days_In_Year*(1-V19)*(V67*V$5+(V$4+1)*V65-V66)*(V$4&lt;=In_COD)</f>
        <v>0</v>
      </c>
      <c r="W68" s="33" t="n">
        <f aca="false">In_Cash_Rate/Days_In_Year*(1-W19)*(W67*W$5+(W$4+1)*W65-W66)*(W$4&lt;=In_COD)</f>
        <v>0</v>
      </c>
      <c r="X68" s="33" t="n">
        <f aca="false">In_Cash_Rate/Days_In_Year*(1-X19)*(X67*X$5+(X$4+1)*X65-X66)*(X$4&lt;=In_COD)</f>
        <v>680.104699677698</v>
      </c>
      <c r="Y68" s="33" t="n">
        <f aca="false">In_Cash_Rate/Days_In_Year*(1-Y19)*(Y67*Y$5+(Y$4+1)*Y65-Y66)*(Y$4&lt;=In_COD)</f>
        <v>687.661418563005</v>
      </c>
      <c r="Z68" s="33" t="n">
        <f aca="false">In_Cash_Rate/Days_In_Year*(1-Z19)*(Z67*Z$5+(Z$4+1)*Z65-Z66)*(Z$4&lt;=In_COD)</f>
        <v>695.218137448313</v>
      </c>
      <c r="AA68" s="33" t="n">
        <f aca="false">In_Cash_Rate/Days_In_Year*(1-AA19)*(AA67*AA$5+(AA$4+1)*AA65-AA66)*(AA$4&lt;=In_COD)</f>
        <v>695.218137448313</v>
      </c>
      <c r="AB68" s="33" t="n">
        <f aca="false">In_Cash_Rate/Days_In_Year*(1-AB19)*(AB67*AB$5+(AB$4+1)*AB65-AB66)*(AB$4&lt;=In_COD)</f>
        <v>761.717263639021</v>
      </c>
      <c r="AC68" s="33" t="n">
        <f aca="false">In_Cash_Rate/Days_In_Year*(1-AC19)*(AC67*AC$5+(AC$4+1)*AC65-AC66)*(AC$4&lt;=In_COD)</f>
        <v>770.180788790566</v>
      </c>
      <c r="AD68" s="33" t="n">
        <f aca="false">In_Cash_Rate/Days_In_Year*(1-AD19)*(AD67*AD$5+(AD$4+1)*AD65-AD66)*(AD$4&lt;=In_COD)</f>
        <v>778.64431394211</v>
      </c>
      <c r="AE68" s="33" t="n">
        <f aca="false">In_Cash_Rate/Days_In_Year*(1-AE19)*(AE67*AE$5+(AE$4+1)*AE65-AE66)*(AE$4&lt;=In_COD)</f>
        <v>0</v>
      </c>
      <c r="AF68" s="33" t="n">
        <f aca="false">In_Cash_Rate/Days_In_Year*(1-AF19)*(AF67*AF$5+(AF$4+1)*AF65-AF66)*(AF$4&lt;=In_COD)</f>
        <v>0</v>
      </c>
      <c r="AG68" s="33" t="n">
        <f aca="false">In_Cash_Rate/Days_In_Year*(1-AG19)*(AG67*AG$5+(AG$4+1)*AG65-AG66)*(AG$4&lt;=In_COD)</f>
        <v>0</v>
      </c>
      <c r="AH68" s="33" t="n">
        <f aca="false">In_Cash_Rate/Days_In_Year*(1-AH19)*(AH67*AH$5+(AH$4+1)*AH65-AH66)*(AH$4&lt;=In_COD)</f>
        <v>0</v>
      </c>
      <c r="AI68" s="33" t="n">
        <f aca="false">In_Cash_Rate/Days_In_Year*(1-AI19)*(AI67*AI$5+(AI$4+1)*AI65-AI66)*(AI$4&lt;=In_COD)</f>
        <v>0</v>
      </c>
      <c r="AJ68" s="33" t="n">
        <f aca="false">In_Cash_Rate/Days_In_Year*(1-AJ19)*(AJ67*AJ$5+(AJ$4+1)*AJ65-AJ66)*(AJ$4&lt;=In_COD)</f>
        <v>0</v>
      </c>
      <c r="AK68" s="33" t="n">
        <f aca="false">In_Cash_Rate/Days_In_Year*(1-AK19)*(AK67*AK$5+(AK$4+1)*AK65-AK66)*(AK$4&lt;=In_COD)</f>
        <v>0</v>
      </c>
      <c r="AL68" s="33" t="n">
        <f aca="false">In_Cash_Rate/Days_In_Year*(1-AL19)*(AL67*AL$5+(AL$4+1)*AL65-AL66)*(AL$4&lt;=In_COD)</f>
        <v>0</v>
      </c>
      <c r="AM68" s="33" t="n">
        <f aca="false">In_Cash_Rate/Days_In_Year*(1-AM19)*(AM67*AM$5+(AM$4+1)*AM65-AM66)*(AM$4&lt;=In_COD)</f>
        <v>0</v>
      </c>
      <c r="AN68" s="33" t="n">
        <f aca="false">In_Cash_Rate/Days_In_Year*(1-AN19)*(AN67*AN$5+(AN$4+1)*AN65-AN66)*(AN$4&lt;=In_COD)</f>
        <v>0</v>
      </c>
      <c r="AO68" s="33" t="n">
        <f aca="false">In_Cash_Rate/Days_In_Year*(1-AO19)*(AO67*AO$5+(AO$4+1)*AO65-AO66)*(AO$4&lt;=In_COD)</f>
        <v>0</v>
      </c>
      <c r="AP68" s="33" t="n">
        <f aca="false">In_Cash_Rate/Days_In_Year*(1-AP19)*(AP67*AP$5+(AP$4+1)*AP65-AP66)*(AP$4&lt;=In_COD)</f>
        <v>0</v>
      </c>
      <c r="AQ68" s="33" t="n">
        <f aca="false">In_Cash_Rate/Days_In_Year*(1-AQ19)*(AQ67*AQ$5+(AQ$4+1)*AQ65-AQ66)*(AQ$4&lt;=In_COD)</f>
        <v>0</v>
      </c>
      <c r="AR68" s="33" t="n">
        <f aca="false">In_Cash_Rate/Days_In_Year*(1-AR19)*(AR67*AR$5+(AR$4+1)*AR65-AR66)*(AR$4&lt;=In_COD)</f>
        <v>0</v>
      </c>
      <c r="AS68" s="33" t="n">
        <f aca="false">In_Cash_Rate/Days_In_Year*(1-AS19)*(AS67*AS$5+(AS$4+1)*AS65-AS66)*(AS$4&lt;=In_COD)</f>
        <v>0</v>
      </c>
      <c r="AT68" s="33" t="n">
        <f aca="false">In_Cash_Rate/Days_In_Year*(1-AT19)*(AT67*AT$5+(AT$4+1)*AT65-AT66)*(AT$4&lt;=In_COD)</f>
        <v>0</v>
      </c>
      <c r="AU68" s="33" t="n">
        <f aca="false">In_Cash_Rate/Days_In_Year*(1-AU19)*(AU67*AU$5+(AU$4+1)*AU65-AU66)*(AU$4&lt;=In_COD)</f>
        <v>0</v>
      </c>
      <c r="AV68" s="33" t="n">
        <f aca="false">In_Cash_Rate/Days_In_Year*(1-AV19)*(AV67*AV$5+(AV$4+1)*AV65-AV66)*(AV$4&lt;=In_COD)</f>
        <v>0</v>
      </c>
      <c r="AW68" s="33" t="n">
        <f aca="false">In_Cash_Rate/Days_In_Year*(1-AW19)*(AW67*AW$5+(AW$4+1)*AW65-AW66)*(AW$4&lt;=In_COD)</f>
        <v>0</v>
      </c>
      <c r="AX68" s="33" t="n">
        <f aca="false">In_Cash_Rate/Days_In_Year*(1-AX19)*(AX67*AX$5+(AX$4+1)*AX65-AX66)*(AX$4&lt;=In_COD)</f>
        <v>0</v>
      </c>
      <c r="AY68" s="33" t="n">
        <f aca="false">In_Cash_Rate/Days_In_Year*(1-AY19)*(AY67*AY$5+(AY$4+1)*AY65-AY66)*(AY$4&lt;=In_COD)</f>
        <v>0</v>
      </c>
      <c r="AZ68" s="33" t="n">
        <f aca="false">In_Cash_Rate/Days_In_Year*(1-AZ19)*(AZ67*AZ$5+(AZ$4+1)*AZ65-AZ66)*(AZ$4&lt;=In_COD)</f>
        <v>0</v>
      </c>
      <c r="BA68" s="33" t="n">
        <f aca="false">In_Cash_Rate/Days_In_Year*(1-BA19)*(BA67*BA$5+(BA$4+1)*BA65-BA66)*(BA$4&lt;=In_COD)</f>
        <v>0</v>
      </c>
      <c r="BB68" s="33" t="n">
        <f aca="false">In_Cash_Rate/Days_In_Year*(1-BB19)*(BB67*BB$5+(BB$4+1)*BB65-BB66)*(BB$4&lt;=In_COD)</f>
        <v>0</v>
      </c>
      <c r="BC68" s="33" t="n">
        <f aca="false">In_Cash_Rate/Days_In_Year*(1-BC19)*(BC67*BC$5+(BC$4+1)*BC65-BC66)*(BC$4&lt;=In_COD)</f>
        <v>0</v>
      </c>
      <c r="BD68" s="33" t="n">
        <f aca="false">In_Cash_Rate/Days_In_Year*(1-BD19)*(BD67*BD$5+(BD$4+1)*BD65-BD66)*(BD$4&lt;=In_COD)</f>
        <v>0</v>
      </c>
      <c r="BE68" s="33" t="n">
        <f aca="false">In_Cash_Rate/Days_In_Year*(1-BE19)*(BE67*BE$5+(BE$4+1)*BE65-BE66)*(BE$4&lt;=In_COD)</f>
        <v>0</v>
      </c>
      <c r="BF68" s="33" t="n">
        <f aca="false">In_Cash_Rate/Days_In_Year*(1-BF19)*(BF67*BF$5+(BF$4+1)*BF65-BF66)*(BF$4&lt;=In_COD)</f>
        <v>0</v>
      </c>
      <c r="BG68" s="33" t="n">
        <f aca="false">In_Cash_Rate/Days_In_Year*(1-BG19)*(BG67*BG$5+(BG$4+1)*BG65-BG66)*(BG$4&lt;=In_COD)</f>
        <v>0</v>
      </c>
      <c r="BH68" s="33" t="n">
        <f aca="false">In_Cash_Rate/Days_In_Year*(1-BH19)*(BH67*BH$5+(BH$4+1)*BH65-BH66)*(BH$4&lt;=In_COD)</f>
        <v>0</v>
      </c>
      <c r="BI68" s="33" t="n">
        <f aca="false">In_Cash_Rate/Days_In_Year*(1-BI19)*(BI67*BI$5+(BI$4+1)*BI65-BI66)*(BI$4&lt;=In_COD)</f>
        <v>0</v>
      </c>
      <c r="BJ68" s="33" t="n">
        <f aca="false">In_Cash_Rate/Days_In_Year*(1-BJ19)*(BJ67*BJ$5+(BJ$4+1)*BJ65-BJ66)*(BJ$4&lt;=In_COD)</f>
        <v>0</v>
      </c>
      <c r="BK68" s="33" t="n">
        <f aca="false">In_Cash_Rate/Days_In_Year*(1-BK19)*(BK67*BK$5+(BK$4+1)*BK65-BK66)*(BK$4&lt;=In_COD)</f>
        <v>0</v>
      </c>
      <c r="BL68" s="33" t="n">
        <f aca="false">In_Cash_Rate/Days_In_Year*(1-BL19)*(BL67*BL$5+(BL$4+1)*BL65-BL66)*(BL$4&lt;=In_COD)</f>
        <v>0</v>
      </c>
      <c r="BM68" s="33" t="n">
        <f aca="false">In_Cash_Rate/Days_In_Year*(1-BM19)*(BM67*BM$5+(BM$4+1)*BM65-BM66)*(BM$4&lt;=In_COD)</f>
        <v>0</v>
      </c>
      <c r="BN68" s="33" t="n">
        <f aca="false">In_Cash_Rate/Days_In_Year*(1-BN19)*(BN67*BN$5+(BN$4+1)*BN65-BN66)*(BN$4&lt;=In_COD)</f>
        <v>0</v>
      </c>
      <c r="BO68" s="33" t="n">
        <f aca="false">In_Cash_Rate/Days_In_Year*(1-BO19)*(BO67*BO$5+(BO$4+1)*BO65-BO66)*(BO$4&lt;=In_COD)</f>
        <v>0</v>
      </c>
      <c r="BP68" s="33" t="n">
        <f aca="false">In_Cash_Rate/Days_In_Year*(1-BP19)*(BP67*BP$5+(BP$4+1)*BP65-BP66)*(BP$4&lt;=In_COD)</f>
        <v>0</v>
      </c>
      <c r="BQ68" s="33" t="n">
        <f aca="false">In_Cash_Rate/Days_In_Year*(1-BQ19)*(BQ67*BQ$5+(BQ$4+1)*BQ65-BQ66)*(BQ$4&lt;=In_COD)</f>
        <v>0</v>
      </c>
      <c r="BR68" s="33" t="n">
        <f aca="false">In_Cash_Rate/Days_In_Year*(1-BR19)*(BR67*BR$5+(BR$4+1)*BR65-BR66)*(BR$4&lt;=In_COD)</f>
        <v>0</v>
      </c>
      <c r="BS68" s="33" t="n">
        <f aca="false">In_Cash_Rate/Days_In_Year*(1-BS19)*(BS67*BS$5+(BS$4+1)*BS65-BS66)*(BS$4&lt;=In_COD)</f>
        <v>0</v>
      </c>
      <c r="BT68" s="33" t="n">
        <f aca="false">In_Cash_Rate/Days_In_Year*(1-BT19)*(BT67*BT$5+(BT$4+1)*BT65-BT66)*(BT$4&lt;=In_COD)</f>
        <v>0</v>
      </c>
      <c r="BU68" s="33" t="n">
        <f aca="false">In_Cash_Rate/Days_In_Year*(1-BU19)*(BU67*BU$5+(BU$4+1)*BU65-BU66)*(BU$4&lt;=In_COD)</f>
        <v>0</v>
      </c>
      <c r="BV68" s="33" t="n">
        <f aca="false">In_Cash_Rate/Days_In_Year*(1-BV19)*(BV67*BV$5+(BV$4+1)*BV65-BV66)*(BV$4&lt;=In_COD)</f>
        <v>0</v>
      </c>
      <c r="BW68" s="33" t="n">
        <f aca="false">In_Cash_Rate/Days_In_Year*(1-BW19)*(BW67*BW$5+(BW$4+1)*BW65-BW66)*(BW$4&lt;=In_COD)</f>
        <v>0</v>
      </c>
      <c r="BX68" s="33" t="n">
        <f aca="false">In_Cash_Rate/Days_In_Year*(1-BX19)*(BX67*BX$5+(BX$4+1)*BX65-BX66)*(BX$4&lt;=In_COD)</f>
        <v>0</v>
      </c>
      <c r="BY68" s="33" t="n">
        <f aca="false">In_Cash_Rate/Days_In_Year*(1-BY19)*(BY67*BY$5+(BY$4+1)*BY65-BY66)*(BY$4&lt;=In_COD)</f>
        <v>0</v>
      </c>
      <c r="BZ68" s="33" t="n">
        <f aca="false">In_Cash_Rate/Days_In_Year*(1-BZ19)*(BZ67*BZ$5+(BZ$4+1)*BZ65-BZ66)*(BZ$4&lt;=In_COD)</f>
        <v>0</v>
      </c>
      <c r="CA68" s="33" t="n">
        <f aca="false">In_Cash_Rate/Days_In_Year*(1-CA19)*(CA67*CA$5+(CA$4+1)*CA65-CA66)*(CA$4&lt;=In_COD)</f>
        <v>0</v>
      </c>
      <c r="CB68" s="33" t="n">
        <f aca="false">In_Cash_Rate/Days_In_Year*(1-CB19)*(CB67*CB$5+(CB$4+1)*CB65-CB66)*(CB$4&lt;=In_COD)</f>
        <v>0</v>
      </c>
      <c r="CC68" s="33" t="n">
        <f aca="false">In_Cash_Rate/Days_In_Year*(1-CC19)*(CC67*CC$5+(CC$4+1)*CC65-CC66)*(CC$4&lt;=In_COD)</f>
        <v>0</v>
      </c>
      <c r="CD68" s="33" t="n">
        <f aca="false">In_Cash_Rate/Days_In_Year*(1-CD19)*(CD67*CD$5+(CD$4+1)*CD65-CD66)*(CD$4&lt;=In_COD)</f>
        <v>0</v>
      </c>
      <c r="CE68" s="33" t="n">
        <f aca="false">In_Cash_Rate/Days_In_Year*(1-CE19)*(CE67*CE$5+(CE$4+1)*CE65-CE66)*(CE$4&lt;=In_COD)</f>
        <v>0</v>
      </c>
      <c r="CF68" s="33" t="n">
        <f aca="false">In_Cash_Rate/Days_In_Year*(1-CF19)*(CF67*CF$5+(CF$4+1)*CF65-CF66)*(CF$4&lt;=In_COD)</f>
        <v>0</v>
      </c>
      <c r="CG68" s="33" t="n">
        <f aca="false">In_Cash_Rate/Days_In_Year*(1-CG19)*(CG67*CG$5+(CG$4+1)*CG65-CG66)*(CG$4&lt;=In_COD)</f>
        <v>0</v>
      </c>
      <c r="CH68" s="33" t="n">
        <f aca="false">In_Cash_Rate/Days_In_Year*(1-CH19)*(CH67*CH$5+(CH$4+1)*CH65-CH66)*(CH$4&lt;=In_COD)</f>
        <v>0</v>
      </c>
      <c r="CI68" s="33" t="n">
        <f aca="false">In_Cash_Rate/Days_In_Year*(1-CI19)*(CI67*CI$5+(CI$4+1)*CI65-CI66)*(CI$4&lt;=In_COD)</f>
        <v>0</v>
      </c>
      <c r="CJ68" s="33" t="n">
        <f aca="false">In_Cash_Rate/Days_In_Year*(1-CJ19)*(CJ67*CJ$5+(CJ$4+1)*CJ65-CJ66)*(CJ$4&lt;=In_COD)</f>
        <v>0</v>
      </c>
      <c r="CK68" s="33" t="n">
        <f aca="false">In_Cash_Rate/Days_In_Year*(1-CK19)*(CK67*CK$5+(CK$4+1)*CK65-CK66)*(CK$4&lt;=In_COD)</f>
        <v>0</v>
      </c>
      <c r="CL68" s="33" t="n">
        <f aca="false">In_Cash_Rate/Days_In_Year*(1-CL19)*(CL67*CL$5+(CL$4+1)*CL65-CL66)*(CL$4&lt;=In_COD)</f>
        <v>0</v>
      </c>
      <c r="CM68" s="33" t="n">
        <f aca="false">In_Cash_Rate/Days_In_Year*(1-CM19)*(CM67*CM$5+(CM$4+1)*CM65-CM66)*(CM$4&lt;=In_COD)</f>
        <v>0</v>
      </c>
      <c r="CN68" s="33" t="n">
        <f aca="false">In_Cash_Rate/Days_In_Year*(1-CN19)*(CN67*CN$5+(CN$4+1)*CN65-CN66)*(CN$4&lt;=In_COD)</f>
        <v>0</v>
      </c>
      <c r="CO68" s="33" t="n">
        <f aca="false">In_Cash_Rate/Days_In_Year*(1-CO19)*(CO67*CO$5+(CO$4+1)*CO65-CO66)*(CO$4&lt;=In_COD)</f>
        <v>0</v>
      </c>
      <c r="CP68" s="33" t="n">
        <f aca="false">In_Cash_Rate/Days_In_Year*(1-CP19)*(CP67*CP$5+(CP$4+1)*CP65-CP66)*(CP$4&lt;=In_COD)</f>
        <v>0</v>
      </c>
      <c r="CQ68" s="33" t="n">
        <f aca="false">In_Cash_Rate/Days_In_Year*(1-CQ19)*(CQ67*CQ$5+(CQ$4+1)*CQ65-CQ66)*(CQ$4&lt;=In_COD)</f>
        <v>0</v>
      </c>
      <c r="CR68" s="33" t="n">
        <f aca="false">In_Cash_Rate/Days_In_Year*(1-CR19)*(CR67*CR$5+(CR$4+1)*CR65-CR66)*(CR$4&lt;=In_COD)</f>
        <v>0</v>
      </c>
      <c r="CS68" s="33" t="n">
        <f aca="false">In_Cash_Rate/Days_In_Year*(1-CS19)*(CS67*CS$5+(CS$4+1)*CS65-CS66)*(CS$4&lt;=In_COD)</f>
        <v>0</v>
      </c>
      <c r="CT68" s="33" t="n">
        <f aca="false">In_Cash_Rate/Days_In_Year*(1-CT19)*(CT67*CT$5+(CT$4+1)*CT65-CT66)*(CT$4&lt;=In_COD)</f>
        <v>0</v>
      </c>
      <c r="CU68" s="33" t="n">
        <f aca="false">In_Cash_Rate/Days_In_Year*(1-CU19)*(CU67*CU$5+(CU$4+1)*CU65-CU66)*(CU$4&lt;=In_COD)</f>
        <v>0</v>
      </c>
      <c r="CV68" s="33" t="n">
        <f aca="false">In_Cash_Rate/Days_In_Year*(1-CV19)*(CV67*CV$5+(CV$4+1)*CV65-CV66)*(CV$4&lt;=In_COD)</f>
        <v>0</v>
      </c>
      <c r="CW68" s="33" t="n">
        <f aca="false">In_Cash_Rate/Days_In_Year*(1-CW19)*(CW67*CW$5+(CW$4+1)*CW65-CW66)*(CW$4&lt;=In_COD)</f>
        <v>0</v>
      </c>
      <c r="CX68" s="33" t="n">
        <f aca="false">In_Cash_Rate/Days_In_Year*(1-CX19)*(CX67*CX$5+(CX$4+1)*CX65-CX66)*(CX$4&lt;=In_COD)</f>
        <v>0</v>
      </c>
      <c r="CY68" s="33" t="n">
        <f aca="false">In_Cash_Rate/Days_In_Year*(1-CY19)*(CY67*CY$5+(CY$4+1)*CY65-CY66)*(CY$4&lt;=In_COD)</f>
        <v>0</v>
      </c>
      <c r="CZ68" s="33" t="n">
        <f aca="false">In_Cash_Rate/Days_In_Year*(1-CZ19)*(CZ67*CZ$5+(CZ$4+1)*CZ65-CZ66)*(CZ$4&lt;=In_COD)</f>
        <v>0</v>
      </c>
      <c r="DA68" s="33" t="n">
        <f aca="false">In_Cash_Rate/Days_In_Year*(1-DA19)*(DA67*DA$5+(DA$4+1)*DA65-DA66)*(DA$4&lt;=In_COD)</f>
        <v>0</v>
      </c>
      <c r="DB68" s="33" t="n">
        <f aca="false">In_Cash_Rate/Days_In_Year*(1-DB19)*(DB67*DB$5+(DB$4+1)*DB65-DB66)*(DB$4&lt;=In_COD)</f>
        <v>0</v>
      </c>
      <c r="DC68" s="33" t="n">
        <f aca="false">In_Cash_Rate/Days_In_Year*(1-DC19)*(DC67*DC$5+(DC$4+1)*DC65-DC66)*(DC$4&lt;=In_COD)</f>
        <v>0</v>
      </c>
      <c r="DD68" s="33" t="n">
        <f aca="false">In_Cash_Rate/Days_In_Year*(1-DD19)*(DD67*DD$5+(DD$4+1)*DD65-DD66)*(DD$4&lt;=In_COD)</f>
        <v>0</v>
      </c>
      <c r="DE68" s="33" t="n">
        <f aca="false">In_Cash_Rate/Days_In_Year*(1-DE19)*(DE67*DE$5+(DE$4+1)*DE65-DE66)*(DE$4&lt;=In_COD)</f>
        <v>0</v>
      </c>
      <c r="DF68" s="33" t="n">
        <f aca="false">In_Cash_Rate/Days_In_Year*(1-DF19)*(DF67*DF$5+(DF$4+1)*DF65-DF66)*(DF$4&lt;=In_COD)</f>
        <v>0</v>
      </c>
      <c r="DG68" s="33" t="n">
        <f aca="false">In_Cash_Rate/Days_In_Year*(1-DG19)*(DG67*DG$5+(DG$4+1)*DG65-DG66)*(DG$4&lt;=In_COD)</f>
        <v>0</v>
      </c>
      <c r="DH68" s="33" t="n">
        <f aca="false">In_Cash_Rate/Days_In_Year*(1-DH19)*(DH67*DH$5+(DH$4+1)*DH65-DH66)*(DH$4&lt;=In_COD)</f>
        <v>0</v>
      </c>
      <c r="DI68" s="33" t="n">
        <f aca="false">In_Cash_Rate/Days_In_Year*(1-DI19)*(DI67*DI$5+(DI$4+1)*DI65-DI66)*(DI$4&lt;=In_COD)</f>
        <v>0</v>
      </c>
      <c r="DJ68" s="33" t="n">
        <f aca="false">In_Cash_Rate/Days_In_Year*(1-DJ19)*(DJ67*DJ$5+(DJ$4+1)*DJ65-DJ66)*(DJ$4&lt;=In_COD)</f>
        <v>0</v>
      </c>
      <c r="DK68" s="33" t="n">
        <f aca="false">In_Cash_Rate/Days_In_Year*(1-DK19)*(DK67*DK$5+(DK$4+1)*DK65-DK66)*(DK$4&lt;=In_COD)</f>
        <v>0</v>
      </c>
      <c r="DL68" s="33" t="n">
        <f aca="false">In_Cash_Rate/Days_In_Year*(1-DL19)*(DL67*DL$5+(DL$4+1)*DL65-DL66)*(DL$4&lt;=In_COD)</f>
        <v>0</v>
      </c>
      <c r="DM68" s="33" t="n">
        <f aca="false">In_Cash_Rate/Days_In_Year*(1-DM19)*(DM67*DM$5+(DM$4+1)*DM65-DM66)*(DM$4&lt;=In_COD)</f>
        <v>0</v>
      </c>
      <c r="DN68" s="33" t="n">
        <f aca="false">In_Cash_Rate/Days_In_Year*(1-DN19)*(DN67*DN$5+(DN$4+1)*DN65-DN66)*(DN$4&lt;=In_COD)</f>
        <v>0</v>
      </c>
      <c r="DO68" s="33" t="n">
        <f aca="false">In_Cash_Rate/Days_In_Year*(1-DO19)*(DO67*DO$5+(DO$4+1)*DO65-DO66)*(DO$4&lt;=In_COD)</f>
        <v>0</v>
      </c>
      <c r="DP68" s="33" t="n">
        <f aca="false">In_Cash_Rate/Days_In_Year*(1-DP19)*(DP67*DP$5+(DP$4+1)*DP65-DP66)*(DP$4&lt;=In_COD)</f>
        <v>0</v>
      </c>
      <c r="DQ68" s="33" t="n">
        <f aca="false">In_Cash_Rate/Days_In_Year*(1-DQ19)*(DQ67*DQ$5+(DQ$4+1)*DQ65-DQ66)*(DQ$4&lt;=In_COD)</f>
        <v>0</v>
      </c>
      <c r="DR68" s="33" t="n">
        <f aca="false">In_Cash_Rate/Days_In_Year*(1-DR19)*(DR67*DR$5+(DR$4+1)*DR65-DR66)*(DR$4&lt;=In_COD)</f>
        <v>0</v>
      </c>
      <c r="DS68" s="33" t="n">
        <f aca="false">In_Cash_Rate/Days_In_Year*(1-DS19)*(DS67*DS$5+(DS$4+1)*DS65-DS66)*(DS$4&lt;=In_COD)</f>
        <v>0</v>
      </c>
      <c r="DT68" s="33" t="n">
        <f aca="false">In_Cash_Rate/Days_In_Year*(1-DT19)*(DT67*DT$5+(DT$4+1)*DT65-DT66)*(DT$4&lt;=In_COD)</f>
        <v>0</v>
      </c>
      <c r="DU68" s="33" t="n">
        <f aca="false">In_Cash_Rate/Days_In_Year*(1-DU19)*(DU67*DU$5+(DU$4+1)*DU65-DU66)*(DU$4&lt;=In_COD)</f>
        <v>0</v>
      </c>
      <c r="DV68" s="33" t="n">
        <f aca="false">In_Cash_Rate/Days_In_Year*(1-DV19)*(DV67*DV$5+(DV$4+1)*DV65-DV66)*(DV$4&lt;=In_COD)</f>
        <v>0</v>
      </c>
      <c r="DW68" s="33" t="n">
        <f aca="false">In_Cash_Rate/Days_In_Year*(1-DW19)*(DW67*DW$5+(DW$4+1)*DW65-DW66)*(DW$4&lt;=In_COD)</f>
        <v>0</v>
      </c>
      <c r="DX68" s="33" t="n">
        <f aca="false">In_Cash_Rate/Days_In_Year*(1-DX19)*(DX67*DX$5+(DX$4+1)*DX65-DX66)*(DX$4&lt;=In_COD)</f>
        <v>0</v>
      </c>
      <c r="DY68" s="33" t="n">
        <f aca="false">In_Cash_Rate/Days_In_Year*(1-DY19)*(DY67*DY$5+(DY$4+1)*DY65-DY66)*(DY$4&lt;=In_COD)</f>
        <v>0</v>
      </c>
      <c r="DZ68" s="33" t="n">
        <f aca="false">In_Cash_Rate/Days_In_Year*(1-DZ19)*(DZ67*DZ$5+(DZ$4+1)*DZ65-DZ66)*(DZ$4&lt;=In_COD)</f>
        <v>0</v>
      </c>
      <c r="EA68" s="33" t="n">
        <f aca="false">In_Cash_Rate/Days_In_Year*(1-EA19)*(EA67*EA$5+(EA$4+1)*EA65-EA66)*(EA$4&lt;=In_COD)</f>
        <v>0</v>
      </c>
      <c r="EB68" s="33" t="n">
        <f aca="false">In_Cash_Rate/Days_In_Year*(1-EB19)*(EB67*EB$5+(EB$4+1)*EB65-EB66)*(EB$4&lt;=In_COD)</f>
        <v>0</v>
      </c>
      <c r="EC68" s="33" t="n">
        <f aca="false">In_Cash_Rate/Days_In_Year*(1-EC19)*(EC67*EC$5+(EC$4+1)*EC65-EC66)*(EC$4&lt;=In_COD)</f>
        <v>0</v>
      </c>
      <c r="ED68" s="33" t="n">
        <f aca="false">In_Cash_Rate/Days_In_Year*(1-ED19)*(ED67*ED$5+(ED$4+1)*ED65-ED66)*(ED$4&lt;=In_COD)</f>
        <v>0</v>
      </c>
      <c r="EE68" s="33" t="n">
        <f aca="false">In_Cash_Rate/Days_In_Year*(1-EE19)*(EE67*EE$5+(EE$4+1)*EE65-EE66)*(EE$4&lt;=In_COD)</f>
        <v>0</v>
      </c>
      <c r="EF68" s="33" t="n">
        <f aca="false">In_Cash_Rate/Days_In_Year*(1-EF19)*(EF67*EF$5+(EF$4+1)*EF65-EF66)*(EF$4&lt;=In_COD)</f>
        <v>0</v>
      </c>
      <c r="EG68" s="33" t="n">
        <f aca="false">In_Cash_Rate/Days_In_Year*(1-EG19)*(EG67*EG$5+(EG$4+1)*EG65-EG66)*(EG$4&lt;=In_COD)</f>
        <v>0</v>
      </c>
      <c r="EH68" s="33" t="n">
        <f aca="false">In_Cash_Rate/Days_In_Year*(1-EH19)*(EH67*EH$5+(EH$4+1)*EH65-EH66)*(EH$4&lt;=In_COD)</f>
        <v>0</v>
      </c>
      <c r="EI68" s="33" t="n">
        <f aca="false">In_Cash_Rate/Days_In_Year*(1-EI19)*(EI67*EI$5+(EI$4+1)*EI65-EI66)*(EI$4&lt;=In_COD)</f>
        <v>0</v>
      </c>
      <c r="EJ68" s="33" t="n">
        <f aca="false">In_Cash_Rate/Days_In_Year*(1-EJ19)*(EJ67*EJ$5+(EJ$4+1)*EJ65-EJ66)*(EJ$4&lt;=In_COD)</f>
        <v>0</v>
      </c>
      <c r="EK68" s="33" t="n">
        <f aca="false">In_Cash_Rate/Days_In_Year*(1-EK19)*(EK67*EK$5+(EK$4+1)*EK65-EK66)*(EK$4&lt;=In_COD)</f>
        <v>0</v>
      </c>
      <c r="EL68" s="33" t="n">
        <f aca="false">In_Cash_Rate/Days_In_Year*(1-EL19)*(EL67*EL$5+(EL$4+1)*EL65-EL66)*(EL$4&lt;=In_COD)</f>
        <v>0</v>
      </c>
      <c r="EM68" s="33" t="n">
        <f aca="false">In_Cash_Rate/Days_In_Year*(1-EM19)*(EM67*EM$5+(EM$4+1)*EM65-EM66)*(EM$4&lt;=In_COD)</f>
        <v>0</v>
      </c>
      <c r="EN68" s="33" t="n">
        <f aca="false">In_Cash_Rate/Days_In_Year*(1-EN19)*(EN67*EN$5+(EN$4+1)*EN65-EN66)*(EN$4&lt;=In_COD)</f>
        <v>0</v>
      </c>
      <c r="EO68" s="33" t="n">
        <f aca="false">In_Cash_Rate/Days_In_Year*(1-EO19)*(EO67*EO$5+(EO$4+1)*EO65-EO66)*(EO$4&lt;=In_COD)</f>
        <v>0</v>
      </c>
      <c r="EP68" s="33" t="n">
        <f aca="false">In_Cash_Rate/Days_In_Year*(1-EP19)*(EP67*EP$5+(EP$4+1)*EP65-EP66)*(EP$4&lt;=In_COD)</f>
        <v>0</v>
      </c>
      <c r="EQ68" s="33" t="n">
        <f aca="false">In_Cash_Rate/Days_In_Year*(1-EQ19)*(EQ67*EQ$5+(EQ$4+1)*EQ65-EQ66)*(EQ$4&lt;=In_COD)</f>
        <v>0</v>
      </c>
      <c r="ER68" s="33" t="n">
        <f aca="false">In_Cash_Rate/Days_In_Year*(1-ER19)*(ER67*ER$5+(ER$4+1)*ER65-ER66)*(ER$4&lt;=In_COD)</f>
        <v>0</v>
      </c>
      <c r="ES68" s="33" t="n">
        <f aca="false">In_Cash_Rate/Days_In_Year*(1-ES19)*(ES67*ES$5+(ES$4+1)*ES65-ES66)*(ES$4&lt;=In_COD)</f>
        <v>0</v>
      </c>
      <c r="ET68" s="33" t="n">
        <f aca="false">In_Cash_Rate/Days_In_Year*(1-ET19)*(ET67*ET$5+(ET$4+1)*ET65-ET66)*(ET$4&lt;=In_COD)</f>
        <v>0</v>
      </c>
    </row>
    <row r="69" customFormat="false" ht="15" hidden="false" customHeight="false" outlineLevel="0" collapsed="false">
      <c r="C69" s="0" t="s">
        <v>528</v>
      </c>
      <c r="D69" s="11" t="s">
        <v>247</v>
      </c>
      <c r="I69" s="33" t="n">
        <f aca="false">SUM(J69:ET69)</f>
        <v>6633.28140368995</v>
      </c>
      <c r="J69" s="33" t="n">
        <f aca="false">J20*SUMIF($J$7:J$7,J$7,$J68:J68)</f>
        <v>0</v>
      </c>
      <c r="K69" s="33" t="n">
        <f aca="false">K20*SUMIF($J$7:K$7,K$7,$J68:K68)</f>
        <v>0.980896978796345</v>
      </c>
      <c r="L69" s="33" t="n">
        <f aca="false">L20*SUMIF($J$7:L$7,L$7,$J68:L68)</f>
        <v>0</v>
      </c>
      <c r="M69" s="33" t="n">
        <f aca="false">M20*SUMIF($J$7:M$7,M$7,$J68:M68)</f>
        <v>0</v>
      </c>
      <c r="N69" s="33" t="n">
        <f aca="false">N20*SUMIF($J$7:N$7,N$7,$J68:N68)</f>
        <v>0</v>
      </c>
      <c r="O69" s="33" t="n">
        <f aca="false">O20*SUMIF($J$7:O$7,O$7,$J68:O68)</f>
        <v>149.049214486771</v>
      </c>
      <c r="P69" s="33" t="n">
        <f aca="false">P20*SUMIF($J$7:P$7,P$7,$J68:P68)</f>
        <v>0</v>
      </c>
      <c r="Q69" s="33" t="n">
        <f aca="false">Q20*SUMIF($J$7:Q$7,Q$7,$J68:Q68)</f>
        <v>0</v>
      </c>
      <c r="R69" s="33" t="n">
        <f aca="false">R20*SUMIF($J$7:R$7,R$7,$J68:R68)</f>
        <v>0</v>
      </c>
      <c r="S69" s="33" t="n">
        <f aca="false">S20*SUMIF($J$7:S$7,S$7,$J68:S68)</f>
        <v>167.392476718951</v>
      </c>
      <c r="T69" s="33" t="n">
        <f aca="false">T20*SUMIF($J$7:T$7,T$7,$J68:T68)</f>
        <v>0</v>
      </c>
      <c r="U69" s="33" t="n">
        <f aca="false">U20*SUMIF($J$7:U$7,U$7,$J68:U68)</f>
        <v>0</v>
      </c>
      <c r="V69" s="33" t="n">
        <f aca="false">V20*SUMIF($J$7:V$7,V$7,$J68:V68)</f>
        <v>0</v>
      </c>
      <c r="W69" s="33" t="n">
        <f aca="false">W20*SUMIF($J$7:W$7,W$7,$J68:W68)</f>
        <v>1247.11405599641</v>
      </c>
      <c r="X69" s="33" t="n">
        <f aca="false">X20*SUMIF($J$7:X$7,X$7,$J68:X68)</f>
        <v>0</v>
      </c>
      <c r="Y69" s="33" t="n">
        <f aca="false">Y20*SUMIF($J$7:Y$7,Y$7,$J68:Y68)</f>
        <v>0</v>
      </c>
      <c r="Z69" s="33" t="n">
        <f aca="false">Z20*SUMIF($J$7:Z$7,Z$7,$J68:Z68)</f>
        <v>0</v>
      </c>
      <c r="AA69" s="33" t="n">
        <f aca="false">AA20*SUMIF($J$7:AA$7,AA$7,$J68:AA68)</f>
        <v>2758.20239313733</v>
      </c>
      <c r="AB69" s="33" t="n">
        <f aca="false">AB20*SUMIF($J$7:AB$7,AB$7,$J68:AB68)</f>
        <v>0</v>
      </c>
      <c r="AC69" s="33" t="n">
        <f aca="false">AC20*SUMIF($J$7:AC$7,AC$7,$J68:AC68)</f>
        <v>0</v>
      </c>
      <c r="AD69" s="33" t="n">
        <f aca="false">AD20*SUMIF($J$7:AD$7,AD$7,$J68:AD68)</f>
        <v>0</v>
      </c>
      <c r="AE69" s="33" t="n">
        <f aca="false">AE20*SUMIF($J$7:AE$7,AE$7,$J68:AE68)</f>
        <v>2310.5423663717</v>
      </c>
      <c r="AF69" s="33" t="n">
        <f aca="false">AF20*SUMIF($J$7:AF$7,AF$7,$J68:AF68)</f>
        <v>0</v>
      </c>
      <c r="AG69" s="33" t="n">
        <f aca="false">AG20*SUMIF($J$7:AG$7,AG$7,$J68:AG68)</f>
        <v>0</v>
      </c>
      <c r="AH69" s="33" t="n">
        <f aca="false">AH20*SUMIF($J$7:AH$7,AH$7,$J68:AH68)</f>
        <v>0</v>
      </c>
      <c r="AI69" s="33" t="n">
        <f aca="false">AI20*SUMIF($J$7:AI$7,AI$7,$J68:AI68)</f>
        <v>0</v>
      </c>
      <c r="AJ69" s="33" t="n">
        <f aca="false">AJ20*SUMIF($J$7:AJ$7,AJ$7,$J68:AJ68)</f>
        <v>0</v>
      </c>
      <c r="AK69" s="33" t="n">
        <f aca="false">AK20*SUMIF($J$7:AK$7,AK$7,$J68:AK68)</f>
        <v>0</v>
      </c>
      <c r="AL69" s="33" t="n">
        <f aca="false">AL20*SUMIF($J$7:AL$7,AL$7,$J68:AL68)</f>
        <v>0</v>
      </c>
      <c r="AM69" s="33" t="n">
        <f aca="false">AM20*SUMIF($J$7:AM$7,AM$7,$J68:AM68)</f>
        <v>0</v>
      </c>
      <c r="AN69" s="33" t="n">
        <f aca="false">AN20*SUMIF($J$7:AN$7,AN$7,$J68:AN68)</f>
        <v>0</v>
      </c>
      <c r="AO69" s="33" t="n">
        <f aca="false">AO20*SUMIF($J$7:AO$7,AO$7,$J68:AO68)</f>
        <v>0</v>
      </c>
      <c r="AP69" s="33" t="n">
        <f aca="false">AP20*SUMIF($J$7:AP$7,AP$7,$J68:AP68)</f>
        <v>0</v>
      </c>
      <c r="AQ69" s="33" t="n">
        <f aca="false">AQ20*SUMIF($J$7:AQ$7,AQ$7,$J68:AQ68)</f>
        <v>0</v>
      </c>
      <c r="AR69" s="33" t="n">
        <f aca="false">AR20*SUMIF($J$7:AR$7,AR$7,$J68:AR68)</f>
        <v>0</v>
      </c>
      <c r="AS69" s="33" t="n">
        <f aca="false">AS20*SUMIF($J$7:AS$7,AS$7,$J68:AS68)</f>
        <v>0</v>
      </c>
      <c r="AT69" s="33" t="n">
        <f aca="false">AT20*SUMIF($J$7:AT$7,AT$7,$J68:AT68)</f>
        <v>0</v>
      </c>
      <c r="AU69" s="33" t="n">
        <f aca="false">AU20*SUMIF($J$7:AU$7,AU$7,$J68:AU68)</f>
        <v>0</v>
      </c>
      <c r="AV69" s="33" t="n">
        <f aca="false">AV20*SUMIF($J$7:AV$7,AV$7,$J68:AV68)</f>
        <v>0</v>
      </c>
      <c r="AW69" s="33" t="n">
        <f aca="false">AW20*SUMIF($J$7:AW$7,AW$7,$J68:AW68)</f>
        <v>0</v>
      </c>
      <c r="AX69" s="33" t="n">
        <f aca="false">AX20*SUMIF($J$7:AX$7,AX$7,$J68:AX68)</f>
        <v>0</v>
      </c>
      <c r="AY69" s="33" t="n">
        <f aca="false">AY20*SUMIF($J$7:AY$7,AY$7,$J68:AY68)</f>
        <v>0</v>
      </c>
      <c r="AZ69" s="33" t="n">
        <f aca="false">AZ20*SUMIF($J$7:AZ$7,AZ$7,$J68:AZ68)</f>
        <v>0</v>
      </c>
      <c r="BA69" s="33" t="n">
        <f aca="false">BA20*SUMIF($J$7:BA$7,BA$7,$J68:BA68)</f>
        <v>0</v>
      </c>
      <c r="BB69" s="33" t="n">
        <f aca="false">BB20*SUMIF($J$7:BB$7,BB$7,$J68:BB68)</f>
        <v>0</v>
      </c>
      <c r="BC69" s="33" t="n">
        <f aca="false">BC20*SUMIF($J$7:BC$7,BC$7,$J68:BC68)</f>
        <v>0</v>
      </c>
      <c r="BD69" s="33" t="n">
        <f aca="false">BD20*SUMIF($J$7:BD$7,BD$7,$J68:BD68)</f>
        <v>0</v>
      </c>
      <c r="BE69" s="33" t="n">
        <f aca="false">BE20*SUMIF($J$7:BE$7,BE$7,$J68:BE68)</f>
        <v>0</v>
      </c>
      <c r="BF69" s="33" t="n">
        <f aca="false">BF20*SUMIF($J$7:BF$7,BF$7,$J68:BF68)</f>
        <v>0</v>
      </c>
      <c r="BG69" s="33" t="n">
        <f aca="false">BG20*SUMIF($J$7:BG$7,BG$7,$J68:BG68)</f>
        <v>0</v>
      </c>
      <c r="BH69" s="33" t="n">
        <f aca="false">BH20*SUMIF($J$7:BH$7,BH$7,$J68:BH68)</f>
        <v>0</v>
      </c>
      <c r="BI69" s="33" t="n">
        <f aca="false">BI20*SUMIF($J$7:BI$7,BI$7,$J68:BI68)</f>
        <v>0</v>
      </c>
      <c r="BJ69" s="33" t="n">
        <f aca="false">BJ20*SUMIF($J$7:BJ$7,BJ$7,$J68:BJ68)</f>
        <v>0</v>
      </c>
      <c r="BK69" s="33" t="n">
        <f aca="false">BK20*SUMIF($J$7:BK$7,BK$7,$J68:BK68)</f>
        <v>0</v>
      </c>
      <c r="BL69" s="33" t="n">
        <f aca="false">BL20*SUMIF($J$7:BL$7,BL$7,$J68:BL68)</f>
        <v>0</v>
      </c>
      <c r="BM69" s="33" t="n">
        <f aca="false">BM20*SUMIF($J$7:BM$7,BM$7,$J68:BM68)</f>
        <v>0</v>
      </c>
      <c r="BN69" s="33" t="n">
        <f aca="false">BN20*SUMIF($J$7:BN$7,BN$7,$J68:BN68)</f>
        <v>0</v>
      </c>
      <c r="BO69" s="33" t="n">
        <f aca="false">BO20*SUMIF($J$7:BO$7,BO$7,$J68:BO68)</f>
        <v>0</v>
      </c>
      <c r="BP69" s="33" t="n">
        <f aca="false">BP20*SUMIF($J$7:BP$7,BP$7,$J68:BP68)</f>
        <v>0</v>
      </c>
      <c r="BQ69" s="33" t="n">
        <f aca="false">BQ20*SUMIF($J$7:BQ$7,BQ$7,$J68:BQ68)</f>
        <v>0</v>
      </c>
      <c r="BR69" s="33" t="n">
        <f aca="false">BR20*SUMIF($J$7:BR$7,BR$7,$J68:BR68)</f>
        <v>0</v>
      </c>
      <c r="BS69" s="33" t="n">
        <f aca="false">BS20*SUMIF($J$7:BS$7,BS$7,$J68:BS68)</f>
        <v>0</v>
      </c>
      <c r="BT69" s="33" t="n">
        <f aca="false">BT20*SUMIF($J$7:BT$7,BT$7,$J68:BT68)</f>
        <v>0</v>
      </c>
      <c r="BU69" s="33" t="n">
        <f aca="false">BU20*SUMIF($J$7:BU$7,BU$7,$J68:BU68)</f>
        <v>0</v>
      </c>
      <c r="BV69" s="33" t="n">
        <f aca="false">BV20*SUMIF($J$7:BV$7,BV$7,$J68:BV68)</f>
        <v>0</v>
      </c>
      <c r="BW69" s="33" t="n">
        <f aca="false">BW20*SUMIF($J$7:BW$7,BW$7,$J68:BW68)</f>
        <v>0</v>
      </c>
      <c r="BX69" s="33" t="n">
        <f aca="false">BX20*SUMIF($J$7:BX$7,BX$7,$J68:BX68)</f>
        <v>0</v>
      </c>
      <c r="BY69" s="33" t="n">
        <f aca="false">BY20*SUMIF($J$7:BY$7,BY$7,$J68:BY68)</f>
        <v>0</v>
      </c>
      <c r="BZ69" s="33" t="n">
        <f aca="false">BZ20*SUMIF($J$7:BZ$7,BZ$7,$J68:BZ68)</f>
        <v>0</v>
      </c>
      <c r="CA69" s="33" t="n">
        <f aca="false">CA20*SUMIF($J$7:CA$7,CA$7,$J68:CA68)</f>
        <v>0</v>
      </c>
      <c r="CB69" s="33" t="n">
        <f aca="false">CB20*SUMIF($J$7:CB$7,CB$7,$J68:CB68)</f>
        <v>0</v>
      </c>
      <c r="CC69" s="33" t="n">
        <f aca="false">CC20*SUMIF($J$7:CC$7,CC$7,$J68:CC68)</f>
        <v>0</v>
      </c>
      <c r="CD69" s="33" t="n">
        <f aca="false">CD20*SUMIF($J$7:CD$7,CD$7,$J68:CD68)</f>
        <v>0</v>
      </c>
      <c r="CE69" s="33" t="n">
        <f aca="false">CE20*SUMIF($J$7:CE$7,CE$7,$J68:CE68)</f>
        <v>0</v>
      </c>
      <c r="CF69" s="33" t="n">
        <f aca="false">CF20*SUMIF($J$7:CF$7,CF$7,$J68:CF68)</f>
        <v>0</v>
      </c>
      <c r="CG69" s="33" t="n">
        <f aca="false">CG20*SUMIF($J$7:CG$7,CG$7,$J68:CG68)</f>
        <v>0</v>
      </c>
      <c r="CH69" s="33" t="n">
        <f aca="false">CH20*SUMIF($J$7:CH$7,CH$7,$J68:CH68)</f>
        <v>0</v>
      </c>
      <c r="CI69" s="33" t="n">
        <f aca="false">CI20*SUMIF($J$7:CI$7,CI$7,$J68:CI68)</f>
        <v>0</v>
      </c>
      <c r="CJ69" s="33" t="n">
        <f aca="false">CJ20*SUMIF($J$7:CJ$7,CJ$7,$J68:CJ68)</f>
        <v>0</v>
      </c>
      <c r="CK69" s="33" t="n">
        <f aca="false">CK20*SUMIF($J$7:CK$7,CK$7,$J68:CK68)</f>
        <v>0</v>
      </c>
      <c r="CL69" s="33" t="n">
        <f aca="false">CL20*SUMIF($J$7:CL$7,CL$7,$J68:CL68)</f>
        <v>0</v>
      </c>
      <c r="CM69" s="33" t="n">
        <f aca="false">CM20*SUMIF($J$7:CM$7,CM$7,$J68:CM68)</f>
        <v>0</v>
      </c>
      <c r="CN69" s="33" t="n">
        <f aca="false">CN20*SUMIF($J$7:CN$7,CN$7,$J68:CN68)</f>
        <v>0</v>
      </c>
      <c r="CO69" s="33" t="n">
        <f aca="false">CO20*SUMIF($J$7:CO$7,CO$7,$J68:CO68)</f>
        <v>0</v>
      </c>
      <c r="CP69" s="33" t="n">
        <f aca="false">CP20*SUMIF($J$7:CP$7,CP$7,$J68:CP68)</f>
        <v>0</v>
      </c>
      <c r="CQ69" s="33" t="n">
        <f aca="false">CQ20*SUMIF($J$7:CQ$7,CQ$7,$J68:CQ68)</f>
        <v>0</v>
      </c>
      <c r="CR69" s="33" t="n">
        <f aca="false">CR20*SUMIF($J$7:CR$7,CR$7,$J68:CR68)</f>
        <v>0</v>
      </c>
      <c r="CS69" s="33" t="n">
        <f aca="false">CS20*SUMIF($J$7:CS$7,CS$7,$J68:CS68)</f>
        <v>0</v>
      </c>
      <c r="CT69" s="33" t="n">
        <f aca="false">CT20*SUMIF($J$7:CT$7,CT$7,$J68:CT68)</f>
        <v>0</v>
      </c>
      <c r="CU69" s="33" t="n">
        <f aca="false">CU20*SUMIF($J$7:CU$7,CU$7,$J68:CU68)</f>
        <v>0</v>
      </c>
      <c r="CV69" s="33" t="n">
        <f aca="false">CV20*SUMIF($J$7:CV$7,CV$7,$J68:CV68)</f>
        <v>0</v>
      </c>
      <c r="CW69" s="33" t="n">
        <f aca="false">CW20*SUMIF($J$7:CW$7,CW$7,$J68:CW68)</f>
        <v>0</v>
      </c>
      <c r="CX69" s="33" t="n">
        <f aca="false">CX20*SUMIF($J$7:CX$7,CX$7,$J68:CX68)</f>
        <v>0</v>
      </c>
      <c r="CY69" s="33" t="n">
        <f aca="false">CY20*SUMIF($J$7:CY$7,CY$7,$J68:CY68)</f>
        <v>0</v>
      </c>
      <c r="CZ69" s="33" t="n">
        <f aca="false">CZ20*SUMIF($J$7:CZ$7,CZ$7,$J68:CZ68)</f>
        <v>0</v>
      </c>
      <c r="DA69" s="33" t="n">
        <f aca="false">DA20*SUMIF($J$7:DA$7,DA$7,$J68:DA68)</f>
        <v>0</v>
      </c>
      <c r="DB69" s="33" t="n">
        <f aca="false">DB20*SUMIF($J$7:DB$7,DB$7,$J68:DB68)</f>
        <v>0</v>
      </c>
      <c r="DC69" s="33" t="n">
        <f aca="false">DC20*SUMIF($J$7:DC$7,DC$7,$J68:DC68)</f>
        <v>0</v>
      </c>
      <c r="DD69" s="33" t="n">
        <f aca="false">DD20*SUMIF($J$7:DD$7,DD$7,$J68:DD68)</f>
        <v>0</v>
      </c>
      <c r="DE69" s="33" t="n">
        <f aca="false">DE20*SUMIF($J$7:DE$7,DE$7,$J68:DE68)</f>
        <v>0</v>
      </c>
      <c r="DF69" s="33" t="n">
        <f aca="false">DF20*SUMIF($J$7:DF$7,DF$7,$J68:DF68)</f>
        <v>0</v>
      </c>
      <c r="DG69" s="33" t="n">
        <f aca="false">DG20*SUMIF($J$7:DG$7,DG$7,$J68:DG68)</f>
        <v>0</v>
      </c>
      <c r="DH69" s="33" t="n">
        <f aca="false">DH20*SUMIF($J$7:DH$7,DH$7,$J68:DH68)</f>
        <v>0</v>
      </c>
      <c r="DI69" s="33" t="n">
        <f aca="false">DI20*SUMIF($J$7:DI$7,DI$7,$J68:DI68)</f>
        <v>0</v>
      </c>
      <c r="DJ69" s="33" t="n">
        <f aca="false">DJ20*SUMIF($J$7:DJ$7,DJ$7,$J68:DJ68)</f>
        <v>0</v>
      </c>
      <c r="DK69" s="33" t="n">
        <f aca="false">DK20*SUMIF($J$7:DK$7,DK$7,$J68:DK68)</f>
        <v>0</v>
      </c>
      <c r="DL69" s="33" t="n">
        <f aca="false">DL20*SUMIF($J$7:DL$7,DL$7,$J68:DL68)</f>
        <v>0</v>
      </c>
      <c r="DM69" s="33" t="n">
        <f aca="false">DM20*SUMIF($J$7:DM$7,DM$7,$J68:DM68)</f>
        <v>0</v>
      </c>
      <c r="DN69" s="33" t="n">
        <f aca="false">DN20*SUMIF($J$7:DN$7,DN$7,$J68:DN68)</f>
        <v>0</v>
      </c>
      <c r="DO69" s="33" t="n">
        <f aca="false">DO20*SUMIF($J$7:DO$7,DO$7,$J68:DO68)</f>
        <v>0</v>
      </c>
      <c r="DP69" s="33" t="n">
        <f aca="false">DP20*SUMIF($J$7:DP$7,DP$7,$J68:DP68)</f>
        <v>0</v>
      </c>
      <c r="DQ69" s="33" t="n">
        <f aca="false">DQ20*SUMIF($J$7:DQ$7,DQ$7,$J68:DQ68)</f>
        <v>0</v>
      </c>
      <c r="DR69" s="33" t="n">
        <f aca="false">DR20*SUMIF($J$7:DR$7,DR$7,$J68:DR68)</f>
        <v>0</v>
      </c>
      <c r="DS69" s="33" t="n">
        <f aca="false">DS20*SUMIF($J$7:DS$7,DS$7,$J68:DS68)</f>
        <v>0</v>
      </c>
      <c r="DT69" s="33" t="n">
        <f aca="false">DT20*SUMIF($J$7:DT$7,DT$7,$J68:DT68)</f>
        <v>0</v>
      </c>
      <c r="DU69" s="33" t="n">
        <f aca="false">DU20*SUMIF($J$7:DU$7,DU$7,$J68:DU68)</f>
        <v>0</v>
      </c>
      <c r="DV69" s="33" t="n">
        <f aca="false">DV20*SUMIF($J$7:DV$7,DV$7,$J68:DV68)</f>
        <v>0</v>
      </c>
      <c r="DW69" s="33" t="n">
        <f aca="false">DW20*SUMIF($J$7:DW$7,DW$7,$J68:DW68)</f>
        <v>0</v>
      </c>
      <c r="DX69" s="33" t="n">
        <f aca="false">DX20*SUMIF($J$7:DX$7,DX$7,$J68:DX68)</f>
        <v>0</v>
      </c>
      <c r="DY69" s="33" t="n">
        <f aca="false">DY20*SUMIF($J$7:DY$7,DY$7,$J68:DY68)</f>
        <v>0</v>
      </c>
      <c r="DZ69" s="33" t="n">
        <f aca="false">DZ20*SUMIF($J$7:DZ$7,DZ$7,$J68:DZ68)</f>
        <v>0</v>
      </c>
      <c r="EA69" s="33" t="n">
        <f aca="false">EA20*SUMIF($J$7:EA$7,EA$7,$J68:EA68)</f>
        <v>0</v>
      </c>
      <c r="EB69" s="33" t="n">
        <f aca="false">EB20*SUMIF($J$7:EB$7,EB$7,$J68:EB68)</f>
        <v>0</v>
      </c>
      <c r="EC69" s="33" t="n">
        <f aca="false">EC20*SUMIF($J$7:EC$7,EC$7,$J68:EC68)</f>
        <v>0</v>
      </c>
      <c r="ED69" s="33" t="n">
        <f aca="false">ED20*SUMIF($J$7:ED$7,ED$7,$J68:ED68)</f>
        <v>0</v>
      </c>
      <c r="EE69" s="33" t="n">
        <f aca="false">EE20*SUMIF($J$7:EE$7,EE$7,$J68:EE68)</f>
        <v>0</v>
      </c>
      <c r="EF69" s="33" t="n">
        <f aca="false">EF20*SUMIF($J$7:EF$7,EF$7,$J68:EF68)</f>
        <v>0</v>
      </c>
      <c r="EG69" s="33" t="n">
        <f aca="false">EG20*SUMIF($J$7:EG$7,EG$7,$J68:EG68)</f>
        <v>0</v>
      </c>
      <c r="EH69" s="33" t="n">
        <f aca="false">EH20*SUMIF($J$7:EH$7,EH$7,$J68:EH68)</f>
        <v>0</v>
      </c>
      <c r="EI69" s="33" t="n">
        <f aca="false">EI20*SUMIF($J$7:EI$7,EI$7,$J68:EI68)</f>
        <v>0</v>
      </c>
      <c r="EJ69" s="33" t="n">
        <f aca="false">EJ20*SUMIF($J$7:EJ$7,EJ$7,$J68:EJ68)</f>
        <v>0</v>
      </c>
      <c r="EK69" s="33" t="n">
        <f aca="false">EK20*SUMIF($J$7:EK$7,EK$7,$J68:EK68)</f>
        <v>0</v>
      </c>
      <c r="EL69" s="33" t="n">
        <f aca="false">EL20*SUMIF($J$7:EL$7,EL$7,$J68:EL68)</f>
        <v>0</v>
      </c>
      <c r="EM69" s="33" t="n">
        <f aca="false">EM20*SUMIF($J$7:EM$7,EM$7,$J68:EM68)</f>
        <v>0</v>
      </c>
      <c r="EN69" s="33" t="n">
        <f aca="false">EN20*SUMIF($J$7:EN$7,EN$7,$J68:EN68)</f>
        <v>0</v>
      </c>
      <c r="EO69" s="33" t="n">
        <f aca="false">EO20*SUMIF($J$7:EO$7,EO$7,$J68:EO68)</f>
        <v>0</v>
      </c>
      <c r="EP69" s="33" t="n">
        <f aca="false">EP20*SUMIF($J$7:EP$7,EP$7,$J68:EP68)</f>
        <v>0</v>
      </c>
      <c r="EQ69" s="33" t="n">
        <f aca="false">EQ20*SUMIF($J$7:EQ$7,EQ$7,$J68:EQ68)</f>
        <v>0</v>
      </c>
      <c r="ER69" s="33" t="n">
        <f aca="false">ER20*SUMIF($J$7:ER$7,ER$7,$J68:ER68)</f>
        <v>0</v>
      </c>
      <c r="ES69" s="33" t="n">
        <f aca="false">ES20*SUMIF($J$7:ES$7,ES$7,$J68:ES68)</f>
        <v>0</v>
      </c>
      <c r="ET69" s="33" t="n">
        <f aca="false">ET20*SUMIF($J$7:ET$7,ET$7,$J68:ET68)</f>
        <v>0</v>
      </c>
    </row>
    <row r="70" customFormat="false" ht="15" hidden="false" customHeight="false" outlineLevel="0" collapsed="false">
      <c r="C70" s="0" t="s">
        <v>529</v>
      </c>
      <c r="D70" s="11" t="s">
        <v>247</v>
      </c>
      <c r="I70" s="54"/>
      <c r="J70" s="33" t="n">
        <f aca="false">J67+J65+J69</f>
        <v>0</v>
      </c>
      <c r="K70" s="33" t="n">
        <f aca="false">K67+K65+K69</f>
        <v>1242.07678738976</v>
      </c>
      <c r="L70" s="33" t="n">
        <f aca="false">L67+L65+L69</f>
        <v>1242.07678738976</v>
      </c>
      <c r="M70" s="33" t="n">
        <f aca="false">M67+M65+M69</f>
        <v>1242.07678738976</v>
      </c>
      <c r="N70" s="33" t="n">
        <f aca="false">N67+N65+N69</f>
        <v>1242.07678738976</v>
      </c>
      <c r="O70" s="33" t="n">
        <f aca="false">O67+O65+O69</f>
        <v>1391.12600187653</v>
      </c>
      <c r="P70" s="33" t="n">
        <f aca="false">P67+P65+P69</f>
        <v>1391.12600187653</v>
      </c>
      <c r="Q70" s="33" t="n">
        <f aca="false">Q67+Q65+Q69</f>
        <v>1391.12600187653</v>
      </c>
      <c r="R70" s="33" t="n">
        <f aca="false">R67+R65+R69</f>
        <v>1391.12600187653</v>
      </c>
      <c r="S70" s="33" t="n">
        <f aca="false">S67+S65+S69</f>
        <v>1558.51847859548</v>
      </c>
      <c r="T70" s="33" t="n">
        <f aca="false">T67+T65+T69</f>
        <v>21737.9058868147</v>
      </c>
      <c r="U70" s="33" t="n">
        <f aca="false">U67+U65+U69</f>
        <v>21737.9058868147</v>
      </c>
      <c r="V70" s="33" t="n">
        <f aca="false">V67+V65+V69</f>
        <v>21737.9058868147</v>
      </c>
      <c r="W70" s="33" t="n">
        <f aca="false">W67+W65+W69</f>
        <v>22985.0199428111</v>
      </c>
      <c r="X70" s="33" t="n">
        <f aca="false">X67+X65+X69</f>
        <v>22985.0199428111</v>
      </c>
      <c r="Y70" s="33" t="n">
        <f aca="false">Y67+Y65+Y69</f>
        <v>22985.0199428111</v>
      </c>
      <c r="Z70" s="33" t="n">
        <f aca="false">Z67+Z65+Z69</f>
        <v>22985.0199428111</v>
      </c>
      <c r="AA70" s="33" t="n">
        <f aca="false">AA67+AA65+AA69</f>
        <v>25743.2223359484</v>
      </c>
      <c r="AB70" s="33" t="n">
        <f aca="false">AB67+AB65+AB69</f>
        <v>25743.2223359484</v>
      </c>
      <c r="AC70" s="33" t="n">
        <f aca="false">AC67+AC65+AC69</f>
        <v>25743.2223359484</v>
      </c>
      <c r="AD70" s="33" t="n">
        <f aca="false">AD67+AD65+AD69</f>
        <v>25743.2223359484</v>
      </c>
      <c r="AE70" s="33" t="n">
        <f aca="false">AE67+AE65+AE69</f>
        <v>28053.7647023201</v>
      </c>
      <c r="AF70" s="33" t="n">
        <f aca="false">AF67+AF65+AF69</f>
        <v>28053.7647023201</v>
      </c>
      <c r="AG70" s="33" t="n">
        <f aca="false">AG67+AG65+AG69</f>
        <v>28053.7647023201</v>
      </c>
      <c r="AH70" s="33" t="n">
        <f aca="false">AH67+AH65+AH69</f>
        <v>28053.7647023201</v>
      </c>
      <c r="AI70" s="33" t="n">
        <f aca="false">AI67+AI65+AI69</f>
        <v>28053.7647023201</v>
      </c>
      <c r="AJ70" s="33" t="n">
        <f aca="false">AJ67+AJ65+AJ69</f>
        <v>28053.7647023201</v>
      </c>
      <c r="AK70" s="33" t="n">
        <f aca="false">AK67+AK65+AK69</f>
        <v>28053.7647023201</v>
      </c>
      <c r="AL70" s="33" t="n">
        <f aca="false">AL67+AL65+AL69</f>
        <v>28053.7647023201</v>
      </c>
      <c r="AM70" s="33" t="n">
        <f aca="false">AM67+AM65+AM69</f>
        <v>28053.7647023201</v>
      </c>
      <c r="AN70" s="33" t="n">
        <f aca="false">AN67+AN65+AN69</f>
        <v>28053.7647023201</v>
      </c>
      <c r="AO70" s="33" t="n">
        <f aca="false">AO67+AO65+AO69</f>
        <v>28053.7647023201</v>
      </c>
      <c r="AP70" s="33" t="n">
        <f aca="false">AP67+AP65+AP69</f>
        <v>28053.7647023201</v>
      </c>
      <c r="AQ70" s="33" t="n">
        <f aca="false">AQ67+AQ65+AQ69</f>
        <v>28053.7647023201</v>
      </c>
      <c r="AR70" s="33" t="n">
        <f aca="false">AR67+AR65+AR69</f>
        <v>28053.7647023201</v>
      </c>
      <c r="AS70" s="33" t="n">
        <f aca="false">AS67+AS65+AS69</f>
        <v>28053.7647023201</v>
      </c>
      <c r="AT70" s="33" t="n">
        <f aca="false">AT67+AT65+AT69</f>
        <v>28053.7647023201</v>
      </c>
      <c r="AU70" s="33" t="n">
        <f aca="false">AU67+AU65+AU69</f>
        <v>28053.7647023201</v>
      </c>
      <c r="AV70" s="33" t="n">
        <f aca="false">AV67+AV65+AV69</f>
        <v>28053.7647023201</v>
      </c>
      <c r="AW70" s="33" t="n">
        <f aca="false">AW67+AW65+AW69</f>
        <v>28053.7647023201</v>
      </c>
      <c r="AX70" s="33" t="n">
        <f aca="false">AX67+AX65+AX69</f>
        <v>28053.7647023201</v>
      </c>
      <c r="AY70" s="33" t="n">
        <f aca="false">AY67+AY65+AY69</f>
        <v>28053.7647023201</v>
      </c>
      <c r="AZ70" s="33" t="n">
        <f aca="false">AZ67+AZ65+AZ69</f>
        <v>28053.7647023201</v>
      </c>
      <c r="BA70" s="33" t="n">
        <f aca="false">BA67+BA65+BA69</f>
        <v>28053.7647023201</v>
      </c>
      <c r="BB70" s="33" t="n">
        <f aca="false">BB67+BB65+BB69</f>
        <v>28053.7647023201</v>
      </c>
      <c r="BC70" s="33" t="n">
        <f aca="false">BC67+BC65+BC69</f>
        <v>28053.7647023201</v>
      </c>
      <c r="BD70" s="33" t="n">
        <f aca="false">BD67+BD65+BD69</f>
        <v>28053.7647023201</v>
      </c>
      <c r="BE70" s="33" t="n">
        <f aca="false">BE67+BE65+BE69</f>
        <v>28053.7647023201</v>
      </c>
      <c r="BF70" s="33" t="n">
        <f aca="false">BF67+BF65+BF69</f>
        <v>28053.7647023201</v>
      </c>
      <c r="BG70" s="33" t="n">
        <f aca="false">BG67+BG65+BG69</f>
        <v>28053.7647023201</v>
      </c>
      <c r="BH70" s="33" t="n">
        <f aca="false">BH67+BH65+BH69</f>
        <v>28053.7647023201</v>
      </c>
      <c r="BI70" s="33" t="n">
        <f aca="false">BI67+BI65+BI69</f>
        <v>28053.7647023201</v>
      </c>
      <c r="BJ70" s="33" t="n">
        <f aca="false">BJ67+BJ65+BJ69</f>
        <v>28053.7647023201</v>
      </c>
      <c r="BK70" s="33" t="n">
        <f aca="false">BK67+BK65+BK69</f>
        <v>28053.7647023201</v>
      </c>
      <c r="BL70" s="33" t="n">
        <f aca="false">BL67+BL65+BL69</f>
        <v>28053.7647023201</v>
      </c>
      <c r="BM70" s="33" t="n">
        <f aca="false">BM67+BM65+BM69</f>
        <v>28053.7647023201</v>
      </c>
      <c r="BN70" s="33" t="n">
        <f aca="false">BN67+BN65+BN69</f>
        <v>28053.7647023201</v>
      </c>
      <c r="BO70" s="33" t="n">
        <f aca="false">BO67+BO65+BO69</f>
        <v>28053.7647023201</v>
      </c>
      <c r="BP70" s="33" t="n">
        <f aca="false">BP67+BP65+BP69</f>
        <v>28053.7647023201</v>
      </c>
      <c r="BQ70" s="33" t="n">
        <f aca="false">BQ67+BQ65+BQ69</f>
        <v>28053.7647023201</v>
      </c>
      <c r="BR70" s="33" t="n">
        <f aca="false">BR67+BR65+BR69</f>
        <v>28053.7647023201</v>
      </c>
      <c r="BS70" s="33" t="n">
        <f aca="false">BS67+BS65+BS69</f>
        <v>28053.7647023201</v>
      </c>
      <c r="BT70" s="33" t="n">
        <f aca="false">BT67+BT65+BT69</f>
        <v>28053.7647023201</v>
      </c>
      <c r="BU70" s="33" t="n">
        <f aca="false">BU67+BU65+BU69</f>
        <v>28053.7647023201</v>
      </c>
      <c r="BV70" s="33" t="n">
        <f aca="false">BV67+BV65+BV69</f>
        <v>28053.7647023201</v>
      </c>
      <c r="BW70" s="33" t="n">
        <f aca="false">BW67+BW65+BW69</f>
        <v>28053.7647023201</v>
      </c>
      <c r="BX70" s="33" t="n">
        <f aca="false">BX67+BX65+BX69</f>
        <v>28053.7647023201</v>
      </c>
      <c r="BY70" s="33" t="n">
        <f aca="false">BY67+BY65+BY69</f>
        <v>28053.7647023201</v>
      </c>
      <c r="BZ70" s="33" t="n">
        <f aca="false">BZ67+BZ65+BZ69</f>
        <v>28053.7647023201</v>
      </c>
      <c r="CA70" s="33" t="n">
        <f aca="false">CA67+CA65+CA69</f>
        <v>28053.7647023201</v>
      </c>
      <c r="CB70" s="33" t="n">
        <f aca="false">CB67+CB65+CB69</f>
        <v>28053.7647023201</v>
      </c>
      <c r="CC70" s="33" t="n">
        <f aca="false">CC67+CC65+CC69</f>
        <v>28053.7647023201</v>
      </c>
      <c r="CD70" s="33" t="n">
        <f aca="false">CD67+CD65+CD69</f>
        <v>28053.7647023201</v>
      </c>
      <c r="CE70" s="33" t="n">
        <f aca="false">CE67+CE65+CE69</f>
        <v>28053.7647023201</v>
      </c>
      <c r="CF70" s="33" t="n">
        <f aca="false">CF67+CF65+CF69</f>
        <v>28053.7647023201</v>
      </c>
      <c r="CG70" s="33" t="n">
        <f aca="false">CG67+CG65+CG69</f>
        <v>28053.7647023201</v>
      </c>
      <c r="CH70" s="33" t="n">
        <f aca="false">CH67+CH65+CH69</f>
        <v>28053.7647023201</v>
      </c>
      <c r="CI70" s="33" t="n">
        <f aca="false">CI67+CI65+CI69</f>
        <v>28053.7647023201</v>
      </c>
      <c r="CJ70" s="33" t="n">
        <f aca="false">CJ67+CJ65+CJ69</f>
        <v>28053.7647023201</v>
      </c>
      <c r="CK70" s="33" t="n">
        <f aca="false">CK67+CK65+CK69</f>
        <v>28053.7647023201</v>
      </c>
      <c r="CL70" s="33" t="n">
        <f aca="false">CL67+CL65+CL69</f>
        <v>28053.7647023201</v>
      </c>
      <c r="CM70" s="33" t="n">
        <f aca="false">CM67+CM65+CM69</f>
        <v>28053.7647023201</v>
      </c>
      <c r="CN70" s="33" t="n">
        <f aca="false">CN67+CN65+CN69</f>
        <v>28053.7647023201</v>
      </c>
      <c r="CO70" s="33" t="n">
        <f aca="false">CO67+CO65+CO69</f>
        <v>28053.7647023201</v>
      </c>
      <c r="CP70" s="33" t="n">
        <f aca="false">CP67+CP65+CP69</f>
        <v>28053.7647023201</v>
      </c>
      <c r="CQ70" s="33" t="n">
        <f aca="false">CQ67+CQ65+CQ69</f>
        <v>28053.7647023201</v>
      </c>
      <c r="CR70" s="33" t="n">
        <f aca="false">CR67+CR65+CR69</f>
        <v>28053.7647023201</v>
      </c>
      <c r="CS70" s="33" t="n">
        <f aca="false">CS67+CS65+CS69</f>
        <v>28053.7647023201</v>
      </c>
      <c r="CT70" s="33" t="n">
        <f aca="false">CT67+CT65+CT69</f>
        <v>28053.7647023201</v>
      </c>
      <c r="CU70" s="33" t="n">
        <f aca="false">CU67+CU65+CU69</f>
        <v>28053.7647023201</v>
      </c>
      <c r="CV70" s="33" t="n">
        <f aca="false">CV67+CV65+CV69</f>
        <v>28053.7647023201</v>
      </c>
      <c r="CW70" s="33" t="n">
        <f aca="false">CW67+CW65+CW69</f>
        <v>28053.7647023201</v>
      </c>
      <c r="CX70" s="33" t="n">
        <f aca="false">CX67+CX65+CX69</f>
        <v>28053.7647023201</v>
      </c>
      <c r="CY70" s="33" t="n">
        <f aca="false">CY67+CY65+CY69</f>
        <v>28053.7647023201</v>
      </c>
      <c r="CZ70" s="33" t="n">
        <f aca="false">CZ67+CZ65+CZ69</f>
        <v>28053.7647023201</v>
      </c>
      <c r="DA70" s="33" t="n">
        <f aca="false">DA67+DA65+DA69</f>
        <v>28053.7647023201</v>
      </c>
      <c r="DB70" s="33" t="n">
        <f aca="false">DB67+DB65+DB69</f>
        <v>28053.7647023201</v>
      </c>
      <c r="DC70" s="33" t="n">
        <f aca="false">DC67+DC65+DC69</f>
        <v>28053.7647023201</v>
      </c>
      <c r="DD70" s="33" t="n">
        <f aca="false">DD67+DD65+DD69</f>
        <v>28053.7647023201</v>
      </c>
      <c r="DE70" s="33" t="n">
        <f aca="false">DE67+DE65+DE69</f>
        <v>28053.7647023201</v>
      </c>
      <c r="DF70" s="33" t="n">
        <f aca="false">DF67+DF65+DF69</f>
        <v>28053.7647023201</v>
      </c>
      <c r="DG70" s="33" t="n">
        <f aca="false">DG67+DG65+DG69</f>
        <v>28053.7647023201</v>
      </c>
      <c r="DH70" s="33" t="n">
        <f aca="false">DH67+DH65+DH69</f>
        <v>28053.7647023201</v>
      </c>
      <c r="DI70" s="33" t="n">
        <f aca="false">DI67+DI65+DI69</f>
        <v>28053.7647023201</v>
      </c>
      <c r="DJ70" s="33" t="n">
        <f aca="false">DJ67+DJ65+DJ69</f>
        <v>28053.7647023201</v>
      </c>
      <c r="DK70" s="33" t="n">
        <f aca="false">DK67+DK65+DK69</f>
        <v>28053.7647023201</v>
      </c>
      <c r="DL70" s="33" t="n">
        <f aca="false">DL67+DL65+DL69</f>
        <v>28053.7647023201</v>
      </c>
      <c r="DM70" s="33" t="n">
        <f aca="false">DM67+DM65+DM69</f>
        <v>28053.7647023201</v>
      </c>
      <c r="DN70" s="33" t="n">
        <f aca="false">DN67+DN65+DN69</f>
        <v>28053.7647023201</v>
      </c>
      <c r="DO70" s="33" t="n">
        <f aca="false">DO67+DO65+DO69</f>
        <v>28053.7647023201</v>
      </c>
      <c r="DP70" s="33" t="n">
        <f aca="false">DP67+DP65+DP69</f>
        <v>28053.7647023201</v>
      </c>
      <c r="DQ70" s="33" t="n">
        <f aca="false">DQ67+DQ65+DQ69</f>
        <v>28053.7647023201</v>
      </c>
      <c r="DR70" s="33" t="n">
        <f aca="false">DR67+DR65+DR69</f>
        <v>28053.7647023201</v>
      </c>
      <c r="DS70" s="33" t="n">
        <f aca="false">DS67+DS65+DS69</f>
        <v>28053.7647023201</v>
      </c>
      <c r="DT70" s="33" t="n">
        <f aca="false">DT67+DT65+DT69</f>
        <v>28053.7647023201</v>
      </c>
      <c r="DU70" s="33" t="n">
        <f aca="false">DU67+DU65+DU69</f>
        <v>28053.7647023201</v>
      </c>
      <c r="DV70" s="33" t="n">
        <f aca="false">DV67+DV65+DV69</f>
        <v>28053.7647023201</v>
      </c>
      <c r="DW70" s="33" t="n">
        <f aca="false">DW67+DW65+DW69</f>
        <v>28053.7647023201</v>
      </c>
      <c r="DX70" s="33" t="n">
        <f aca="false">DX67+DX65+DX69</f>
        <v>28053.7647023201</v>
      </c>
      <c r="DY70" s="33" t="n">
        <f aca="false">DY67+DY65+DY69</f>
        <v>28053.7647023201</v>
      </c>
      <c r="DZ70" s="33" t="n">
        <f aca="false">DZ67+DZ65+DZ69</f>
        <v>28053.7647023201</v>
      </c>
      <c r="EA70" s="33" t="n">
        <f aca="false">EA67+EA65+EA69</f>
        <v>28053.7647023201</v>
      </c>
      <c r="EB70" s="33" t="n">
        <f aca="false">EB67+EB65+EB69</f>
        <v>28053.7647023201</v>
      </c>
      <c r="EC70" s="33" t="n">
        <f aca="false">EC67+EC65+EC69</f>
        <v>28053.7647023201</v>
      </c>
      <c r="ED70" s="33" t="n">
        <f aca="false">ED67+ED65+ED69</f>
        <v>28053.7647023201</v>
      </c>
      <c r="EE70" s="33" t="n">
        <f aca="false">EE67+EE65+EE69</f>
        <v>28053.7647023201</v>
      </c>
      <c r="EF70" s="33" t="n">
        <f aca="false">EF67+EF65+EF69</f>
        <v>28053.7647023201</v>
      </c>
      <c r="EG70" s="33" t="n">
        <f aca="false">EG67+EG65+EG69</f>
        <v>28053.7647023201</v>
      </c>
      <c r="EH70" s="33" t="n">
        <f aca="false">EH67+EH65+EH69</f>
        <v>28053.7647023201</v>
      </c>
      <c r="EI70" s="33" t="n">
        <f aca="false">EI67+EI65+EI69</f>
        <v>28053.7647023201</v>
      </c>
      <c r="EJ70" s="33" t="n">
        <f aca="false">EJ67+EJ65+EJ69</f>
        <v>28053.7647023201</v>
      </c>
      <c r="EK70" s="33" t="n">
        <f aca="false">EK67+EK65+EK69</f>
        <v>28053.7647023201</v>
      </c>
      <c r="EL70" s="33" t="n">
        <f aca="false">EL67+EL65+EL69</f>
        <v>28053.7647023201</v>
      </c>
      <c r="EM70" s="33" t="n">
        <f aca="false">EM67+EM65+EM69</f>
        <v>28053.7647023201</v>
      </c>
      <c r="EN70" s="33" t="n">
        <f aca="false">EN67+EN65+EN69</f>
        <v>28053.7647023201</v>
      </c>
      <c r="EO70" s="33" t="n">
        <f aca="false">EO67+EO65+EO69</f>
        <v>28053.7647023201</v>
      </c>
      <c r="EP70" s="33" t="n">
        <f aca="false">EP67+EP65+EP69</f>
        <v>28053.7647023201</v>
      </c>
      <c r="EQ70" s="33" t="n">
        <f aca="false">EQ67+EQ65+EQ69</f>
        <v>28053.7647023201</v>
      </c>
      <c r="ER70" s="33" t="n">
        <f aca="false">ER67+ER65+ER69</f>
        <v>28053.7647023201</v>
      </c>
      <c r="ES70" s="33" t="n">
        <f aca="false">ES67+ES65+ES69</f>
        <v>28053.7647023201</v>
      </c>
      <c r="ET70" s="33" t="n">
        <f aca="false">ET67+ET65+ET69</f>
        <v>28053.7647023201</v>
      </c>
    </row>
    <row r="71" customFormat="false" ht="15" hidden="false" customHeight="false" outlineLevel="0" collapsed="false">
      <c r="A71" s="55"/>
      <c r="B71" s="55"/>
      <c r="C71" s="55" t="s">
        <v>530</v>
      </c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</row>
    <row r="72" customFormat="false" ht="15" hidden="false" customHeight="false" outlineLevel="0" collapsed="false">
      <c r="C72" s="0" t="s">
        <v>531</v>
      </c>
      <c r="D72" s="11" t="s">
        <v>247</v>
      </c>
      <c r="J72" s="22" t="n">
        <f aca="false">I75</f>
        <v>0</v>
      </c>
      <c r="K72" s="22" t="n">
        <f aca="false">J75</f>
        <v>0</v>
      </c>
      <c r="L72" s="22" t="n">
        <f aca="false">K75</f>
        <v>18.1640998311128</v>
      </c>
      <c r="M72" s="22" t="n">
        <f aca="false">L75</f>
        <v>18.1640998311128</v>
      </c>
      <c r="N72" s="22" t="n">
        <f aca="false">M75</f>
        <v>18.1640998311128</v>
      </c>
      <c r="O72" s="22" t="n">
        <f aca="false">N75</f>
        <v>18.1640998311128</v>
      </c>
      <c r="P72" s="22" t="n">
        <f aca="false">O75</f>
        <v>438.867644451117</v>
      </c>
      <c r="Q72" s="22" t="n">
        <f aca="false">P75</f>
        <v>438.867644451117</v>
      </c>
      <c r="R72" s="22" t="n">
        <f aca="false">Q75</f>
        <v>438.867644451117</v>
      </c>
      <c r="S72" s="22" t="n">
        <f aca="false">R75</f>
        <v>438.867644451117</v>
      </c>
      <c r="T72" s="22" t="n">
        <f aca="false">S75</f>
        <v>886.035170946395</v>
      </c>
      <c r="U72" s="22" t="n">
        <f aca="false">T75</f>
        <v>886.035170946395</v>
      </c>
      <c r="V72" s="22" t="n">
        <f aca="false">U75</f>
        <v>886.035170946395</v>
      </c>
      <c r="W72" s="22" t="n">
        <f aca="false">V75</f>
        <v>886.035170946395</v>
      </c>
      <c r="X72" s="22" t="n">
        <f aca="false">W75</f>
        <v>1120.48016110676</v>
      </c>
      <c r="Y72" s="22" t="n">
        <f aca="false">X75</f>
        <v>1120.48016110676</v>
      </c>
      <c r="Z72" s="22" t="n">
        <f aca="false">Y75</f>
        <v>1120.48016110676</v>
      </c>
      <c r="AA72" s="22" t="n">
        <f aca="false">Z75</f>
        <v>1120.48016110676</v>
      </c>
      <c r="AB72" s="22" t="n">
        <f aca="false">AA75</f>
        <v>1607.3226694033</v>
      </c>
      <c r="AC72" s="22" t="n">
        <f aca="false">AB75</f>
        <v>1607.3226694033</v>
      </c>
      <c r="AD72" s="22" t="n">
        <f aca="false">AC75</f>
        <v>1607.3226694033</v>
      </c>
      <c r="AE72" s="22" t="n">
        <f aca="false">AD75</f>
        <v>1607.3226694033</v>
      </c>
      <c r="AF72" s="22" t="n">
        <f aca="false">AE75</f>
        <v>1993.30208050153</v>
      </c>
      <c r="AG72" s="22" t="n">
        <f aca="false">AF75</f>
        <v>1993.30208050153</v>
      </c>
      <c r="AH72" s="22" t="n">
        <f aca="false">AG75</f>
        <v>1993.30208050153</v>
      </c>
      <c r="AI72" s="22" t="n">
        <f aca="false">AH75</f>
        <v>1993.30208050153</v>
      </c>
      <c r="AJ72" s="22" t="n">
        <f aca="false">AI75</f>
        <v>1993.30208050153</v>
      </c>
      <c r="AK72" s="22" t="n">
        <f aca="false">AJ75</f>
        <v>1993.30208050153</v>
      </c>
      <c r="AL72" s="22" t="n">
        <f aca="false">AK75</f>
        <v>1993.30208050153</v>
      </c>
      <c r="AM72" s="22" t="n">
        <f aca="false">AL75</f>
        <v>1993.30208050153</v>
      </c>
      <c r="AN72" s="22" t="n">
        <f aca="false">AM75</f>
        <v>1993.30208050153</v>
      </c>
      <c r="AO72" s="22" t="n">
        <f aca="false">AN75</f>
        <v>1993.30208050153</v>
      </c>
      <c r="AP72" s="22" t="n">
        <f aca="false">AO75</f>
        <v>1993.30208050153</v>
      </c>
      <c r="AQ72" s="22" t="n">
        <f aca="false">AP75</f>
        <v>1993.30208050153</v>
      </c>
      <c r="AR72" s="22" t="n">
        <f aca="false">AQ75</f>
        <v>1993.30208050153</v>
      </c>
      <c r="AS72" s="22" t="n">
        <f aca="false">AR75</f>
        <v>1993.30208050153</v>
      </c>
      <c r="AT72" s="22" t="n">
        <f aca="false">AS75</f>
        <v>1993.30208050153</v>
      </c>
      <c r="AU72" s="22" t="n">
        <f aca="false">AT75</f>
        <v>1993.30208050153</v>
      </c>
      <c r="AV72" s="22" t="n">
        <f aca="false">AU75</f>
        <v>1993.30208050153</v>
      </c>
      <c r="AW72" s="22" t="n">
        <f aca="false">AV75</f>
        <v>1993.30208050153</v>
      </c>
      <c r="AX72" s="22" t="n">
        <f aca="false">AW75</f>
        <v>1993.30208050153</v>
      </c>
      <c r="AY72" s="22" t="n">
        <f aca="false">AX75</f>
        <v>1993.30208050153</v>
      </c>
      <c r="AZ72" s="22" t="n">
        <f aca="false">AY75</f>
        <v>1993.30208050153</v>
      </c>
      <c r="BA72" s="22" t="n">
        <f aca="false">AZ75</f>
        <v>1993.30208050153</v>
      </c>
      <c r="BB72" s="22" t="n">
        <f aca="false">BA75</f>
        <v>1993.30208050153</v>
      </c>
      <c r="BC72" s="22" t="n">
        <f aca="false">BB75</f>
        <v>1993.30208050153</v>
      </c>
      <c r="BD72" s="22" t="n">
        <f aca="false">BC75</f>
        <v>1993.30208050153</v>
      </c>
      <c r="BE72" s="22" t="n">
        <f aca="false">BD75</f>
        <v>1993.30208050153</v>
      </c>
      <c r="BF72" s="22" t="n">
        <f aca="false">BE75</f>
        <v>1993.30208050153</v>
      </c>
      <c r="BG72" s="22" t="n">
        <f aca="false">BF75</f>
        <v>1993.30208050153</v>
      </c>
      <c r="BH72" s="22" t="n">
        <f aca="false">BG75</f>
        <v>1993.30208050153</v>
      </c>
      <c r="BI72" s="22" t="n">
        <f aca="false">BH75</f>
        <v>1993.30208050153</v>
      </c>
      <c r="BJ72" s="22" t="n">
        <f aca="false">BI75</f>
        <v>1993.30208050153</v>
      </c>
      <c r="BK72" s="22" t="n">
        <f aca="false">BJ75</f>
        <v>1993.30208050153</v>
      </c>
      <c r="BL72" s="22" t="n">
        <f aca="false">BK75</f>
        <v>1993.30208050153</v>
      </c>
      <c r="BM72" s="22" t="n">
        <f aca="false">BL75</f>
        <v>1993.30208050153</v>
      </c>
      <c r="BN72" s="22" t="n">
        <f aca="false">BM75</f>
        <v>1993.30208050153</v>
      </c>
      <c r="BO72" s="22" t="n">
        <f aca="false">BN75</f>
        <v>1993.30208050153</v>
      </c>
      <c r="BP72" s="22" t="n">
        <f aca="false">BO75</f>
        <v>1993.30208050153</v>
      </c>
      <c r="BQ72" s="22" t="n">
        <f aca="false">BP75</f>
        <v>1993.30208050153</v>
      </c>
      <c r="BR72" s="22" t="n">
        <f aca="false">BQ75</f>
        <v>1993.30208050153</v>
      </c>
      <c r="BS72" s="22" t="n">
        <f aca="false">BR75</f>
        <v>1993.30208050153</v>
      </c>
      <c r="BT72" s="22" t="n">
        <f aca="false">BS75</f>
        <v>1993.30208050153</v>
      </c>
      <c r="BU72" s="22" t="n">
        <f aca="false">BT75</f>
        <v>1993.30208050153</v>
      </c>
      <c r="BV72" s="22" t="n">
        <f aca="false">BU75</f>
        <v>1993.30208050153</v>
      </c>
      <c r="BW72" s="22" t="n">
        <f aca="false">BV75</f>
        <v>1993.30208050153</v>
      </c>
      <c r="BX72" s="22" t="n">
        <f aca="false">BW75</f>
        <v>1993.30208050153</v>
      </c>
      <c r="BY72" s="22" t="n">
        <f aca="false">BX75</f>
        <v>1993.30208050153</v>
      </c>
      <c r="BZ72" s="22" t="n">
        <f aca="false">BY75</f>
        <v>1993.30208050153</v>
      </c>
      <c r="CA72" s="22" t="n">
        <f aca="false">BZ75</f>
        <v>1993.30208050153</v>
      </c>
      <c r="CB72" s="22" t="n">
        <f aca="false">CA75</f>
        <v>1993.30208050153</v>
      </c>
      <c r="CC72" s="22" t="n">
        <f aca="false">CB75</f>
        <v>1993.30208050153</v>
      </c>
      <c r="CD72" s="22" t="n">
        <f aca="false">CC75</f>
        <v>1993.30208050153</v>
      </c>
      <c r="CE72" s="22" t="n">
        <f aca="false">CD75</f>
        <v>1993.30208050153</v>
      </c>
      <c r="CF72" s="22" t="n">
        <f aca="false">CE75</f>
        <v>1993.30208050153</v>
      </c>
      <c r="CG72" s="22" t="n">
        <f aca="false">CF75</f>
        <v>1993.30208050153</v>
      </c>
      <c r="CH72" s="22" t="n">
        <f aca="false">CG75</f>
        <v>1993.30208050153</v>
      </c>
      <c r="CI72" s="22" t="n">
        <f aca="false">CH75</f>
        <v>1993.30208050153</v>
      </c>
      <c r="CJ72" s="22" t="n">
        <f aca="false">CI75</f>
        <v>1993.30208050153</v>
      </c>
      <c r="CK72" s="22" t="n">
        <f aca="false">CJ75</f>
        <v>1993.30208050153</v>
      </c>
      <c r="CL72" s="22" t="n">
        <f aca="false">CK75</f>
        <v>1993.30208050153</v>
      </c>
      <c r="CM72" s="22" t="n">
        <f aca="false">CL75</f>
        <v>1993.30208050153</v>
      </c>
      <c r="CN72" s="22" t="n">
        <f aca="false">CM75</f>
        <v>1993.30208050153</v>
      </c>
      <c r="CO72" s="22" t="n">
        <f aca="false">CN75</f>
        <v>1993.30208050153</v>
      </c>
      <c r="CP72" s="22" t="n">
        <f aca="false">CO75</f>
        <v>1993.30208050153</v>
      </c>
      <c r="CQ72" s="22" t="n">
        <f aca="false">CP75</f>
        <v>1993.30208050153</v>
      </c>
      <c r="CR72" s="22" t="n">
        <f aca="false">CQ75</f>
        <v>1993.30208050153</v>
      </c>
      <c r="CS72" s="22" t="n">
        <f aca="false">CR75</f>
        <v>1993.30208050153</v>
      </c>
      <c r="CT72" s="22" t="n">
        <f aca="false">CS75</f>
        <v>1993.30208050153</v>
      </c>
      <c r="CU72" s="22" t="n">
        <f aca="false">CT75</f>
        <v>1993.30208050153</v>
      </c>
      <c r="CV72" s="22" t="n">
        <f aca="false">CU75</f>
        <v>1993.30208050153</v>
      </c>
      <c r="CW72" s="22" t="n">
        <f aca="false">CV75</f>
        <v>1993.30208050153</v>
      </c>
      <c r="CX72" s="22" t="n">
        <f aca="false">CW75</f>
        <v>1993.30208050153</v>
      </c>
      <c r="CY72" s="22" t="n">
        <f aca="false">CX75</f>
        <v>1993.30208050153</v>
      </c>
      <c r="CZ72" s="22" t="n">
        <f aca="false">CY75</f>
        <v>1993.30208050153</v>
      </c>
      <c r="DA72" s="22" t="n">
        <f aca="false">CZ75</f>
        <v>1993.30208050153</v>
      </c>
      <c r="DB72" s="22" t="n">
        <f aca="false">DA75</f>
        <v>1993.30208050153</v>
      </c>
      <c r="DC72" s="22" t="n">
        <f aca="false">DB75</f>
        <v>1993.30208050153</v>
      </c>
      <c r="DD72" s="22" t="n">
        <f aca="false">DC75</f>
        <v>1993.30208050153</v>
      </c>
      <c r="DE72" s="22" t="n">
        <f aca="false">DD75</f>
        <v>1993.30208050153</v>
      </c>
      <c r="DF72" s="22" t="n">
        <f aca="false">DE75</f>
        <v>1993.30208050153</v>
      </c>
      <c r="DG72" s="22" t="n">
        <f aca="false">DF75</f>
        <v>1993.30208050153</v>
      </c>
      <c r="DH72" s="22" t="n">
        <f aca="false">DG75</f>
        <v>1993.30208050153</v>
      </c>
      <c r="DI72" s="22" t="n">
        <f aca="false">DH75</f>
        <v>1993.30208050153</v>
      </c>
      <c r="DJ72" s="22" t="n">
        <f aca="false">DI75</f>
        <v>1993.30208050153</v>
      </c>
      <c r="DK72" s="22" t="n">
        <f aca="false">DJ75</f>
        <v>1993.30208050153</v>
      </c>
      <c r="DL72" s="22" t="n">
        <f aca="false">DK75</f>
        <v>1993.30208050153</v>
      </c>
      <c r="DM72" s="22" t="n">
        <f aca="false">DL75</f>
        <v>1993.30208050153</v>
      </c>
      <c r="DN72" s="22" t="n">
        <f aca="false">DM75</f>
        <v>1993.30208050153</v>
      </c>
      <c r="DO72" s="22" t="n">
        <f aca="false">DN75</f>
        <v>1993.30208050153</v>
      </c>
      <c r="DP72" s="22" t="n">
        <f aca="false">DO75</f>
        <v>1993.30208050153</v>
      </c>
      <c r="DQ72" s="22" t="n">
        <f aca="false">DP75</f>
        <v>1993.30208050153</v>
      </c>
      <c r="DR72" s="22" t="n">
        <f aca="false">DQ75</f>
        <v>1993.30208050153</v>
      </c>
      <c r="DS72" s="22" t="n">
        <f aca="false">DR75</f>
        <v>1993.30208050153</v>
      </c>
      <c r="DT72" s="22" t="n">
        <f aca="false">DS75</f>
        <v>1993.30208050153</v>
      </c>
      <c r="DU72" s="22" t="n">
        <f aca="false">DT75</f>
        <v>1993.30208050153</v>
      </c>
      <c r="DV72" s="22" t="n">
        <f aca="false">DU75</f>
        <v>1993.30208050153</v>
      </c>
      <c r="DW72" s="22" t="n">
        <f aca="false">DV75</f>
        <v>1993.30208050153</v>
      </c>
      <c r="DX72" s="22" t="n">
        <f aca="false">DW75</f>
        <v>1993.30208050153</v>
      </c>
      <c r="DY72" s="22" t="n">
        <f aca="false">DX75</f>
        <v>1993.30208050153</v>
      </c>
      <c r="DZ72" s="22" t="n">
        <f aca="false">DY75</f>
        <v>1993.30208050153</v>
      </c>
      <c r="EA72" s="22" t="n">
        <f aca="false">DZ75</f>
        <v>1993.30208050153</v>
      </c>
      <c r="EB72" s="22" t="n">
        <f aca="false">EA75</f>
        <v>1993.30208050153</v>
      </c>
      <c r="EC72" s="22" t="n">
        <f aca="false">EB75</f>
        <v>1993.30208050153</v>
      </c>
      <c r="ED72" s="22" t="n">
        <f aca="false">EC75</f>
        <v>1993.30208050153</v>
      </c>
      <c r="EE72" s="22" t="n">
        <f aca="false">ED75</f>
        <v>1993.30208050153</v>
      </c>
      <c r="EF72" s="22" t="n">
        <f aca="false">EE75</f>
        <v>1993.30208050153</v>
      </c>
      <c r="EG72" s="22" t="n">
        <f aca="false">EF75</f>
        <v>1993.30208050153</v>
      </c>
      <c r="EH72" s="22" t="n">
        <f aca="false">EG75</f>
        <v>1993.30208050153</v>
      </c>
      <c r="EI72" s="22" t="n">
        <f aca="false">EH75</f>
        <v>1993.30208050153</v>
      </c>
      <c r="EJ72" s="22" t="n">
        <f aca="false">EI75</f>
        <v>1993.30208050153</v>
      </c>
      <c r="EK72" s="22" t="n">
        <f aca="false">EJ75</f>
        <v>1993.30208050153</v>
      </c>
      <c r="EL72" s="22" t="n">
        <f aca="false">EK75</f>
        <v>1993.30208050153</v>
      </c>
      <c r="EM72" s="22" t="n">
        <f aca="false">EL75</f>
        <v>1993.30208050153</v>
      </c>
      <c r="EN72" s="22" t="n">
        <f aca="false">EM75</f>
        <v>1993.30208050153</v>
      </c>
      <c r="EO72" s="22" t="n">
        <f aca="false">EN75</f>
        <v>1993.30208050153</v>
      </c>
      <c r="EP72" s="22" t="n">
        <f aca="false">EO75</f>
        <v>1993.30208050153</v>
      </c>
      <c r="EQ72" s="22" t="n">
        <f aca="false">EP75</f>
        <v>1993.30208050153</v>
      </c>
      <c r="ER72" s="22" t="n">
        <f aca="false">EQ75</f>
        <v>1993.30208050153</v>
      </c>
      <c r="ES72" s="22" t="n">
        <f aca="false">ER75</f>
        <v>1993.30208050153</v>
      </c>
      <c r="ET72" s="22" t="n">
        <f aca="false">ES75</f>
        <v>1993.30208050153</v>
      </c>
    </row>
    <row r="73" customFormat="false" ht="15" hidden="false" customHeight="false" outlineLevel="0" collapsed="false">
      <c r="C73" s="0" t="s">
        <v>527</v>
      </c>
      <c r="D73" s="11" t="s">
        <v>247</v>
      </c>
      <c r="E73" s="33" t="n">
        <f aca="false">SUMIF($J$4:$ET$4,"&lt;="&amp;$E12,$J73:$ET73)</f>
        <v>1120.48016110676</v>
      </c>
      <c r="F73" s="33" t="n">
        <f aca="false">SUMIF($J$4:$ET$4,"&lt;="&amp;In_COD,$J73:$ET73)</f>
        <v>1993.30208050153</v>
      </c>
      <c r="I73" s="33" t="n">
        <f aca="false">SUM(J73:ET73)</f>
        <v>1993.30208050153</v>
      </c>
      <c r="J73" s="33" t="n">
        <f aca="false">In_Guar_Credit*(1-J19)*(J72+J48+J49)*J$5/Days_In_Year*(J$4&lt;=In_COD)</f>
        <v>0</v>
      </c>
      <c r="K73" s="33" t="n">
        <f aca="false">In_Guar_Credit*(1-K19)*(K72+K48+K49)*K$5/Days_In_Year*(K$4&lt;=In_COD)</f>
        <v>18.1640998311128</v>
      </c>
      <c r="L73" s="33" t="n">
        <f aca="false">In_Guar_Credit*(1-L19)*(L72+L48+L49)*L$5/Days_In_Year*(L$4&lt;=In_COD)</f>
        <v>103.735120591234</v>
      </c>
      <c r="M73" s="33" t="n">
        <f aca="false">In_Guar_Credit*(1-M19)*(M72+M48+M49)*M$5/Days_In_Year*(M$4&lt;=In_COD)</f>
        <v>104.887733042248</v>
      </c>
      <c r="N73" s="33" t="n">
        <f aca="false">In_Guar_Credit*(1-N19)*(N72+N48+N49)*N$5/Days_In_Year*(N$4&lt;=In_COD)</f>
        <v>106.040345493261</v>
      </c>
      <c r="O73" s="33" t="n">
        <f aca="false">In_Guar_Credit*(1-O19)*(O72+O48+O49)*O$5/Days_In_Year*(O$4&lt;=In_COD)</f>
        <v>106.040345493261</v>
      </c>
      <c r="P73" s="33" t="n">
        <f aca="false">In_Guar_Credit*(1-P19)*(P72+P48+P49)*P$5/Days_In_Year*(P$4&lt;=In_COD)</f>
        <v>111.180997024782</v>
      </c>
      <c r="Q73" s="33" t="n">
        <f aca="false">In_Guar_Credit*(1-Q19)*(Q72+Q48+Q49)*Q$5/Days_In_Year*(Q$4&lt;=In_COD)</f>
        <v>111.180997024782</v>
      </c>
      <c r="R73" s="33" t="n">
        <f aca="false">In_Guar_Credit*(1-R19)*(R72+R48+R49)*R$5/Days_In_Year*(R$4&lt;=In_COD)</f>
        <v>112.402766222857</v>
      </c>
      <c r="S73" s="33" t="n">
        <f aca="false">In_Guar_Credit*(1-S19)*(S72+S48+S49)*S$5/Days_In_Year*(S$4&lt;=In_COD)</f>
        <v>112.402766222857</v>
      </c>
      <c r="T73" s="33" t="n">
        <f aca="false">In_Guar_Credit*(1-T19)*(T72+T48+T49)*T$5/Days_In_Year*(T$4&lt;=In_COD)</f>
        <v>116.574856985816</v>
      </c>
      <c r="U73" s="33" t="n">
        <f aca="false">In_Guar_Credit*(1-U19)*(U72+U48+U49)*U$5/Days_In_Year*(U$4&lt;=In_COD)</f>
        <v>117.870133174547</v>
      </c>
      <c r="V73" s="33" t="n">
        <f aca="false">In_Guar_Credit*(1-V19)*(V72+V48+V49)*V$5/Days_In_Year*(V$4&lt;=In_COD)</f>
        <v>0</v>
      </c>
      <c r="W73" s="33" t="n">
        <f aca="false">In_Guar_Credit*(1-W19)*(W72+W48+W49)*W$5/Days_In_Year*(W$4&lt;=In_COD)</f>
        <v>0</v>
      </c>
      <c r="X73" s="33" t="n">
        <f aca="false">In_Guar_Credit*(1-X19)*(X72+X48+X49)*X$5/Days_In_Year*(X$4&lt;=In_COD)</f>
        <v>120.043358210106</v>
      </c>
      <c r="Y73" s="33" t="n">
        <f aca="false">In_Guar_Credit*(1-Y19)*(Y72+Y48+Y49)*Y$5/Days_In_Year*(Y$4&lt;=In_COD)</f>
        <v>121.37717330133</v>
      </c>
      <c r="Z73" s="33" t="n">
        <f aca="false">In_Guar_Credit*(1-Z19)*(Z72+Z48+Z49)*Z$5/Days_In_Year*(Z$4&lt;=In_COD)</f>
        <v>122.710988392553</v>
      </c>
      <c r="AA73" s="33" t="n">
        <f aca="false">In_Guar_Credit*(1-AA19)*(AA72+AA48+AA49)*AA$5/Days_In_Year*(AA$4&lt;=In_COD)</f>
        <v>122.710988392553</v>
      </c>
      <c r="AB73" s="33" t="n">
        <f aca="false">In_Guar_Credit*(1-AB19)*(AB72+AB48+AB49)*AB$5/Days_In_Year*(AB$4&lt;=In_COD)</f>
        <v>127.245959702713</v>
      </c>
      <c r="AC73" s="33" t="n">
        <f aca="false">In_Guar_Credit*(1-AC19)*(AC72+AC48+AC49)*AC$5/Days_In_Year*(AC$4&lt;=In_COD)</f>
        <v>128.65980369941</v>
      </c>
      <c r="AD73" s="33" t="n">
        <f aca="false">In_Guar_Credit*(1-AD19)*(AD72+AD48+AD49)*AD$5/Days_In_Year*(AD$4&lt;=In_COD)</f>
        <v>130.073647696106</v>
      </c>
      <c r="AE73" s="33" t="n">
        <f aca="false">In_Guar_Credit*(1-AE19)*(AE72+AE48+AE49)*AE$5/Days_In_Year*(AE$4&lt;=In_COD)</f>
        <v>0</v>
      </c>
      <c r="AF73" s="33" t="n">
        <f aca="false">In_Guar_Credit*(1-AF19)*(AF72+AF48+AF49)*AF$5/Days_In_Year*(AF$4&lt;=In_COD)</f>
        <v>0</v>
      </c>
      <c r="AG73" s="33" t="n">
        <f aca="false">In_Guar_Credit*(1-AG19)*(AG72+AG48+AG49)*AG$5/Days_In_Year*(AG$4&lt;=In_COD)</f>
        <v>0</v>
      </c>
      <c r="AH73" s="33" t="n">
        <f aca="false">In_Guar_Credit*(1-AH19)*(AH72+AH48+AH49)*AH$5/Days_In_Year*(AH$4&lt;=In_COD)</f>
        <v>0</v>
      </c>
      <c r="AI73" s="33" t="n">
        <f aca="false">In_Guar_Credit*(1-AI19)*(AI72+AI48+AI49)*AI$5/Days_In_Year*(AI$4&lt;=In_COD)</f>
        <v>0</v>
      </c>
      <c r="AJ73" s="33" t="n">
        <f aca="false">In_Guar_Credit*(1-AJ19)*(AJ72+AJ48+AJ49)*AJ$5/Days_In_Year*(AJ$4&lt;=In_COD)</f>
        <v>0</v>
      </c>
      <c r="AK73" s="33" t="n">
        <f aca="false">In_Guar_Credit*(1-AK19)*(AK72+AK48+AK49)*AK$5/Days_In_Year*(AK$4&lt;=In_COD)</f>
        <v>0</v>
      </c>
      <c r="AL73" s="33" t="n">
        <f aca="false">In_Guar_Credit*(1-AL19)*(AL72+AL48+AL49)*AL$5/Days_In_Year*(AL$4&lt;=In_COD)</f>
        <v>0</v>
      </c>
      <c r="AM73" s="33" t="n">
        <f aca="false">In_Guar_Credit*(1-AM19)*(AM72+AM48+AM49)*AM$5/Days_In_Year*(AM$4&lt;=In_COD)</f>
        <v>0</v>
      </c>
      <c r="AN73" s="33" t="n">
        <f aca="false">In_Guar_Credit*(1-AN19)*(AN72+AN48+AN49)*AN$5/Days_In_Year*(AN$4&lt;=In_COD)</f>
        <v>0</v>
      </c>
      <c r="AO73" s="33" t="n">
        <f aca="false">In_Guar_Credit*(1-AO19)*(AO72+AO48+AO49)*AO$5/Days_In_Year*(AO$4&lt;=In_COD)</f>
        <v>0</v>
      </c>
      <c r="AP73" s="33" t="n">
        <f aca="false">In_Guar_Credit*(1-AP19)*(AP72+AP48+AP49)*AP$5/Days_In_Year*(AP$4&lt;=In_COD)</f>
        <v>0</v>
      </c>
      <c r="AQ73" s="33" t="n">
        <f aca="false">In_Guar_Credit*(1-AQ19)*(AQ72+AQ48+AQ49)*AQ$5/Days_In_Year*(AQ$4&lt;=In_COD)</f>
        <v>0</v>
      </c>
      <c r="AR73" s="33" t="n">
        <f aca="false">In_Guar_Credit*(1-AR19)*(AR72+AR48+AR49)*AR$5/Days_In_Year*(AR$4&lt;=In_COD)</f>
        <v>0</v>
      </c>
      <c r="AS73" s="33" t="n">
        <f aca="false">In_Guar_Credit*(1-AS19)*(AS72+AS48+AS49)*AS$5/Days_In_Year*(AS$4&lt;=In_COD)</f>
        <v>0</v>
      </c>
      <c r="AT73" s="33" t="n">
        <f aca="false">In_Guar_Credit*(1-AT19)*(AT72+AT48+AT49)*AT$5/Days_In_Year*(AT$4&lt;=In_COD)</f>
        <v>0</v>
      </c>
      <c r="AU73" s="33" t="n">
        <f aca="false">In_Guar_Credit*(1-AU19)*(AU72+AU48+AU49)*AU$5/Days_In_Year*(AU$4&lt;=In_COD)</f>
        <v>0</v>
      </c>
      <c r="AV73" s="33" t="n">
        <f aca="false">In_Guar_Credit*(1-AV19)*(AV72+AV48+AV49)*AV$5/Days_In_Year*(AV$4&lt;=In_COD)</f>
        <v>0</v>
      </c>
      <c r="AW73" s="33" t="n">
        <f aca="false">In_Guar_Credit*(1-AW19)*(AW72+AW48+AW49)*AW$5/Days_In_Year*(AW$4&lt;=In_COD)</f>
        <v>0</v>
      </c>
      <c r="AX73" s="33" t="n">
        <f aca="false">In_Guar_Credit*(1-AX19)*(AX72+AX48+AX49)*AX$5/Days_In_Year*(AX$4&lt;=In_COD)</f>
        <v>0</v>
      </c>
      <c r="AY73" s="33" t="n">
        <f aca="false">In_Guar_Credit*(1-AY19)*(AY72+AY48+AY49)*AY$5/Days_In_Year*(AY$4&lt;=In_COD)</f>
        <v>0</v>
      </c>
      <c r="AZ73" s="33" t="n">
        <f aca="false">In_Guar_Credit*(1-AZ19)*(AZ72+AZ48+AZ49)*AZ$5/Days_In_Year*(AZ$4&lt;=In_COD)</f>
        <v>0</v>
      </c>
      <c r="BA73" s="33" t="n">
        <f aca="false">In_Guar_Credit*(1-BA19)*(BA72+BA48+BA49)*BA$5/Days_In_Year*(BA$4&lt;=In_COD)</f>
        <v>0</v>
      </c>
      <c r="BB73" s="33" t="n">
        <f aca="false">In_Guar_Credit*(1-BB19)*(BB72+BB48+BB49)*BB$5/Days_In_Year*(BB$4&lt;=In_COD)</f>
        <v>0</v>
      </c>
      <c r="BC73" s="33" t="n">
        <f aca="false">In_Guar_Credit*(1-BC19)*(BC72+BC48+BC49)*BC$5/Days_In_Year*(BC$4&lt;=In_COD)</f>
        <v>0</v>
      </c>
      <c r="BD73" s="33" t="n">
        <f aca="false">In_Guar_Credit*(1-BD19)*(BD72+BD48+BD49)*BD$5/Days_In_Year*(BD$4&lt;=In_COD)</f>
        <v>0</v>
      </c>
      <c r="BE73" s="33" t="n">
        <f aca="false">In_Guar_Credit*(1-BE19)*(BE72+BE48+BE49)*BE$5/Days_In_Year*(BE$4&lt;=In_COD)</f>
        <v>0</v>
      </c>
      <c r="BF73" s="33" t="n">
        <f aca="false">In_Guar_Credit*(1-BF19)*(BF72+BF48+BF49)*BF$5/Days_In_Year*(BF$4&lt;=In_COD)</f>
        <v>0</v>
      </c>
      <c r="BG73" s="33" t="n">
        <f aca="false">In_Guar_Credit*(1-BG19)*(BG72+BG48+BG49)*BG$5/Days_In_Year*(BG$4&lt;=In_COD)</f>
        <v>0</v>
      </c>
      <c r="BH73" s="33" t="n">
        <f aca="false">In_Guar_Credit*(1-BH19)*(BH72+BH48+BH49)*BH$5/Days_In_Year*(BH$4&lt;=In_COD)</f>
        <v>0</v>
      </c>
      <c r="BI73" s="33" t="n">
        <f aca="false">In_Guar_Credit*(1-BI19)*(BI72+BI48+BI49)*BI$5/Days_In_Year*(BI$4&lt;=In_COD)</f>
        <v>0</v>
      </c>
      <c r="BJ73" s="33" t="n">
        <f aca="false">In_Guar_Credit*(1-BJ19)*(BJ72+BJ48+BJ49)*BJ$5/Days_In_Year*(BJ$4&lt;=In_COD)</f>
        <v>0</v>
      </c>
      <c r="BK73" s="33" t="n">
        <f aca="false">In_Guar_Credit*(1-BK19)*(BK72+BK48+BK49)*BK$5/Days_In_Year*(BK$4&lt;=In_COD)</f>
        <v>0</v>
      </c>
      <c r="BL73" s="33" t="n">
        <f aca="false">In_Guar_Credit*(1-BL19)*(BL72+BL48+BL49)*BL$5/Days_In_Year*(BL$4&lt;=In_COD)</f>
        <v>0</v>
      </c>
      <c r="BM73" s="33" t="n">
        <f aca="false">In_Guar_Credit*(1-BM19)*(BM72+BM48+BM49)*BM$5/Days_In_Year*(BM$4&lt;=In_COD)</f>
        <v>0</v>
      </c>
      <c r="BN73" s="33" t="n">
        <f aca="false">In_Guar_Credit*(1-BN19)*(BN72+BN48+BN49)*BN$5/Days_In_Year*(BN$4&lt;=In_COD)</f>
        <v>0</v>
      </c>
      <c r="BO73" s="33" t="n">
        <f aca="false">In_Guar_Credit*(1-BO19)*(BO72+BO48+BO49)*BO$5/Days_In_Year*(BO$4&lt;=In_COD)</f>
        <v>0</v>
      </c>
      <c r="BP73" s="33" t="n">
        <f aca="false">In_Guar_Credit*(1-BP19)*(BP72+BP48+BP49)*BP$5/Days_In_Year*(BP$4&lt;=In_COD)</f>
        <v>0</v>
      </c>
      <c r="BQ73" s="33" t="n">
        <f aca="false">In_Guar_Credit*(1-BQ19)*(BQ72+BQ48+BQ49)*BQ$5/Days_In_Year*(BQ$4&lt;=In_COD)</f>
        <v>0</v>
      </c>
      <c r="BR73" s="33" t="n">
        <f aca="false">In_Guar_Credit*(1-BR19)*(BR72+BR48+BR49)*BR$5/Days_In_Year*(BR$4&lt;=In_COD)</f>
        <v>0</v>
      </c>
      <c r="BS73" s="33" t="n">
        <f aca="false">In_Guar_Credit*(1-BS19)*(BS72+BS48+BS49)*BS$5/Days_In_Year*(BS$4&lt;=In_COD)</f>
        <v>0</v>
      </c>
      <c r="BT73" s="33" t="n">
        <f aca="false">In_Guar_Credit*(1-BT19)*(BT72+BT48+BT49)*BT$5/Days_In_Year*(BT$4&lt;=In_COD)</f>
        <v>0</v>
      </c>
      <c r="BU73" s="33" t="n">
        <f aca="false">In_Guar_Credit*(1-BU19)*(BU72+BU48+BU49)*BU$5/Days_In_Year*(BU$4&lt;=In_COD)</f>
        <v>0</v>
      </c>
      <c r="BV73" s="33" t="n">
        <f aca="false">In_Guar_Credit*(1-BV19)*(BV72+BV48+BV49)*BV$5/Days_In_Year*(BV$4&lt;=In_COD)</f>
        <v>0</v>
      </c>
      <c r="BW73" s="33" t="n">
        <f aca="false">In_Guar_Credit*(1-BW19)*(BW72+BW48+BW49)*BW$5/Days_In_Year*(BW$4&lt;=In_COD)</f>
        <v>0</v>
      </c>
      <c r="BX73" s="33" t="n">
        <f aca="false">In_Guar_Credit*(1-BX19)*(BX72+BX48+BX49)*BX$5/Days_In_Year*(BX$4&lt;=In_COD)</f>
        <v>0</v>
      </c>
      <c r="BY73" s="33" t="n">
        <f aca="false">In_Guar_Credit*(1-BY19)*(BY72+BY48+BY49)*BY$5/Days_In_Year*(BY$4&lt;=In_COD)</f>
        <v>0</v>
      </c>
      <c r="BZ73" s="33" t="n">
        <f aca="false">In_Guar_Credit*(1-BZ19)*(BZ72+BZ48+BZ49)*BZ$5/Days_In_Year*(BZ$4&lt;=In_COD)</f>
        <v>0</v>
      </c>
      <c r="CA73" s="33" t="n">
        <f aca="false">In_Guar_Credit*(1-CA19)*(CA72+CA48+CA49)*CA$5/Days_In_Year*(CA$4&lt;=In_COD)</f>
        <v>0</v>
      </c>
      <c r="CB73" s="33" t="n">
        <f aca="false">In_Guar_Credit*(1-CB19)*(CB72+CB48+CB49)*CB$5/Days_In_Year*(CB$4&lt;=In_COD)</f>
        <v>0</v>
      </c>
      <c r="CC73" s="33" t="n">
        <f aca="false">In_Guar_Credit*(1-CC19)*(CC72+CC48+CC49)*CC$5/Days_In_Year*(CC$4&lt;=In_COD)</f>
        <v>0</v>
      </c>
      <c r="CD73" s="33" t="n">
        <f aca="false">In_Guar_Credit*(1-CD19)*(CD72+CD48+CD49)*CD$5/Days_In_Year*(CD$4&lt;=In_COD)</f>
        <v>0</v>
      </c>
      <c r="CE73" s="33" t="n">
        <f aca="false">In_Guar_Credit*(1-CE19)*(CE72+CE48+CE49)*CE$5/Days_In_Year*(CE$4&lt;=In_COD)</f>
        <v>0</v>
      </c>
      <c r="CF73" s="33" t="n">
        <f aca="false">In_Guar_Credit*(1-CF19)*(CF72+CF48+CF49)*CF$5/Days_In_Year*(CF$4&lt;=In_COD)</f>
        <v>0</v>
      </c>
      <c r="CG73" s="33" t="n">
        <f aca="false">In_Guar_Credit*(1-CG19)*(CG72+CG48+CG49)*CG$5/Days_In_Year*(CG$4&lt;=In_COD)</f>
        <v>0</v>
      </c>
      <c r="CH73" s="33" t="n">
        <f aca="false">In_Guar_Credit*(1-CH19)*(CH72+CH48+CH49)*CH$5/Days_In_Year*(CH$4&lt;=In_COD)</f>
        <v>0</v>
      </c>
      <c r="CI73" s="33" t="n">
        <f aca="false">In_Guar_Credit*(1-CI19)*(CI72+CI48+CI49)*CI$5/Days_In_Year*(CI$4&lt;=In_COD)</f>
        <v>0</v>
      </c>
      <c r="CJ73" s="33" t="n">
        <f aca="false">In_Guar_Credit*(1-CJ19)*(CJ72+CJ48+CJ49)*CJ$5/Days_In_Year*(CJ$4&lt;=In_COD)</f>
        <v>0</v>
      </c>
      <c r="CK73" s="33" t="n">
        <f aca="false">In_Guar_Credit*(1-CK19)*(CK72+CK48+CK49)*CK$5/Days_In_Year*(CK$4&lt;=In_COD)</f>
        <v>0</v>
      </c>
      <c r="CL73" s="33" t="n">
        <f aca="false">In_Guar_Credit*(1-CL19)*(CL72+CL48+CL49)*CL$5/Days_In_Year*(CL$4&lt;=In_COD)</f>
        <v>0</v>
      </c>
      <c r="CM73" s="33" t="n">
        <f aca="false">In_Guar_Credit*(1-CM19)*(CM72+CM48+CM49)*CM$5/Days_In_Year*(CM$4&lt;=In_COD)</f>
        <v>0</v>
      </c>
      <c r="CN73" s="33" t="n">
        <f aca="false">In_Guar_Credit*(1-CN19)*(CN72+CN48+CN49)*CN$5/Days_In_Year*(CN$4&lt;=In_COD)</f>
        <v>0</v>
      </c>
      <c r="CO73" s="33" t="n">
        <f aca="false">In_Guar_Credit*(1-CO19)*(CO72+CO48+CO49)*CO$5/Days_In_Year*(CO$4&lt;=In_COD)</f>
        <v>0</v>
      </c>
      <c r="CP73" s="33" t="n">
        <f aca="false">In_Guar_Credit*(1-CP19)*(CP72+CP48+CP49)*CP$5/Days_In_Year*(CP$4&lt;=In_COD)</f>
        <v>0</v>
      </c>
      <c r="CQ73" s="33" t="n">
        <f aca="false">In_Guar_Credit*(1-CQ19)*(CQ72+CQ48+CQ49)*CQ$5/Days_In_Year*(CQ$4&lt;=In_COD)</f>
        <v>0</v>
      </c>
      <c r="CR73" s="33" t="n">
        <f aca="false">In_Guar_Credit*(1-CR19)*(CR72+CR48+CR49)*CR$5/Days_In_Year*(CR$4&lt;=In_COD)</f>
        <v>0</v>
      </c>
      <c r="CS73" s="33" t="n">
        <f aca="false">In_Guar_Credit*(1-CS19)*(CS72+CS48+CS49)*CS$5/Days_In_Year*(CS$4&lt;=In_COD)</f>
        <v>0</v>
      </c>
      <c r="CT73" s="33" t="n">
        <f aca="false">In_Guar_Credit*(1-CT19)*(CT72+CT48+CT49)*CT$5/Days_In_Year*(CT$4&lt;=In_COD)</f>
        <v>0</v>
      </c>
      <c r="CU73" s="33" t="n">
        <f aca="false">In_Guar_Credit*(1-CU19)*(CU72+CU48+CU49)*CU$5/Days_In_Year*(CU$4&lt;=In_COD)</f>
        <v>0</v>
      </c>
      <c r="CV73" s="33" t="n">
        <f aca="false">In_Guar_Credit*(1-CV19)*(CV72+CV48+CV49)*CV$5/Days_In_Year*(CV$4&lt;=In_COD)</f>
        <v>0</v>
      </c>
      <c r="CW73" s="33" t="n">
        <f aca="false">In_Guar_Credit*(1-CW19)*(CW72+CW48+CW49)*CW$5/Days_In_Year*(CW$4&lt;=In_COD)</f>
        <v>0</v>
      </c>
      <c r="CX73" s="33" t="n">
        <f aca="false">In_Guar_Credit*(1-CX19)*(CX72+CX48+CX49)*CX$5/Days_In_Year*(CX$4&lt;=In_COD)</f>
        <v>0</v>
      </c>
      <c r="CY73" s="33" t="n">
        <f aca="false">In_Guar_Credit*(1-CY19)*(CY72+CY48+CY49)*CY$5/Days_In_Year*(CY$4&lt;=In_COD)</f>
        <v>0</v>
      </c>
      <c r="CZ73" s="33" t="n">
        <f aca="false">In_Guar_Credit*(1-CZ19)*(CZ72+CZ48+CZ49)*CZ$5/Days_In_Year*(CZ$4&lt;=In_COD)</f>
        <v>0</v>
      </c>
      <c r="DA73" s="33" t="n">
        <f aca="false">In_Guar_Credit*(1-DA19)*(DA72+DA48+DA49)*DA$5/Days_In_Year*(DA$4&lt;=In_COD)</f>
        <v>0</v>
      </c>
      <c r="DB73" s="33" t="n">
        <f aca="false">In_Guar_Credit*(1-DB19)*(DB72+DB48+DB49)*DB$5/Days_In_Year*(DB$4&lt;=In_COD)</f>
        <v>0</v>
      </c>
      <c r="DC73" s="33" t="n">
        <f aca="false">In_Guar_Credit*(1-DC19)*(DC72+DC48+DC49)*DC$5/Days_In_Year*(DC$4&lt;=In_COD)</f>
        <v>0</v>
      </c>
      <c r="DD73" s="33" t="n">
        <f aca="false">In_Guar_Credit*(1-DD19)*(DD72+DD48+DD49)*DD$5/Days_In_Year*(DD$4&lt;=In_COD)</f>
        <v>0</v>
      </c>
      <c r="DE73" s="33" t="n">
        <f aca="false">In_Guar_Credit*(1-DE19)*(DE72+DE48+DE49)*DE$5/Days_In_Year*(DE$4&lt;=In_COD)</f>
        <v>0</v>
      </c>
      <c r="DF73" s="33" t="n">
        <f aca="false">In_Guar_Credit*(1-DF19)*(DF72+DF48+DF49)*DF$5/Days_In_Year*(DF$4&lt;=In_COD)</f>
        <v>0</v>
      </c>
      <c r="DG73" s="33" t="n">
        <f aca="false">In_Guar_Credit*(1-DG19)*(DG72+DG48+DG49)*DG$5/Days_In_Year*(DG$4&lt;=In_COD)</f>
        <v>0</v>
      </c>
      <c r="DH73" s="33" t="n">
        <f aca="false">In_Guar_Credit*(1-DH19)*(DH72+DH48+DH49)*DH$5/Days_In_Year*(DH$4&lt;=In_COD)</f>
        <v>0</v>
      </c>
      <c r="DI73" s="33" t="n">
        <f aca="false">In_Guar_Credit*(1-DI19)*(DI72+DI48+DI49)*DI$5/Days_In_Year*(DI$4&lt;=In_COD)</f>
        <v>0</v>
      </c>
      <c r="DJ73" s="33" t="n">
        <f aca="false">In_Guar_Credit*(1-DJ19)*(DJ72+DJ48+DJ49)*DJ$5/Days_In_Year*(DJ$4&lt;=In_COD)</f>
        <v>0</v>
      </c>
      <c r="DK73" s="33" t="n">
        <f aca="false">In_Guar_Credit*(1-DK19)*(DK72+DK48+DK49)*DK$5/Days_In_Year*(DK$4&lt;=In_COD)</f>
        <v>0</v>
      </c>
      <c r="DL73" s="33" t="n">
        <f aca="false">In_Guar_Credit*(1-DL19)*(DL72+DL48+DL49)*DL$5/Days_In_Year*(DL$4&lt;=In_COD)</f>
        <v>0</v>
      </c>
      <c r="DM73" s="33" t="n">
        <f aca="false">In_Guar_Credit*(1-DM19)*(DM72+DM48+DM49)*DM$5/Days_In_Year*(DM$4&lt;=In_COD)</f>
        <v>0</v>
      </c>
      <c r="DN73" s="33" t="n">
        <f aca="false">In_Guar_Credit*(1-DN19)*(DN72+DN48+DN49)*DN$5/Days_In_Year*(DN$4&lt;=In_COD)</f>
        <v>0</v>
      </c>
      <c r="DO73" s="33" t="n">
        <f aca="false">In_Guar_Credit*(1-DO19)*(DO72+DO48+DO49)*DO$5/Days_In_Year*(DO$4&lt;=In_COD)</f>
        <v>0</v>
      </c>
      <c r="DP73" s="33" t="n">
        <f aca="false">In_Guar_Credit*(1-DP19)*(DP72+DP48+DP49)*DP$5/Days_In_Year*(DP$4&lt;=In_COD)</f>
        <v>0</v>
      </c>
      <c r="DQ73" s="33" t="n">
        <f aca="false">In_Guar_Credit*(1-DQ19)*(DQ72+DQ48+DQ49)*DQ$5/Days_In_Year*(DQ$4&lt;=In_COD)</f>
        <v>0</v>
      </c>
      <c r="DR73" s="33" t="n">
        <f aca="false">In_Guar_Credit*(1-DR19)*(DR72+DR48+DR49)*DR$5/Days_In_Year*(DR$4&lt;=In_COD)</f>
        <v>0</v>
      </c>
      <c r="DS73" s="33" t="n">
        <f aca="false">In_Guar_Credit*(1-DS19)*(DS72+DS48+DS49)*DS$5/Days_In_Year*(DS$4&lt;=In_COD)</f>
        <v>0</v>
      </c>
      <c r="DT73" s="33" t="n">
        <f aca="false">In_Guar_Credit*(1-DT19)*(DT72+DT48+DT49)*DT$5/Days_In_Year*(DT$4&lt;=In_COD)</f>
        <v>0</v>
      </c>
      <c r="DU73" s="33" t="n">
        <f aca="false">In_Guar_Credit*(1-DU19)*(DU72+DU48+DU49)*DU$5/Days_In_Year*(DU$4&lt;=In_COD)</f>
        <v>0</v>
      </c>
      <c r="DV73" s="33" t="n">
        <f aca="false">In_Guar_Credit*(1-DV19)*(DV72+DV48+DV49)*DV$5/Days_In_Year*(DV$4&lt;=In_COD)</f>
        <v>0</v>
      </c>
      <c r="DW73" s="33" t="n">
        <f aca="false">In_Guar_Credit*(1-DW19)*(DW72+DW48+DW49)*DW$5/Days_In_Year*(DW$4&lt;=In_COD)</f>
        <v>0</v>
      </c>
      <c r="DX73" s="33" t="n">
        <f aca="false">In_Guar_Credit*(1-DX19)*(DX72+DX48+DX49)*DX$5/Days_In_Year*(DX$4&lt;=In_COD)</f>
        <v>0</v>
      </c>
      <c r="DY73" s="33" t="n">
        <f aca="false">In_Guar_Credit*(1-DY19)*(DY72+DY48+DY49)*DY$5/Days_In_Year*(DY$4&lt;=In_COD)</f>
        <v>0</v>
      </c>
      <c r="DZ73" s="33" t="n">
        <f aca="false">In_Guar_Credit*(1-DZ19)*(DZ72+DZ48+DZ49)*DZ$5/Days_In_Year*(DZ$4&lt;=In_COD)</f>
        <v>0</v>
      </c>
      <c r="EA73" s="33" t="n">
        <f aca="false">In_Guar_Credit*(1-EA19)*(EA72+EA48+EA49)*EA$5/Days_In_Year*(EA$4&lt;=In_COD)</f>
        <v>0</v>
      </c>
      <c r="EB73" s="33" t="n">
        <f aca="false">In_Guar_Credit*(1-EB19)*(EB72+EB48+EB49)*EB$5/Days_In_Year*(EB$4&lt;=In_COD)</f>
        <v>0</v>
      </c>
      <c r="EC73" s="33" t="n">
        <f aca="false">In_Guar_Credit*(1-EC19)*(EC72+EC48+EC49)*EC$5/Days_In_Year*(EC$4&lt;=In_COD)</f>
        <v>0</v>
      </c>
      <c r="ED73" s="33" t="n">
        <f aca="false">In_Guar_Credit*(1-ED19)*(ED72+ED48+ED49)*ED$5/Days_In_Year*(ED$4&lt;=In_COD)</f>
        <v>0</v>
      </c>
      <c r="EE73" s="33" t="n">
        <f aca="false">In_Guar_Credit*(1-EE19)*(EE72+EE48+EE49)*EE$5/Days_In_Year*(EE$4&lt;=In_COD)</f>
        <v>0</v>
      </c>
      <c r="EF73" s="33" t="n">
        <f aca="false">In_Guar_Credit*(1-EF19)*(EF72+EF48+EF49)*EF$5/Days_In_Year*(EF$4&lt;=In_COD)</f>
        <v>0</v>
      </c>
      <c r="EG73" s="33" t="n">
        <f aca="false">In_Guar_Credit*(1-EG19)*(EG72+EG48+EG49)*EG$5/Days_In_Year*(EG$4&lt;=In_COD)</f>
        <v>0</v>
      </c>
      <c r="EH73" s="33" t="n">
        <f aca="false">In_Guar_Credit*(1-EH19)*(EH72+EH48+EH49)*EH$5/Days_In_Year*(EH$4&lt;=In_COD)</f>
        <v>0</v>
      </c>
      <c r="EI73" s="33" t="n">
        <f aca="false">In_Guar_Credit*(1-EI19)*(EI72+EI48+EI49)*EI$5/Days_In_Year*(EI$4&lt;=In_COD)</f>
        <v>0</v>
      </c>
      <c r="EJ73" s="33" t="n">
        <f aca="false">In_Guar_Credit*(1-EJ19)*(EJ72+EJ48+EJ49)*EJ$5/Days_In_Year*(EJ$4&lt;=In_COD)</f>
        <v>0</v>
      </c>
      <c r="EK73" s="33" t="n">
        <f aca="false">In_Guar_Credit*(1-EK19)*(EK72+EK48+EK49)*EK$5/Days_In_Year*(EK$4&lt;=In_COD)</f>
        <v>0</v>
      </c>
      <c r="EL73" s="33" t="n">
        <f aca="false">In_Guar_Credit*(1-EL19)*(EL72+EL48+EL49)*EL$5/Days_In_Year*(EL$4&lt;=In_COD)</f>
        <v>0</v>
      </c>
      <c r="EM73" s="33" t="n">
        <f aca="false">In_Guar_Credit*(1-EM19)*(EM72+EM48+EM49)*EM$5/Days_In_Year*(EM$4&lt;=In_COD)</f>
        <v>0</v>
      </c>
      <c r="EN73" s="33" t="n">
        <f aca="false">In_Guar_Credit*(1-EN19)*(EN72+EN48+EN49)*EN$5/Days_In_Year*(EN$4&lt;=In_COD)</f>
        <v>0</v>
      </c>
      <c r="EO73" s="33" t="n">
        <f aca="false">In_Guar_Credit*(1-EO19)*(EO72+EO48+EO49)*EO$5/Days_In_Year*(EO$4&lt;=In_COD)</f>
        <v>0</v>
      </c>
      <c r="EP73" s="33" t="n">
        <f aca="false">In_Guar_Credit*(1-EP19)*(EP72+EP48+EP49)*EP$5/Days_In_Year*(EP$4&lt;=In_COD)</f>
        <v>0</v>
      </c>
      <c r="EQ73" s="33" t="n">
        <f aca="false">In_Guar_Credit*(1-EQ19)*(EQ72+EQ48+EQ49)*EQ$5/Days_In_Year*(EQ$4&lt;=In_COD)</f>
        <v>0</v>
      </c>
      <c r="ER73" s="33" t="n">
        <f aca="false">In_Guar_Credit*(1-ER19)*(ER72+ER48+ER49)*ER$5/Days_In_Year*(ER$4&lt;=In_COD)</f>
        <v>0</v>
      </c>
      <c r="ES73" s="33" t="n">
        <f aca="false">In_Guar_Credit*(1-ES19)*(ES72+ES48+ES49)*ES$5/Days_In_Year*(ES$4&lt;=In_COD)</f>
        <v>0</v>
      </c>
      <c r="ET73" s="33" t="n">
        <f aca="false">In_Guar_Credit*(1-ET19)*(ET72+ET48+ET49)*ET$5/Days_In_Year*(ET$4&lt;=In_COD)</f>
        <v>0</v>
      </c>
    </row>
    <row r="74" customFormat="false" ht="15" hidden="false" customHeight="false" outlineLevel="0" collapsed="false">
      <c r="C74" s="0" t="s">
        <v>528</v>
      </c>
      <c r="D74" s="11" t="s">
        <v>247</v>
      </c>
      <c r="I74" s="33" t="n">
        <f aca="false">SUM(J74:ET74)</f>
        <v>1993.30208050153</v>
      </c>
      <c r="J74" s="33" t="n">
        <f aca="false">J20*SUMIF($J$7:J$7,J$7,$J73:J73)</f>
        <v>0</v>
      </c>
      <c r="K74" s="33" t="n">
        <f aca="false">K20*SUMIF($J$7:K$7,K$7,$J73:K73)</f>
        <v>18.1640998311128</v>
      </c>
      <c r="L74" s="33" t="n">
        <f aca="false">L20*SUMIF($J$7:L$7,L$7,$J73:L73)</f>
        <v>0</v>
      </c>
      <c r="M74" s="33" t="n">
        <f aca="false">M20*SUMIF($J$7:M$7,M$7,$J73:M73)</f>
        <v>0</v>
      </c>
      <c r="N74" s="33" t="n">
        <f aca="false">N20*SUMIF($J$7:N$7,N$7,$J73:N73)</f>
        <v>0</v>
      </c>
      <c r="O74" s="33" t="n">
        <f aca="false">O20*SUMIF($J$7:O$7,O$7,$J73:O73)</f>
        <v>420.703544620004</v>
      </c>
      <c r="P74" s="33" t="n">
        <f aca="false">P20*SUMIF($J$7:P$7,P$7,$J73:P73)</f>
        <v>0</v>
      </c>
      <c r="Q74" s="33" t="n">
        <f aca="false">Q20*SUMIF($J$7:Q$7,Q$7,$J73:Q73)</f>
        <v>0</v>
      </c>
      <c r="R74" s="33" t="n">
        <f aca="false">R20*SUMIF($J$7:R$7,R$7,$J73:R73)</f>
        <v>0</v>
      </c>
      <c r="S74" s="33" t="n">
        <f aca="false">S20*SUMIF($J$7:S$7,S$7,$J73:S73)</f>
        <v>447.167526495279</v>
      </c>
      <c r="T74" s="33" t="n">
        <f aca="false">T20*SUMIF($J$7:T$7,T$7,$J73:T73)</f>
        <v>0</v>
      </c>
      <c r="U74" s="33" t="n">
        <f aca="false">U20*SUMIF($J$7:U$7,U$7,$J73:U73)</f>
        <v>0</v>
      </c>
      <c r="V74" s="33" t="n">
        <f aca="false">V20*SUMIF($J$7:V$7,V$7,$J73:V73)</f>
        <v>0</v>
      </c>
      <c r="W74" s="33" t="n">
        <f aca="false">W20*SUMIF($J$7:W$7,W$7,$J73:W73)</f>
        <v>234.444990160363</v>
      </c>
      <c r="X74" s="33" t="n">
        <f aca="false">X20*SUMIF($J$7:X$7,X$7,$J73:X73)</f>
        <v>0</v>
      </c>
      <c r="Y74" s="33" t="n">
        <f aca="false">Y20*SUMIF($J$7:Y$7,Y$7,$J73:Y73)</f>
        <v>0</v>
      </c>
      <c r="Z74" s="33" t="n">
        <f aca="false">Z20*SUMIF($J$7:Z$7,Z$7,$J73:Z73)</f>
        <v>0</v>
      </c>
      <c r="AA74" s="33" t="n">
        <f aca="false">AA20*SUMIF($J$7:AA$7,AA$7,$J73:AA73)</f>
        <v>486.842508296543</v>
      </c>
      <c r="AB74" s="33" t="n">
        <f aca="false">AB20*SUMIF($J$7:AB$7,AB$7,$J73:AB73)</f>
        <v>0</v>
      </c>
      <c r="AC74" s="33" t="n">
        <f aca="false">AC20*SUMIF($J$7:AC$7,AC$7,$J73:AC73)</f>
        <v>0</v>
      </c>
      <c r="AD74" s="33" t="n">
        <f aca="false">AD20*SUMIF($J$7:AD$7,AD$7,$J73:AD73)</f>
        <v>0</v>
      </c>
      <c r="AE74" s="33" t="n">
        <f aca="false">AE20*SUMIF($J$7:AE$7,AE$7,$J73:AE73)</f>
        <v>385.979411098229</v>
      </c>
      <c r="AF74" s="33" t="n">
        <f aca="false">AF20*SUMIF($J$7:AF$7,AF$7,$J73:AF73)</f>
        <v>0</v>
      </c>
      <c r="AG74" s="33" t="n">
        <f aca="false">AG20*SUMIF($J$7:AG$7,AG$7,$J73:AG73)</f>
        <v>0</v>
      </c>
      <c r="AH74" s="33" t="n">
        <f aca="false">AH20*SUMIF($J$7:AH$7,AH$7,$J73:AH73)</f>
        <v>0</v>
      </c>
      <c r="AI74" s="33" t="n">
        <f aca="false">AI20*SUMIF($J$7:AI$7,AI$7,$J73:AI73)</f>
        <v>0</v>
      </c>
      <c r="AJ74" s="33" t="n">
        <f aca="false">AJ20*SUMIF($J$7:AJ$7,AJ$7,$J73:AJ73)</f>
        <v>0</v>
      </c>
      <c r="AK74" s="33" t="n">
        <f aca="false">AK20*SUMIF($J$7:AK$7,AK$7,$J73:AK73)</f>
        <v>0</v>
      </c>
      <c r="AL74" s="33" t="n">
        <f aca="false">AL20*SUMIF($J$7:AL$7,AL$7,$J73:AL73)</f>
        <v>0</v>
      </c>
      <c r="AM74" s="33" t="n">
        <f aca="false">AM20*SUMIF($J$7:AM$7,AM$7,$J73:AM73)</f>
        <v>0</v>
      </c>
      <c r="AN74" s="33" t="n">
        <f aca="false">AN20*SUMIF($J$7:AN$7,AN$7,$J73:AN73)</f>
        <v>0</v>
      </c>
      <c r="AO74" s="33" t="n">
        <f aca="false">AO20*SUMIF($J$7:AO$7,AO$7,$J73:AO73)</f>
        <v>0</v>
      </c>
      <c r="AP74" s="33" t="n">
        <f aca="false">AP20*SUMIF($J$7:AP$7,AP$7,$J73:AP73)</f>
        <v>0</v>
      </c>
      <c r="AQ74" s="33" t="n">
        <f aca="false">AQ20*SUMIF($J$7:AQ$7,AQ$7,$J73:AQ73)</f>
        <v>0</v>
      </c>
      <c r="AR74" s="33" t="n">
        <f aca="false">AR20*SUMIF($J$7:AR$7,AR$7,$J73:AR73)</f>
        <v>0</v>
      </c>
      <c r="AS74" s="33" t="n">
        <f aca="false">AS20*SUMIF($J$7:AS$7,AS$7,$J73:AS73)</f>
        <v>0</v>
      </c>
      <c r="AT74" s="33" t="n">
        <f aca="false">AT20*SUMIF($J$7:AT$7,AT$7,$J73:AT73)</f>
        <v>0</v>
      </c>
      <c r="AU74" s="33" t="n">
        <f aca="false">AU20*SUMIF($J$7:AU$7,AU$7,$J73:AU73)</f>
        <v>0</v>
      </c>
      <c r="AV74" s="33" t="n">
        <f aca="false">AV20*SUMIF($J$7:AV$7,AV$7,$J73:AV73)</f>
        <v>0</v>
      </c>
      <c r="AW74" s="33" t="n">
        <f aca="false">AW20*SUMIF($J$7:AW$7,AW$7,$J73:AW73)</f>
        <v>0</v>
      </c>
      <c r="AX74" s="33" t="n">
        <f aca="false">AX20*SUMIF($J$7:AX$7,AX$7,$J73:AX73)</f>
        <v>0</v>
      </c>
      <c r="AY74" s="33" t="n">
        <f aca="false">AY20*SUMIF($J$7:AY$7,AY$7,$J73:AY73)</f>
        <v>0</v>
      </c>
      <c r="AZ74" s="33" t="n">
        <f aca="false">AZ20*SUMIF($J$7:AZ$7,AZ$7,$J73:AZ73)</f>
        <v>0</v>
      </c>
      <c r="BA74" s="33" t="n">
        <f aca="false">BA20*SUMIF($J$7:BA$7,BA$7,$J73:BA73)</f>
        <v>0</v>
      </c>
      <c r="BB74" s="33" t="n">
        <f aca="false">BB20*SUMIF($J$7:BB$7,BB$7,$J73:BB73)</f>
        <v>0</v>
      </c>
      <c r="BC74" s="33" t="n">
        <f aca="false">BC20*SUMIF($J$7:BC$7,BC$7,$J73:BC73)</f>
        <v>0</v>
      </c>
      <c r="BD74" s="33" t="n">
        <f aca="false">BD20*SUMIF($J$7:BD$7,BD$7,$J73:BD73)</f>
        <v>0</v>
      </c>
      <c r="BE74" s="33" t="n">
        <f aca="false">BE20*SUMIF($J$7:BE$7,BE$7,$J73:BE73)</f>
        <v>0</v>
      </c>
      <c r="BF74" s="33" t="n">
        <f aca="false">BF20*SUMIF($J$7:BF$7,BF$7,$J73:BF73)</f>
        <v>0</v>
      </c>
      <c r="BG74" s="33" t="n">
        <f aca="false">BG20*SUMIF($J$7:BG$7,BG$7,$J73:BG73)</f>
        <v>0</v>
      </c>
      <c r="BH74" s="33" t="n">
        <f aca="false">BH20*SUMIF($J$7:BH$7,BH$7,$J73:BH73)</f>
        <v>0</v>
      </c>
      <c r="BI74" s="33" t="n">
        <f aca="false">BI20*SUMIF($J$7:BI$7,BI$7,$J73:BI73)</f>
        <v>0</v>
      </c>
      <c r="BJ74" s="33" t="n">
        <f aca="false">BJ20*SUMIF($J$7:BJ$7,BJ$7,$J73:BJ73)</f>
        <v>0</v>
      </c>
      <c r="BK74" s="33" t="n">
        <f aca="false">BK20*SUMIF($J$7:BK$7,BK$7,$J73:BK73)</f>
        <v>0</v>
      </c>
      <c r="BL74" s="33" t="n">
        <f aca="false">BL20*SUMIF($J$7:BL$7,BL$7,$J73:BL73)</f>
        <v>0</v>
      </c>
      <c r="BM74" s="33" t="n">
        <f aca="false">BM20*SUMIF($J$7:BM$7,BM$7,$J73:BM73)</f>
        <v>0</v>
      </c>
      <c r="BN74" s="33" t="n">
        <f aca="false">BN20*SUMIF($J$7:BN$7,BN$7,$J73:BN73)</f>
        <v>0</v>
      </c>
      <c r="BO74" s="33" t="n">
        <f aca="false">BO20*SUMIF($J$7:BO$7,BO$7,$J73:BO73)</f>
        <v>0</v>
      </c>
      <c r="BP74" s="33" t="n">
        <f aca="false">BP20*SUMIF($J$7:BP$7,BP$7,$J73:BP73)</f>
        <v>0</v>
      </c>
      <c r="BQ74" s="33" t="n">
        <f aca="false">BQ20*SUMIF($J$7:BQ$7,BQ$7,$J73:BQ73)</f>
        <v>0</v>
      </c>
      <c r="BR74" s="33" t="n">
        <f aca="false">BR20*SUMIF($J$7:BR$7,BR$7,$J73:BR73)</f>
        <v>0</v>
      </c>
      <c r="BS74" s="33" t="n">
        <f aca="false">BS20*SUMIF($J$7:BS$7,BS$7,$J73:BS73)</f>
        <v>0</v>
      </c>
      <c r="BT74" s="33" t="n">
        <f aca="false">BT20*SUMIF($J$7:BT$7,BT$7,$J73:BT73)</f>
        <v>0</v>
      </c>
      <c r="BU74" s="33" t="n">
        <f aca="false">BU20*SUMIF($J$7:BU$7,BU$7,$J73:BU73)</f>
        <v>0</v>
      </c>
      <c r="BV74" s="33" t="n">
        <f aca="false">BV20*SUMIF($J$7:BV$7,BV$7,$J73:BV73)</f>
        <v>0</v>
      </c>
      <c r="BW74" s="33" t="n">
        <f aca="false">BW20*SUMIF($J$7:BW$7,BW$7,$J73:BW73)</f>
        <v>0</v>
      </c>
      <c r="BX74" s="33" t="n">
        <f aca="false">BX20*SUMIF($J$7:BX$7,BX$7,$J73:BX73)</f>
        <v>0</v>
      </c>
      <c r="BY74" s="33" t="n">
        <f aca="false">BY20*SUMIF($J$7:BY$7,BY$7,$J73:BY73)</f>
        <v>0</v>
      </c>
      <c r="BZ74" s="33" t="n">
        <f aca="false">BZ20*SUMIF($J$7:BZ$7,BZ$7,$J73:BZ73)</f>
        <v>0</v>
      </c>
      <c r="CA74" s="33" t="n">
        <f aca="false">CA20*SUMIF($J$7:CA$7,CA$7,$J73:CA73)</f>
        <v>0</v>
      </c>
      <c r="CB74" s="33" t="n">
        <f aca="false">CB20*SUMIF($J$7:CB$7,CB$7,$J73:CB73)</f>
        <v>0</v>
      </c>
      <c r="CC74" s="33" t="n">
        <f aca="false">CC20*SUMIF($J$7:CC$7,CC$7,$J73:CC73)</f>
        <v>0</v>
      </c>
      <c r="CD74" s="33" t="n">
        <f aca="false">CD20*SUMIF($J$7:CD$7,CD$7,$J73:CD73)</f>
        <v>0</v>
      </c>
      <c r="CE74" s="33" t="n">
        <f aca="false">CE20*SUMIF($J$7:CE$7,CE$7,$J73:CE73)</f>
        <v>0</v>
      </c>
      <c r="CF74" s="33" t="n">
        <f aca="false">CF20*SUMIF($J$7:CF$7,CF$7,$J73:CF73)</f>
        <v>0</v>
      </c>
      <c r="CG74" s="33" t="n">
        <f aca="false">CG20*SUMIF($J$7:CG$7,CG$7,$J73:CG73)</f>
        <v>0</v>
      </c>
      <c r="CH74" s="33" t="n">
        <f aca="false">CH20*SUMIF($J$7:CH$7,CH$7,$J73:CH73)</f>
        <v>0</v>
      </c>
      <c r="CI74" s="33" t="n">
        <f aca="false">CI20*SUMIF($J$7:CI$7,CI$7,$J73:CI73)</f>
        <v>0</v>
      </c>
      <c r="CJ74" s="33" t="n">
        <f aca="false">CJ20*SUMIF($J$7:CJ$7,CJ$7,$J73:CJ73)</f>
        <v>0</v>
      </c>
      <c r="CK74" s="33" t="n">
        <f aca="false">CK20*SUMIF($J$7:CK$7,CK$7,$J73:CK73)</f>
        <v>0</v>
      </c>
      <c r="CL74" s="33" t="n">
        <f aca="false">CL20*SUMIF($J$7:CL$7,CL$7,$J73:CL73)</f>
        <v>0</v>
      </c>
      <c r="CM74" s="33" t="n">
        <f aca="false">CM20*SUMIF($J$7:CM$7,CM$7,$J73:CM73)</f>
        <v>0</v>
      </c>
      <c r="CN74" s="33" t="n">
        <f aca="false">CN20*SUMIF($J$7:CN$7,CN$7,$J73:CN73)</f>
        <v>0</v>
      </c>
      <c r="CO74" s="33" t="n">
        <f aca="false">CO20*SUMIF($J$7:CO$7,CO$7,$J73:CO73)</f>
        <v>0</v>
      </c>
      <c r="CP74" s="33" t="n">
        <f aca="false">CP20*SUMIF($J$7:CP$7,CP$7,$J73:CP73)</f>
        <v>0</v>
      </c>
      <c r="CQ74" s="33" t="n">
        <f aca="false">CQ20*SUMIF($J$7:CQ$7,CQ$7,$J73:CQ73)</f>
        <v>0</v>
      </c>
      <c r="CR74" s="33" t="n">
        <f aca="false">CR20*SUMIF($J$7:CR$7,CR$7,$J73:CR73)</f>
        <v>0</v>
      </c>
      <c r="CS74" s="33" t="n">
        <f aca="false">CS20*SUMIF($J$7:CS$7,CS$7,$J73:CS73)</f>
        <v>0</v>
      </c>
      <c r="CT74" s="33" t="n">
        <f aca="false">CT20*SUMIF($J$7:CT$7,CT$7,$J73:CT73)</f>
        <v>0</v>
      </c>
      <c r="CU74" s="33" t="n">
        <f aca="false">CU20*SUMIF($J$7:CU$7,CU$7,$J73:CU73)</f>
        <v>0</v>
      </c>
      <c r="CV74" s="33" t="n">
        <f aca="false">CV20*SUMIF($J$7:CV$7,CV$7,$J73:CV73)</f>
        <v>0</v>
      </c>
      <c r="CW74" s="33" t="n">
        <f aca="false">CW20*SUMIF($J$7:CW$7,CW$7,$J73:CW73)</f>
        <v>0</v>
      </c>
      <c r="CX74" s="33" t="n">
        <f aca="false">CX20*SUMIF($J$7:CX$7,CX$7,$J73:CX73)</f>
        <v>0</v>
      </c>
      <c r="CY74" s="33" t="n">
        <f aca="false">CY20*SUMIF($J$7:CY$7,CY$7,$J73:CY73)</f>
        <v>0</v>
      </c>
      <c r="CZ74" s="33" t="n">
        <f aca="false">CZ20*SUMIF($J$7:CZ$7,CZ$7,$J73:CZ73)</f>
        <v>0</v>
      </c>
      <c r="DA74" s="33" t="n">
        <f aca="false">DA20*SUMIF($J$7:DA$7,DA$7,$J73:DA73)</f>
        <v>0</v>
      </c>
      <c r="DB74" s="33" t="n">
        <f aca="false">DB20*SUMIF($J$7:DB$7,DB$7,$J73:DB73)</f>
        <v>0</v>
      </c>
      <c r="DC74" s="33" t="n">
        <f aca="false">DC20*SUMIF($J$7:DC$7,DC$7,$J73:DC73)</f>
        <v>0</v>
      </c>
      <c r="DD74" s="33" t="n">
        <f aca="false">DD20*SUMIF($J$7:DD$7,DD$7,$J73:DD73)</f>
        <v>0</v>
      </c>
      <c r="DE74" s="33" t="n">
        <f aca="false">DE20*SUMIF($J$7:DE$7,DE$7,$J73:DE73)</f>
        <v>0</v>
      </c>
      <c r="DF74" s="33" t="n">
        <f aca="false">DF20*SUMIF($J$7:DF$7,DF$7,$J73:DF73)</f>
        <v>0</v>
      </c>
      <c r="DG74" s="33" t="n">
        <f aca="false">DG20*SUMIF($J$7:DG$7,DG$7,$J73:DG73)</f>
        <v>0</v>
      </c>
      <c r="DH74" s="33" t="n">
        <f aca="false">DH20*SUMIF($J$7:DH$7,DH$7,$J73:DH73)</f>
        <v>0</v>
      </c>
      <c r="DI74" s="33" t="n">
        <f aca="false">DI20*SUMIF($J$7:DI$7,DI$7,$J73:DI73)</f>
        <v>0</v>
      </c>
      <c r="DJ74" s="33" t="n">
        <f aca="false">DJ20*SUMIF($J$7:DJ$7,DJ$7,$J73:DJ73)</f>
        <v>0</v>
      </c>
      <c r="DK74" s="33" t="n">
        <f aca="false">DK20*SUMIF($J$7:DK$7,DK$7,$J73:DK73)</f>
        <v>0</v>
      </c>
      <c r="DL74" s="33" t="n">
        <f aca="false">DL20*SUMIF($J$7:DL$7,DL$7,$J73:DL73)</f>
        <v>0</v>
      </c>
      <c r="DM74" s="33" t="n">
        <f aca="false">DM20*SUMIF($J$7:DM$7,DM$7,$J73:DM73)</f>
        <v>0</v>
      </c>
      <c r="DN74" s="33" t="n">
        <f aca="false">DN20*SUMIF($J$7:DN$7,DN$7,$J73:DN73)</f>
        <v>0</v>
      </c>
      <c r="DO74" s="33" t="n">
        <f aca="false">DO20*SUMIF($J$7:DO$7,DO$7,$J73:DO73)</f>
        <v>0</v>
      </c>
      <c r="DP74" s="33" t="n">
        <f aca="false">DP20*SUMIF($J$7:DP$7,DP$7,$J73:DP73)</f>
        <v>0</v>
      </c>
      <c r="DQ74" s="33" t="n">
        <f aca="false">DQ20*SUMIF($J$7:DQ$7,DQ$7,$J73:DQ73)</f>
        <v>0</v>
      </c>
      <c r="DR74" s="33" t="n">
        <f aca="false">DR20*SUMIF($J$7:DR$7,DR$7,$J73:DR73)</f>
        <v>0</v>
      </c>
      <c r="DS74" s="33" t="n">
        <f aca="false">DS20*SUMIF($J$7:DS$7,DS$7,$J73:DS73)</f>
        <v>0</v>
      </c>
      <c r="DT74" s="33" t="n">
        <f aca="false">DT20*SUMIF($J$7:DT$7,DT$7,$J73:DT73)</f>
        <v>0</v>
      </c>
      <c r="DU74" s="33" t="n">
        <f aca="false">DU20*SUMIF($J$7:DU$7,DU$7,$J73:DU73)</f>
        <v>0</v>
      </c>
      <c r="DV74" s="33" t="n">
        <f aca="false">DV20*SUMIF($J$7:DV$7,DV$7,$J73:DV73)</f>
        <v>0</v>
      </c>
      <c r="DW74" s="33" t="n">
        <f aca="false">DW20*SUMIF($J$7:DW$7,DW$7,$J73:DW73)</f>
        <v>0</v>
      </c>
      <c r="DX74" s="33" t="n">
        <f aca="false">DX20*SUMIF($J$7:DX$7,DX$7,$J73:DX73)</f>
        <v>0</v>
      </c>
      <c r="DY74" s="33" t="n">
        <f aca="false">DY20*SUMIF($J$7:DY$7,DY$7,$J73:DY73)</f>
        <v>0</v>
      </c>
      <c r="DZ74" s="33" t="n">
        <f aca="false">DZ20*SUMIF($J$7:DZ$7,DZ$7,$J73:DZ73)</f>
        <v>0</v>
      </c>
      <c r="EA74" s="33" t="n">
        <f aca="false">EA20*SUMIF($J$7:EA$7,EA$7,$J73:EA73)</f>
        <v>0</v>
      </c>
      <c r="EB74" s="33" t="n">
        <f aca="false">EB20*SUMIF($J$7:EB$7,EB$7,$J73:EB73)</f>
        <v>0</v>
      </c>
      <c r="EC74" s="33" t="n">
        <f aca="false">EC20*SUMIF($J$7:EC$7,EC$7,$J73:EC73)</f>
        <v>0</v>
      </c>
      <c r="ED74" s="33" t="n">
        <f aca="false">ED20*SUMIF($J$7:ED$7,ED$7,$J73:ED73)</f>
        <v>0</v>
      </c>
      <c r="EE74" s="33" t="n">
        <f aca="false">EE20*SUMIF($J$7:EE$7,EE$7,$J73:EE73)</f>
        <v>0</v>
      </c>
      <c r="EF74" s="33" t="n">
        <f aca="false">EF20*SUMIF($J$7:EF$7,EF$7,$J73:EF73)</f>
        <v>0</v>
      </c>
      <c r="EG74" s="33" t="n">
        <f aca="false">EG20*SUMIF($J$7:EG$7,EG$7,$J73:EG73)</f>
        <v>0</v>
      </c>
      <c r="EH74" s="33" t="n">
        <f aca="false">EH20*SUMIF($J$7:EH$7,EH$7,$J73:EH73)</f>
        <v>0</v>
      </c>
      <c r="EI74" s="33" t="n">
        <f aca="false">EI20*SUMIF($J$7:EI$7,EI$7,$J73:EI73)</f>
        <v>0</v>
      </c>
      <c r="EJ74" s="33" t="n">
        <f aca="false">EJ20*SUMIF($J$7:EJ$7,EJ$7,$J73:EJ73)</f>
        <v>0</v>
      </c>
      <c r="EK74" s="33" t="n">
        <f aca="false">EK20*SUMIF($J$7:EK$7,EK$7,$J73:EK73)</f>
        <v>0</v>
      </c>
      <c r="EL74" s="33" t="n">
        <f aca="false">EL20*SUMIF($J$7:EL$7,EL$7,$J73:EL73)</f>
        <v>0</v>
      </c>
      <c r="EM74" s="33" t="n">
        <f aca="false">EM20*SUMIF($J$7:EM$7,EM$7,$J73:EM73)</f>
        <v>0</v>
      </c>
      <c r="EN74" s="33" t="n">
        <f aca="false">EN20*SUMIF($J$7:EN$7,EN$7,$J73:EN73)</f>
        <v>0</v>
      </c>
      <c r="EO74" s="33" t="n">
        <f aca="false">EO20*SUMIF($J$7:EO$7,EO$7,$J73:EO73)</f>
        <v>0</v>
      </c>
      <c r="EP74" s="33" t="n">
        <f aca="false">EP20*SUMIF($J$7:EP$7,EP$7,$J73:EP73)</f>
        <v>0</v>
      </c>
      <c r="EQ74" s="33" t="n">
        <f aca="false">EQ20*SUMIF($J$7:EQ$7,EQ$7,$J73:EQ73)</f>
        <v>0</v>
      </c>
      <c r="ER74" s="33" t="n">
        <f aca="false">ER20*SUMIF($J$7:ER$7,ER$7,$J73:ER73)</f>
        <v>0</v>
      </c>
      <c r="ES74" s="33" t="n">
        <f aca="false">ES20*SUMIF($J$7:ES$7,ES$7,$J73:ES73)</f>
        <v>0</v>
      </c>
      <c r="ET74" s="33" t="n">
        <f aca="false">ET20*SUMIF($J$7:ET$7,ET$7,$J73:ET73)</f>
        <v>0</v>
      </c>
    </row>
    <row r="75" customFormat="false" ht="15" hidden="false" customHeight="false" outlineLevel="0" collapsed="false">
      <c r="C75" s="0" t="s">
        <v>532</v>
      </c>
      <c r="D75" s="11" t="s">
        <v>247</v>
      </c>
      <c r="I75" s="54"/>
      <c r="J75" s="33" t="n">
        <f aca="false">J72+J74</f>
        <v>0</v>
      </c>
      <c r="K75" s="33" t="n">
        <f aca="false">K72+K74</f>
        <v>18.1640998311128</v>
      </c>
      <c r="L75" s="33" t="n">
        <f aca="false">L72+L74</f>
        <v>18.1640998311128</v>
      </c>
      <c r="M75" s="33" t="n">
        <f aca="false">M72+M74</f>
        <v>18.1640998311128</v>
      </c>
      <c r="N75" s="33" t="n">
        <f aca="false">N72+N74</f>
        <v>18.1640998311128</v>
      </c>
      <c r="O75" s="33" t="n">
        <f aca="false">O72+O74</f>
        <v>438.867644451117</v>
      </c>
      <c r="P75" s="33" t="n">
        <f aca="false">P72+P74</f>
        <v>438.867644451117</v>
      </c>
      <c r="Q75" s="33" t="n">
        <f aca="false">Q72+Q74</f>
        <v>438.867644451117</v>
      </c>
      <c r="R75" s="33" t="n">
        <f aca="false">R72+R74</f>
        <v>438.867644451117</v>
      </c>
      <c r="S75" s="33" t="n">
        <f aca="false">S72+S74</f>
        <v>886.035170946395</v>
      </c>
      <c r="T75" s="33" t="n">
        <f aca="false">T72+T74</f>
        <v>886.035170946395</v>
      </c>
      <c r="U75" s="33" t="n">
        <f aca="false">U72+U74</f>
        <v>886.035170946395</v>
      </c>
      <c r="V75" s="33" t="n">
        <f aca="false">V72+V74</f>
        <v>886.035170946395</v>
      </c>
      <c r="W75" s="33" t="n">
        <f aca="false">W72+W74</f>
        <v>1120.48016110676</v>
      </c>
      <c r="X75" s="33" t="n">
        <f aca="false">X72+X74</f>
        <v>1120.48016110676</v>
      </c>
      <c r="Y75" s="33" t="n">
        <f aca="false">Y72+Y74</f>
        <v>1120.48016110676</v>
      </c>
      <c r="Z75" s="33" t="n">
        <f aca="false">Z72+Z74</f>
        <v>1120.48016110676</v>
      </c>
      <c r="AA75" s="33" t="n">
        <f aca="false">AA72+AA74</f>
        <v>1607.3226694033</v>
      </c>
      <c r="AB75" s="33" t="n">
        <f aca="false">AB72+AB74</f>
        <v>1607.3226694033</v>
      </c>
      <c r="AC75" s="33" t="n">
        <f aca="false">AC72+AC74</f>
        <v>1607.3226694033</v>
      </c>
      <c r="AD75" s="33" t="n">
        <f aca="false">AD72+AD74</f>
        <v>1607.3226694033</v>
      </c>
      <c r="AE75" s="33" t="n">
        <f aca="false">AE72+AE74</f>
        <v>1993.30208050153</v>
      </c>
      <c r="AF75" s="33" t="n">
        <f aca="false">AF72+AF74</f>
        <v>1993.30208050153</v>
      </c>
      <c r="AG75" s="33" t="n">
        <f aca="false">AG72+AG74</f>
        <v>1993.30208050153</v>
      </c>
      <c r="AH75" s="33" t="n">
        <f aca="false">AH72+AH74</f>
        <v>1993.30208050153</v>
      </c>
      <c r="AI75" s="33" t="n">
        <f aca="false">AI72+AI74</f>
        <v>1993.30208050153</v>
      </c>
      <c r="AJ75" s="33" t="n">
        <f aca="false">AJ72+AJ74</f>
        <v>1993.30208050153</v>
      </c>
      <c r="AK75" s="33" t="n">
        <f aca="false">AK72+AK74</f>
        <v>1993.30208050153</v>
      </c>
      <c r="AL75" s="33" t="n">
        <f aca="false">AL72+AL74</f>
        <v>1993.30208050153</v>
      </c>
      <c r="AM75" s="33" t="n">
        <f aca="false">AM72+AM74</f>
        <v>1993.30208050153</v>
      </c>
      <c r="AN75" s="33" t="n">
        <f aca="false">AN72+AN74</f>
        <v>1993.30208050153</v>
      </c>
      <c r="AO75" s="33" t="n">
        <f aca="false">AO72+AO74</f>
        <v>1993.30208050153</v>
      </c>
      <c r="AP75" s="33" t="n">
        <f aca="false">AP72+AP74</f>
        <v>1993.30208050153</v>
      </c>
      <c r="AQ75" s="33" t="n">
        <f aca="false">AQ72+AQ74</f>
        <v>1993.30208050153</v>
      </c>
      <c r="AR75" s="33" t="n">
        <f aca="false">AR72+AR74</f>
        <v>1993.30208050153</v>
      </c>
      <c r="AS75" s="33" t="n">
        <f aca="false">AS72+AS74</f>
        <v>1993.30208050153</v>
      </c>
      <c r="AT75" s="33" t="n">
        <f aca="false">AT72+AT74</f>
        <v>1993.30208050153</v>
      </c>
      <c r="AU75" s="33" t="n">
        <f aca="false">AU72+AU74</f>
        <v>1993.30208050153</v>
      </c>
      <c r="AV75" s="33" t="n">
        <f aca="false">AV72+AV74</f>
        <v>1993.30208050153</v>
      </c>
      <c r="AW75" s="33" t="n">
        <f aca="false">AW72+AW74</f>
        <v>1993.30208050153</v>
      </c>
      <c r="AX75" s="33" t="n">
        <f aca="false">AX72+AX74</f>
        <v>1993.30208050153</v>
      </c>
      <c r="AY75" s="33" t="n">
        <f aca="false">AY72+AY74</f>
        <v>1993.30208050153</v>
      </c>
      <c r="AZ75" s="33" t="n">
        <f aca="false">AZ72+AZ74</f>
        <v>1993.30208050153</v>
      </c>
      <c r="BA75" s="33" t="n">
        <f aca="false">BA72+BA74</f>
        <v>1993.30208050153</v>
      </c>
      <c r="BB75" s="33" t="n">
        <f aca="false">BB72+BB74</f>
        <v>1993.30208050153</v>
      </c>
      <c r="BC75" s="33" t="n">
        <f aca="false">BC72+BC74</f>
        <v>1993.30208050153</v>
      </c>
      <c r="BD75" s="33" t="n">
        <f aca="false">BD72+BD74</f>
        <v>1993.30208050153</v>
      </c>
      <c r="BE75" s="33" t="n">
        <f aca="false">BE72+BE74</f>
        <v>1993.30208050153</v>
      </c>
      <c r="BF75" s="33" t="n">
        <f aca="false">BF72+BF74</f>
        <v>1993.30208050153</v>
      </c>
      <c r="BG75" s="33" t="n">
        <f aca="false">BG72+BG74</f>
        <v>1993.30208050153</v>
      </c>
      <c r="BH75" s="33" t="n">
        <f aca="false">BH72+BH74</f>
        <v>1993.30208050153</v>
      </c>
      <c r="BI75" s="33" t="n">
        <f aca="false">BI72+BI74</f>
        <v>1993.30208050153</v>
      </c>
      <c r="BJ75" s="33" t="n">
        <f aca="false">BJ72+BJ74</f>
        <v>1993.30208050153</v>
      </c>
      <c r="BK75" s="33" t="n">
        <f aca="false">BK72+BK74</f>
        <v>1993.30208050153</v>
      </c>
      <c r="BL75" s="33" t="n">
        <f aca="false">BL72+BL74</f>
        <v>1993.30208050153</v>
      </c>
      <c r="BM75" s="33" t="n">
        <f aca="false">BM72+BM74</f>
        <v>1993.30208050153</v>
      </c>
      <c r="BN75" s="33" t="n">
        <f aca="false">BN72+BN74</f>
        <v>1993.30208050153</v>
      </c>
      <c r="BO75" s="33" t="n">
        <f aca="false">BO72+BO74</f>
        <v>1993.30208050153</v>
      </c>
      <c r="BP75" s="33" t="n">
        <f aca="false">BP72+BP74</f>
        <v>1993.30208050153</v>
      </c>
      <c r="BQ75" s="33" t="n">
        <f aca="false">BQ72+BQ74</f>
        <v>1993.30208050153</v>
      </c>
      <c r="BR75" s="33" t="n">
        <f aca="false">BR72+BR74</f>
        <v>1993.30208050153</v>
      </c>
      <c r="BS75" s="33" t="n">
        <f aca="false">BS72+BS74</f>
        <v>1993.30208050153</v>
      </c>
      <c r="BT75" s="33" t="n">
        <f aca="false">BT72+BT74</f>
        <v>1993.30208050153</v>
      </c>
      <c r="BU75" s="33" t="n">
        <f aca="false">BU72+BU74</f>
        <v>1993.30208050153</v>
      </c>
      <c r="BV75" s="33" t="n">
        <f aca="false">BV72+BV74</f>
        <v>1993.30208050153</v>
      </c>
      <c r="BW75" s="33" t="n">
        <f aca="false">BW72+BW74</f>
        <v>1993.30208050153</v>
      </c>
      <c r="BX75" s="33" t="n">
        <f aca="false">BX72+BX74</f>
        <v>1993.30208050153</v>
      </c>
      <c r="BY75" s="33" t="n">
        <f aca="false">BY72+BY74</f>
        <v>1993.30208050153</v>
      </c>
      <c r="BZ75" s="33" t="n">
        <f aca="false">BZ72+BZ74</f>
        <v>1993.30208050153</v>
      </c>
      <c r="CA75" s="33" t="n">
        <f aca="false">CA72+CA74</f>
        <v>1993.30208050153</v>
      </c>
      <c r="CB75" s="33" t="n">
        <f aca="false">CB72+CB74</f>
        <v>1993.30208050153</v>
      </c>
      <c r="CC75" s="33" t="n">
        <f aca="false">CC72+CC74</f>
        <v>1993.30208050153</v>
      </c>
      <c r="CD75" s="33" t="n">
        <f aca="false">CD72+CD74</f>
        <v>1993.30208050153</v>
      </c>
      <c r="CE75" s="33" t="n">
        <f aca="false">CE72+CE74</f>
        <v>1993.30208050153</v>
      </c>
      <c r="CF75" s="33" t="n">
        <f aca="false">CF72+CF74</f>
        <v>1993.30208050153</v>
      </c>
      <c r="CG75" s="33" t="n">
        <f aca="false">CG72+CG74</f>
        <v>1993.30208050153</v>
      </c>
      <c r="CH75" s="33" t="n">
        <f aca="false">CH72+CH74</f>
        <v>1993.30208050153</v>
      </c>
      <c r="CI75" s="33" t="n">
        <f aca="false">CI72+CI74</f>
        <v>1993.30208050153</v>
      </c>
      <c r="CJ75" s="33" t="n">
        <f aca="false">CJ72+CJ74</f>
        <v>1993.30208050153</v>
      </c>
      <c r="CK75" s="33" t="n">
        <f aca="false">CK72+CK74</f>
        <v>1993.30208050153</v>
      </c>
      <c r="CL75" s="33" t="n">
        <f aca="false">CL72+CL74</f>
        <v>1993.30208050153</v>
      </c>
      <c r="CM75" s="33" t="n">
        <f aca="false">CM72+CM74</f>
        <v>1993.30208050153</v>
      </c>
      <c r="CN75" s="33" t="n">
        <f aca="false">CN72+CN74</f>
        <v>1993.30208050153</v>
      </c>
      <c r="CO75" s="33" t="n">
        <f aca="false">CO72+CO74</f>
        <v>1993.30208050153</v>
      </c>
      <c r="CP75" s="33" t="n">
        <f aca="false">CP72+CP74</f>
        <v>1993.30208050153</v>
      </c>
      <c r="CQ75" s="33" t="n">
        <f aca="false">CQ72+CQ74</f>
        <v>1993.30208050153</v>
      </c>
      <c r="CR75" s="33" t="n">
        <f aca="false">CR72+CR74</f>
        <v>1993.30208050153</v>
      </c>
      <c r="CS75" s="33" t="n">
        <f aca="false">CS72+CS74</f>
        <v>1993.30208050153</v>
      </c>
      <c r="CT75" s="33" t="n">
        <f aca="false">CT72+CT74</f>
        <v>1993.30208050153</v>
      </c>
      <c r="CU75" s="33" t="n">
        <f aca="false">CU72+CU74</f>
        <v>1993.30208050153</v>
      </c>
      <c r="CV75" s="33" t="n">
        <f aca="false">CV72+CV74</f>
        <v>1993.30208050153</v>
      </c>
      <c r="CW75" s="33" t="n">
        <f aca="false">CW72+CW74</f>
        <v>1993.30208050153</v>
      </c>
      <c r="CX75" s="33" t="n">
        <f aca="false">CX72+CX74</f>
        <v>1993.30208050153</v>
      </c>
      <c r="CY75" s="33" t="n">
        <f aca="false">CY72+CY74</f>
        <v>1993.30208050153</v>
      </c>
      <c r="CZ75" s="33" t="n">
        <f aca="false">CZ72+CZ74</f>
        <v>1993.30208050153</v>
      </c>
      <c r="DA75" s="33" t="n">
        <f aca="false">DA72+DA74</f>
        <v>1993.30208050153</v>
      </c>
      <c r="DB75" s="33" t="n">
        <f aca="false">DB72+DB74</f>
        <v>1993.30208050153</v>
      </c>
      <c r="DC75" s="33" t="n">
        <f aca="false">DC72+DC74</f>
        <v>1993.30208050153</v>
      </c>
      <c r="DD75" s="33" t="n">
        <f aca="false">DD72+DD74</f>
        <v>1993.30208050153</v>
      </c>
      <c r="DE75" s="33" t="n">
        <f aca="false">DE72+DE74</f>
        <v>1993.30208050153</v>
      </c>
      <c r="DF75" s="33" t="n">
        <f aca="false">DF72+DF74</f>
        <v>1993.30208050153</v>
      </c>
      <c r="DG75" s="33" t="n">
        <f aca="false">DG72+DG74</f>
        <v>1993.30208050153</v>
      </c>
      <c r="DH75" s="33" t="n">
        <f aca="false">DH72+DH74</f>
        <v>1993.30208050153</v>
      </c>
      <c r="DI75" s="33" t="n">
        <f aca="false">DI72+DI74</f>
        <v>1993.30208050153</v>
      </c>
      <c r="DJ75" s="33" t="n">
        <f aca="false">DJ72+DJ74</f>
        <v>1993.30208050153</v>
      </c>
      <c r="DK75" s="33" t="n">
        <f aca="false">DK72+DK74</f>
        <v>1993.30208050153</v>
      </c>
      <c r="DL75" s="33" t="n">
        <f aca="false">DL72+DL74</f>
        <v>1993.30208050153</v>
      </c>
      <c r="DM75" s="33" t="n">
        <f aca="false">DM72+DM74</f>
        <v>1993.30208050153</v>
      </c>
      <c r="DN75" s="33" t="n">
        <f aca="false">DN72+DN74</f>
        <v>1993.30208050153</v>
      </c>
      <c r="DO75" s="33" t="n">
        <f aca="false">DO72+DO74</f>
        <v>1993.30208050153</v>
      </c>
      <c r="DP75" s="33" t="n">
        <f aca="false">DP72+DP74</f>
        <v>1993.30208050153</v>
      </c>
      <c r="DQ75" s="33" t="n">
        <f aca="false">DQ72+DQ74</f>
        <v>1993.30208050153</v>
      </c>
      <c r="DR75" s="33" t="n">
        <f aca="false">DR72+DR74</f>
        <v>1993.30208050153</v>
      </c>
      <c r="DS75" s="33" t="n">
        <f aca="false">DS72+DS74</f>
        <v>1993.30208050153</v>
      </c>
      <c r="DT75" s="33" t="n">
        <f aca="false">DT72+DT74</f>
        <v>1993.30208050153</v>
      </c>
      <c r="DU75" s="33" t="n">
        <f aca="false">DU72+DU74</f>
        <v>1993.30208050153</v>
      </c>
      <c r="DV75" s="33" t="n">
        <f aca="false">DV72+DV74</f>
        <v>1993.30208050153</v>
      </c>
      <c r="DW75" s="33" t="n">
        <f aca="false">DW72+DW74</f>
        <v>1993.30208050153</v>
      </c>
      <c r="DX75" s="33" t="n">
        <f aca="false">DX72+DX74</f>
        <v>1993.30208050153</v>
      </c>
      <c r="DY75" s="33" t="n">
        <f aca="false">DY72+DY74</f>
        <v>1993.30208050153</v>
      </c>
      <c r="DZ75" s="33" t="n">
        <f aca="false">DZ72+DZ74</f>
        <v>1993.30208050153</v>
      </c>
      <c r="EA75" s="33" t="n">
        <f aca="false">EA72+EA74</f>
        <v>1993.30208050153</v>
      </c>
      <c r="EB75" s="33" t="n">
        <f aca="false">EB72+EB74</f>
        <v>1993.30208050153</v>
      </c>
      <c r="EC75" s="33" t="n">
        <f aca="false">EC72+EC74</f>
        <v>1993.30208050153</v>
      </c>
      <c r="ED75" s="33" t="n">
        <f aca="false">ED72+ED74</f>
        <v>1993.30208050153</v>
      </c>
      <c r="EE75" s="33" t="n">
        <f aca="false">EE72+EE74</f>
        <v>1993.30208050153</v>
      </c>
      <c r="EF75" s="33" t="n">
        <f aca="false">EF72+EF74</f>
        <v>1993.30208050153</v>
      </c>
      <c r="EG75" s="33" t="n">
        <f aca="false">EG72+EG74</f>
        <v>1993.30208050153</v>
      </c>
      <c r="EH75" s="33" t="n">
        <f aca="false">EH72+EH74</f>
        <v>1993.30208050153</v>
      </c>
      <c r="EI75" s="33" t="n">
        <f aca="false">EI72+EI74</f>
        <v>1993.30208050153</v>
      </c>
      <c r="EJ75" s="33" t="n">
        <f aca="false">EJ72+EJ74</f>
        <v>1993.30208050153</v>
      </c>
      <c r="EK75" s="33" t="n">
        <f aca="false">EK72+EK74</f>
        <v>1993.30208050153</v>
      </c>
      <c r="EL75" s="33" t="n">
        <f aca="false">EL72+EL74</f>
        <v>1993.30208050153</v>
      </c>
      <c r="EM75" s="33" t="n">
        <f aca="false">EM72+EM74</f>
        <v>1993.30208050153</v>
      </c>
      <c r="EN75" s="33" t="n">
        <f aca="false">EN72+EN74</f>
        <v>1993.30208050153</v>
      </c>
      <c r="EO75" s="33" t="n">
        <f aca="false">EO72+EO74</f>
        <v>1993.30208050153</v>
      </c>
      <c r="EP75" s="33" t="n">
        <f aca="false">EP72+EP74</f>
        <v>1993.30208050153</v>
      </c>
      <c r="EQ75" s="33" t="n">
        <f aca="false">EQ72+EQ74</f>
        <v>1993.30208050153</v>
      </c>
      <c r="ER75" s="33" t="n">
        <f aca="false">ER72+ER74</f>
        <v>1993.30208050153</v>
      </c>
      <c r="ES75" s="33" t="n">
        <f aca="false">ES72+ES74</f>
        <v>1993.30208050153</v>
      </c>
      <c r="ET75" s="33" t="n">
        <f aca="false">ET72+ET74</f>
        <v>1993.30208050153</v>
      </c>
    </row>
    <row r="76" customFormat="false" ht="15" hidden="false" customHeight="false" outlineLevel="0" collapsed="false">
      <c r="A76" s="55"/>
      <c r="B76" s="55"/>
      <c r="C76" s="55" t="s">
        <v>533</v>
      </c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55"/>
      <c r="BK76" s="55"/>
      <c r="BL76" s="55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55"/>
      <c r="CO76" s="55"/>
      <c r="CP76" s="55"/>
      <c r="CQ76" s="55"/>
      <c r="CR76" s="55"/>
      <c r="CS76" s="55"/>
      <c r="CT76" s="55"/>
      <c r="CU76" s="55"/>
      <c r="CV76" s="55"/>
      <c r="CW76" s="55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55"/>
      <c r="DK76" s="55"/>
      <c r="DL76" s="55"/>
      <c r="DM76" s="55"/>
      <c r="DN76" s="55"/>
      <c r="DO76" s="55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55"/>
      <c r="EB76" s="55"/>
      <c r="EC76" s="55"/>
      <c r="ED76" s="55"/>
      <c r="EE76" s="55"/>
      <c r="EF76" s="55"/>
      <c r="EG76" s="55"/>
      <c r="EH76" s="55"/>
      <c r="EI76" s="55"/>
      <c r="EJ76" s="55"/>
      <c r="EK76" s="55"/>
      <c r="EL76" s="55"/>
      <c r="EM76" s="55"/>
      <c r="EN76" s="55"/>
      <c r="EO76" s="55"/>
      <c r="EP76" s="55"/>
      <c r="EQ76" s="55"/>
      <c r="ER76" s="55"/>
      <c r="ES76" s="55"/>
      <c r="ET76" s="55"/>
    </row>
    <row r="77" customFormat="false" ht="15" hidden="false" customHeight="false" outlineLevel="0" collapsed="false">
      <c r="C77" s="0" t="s">
        <v>525</v>
      </c>
      <c r="D77" s="11" t="s">
        <v>205</v>
      </c>
      <c r="J77" s="56" t="n">
        <f aca="false">SUMPRODUCT(Devex_Keur*Devex_Date*(Devex_Date&gt;=J$3)*(Devex_Date&lt;=J$4))-J56*$F56</f>
        <v>0</v>
      </c>
      <c r="K77" s="56" t="n">
        <f aca="false">SUMPRODUCT(Devex_Keur*Devex_Date*(Devex_Date&gt;=K$3)*(Devex_Date&lt;=K$4))-K56*$F56</f>
        <v>8264787.28767123</v>
      </c>
      <c r="L77" s="56" t="n">
        <f aca="false">SUMPRODUCT(Devex_Keur*Devex_Date*(Devex_Date&gt;=L$3)*(Devex_Date&lt;=L$4))-L56*$F56</f>
        <v>27328011.4239726</v>
      </c>
      <c r="M77" s="56" t="n">
        <f aca="false">SUMPRODUCT(Devex_Keur*Devex_Date*(Devex_Date&gt;=M$3)*(Devex_Date&lt;=M$4))-M56*$F56</f>
        <v>2041249.31506849</v>
      </c>
      <c r="N77" s="56" t="n">
        <f aca="false">SUMPRODUCT(Devex_Keur*Devex_Date*(Devex_Date&gt;=N$3)*(Devex_Date&lt;=N$4))-N56*$F56</f>
        <v>2042564.38356164</v>
      </c>
      <c r="O77" s="56" t="n">
        <f aca="false">SUMPRODUCT(Devex_Keur*Devex_Date*(Devex_Date&gt;=O$3)*(Devex_Date&lt;=O$4))-O56*$F56</f>
        <v>8617904.08767123</v>
      </c>
      <c r="P77" s="56" t="n">
        <f aca="false">SUMPRODUCT(Devex_Keur*Devex_Date*(Devex_Date&gt;=P$3)*(Devex_Date&lt;=P$4))-P56*$F56</f>
        <v>60359659.8456807</v>
      </c>
      <c r="Q77" s="56" t="n">
        <f aca="false">SUMPRODUCT(Devex_Keur*Devex_Date*(Devex_Date&gt;=Q$3)*(Devex_Date&lt;=Q$4))-Q56*$F56</f>
        <v>216330.547945205</v>
      </c>
      <c r="R77" s="56" t="n">
        <f aca="false">SUMPRODUCT(Devex_Keur*Devex_Date*(Devex_Date&gt;=R$3)*(Devex_Date&lt;=R$4))-R56*$F56</f>
        <v>7708362.7728407</v>
      </c>
      <c r="S77" s="56" t="n">
        <f aca="false">SUMPRODUCT(Devex_Keur*Devex_Date*(Devex_Date&gt;=S$3)*(Devex_Date&lt;=S$4))-S56*$F56</f>
        <v>14945351.6140951</v>
      </c>
      <c r="T77" s="56" t="n">
        <f aca="false">SUMPRODUCT(Devex_Keur*Devex_Date*(Devex_Date&gt;=T$3)*(Devex_Date&lt;=T$4))-T56*$F56</f>
        <v>14376030.6849315</v>
      </c>
      <c r="U77" s="56" t="n">
        <f aca="false">SUMPRODUCT(Devex_Keur*Devex_Date*(Devex_Date&gt;=U$3)*(Devex_Date&lt;=U$4))-U56*$F56</f>
        <v>0</v>
      </c>
      <c r="V77" s="56" t="n">
        <f aca="false">SUMPRODUCT(Devex_Keur*Devex_Date*(Devex_Date&gt;=V$3)*(Devex_Date&lt;=V$4))-V56*$F56</f>
        <v>0</v>
      </c>
      <c r="W77" s="56" t="n">
        <f aca="false">SUMPRODUCT(Devex_Keur*Devex_Date*(Devex_Date&gt;=W$3)*(Devex_Date&lt;=W$4))-W56*$F56</f>
        <v>0</v>
      </c>
      <c r="X77" s="56" t="n">
        <f aca="false">SUMPRODUCT(Devex_Keur*Devex_Date*(Devex_Date&gt;=X$3)*(Devex_Date&lt;=X$4))-X56*$F56</f>
        <v>0</v>
      </c>
      <c r="Y77" s="56" t="n">
        <f aca="false">SUMPRODUCT(Devex_Keur*Devex_Date*(Devex_Date&gt;=Y$3)*(Devex_Date&lt;=Y$4))-Y56*$F56</f>
        <v>0</v>
      </c>
      <c r="Z77" s="56" t="n">
        <f aca="false">SUMPRODUCT(Devex_Keur*Devex_Date*(Devex_Date&gt;=Z$3)*(Devex_Date&lt;=Z$4))-Z56*$F56</f>
        <v>0</v>
      </c>
      <c r="AA77" s="56" t="n">
        <f aca="false">SUMPRODUCT(Devex_Keur*Devex_Date*(Devex_Date&gt;=AA$3)*(Devex_Date&lt;=AA$4))-AA56*$F56</f>
        <v>0</v>
      </c>
      <c r="AB77" s="56" t="n">
        <f aca="false">SUMPRODUCT(Devex_Keur*Devex_Date*(Devex_Date&gt;=AB$3)*(Devex_Date&lt;=AB$4))-AB56*$F56</f>
        <v>0</v>
      </c>
      <c r="AC77" s="56" t="n">
        <f aca="false">SUMPRODUCT(Devex_Keur*Devex_Date*(Devex_Date&gt;=AC$3)*(Devex_Date&lt;=AC$4))-AC56*$F56</f>
        <v>0</v>
      </c>
      <c r="AD77" s="56" t="n">
        <f aca="false">SUMPRODUCT(Devex_Keur*Devex_Date*(Devex_Date&gt;=AD$3)*(Devex_Date&lt;=AD$4))-AD56*$F56</f>
        <v>0</v>
      </c>
      <c r="AE77" s="56" t="n">
        <f aca="false">SUMPRODUCT(Devex_Keur*Devex_Date*(Devex_Date&gt;=AE$3)*(Devex_Date&lt;=AE$4))-AE56*$F56</f>
        <v>0</v>
      </c>
      <c r="AF77" s="56" t="n">
        <f aca="false">SUMPRODUCT(Devex_Keur*Devex_Date*(Devex_Date&gt;=AF$3)*(Devex_Date&lt;=AF$4))-AF56*$F56</f>
        <v>0</v>
      </c>
      <c r="AG77" s="56" t="n">
        <f aca="false">SUMPRODUCT(Devex_Keur*Devex_Date*(Devex_Date&gt;=AG$3)*(Devex_Date&lt;=AG$4))-AG56*$F56</f>
        <v>0</v>
      </c>
      <c r="AH77" s="56" t="n">
        <f aca="false">SUMPRODUCT(Devex_Keur*Devex_Date*(Devex_Date&gt;=AH$3)*(Devex_Date&lt;=AH$4))-AH56*$F56</f>
        <v>0</v>
      </c>
      <c r="AI77" s="56" t="n">
        <f aca="false">SUMPRODUCT(Devex_Keur*Devex_Date*(Devex_Date&gt;=AI$3)*(Devex_Date&lt;=AI$4))-AI56*$F56</f>
        <v>0</v>
      </c>
      <c r="AJ77" s="56" t="n">
        <f aca="false">SUMPRODUCT(Devex_Keur*Devex_Date*(Devex_Date&gt;=AJ$3)*(Devex_Date&lt;=AJ$4))-AJ56*$F56</f>
        <v>0</v>
      </c>
      <c r="AK77" s="56" t="n">
        <f aca="false">SUMPRODUCT(Devex_Keur*Devex_Date*(Devex_Date&gt;=AK$3)*(Devex_Date&lt;=AK$4))-AK56*$F56</f>
        <v>0</v>
      </c>
      <c r="AL77" s="56" t="n">
        <f aca="false">SUMPRODUCT(Devex_Keur*Devex_Date*(Devex_Date&gt;=AL$3)*(Devex_Date&lt;=AL$4))-AL56*$F56</f>
        <v>0</v>
      </c>
      <c r="AM77" s="56" t="n">
        <f aca="false">SUMPRODUCT(Devex_Keur*Devex_Date*(Devex_Date&gt;=AM$3)*(Devex_Date&lt;=AM$4))-AM56*$F56</f>
        <v>0</v>
      </c>
      <c r="AN77" s="56" t="n">
        <f aca="false">SUMPRODUCT(Devex_Keur*Devex_Date*(Devex_Date&gt;=AN$3)*(Devex_Date&lt;=AN$4))-AN56*$F56</f>
        <v>0</v>
      </c>
      <c r="AO77" s="56" t="n">
        <f aca="false">SUMPRODUCT(Devex_Keur*Devex_Date*(Devex_Date&gt;=AO$3)*(Devex_Date&lt;=AO$4))-AO56*$F56</f>
        <v>0</v>
      </c>
      <c r="AP77" s="56" t="n">
        <f aca="false">SUMPRODUCT(Devex_Keur*Devex_Date*(Devex_Date&gt;=AP$3)*(Devex_Date&lt;=AP$4))-AP56*$F56</f>
        <v>0</v>
      </c>
      <c r="AQ77" s="56" t="n">
        <f aca="false">SUMPRODUCT(Devex_Keur*Devex_Date*(Devex_Date&gt;=AQ$3)*(Devex_Date&lt;=AQ$4))-AQ56*$F56</f>
        <v>0</v>
      </c>
      <c r="AR77" s="56" t="n">
        <f aca="false">SUMPRODUCT(Devex_Keur*Devex_Date*(Devex_Date&gt;=AR$3)*(Devex_Date&lt;=AR$4))-AR56*$F56</f>
        <v>0</v>
      </c>
      <c r="AS77" s="56" t="n">
        <f aca="false">SUMPRODUCT(Devex_Keur*Devex_Date*(Devex_Date&gt;=AS$3)*(Devex_Date&lt;=AS$4))-AS56*$F56</f>
        <v>0</v>
      </c>
      <c r="AT77" s="56" t="n">
        <f aca="false">SUMPRODUCT(Devex_Keur*Devex_Date*(Devex_Date&gt;=AT$3)*(Devex_Date&lt;=AT$4))-AT56*$F56</f>
        <v>0</v>
      </c>
      <c r="AU77" s="56" t="n">
        <f aca="false">SUMPRODUCT(Devex_Keur*Devex_Date*(Devex_Date&gt;=AU$3)*(Devex_Date&lt;=AU$4))-AU56*$F56</f>
        <v>0</v>
      </c>
      <c r="AV77" s="56" t="n">
        <f aca="false">SUMPRODUCT(Devex_Keur*Devex_Date*(Devex_Date&gt;=AV$3)*(Devex_Date&lt;=AV$4))-AV56*$F56</f>
        <v>0</v>
      </c>
      <c r="AW77" s="56" t="n">
        <f aca="false">SUMPRODUCT(Devex_Keur*Devex_Date*(Devex_Date&gt;=AW$3)*(Devex_Date&lt;=AW$4))-AW56*$F56</f>
        <v>0</v>
      </c>
      <c r="AX77" s="56" t="n">
        <f aca="false">SUMPRODUCT(Devex_Keur*Devex_Date*(Devex_Date&gt;=AX$3)*(Devex_Date&lt;=AX$4))-AX56*$F56</f>
        <v>0</v>
      </c>
      <c r="AY77" s="56" t="n">
        <f aca="false">SUMPRODUCT(Devex_Keur*Devex_Date*(Devex_Date&gt;=AY$3)*(Devex_Date&lt;=AY$4))-AY56*$F56</f>
        <v>0</v>
      </c>
      <c r="AZ77" s="56" t="n">
        <f aca="false">SUMPRODUCT(Devex_Keur*Devex_Date*(Devex_Date&gt;=AZ$3)*(Devex_Date&lt;=AZ$4))-AZ56*$F56</f>
        <v>0</v>
      </c>
      <c r="BA77" s="56" t="n">
        <f aca="false">SUMPRODUCT(Devex_Keur*Devex_Date*(Devex_Date&gt;=BA$3)*(Devex_Date&lt;=BA$4))-BA56*$F56</f>
        <v>0</v>
      </c>
      <c r="BB77" s="56" t="n">
        <f aca="false">SUMPRODUCT(Devex_Keur*Devex_Date*(Devex_Date&gt;=BB$3)*(Devex_Date&lt;=BB$4))-BB56*$F56</f>
        <v>0</v>
      </c>
      <c r="BC77" s="56" t="n">
        <f aca="false">SUMPRODUCT(Devex_Keur*Devex_Date*(Devex_Date&gt;=BC$3)*(Devex_Date&lt;=BC$4))-BC56*$F56</f>
        <v>0</v>
      </c>
      <c r="BD77" s="56" t="n">
        <f aca="false">SUMPRODUCT(Devex_Keur*Devex_Date*(Devex_Date&gt;=BD$3)*(Devex_Date&lt;=BD$4))-BD56*$F56</f>
        <v>0</v>
      </c>
      <c r="BE77" s="56" t="n">
        <f aca="false">SUMPRODUCT(Devex_Keur*Devex_Date*(Devex_Date&gt;=BE$3)*(Devex_Date&lt;=BE$4))-BE56*$F56</f>
        <v>0</v>
      </c>
      <c r="BF77" s="56" t="n">
        <f aca="false">SUMPRODUCT(Devex_Keur*Devex_Date*(Devex_Date&gt;=BF$3)*(Devex_Date&lt;=BF$4))-BF56*$F56</f>
        <v>0</v>
      </c>
      <c r="BG77" s="56" t="n">
        <f aca="false">SUMPRODUCT(Devex_Keur*Devex_Date*(Devex_Date&gt;=BG$3)*(Devex_Date&lt;=BG$4))-BG56*$F56</f>
        <v>0</v>
      </c>
      <c r="BH77" s="56" t="n">
        <f aca="false">SUMPRODUCT(Devex_Keur*Devex_Date*(Devex_Date&gt;=BH$3)*(Devex_Date&lt;=BH$4))-BH56*$F56</f>
        <v>0</v>
      </c>
      <c r="BI77" s="56" t="n">
        <f aca="false">SUMPRODUCT(Devex_Keur*Devex_Date*(Devex_Date&gt;=BI$3)*(Devex_Date&lt;=BI$4))-BI56*$F56</f>
        <v>0</v>
      </c>
      <c r="BJ77" s="56" t="n">
        <f aca="false">SUMPRODUCT(Devex_Keur*Devex_Date*(Devex_Date&gt;=BJ$3)*(Devex_Date&lt;=BJ$4))-BJ56*$F56</f>
        <v>0</v>
      </c>
      <c r="BK77" s="56" t="n">
        <f aca="false">SUMPRODUCT(Devex_Keur*Devex_Date*(Devex_Date&gt;=BK$3)*(Devex_Date&lt;=BK$4))-BK56*$F56</f>
        <v>0</v>
      </c>
      <c r="BL77" s="56" t="n">
        <f aca="false">SUMPRODUCT(Devex_Keur*Devex_Date*(Devex_Date&gt;=BL$3)*(Devex_Date&lt;=BL$4))-BL56*$F56</f>
        <v>0</v>
      </c>
      <c r="BM77" s="56" t="n">
        <f aca="false">SUMPRODUCT(Devex_Keur*Devex_Date*(Devex_Date&gt;=BM$3)*(Devex_Date&lt;=BM$4))-BM56*$F56</f>
        <v>0</v>
      </c>
      <c r="BN77" s="56" t="n">
        <f aca="false">SUMPRODUCT(Devex_Keur*Devex_Date*(Devex_Date&gt;=BN$3)*(Devex_Date&lt;=BN$4))-BN56*$F56</f>
        <v>0</v>
      </c>
      <c r="BO77" s="56" t="n">
        <f aca="false">SUMPRODUCT(Devex_Keur*Devex_Date*(Devex_Date&gt;=BO$3)*(Devex_Date&lt;=BO$4))-BO56*$F56</f>
        <v>0</v>
      </c>
      <c r="BP77" s="56" t="n">
        <f aca="false">SUMPRODUCT(Devex_Keur*Devex_Date*(Devex_Date&gt;=BP$3)*(Devex_Date&lt;=BP$4))-BP56*$F56</f>
        <v>0</v>
      </c>
      <c r="BQ77" s="56" t="n">
        <f aca="false">SUMPRODUCT(Devex_Keur*Devex_Date*(Devex_Date&gt;=BQ$3)*(Devex_Date&lt;=BQ$4))-BQ56*$F56</f>
        <v>0</v>
      </c>
      <c r="BR77" s="56" t="n">
        <f aca="false">SUMPRODUCT(Devex_Keur*Devex_Date*(Devex_Date&gt;=BR$3)*(Devex_Date&lt;=BR$4))-BR56*$F56</f>
        <v>0</v>
      </c>
      <c r="BS77" s="56" t="n">
        <f aca="false">SUMPRODUCT(Devex_Keur*Devex_Date*(Devex_Date&gt;=BS$3)*(Devex_Date&lt;=BS$4))-BS56*$F56</f>
        <v>0</v>
      </c>
      <c r="BT77" s="56" t="n">
        <f aca="false">SUMPRODUCT(Devex_Keur*Devex_Date*(Devex_Date&gt;=BT$3)*(Devex_Date&lt;=BT$4))-BT56*$F56</f>
        <v>0</v>
      </c>
      <c r="BU77" s="56" t="n">
        <f aca="false">SUMPRODUCT(Devex_Keur*Devex_Date*(Devex_Date&gt;=BU$3)*(Devex_Date&lt;=BU$4))-BU56*$F56</f>
        <v>0</v>
      </c>
      <c r="BV77" s="56" t="n">
        <f aca="false">SUMPRODUCT(Devex_Keur*Devex_Date*(Devex_Date&gt;=BV$3)*(Devex_Date&lt;=BV$4))-BV56*$F56</f>
        <v>0</v>
      </c>
      <c r="BW77" s="56" t="n">
        <f aca="false">SUMPRODUCT(Devex_Keur*Devex_Date*(Devex_Date&gt;=BW$3)*(Devex_Date&lt;=BW$4))-BW56*$F56</f>
        <v>0</v>
      </c>
      <c r="BX77" s="56" t="n">
        <f aca="false">SUMPRODUCT(Devex_Keur*Devex_Date*(Devex_Date&gt;=BX$3)*(Devex_Date&lt;=BX$4))-BX56*$F56</f>
        <v>0</v>
      </c>
      <c r="BY77" s="56" t="n">
        <f aca="false">SUMPRODUCT(Devex_Keur*Devex_Date*(Devex_Date&gt;=BY$3)*(Devex_Date&lt;=BY$4))-BY56*$F56</f>
        <v>0</v>
      </c>
      <c r="BZ77" s="56" t="n">
        <f aca="false">SUMPRODUCT(Devex_Keur*Devex_Date*(Devex_Date&gt;=BZ$3)*(Devex_Date&lt;=BZ$4))-BZ56*$F56</f>
        <v>0</v>
      </c>
      <c r="CA77" s="56" t="n">
        <f aca="false">SUMPRODUCT(Devex_Keur*Devex_Date*(Devex_Date&gt;=CA$3)*(Devex_Date&lt;=CA$4))-CA56*$F56</f>
        <v>0</v>
      </c>
      <c r="CB77" s="56" t="n">
        <f aca="false">SUMPRODUCT(Devex_Keur*Devex_Date*(Devex_Date&gt;=CB$3)*(Devex_Date&lt;=CB$4))-CB56*$F56</f>
        <v>0</v>
      </c>
      <c r="CC77" s="56" t="n">
        <f aca="false">SUMPRODUCT(Devex_Keur*Devex_Date*(Devex_Date&gt;=CC$3)*(Devex_Date&lt;=CC$4))-CC56*$F56</f>
        <v>0</v>
      </c>
      <c r="CD77" s="56" t="n">
        <f aca="false">SUMPRODUCT(Devex_Keur*Devex_Date*(Devex_Date&gt;=CD$3)*(Devex_Date&lt;=CD$4))-CD56*$F56</f>
        <v>0</v>
      </c>
      <c r="CE77" s="56" t="n">
        <f aca="false">SUMPRODUCT(Devex_Keur*Devex_Date*(Devex_Date&gt;=CE$3)*(Devex_Date&lt;=CE$4))-CE56*$F56</f>
        <v>0</v>
      </c>
      <c r="CF77" s="56" t="n">
        <f aca="false">SUMPRODUCT(Devex_Keur*Devex_Date*(Devex_Date&gt;=CF$3)*(Devex_Date&lt;=CF$4))-CF56*$F56</f>
        <v>0</v>
      </c>
      <c r="CG77" s="56" t="n">
        <f aca="false">SUMPRODUCT(Devex_Keur*Devex_Date*(Devex_Date&gt;=CG$3)*(Devex_Date&lt;=CG$4))-CG56*$F56</f>
        <v>0</v>
      </c>
      <c r="CH77" s="56" t="n">
        <f aca="false">SUMPRODUCT(Devex_Keur*Devex_Date*(Devex_Date&gt;=CH$3)*(Devex_Date&lt;=CH$4))-CH56*$F56</f>
        <v>0</v>
      </c>
      <c r="CI77" s="56" t="n">
        <f aca="false">SUMPRODUCT(Devex_Keur*Devex_Date*(Devex_Date&gt;=CI$3)*(Devex_Date&lt;=CI$4))-CI56*$F56</f>
        <v>0</v>
      </c>
      <c r="CJ77" s="56" t="n">
        <f aca="false">SUMPRODUCT(Devex_Keur*Devex_Date*(Devex_Date&gt;=CJ$3)*(Devex_Date&lt;=CJ$4))-CJ56*$F56</f>
        <v>0</v>
      </c>
      <c r="CK77" s="56" t="n">
        <f aca="false">SUMPRODUCT(Devex_Keur*Devex_Date*(Devex_Date&gt;=CK$3)*(Devex_Date&lt;=CK$4))-CK56*$F56</f>
        <v>0</v>
      </c>
      <c r="CL77" s="56" t="n">
        <f aca="false">SUMPRODUCT(Devex_Keur*Devex_Date*(Devex_Date&gt;=CL$3)*(Devex_Date&lt;=CL$4))-CL56*$F56</f>
        <v>0</v>
      </c>
      <c r="CM77" s="56" t="n">
        <f aca="false">SUMPRODUCT(Devex_Keur*Devex_Date*(Devex_Date&gt;=CM$3)*(Devex_Date&lt;=CM$4))-CM56*$F56</f>
        <v>0</v>
      </c>
      <c r="CN77" s="56" t="n">
        <f aca="false">SUMPRODUCT(Devex_Keur*Devex_Date*(Devex_Date&gt;=CN$3)*(Devex_Date&lt;=CN$4))-CN56*$F56</f>
        <v>0</v>
      </c>
      <c r="CO77" s="56" t="n">
        <f aca="false">SUMPRODUCT(Devex_Keur*Devex_Date*(Devex_Date&gt;=CO$3)*(Devex_Date&lt;=CO$4))-CO56*$F56</f>
        <v>0</v>
      </c>
      <c r="CP77" s="56" t="n">
        <f aca="false">SUMPRODUCT(Devex_Keur*Devex_Date*(Devex_Date&gt;=CP$3)*(Devex_Date&lt;=CP$4))-CP56*$F56</f>
        <v>0</v>
      </c>
      <c r="CQ77" s="56" t="n">
        <f aca="false">SUMPRODUCT(Devex_Keur*Devex_Date*(Devex_Date&gt;=CQ$3)*(Devex_Date&lt;=CQ$4))-CQ56*$F56</f>
        <v>0</v>
      </c>
      <c r="CR77" s="56" t="n">
        <f aca="false">SUMPRODUCT(Devex_Keur*Devex_Date*(Devex_Date&gt;=CR$3)*(Devex_Date&lt;=CR$4))-CR56*$F56</f>
        <v>0</v>
      </c>
      <c r="CS77" s="56" t="n">
        <f aca="false">SUMPRODUCT(Devex_Keur*Devex_Date*(Devex_Date&gt;=CS$3)*(Devex_Date&lt;=CS$4))-CS56*$F56</f>
        <v>0</v>
      </c>
      <c r="CT77" s="56" t="n">
        <f aca="false">SUMPRODUCT(Devex_Keur*Devex_Date*(Devex_Date&gt;=CT$3)*(Devex_Date&lt;=CT$4))-CT56*$F56</f>
        <v>0</v>
      </c>
      <c r="CU77" s="56" t="n">
        <f aca="false">SUMPRODUCT(Devex_Keur*Devex_Date*(Devex_Date&gt;=CU$3)*(Devex_Date&lt;=CU$4))-CU56*$F56</f>
        <v>0</v>
      </c>
      <c r="CV77" s="56" t="n">
        <f aca="false">SUMPRODUCT(Devex_Keur*Devex_Date*(Devex_Date&gt;=CV$3)*(Devex_Date&lt;=CV$4))-CV56*$F56</f>
        <v>0</v>
      </c>
      <c r="CW77" s="56" t="n">
        <f aca="false">SUMPRODUCT(Devex_Keur*Devex_Date*(Devex_Date&gt;=CW$3)*(Devex_Date&lt;=CW$4))-CW56*$F56</f>
        <v>0</v>
      </c>
      <c r="CX77" s="56" t="n">
        <f aca="false">SUMPRODUCT(Devex_Keur*Devex_Date*(Devex_Date&gt;=CX$3)*(Devex_Date&lt;=CX$4))-CX56*$F56</f>
        <v>0</v>
      </c>
      <c r="CY77" s="56" t="n">
        <f aca="false">SUMPRODUCT(Devex_Keur*Devex_Date*(Devex_Date&gt;=CY$3)*(Devex_Date&lt;=CY$4))-CY56*$F56</f>
        <v>0</v>
      </c>
      <c r="CZ77" s="56" t="n">
        <f aca="false">SUMPRODUCT(Devex_Keur*Devex_Date*(Devex_Date&gt;=CZ$3)*(Devex_Date&lt;=CZ$4))-CZ56*$F56</f>
        <v>0</v>
      </c>
      <c r="DA77" s="56" t="n">
        <f aca="false">SUMPRODUCT(Devex_Keur*Devex_Date*(Devex_Date&gt;=DA$3)*(Devex_Date&lt;=DA$4))-DA56*$F56</f>
        <v>0</v>
      </c>
      <c r="DB77" s="56" t="n">
        <f aca="false">SUMPRODUCT(Devex_Keur*Devex_Date*(Devex_Date&gt;=DB$3)*(Devex_Date&lt;=DB$4))-DB56*$F56</f>
        <v>0</v>
      </c>
      <c r="DC77" s="56" t="n">
        <f aca="false">SUMPRODUCT(Devex_Keur*Devex_Date*(Devex_Date&gt;=DC$3)*(Devex_Date&lt;=DC$4))-DC56*$F56</f>
        <v>0</v>
      </c>
      <c r="DD77" s="56" t="n">
        <f aca="false">SUMPRODUCT(Devex_Keur*Devex_Date*(Devex_Date&gt;=DD$3)*(Devex_Date&lt;=DD$4))-DD56*$F56</f>
        <v>0</v>
      </c>
      <c r="DE77" s="56" t="n">
        <f aca="false">SUMPRODUCT(Devex_Keur*Devex_Date*(Devex_Date&gt;=DE$3)*(Devex_Date&lt;=DE$4))-DE56*$F56</f>
        <v>0</v>
      </c>
      <c r="DF77" s="56" t="n">
        <f aca="false">SUMPRODUCT(Devex_Keur*Devex_Date*(Devex_Date&gt;=DF$3)*(Devex_Date&lt;=DF$4))-DF56*$F56</f>
        <v>0</v>
      </c>
      <c r="DG77" s="56" t="n">
        <f aca="false">SUMPRODUCT(Devex_Keur*Devex_Date*(Devex_Date&gt;=DG$3)*(Devex_Date&lt;=DG$4))-DG56*$F56</f>
        <v>0</v>
      </c>
      <c r="DH77" s="56" t="n">
        <f aca="false">SUMPRODUCT(Devex_Keur*Devex_Date*(Devex_Date&gt;=DH$3)*(Devex_Date&lt;=DH$4))-DH56*$F56</f>
        <v>0</v>
      </c>
      <c r="DI77" s="56" t="n">
        <f aca="false">SUMPRODUCT(Devex_Keur*Devex_Date*(Devex_Date&gt;=DI$3)*(Devex_Date&lt;=DI$4))-DI56*$F56</f>
        <v>0</v>
      </c>
      <c r="DJ77" s="56" t="n">
        <f aca="false">SUMPRODUCT(Devex_Keur*Devex_Date*(Devex_Date&gt;=DJ$3)*(Devex_Date&lt;=DJ$4))-DJ56*$F56</f>
        <v>0</v>
      </c>
      <c r="DK77" s="56" t="n">
        <f aca="false">SUMPRODUCT(Devex_Keur*Devex_Date*(Devex_Date&gt;=DK$3)*(Devex_Date&lt;=DK$4))-DK56*$F56</f>
        <v>0</v>
      </c>
      <c r="DL77" s="56" t="n">
        <f aca="false">SUMPRODUCT(Devex_Keur*Devex_Date*(Devex_Date&gt;=DL$3)*(Devex_Date&lt;=DL$4))-DL56*$F56</f>
        <v>0</v>
      </c>
      <c r="DM77" s="56" t="n">
        <f aca="false">SUMPRODUCT(Devex_Keur*Devex_Date*(Devex_Date&gt;=DM$3)*(Devex_Date&lt;=DM$4))-DM56*$F56</f>
        <v>0</v>
      </c>
      <c r="DN77" s="56" t="n">
        <f aca="false">SUMPRODUCT(Devex_Keur*Devex_Date*(Devex_Date&gt;=DN$3)*(Devex_Date&lt;=DN$4))-DN56*$F56</f>
        <v>0</v>
      </c>
      <c r="DO77" s="56" t="n">
        <f aca="false">SUMPRODUCT(Devex_Keur*Devex_Date*(Devex_Date&gt;=DO$3)*(Devex_Date&lt;=DO$4))-DO56*$F56</f>
        <v>0</v>
      </c>
      <c r="DP77" s="56" t="n">
        <f aca="false">SUMPRODUCT(Devex_Keur*Devex_Date*(Devex_Date&gt;=DP$3)*(Devex_Date&lt;=DP$4))-DP56*$F56</f>
        <v>0</v>
      </c>
      <c r="DQ77" s="56" t="n">
        <f aca="false">SUMPRODUCT(Devex_Keur*Devex_Date*(Devex_Date&gt;=DQ$3)*(Devex_Date&lt;=DQ$4))-DQ56*$F56</f>
        <v>0</v>
      </c>
      <c r="DR77" s="56" t="n">
        <f aca="false">SUMPRODUCT(Devex_Keur*Devex_Date*(Devex_Date&gt;=DR$3)*(Devex_Date&lt;=DR$4))-DR56*$F56</f>
        <v>0</v>
      </c>
      <c r="DS77" s="56" t="n">
        <f aca="false">SUMPRODUCT(Devex_Keur*Devex_Date*(Devex_Date&gt;=DS$3)*(Devex_Date&lt;=DS$4))-DS56*$F56</f>
        <v>0</v>
      </c>
      <c r="DT77" s="56" t="n">
        <f aca="false">SUMPRODUCT(Devex_Keur*Devex_Date*(Devex_Date&gt;=DT$3)*(Devex_Date&lt;=DT$4))-DT56*$F56</f>
        <v>0</v>
      </c>
      <c r="DU77" s="56" t="n">
        <f aca="false">SUMPRODUCT(Devex_Keur*Devex_Date*(Devex_Date&gt;=DU$3)*(Devex_Date&lt;=DU$4))-DU56*$F56</f>
        <v>0</v>
      </c>
      <c r="DV77" s="56" t="n">
        <f aca="false">SUMPRODUCT(Devex_Keur*Devex_Date*(Devex_Date&gt;=DV$3)*(Devex_Date&lt;=DV$4))-DV56*$F56</f>
        <v>0</v>
      </c>
      <c r="DW77" s="56" t="n">
        <f aca="false">SUMPRODUCT(Devex_Keur*Devex_Date*(Devex_Date&gt;=DW$3)*(Devex_Date&lt;=DW$4))-DW56*$F56</f>
        <v>0</v>
      </c>
      <c r="DX77" s="56" t="n">
        <f aca="false">SUMPRODUCT(Devex_Keur*Devex_Date*(Devex_Date&gt;=DX$3)*(Devex_Date&lt;=DX$4))-DX56*$F56</f>
        <v>0</v>
      </c>
      <c r="DY77" s="56" t="n">
        <f aca="false">SUMPRODUCT(Devex_Keur*Devex_Date*(Devex_Date&gt;=DY$3)*(Devex_Date&lt;=DY$4))-DY56*$F56</f>
        <v>0</v>
      </c>
      <c r="DZ77" s="56" t="n">
        <f aca="false">SUMPRODUCT(Devex_Keur*Devex_Date*(Devex_Date&gt;=DZ$3)*(Devex_Date&lt;=DZ$4))-DZ56*$F56</f>
        <v>0</v>
      </c>
      <c r="EA77" s="56" t="n">
        <f aca="false">SUMPRODUCT(Devex_Keur*Devex_Date*(Devex_Date&gt;=EA$3)*(Devex_Date&lt;=EA$4))-EA56*$F56</f>
        <v>0</v>
      </c>
      <c r="EB77" s="56" t="n">
        <f aca="false">SUMPRODUCT(Devex_Keur*Devex_Date*(Devex_Date&gt;=EB$3)*(Devex_Date&lt;=EB$4))-EB56*$F56</f>
        <v>0</v>
      </c>
      <c r="EC77" s="56" t="n">
        <f aca="false">SUMPRODUCT(Devex_Keur*Devex_Date*(Devex_Date&gt;=EC$3)*(Devex_Date&lt;=EC$4))-EC56*$F56</f>
        <v>0</v>
      </c>
      <c r="ED77" s="56" t="n">
        <f aca="false">SUMPRODUCT(Devex_Keur*Devex_Date*(Devex_Date&gt;=ED$3)*(Devex_Date&lt;=ED$4))-ED56*$F56</f>
        <v>0</v>
      </c>
      <c r="EE77" s="56" t="n">
        <f aca="false">SUMPRODUCT(Devex_Keur*Devex_Date*(Devex_Date&gt;=EE$3)*(Devex_Date&lt;=EE$4))-EE56*$F56</f>
        <v>0</v>
      </c>
      <c r="EF77" s="56" t="n">
        <f aca="false">SUMPRODUCT(Devex_Keur*Devex_Date*(Devex_Date&gt;=EF$3)*(Devex_Date&lt;=EF$4))-EF56*$F56</f>
        <v>0</v>
      </c>
      <c r="EG77" s="56" t="n">
        <f aca="false">SUMPRODUCT(Devex_Keur*Devex_Date*(Devex_Date&gt;=EG$3)*(Devex_Date&lt;=EG$4))-EG56*$F56</f>
        <v>0</v>
      </c>
      <c r="EH77" s="56" t="n">
        <f aca="false">SUMPRODUCT(Devex_Keur*Devex_Date*(Devex_Date&gt;=EH$3)*(Devex_Date&lt;=EH$4))-EH56*$F56</f>
        <v>0</v>
      </c>
      <c r="EI77" s="56" t="n">
        <f aca="false">SUMPRODUCT(Devex_Keur*Devex_Date*(Devex_Date&gt;=EI$3)*(Devex_Date&lt;=EI$4))-EI56*$F56</f>
        <v>0</v>
      </c>
      <c r="EJ77" s="56" t="n">
        <f aca="false">SUMPRODUCT(Devex_Keur*Devex_Date*(Devex_Date&gt;=EJ$3)*(Devex_Date&lt;=EJ$4))-EJ56*$F56</f>
        <v>0</v>
      </c>
      <c r="EK77" s="56" t="n">
        <f aca="false">SUMPRODUCT(Devex_Keur*Devex_Date*(Devex_Date&gt;=EK$3)*(Devex_Date&lt;=EK$4))-EK56*$F56</f>
        <v>0</v>
      </c>
      <c r="EL77" s="56" t="n">
        <f aca="false">SUMPRODUCT(Devex_Keur*Devex_Date*(Devex_Date&gt;=EL$3)*(Devex_Date&lt;=EL$4))-EL56*$F56</f>
        <v>0</v>
      </c>
      <c r="EM77" s="56" t="n">
        <f aca="false">SUMPRODUCT(Devex_Keur*Devex_Date*(Devex_Date&gt;=EM$3)*(Devex_Date&lt;=EM$4))-EM56*$F56</f>
        <v>0</v>
      </c>
      <c r="EN77" s="56" t="n">
        <f aca="false">SUMPRODUCT(Devex_Keur*Devex_Date*(Devex_Date&gt;=EN$3)*(Devex_Date&lt;=EN$4))-EN56*$F56</f>
        <v>0</v>
      </c>
      <c r="EO77" s="56" t="n">
        <f aca="false">SUMPRODUCT(Devex_Keur*Devex_Date*(Devex_Date&gt;=EO$3)*(Devex_Date&lt;=EO$4))-EO56*$F56</f>
        <v>0</v>
      </c>
      <c r="EP77" s="56" t="n">
        <f aca="false">SUMPRODUCT(Devex_Keur*Devex_Date*(Devex_Date&gt;=EP$3)*(Devex_Date&lt;=EP$4))-EP56*$F56</f>
        <v>0</v>
      </c>
      <c r="EQ77" s="56" t="n">
        <f aca="false">SUMPRODUCT(Devex_Keur*Devex_Date*(Devex_Date&gt;=EQ$3)*(Devex_Date&lt;=EQ$4))-EQ56*$F56</f>
        <v>0</v>
      </c>
      <c r="ER77" s="56" t="n">
        <f aca="false">SUMPRODUCT(Devex_Keur*Devex_Date*(Devex_Date&gt;=ER$3)*(Devex_Date&lt;=ER$4))-ER56*$F56</f>
        <v>0</v>
      </c>
      <c r="ES77" s="56" t="n">
        <f aca="false">SUMPRODUCT(Devex_Keur*Devex_Date*(Devex_Date&gt;=ES$3)*(Devex_Date&lt;=ES$4))-ES56*$F56</f>
        <v>0</v>
      </c>
      <c r="ET77" s="56" t="n">
        <f aca="false">SUMPRODUCT(Devex_Keur*Devex_Date*(Devex_Date&gt;=ET$3)*(Devex_Date&lt;=ET$4))-ET56*$F56</f>
        <v>0</v>
      </c>
    </row>
    <row r="78" customFormat="false" ht="15" hidden="false" customHeight="false" outlineLevel="0" collapsed="false">
      <c r="C78" s="0" t="s">
        <v>526</v>
      </c>
      <c r="D78" s="11" t="s">
        <v>247</v>
      </c>
      <c r="J78" s="22" t="n">
        <f aca="false">I81</f>
        <v>0</v>
      </c>
      <c r="K78" s="22" t="n">
        <f aca="false">J81</f>
        <v>0</v>
      </c>
      <c r="L78" s="22" t="n">
        <f aca="false">K81</f>
        <v>187.51993995121</v>
      </c>
      <c r="M78" s="22" t="n">
        <f aca="false">L81</f>
        <v>775.964460499156</v>
      </c>
      <c r="N78" s="22" t="n">
        <f aca="false">M81</f>
        <v>819.800076937512</v>
      </c>
      <c r="O78" s="22" t="n">
        <f aca="false">N81</f>
        <v>863.635693375868</v>
      </c>
      <c r="P78" s="22" t="n">
        <f aca="false">O81</f>
        <v>1195.18381497467</v>
      </c>
      <c r="Q78" s="22" t="n">
        <f aca="false">P81</f>
        <v>2485.22560977478</v>
      </c>
      <c r="R78" s="22" t="n">
        <f aca="false">Q81</f>
        <v>2489.83519881588</v>
      </c>
      <c r="S78" s="22" t="n">
        <f aca="false">R81</f>
        <v>2653.92670879631</v>
      </c>
      <c r="T78" s="22" t="n">
        <f aca="false">S81</f>
        <v>3458.61440309663</v>
      </c>
      <c r="U78" s="22" t="n">
        <f aca="false">T81</f>
        <v>3763.27193734321</v>
      </c>
      <c r="V78" s="22" t="n">
        <f aca="false">U81</f>
        <v>3763.27193734321</v>
      </c>
      <c r="W78" s="22" t="n">
        <f aca="false">V81</f>
        <v>3763.27193734321</v>
      </c>
      <c r="X78" s="22" t="n">
        <f aca="false">W81</f>
        <v>4125.06913837992</v>
      </c>
      <c r="Y78" s="22" t="n">
        <f aca="false">X81</f>
        <v>4125.06913837992</v>
      </c>
      <c r="Z78" s="22" t="n">
        <f aca="false">Y81</f>
        <v>4125.06913837992</v>
      </c>
      <c r="AA78" s="22" t="n">
        <f aca="false">Z81</f>
        <v>4125.06913837992</v>
      </c>
      <c r="AB78" s="22" t="n">
        <f aca="false">AA81</f>
        <v>4950.0829660559</v>
      </c>
      <c r="AC78" s="22" t="n">
        <f aca="false">AB81</f>
        <v>4950.0829660559</v>
      </c>
      <c r="AD78" s="22" t="n">
        <f aca="false">AC81</f>
        <v>4950.0829660559</v>
      </c>
      <c r="AE78" s="22" t="n">
        <f aca="false">AD81</f>
        <v>4950.0829660559</v>
      </c>
      <c r="AF78" s="22" t="n">
        <f aca="false">AE81</f>
        <v>5690.5611302933</v>
      </c>
      <c r="AG78" s="22" t="n">
        <f aca="false">AF81</f>
        <v>5690.5611302933</v>
      </c>
      <c r="AH78" s="22" t="n">
        <f aca="false">AG81</f>
        <v>5690.5611302933</v>
      </c>
      <c r="AI78" s="22" t="n">
        <f aca="false">AH81</f>
        <v>5690.5611302933</v>
      </c>
      <c r="AJ78" s="22" t="n">
        <f aca="false">AI81</f>
        <v>5690.5611302933</v>
      </c>
      <c r="AK78" s="22" t="n">
        <f aca="false">AJ81</f>
        <v>5690.5611302933</v>
      </c>
      <c r="AL78" s="22" t="n">
        <f aca="false">AK81</f>
        <v>5690.5611302933</v>
      </c>
      <c r="AM78" s="22" t="n">
        <f aca="false">AL81</f>
        <v>5690.5611302933</v>
      </c>
      <c r="AN78" s="22" t="n">
        <f aca="false">AM81</f>
        <v>5690.5611302933</v>
      </c>
      <c r="AO78" s="22" t="n">
        <f aca="false">AN81</f>
        <v>5690.5611302933</v>
      </c>
      <c r="AP78" s="22" t="n">
        <f aca="false">AO81</f>
        <v>5690.5611302933</v>
      </c>
      <c r="AQ78" s="22" t="n">
        <f aca="false">AP81</f>
        <v>5690.5611302933</v>
      </c>
      <c r="AR78" s="22" t="n">
        <f aca="false">AQ81</f>
        <v>5690.5611302933</v>
      </c>
      <c r="AS78" s="22" t="n">
        <f aca="false">AR81</f>
        <v>5690.5611302933</v>
      </c>
      <c r="AT78" s="22" t="n">
        <f aca="false">AS81</f>
        <v>5690.5611302933</v>
      </c>
      <c r="AU78" s="22" t="n">
        <f aca="false">AT81</f>
        <v>5690.5611302933</v>
      </c>
      <c r="AV78" s="22" t="n">
        <f aca="false">AU81</f>
        <v>5690.5611302933</v>
      </c>
      <c r="AW78" s="22" t="n">
        <f aca="false">AV81</f>
        <v>5690.5611302933</v>
      </c>
      <c r="AX78" s="22" t="n">
        <f aca="false">AW81</f>
        <v>5690.5611302933</v>
      </c>
      <c r="AY78" s="22" t="n">
        <f aca="false">AX81</f>
        <v>5690.5611302933</v>
      </c>
      <c r="AZ78" s="22" t="n">
        <f aca="false">AY81</f>
        <v>5690.5611302933</v>
      </c>
      <c r="BA78" s="22" t="n">
        <f aca="false">AZ81</f>
        <v>5690.5611302933</v>
      </c>
      <c r="BB78" s="22" t="n">
        <f aca="false">BA81</f>
        <v>5690.5611302933</v>
      </c>
      <c r="BC78" s="22" t="n">
        <f aca="false">BB81</f>
        <v>5690.5611302933</v>
      </c>
      <c r="BD78" s="22" t="n">
        <f aca="false">BC81</f>
        <v>5690.5611302933</v>
      </c>
      <c r="BE78" s="22" t="n">
        <f aca="false">BD81</f>
        <v>5690.5611302933</v>
      </c>
      <c r="BF78" s="22" t="n">
        <f aca="false">BE81</f>
        <v>5690.5611302933</v>
      </c>
      <c r="BG78" s="22" t="n">
        <f aca="false">BF81</f>
        <v>5690.5611302933</v>
      </c>
      <c r="BH78" s="22" t="n">
        <f aca="false">BG81</f>
        <v>5690.5611302933</v>
      </c>
      <c r="BI78" s="22" t="n">
        <f aca="false">BH81</f>
        <v>5690.5611302933</v>
      </c>
      <c r="BJ78" s="22" t="n">
        <f aca="false">BI81</f>
        <v>5690.5611302933</v>
      </c>
      <c r="BK78" s="22" t="n">
        <f aca="false">BJ81</f>
        <v>5690.5611302933</v>
      </c>
      <c r="BL78" s="22" t="n">
        <f aca="false">BK81</f>
        <v>5690.5611302933</v>
      </c>
      <c r="BM78" s="22" t="n">
        <f aca="false">BL81</f>
        <v>5690.5611302933</v>
      </c>
      <c r="BN78" s="22" t="n">
        <f aca="false">BM81</f>
        <v>5690.5611302933</v>
      </c>
      <c r="BO78" s="22" t="n">
        <f aca="false">BN81</f>
        <v>5690.5611302933</v>
      </c>
      <c r="BP78" s="22" t="n">
        <f aca="false">BO81</f>
        <v>5690.5611302933</v>
      </c>
      <c r="BQ78" s="22" t="n">
        <f aca="false">BP81</f>
        <v>5690.5611302933</v>
      </c>
      <c r="BR78" s="22" t="n">
        <f aca="false">BQ81</f>
        <v>5690.5611302933</v>
      </c>
      <c r="BS78" s="22" t="n">
        <f aca="false">BR81</f>
        <v>5690.5611302933</v>
      </c>
      <c r="BT78" s="22" t="n">
        <f aca="false">BS81</f>
        <v>5690.5611302933</v>
      </c>
      <c r="BU78" s="22" t="n">
        <f aca="false">BT81</f>
        <v>5690.5611302933</v>
      </c>
      <c r="BV78" s="22" t="n">
        <f aca="false">BU81</f>
        <v>5690.5611302933</v>
      </c>
      <c r="BW78" s="22" t="n">
        <f aca="false">BV81</f>
        <v>5690.5611302933</v>
      </c>
      <c r="BX78" s="22" t="n">
        <f aca="false">BW81</f>
        <v>5690.5611302933</v>
      </c>
      <c r="BY78" s="22" t="n">
        <f aca="false">BX81</f>
        <v>5690.5611302933</v>
      </c>
      <c r="BZ78" s="22" t="n">
        <f aca="false">BY81</f>
        <v>5690.5611302933</v>
      </c>
      <c r="CA78" s="22" t="n">
        <f aca="false">BZ81</f>
        <v>5690.5611302933</v>
      </c>
      <c r="CB78" s="22" t="n">
        <f aca="false">CA81</f>
        <v>5690.5611302933</v>
      </c>
      <c r="CC78" s="22" t="n">
        <f aca="false">CB81</f>
        <v>5690.5611302933</v>
      </c>
      <c r="CD78" s="22" t="n">
        <f aca="false">CC81</f>
        <v>5690.5611302933</v>
      </c>
      <c r="CE78" s="22" t="n">
        <f aca="false">CD81</f>
        <v>5690.5611302933</v>
      </c>
      <c r="CF78" s="22" t="n">
        <f aca="false">CE81</f>
        <v>5690.5611302933</v>
      </c>
      <c r="CG78" s="22" t="n">
        <f aca="false">CF81</f>
        <v>5690.5611302933</v>
      </c>
      <c r="CH78" s="22" t="n">
        <f aca="false">CG81</f>
        <v>5690.5611302933</v>
      </c>
      <c r="CI78" s="22" t="n">
        <f aca="false">CH81</f>
        <v>5690.5611302933</v>
      </c>
      <c r="CJ78" s="22" t="n">
        <f aca="false">CI81</f>
        <v>5690.5611302933</v>
      </c>
      <c r="CK78" s="22" t="n">
        <f aca="false">CJ81</f>
        <v>5690.5611302933</v>
      </c>
      <c r="CL78" s="22" t="n">
        <f aca="false">CK81</f>
        <v>5690.5611302933</v>
      </c>
      <c r="CM78" s="22" t="n">
        <f aca="false">CL81</f>
        <v>5690.5611302933</v>
      </c>
      <c r="CN78" s="22" t="n">
        <f aca="false">CM81</f>
        <v>5690.5611302933</v>
      </c>
      <c r="CO78" s="22" t="n">
        <f aca="false">CN81</f>
        <v>5690.5611302933</v>
      </c>
      <c r="CP78" s="22" t="n">
        <f aca="false">CO81</f>
        <v>5690.5611302933</v>
      </c>
      <c r="CQ78" s="22" t="n">
        <f aca="false">CP81</f>
        <v>5690.5611302933</v>
      </c>
      <c r="CR78" s="22" t="n">
        <f aca="false">CQ81</f>
        <v>5690.5611302933</v>
      </c>
      <c r="CS78" s="22" t="n">
        <f aca="false">CR81</f>
        <v>5690.5611302933</v>
      </c>
      <c r="CT78" s="22" t="n">
        <f aca="false">CS81</f>
        <v>5690.5611302933</v>
      </c>
      <c r="CU78" s="22" t="n">
        <f aca="false">CT81</f>
        <v>5690.5611302933</v>
      </c>
      <c r="CV78" s="22" t="n">
        <f aca="false">CU81</f>
        <v>5690.5611302933</v>
      </c>
      <c r="CW78" s="22" t="n">
        <f aca="false">CV81</f>
        <v>5690.5611302933</v>
      </c>
      <c r="CX78" s="22" t="n">
        <f aca="false">CW81</f>
        <v>5690.5611302933</v>
      </c>
      <c r="CY78" s="22" t="n">
        <f aca="false">CX81</f>
        <v>5690.5611302933</v>
      </c>
      <c r="CZ78" s="22" t="n">
        <f aca="false">CY81</f>
        <v>5690.5611302933</v>
      </c>
      <c r="DA78" s="22" t="n">
        <f aca="false">CZ81</f>
        <v>5690.5611302933</v>
      </c>
      <c r="DB78" s="22" t="n">
        <f aca="false">DA81</f>
        <v>5690.5611302933</v>
      </c>
      <c r="DC78" s="22" t="n">
        <f aca="false">DB81</f>
        <v>5690.5611302933</v>
      </c>
      <c r="DD78" s="22" t="n">
        <f aca="false">DC81</f>
        <v>5690.5611302933</v>
      </c>
      <c r="DE78" s="22" t="n">
        <f aca="false">DD81</f>
        <v>5690.5611302933</v>
      </c>
      <c r="DF78" s="22" t="n">
        <f aca="false">DE81</f>
        <v>5690.5611302933</v>
      </c>
      <c r="DG78" s="22" t="n">
        <f aca="false">DF81</f>
        <v>5690.5611302933</v>
      </c>
      <c r="DH78" s="22" t="n">
        <f aca="false">DG81</f>
        <v>5690.5611302933</v>
      </c>
      <c r="DI78" s="22" t="n">
        <f aca="false">DH81</f>
        <v>5690.5611302933</v>
      </c>
      <c r="DJ78" s="22" t="n">
        <f aca="false">DI81</f>
        <v>5690.5611302933</v>
      </c>
      <c r="DK78" s="22" t="n">
        <f aca="false">DJ81</f>
        <v>5690.5611302933</v>
      </c>
      <c r="DL78" s="22" t="n">
        <f aca="false">DK81</f>
        <v>5690.5611302933</v>
      </c>
      <c r="DM78" s="22" t="n">
        <f aca="false">DL81</f>
        <v>5690.5611302933</v>
      </c>
      <c r="DN78" s="22" t="n">
        <f aca="false">DM81</f>
        <v>5690.5611302933</v>
      </c>
      <c r="DO78" s="22" t="n">
        <f aca="false">DN81</f>
        <v>5690.5611302933</v>
      </c>
      <c r="DP78" s="22" t="n">
        <f aca="false">DO81</f>
        <v>5690.5611302933</v>
      </c>
      <c r="DQ78" s="22" t="n">
        <f aca="false">DP81</f>
        <v>5690.5611302933</v>
      </c>
      <c r="DR78" s="22" t="n">
        <f aca="false">DQ81</f>
        <v>5690.5611302933</v>
      </c>
      <c r="DS78" s="22" t="n">
        <f aca="false">DR81</f>
        <v>5690.5611302933</v>
      </c>
      <c r="DT78" s="22" t="n">
        <f aca="false">DS81</f>
        <v>5690.5611302933</v>
      </c>
      <c r="DU78" s="22" t="n">
        <f aca="false">DT81</f>
        <v>5690.5611302933</v>
      </c>
      <c r="DV78" s="22" t="n">
        <f aca="false">DU81</f>
        <v>5690.5611302933</v>
      </c>
      <c r="DW78" s="22" t="n">
        <f aca="false">DV81</f>
        <v>5690.5611302933</v>
      </c>
      <c r="DX78" s="22" t="n">
        <f aca="false">DW81</f>
        <v>5690.5611302933</v>
      </c>
      <c r="DY78" s="22" t="n">
        <f aca="false">DX81</f>
        <v>5690.5611302933</v>
      </c>
      <c r="DZ78" s="22" t="n">
        <f aca="false">DY81</f>
        <v>5690.5611302933</v>
      </c>
      <c r="EA78" s="22" t="n">
        <f aca="false">DZ81</f>
        <v>5690.5611302933</v>
      </c>
      <c r="EB78" s="22" t="n">
        <f aca="false">EA81</f>
        <v>5690.5611302933</v>
      </c>
      <c r="EC78" s="22" t="n">
        <f aca="false">EB81</f>
        <v>5690.5611302933</v>
      </c>
      <c r="ED78" s="22" t="n">
        <f aca="false">EC81</f>
        <v>5690.5611302933</v>
      </c>
      <c r="EE78" s="22" t="n">
        <f aca="false">ED81</f>
        <v>5690.5611302933</v>
      </c>
      <c r="EF78" s="22" t="n">
        <f aca="false">EE81</f>
        <v>5690.5611302933</v>
      </c>
      <c r="EG78" s="22" t="n">
        <f aca="false">EF81</f>
        <v>5690.5611302933</v>
      </c>
      <c r="EH78" s="22" t="n">
        <f aca="false">EG81</f>
        <v>5690.5611302933</v>
      </c>
      <c r="EI78" s="22" t="n">
        <f aca="false">EH81</f>
        <v>5690.5611302933</v>
      </c>
      <c r="EJ78" s="22" t="n">
        <f aca="false">EI81</f>
        <v>5690.5611302933</v>
      </c>
      <c r="EK78" s="22" t="n">
        <f aca="false">EJ81</f>
        <v>5690.5611302933</v>
      </c>
      <c r="EL78" s="22" t="n">
        <f aca="false">EK81</f>
        <v>5690.5611302933</v>
      </c>
      <c r="EM78" s="22" t="n">
        <f aca="false">EL81</f>
        <v>5690.5611302933</v>
      </c>
      <c r="EN78" s="22" t="n">
        <f aca="false">EM81</f>
        <v>5690.5611302933</v>
      </c>
      <c r="EO78" s="22" t="n">
        <f aca="false">EN81</f>
        <v>5690.5611302933</v>
      </c>
      <c r="EP78" s="22" t="n">
        <f aca="false">EO81</f>
        <v>5690.5611302933</v>
      </c>
      <c r="EQ78" s="22" t="n">
        <f aca="false">EP81</f>
        <v>5690.5611302933</v>
      </c>
      <c r="ER78" s="22" t="n">
        <f aca="false">EQ81</f>
        <v>5690.5611302933</v>
      </c>
      <c r="ES78" s="22" t="n">
        <f aca="false">ER81</f>
        <v>5690.5611302933</v>
      </c>
      <c r="ET78" s="22" t="n">
        <f aca="false">ES81</f>
        <v>5690.5611302933</v>
      </c>
    </row>
    <row r="79" customFormat="false" ht="15" hidden="false" customHeight="false" outlineLevel="0" collapsed="false">
      <c r="C79" s="0" t="s">
        <v>534</v>
      </c>
      <c r="D79" s="11" t="s">
        <v>247</v>
      </c>
      <c r="E79" s="33" t="n">
        <f aca="false">MAX(SUMIF($J$4:$ET$4,"&lt;="&amp;$E12,$J79:$ET79),(In_Min_Multiple-1)*$E57)</f>
        <v>3119.62451197093</v>
      </c>
      <c r="F79" s="33" t="n">
        <f aca="false">MAX(SUMIF($J$4:$ET$4,"&lt;="&amp;In_COD,$J79:$ET79),(In_Min_Multiple-1)*$F57)</f>
        <v>3119.62451197093</v>
      </c>
      <c r="I79" s="33" t="n">
        <f aca="false">SUM(J79:ET79)</f>
        <v>2570.93661832238</v>
      </c>
      <c r="J79" s="33" t="n">
        <f aca="false">In_AtRisk_Rate/Days_In_Year*(1-J19)*(J78*J$5-(J$4+1)*J57-J77)*(J$4&lt;=In_COD)</f>
        <v>0</v>
      </c>
      <c r="K79" s="33" t="n">
        <f aca="false">In_AtRisk_Rate/Days_In_Year*(1-K19)*(K78*K$5-(K$4+1)*K57-K77)*(K$4&lt;=In_COD)</f>
        <v>8.99939200600482</v>
      </c>
      <c r="L79" s="33" t="n">
        <f aca="false">In_AtRisk_Rate/Days_In_Year*(1-L19)*(L78*L$5-(L$4+1)*L57-L77)*(L$4&lt;=In_COD)</f>
        <v>21.145094055017</v>
      </c>
      <c r="M79" s="33" t="n">
        <f aca="false">In_AtRisk_Rate/Days_In_Year*(1-M19)*(M78*M$5-(M$4+1)*M57-M77)*(M$4&lt;=In_COD)</f>
        <v>38.7639850710894</v>
      </c>
      <c r="N79" s="33" t="n">
        <f aca="false">In_AtRisk_Rate/Days_In_Year*(1-N19)*(N78*N$5-(N$4+1)*N57-N77)*(N$4&lt;=In_COD)</f>
        <v>42.8881765187639</v>
      </c>
      <c r="O79" s="33" t="n">
        <f aca="false">In_AtRisk_Rate/Days_In_Year*(1-O19)*(O78*O$5-(O$4+1)*O57-O77)*(O$4&lt;=In_COD)</f>
        <v>44.3892221183136</v>
      </c>
      <c r="P79" s="33" t="n">
        <f aca="false">In_AtRisk_Rate/Days_In_Year*(1-P19)*(P78*P$5-(P$4+1)*P57-P77)*(P$4&lt;=In_COD)</f>
        <v>98.5313518347357</v>
      </c>
      <c r="Q79" s="33" t="n">
        <f aca="false">In_AtRisk_Rate/Days_In_Year*(1-Q19)*(Q78*Q$5-(Q$4+1)*Q57-Q77)*(Q$4&lt;=In_COD)</f>
        <v>123.932079007197</v>
      </c>
      <c r="R79" s="33" t="n">
        <f aca="false">In_AtRisk_Rate/Days_In_Year*(1-R19)*(R78*R$5-(R$4+1)*R57-R77)*(R$4&lt;=In_COD)</f>
        <v>130.100550849349</v>
      </c>
      <c r="S79" s="33" t="n">
        <f aca="false">In_AtRisk_Rate/Days_In_Year*(1-S19)*(S78*S$5-(S$4+1)*S57-S77)*(S$4&lt;=In_COD)</f>
        <v>134.89757391181</v>
      </c>
      <c r="T79" s="33" t="n">
        <f aca="false">In_AtRisk_Rate/Days_In_Year*(1-T19)*(T78*T$5-(T$4+1)*T57-T77)*(T$4&lt;=In_COD)</f>
        <v>174.149120873296</v>
      </c>
      <c r="U79" s="33" t="n">
        <f aca="false">In_AtRisk_Rate/Days_In_Year*(1-U19)*(U78*U$5-(U$4+1)*U57-U77)*(U$4&lt;=In_COD)</f>
        <v>187.648080163415</v>
      </c>
      <c r="V79" s="33" t="n">
        <f aca="false">In_AtRisk_Rate/Days_In_Year*(1-V19)*(V78*V$5-(V$4+1)*V57-V77)*(V$4&lt;=In_COD)</f>
        <v>0</v>
      </c>
      <c r="W79" s="33" t="n">
        <f aca="false">In_AtRisk_Rate/Days_In_Year*(1-W19)*(W78*W$5-(W$4+1)*W57-W77)*(W$4&lt;=In_COD)</f>
        <v>0</v>
      </c>
      <c r="X79" s="33" t="n">
        <f aca="false">In_AtRisk_Rate/Days_In_Year*(1-X19)*(X78*X$5-(X$4+1)*X57-X77)*(X$4&lt;=In_COD)</f>
        <v>203.428067098188</v>
      </c>
      <c r="Y79" s="33" t="n">
        <f aca="false">In_AtRisk_Rate/Days_In_Year*(1-Y19)*(Y78*Y$5-(Y$4+1)*Y57-Y77)*(Y$4&lt;=In_COD)</f>
        <v>205.688378954834</v>
      </c>
      <c r="Z79" s="33" t="n">
        <f aca="false">In_AtRisk_Rate/Days_In_Year*(1-Z19)*(Z78*Z$5-(Z$4+1)*Z57-Z77)*(Z$4&lt;=In_COD)</f>
        <v>207.948690811481</v>
      </c>
      <c r="AA79" s="33" t="n">
        <f aca="false">In_AtRisk_Rate/Days_In_Year*(1-AA19)*(AA78*AA$5-(AA$4+1)*AA57-AA77)*(AA$4&lt;=In_COD)</f>
        <v>207.948690811481</v>
      </c>
      <c r="AB79" s="33" t="n">
        <f aca="false">In_AtRisk_Rate/Days_In_Year*(1-AB19)*(AB78*AB$5-(AB$4+1)*AB57-AB77)*(AB$4&lt;=In_COD)</f>
        <v>244.113680517825</v>
      </c>
      <c r="AC79" s="33" t="n">
        <f aca="false">In_AtRisk_Rate/Days_In_Year*(1-AC19)*(AC78*AC$5-(AC$4+1)*AC57-AC77)*(AC$4&lt;=In_COD)</f>
        <v>246.826054745801</v>
      </c>
      <c r="AD79" s="33" t="n">
        <f aca="false">In_AtRisk_Rate/Days_In_Year*(1-AD19)*(AD78*AD$5-(AD$4+1)*AD57-AD77)*(AD$4&lt;=In_COD)</f>
        <v>249.538428973777</v>
      </c>
      <c r="AE79" s="33" t="n">
        <f aca="false">In_AtRisk_Rate/Days_In_Year*(1-AE19)*(AE78*AE$5-(AE$4+1)*AE57-AE77)*(AE$4&lt;=In_COD)</f>
        <v>0</v>
      </c>
      <c r="AF79" s="33" t="n">
        <f aca="false">In_AtRisk_Rate/Days_In_Year*(1-AF19)*(AF78*AF$5-(AF$4+1)*AF57-AF77)*(AF$4&lt;=In_COD)</f>
        <v>0</v>
      </c>
      <c r="AG79" s="33" t="n">
        <f aca="false">In_AtRisk_Rate/Days_In_Year*(1-AG19)*(AG78*AG$5-(AG$4+1)*AG57-AG77)*(AG$4&lt;=In_COD)</f>
        <v>0</v>
      </c>
      <c r="AH79" s="33" t="n">
        <f aca="false">In_AtRisk_Rate/Days_In_Year*(1-AH19)*(AH78*AH$5-(AH$4+1)*AH57-AH77)*(AH$4&lt;=In_COD)</f>
        <v>0</v>
      </c>
      <c r="AI79" s="33" t="n">
        <f aca="false">In_AtRisk_Rate/Days_In_Year*(1-AI19)*(AI78*AI$5-(AI$4+1)*AI57-AI77)*(AI$4&lt;=In_COD)</f>
        <v>0</v>
      </c>
      <c r="AJ79" s="33" t="n">
        <f aca="false">In_AtRisk_Rate/Days_In_Year*(1-AJ19)*(AJ78*AJ$5-(AJ$4+1)*AJ57-AJ77)*(AJ$4&lt;=In_COD)</f>
        <v>0</v>
      </c>
      <c r="AK79" s="33" t="n">
        <f aca="false">In_AtRisk_Rate/Days_In_Year*(1-AK19)*(AK78*AK$5-(AK$4+1)*AK57-AK77)*(AK$4&lt;=In_COD)</f>
        <v>0</v>
      </c>
      <c r="AL79" s="33" t="n">
        <f aca="false">In_AtRisk_Rate/Days_In_Year*(1-AL19)*(AL78*AL$5-(AL$4+1)*AL57-AL77)*(AL$4&lt;=In_COD)</f>
        <v>0</v>
      </c>
      <c r="AM79" s="33" t="n">
        <f aca="false">In_AtRisk_Rate/Days_In_Year*(1-AM19)*(AM78*AM$5-(AM$4+1)*AM57-AM77)*(AM$4&lt;=In_COD)</f>
        <v>0</v>
      </c>
      <c r="AN79" s="33" t="n">
        <f aca="false">In_AtRisk_Rate/Days_In_Year*(1-AN19)*(AN78*AN$5-(AN$4+1)*AN57-AN77)*(AN$4&lt;=In_COD)</f>
        <v>0</v>
      </c>
      <c r="AO79" s="33" t="n">
        <f aca="false">In_AtRisk_Rate/Days_In_Year*(1-AO19)*(AO78*AO$5-(AO$4+1)*AO57-AO77)*(AO$4&lt;=In_COD)</f>
        <v>0</v>
      </c>
      <c r="AP79" s="33" t="n">
        <f aca="false">In_AtRisk_Rate/Days_In_Year*(1-AP19)*(AP78*AP$5-(AP$4+1)*AP57-AP77)*(AP$4&lt;=In_COD)</f>
        <v>0</v>
      </c>
      <c r="AQ79" s="33" t="n">
        <f aca="false">In_AtRisk_Rate/Days_In_Year*(1-AQ19)*(AQ78*AQ$5-(AQ$4+1)*AQ57-AQ77)*(AQ$4&lt;=In_COD)</f>
        <v>0</v>
      </c>
      <c r="AR79" s="33" t="n">
        <f aca="false">In_AtRisk_Rate/Days_In_Year*(1-AR19)*(AR78*AR$5-(AR$4+1)*AR57-AR77)*(AR$4&lt;=In_COD)</f>
        <v>0</v>
      </c>
      <c r="AS79" s="33" t="n">
        <f aca="false">In_AtRisk_Rate/Days_In_Year*(1-AS19)*(AS78*AS$5-(AS$4+1)*AS57-AS77)*(AS$4&lt;=In_COD)</f>
        <v>0</v>
      </c>
      <c r="AT79" s="33" t="n">
        <f aca="false">In_AtRisk_Rate/Days_In_Year*(1-AT19)*(AT78*AT$5-(AT$4+1)*AT57-AT77)*(AT$4&lt;=In_COD)</f>
        <v>0</v>
      </c>
      <c r="AU79" s="33" t="n">
        <f aca="false">In_AtRisk_Rate/Days_In_Year*(1-AU19)*(AU78*AU$5-(AU$4+1)*AU57-AU77)*(AU$4&lt;=In_COD)</f>
        <v>0</v>
      </c>
      <c r="AV79" s="33" t="n">
        <f aca="false">In_AtRisk_Rate/Days_In_Year*(1-AV19)*(AV78*AV$5-(AV$4+1)*AV57-AV77)*(AV$4&lt;=In_COD)</f>
        <v>0</v>
      </c>
      <c r="AW79" s="33" t="n">
        <f aca="false">In_AtRisk_Rate/Days_In_Year*(1-AW19)*(AW78*AW$5-(AW$4+1)*AW57-AW77)*(AW$4&lt;=In_COD)</f>
        <v>0</v>
      </c>
      <c r="AX79" s="33" t="n">
        <f aca="false">In_AtRisk_Rate/Days_In_Year*(1-AX19)*(AX78*AX$5-(AX$4+1)*AX57-AX77)*(AX$4&lt;=In_COD)</f>
        <v>0</v>
      </c>
      <c r="AY79" s="33" t="n">
        <f aca="false">In_AtRisk_Rate/Days_In_Year*(1-AY19)*(AY78*AY$5-(AY$4+1)*AY57-AY77)*(AY$4&lt;=In_COD)</f>
        <v>0</v>
      </c>
      <c r="AZ79" s="33" t="n">
        <f aca="false">In_AtRisk_Rate/Days_In_Year*(1-AZ19)*(AZ78*AZ$5-(AZ$4+1)*AZ57-AZ77)*(AZ$4&lt;=In_COD)</f>
        <v>0</v>
      </c>
      <c r="BA79" s="33" t="n">
        <f aca="false">In_AtRisk_Rate/Days_In_Year*(1-BA19)*(BA78*BA$5-(BA$4+1)*BA57-BA77)*(BA$4&lt;=In_COD)</f>
        <v>0</v>
      </c>
      <c r="BB79" s="33" t="n">
        <f aca="false">In_AtRisk_Rate/Days_In_Year*(1-BB19)*(BB78*BB$5-(BB$4+1)*BB57-BB77)*(BB$4&lt;=In_COD)</f>
        <v>0</v>
      </c>
      <c r="BC79" s="33" t="n">
        <f aca="false">In_AtRisk_Rate/Days_In_Year*(1-BC19)*(BC78*BC$5-(BC$4+1)*BC57-BC77)*(BC$4&lt;=In_COD)</f>
        <v>0</v>
      </c>
      <c r="BD79" s="33" t="n">
        <f aca="false">In_AtRisk_Rate/Days_In_Year*(1-BD19)*(BD78*BD$5-(BD$4+1)*BD57-BD77)*(BD$4&lt;=In_COD)</f>
        <v>0</v>
      </c>
      <c r="BE79" s="33" t="n">
        <f aca="false">In_AtRisk_Rate/Days_In_Year*(1-BE19)*(BE78*BE$5-(BE$4+1)*BE57-BE77)*(BE$4&lt;=In_COD)</f>
        <v>0</v>
      </c>
      <c r="BF79" s="33" t="n">
        <f aca="false">In_AtRisk_Rate/Days_In_Year*(1-BF19)*(BF78*BF$5-(BF$4+1)*BF57-BF77)*(BF$4&lt;=In_COD)</f>
        <v>0</v>
      </c>
      <c r="BG79" s="33" t="n">
        <f aca="false">In_AtRisk_Rate/Days_In_Year*(1-BG19)*(BG78*BG$5-(BG$4+1)*BG57-BG77)*(BG$4&lt;=In_COD)</f>
        <v>0</v>
      </c>
      <c r="BH79" s="33" t="n">
        <f aca="false">In_AtRisk_Rate/Days_In_Year*(1-BH19)*(BH78*BH$5-(BH$4+1)*BH57-BH77)*(BH$4&lt;=In_COD)</f>
        <v>0</v>
      </c>
      <c r="BI79" s="33" t="n">
        <f aca="false">In_AtRisk_Rate/Days_In_Year*(1-BI19)*(BI78*BI$5-(BI$4+1)*BI57-BI77)*(BI$4&lt;=In_COD)</f>
        <v>0</v>
      </c>
      <c r="BJ79" s="33" t="n">
        <f aca="false">In_AtRisk_Rate/Days_In_Year*(1-BJ19)*(BJ78*BJ$5-(BJ$4+1)*BJ57-BJ77)*(BJ$4&lt;=In_COD)</f>
        <v>0</v>
      </c>
      <c r="BK79" s="33" t="n">
        <f aca="false">In_AtRisk_Rate/Days_In_Year*(1-BK19)*(BK78*BK$5-(BK$4+1)*BK57-BK77)*(BK$4&lt;=In_COD)</f>
        <v>0</v>
      </c>
      <c r="BL79" s="33" t="n">
        <f aca="false">In_AtRisk_Rate/Days_In_Year*(1-BL19)*(BL78*BL$5-(BL$4+1)*BL57-BL77)*(BL$4&lt;=In_COD)</f>
        <v>0</v>
      </c>
      <c r="BM79" s="33" t="n">
        <f aca="false">In_AtRisk_Rate/Days_In_Year*(1-BM19)*(BM78*BM$5-(BM$4+1)*BM57-BM77)*(BM$4&lt;=In_COD)</f>
        <v>0</v>
      </c>
      <c r="BN79" s="33" t="n">
        <f aca="false">In_AtRisk_Rate/Days_In_Year*(1-BN19)*(BN78*BN$5-(BN$4+1)*BN57-BN77)*(BN$4&lt;=In_COD)</f>
        <v>0</v>
      </c>
      <c r="BO79" s="33" t="n">
        <f aca="false">In_AtRisk_Rate/Days_In_Year*(1-BO19)*(BO78*BO$5-(BO$4+1)*BO57-BO77)*(BO$4&lt;=In_COD)</f>
        <v>0</v>
      </c>
      <c r="BP79" s="33" t="n">
        <f aca="false">In_AtRisk_Rate/Days_In_Year*(1-BP19)*(BP78*BP$5-(BP$4+1)*BP57-BP77)*(BP$4&lt;=In_COD)</f>
        <v>0</v>
      </c>
      <c r="BQ79" s="33" t="n">
        <f aca="false">In_AtRisk_Rate/Days_In_Year*(1-BQ19)*(BQ78*BQ$5-(BQ$4+1)*BQ57-BQ77)*(BQ$4&lt;=In_COD)</f>
        <v>0</v>
      </c>
      <c r="BR79" s="33" t="n">
        <f aca="false">In_AtRisk_Rate/Days_In_Year*(1-BR19)*(BR78*BR$5-(BR$4+1)*BR57-BR77)*(BR$4&lt;=In_COD)</f>
        <v>0</v>
      </c>
      <c r="BS79" s="33" t="n">
        <f aca="false">In_AtRisk_Rate/Days_In_Year*(1-BS19)*(BS78*BS$5-(BS$4+1)*BS57-BS77)*(BS$4&lt;=In_COD)</f>
        <v>0</v>
      </c>
      <c r="BT79" s="33" t="n">
        <f aca="false">In_AtRisk_Rate/Days_In_Year*(1-BT19)*(BT78*BT$5-(BT$4+1)*BT57-BT77)*(BT$4&lt;=In_COD)</f>
        <v>0</v>
      </c>
      <c r="BU79" s="33" t="n">
        <f aca="false">In_AtRisk_Rate/Days_In_Year*(1-BU19)*(BU78*BU$5-(BU$4+1)*BU57-BU77)*(BU$4&lt;=In_COD)</f>
        <v>0</v>
      </c>
      <c r="BV79" s="33" t="n">
        <f aca="false">In_AtRisk_Rate/Days_In_Year*(1-BV19)*(BV78*BV$5-(BV$4+1)*BV57-BV77)*(BV$4&lt;=In_COD)</f>
        <v>0</v>
      </c>
      <c r="BW79" s="33" t="n">
        <f aca="false">In_AtRisk_Rate/Days_In_Year*(1-BW19)*(BW78*BW$5-(BW$4+1)*BW57-BW77)*(BW$4&lt;=In_COD)</f>
        <v>0</v>
      </c>
      <c r="BX79" s="33" t="n">
        <f aca="false">In_AtRisk_Rate/Days_In_Year*(1-BX19)*(BX78*BX$5-(BX$4+1)*BX57-BX77)*(BX$4&lt;=In_COD)</f>
        <v>0</v>
      </c>
      <c r="BY79" s="33" t="n">
        <f aca="false">In_AtRisk_Rate/Days_In_Year*(1-BY19)*(BY78*BY$5-(BY$4+1)*BY57-BY77)*(BY$4&lt;=In_COD)</f>
        <v>0</v>
      </c>
      <c r="BZ79" s="33" t="n">
        <f aca="false">In_AtRisk_Rate/Days_In_Year*(1-BZ19)*(BZ78*BZ$5-(BZ$4+1)*BZ57-BZ77)*(BZ$4&lt;=In_COD)</f>
        <v>0</v>
      </c>
      <c r="CA79" s="33" t="n">
        <f aca="false">In_AtRisk_Rate/Days_In_Year*(1-CA19)*(CA78*CA$5-(CA$4+1)*CA57-CA77)*(CA$4&lt;=In_COD)</f>
        <v>0</v>
      </c>
      <c r="CB79" s="33" t="n">
        <f aca="false">In_AtRisk_Rate/Days_In_Year*(1-CB19)*(CB78*CB$5-(CB$4+1)*CB57-CB77)*(CB$4&lt;=In_COD)</f>
        <v>0</v>
      </c>
      <c r="CC79" s="33" t="n">
        <f aca="false">In_AtRisk_Rate/Days_In_Year*(1-CC19)*(CC78*CC$5-(CC$4+1)*CC57-CC77)*(CC$4&lt;=In_COD)</f>
        <v>0</v>
      </c>
      <c r="CD79" s="33" t="n">
        <f aca="false">In_AtRisk_Rate/Days_In_Year*(1-CD19)*(CD78*CD$5-(CD$4+1)*CD57-CD77)*(CD$4&lt;=In_COD)</f>
        <v>0</v>
      </c>
      <c r="CE79" s="33" t="n">
        <f aca="false">In_AtRisk_Rate/Days_In_Year*(1-CE19)*(CE78*CE$5-(CE$4+1)*CE57-CE77)*(CE$4&lt;=In_COD)</f>
        <v>0</v>
      </c>
      <c r="CF79" s="33" t="n">
        <f aca="false">In_AtRisk_Rate/Days_In_Year*(1-CF19)*(CF78*CF$5-(CF$4+1)*CF57-CF77)*(CF$4&lt;=In_COD)</f>
        <v>0</v>
      </c>
      <c r="CG79" s="33" t="n">
        <f aca="false">In_AtRisk_Rate/Days_In_Year*(1-CG19)*(CG78*CG$5-(CG$4+1)*CG57-CG77)*(CG$4&lt;=In_COD)</f>
        <v>0</v>
      </c>
      <c r="CH79" s="33" t="n">
        <f aca="false">In_AtRisk_Rate/Days_In_Year*(1-CH19)*(CH78*CH$5-(CH$4+1)*CH57-CH77)*(CH$4&lt;=In_COD)</f>
        <v>0</v>
      </c>
      <c r="CI79" s="33" t="n">
        <f aca="false">In_AtRisk_Rate/Days_In_Year*(1-CI19)*(CI78*CI$5-(CI$4+1)*CI57-CI77)*(CI$4&lt;=In_COD)</f>
        <v>0</v>
      </c>
      <c r="CJ79" s="33" t="n">
        <f aca="false">In_AtRisk_Rate/Days_In_Year*(1-CJ19)*(CJ78*CJ$5-(CJ$4+1)*CJ57-CJ77)*(CJ$4&lt;=In_COD)</f>
        <v>0</v>
      </c>
      <c r="CK79" s="33" t="n">
        <f aca="false">In_AtRisk_Rate/Days_In_Year*(1-CK19)*(CK78*CK$5-(CK$4+1)*CK57-CK77)*(CK$4&lt;=In_COD)</f>
        <v>0</v>
      </c>
      <c r="CL79" s="33" t="n">
        <f aca="false">In_AtRisk_Rate/Days_In_Year*(1-CL19)*(CL78*CL$5-(CL$4+1)*CL57-CL77)*(CL$4&lt;=In_COD)</f>
        <v>0</v>
      </c>
      <c r="CM79" s="33" t="n">
        <f aca="false">In_AtRisk_Rate/Days_In_Year*(1-CM19)*(CM78*CM$5-(CM$4+1)*CM57-CM77)*(CM$4&lt;=In_COD)</f>
        <v>0</v>
      </c>
      <c r="CN79" s="33" t="n">
        <f aca="false">In_AtRisk_Rate/Days_In_Year*(1-CN19)*(CN78*CN$5-(CN$4+1)*CN57-CN77)*(CN$4&lt;=In_COD)</f>
        <v>0</v>
      </c>
      <c r="CO79" s="33" t="n">
        <f aca="false">In_AtRisk_Rate/Days_In_Year*(1-CO19)*(CO78*CO$5-(CO$4+1)*CO57-CO77)*(CO$4&lt;=In_COD)</f>
        <v>0</v>
      </c>
      <c r="CP79" s="33" t="n">
        <f aca="false">In_AtRisk_Rate/Days_In_Year*(1-CP19)*(CP78*CP$5-(CP$4+1)*CP57-CP77)*(CP$4&lt;=In_COD)</f>
        <v>0</v>
      </c>
      <c r="CQ79" s="33" t="n">
        <f aca="false">In_AtRisk_Rate/Days_In_Year*(1-CQ19)*(CQ78*CQ$5-(CQ$4+1)*CQ57-CQ77)*(CQ$4&lt;=In_COD)</f>
        <v>0</v>
      </c>
      <c r="CR79" s="33" t="n">
        <f aca="false">In_AtRisk_Rate/Days_In_Year*(1-CR19)*(CR78*CR$5-(CR$4+1)*CR57-CR77)*(CR$4&lt;=In_COD)</f>
        <v>0</v>
      </c>
      <c r="CS79" s="33" t="n">
        <f aca="false">In_AtRisk_Rate/Days_In_Year*(1-CS19)*(CS78*CS$5-(CS$4+1)*CS57-CS77)*(CS$4&lt;=In_COD)</f>
        <v>0</v>
      </c>
      <c r="CT79" s="33" t="n">
        <f aca="false">In_AtRisk_Rate/Days_In_Year*(1-CT19)*(CT78*CT$5-(CT$4+1)*CT57-CT77)*(CT$4&lt;=In_COD)</f>
        <v>0</v>
      </c>
      <c r="CU79" s="33" t="n">
        <f aca="false">In_AtRisk_Rate/Days_In_Year*(1-CU19)*(CU78*CU$5-(CU$4+1)*CU57-CU77)*(CU$4&lt;=In_COD)</f>
        <v>0</v>
      </c>
      <c r="CV79" s="33" t="n">
        <f aca="false">In_AtRisk_Rate/Days_In_Year*(1-CV19)*(CV78*CV$5-(CV$4+1)*CV57-CV77)*(CV$4&lt;=In_COD)</f>
        <v>0</v>
      </c>
      <c r="CW79" s="33" t="n">
        <f aca="false">In_AtRisk_Rate/Days_In_Year*(1-CW19)*(CW78*CW$5-(CW$4+1)*CW57-CW77)*(CW$4&lt;=In_COD)</f>
        <v>0</v>
      </c>
      <c r="CX79" s="33" t="n">
        <f aca="false">In_AtRisk_Rate/Days_In_Year*(1-CX19)*(CX78*CX$5-(CX$4+1)*CX57-CX77)*(CX$4&lt;=In_COD)</f>
        <v>0</v>
      </c>
      <c r="CY79" s="33" t="n">
        <f aca="false">In_AtRisk_Rate/Days_In_Year*(1-CY19)*(CY78*CY$5-(CY$4+1)*CY57-CY77)*(CY$4&lt;=In_COD)</f>
        <v>0</v>
      </c>
      <c r="CZ79" s="33" t="n">
        <f aca="false">In_AtRisk_Rate/Days_In_Year*(1-CZ19)*(CZ78*CZ$5-(CZ$4+1)*CZ57-CZ77)*(CZ$4&lt;=In_COD)</f>
        <v>0</v>
      </c>
      <c r="DA79" s="33" t="n">
        <f aca="false">In_AtRisk_Rate/Days_In_Year*(1-DA19)*(DA78*DA$5-(DA$4+1)*DA57-DA77)*(DA$4&lt;=In_COD)</f>
        <v>0</v>
      </c>
      <c r="DB79" s="33" t="n">
        <f aca="false">In_AtRisk_Rate/Days_In_Year*(1-DB19)*(DB78*DB$5-(DB$4+1)*DB57-DB77)*(DB$4&lt;=In_COD)</f>
        <v>0</v>
      </c>
      <c r="DC79" s="33" t="n">
        <f aca="false">In_AtRisk_Rate/Days_In_Year*(1-DC19)*(DC78*DC$5-(DC$4+1)*DC57-DC77)*(DC$4&lt;=In_COD)</f>
        <v>0</v>
      </c>
      <c r="DD79" s="33" t="n">
        <f aca="false">In_AtRisk_Rate/Days_In_Year*(1-DD19)*(DD78*DD$5-(DD$4+1)*DD57-DD77)*(DD$4&lt;=In_COD)</f>
        <v>0</v>
      </c>
      <c r="DE79" s="33" t="n">
        <f aca="false">In_AtRisk_Rate/Days_In_Year*(1-DE19)*(DE78*DE$5-(DE$4+1)*DE57-DE77)*(DE$4&lt;=In_COD)</f>
        <v>0</v>
      </c>
      <c r="DF79" s="33" t="n">
        <f aca="false">In_AtRisk_Rate/Days_In_Year*(1-DF19)*(DF78*DF$5-(DF$4+1)*DF57-DF77)*(DF$4&lt;=In_COD)</f>
        <v>0</v>
      </c>
      <c r="DG79" s="33" t="n">
        <f aca="false">In_AtRisk_Rate/Days_In_Year*(1-DG19)*(DG78*DG$5-(DG$4+1)*DG57-DG77)*(DG$4&lt;=In_COD)</f>
        <v>0</v>
      </c>
      <c r="DH79" s="33" t="n">
        <f aca="false">In_AtRisk_Rate/Days_In_Year*(1-DH19)*(DH78*DH$5-(DH$4+1)*DH57-DH77)*(DH$4&lt;=In_COD)</f>
        <v>0</v>
      </c>
      <c r="DI79" s="33" t="n">
        <f aca="false">In_AtRisk_Rate/Days_In_Year*(1-DI19)*(DI78*DI$5-(DI$4+1)*DI57-DI77)*(DI$4&lt;=In_COD)</f>
        <v>0</v>
      </c>
      <c r="DJ79" s="33" t="n">
        <f aca="false">In_AtRisk_Rate/Days_In_Year*(1-DJ19)*(DJ78*DJ$5-(DJ$4+1)*DJ57-DJ77)*(DJ$4&lt;=In_COD)</f>
        <v>0</v>
      </c>
      <c r="DK79" s="33" t="n">
        <f aca="false">In_AtRisk_Rate/Days_In_Year*(1-DK19)*(DK78*DK$5-(DK$4+1)*DK57-DK77)*(DK$4&lt;=In_COD)</f>
        <v>0</v>
      </c>
      <c r="DL79" s="33" t="n">
        <f aca="false">In_AtRisk_Rate/Days_In_Year*(1-DL19)*(DL78*DL$5-(DL$4+1)*DL57-DL77)*(DL$4&lt;=In_COD)</f>
        <v>0</v>
      </c>
      <c r="DM79" s="33" t="n">
        <f aca="false">In_AtRisk_Rate/Days_In_Year*(1-DM19)*(DM78*DM$5-(DM$4+1)*DM57-DM77)*(DM$4&lt;=In_COD)</f>
        <v>0</v>
      </c>
      <c r="DN79" s="33" t="n">
        <f aca="false">In_AtRisk_Rate/Days_In_Year*(1-DN19)*(DN78*DN$5-(DN$4+1)*DN57-DN77)*(DN$4&lt;=In_COD)</f>
        <v>0</v>
      </c>
      <c r="DO79" s="33" t="n">
        <f aca="false">In_AtRisk_Rate/Days_In_Year*(1-DO19)*(DO78*DO$5-(DO$4+1)*DO57-DO77)*(DO$4&lt;=In_COD)</f>
        <v>0</v>
      </c>
      <c r="DP79" s="33" t="n">
        <f aca="false">In_AtRisk_Rate/Days_In_Year*(1-DP19)*(DP78*DP$5-(DP$4+1)*DP57-DP77)*(DP$4&lt;=In_COD)</f>
        <v>0</v>
      </c>
      <c r="DQ79" s="33" t="n">
        <f aca="false">In_AtRisk_Rate/Days_In_Year*(1-DQ19)*(DQ78*DQ$5-(DQ$4+1)*DQ57-DQ77)*(DQ$4&lt;=In_COD)</f>
        <v>0</v>
      </c>
      <c r="DR79" s="33" t="n">
        <f aca="false">In_AtRisk_Rate/Days_In_Year*(1-DR19)*(DR78*DR$5-(DR$4+1)*DR57-DR77)*(DR$4&lt;=In_COD)</f>
        <v>0</v>
      </c>
      <c r="DS79" s="33" t="n">
        <f aca="false">In_AtRisk_Rate/Days_In_Year*(1-DS19)*(DS78*DS$5-(DS$4+1)*DS57-DS77)*(DS$4&lt;=In_COD)</f>
        <v>0</v>
      </c>
      <c r="DT79" s="33" t="n">
        <f aca="false">In_AtRisk_Rate/Days_In_Year*(1-DT19)*(DT78*DT$5-(DT$4+1)*DT57-DT77)*(DT$4&lt;=In_COD)</f>
        <v>0</v>
      </c>
      <c r="DU79" s="33" t="n">
        <f aca="false">In_AtRisk_Rate/Days_In_Year*(1-DU19)*(DU78*DU$5-(DU$4+1)*DU57-DU77)*(DU$4&lt;=In_COD)</f>
        <v>0</v>
      </c>
      <c r="DV79" s="33" t="n">
        <f aca="false">In_AtRisk_Rate/Days_In_Year*(1-DV19)*(DV78*DV$5-(DV$4+1)*DV57-DV77)*(DV$4&lt;=In_COD)</f>
        <v>0</v>
      </c>
      <c r="DW79" s="33" t="n">
        <f aca="false">In_AtRisk_Rate/Days_In_Year*(1-DW19)*(DW78*DW$5-(DW$4+1)*DW57-DW77)*(DW$4&lt;=In_COD)</f>
        <v>0</v>
      </c>
      <c r="DX79" s="33" t="n">
        <f aca="false">In_AtRisk_Rate/Days_In_Year*(1-DX19)*(DX78*DX$5-(DX$4+1)*DX57-DX77)*(DX$4&lt;=In_COD)</f>
        <v>0</v>
      </c>
      <c r="DY79" s="33" t="n">
        <f aca="false">In_AtRisk_Rate/Days_In_Year*(1-DY19)*(DY78*DY$5-(DY$4+1)*DY57-DY77)*(DY$4&lt;=In_COD)</f>
        <v>0</v>
      </c>
      <c r="DZ79" s="33" t="n">
        <f aca="false">In_AtRisk_Rate/Days_In_Year*(1-DZ19)*(DZ78*DZ$5-(DZ$4+1)*DZ57-DZ77)*(DZ$4&lt;=In_COD)</f>
        <v>0</v>
      </c>
      <c r="EA79" s="33" t="n">
        <f aca="false">In_AtRisk_Rate/Days_In_Year*(1-EA19)*(EA78*EA$5-(EA$4+1)*EA57-EA77)*(EA$4&lt;=In_COD)</f>
        <v>0</v>
      </c>
      <c r="EB79" s="33" t="n">
        <f aca="false">In_AtRisk_Rate/Days_In_Year*(1-EB19)*(EB78*EB$5-(EB$4+1)*EB57-EB77)*(EB$4&lt;=In_COD)</f>
        <v>0</v>
      </c>
      <c r="EC79" s="33" t="n">
        <f aca="false">In_AtRisk_Rate/Days_In_Year*(1-EC19)*(EC78*EC$5-(EC$4+1)*EC57-EC77)*(EC$4&lt;=In_COD)</f>
        <v>0</v>
      </c>
      <c r="ED79" s="33" t="n">
        <f aca="false">In_AtRisk_Rate/Days_In_Year*(1-ED19)*(ED78*ED$5-(ED$4+1)*ED57-ED77)*(ED$4&lt;=In_COD)</f>
        <v>0</v>
      </c>
      <c r="EE79" s="33" t="n">
        <f aca="false">In_AtRisk_Rate/Days_In_Year*(1-EE19)*(EE78*EE$5-(EE$4+1)*EE57-EE77)*(EE$4&lt;=In_COD)</f>
        <v>0</v>
      </c>
      <c r="EF79" s="33" t="n">
        <f aca="false">In_AtRisk_Rate/Days_In_Year*(1-EF19)*(EF78*EF$5-(EF$4+1)*EF57-EF77)*(EF$4&lt;=In_COD)</f>
        <v>0</v>
      </c>
      <c r="EG79" s="33" t="n">
        <f aca="false">In_AtRisk_Rate/Days_In_Year*(1-EG19)*(EG78*EG$5-(EG$4+1)*EG57-EG77)*(EG$4&lt;=In_COD)</f>
        <v>0</v>
      </c>
      <c r="EH79" s="33" t="n">
        <f aca="false">In_AtRisk_Rate/Days_In_Year*(1-EH19)*(EH78*EH$5-(EH$4+1)*EH57-EH77)*(EH$4&lt;=In_COD)</f>
        <v>0</v>
      </c>
      <c r="EI79" s="33" t="n">
        <f aca="false">In_AtRisk_Rate/Days_In_Year*(1-EI19)*(EI78*EI$5-(EI$4+1)*EI57-EI77)*(EI$4&lt;=In_COD)</f>
        <v>0</v>
      </c>
      <c r="EJ79" s="33" t="n">
        <f aca="false">In_AtRisk_Rate/Days_In_Year*(1-EJ19)*(EJ78*EJ$5-(EJ$4+1)*EJ57-EJ77)*(EJ$4&lt;=In_COD)</f>
        <v>0</v>
      </c>
      <c r="EK79" s="33" t="n">
        <f aca="false">In_AtRisk_Rate/Days_In_Year*(1-EK19)*(EK78*EK$5-(EK$4+1)*EK57-EK77)*(EK$4&lt;=In_COD)</f>
        <v>0</v>
      </c>
      <c r="EL79" s="33" t="n">
        <f aca="false">In_AtRisk_Rate/Days_In_Year*(1-EL19)*(EL78*EL$5-(EL$4+1)*EL57-EL77)*(EL$4&lt;=In_COD)</f>
        <v>0</v>
      </c>
      <c r="EM79" s="33" t="n">
        <f aca="false">In_AtRisk_Rate/Days_In_Year*(1-EM19)*(EM78*EM$5-(EM$4+1)*EM57-EM77)*(EM$4&lt;=In_COD)</f>
        <v>0</v>
      </c>
      <c r="EN79" s="33" t="n">
        <f aca="false">In_AtRisk_Rate/Days_In_Year*(1-EN19)*(EN78*EN$5-(EN$4+1)*EN57-EN77)*(EN$4&lt;=In_COD)</f>
        <v>0</v>
      </c>
      <c r="EO79" s="33" t="n">
        <f aca="false">In_AtRisk_Rate/Days_In_Year*(1-EO19)*(EO78*EO$5-(EO$4+1)*EO57-EO77)*(EO$4&lt;=In_COD)</f>
        <v>0</v>
      </c>
      <c r="EP79" s="33" t="n">
        <f aca="false">In_AtRisk_Rate/Days_In_Year*(1-EP19)*(EP78*EP$5-(EP$4+1)*EP57-EP77)*(EP$4&lt;=In_COD)</f>
        <v>0</v>
      </c>
      <c r="EQ79" s="33" t="n">
        <f aca="false">In_AtRisk_Rate/Days_In_Year*(1-EQ19)*(EQ78*EQ$5-(EQ$4+1)*EQ57-EQ77)*(EQ$4&lt;=In_COD)</f>
        <v>0</v>
      </c>
      <c r="ER79" s="33" t="n">
        <f aca="false">In_AtRisk_Rate/Days_In_Year*(1-ER19)*(ER78*ER$5-(ER$4+1)*ER57-ER77)*(ER$4&lt;=In_COD)</f>
        <v>0</v>
      </c>
      <c r="ES79" s="33" t="n">
        <f aca="false">In_AtRisk_Rate/Days_In_Year*(1-ES19)*(ES78*ES$5-(ES$4+1)*ES57-ES77)*(ES$4&lt;=In_COD)</f>
        <v>0</v>
      </c>
      <c r="ET79" s="33" t="n">
        <f aca="false">In_AtRisk_Rate/Days_In_Year*(1-ET19)*(ET78*ET$5-(ET$4+1)*ET57-ET77)*(ET$4&lt;=In_COD)</f>
        <v>0</v>
      </c>
    </row>
    <row r="80" customFormat="false" ht="15" hidden="false" customHeight="false" outlineLevel="0" collapsed="false">
      <c r="C80" s="0" t="s">
        <v>528</v>
      </c>
      <c r="D80" s="11" t="s">
        <v>247</v>
      </c>
      <c r="I80" s="33" t="n">
        <f aca="false">SUM(J80:ET80)</f>
        <v>2570.93661832238</v>
      </c>
      <c r="J80" s="33" t="n">
        <f aca="false">J20*SUMIF($J$7:J$7,J$7,$J79:J79)</f>
        <v>0</v>
      </c>
      <c r="K80" s="33" t="n">
        <f aca="false">K20*SUMIF($J$7:K$7,K$7,$J79:K79)</f>
        <v>8.99939200600482</v>
      </c>
      <c r="L80" s="33" t="n">
        <f aca="false">L20*SUMIF($J$7:L$7,L$7,$J79:L79)</f>
        <v>0</v>
      </c>
      <c r="M80" s="33" t="n">
        <f aca="false">M20*SUMIF($J$7:M$7,M$7,$J79:M79)</f>
        <v>0</v>
      </c>
      <c r="N80" s="33" t="n">
        <f aca="false">N20*SUMIF($J$7:N$7,N$7,$J79:N79)</f>
        <v>0</v>
      </c>
      <c r="O80" s="33" t="n">
        <f aca="false">O20*SUMIF($J$7:O$7,O$7,$J79:O79)</f>
        <v>147.186477763184</v>
      </c>
      <c r="P80" s="33" t="n">
        <f aca="false">P20*SUMIF($J$7:P$7,P$7,$J79:P79)</f>
        <v>0</v>
      </c>
      <c r="Q80" s="33" t="n">
        <f aca="false">Q20*SUMIF($J$7:Q$7,Q$7,$J79:Q79)</f>
        <v>0</v>
      </c>
      <c r="R80" s="33" t="n">
        <f aca="false">R20*SUMIF($J$7:R$7,R$7,$J79:R79)</f>
        <v>0</v>
      </c>
      <c r="S80" s="33" t="n">
        <f aca="false">S20*SUMIF($J$7:S$7,S$7,$J79:S79)</f>
        <v>487.461555603092</v>
      </c>
      <c r="T80" s="33" t="n">
        <f aca="false">T20*SUMIF($J$7:T$7,T$7,$J79:T79)</f>
        <v>0</v>
      </c>
      <c r="U80" s="33" t="n">
        <f aca="false">U20*SUMIF($J$7:U$7,U$7,$J79:U79)</f>
        <v>0</v>
      </c>
      <c r="V80" s="33" t="n">
        <f aca="false">V20*SUMIF($J$7:V$7,V$7,$J79:V79)</f>
        <v>0</v>
      </c>
      <c r="W80" s="33" t="n">
        <f aca="false">W20*SUMIF($J$7:W$7,W$7,$J79:W79)</f>
        <v>361.79720103671</v>
      </c>
      <c r="X80" s="33" t="n">
        <f aca="false">X20*SUMIF($J$7:X$7,X$7,$J79:X79)</f>
        <v>0</v>
      </c>
      <c r="Y80" s="33" t="n">
        <f aca="false">Y20*SUMIF($J$7:Y$7,Y$7,$J79:Y79)</f>
        <v>0</v>
      </c>
      <c r="Z80" s="33" t="n">
        <f aca="false">Z20*SUMIF($J$7:Z$7,Z$7,$J79:Z79)</f>
        <v>0</v>
      </c>
      <c r="AA80" s="33" t="n">
        <f aca="false">AA20*SUMIF($J$7:AA$7,AA$7,$J79:AA79)</f>
        <v>825.013827675984</v>
      </c>
      <c r="AB80" s="33" t="n">
        <f aca="false">AB20*SUMIF($J$7:AB$7,AB$7,$J79:AB79)</f>
        <v>0</v>
      </c>
      <c r="AC80" s="33" t="n">
        <f aca="false">AC20*SUMIF($J$7:AC$7,AC$7,$J79:AC79)</f>
        <v>0</v>
      </c>
      <c r="AD80" s="33" t="n">
        <f aca="false">AD20*SUMIF($J$7:AD$7,AD$7,$J79:AD79)</f>
        <v>0</v>
      </c>
      <c r="AE80" s="33" t="n">
        <f aca="false">AE20*SUMIF($J$7:AE$7,AE$7,$J79:AE79)</f>
        <v>740.478164237403</v>
      </c>
      <c r="AF80" s="33" t="n">
        <f aca="false">AF20*SUMIF($J$7:AF$7,AF$7,$J79:AF79)</f>
        <v>0</v>
      </c>
      <c r="AG80" s="33" t="n">
        <f aca="false">AG20*SUMIF($J$7:AG$7,AG$7,$J79:AG79)</f>
        <v>0</v>
      </c>
      <c r="AH80" s="33" t="n">
        <f aca="false">AH20*SUMIF($J$7:AH$7,AH$7,$J79:AH79)</f>
        <v>0</v>
      </c>
      <c r="AI80" s="33" t="n">
        <f aca="false">AI20*SUMIF($J$7:AI$7,AI$7,$J79:AI79)</f>
        <v>0</v>
      </c>
      <c r="AJ80" s="33" t="n">
        <f aca="false">AJ20*SUMIF($J$7:AJ$7,AJ$7,$J79:AJ79)</f>
        <v>0</v>
      </c>
      <c r="AK80" s="33" t="n">
        <f aca="false">AK20*SUMIF($J$7:AK$7,AK$7,$J79:AK79)</f>
        <v>0</v>
      </c>
      <c r="AL80" s="33" t="n">
        <f aca="false">AL20*SUMIF($J$7:AL$7,AL$7,$J79:AL79)</f>
        <v>0</v>
      </c>
      <c r="AM80" s="33" t="n">
        <f aca="false">AM20*SUMIF($J$7:AM$7,AM$7,$J79:AM79)</f>
        <v>0</v>
      </c>
      <c r="AN80" s="33" t="n">
        <f aca="false">AN20*SUMIF($J$7:AN$7,AN$7,$J79:AN79)</f>
        <v>0</v>
      </c>
      <c r="AO80" s="33" t="n">
        <f aca="false">AO20*SUMIF($J$7:AO$7,AO$7,$J79:AO79)</f>
        <v>0</v>
      </c>
      <c r="AP80" s="33" t="n">
        <f aca="false">AP20*SUMIF($J$7:AP$7,AP$7,$J79:AP79)</f>
        <v>0</v>
      </c>
      <c r="AQ80" s="33" t="n">
        <f aca="false">AQ20*SUMIF($J$7:AQ$7,AQ$7,$J79:AQ79)</f>
        <v>0</v>
      </c>
      <c r="AR80" s="33" t="n">
        <f aca="false">AR20*SUMIF($J$7:AR$7,AR$7,$J79:AR79)</f>
        <v>0</v>
      </c>
      <c r="AS80" s="33" t="n">
        <f aca="false">AS20*SUMIF($J$7:AS$7,AS$7,$J79:AS79)</f>
        <v>0</v>
      </c>
      <c r="AT80" s="33" t="n">
        <f aca="false">AT20*SUMIF($J$7:AT$7,AT$7,$J79:AT79)</f>
        <v>0</v>
      </c>
      <c r="AU80" s="33" t="n">
        <f aca="false">AU20*SUMIF($J$7:AU$7,AU$7,$J79:AU79)</f>
        <v>0</v>
      </c>
      <c r="AV80" s="33" t="n">
        <f aca="false">AV20*SUMIF($J$7:AV$7,AV$7,$J79:AV79)</f>
        <v>0</v>
      </c>
      <c r="AW80" s="33" t="n">
        <f aca="false">AW20*SUMIF($J$7:AW$7,AW$7,$J79:AW79)</f>
        <v>0</v>
      </c>
      <c r="AX80" s="33" t="n">
        <f aca="false">AX20*SUMIF($J$7:AX$7,AX$7,$J79:AX79)</f>
        <v>0</v>
      </c>
      <c r="AY80" s="33" t="n">
        <f aca="false">AY20*SUMIF($J$7:AY$7,AY$7,$J79:AY79)</f>
        <v>0</v>
      </c>
      <c r="AZ80" s="33" t="n">
        <f aca="false">AZ20*SUMIF($J$7:AZ$7,AZ$7,$J79:AZ79)</f>
        <v>0</v>
      </c>
      <c r="BA80" s="33" t="n">
        <f aca="false">BA20*SUMIF($J$7:BA$7,BA$7,$J79:BA79)</f>
        <v>0</v>
      </c>
      <c r="BB80" s="33" t="n">
        <f aca="false">BB20*SUMIF($J$7:BB$7,BB$7,$J79:BB79)</f>
        <v>0</v>
      </c>
      <c r="BC80" s="33" t="n">
        <f aca="false">BC20*SUMIF($J$7:BC$7,BC$7,$J79:BC79)</f>
        <v>0</v>
      </c>
      <c r="BD80" s="33" t="n">
        <f aca="false">BD20*SUMIF($J$7:BD$7,BD$7,$J79:BD79)</f>
        <v>0</v>
      </c>
      <c r="BE80" s="33" t="n">
        <f aca="false">BE20*SUMIF($J$7:BE$7,BE$7,$J79:BE79)</f>
        <v>0</v>
      </c>
      <c r="BF80" s="33" t="n">
        <f aca="false">BF20*SUMIF($J$7:BF$7,BF$7,$J79:BF79)</f>
        <v>0</v>
      </c>
      <c r="BG80" s="33" t="n">
        <f aca="false">BG20*SUMIF($J$7:BG$7,BG$7,$J79:BG79)</f>
        <v>0</v>
      </c>
      <c r="BH80" s="33" t="n">
        <f aca="false">BH20*SUMIF($J$7:BH$7,BH$7,$J79:BH79)</f>
        <v>0</v>
      </c>
      <c r="BI80" s="33" t="n">
        <f aca="false">BI20*SUMIF($J$7:BI$7,BI$7,$J79:BI79)</f>
        <v>0</v>
      </c>
      <c r="BJ80" s="33" t="n">
        <f aca="false">BJ20*SUMIF($J$7:BJ$7,BJ$7,$J79:BJ79)</f>
        <v>0</v>
      </c>
      <c r="BK80" s="33" t="n">
        <f aca="false">BK20*SUMIF($J$7:BK$7,BK$7,$J79:BK79)</f>
        <v>0</v>
      </c>
      <c r="BL80" s="33" t="n">
        <f aca="false">BL20*SUMIF($J$7:BL$7,BL$7,$J79:BL79)</f>
        <v>0</v>
      </c>
      <c r="BM80" s="33" t="n">
        <f aca="false">BM20*SUMIF($J$7:BM$7,BM$7,$J79:BM79)</f>
        <v>0</v>
      </c>
      <c r="BN80" s="33" t="n">
        <f aca="false">BN20*SUMIF($J$7:BN$7,BN$7,$J79:BN79)</f>
        <v>0</v>
      </c>
      <c r="BO80" s="33" t="n">
        <f aca="false">BO20*SUMIF($J$7:BO$7,BO$7,$J79:BO79)</f>
        <v>0</v>
      </c>
      <c r="BP80" s="33" t="n">
        <f aca="false">BP20*SUMIF($J$7:BP$7,BP$7,$J79:BP79)</f>
        <v>0</v>
      </c>
      <c r="BQ80" s="33" t="n">
        <f aca="false">BQ20*SUMIF($J$7:BQ$7,BQ$7,$J79:BQ79)</f>
        <v>0</v>
      </c>
      <c r="BR80" s="33" t="n">
        <f aca="false">BR20*SUMIF($J$7:BR$7,BR$7,$J79:BR79)</f>
        <v>0</v>
      </c>
      <c r="BS80" s="33" t="n">
        <f aca="false">BS20*SUMIF($J$7:BS$7,BS$7,$J79:BS79)</f>
        <v>0</v>
      </c>
      <c r="BT80" s="33" t="n">
        <f aca="false">BT20*SUMIF($J$7:BT$7,BT$7,$J79:BT79)</f>
        <v>0</v>
      </c>
      <c r="BU80" s="33" t="n">
        <f aca="false">BU20*SUMIF($J$7:BU$7,BU$7,$J79:BU79)</f>
        <v>0</v>
      </c>
      <c r="BV80" s="33" t="n">
        <f aca="false">BV20*SUMIF($J$7:BV$7,BV$7,$J79:BV79)</f>
        <v>0</v>
      </c>
      <c r="BW80" s="33" t="n">
        <f aca="false">BW20*SUMIF($J$7:BW$7,BW$7,$J79:BW79)</f>
        <v>0</v>
      </c>
      <c r="BX80" s="33" t="n">
        <f aca="false">BX20*SUMIF($J$7:BX$7,BX$7,$J79:BX79)</f>
        <v>0</v>
      </c>
      <c r="BY80" s="33" t="n">
        <f aca="false">BY20*SUMIF($J$7:BY$7,BY$7,$J79:BY79)</f>
        <v>0</v>
      </c>
      <c r="BZ80" s="33" t="n">
        <f aca="false">BZ20*SUMIF($J$7:BZ$7,BZ$7,$J79:BZ79)</f>
        <v>0</v>
      </c>
      <c r="CA80" s="33" t="n">
        <f aca="false">CA20*SUMIF($J$7:CA$7,CA$7,$J79:CA79)</f>
        <v>0</v>
      </c>
      <c r="CB80" s="33" t="n">
        <f aca="false">CB20*SUMIF($J$7:CB$7,CB$7,$J79:CB79)</f>
        <v>0</v>
      </c>
      <c r="CC80" s="33" t="n">
        <f aca="false">CC20*SUMIF($J$7:CC$7,CC$7,$J79:CC79)</f>
        <v>0</v>
      </c>
      <c r="CD80" s="33" t="n">
        <f aca="false">CD20*SUMIF($J$7:CD$7,CD$7,$J79:CD79)</f>
        <v>0</v>
      </c>
      <c r="CE80" s="33" t="n">
        <f aca="false">CE20*SUMIF($J$7:CE$7,CE$7,$J79:CE79)</f>
        <v>0</v>
      </c>
      <c r="CF80" s="33" t="n">
        <f aca="false">CF20*SUMIF($J$7:CF$7,CF$7,$J79:CF79)</f>
        <v>0</v>
      </c>
      <c r="CG80" s="33" t="n">
        <f aca="false">CG20*SUMIF($J$7:CG$7,CG$7,$J79:CG79)</f>
        <v>0</v>
      </c>
      <c r="CH80" s="33" t="n">
        <f aca="false">CH20*SUMIF($J$7:CH$7,CH$7,$J79:CH79)</f>
        <v>0</v>
      </c>
      <c r="CI80" s="33" t="n">
        <f aca="false">CI20*SUMIF($J$7:CI$7,CI$7,$J79:CI79)</f>
        <v>0</v>
      </c>
      <c r="CJ80" s="33" t="n">
        <f aca="false">CJ20*SUMIF($J$7:CJ$7,CJ$7,$J79:CJ79)</f>
        <v>0</v>
      </c>
      <c r="CK80" s="33" t="n">
        <f aca="false">CK20*SUMIF($J$7:CK$7,CK$7,$J79:CK79)</f>
        <v>0</v>
      </c>
      <c r="CL80" s="33" t="n">
        <f aca="false">CL20*SUMIF($J$7:CL$7,CL$7,$J79:CL79)</f>
        <v>0</v>
      </c>
      <c r="CM80" s="33" t="n">
        <f aca="false">CM20*SUMIF($J$7:CM$7,CM$7,$J79:CM79)</f>
        <v>0</v>
      </c>
      <c r="CN80" s="33" t="n">
        <f aca="false">CN20*SUMIF($J$7:CN$7,CN$7,$J79:CN79)</f>
        <v>0</v>
      </c>
      <c r="CO80" s="33" t="n">
        <f aca="false">CO20*SUMIF($J$7:CO$7,CO$7,$J79:CO79)</f>
        <v>0</v>
      </c>
      <c r="CP80" s="33" t="n">
        <f aca="false">CP20*SUMIF($J$7:CP$7,CP$7,$J79:CP79)</f>
        <v>0</v>
      </c>
      <c r="CQ80" s="33" t="n">
        <f aca="false">CQ20*SUMIF($J$7:CQ$7,CQ$7,$J79:CQ79)</f>
        <v>0</v>
      </c>
      <c r="CR80" s="33" t="n">
        <f aca="false">CR20*SUMIF($J$7:CR$7,CR$7,$J79:CR79)</f>
        <v>0</v>
      </c>
      <c r="CS80" s="33" t="n">
        <f aca="false">CS20*SUMIF($J$7:CS$7,CS$7,$J79:CS79)</f>
        <v>0</v>
      </c>
      <c r="CT80" s="33" t="n">
        <f aca="false">CT20*SUMIF($J$7:CT$7,CT$7,$J79:CT79)</f>
        <v>0</v>
      </c>
      <c r="CU80" s="33" t="n">
        <f aca="false">CU20*SUMIF($J$7:CU$7,CU$7,$J79:CU79)</f>
        <v>0</v>
      </c>
      <c r="CV80" s="33" t="n">
        <f aca="false">CV20*SUMIF($J$7:CV$7,CV$7,$J79:CV79)</f>
        <v>0</v>
      </c>
      <c r="CW80" s="33" t="n">
        <f aca="false">CW20*SUMIF($J$7:CW$7,CW$7,$J79:CW79)</f>
        <v>0</v>
      </c>
      <c r="CX80" s="33" t="n">
        <f aca="false">CX20*SUMIF($J$7:CX$7,CX$7,$J79:CX79)</f>
        <v>0</v>
      </c>
      <c r="CY80" s="33" t="n">
        <f aca="false">CY20*SUMIF($J$7:CY$7,CY$7,$J79:CY79)</f>
        <v>0</v>
      </c>
      <c r="CZ80" s="33" t="n">
        <f aca="false">CZ20*SUMIF($J$7:CZ$7,CZ$7,$J79:CZ79)</f>
        <v>0</v>
      </c>
      <c r="DA80" s="33" t="n">
        <f aca="false">DA20*SUMIF($J$7:DA$7,DA$7,$J79:DA79)</f>
        <v>0</v>
      </c>
      <c r="DB80" s="33" t="n">
        <f aca="false">DB20*SUMIF($J$7:DB$7,DB$7,$J79:DB79)</f>
        <v>0</v>
      </c>
      <c r="DC80" s="33" t="n">
        <f aca="false">DC20*SUMIF($J$7:DC$7,DC$7,$J79:DC79)</f>
        <v>0</v>
      </c>
      <c r="DD80" s="33" t="n">
        <f aca="false">DD20*SUMIF($J$7:DD$7,DD$7,$J79:DD79)</f>
        <v>0</v>
      </c>
      <c r="DE80" s="33" t="n">
        <f aca="false">DE20*SUMIF($J$7:DE$7,DE$7,$J79:DE79)</f>
        <v>0</v>
      </c>
      <c r="DF80" s="33" t="n">
        <f aca="false">DF20*SUMIF($J$7:DF$7,DF$7,$J79:DF79)</f>
        <v>0</v>
      </c>
      <c r="DG80" s="33" t="n">
        <f aca="false">DG20*SUMIF($J$7:DG$7,DG$7,$J79:DG79)</f>
        <v>0</v>
      </c>
      <c r="DH80" s="33" t="n">
        <f aca="false">DH20*SUMIF($J$7:DH$7,DH$7,$J79:DH79)</f>
        <v>0</v>
      </c>
      <c r="DI80" s="33" t="n">
        <f aca="false">DI20*SUMIF($J$7:DI$7,DI$7,$J79:DI79)</f>
        <v>0</v>
      </c>
      <c r="DJ80" s="33" t="n">
        <f aca="false">DJ20*SUMIF($J$7:DJ$7,DJ$7,$J79:DJ79)</f>
        <v>0</v>
      </c>
      <c r="DK80" s="33" t="n">
        <f aca="false">DK20*SUMIF($J$7:DK$7,DK$7,$J79:DK79)</f>
        <v>0</v>
      </c>
      <c r="DL80" s="33" t="n">
        <f aca="false">DL20*SUMIF($J$7:DL$7,DL$7,$J79:DL79)</f>
        <v>0</v>
      </c>
      <c r="DM80" s="33" t="n">
        <f aca="false">DM20*SUMIF($J$7:DM$7,DM$7,$J79:DM79)</f>
        <v>0</v>
      </c>
      <c r="DN80" s="33" t="n">
        <f aca="false">DN20*SUMIF($J$7:DN$7,DN$7,$J79:DN79)</f>
        <v>0</v>
      </c>
      <c r="DO80" s="33" t="n">
        <f aca="false">DO20*SUMIF($J$7:DO$7,DO$7,$J79:DO79)</f>
        <v>0</v>
      </c>
      <c r="DP80" s="33" t="n">
        <f aca="false">DP20*SUMIF($J$7:DP$7,DP$7,$J79:DP79)</f>
        <v>0</v>
      </c>
      <c r="DQ80" s="33" t="n">
        <f aca="false">DQ20*SUMIF($J$7:DQ$7,DQ$7,$J79:DQ79)</f>
        <v>0</v>
      </c>
      <c r="DR80" s="33" t="n">
        <f aca="false">DR20*SUMIF($J$7:DR$7,DR$7,$J79:DR79)</f>
        <v>0</v>
      </c>
      <c r="DS80" s="33" t="n">
        <f aca="false">DS20*SUMIF($J$7:DS$7,DS$7,$J79:DS79)</f>
        <v>0</v>
      </c>
      <c r="DT80" s="33" t="n">
        <f aca="false">DT20*SUMIF($J$7:DT$7,DT$7,$J79:DT79)</f>
        <v>0</v>
      </c>
      <c r="DU80" s="33" t="n">
        <f aca="false">DU20*SUMIF($J$7:DU$7,DU$7,$J79:DU79)</f>
        <v>0</v>
      </c>
      <c r="DV80" s="33" t="n">
        <f aca="false">DV20*SUMIF($J$7:DV$7,DV$7,$J79:DV79)</f>
        <v>0</v>
      </c>
      <c r="DW80" s="33" t="n">
        <f aca="false">DW20*SUMIF($J$7:DW$7,DW$7,$J79:DW79)</f>
        <v>0</v>
      </c>
      <c r="DX80" s="33" t="n">
        <f aca="false">DX20*SUMIF($J$7:DX$7,DX$7,$J79:DX79)</f>
        <v>0</v>
      </c>
      <c r="DY80" s="33" t="n">
        <f aca="false">DY20*SUMIF($J$7:DY$7,DY$7,$J79:DY79)</f>
        <v>0</v>
      </c>
      <c r="DZ80" s="33" t="n">
        <f aca="false">DZ20*SUMIF($J$7:DZ$7,DZ$7,$J79:DZ79)</f>
        <v>0</v>
      </c>
      <c r="EA80" s="33" t="n">
        <f aca="false">EA20*SUMIF($J$7:EA$7,EA$7,$J79:EA79)</f>
        <v>0</v>
      </c>
      <c r="EB80" s="33" t="n">
        <f aca="false">EB20*SUMIF($J$7:EB$7,EB$7,$J79:EB79)</f>
        <v>0</v>
      </c>
      <c r="EC80" s="33" t="n">
        <f aca="false">EC20*SUMIF($J$7:EC$7,EC$7,$J79:EC79)</f>
        <v>0</v>
      </c>
      <c r="ED80" s="33" t="n">
        <f aca="false">ED20*SUMIF($J$7:ED$7,ED$7,$J79:ED79)</f>
        <v>0</v>
      </c>
      <c r="EE80" s="33" t="n">
        <f aca="false">EE20*SUMIF($J$7:EE$7,EE$7,$J79:EE79)</f>
        <v>0</v>
      </c>
      <c r="EF80" s="33" t="n">
        <f aca="false">EF20*SUMIF($J$7:EF$7,EF$7,$J79:EF79)</f>
        <v>0</v>
      </c>
      <c r="EG80" s="33" t="n">
        <f aca="false">EG20*SUMIF($J$7:EG$7,EG$7,$J79:EG79)</f>
        <v>0</v>
      </c>
      <c r="EH80" s="33" t="n">
        <f aca="false">EH20*SUMIF($J$7:EH$7,EH$7,$J79:EH79)</f>
        <v>0</v>
      </c>
      <c r="EI80" s="33" t="n">
        <f aca="false">EI20*SUMIF($J$7:EI$7,EI$7,$J79:EI79)</f>
        <v>0</v>
      </c>
      <c r="EJ80" s="33" t="n">
        <f aca="false">EJ20*SUMIF($J$7:EJ$7,EJ$7,$J79:EJ79)</f>
        <v>0</v>
      </c>
      <c r="EK80" s="33" t="n">
        <f aca="false">EK20*SUMIF($J$7:EK$7,EK$7,$J79:EK79)</f>
        <v>0</v>
      </c>
      <c r="EL80" s="33" t="n">
        <f aca="false">EL20*SUMIF($J$7:EL$7,EL$7,$J79:EL79)</f>
        <v>0</v>
      </c>
      <c r="EM80" s="33" t="n">
        <f aca="false">EM20*SUMIF($J$7:EM$7,EM$7,$J79:EM79)</f>
        <v>0</v>
      </c>
      <c r="EN80" s="33" t="n">
        <f aca="false">EN20*SUMIF($J$7:EN$7,EN$7,$J79:EN79)</f>
        <v>0</v>
      </c>
      <c r="EO80" s="33" t="n">
        <f aca="false">EO20*SUMIF($J$7:EO$7,EO$7,$J79:EO79)</f>
        <v>0</v>
      </c>
      <c r="EP80" s="33" t="n">
        <f aca="false">EP20*SUMIF($J$7:EP$7,EP$7,$J79:EP79)</f>
        <v>0</v>
      </c>
      <c r="EQ80" s="33" t="n">
        <f aca="false">EQ20*SUMIF($J$7:EQ$7,EQ$7,$J79:EQ79)</f>
        <v>0</v>
      </c>
      <c r="ER80" s="33" t="n">
        <f aca="false">ER20*SUMIF($J$7:ER$7,ER$7,$J79:ER79)</f>
        <v>0</v>
      </c>
      <c r="ES80" s="33" t="n">
        <f aca="false">ES20*SUMIF($J$7:ES$7,ES$7,$J79:ES79)</f>
        <v>0</v>
      </c>
      <c r="ET80" s="33" t="n">
        <f aca="false">ET20*SUMIF($J$7:ET$7,ET$7,$J79:ET79)</f>
        <v>0</v>
      </c>
    </row>
    <row r="81" customFormat="false" ht="15" hidden="false" customHeight="false" outlineLevel="0" collapsed="false">
      <c r="C81" s="0" t="s">
        <v>529</v>
      </c>
      <c r="D81" s="11" t="s">
        <v>247</v>
      </c>
      <c r="I81" s="54"/>
      <c r="J81" s="33" t="n">
        <f aca="false">J78-J57+J80</f>
        <v>0</v>
      </c>
      <c r="K81" s="33" t="n">
        <f aca="false">K78-K57+K80</f>
        <v>187.51993995121</v>
      </c>
      <c r="L81" s="33" t="n">
        <f aca="false">L78-L57+L80</f>
        <v>775.964460499156</v>
      </c>
      <c r="M81" s="33" t="n">
        <f aca="false">M78-M57+M80</f>
        <v>819.800076937512</v>
      </c>
      <c r="N81" s="33" t="n">
        <f aca="false">N78-N57+N80</f>
        <v>863.635693375868</v>
      </c>
      <c r="O81" s="33" t="n">
        <f aca="false">O78-O57+O80</f>
        <v>1195.18381497467</v>
      </c>
      <c r="P81" s="33" t="n">
        <f aca="false">P78-P57+P80</f>
        <v>2485.22560977478</v>
      </c>
      <c r="Q81" s="33" t="n">
        <f aca="false">Q78-Q57+Q80</f>
        <v>2489.83519881588</v>
      </c>
      <c r="R81" s="33" t="n">
        <f aca="false">R78-R57+R80</f>
        <v>2653.92670879631</v>
      </c>
      <c r="S81" s="33" t="n">
        <f aca="false">S78-S57+S80</f>
        <v>3458.61440309663</v>
      </c>
      <c r="T81" s="33" t="n">
        <f aca="false">T78-T57+T80</f>
        <v>3763.27193734321</v>
      </c>
      <c r="U81" s="33" t="n">
        <f aca="false">U78-U57+U80</f>
        <v>3763.27193734321</v>
      </c>
      <c r="V81" s="33" t="n">
        <f aca="false">V78-V57+V80</f>
        <v>3763.27193734321</v>
      </c>
      <c r="W81" s="33" t="n">
        <f aca="false">W78-W57+W80</f>
        <v>4125.06913837992</v>
      </c>
      <c r="X81" s="33" t="n">
        <f aca="false">X78-X57+X80</f>
        <v>4125.06913837992</v>
      </c>
      <c r="Y81" s="33" t="n">
        <f aca="false">Y78-Y57+Y80</f>
        <v>4125.06913837992</v>
      </c>
      <c r="Z81" s="33" t="n">
        <f aca="false">Z78-Z57+Z80</f>
        <v>4125.06913837992</v>
      </c>
      <c r="AA81" s="33" t="n">
        <f aca="false">AA78-AA57+AA80</f>
        <v>4950.0829660559</v>
      </c>
      <c r="AB81" s="33" t="n">
        <f aca="false">AB78-AB57+AB80</f>
        <v>4950.0829660559</v>
      </c>
      <c r="AC81" s="33" t="n">
        <f aca="false">AC78-AC57+AC80</f>
        <v>4950.0829660559</v>
      </c>
      <c r="AD81" s="33" t="n">
        <f aca="false">AD78-AD57+AD80</f>
        <v>4950.0829660559</v>
      </c>
      <c r="AE81" s="33" t="n">
        <f aca="false">AE78-AE57+AE80</f>
        <v>5690.5611302933</v>
      </c>
      <c r="AF81" s="33" t="n">
        <f aca="false">AF78-AF57+AF80</f>
        <v>5690.5611302933</v>
      </c>
      <c r="AG81" s="33" t="n">
        <f aca="false">AG78-AG57+AG80</f>
        <v>5690.5611302933</v>
      </c>
      <c r="AH81" s="33" t="n">
        <f aca="false">AH78-AH57+AH80</f>
        <v>5690.5611302933</v>
      </c>
      <c r="AI81" s="33" t="n">
        <f aca="false">AI78-AI57+AI80</f>
        <v>5690.5611302933</v>
      </c>
      <c r="AJ81" s="33" t="n">
        <f aca="false">AJ78-AJ57+AJ80</f>
        <v>5690.5611302933</v>
      </c>
      <c r="AK81" s="33" t="n">
        <f aca="false">AK78-AK57+AK80</f>
        <v>5690.5611302933</v>
      </c>
      <c r="AL81" s="33" t="n">
        <f aca="false">AL78-AL57+AL80</f>
        <v>5690.5611302933</v>
      </c>
      <c r="AM81" s="33" t="n">
        <f aca="false">AM78-AM57+AM80</f>
        <v>5690.5611302933</v>
      </c>
      <c r="AN81" s="33" t="n">
        <f aca="false">AN78-AN57+AN80</f>
        <v>5690.5611302933</v>
      </c>
      <c r="AO81" s="33" t="n">
        <f aca="false">AO78-AO57+AO80</f>
        <v>5690.5611302933</v>
      </c>
      <c r="AP81" s="33" t="n">
        <f aca="false">AP78-AP57+AP80</f>
        <v>5690.5611302933</v>
      </c>
      <c r="AQ81" s="33" t="n">
        <f aca="false">AQ78-AQ57+AQ80</f>
        <v>5690.5611302933</v>
      </c>
      <c r="AR81" s="33" t="n">
        <f aca="false">AR78-AR57+AR80</f>
        <v>5690.5611302933</v>
      </c>
      <c r="AS81" s="33" t="n">
        <f aca="false">AS78-AS57+AS80</f>
        <v>5690.5611302933</v>
      </c>
      <c r="AT81" s="33" t="n">
        <f aca="false">AT78-AT57+AT80</f>
        <v>5690.5611302933</v>
      </c>
      <c r="AU81" s="33" t="n">
        <f aca="false">AU78-AU57+AU80</f>
        <v>5690.5611302933</v>
      </c>
      <c r="AV81" s="33" t="n">
        <f aca="false">AV78-AV57+AV80</f>
        <v>5690.5611302933</v>
      </c>
      <c r="AW81" s="33" t="n">
        <f aca="false">AW78-AW57+AW80</f>
        <v>5690.5611302933</v>
      </c>
      <c r="AX81" s="33" t="n">
        <f aca="false">AX78-AX57+AX80</f>
        <v>5690.5611302933</v>
      </c>
      <c r="AY81" s="33" t="n">
        <f aca="false">AY78-AY57+AY80</f>
        <v>5690.5611302933</v>
      </c>
      <c r="AZ81" s="33" t="n">
        <f aca="false">AZ78-AZ57+AZ80</f>
        <v>5690.5611302933</v>
      </c>
      <c r="BA81" s="33" t="n">
        <f aca="false">BA78-BA57+BA80</f>
        <v>5690.5611302933</v>
      </c>
      <c r="BB81" s="33" t="n">
        <f aca="false">BB78-BB57+BB80</f>
        <v>5690.5611302933</v>
      </c>
      <c r="BC81" s="33" t="n">
        <f aca="false">BC78-BC57+BC80</f>
        <v>5690.5611302933</v>
      </c>
      <c r="BD81" s="33" t="n">
        <f aca="false">BD78-BD57+BD80</f>
        <v>5690.5611302933</v>
      </c>
      <c r="BE81" s="33" t="n">
        <f aca="false">BE78-BE57+BE80</f>
        <v>5690.5611302933</v>
      </c>
      <c r="BF81" s="33" t="n">
        <f aca="false">BF78-BF57+BF80</f>
        <v>5690.5611302933</v>
      </c>
      <c r="BG81" s="33" t="n">
        <f aca="false">BG78-BG57+BG80</f>
        <v>5690.5611302933</v>
      </c>
      <c r="BH81" s="33" t="n">
        <f aca="false">BH78-BH57+BH80</f>
        <v>5690.5611302933</v>
      </c>
      <c r="BI81" s="33" t="n">
        <f aca="false">BI78-BI57+BI80</f>
        <v>5690.5611302933</v>
      </c>
      <c r="BJ81" s="33" t="n">
        <f aca="false">BJ78-BJ57+BJ80</f>
        <v>5690.5611302933</v>
      </c>
      <c r="BK81" s="33" t="n">
        <f aca="false">BK78-BK57+BK80</f>
        <v>5690.5611302933</v>
      </c>
      <c r="BL81" s="33" t="n">
        <f aca="false">BL78-BL57+BL80</f>
        <v>5690.5611302933</v>
      </c>
      <c r="BM81" s="33" t="n">
        <f aca="false">BM78-BM57+BM80</f>
        <v>5690.5611302933</v>
      </c>
      <c r="BN81" s="33" t="n">
        <f aca="false">BN78-BN57+BN80</f>
        <v>5690.5611302933</v>
      </c>
      <c r="BO81" s="33" t="n">
        <f aca="false">BO78-BO57+BO80</f>
        <v>5690.5611302933</v>
      </c>
      <c r="BP81" s="33" t="n">
        <f aca="false">BP78-BP57+BP80</f>
        <v>5690.5611302933</v>
      </c>
      <c r="BQ81" s="33" t="n">
        <f aca="false">BQ78-BQ57+BQ80</f>
        <v>5690.5611302933</v>
      </c>
      <c r="BR81" s="33" t="n">
        <f aca="false">BR78-BR57+BR80</f>
        <v>5690.5611302933</v>
      </c>
      <c r="BS81" s="33" t="n">
        <f aca="false">BS78-BS57+BS80</f>
        <v>5690.5611302933</v>
      </c>
      <c r="BT81" s="33" t="n">
        <f aca="false">BT78-BT57+BT80</f>
        <v>5690.5611302933</v>
      </c>
      <c r="BU81" s="33" t="n">
        <f aca="false">BU78-BU57+BU80</f>
        <v>5690.5611302933</v>
      </c>
      <c r="BV81" s="33" t="n">
        <f aca="false">BV78-BV57+BV80</f>
        <v>5690.5611302933</v>
      </c>
      <c r="BW81" s="33" t="n">
        <f aca="false">BW78-BW57+BW80</f>
        <v>5690.5611302933</v>
      </c>
      <c r="BX81" s="33" t="n">
        <f aca="false">BX78-BX57+BX80</f>
        <v>5690.5611302933</v>
      </c>
      <c r="BY81" s="33" t="n">
        <f aca="false">BY78-BY57+BY80</f>
        <v>5690.5611302933</v>
      </c>
      <c r="BZ81" s="33" t="n">
        <f aca="false">BZ78-BZ57+BZ80</f>
        <v>5690.5611302933</v>
      </c>
      <c r="CA81" s="33" t="n">
        <f aca="false">CA78-CA57+CA80</f>
        <v>5690.5611302933</v>
      </c>
      <c r="CB81" s="33" t="n">
        <f aca="false">CB78-CB57+CB80</f>
        <v>5690.5611302933</v>
      </c>
      <c r="CC81" s="33" t="n">
        <f aca="false">CC78-CC57+CC80</f>
        <v>5690.5611302933</v>
      </c>
      <c r="CD81" s="33" t="n">
        <f aca="false">CD78-CD57+CD80</f>
        <v>5690.5611302933</v>
      </c>
      <c r="CE81" s="33" t="n">
        <f aca="false">CE78-CE57+CE80</f>
        <v>5690.5611302933</v>
      </c>
      <c r="CF81" s="33" t="n">
        <f aca="false">CF78-CF57+CF80</f>
        <v>5690.5611302933</v>
      </c>
      <c r="CG81" s="33" t="n">
        <f aca="false">CG78-CG57+CG80</f>
        <v>5690.5611302933</v>
      </c>
      <c r="CH81" s="33" t="n">
        <f aca="false">CH78-CH57+CH80</f>
        <v>5690.5611302933</v>
      </c>
      <c r="CI81" s="33" t="n">
        <f aca="false">CI78-CI57+CI80</f>
        <v>5690.5611302933</v>
      </c>
      <c r="CJ81" s="33" t="n">
        <f aca="false">CJ78-CJ57+CJ80</f>
        <v>5690.5611302933</v>
      </c>
      <c r="CK81" s="33" t="n">
        <f aca="false">CK78-CK57+CK80</f>
        <v>5690.5611302933</v>
      </c>
      <c r="CL81" s="33" t="n">
        <f aca="false">CL78-CL57+CL80</f>
        <v>5690.5611302933</v>
      </c>
      <c r="CM81" s="33" t="n">
        <f aca="false">CM78-CM57+CM80</f>
        <v>5690.5611302933</v>
      </c>
      <c r="CN81" s="33" t="n">
        <f aca="false">CN78-CN57+CN80</f>
        <v>5690.5611302933</v>
      </c>
      <c r="CO81" s="33" t="n">
        <f aca="false">CO78-CO57+CO80</f>
        <v>5690.5611302933</v>
      </c>
      <c r="CP81" s="33" t="n">
        <f aca="false">CP78-CP57+CP80</f>
        <v>5690.5611302933</v>
      </c>
      <c r="CQ81" s="33" t="n">
        <f aca="false">CQ78-CQ57+CQ80</f>
        <v>5690.5611302933</v>
      </c>
      <c r="CR81" s="33" t="n">
        <f aca="false">CR78-CR57+CR80</f>
        <v>5690.5611302933</v>
      </c>
      <c r="CS81" s="33" t="n">
        <f aca="false">CS78-CS57+CS80</f>
        <v>5690.5611302933</v>
      </c>
      <c r="CT81" s="33" t="n">
        <f aca="false">CT78-CT57+CT80</f>
        <v>5690.5611302933</v>
      </c>
      <c r="CU81" s="33" t="n">
        <f aca="false">CU78-CU57+CU80</f>
        <v>5690.5611302933</v>
      </c>
      <c r="CV81" s="33" t="n">
        <f aca="false">CV78-CV57+CV80</f>
        <v>5690.5611302933</v>
      </c>
      <c r="CW81" s="33" t="n">
        <f aca="false">CW78-CW57+CW80</f>
        <v>5690.5611302933</v>
      </c>
      <c r="CX81" s="33" t="n">
        <f aca="false">CX78-CX57+CX80</f>
        <v>5690.5611302933</v>
      </c>
      <c r="CY81" s="33" t="n">
        <f aca="false">CY78-CY57+CY80</f>
        <v>5690.5611302933</v>
      </c>
      <c r="CZ81" s="33" t="n">
        <f aca="false">CZ78-CZ57+CZ80</f>
        <v>5690.5611302933</v>
      </c>
      <c r="DA81" s="33" t="n">
        <f aca="false">DA78-DA57+DA80</f>
        <v>5690.5611302933</v>
      </c>
      <c r="DB81" s="33" t="n">
        <f aca="false">DB78-DB57+DB80</f>
        <v>5690.5611302933</v>
      </c>
      <c r="DC81" s="33" t="n">
        <f aca="false">DC78-DC57+DC80</f>
        <v>5690.5611302933</v>
      </c>
      <c r="DD81" s="33" t="n">
        <f aca="false">DD78-DD57+DD80</f>
        <v>5690.5611302933</v>
      </c>
      <c r="DE81" s="33" t="n">
        <f aca="false">DE78-DE57+DE80</f>
        <v>5690.5611302933</v>
      </c>
      <c r="DF81" s="33" t="n">
        <f aca="false">DF78-DF57+DF80</f>
        <v>5690.5611302933</v>
      </c>
      <c r="DG81" s="33" t="n">
        <f aca="false">DG78-DG57+DG80</f>
        <v>5690.5611302933</v>
      </c>
      <c r="DH81" s="33" t="n">
        <f aca="false">DH78-DH57+DH80</f>
        <v>5690.5611302933</v>
      </c>
      <c r="DI81" s="33" t="n">
        <f aca="false">DI78-DI57+DI80</f>
        <v>5690.5611302933</v>
      </c>
      <c r="DJ81" s="33" t="n">
        <f aca="false">DJ78-DJ57+DJ80</f>
        <v>5690.5611302933</v>
      </c>
      <c r="DK81" s="33" t="n">
        <f aca="false">DK78-DK57+DK80</f>
        <v>5690.5611302933</v>
      </c>
      <c r="DL81" s="33" t="n">
        <f aca="false">DL78-DL57+DL80</f>
        <v>5690.5611302933</v>
      </c>
      <c r="DM81" s="33" t="n">
        <f aca="false">DM78-DM57+DM80</f>
        <v>5690.5611302933</v>
      </c>
      <c r="DN81" s="33" t="n">
        <f aca="false">DN78-DN57+DN80</f>
        <v>5690.5611302933</v>
      </c>
      <c r="DO81" s="33" t="n">
        <f aca="false">DO78-DO57+DO80</f>
        <v>5690.5611302933</v>
      </c>
      <c r="DP81" s="33" t="n">
        <f aca="false">DP78-DP57+DP80</f>
        <v>5690.5611302933</v>
      </c>
      <c r="DQ81" s="33" t="n">
        <f aca="false">DQ78-DQ57+DQ80</f>
        <v>5690.5611302933</v>
      </c>
      <c r="DR81" s="33" t="n">
        <f aca="false">DR78-DR57+DR80</f>
        <v>5690.5611302933</v>
      </c>
      <c r="DS81" s="33" t="n">
        <f aca="false">DS78-DS57+DS80</f>
        <v>5690.5611302933</v>
      </c>
      <c r="DT81" s="33" t="n">
        <f aca="false">DT78-DT57+DT80</f>
        <v>5690.5611302933</v>
      </c>
      <c r="DU81" s="33" t="n">
        <f aca="false">DU78-DU57+DU80</f>
        <v>5690.5611302933</v>
      </c>
      <c r="DV81" s="33" t="n">
        <f aca="false">DV78-DV57+DV80</f>
        <v>5690.5611302933</v>
      </c>
      <c r="DW81" s="33" t="n">
        <f aca="false">DW78-DW57+DW80</f>
        <v>5690.5611302933</v>
      </c>
      <c r="DX81" s="33" t="n">
        <f aca="false">DX78-DX57+DX80</f>
        <v>5690.5611302933</v>
      </c>
      <c r="DY81" s="33" t="n">
        <f aca="false">DY78-DY57+DY80</f>
        <v>5690.5611302933</v>
      </c>
      <c r="DZ81" s="33" t="n">
        <f aca="false">DZ78-DZ57+DZ80</f>
        <v>5690.5611302933</v>
      </c>
      <c r="EA81" s="33" t="n">
        <f aca="false">EA78-EA57+EA80</f>
        <v>5690.5611302933</v>
      </c>
      <c r="EB81" s="33" t="n">
        <f aca="false">EB78-EB57+EB80</f>
        <v>5690.5611302933</v>
      </c>
      <c r="EC81" s="33" t="n">
        <f aca="false">EC78-EC57+EC80</f>
        <v>5690.5611302933</v>
      </c>
      <c r="ED81" s="33" t="n">
        <f aca="false">ED78-ED57+ED80</f>
        <v>5690.5611302933</v>
      </c>
      <c r="EE81" s="33" t="n">
        <f aca="false">EE78-EE57+EE80</f>
        <v>5690.5611302933</v>
      </c>
      <c r="EF81" s="33" t="n">
        <f aca="false">EF78-EF57+EF80</f>
        <v>5690.5611302933</v>
      </c>
      <c r="EG81" s="33" t="n">
        <f aca="false">EG78-EG57+EG80</f>
        <v>5690.5611302933</v>
      </c>
      <c r="EH81" s="33" t="n">
        <f aca="false">EH78-EH57+EH80</f>
        <v>5690.5611302933</v>
      </c>
      <c r="EI81" s="33" t="n">
        <f aca="false">EI78-EI57+EI80</f>
        <v>5690.5611302933</v>
      </c>
      <c r="EJ81" s="33" t="n">
        <f aca="false">EJ78-EJ57+EJ80</f>
        <v>5690.5611302933</v>
      </c>
      <c r="EK81" s="33" t="n">
        <f aca="false">EK78-EK57+EK80</f>
        <v>5690.5611302933</v>
      </c>
      <c r="EL81" s="33" t="n">
        <f aca="false">EL78-EL57+EL80</f>
        <v>5690.5611302933</v>
      </c>
      <c r="EM81" s="33" t="n">
        <f aca="false">EM78-EM57+EM80</f>
        <v>5690.5611302933</v>
      </c>
      <c r="EN81" s="33" t="n">
        <f aca="false">EN78-EN57+EN80</f>
        <v>5690.5611302933</v>
      </c>
      <c r="EO81" s="33" t="n">
        <f aca="false">EO78-EO57+EO80</f>
        <v>5690.5611302933</v>
      </c>
      <c r="EP81" s="33" t="n">
        <f aca="false">EP78-EP57+EP80</f>
        <v>5690.5611302933</v>
      </c>
      <c r="EQ81" s="33" t="n">
        <f aca="false">EQ78-EQ57+EQ80</f>
        <v>5690.5611302933</v>
      </c>
      <c r="ER81" s="33" t="n">
        <f aca="false">ER78-ER57+ER80</f>
        <v>5690.5611302933</v>
      </c>
      <c r="ES81" s="33" t="n">
        <f aca="false">ES78-ES57+ES80</f>
        <v>5690.5611302933</v>
      </c>
      <c r="ET81" s="33" t="n">
        <f aca="false">ET78-ET57+ET80</f>
        <v>5690.5611302933</v>
      </c>
    </row>
    <row r="83" customFormat="false" ht="15" hidden="false" customHeight="false" outlineLevel="0" collapsed="false">
      <c r="A83" s="9" t="s">
        <v>13</v>
      </c>
      <c r="B83" s="9"/>
      <c r="C83" s="9" t="s">
        <v>535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</row>
    <row r="84" customFormat="false" ht="15" hidden="false" customHeight="false" outlineLevel="0" collapsed="false">
      <c r="C84" s="0" t="s">
        <v>536</v>
      </c>
      <c r="D84" s="11" t="s">
        <v>35</v>
      </c>
      <c r="E84" s="47" t="n">
        <f aca="false">1-$F24/$E24</f>
        <v>0.337748344370861</v>
      </c>
      <c r="F84" s="47" t="n">
        <f aca="false">(1-In_BESS_Built)*($E25&gt;0)</f>
        <v>0</v>
      </c>
    </row>
    <row r="85" customFormat="false" ht="15" hidden="false" customHeight="false" outlineLevel="0" collapsed="false">
      <c r="C85" s="0" t="s">
        <v>537</v>
      </c>
      <c r="D85" s="11" t="s">
        <v>247</v>
      </c>
      <c r="E85" s="33" t="n">
        <f aca="false">$E49*$E24*In_Bench_Wind/$E45</f>
        <v>4199.04109589041</v>
      </c>
      <c r="F85" s="33" t="n">
        <f aca="false">$E49-$E85</f>
        <v>2794.52054794521</v>
      </c>
    </row>
    <row r="86" customFormat="false" ht="15" hidden="false" customHeight="false" outlineLevel="0" collapsed="false">
      <c r="C86" s="0" t="s">
        <v>538</v>
      </c>
      <c r="D86" s="11" t="s">
        <v>247</v>
      </c>
      <c r="E86" s="33" t="n">
        <f aca="false">($E84&gt;In_Tolerance_Cap)*$E84*$E85+($F84&gt;In_Tolerance_Cap)*$F84*$F85</f>
        <v>1418.21917808219</v>
      </c>
      <c r="F86" s="33" t="n">
        <f aca="false">($E84+$F84&gt;0)*$E49</f>
        <v>6993.56164383562</v>
      </c>
    </row>
    <row r="87" customFormat="false" ht="15" hidden="false" customHeight="false" outlineLevel="0" collapsed="false">
      <c r="C87" s="0" t="s">
        <v>539</v>
      </c>
      <c r="D87" s="11" t="s">
        <v>247</v>
      </c>
      <c r="E87" s="44" t="n">
        <f aca="false">EDATE(In_COD,In_Sanction_Lag)</f>
        <v>48303</v>
      </c>
      <c r="I87" s="33" t="n">
        <f aca="false">SUM(J87:ET87)</f>
        <v>-1418.21917808219</v>
      </c>
      <c r="J87" s="33" t="n">
        <f aca="false">-CHOOSE(In_Sanction_Regime,$E86,$F86)*N(AND(J$3&lt;=$E87,J$4&gt;=$E87))</f>
        <v>-0</v>
      </c>
      <c r="K87" s="33" t="n">
        <f aca="false">-CHOOSE(In_Sanction_Regime,$E86,$F86)*N(AND(K$3&lt;=$E87,K$4&gt;=$E87))</f>
        <v>-0</v>
      </c>
      <c r="L87" s="33" t="n">
        <f aca="false">-CHOOSE(In_Sanction_Regime,$E86,$F86)*N(AND(L$3&lt;=$E87,L$4&gt;=$E87))</f>
        <v>-0</v>
      </c>
      <c r="M87" s="33" t="n">
        <f aca="false">-CHOOSE(In_Sanction_Regime,$E86,$F86)*N(AND(M$3&lt;=$E87,M$4&gt;=$E87))</f>
        <v>-0</v>
      </c>
      <c r="N87" s="33" t="n">
        <f aca="false">-CHOOSE(In_Sanction_Regime,$E86,$F86)*N(AND(N$3&lt;=$E87,N$4&gt;=$E87))</f>
        <v>-0</v>
      </c>
      <c r="O87" s="33" t="n">
        <f aca="false">-CHOOSE(In_Sanction_Regime,$E86,$F86)*N(AND(O$3&lt;=$E87,O$4&gt;=$E87))</f>
        <v>-0</v>
      </c>
      <c r="P87" s="33" t="n">
        <f aca="false">-CHOOSE(In_Sanction_Regime,$E86,$F86)*N(AND(P$3&lt;=$E87,P$4&gt;=$E87))</f>
        <v>-0</v>
      </c>
      <c r="Q87" s="33" t="n">
        <f aca="false">-CHOOSE(In_Sanction_Regime,$E86,$F86)*N(AND(Q$3&lt;=$E87,Q$4&gt;=$E87))</f>
        <v>-0</v>
      </c>
      <c r="R87" s="33" t="n">
        <f aca="false">-CHOOSE(In_Sanction_Regime,$E86,$F86)*N(AND(R$3&lt;=$E87,R$4&gt;=$E87))</f>
        <v>-0</v>
      </c>
      <c r="S87" s="33" t="n">
        <f aca="false">-CHOOSE(In_Sanction_Regime,$E86,$F86)*N(AND(S$3&lt;=$E87,S$4&gt;=$E87))</f>
        <v>-0</v>
      </c>
      <c r="T87" s="33" t="n">
        <f aca="false">-CHOOSE(In_Sanction_Regime,$E86,$F86)*N(AND(T$3&lt;=$E87,T$4&gt;=$E87))</f>
        <v>-0</v>
      </c>
      <c r="U87" s="33" t="n">
        <f aca="false">-CHOOSE(In_Sanction_Regime,$E86,$F86)*N(AND(U$3&lt;=$E87,U$4&gt;=$E87))</f>
        <v>-0</v>
      </c>
      <c r="V87" s="33" t="n">
        <f aca="false">-CHOOSE(In_Sanction_Regime,$E86,$F86)*N(AND(V$3&lt;=$E87,V$4&gt;=$E87))</f>
        <v>-0</v>
      </c>
      <c r="W87" s="33" t="n">
        <f aca="false">-CHOOSE(In_Sanction_Regime,$E86,$F86)*N(AND(W$3&lt;=$E87,W$4&gt;=$E87))</f>
        <v>-0</v>
      </c>
      <c r="X87" s="33" t="n">
        <f aca="false">-CHOOSE(In_Sanction_Regime,$E86,$F86)*N(AND(X$3&lt;=$E87,X$4&gt;=$E87))</f>
        <v>-0</v>
      </c>
      <c r="Y87" s="33" t="n">
        <f aca="false">-CHOOSE(In_Sanction_Regime,$E86,$F86)*N(AND(Y$3&lt;=$E87,Y$4&gt;=$E87))</f>
        <v>-0</v>
      </c>
      <c r="Z87" s="33" t="n">
        <f aca="false">-CHOOSE(In_Sanction_Regime,$E86,$F86)*N(AND(Z$3&lt;=$E87,Z$4&gt;=$E87))</f>
        <v>-0</v>
      </c>
      <c r="AA87" s="33" t="n">
        <f aca="false">-CHOOSE(In_Sanction_Regime,$E86,$F86)*N(AND(AA$3&lt;=$E87,AA$4&gt;=$E87))</f>
        <v>-0</v>
      </c>
      <c r="AB87" s="33" t="n">
        <f aca="false">-CHOOSE(In_Sanction_Regime,$E86,$F86)*N(AND(AB$3&lt;=$E87,AB$4&gt;=$E87))</f>
        <v>-0</v>
      </c>
      <c r="AC87" s="33" t="n">
        <f aca="false">-CHOOSE(In_Sanction_Regime,$E86,$F86)*N(AND(AC$3&lt;=$E87,AC$4&gt;=$E87))</f>
        <v>-0</v>
      </c>
      <c r="AD87" s="33" t="n">
        <f aca="false">-CHOOSE(In_Sanction_Regime,$E86,$F86)*N(AND(AD$3&lt;=$E87,AD$4&gt;=$E87))</f>
        <v>-0</v>
      </c>
      <c r="AE87" s="33" t="n">
        <f aca="false">-CHOOSE(In_Sanction_Regime,$E86,$F86)*N(AND(AE$3&lt;=$E87,AE$4&gt;=$E87))</f>
        <v>-0</v>
      </c>
      <c r="AF87" s="33" t="n">
        <f aca="false">-CHOOSE(In_Sanction_Regime,$E86,$F86)*N(AND(AF$3&lt;=$E87,AF$4&gt;=$E87))</f>
        <v>-1418.21917808219</v>
      </c>
      <c r="AG87" s="33" t="n">
        <f aca="false">-CHOOSE(In_Sanction_Regime,$E86,$F86)*N(AND(AG$3&lt;=$E87,AG$4&gt;=$E87))</f>
        <v>-0</v>
      </c>
      <c r="AH87" s="33" t="n">
        <f aca="false">-CHOOSE(In_Sanction_Regime,$E86,$F86)*N(AND(AH$3&lt;=$E87,AH$4&gt;=$E87))</f>
        <v>-0</v>
      </c>
      <c r="AI87" s="33" t="n">
        <f aca="false">-CHOOSE(In_Sanction_Regime,$E86,$F86)*N(AND(AI$3&lt;=$E87,AI$4&gt;=$E87))</f>
        <v>-0</v>
      </c>
      <c r="AJ87" s="33" t="n">
        <f aca="false">-CHOOSE(In_Sanction_Regime,$E86,$F86)*N(AND(AJ$3&lt;=$E87,AJ$4&gt;=$E87))</f>
        <v>-0</v>
      </c>
      <c r="AK87" s="33" t="n">
        <f aca="false">-CHOOSE(In_Sanction_Regime,$E86,$F86)*N(AND(AK$3&lt;=$E87,AK$4&gt;=$E87))</f>
        <v>-0</v>
      </c>
      <c r="AL87" s="33" t="n">
        <f aca="false">-CHOOSE(In_Sanction_Regime,$E86,$F86)*N(AND(AL$3&lt;=$E87,AL$4&gt;=$E87))</f>
        <v>-0</v>
      </c>
      <c r="AM87" s="33" t="n">
        <f aca="false">-CHOOSE(In_Sanction_Regime,$E86,$F86)*N(AND(AM$3&lt;=$E87,AM$4&gt;=$E87))</f>
        <v>-0</v>
      </c>
      <c r="AN87" s="33" t="n">
        <f aca="false">-CHOOSE(In_Sanction_Regime,$E86,$F86)*N(AND(AN$3&lt;=$E87,AN$4&gt;=$E87))</f>
        <v>-0</v>
      </c>
      <c r="AO87" s="33" t="n">
        <f aca="false">-CHOOSE(In_Sanction_Regime,$E86,$F86)*N(AND(AO$3&lt;=$E87,AO$4&gt;=$E87))</f>
        <v>-0</v>
      </c>
      <c r="AP87" s="33" t="n">
        <f aca="false">-CHOOSE(In_Sanction_Regime,$E86,$F86)*N(AND(AP$3&lt;=$E87,AP$4&gt;=$E87))</f>
        <v>-0</v>
      </c>
      <c r="AQ87" s="33" t="n">
        <f aca="false">-CHOOSE(In_Sanction_Regime,$E86,$F86)*N(AND(AQ$3&lt;=$E87,AQ$4&gt;=$E87))</f>
        <v>-0</v>
      </c>
      <c r="AR87" s="33" t="n">
        <f aca="false">-CHOOSE(In_Sanction_Regime,$E86,$F86)*N(AND(AR$3&lt;=$E87,AR$4&gt;=$E87))</f>
        <v>-0</v>
      </c>
      <c r="AS87" s="33" t="n">
        <f aca="false">-CHOOSE(In_Sanction_Regime,$E86,$F86)*N(AND(AS$3&lt;=$E87,AS$4&gt;=$E87))</f>
        <v>-0</v>
      </c>
      <c r="AT87" s="33" t="n">
        <f aca="false">-CHOOSE(In_Sanction_Regime,$E86,$F86)*N(AND(AT$3&lt;=$E87,AT$4&gt;=$E87))</f>
        <v>-0</v>
      </c>
      <c r="AU87" s="33" t="n">
        <f aca="false">-CHOOSE(In_Sanction_Regime,$E86,$F86)*N(AND(AU$3&lt;=$E87,AU$4&gt;=$E87))</f>
        <v>-0</v>
      </c>
      <c r="AV87" s="33" t="n">
        <f aca="false">-CHOOSE(In_Sanction_Regime,$E86,$F86)*N(AND(AV$3&lt;=$E87,AV$4&gt;=$E87))</f>
        <v>-0</v>
      </c>
      <c r="AW87" s="33" t="n">
        <f aca="false">-CHOOSE(In_Sanction_Regime,$E86,$F86)*N(AND(AW$3&lt;=$E87,AW$4&gt;=$E87))</f>
        <v>-0</v>
      </c>
      <c r="AX87" s="33" t="n">
        <f aca="false">-CHOOSE(In_Sanction_Regime,$E86,$F86)*N(AND(AX$3&lt;=$E87,AX$4&gt;=$E87))</f>
        <v>-0</v>
      </c>
      <c r="AY87" s="33" t="n">
        <f aca="false">-CHOOSE(In_Sanction_Regime,$E86,$F86)*N(AND(AY$3&lt;=$E87,AY$4&gt;=$E87))</f>
        <v>-0</v>
      </c>
      <c r="AZ87" s="33" t="n">
        <f aca="false">-CHOOSE(In_Sanction_Regime,$E86,$F86)*N(AND(AZ$3&lt;=$E87,AZ$4&gt;=$E87))</f>
        <v>-0</v>
      </c>
      <c r="BA87" s="33" t="n">
        <f aca="false">-CHOOSE(In_Sanction_Regime,$E86,$F86)*N(AND(BA$3&lt;=$E87,BA$4&gt;=$E87))</f>
        <v>-0</v>
      </c>
      <c r="BB87" s="33" t="n">
        <f aca="false">-CHOOSE(In_Sanction_Regime,$E86,$F86)*N(AND(BB$3&lt;=$E87,BB$4&gt;=$E87))</f>
        <v>-0</v>
      </c>
      <c r="BC87" s="33" t="n">
        <f aca="false">-CHOOSE(In_Sanction_Regime,$E86,$F86)*N(AND(BC$3&lt;=$E87,BC$4&gt;=$E87))</f>
        <v>-0</v>
      </c>
      <c r="BD87" s="33" t="n">
        <f aca="false">-CHOOSE(In_Sanction_Regime,$E86,$F86)*N(AND(BD$3&lt;=$E87,BD$4&gt;=$E87))</f>
        <v>-0</v>
      </c>
      <c r="BE87" s="33" t="n">
        <f aca="false">-CHOOSE(In_Sanction_Regime,$E86,$F86)*N(AND(BE$3&lt;=$E87,BE$4&gt;=$E87))</f>
        <v>-0</v>
      </c>
      <c r="BF87" s="33" t="n">
        <f aca="false">-CHOOSE(In_Sanction_Regime,$E86,$F86)*N(AND(BF$3&lt;=$E87,BF$4&gt;=$E87))</f>
        <v>-0</v>
      </c>
      <c r="BG87" s="33" t="n">
        <f aca="false">-CHOOSE(In_Sanction_Regime,$E86,$F86)*N(AND(BG$3&lt;=$E87,BG$4&gt;=$E87))</f>
        <v>-0</v>
      </c>
      <c r="BH87" s="33" t="n">
        <f aca="false">-CHOOSE(In_Sanction_Regime,$E86,$F86)*N(AND(BH$3&lt;=$E87,BH$4&gt;=$E87))</f>
        <v>-0</v>
      </c>
      <c r="BI87" s="33" t="n">
        <f aca="false">-CHOOSE(In_Sanction_Regime,$E86,$F86)*N(AND(BI$3&lt;=$E87,BI$4&gt;=$E87))</f>
        <v>-0</v>
      </c>
      <c r="BJ87" s="33" t="n">
        <f aca="false">-CHOOSE(In_Sanction_Regime,$E86,$F86)*N(AND(BJ$3&lt;=$E87,BJ$4&gt;=$E87))</f>
        <v>-0</v>
      </c>
      <c r="BK87" s="33" t="n">
        <f aca="false">-CHOOSE(In_Sanction_Regime,$E86,$F86)*N(AND(BK$3&lt;=$E87,BK$4&gt;=$E87))</f>
        <v>-0</v>
      </c>
      <c r="BL87" s="33" t="n">
        <f aca="false">-CHOOSE(In_Sanction_Regime,$E86,$F86)*N(AND(BL$3&lt;=$E87,BL$4&gt;=$E87))</f>
        <v>-0</v>
      </c>
      <c r="BM87" s="33" t="n">
        <f aca="false">-CHOOSE(In_Sanction_Regime,$E86,$F86)*N(AND(BM$3&lt;=$E87,BM$4&gt;=$E87))</f>
        <v>-0</v>
      </c>
      <c r="BN87" s="33" t="n">
        <f aca="false">-CHOOSE(In_Sanction_Regime,$E86,$F86)*N(AND(BN$3&lt;=$E87,BN$4&gt;=$E87))</f>
        <v>-0</v>
      </c>
      <c r="BO87" s="33" t="n">
        <f aca="false">-CHOOSE(In_Sanction_Regime,$E86,$F86)*N(AND(BO$3&lt;=$E87,BO$4&gt;=$E87))</f>
        <v>-0</v>
      </c>
      <c r="BP87" s="33" t="n">
        <f aca="false">-CHOOSE(In_Sanction_Regime,$E86,$F86)*N(AND(BP$3&lt;=$E87,BP$4&gt;=$E87))</f>
        <v>-0</v>
      </c>
      <c r="BQ87" s="33" t="n">
        <f aca="false">-CHOOSE(In_Sanction_Regime,$E86,$F86)*N(AND(BQ$3&lt;=$E87,BQ$4&gt;=$E87))</f>
        <v>-0</v>
      </c>
      <c r="BR87" s="33" t="n">
        <f aca="false">-CHOOSE(In_Sanction_Regime,$E86,$F86)*N(AND(BR$3&lt;=$E87,BR$4&gt;=$E87))</f>
        <v>-0</v>
      </c>
      <c r="BS87" s="33" t="n">
        <f aca="false">-CHOOSE(In_Sanction_Regime,$E86,$F86)*N(AND(BS$3&lt;=$E87,BS$4&gt;=$E87))</f>
        <v>-0</v>
      </c>
      <c r="BT87" s="33" t="n">
        <f aca="false">-CHOOSE(In_Sanction_Regime,$E86,$F86)*N(AND(BT$3&lt;=$E87,BT$4&gt;=$E87))</f>
        <v>-0</v>
      </c>
      <c r="BU87" s="33" t="n">
        <f aca="false">-CHOOSE(In_Sanction_Regime,$E86,$F86)*N(AND(BU$3&lt;=$E87,BU$4&gt;=$E87))</f>
        <v>-0</v>
      </c>
      <c r="BV87" s="33" t="n">
        <f aca="false">-CHOOSE(In_Sanction_Regime,$E86,$F86)*N(AND(BV$3&lt;=$E87,BV$4&gt;=$E87))</f>
        <v>-0</v>
      </c>
      <c r="BW87" s="33" t="n">
        <f aca="false">-CHOOSE(In_Sanction_Regime,$E86,$F86)*N(AND(BW$3&lt;=$E87,BW$4&gt;=$E87))</f>
        <v>-0</v>
      </c>
      <c r="BX87" s="33" t="n">
        <f aca="false">-CHOOSE(In_Sanction_Regime,$E86,$F86)*N(AND(BX$3&lt;=$E87,BX$4&gt;=$E87))</f>
        <v>-0</v>
      </c>
      <c r="BY87" s="33" t="n">
        <f aca="false">-CHOOSE(In_Sanction_Regime,$E86,$F86)*N(AND(BY$3&lt;=$E87,BY$4&gt;=$E87))</f>
        <v>-0</v>
      </c>
      <c r="BZ87" s="33" t="n">
        <f aca="false">-CHOOSE(In_Sanction_Regime,$E86,$F86)*N(AND(BZ$3&lt;=$E87,BZ$4&gt;=$E87))</f>
        <v>-0</v>
      </c>
      <c r="CA87" s="33" t="n">
        <f aca="false">-CHOOSE(In_Sanction_Regime,$E86,$F86)*N(AND(CA$3&lt;=$E87,CA$4&gt;=$E87))</f>
        <v>-0</v>
      </c>
      <c r="CB87" s="33" t="n">
        <f aca="false">-CHOOSE(In_Sanction_Regime,$E86,$F86)*N(AND(CB$3&lt;=$E87,CB$4&gt;=$E87))</f>
        <v>-0</v>
      </c>
      <c r="CC87" s="33" t="n">
        <f aca="false">-CHOOSE(In_Sanction_Regime,$E86,$F86)*N(AND(CC$3&lt;=$E87,CC$4&gt;=$E87))</f>
        <v>-0</v>
      </c>
      <c r="CD87" s="33" t="n">
        <f aca="false">-CHOOSE(In_Sanction_Regime,$E86,$F86)*N(AND(CD$3&lt;=$E87,CD$4&gt;=$E87))</f>
        <v>-0</v>
      </c>
      <c r="CE87" s="33" t="n">
        <f aca="false">-CHOOSE(In_Sanction_Regime,$E86,$F86)*N(AND(CE$3&lt;=$E87,CE$4&gt;=$E87))</f>
        <v>-0</v>
      </c>
      <c r="CF87" s="33" t="n">
        <f aca="false">-CHOOSE(In_Sanction_Regime,$E86,$F86)*N(AND(CF$3&lt;=$E87,CF$4&gt;=$E87))</f>
        <v>-0</v>
      </c>
      <c r="CG87" s="33" t="n">
        <f aca="false">-CHOOSE(In_Sanction_Regime,$E86,$F86)*N(AND(CG$3&lt;=$E87,CG$4&gt;=$E87))</f>
        <v>-0</v>
      </c>
      <c r="CH87" s="33" t="n">
        <f aca="false">-CHOOSE(In_Sanction_Regime,$E86,$F86)*N(AND(CH$3&lt;=$E87,CH$4&gt;=$E87))</f>
        <v>-0</v>
      </c>
      <c r="CI87" s="33" t="n">
        <f aca="false">-CHOOSE(In_Sanction_Regime,$E86,$F86)*N(AND(CI$3&lt;=$E87,CI$4&gt;=$E87))</f>
        <v>-0</v>
      </c>
      <c r="CJ87" s="33" t="n">
        <f aca="false">-CHOOSE(In_Sanction_Regime,$E86,$F86)*N(AND(CJ$3&lt;=$E87,CJ$4&gt;=$E87))</f>
        <v>-0</v>
      </c>
      <c r="CK87" s="33" t="n">
        <f aca="false">-CHOOSE(In_Sanction_Regime,$E86,$F86)*N(AND(CK$3&lt;=$E87,CK$4&gt;=$E87))</f>
        <v>-0</v>
      </c>
      <c r="CL87" s="33" t="n">
        <f aca="false">-CHOOSE(In_Sanction_Regime,$E86,$F86)*N(AND(CL$3&lt;=$E87,CL$4&gt;=$E87))</f>
        <v>-0</v>
      </c>
      <c r="CM87" s="33" t="n">
        <f aca="false">-CHOOSE(In_Sanction_Regime,$E86,$F86)*N(AND(CM$3&lt;=$E87,CM$4&gt;=$E87))</f>
        <v>-0</v>
      </c>
      <c r="CN87" s="33" t="n">
        <f aca="false">-CHOOSE(In_Sanction_Regime,$E86,$F86)*N(AND(CN$3&lt;=$E87,CN$4&gt;=$E87))</f>
        <v>-0</v>
      </c>
      <c r="CO87" s="33" t="n">
        <f aca="false">-CHOOSE(In_Sanction_Regime,$E86,$F86)*N(AND(CO$3&lt;=$E87,CO$4&gt;=$E87))</f>
        <v>-0</v>
      </c>
      <c r="CP87" s="33" t="n">
        <f aca="false">-CHOOSE(In_Sanction_Regime,$E86,$F86)*N(AND(CP$3&lt;=$E87,CP$4&gt;=$E87))</f>
        <v>-0</v>
      </c>
      <c r="CQ87" s="33" t="n">
        <f aca="false">-CHOOSE(In_Sanction_Regime,$E86,$F86)*N(AND(CQ$3&lt;=$E87,CQ$4&gt;=$E87))</f>
        <v>-0</v>
      </c>
      <c r="CR87" s="33" t="n">
        <f aca="false">-CHOOSE(In_Sanction_Regime,$E86,$F86)*N(AND(CR$3&lt;=$E87,CR$4&gt;=$E87))</f>
        <v>-0</v>
      </c>
      <c r="CS87" s="33" t="n">
        <f aca="false">-CHOOSE(In_Sanction_Regime,$E86,$F86)*N(AND(CS$3&lt;=$E87,CS$4&gt;=$E87))</f>
        <v>-0</v>
      </c>
      <c r="CT87" s="33" t="n">
        <f aca="false">-CHOOSE(In_Sanction_Regime,$E86,$F86)*N(AND(CT$3&lt;=$E87,CT$4&gt;=$E87))</f>
        <v>-0</v>
      </c>
      <c r="CU87" s="33" t="n">
        <f aca="false">-CHOOSE(In_Sanction_Regime,$E86,$F86)*N(AND(CU$3&lt;=$E87,CU$4&gt;=$E87))</f>
        <v>-0</v>
      </c>
      <c r="CV87" s="33" t="n">
        <f aca="false">-CHOOSE(In_Sanction_Regime,$E86,$F86)*N(AND(CV$3&lt;=$E87,CV$4&gt;=$E87))</f>
        <v>-0</v>
      </c>
      <c r="CW87" s="33" t="n">
        <f aca="false">-CHOOSE(In_Sanction_Regime,$E86,$F86)*N(AND(CW$3&lt;=$E87,CW$4&gt;=$E87))</f>
        <v>-0</v>
      </c>
      <c r="CX87" s="33" t="n">
        <f aca="false">-CHOOSE(In_Sanction_Regime,$E86,$F86)*N(AND(CX$3&lt;=$E87,CX$4&gt;=$E87))</f>
        <v>-0</v>
      </c>
      <c r="CY87" s="33" t="n">
        <f aca="false">-CHOOSE(In_Sanction_Regime,$E86,$F86)*N(AND(CY$3&lt;=$E87,CY$4&gt;=$E87))</f>
        <v>-0</v>
      </c>
      <c r="CZ87" s="33" t="n">
        <f aca="false">-CHOOSE(In_Sanction_Regime,$E86,$F86)*N(AND(CZ$3&lt;=$E87,CZ$4&gt;=$E87))</f>
        <v>-0</v>
      </c>
      <c r="DA87" s="33" t="n">
        <f aca="false">-CHOOSE(In_Sanction_Regime,$E86,$F86)*N(AND(DA$3&lt;=$E87,DA$4&gt;=$E87))</f>
        <v>-0</v>
      </c>
      <c r="DB87" s="33" t="n">
        <f aca="false">-CHOOSE(In_Sanction_Regime,$E86,$F86)*N(AND(DB$3&lt;=$E87,DB$4&gt;=$E87))</f>
        <v>-0</v>
      </c>
      <c r="DC87" s="33" t="n">
        <f aca="false">-CHOOSE(In_Sanction_Regime,$E86,$F86)*N(AND(DC$3&lt;=$E87,DC$4&gt;=$E87))</f>
        <v>-0</v>
      </c>
      <c r="DD87" s="33" t="n">
        <f aca="false">-CHOOSE(In_Sanction_Regime,$E86,$F86)*N(AND(DD$3&lt;=$E87,DD$4&gt;=$E87))</f>
        <v>-0</v>
      </c>
      <c r="DE87" s="33" t="n">
        <f aca="false">-CHOOSE(In_Sanction_Regime,$E86,$F86)*N(AND(DE$3&lt;=$E87,DE$4&gt;=$E87))</f>
        <v>-0</v>
      </c>
      <c r="DF87" s="33" t="n">
        <f aca="false">-CHOOSE(In_Sanction_Regime,$E86,$F86)*N(AND(DF$3&lt;=$E87,DF$4&gt;=$E87))</f>
        <v>-0</v>
      </c>
      <c r="DG87" s="33" t="n">
        <f aca="false">-CHOOSE(In_Sanction_Regime,$E86,$F86)*N(AND(DG$3&lt;=$E87,DG$4&gt;=$E87))</f>
        <v>-0</v>
      </c>
      <c r="DH87" s="33" t="n">
        <f aca="false">-CHOOSE(In_Sanction_Regime,$E86,$F86)*N(AND(DH$3&lt;=$E87,DH$4&gt;=$E87))</f>
        <v>-0</v>
      </c>
      <c r="DI87" s="33" t="n">
        <f aca="false">-CHOOSE(In_Sanction_Regime,$E86,$F86)*N(AND(DI$3&lt;=$E87,DI$4&gt;=$E87))</f>
        <v>-0</v>
      </c>
      <c r="DJ87" s="33" t="n">
        <f aca="false">-CHOOSE(In_Sanction_Regime,$E86,$F86)*N(AND(DJ$3&lt;=$E87,DJ$4&gt;=$E87))</f>
        <v>-0</v>
      </c>
      <c r="DK87" s="33" t="n">
        <f aca="false">-CHOOSE(In_Sanction_Regime,$E86,$F86)*N(AND(DK$3&lt;=$E87,DK$4&gt;=$E87))</f>
        <v>-0</v>
      </c>
      <c r="DL87" s="33" t="n">
        <f aca="false">-CHOOSE(In_Sanction_Regime,$E86,$F86)*N(AND(DL$3&lt;=$E87,DL$4&gt;=$E87))</f>
        <v>-0</v>
      </c>
      <c r="DM87" s="33" t="n">
        <f aca="false">-CHOOSE(In_Sanction_Regime,$E86,$F86)*N(AND(DM$3&lt;=$E87,DM$4&gt;=$E87))</f>
        <v>-0</v>
      </c>
      <c r="DN87" s="33" t="n">
        <f aca="false">-CHOOSE(In_Sanction_Regime,$E86,$F86)*N(AND(DN$3&lt;=$E87,DN$4&gt;=$E87))</f>
        <v>-0</v>
      </c>
      <c r="DO87" s="33" t="n">
        <f aca="false">-CHOOSE(In_Sanction_Regime,$E86,$F86)*N(AND(DO$3&lt;=$E87,DO$4&gt;=$E87))</f>
        <v>-0</v>
      </c>
      <c r="DP87" s="33" t="n">
        <f aca="false">-CHOOSE(In_Sanction_Regime,$E86,$F86)*N(AND(DP$3&lt;=$E87,DP$4&gt;=$E87))</f>
        <v>-0</v>
      </c>
      <c r="DQ87" s="33" t="n">
        <f aca="false">-CHOOSE(In_Sanction_Regime,$E86,$F86)*N(AND(DQ$3&lt;=$E87,DQ$4&gt;=$E87))</f>
        <v>-0</v>
      </c>
      <c r="DR87" s="33" t="n">
        <f aca="false">-CHOOSE(In_Sanction_Regime,$E86,$F86)*N(AND(DR$3&lt;=$E87,DR$4&gt;=$E87))</f>
        <v>-0</v>
      </c>
      <c r="DS87" s="33" t="n">
        <f aca="false">-CHOOSE(In_Sanction_Regime,$E86,$F86)*N(AND(DS$3&lt;=$E87,DS$4&gt;=$E87))</f>
        <v>-0</v>
      </c>
      <c r="DT87" s="33" t="n">
        <f aca="false">-CHOOSE(In_Sanction_Regime,$E86,$F86)*N(AND(DT$3&lt;=$E87,DT$4&gt;=$E87))</f>
        <v>-0</v>
      </c>
      <c r="DU87" s="33" t="n">
        <f aca="false">-CHOOSE(In_Sanction_Regime,$E86,$F86)*N(AND(DU$3&lt;=$E87,DU$4&gt;=$E87))</f>
        <v>-0</v>
      </c>
      <c r="DV87" s="33" t="n">
        <f aca="false">-CHOOSE(In_Sanction_Regime,$E86,$F86)*N(AND(DV$3&lt;=$E87,DV$4&gt;=$E87))</f>
        <v>-0</v>
      </c>
      <c r="DW87" s="33" t="n">
        <f aca="false">-CHOOSE(In_Sanction_Regime,$E86,$F86)*N(AND(DW$3&lt;=$E87,DW$4&gt;=$E87))</f>
        <v>-0</v>
      </c>
      <c r="DX87" s="33" t="n">
        <f aca="false">-CHOOSE(In_Sanction_Regime,$E86,$F86)*N(AND(DX$3&lt;=$E87,DX$4&gt;=$E87))</f>
        <v>-0</v>
      </c>
      <c r="DY87" s="33" t="n">
        <f aca="false">-CHOOSE(In_Sanction_Regime,$E86,$F86)*N(AND(DY$3&lt;=$E87,DY$4&gt;=$E87))</f>
        <v>-0</v>
      </c>
      <c r="DZ87" s="33" t="n">
        <f aca="false">-CHOOSE(In_Sanction_Regime,$E86,$F86)*N(AND(DZ$3&lt;=$E87,DZ$4&gt;=$E87))</f>
        <v>-0</v>
      </c>
      <c r="EA87" s="33" t="n">
        <f aca="false">-CHOOSE(In_Sanction_Regime,$E86,$F86)*N(AND(EA$3&lt;=$E87,EA$4&gt;=$E87))</f>
        <v>-0</v>
      </c>
      <c r="EB87" s="33" t="n">
        <f aca="false">-CHOOSE(In_Sanction_Regime,$E86,$F86)*N(AND(EB$3&lt;=$E87,EB$4&gt;=$E87))</f>
        <v>-0</v>
      </c>
      <c r="EC87" s="33" t="n">
        <f aca="false">-CHOOSE(In_Sanction_Regime,$E86,$F86)*N(AND(EC$3&lt;=$E87,EC$4&gt;=$E87))</f>
        <v>-0</v>
      </c>
      <c r="ED87" s="33" t="n">
        <f aca="false">-CHOOSE(In_Sanction_Regime,$E86,$F86)*N(AND(ED$3&lt;=$E87,ED$4&gt;=$E87))</f>
        <v>-0</v>
      </c>
      <c r="EE87" s="33" t="n">
        <f aca="false">-CHOOSE(In_Sanction_Regime,$E86,$F86)*N(AND(EE$3&lt;=$E87,EE$4&gt;=$E87))</f>
        <v>-0</v>
      </c>
      <c r="EF87" s="33" t="n">
        <f aca="false">-CHOOSE(In_Sanction_Regime,$E86,$F86)*N(AND(EF$3&lt;=$E87,EF$4&gt;=$E87))</f>
        <v>-0</v>
      </c>
      <c r="EG87" s="33" t="n">
        <f aca="false">-CHOOSE(In_Sanction_Regime,$E86,$F86)*N(AND(EG$3&lt;=$E87,EG$4&gt;=$E87))</f>
        <v>-0</v>
      </c>
      <c r="EH87" s="33" t="n">
        <f aca="false">-CHOOSE(In_Sanction_Regime,$E86,$F86)*N(AND(EH$3&lt;=$E87,EH$4&gt;=$E87))</f>
        <v>-0</v>
      </c>
      <c r="EI87" s="33" t="n">
        <f aca="false">-CHOOSE(In_Sanction_Regime,$E86,$F86)*N(AND(EI$3&lt;=$E87,EI$4&gt;=$E87))</f>
        <v>-0</v>
      </c>
      <c r="EJ87" s="33" t="n">
        <f aca="false">-CHOOSE(In_Sanction_Regime,$E86,$F86)*N(AND(EJ$3&lt;=$E87,EJ$4&gt;=$E87))</f>
        <v>-0</v>
      </c>
      <c r="EK87" s="33" t="n">
        <f aca="false">-CHOOSE(In_Sanction_Regime,$E86,$F86)*N(AND(EK$3&lt;=$E87,EK$4&gt;=$E87))</f>
        <v>-0</v>
      </c>
      <c r="EL87" s="33" t="n">
        <f aca="false">-CHOOSE(In_Sanction_Regime,$E86,$F86)*N(AND(EL$3&lt;=$E87,EL$4&gt;=$E87))</f>
        <v>-0</v>
      </c>
      <c r="EM87" s="33" t="n">
        <f aca="false">-CHOOSE(In_Sanction_Regime,$E86,$F86)*N(AND(EM$3&lt;=$E87,EM$4&gt;=$E87))</f>
        <v>-0</v>
      </c>
      <c r="EN87" s="33" t="n">
        <f aca="false">-CHOOSE(In_Sanction_Regime,$E86,$F86)*N(AND(EN$3&lt;=$E87,EN$4&gt;=$E87))</f>
        <v>-0</v>
      </c>
      <c r="EO87" s="33" t="n">
        <f aca="false">-CHOOSE(In_Sanction_Regime,$E86,$F86)*N(AND(EO$3&lt;=$E87,EO$4&gt;=$E87))</f>
        <v>-0</v>
      </c>
      <c r="EP87" s="33" t="n">
        <f aca="false">-CHOOSE(In_Sanction_Regime,$E86,$F86)*N(AND(EP$3&lt;=$E87,EP$4&gt;=$E87))</f>
        <v>-0</v>
      </c>
      <c r="EQ87" s="33" t="n">
        <f aca="false">-CHOOSE(In_Sanction_Regime,$E86,$F86)*N(AND(EQ$3&lt;=$E87,EQ$4&gt;=$E87))</f>
        <v>-0</v>
      </c>
      <c r="ER87" s="33" t="n">
        <f aca="false">-CHOOSE(In_Sanction_Regime,$E86,$F86)*N(AND(ER$3&lt;=$E87,ER$4&gt;=$E87))</f>
        <v>-0</v>
      </c>
      <c r="ES87" s="33" t="n">
        <f aca="false">-CHOOSE(In_Sanction_Regime,$E86,$F86)*N(AND(ES$3&lt;=$E87,ES$4&gt;=$E87))</f>
        <v>-0</v>
      </c>
      <c r="ET87" s="33" t="n">
        <f aca="false">-CHOOSE(In_Sanction_Regime,$E86,$F86)*N(AND(ET$3&lt;=$E87,ET$4&gt;=$E87))</f>
        <v>-0</v>
      </c>
    </row>
    <row r="88" customFormat="false" ht="15" hidden="false" customHeight="false" outlineLevel="0" collapsed="false">
      <c r="C88" s="0" t="s">
        <v>540</v>
      </c>
      <c r="D88" s="11" t="s">
        <v>146</v>
      </c>
      <c r="E88" s="32" t="n">
        <f aca="false">($E84&gt;In_Tolerance_Cap)*$E84*In_MVA</f>
        <v>33.7748344370861</v>
      </c>
    </row>
    <row r="89" customFormat="false" ht="15" hidden="false" customHeight="false" outlineLevel="0" collapsed="false">
      <c r="C89" s="0" t="s">
        <v>147</v>
      </c>
      <c r="D89" s="11" t="s">
        <v>41</v>
      </c>
      <c r="E89" s="46" t="n">
        <f aca="false">N($I87&lt;0)</f>
        <v>1</v>
      </c>
    </row>
    <row r="91" customFormat="false" ht="15" hidden="false" customHeight="false" outlineLevel="0" collapsed="false">
      <c r="A91" s="9" t="s">
        <v>13</v>
      </c>
      <c r="B91" s="9"/>
      <c r="C91" s="9" t="s">
        <v>541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</row>
    <row r="92" customFormat="false" ht="15" hidden="false" customHeight="false" outlineLevel="0" collapsed="false">
      <c r="C92" s="0" t="s">
        <v>542</v>
      </c>
      <c r="D92" s="11" t="s">
        <v>27</v>
      </c>
      <c r="E92" s="33" t="n">
        <f aca="false">IF(In_CN_Turbine=1,In_Turbine_CN,In_Turbine)</f>
        <v>600</v>
      </c>
      <c r="F92" s="33" t="n">
        <f aca="false">In_Installation+In_Foundations+In_BoP+In_Owner+In_Easements</f>
        <v>355</v>
      </c>
    </row>
    <row r="93" customFormat="false" ht="15" hidden="false" customHeight="false" outlineLevel="0" collapsed="false">
      <c r="C93" s="0" t="s">
        <v>543</v>
      </c>
      <c r="D93" s="11" t="s">
        <v>247</v>
      </c>
      <c r="E93" s="33" t="n">
        <f aca="false">IF(In_CN_Turbine=1,In_Substation_CN,In_Substation)</f>
        <v>12000</v>
      </c>
    </row>
    <row r="94" customFormat="false" ht="15" hidden="false" customHeight="false" outlineLevel="0" collapsed="false">
      <c r="C94" s="0" t="s">
        <v>544</v>
      </c>
      <c r="D94" s="11" t="s">
        <v>247</v>
      </c>
      <c r="E94" s="33" t="n">
        <f aca="false">(($E92+$F92)*$F24+$E93)*(1+In_Capex_Contingency)+In_BESS_Capex*$F25</f>
        <v>125115</v>
      </c>
      <c r="I94" s="33" t="n">
        <f aca="false">SUM(J94:ET94)</f>
        <v>-125115</v>
      </c>
      <c r="J94" s="33" t="n">
        <f aca="false">-$E94*J13</f>
        <v>-0</v>
      </c>
      <c r="K94" s="33" t="n">
        <f aca="false">-$E94*K13</f>
        <v>-0</v>
      </c>
      <c r="L94" s="33" t="n">
        <f aca="false">-$E94*L13</f>
        <v>-0</v>
      </c>
      <c r="M94" s="33" t="n">
        <f aca="false">-$E94*M13</f>
        <v>-0</v>
      </c>
      <c r="N94" s="33" t="n">
        <f aca="false">-$E94*N13</f>
        <v>-0</v>
      </c>
      <c r="O94" s="33" t="n">
        <f aca="false">-$E94*O13</f>
        <v>-0</v>
      </c>
      <c r="P94" s="33" t="n">
        <f aca="false">-$E94*P13</f>
        <v>-0</v>
      </c>
      <c r="Q94" s="33" t="n">
        <f aca="false">-$E94*Q13</f>
        <v>-0</v>
      </c>
      <c r="R94" s="33" t="n">
        <f aca="false">-$E94*R13</f>
        <v>-0</v>
      </c>
      <c r="S94" s="33" t="n">
        <f aca="false">-$E94*S13</f>
        <v>-0</v>
      </c>
      <c r="T94" s="33" t="n">
        <f aca="false">-$E94*T13</f>
        <v>-0</v>
      </c>
      <c r="U94" s="33" t="n">
        <f aca="false">-$E94*U13</f>
        <v>-0</v>
      </c>
      <c r="V94" s="33" t="n">
        <f aca="false">-$E94*V13</f>
        <v>-0</v>
      </c>
      <c r="W94" s="33" t="n">
        <f aca="false">-$E94*W13</f>
        <v>-15767.9178082192</v>
      </c>
      <c r="X94" s="33" t="n">
        <f aca="false">-$E94*X13</f>
        <v>-15425.1369863014</v>
      </c>
      <c r="Y94" s="33" t="n">
        <f aca="false">-$E94*Y13</f>
        <v>-15596.5273972603</v>
      </c>
      <c r="Z94" s="33" t="n">
        <f aca="false">-$E94*Z13</f>
        <v>-15767.9178082192</v>
      </c>
      <c r="AA94" s="33" t="n">
        <f aca="false">-$E94*AA13</f>
        <v>-15767.9178082192</v>
      </c>
      <c r="AB94" s="33" t="n">
        <f aca="false">-$E94*AB13</f>
        <v>-15425.1369863014</v>
      </c>
      <c r="AC94" s="33" t="n">
        <f aca="false">-$E94*AC13</f>
        <v>-15596.5273972603</v>
      </c>
      <c r="AD94" s="33" t="n">
        <f aca="false">-$E94*AD13</f>
        <v>-15767.9178082192</v>
      </c>
      <c r="AE94" s="33" t="n">
        <f aca="false">-$E94*AE13</f>
        <v>-0</v>
      </c>
      <c r="AF94" s="33" t="n">
        <f aca="false">-$E94*AF13</f>
        <v>-0</v>
      </c>
      <c r="AG94" s="33" t="n">
        <f aca="false">-$E94*AG13</f>
        <v>-0</v>
      </c>
      <c r="AH94" s="33" t="n">
        <f aca="false">-$E94*AH13</f>
        <v>-0</v>
      </c>
      <c r="AI94" s="33" t="n">
        <f aca="false">-$E94*AI13</f>
        <v>-0</v>
      </c>
      <c r="AJ94" s="33" t="n">
        <f aca="false">-$E94*AJ13</f>
        <v>-0</v>
      </c>
      <c r="AK94" s="33" t="n">
        <f aca="false">-$E94*AK13</f>
        <v>-0</v>
      </c>
      <c r="AL94" s="33" t="n">
        <f aca="false">-$E94*AL13</f>
        <v>-0</v>
      </c>
      <c r="AM94" s="33" t="n">
        <f aca="false">-$E94*AM13</f>
        <v>-0</v>
      </c>
      <c r="AN94" s="33" t="n">
        <f aca="false">-$E94*AN13</f>
        <v>-0</v>
      </c>
      <c r="AO94" s="33" t="n">
        <f aca="false">-$E94*AO13</f>
        <v>-0</v>
      </c>
      <c r="AP94" s="33" t="n">
        <f aca="false">-$E94*AP13</f>
        <v>-0</v>
      </c>
      <c r="AQ94" s="33" t="n">
        <f aca="false">-$E94*AQ13</f>
        <v>-0</v>
      </c>
      <c r="AR94" s="33" t="n">
        <f aca="false">-$E94*AR13</f>
        <v>-0</v>
      </c>
      <c r="AS94" s="33" t="n">
        <f aca="false">-$E94*AS13</f>
        <v>-0</v>
      </c>
      <c r="AT94" s="33" t="n">
        <f aca="false">-$E94*AT13</f>
        <v>-0</v>
      </c>
      <c r="AU94" s="33" t="n">
        <f aca="false">-$E94*AU13</f>
        <v>-0</v>
      </c>
      <c r="AV94" s="33" t="n">
        <f aca="false">-$E94*AV13</f>
        <v>-0</v>
      </c>
      <c r="AW94" s="33" t="n">
        <f aca="false">-$E94*AW13</f>
        <v>-0</v>
      </c>
      <c r="AX94" s="33" t="n">
        <f aca="false">-$E94*AX13</f>
        <v>-0</v>
      </c>
      <c r="AY94" s="33" t="n">
        <f aca="false">-$E94*AY13</f>
        <v>-0</v>
      </c>
      <c r="AZ94" s="33" t="n">
        <f aca="false">-$E94*AZ13</f>
        <v>-0</v>
      </c>
      <c r="BA94" s="33" t="n">
        <f aca="false">-$E94*BA13</f>
        <v>-0</v>
      </c>
      <c r="BB94" s="33" t="n">
        <f aca="false">-$E94*BB13</f>
        <v>-0</v>
      </c>
      <c r="BC94" s="33" t="n">
        <f aca="false">-$E94*BC13</f>
        <v>-0</v>
      </c>
      <c r="BD94" s="33" t="n">
        <f aca="false">-$E94*BD13</f>
        <v>-0</v>
      </c>
      <c r="BE94" s="33" t="n">
        <f aca="false">-$E94*BE13</f>
        <v>-0</v>
      </c>
      <c r="BF94" s="33" t="n">
        <f aca="false">-$E94*BF13</f>
        <v>-0</v>
      </c>
      <c r="BG94" s="33" t="n">
        <f aca="false">-$E94*BG13</f>
        <v>-0</v>
      </c>
      <c r="BH94" s="33" t="n">
        <f aca="false">-$E94*BH13</f>
        <v>-0</v>
      </c>
      <c r="BI94" s="33" t="n">
        <f aca="false">-$E94*BI13</f>
        <v>-0</v>
      </c>
      <c r="BJ94" s="33" t="n">
        <f aca="false">-$E94*BJ13</f>
        <v>-0</v>
      </c>
      <c r="BK94" s="33" t="n">
        <f aca="false">-$E94*BK13</f>
        <v>-0</v>
      </c>
      <c r="BL94" s="33" t="n">
        <f aca="false">-$E94*BL13</f>
        <v>-0</v>
      </c>
      <c r="BM94" s="33" t="n">
        <f aca="false">-$E94*BM13</f>
        <v>-0</v>
      </c>
      <c r="BN94" s="33" t="n">
        <f aca="false">-$E94*BN13</f>
        <v>-0</v>
      </c>
      <c r="BO94" s="33" t="n">
        <f aca="false">-$E94*BO13</f>
        <v>-0</v>
      </c>
      <c r="BP94" s="33" t="n">
        <f aca="false">-$E94*BP13</f>
        <v>-0</v>
      </c>
      <c r="BQ94" s="33" t="n">
        <f aca="false">-$E94*BQ13</f>
        <v>-0</v>
      </c>
      <c r="BR94" s="33" t="n">
        <f aca="false">-$E94*BR13</f>
        <v>-0</v>
      </c>
      <c r="BS94" s="33" t="n">
        <f aca="false">-$E94*BS13</f>
        <v>-0</v>
      </c>
      <c r="BT94" s="33" t="n">
        <f aca="false">-$E94*BT13</f>
        <v>-0</v>
      </c>
      <c r="BU94" s="33" t="n">
        <f aca="false">-$E94*BU13</f>
        <v>-0</v>
      </c>
      <c r="BV94" s="33" t="n">
        <f aca="false">-$E94*BV13</f>
        <v>-0</v>
      </c>
      <c r="BW94" s="33" t="n">
        <f aca="false">-$E94*BW13</f>
        <v>-0</v>
      </c>
      <c r="BX94" s="33" t="n">
        <f aca="false">-$E94*BX13</f>
        <v>-0</v>
      </c>
      <c r="BY94" s="33" t="n">
        <f aca="false">-$E94*BY13</f>
        <v>-0</v>
      </c>
      <c r="BZ94" s="33" t="n">
        <f aca="false">-$E94*BZ13</f>
        <v>-0</v>
      </c>
      <c r="CA94" s="33" t="n">
        <f aca="false">-$E94*CA13</f>
        <v>-0</v>
      </c>
      <c r="CB94" s="33" t="n">
        <f aca="false">-$E94*CB13</f>
        <v>-0</v>
      </c>
      <c r="CC94" s="33" t="n">
        <f aca="false">-$E94*CC13</f>
        <v>-0</v>
      </c>
      <c r="CD94" s="33" t="n">
        <f aca="false">-$E94*CD13</f>
        <v>-0</v>
      </c>
      <c r="CE94" s="33" t="n">
        <f aca="false">-$E94*CE13</f>
        <v>-0</v>
      </c>
      <c r="CF94" s="33" t="n">
        <f aca="false">-$E94*CF13</f>
        <v>-0</v>
      </c>
      <c r="CG94" s="33" t="n">
        <f aca="false">-$E94*CG13</f>
        <v>-0</v>
      </c>
      <c r="CH94" s="33" t="n">
        <f aca="false">-$E94*CH13</f>
        <v>-0</v>
      </c>
      <c r="CI94" s="33" t="n">
        <f aca="false">-$E94*CI13</f>
        <v>-0</v>
      </c>
      <c r="CJ94" s="33" t="n">
        <f aca="false">-$E94*CJ13</f>
        <v>-0</v>
      </c>
      <c r="CK94" s="33" t="n">
        <f aca="false">-$E94*CK13</f>
        <v>-0</v>
      </c>
      <c r="CL94" s="33" t="n">
        <f aca="false">-$E94*CL13</f>
        <v>-0</v>
      </c>
      <c r="CM94" s="33" t="n">
        <f aca="false">-$E94*CM13</f>
        <v>-0</v>
      </c>
      <c r="CN94" s="33" t="n">
        <f aca="false">-$E94*CN13</f>
        <v>-0</v>
      </c>
      <c r="CO94" s="33" t="n">
        <f aca="false">-$E94*CO13</f>
        <v>-0</v>
      </c>
      <c r="CP94" s="33" t="n">
        <f aca="false">-$E94*CP13</f>
        <v>-0</v>
      </c>
      <c r="CQ94" s="33" t="n">
        <f aca="false">-$E94*CQ13</f>
        <v>-0</v>
      </c>
      <c r="CR94" s="33" t="n">
        <f aca="false">-$E94*CR13</f>
        <v>-0</v>
      </c>
      <c r="CS94" s="33" t="n">
        <f aca="false">-$E94*CS13</f>
        <v>-0</v>
      </c>
      <c r="CT94" s="33" t="n">
        <f aca="false">-$E94*CT13</f>
        <v>-0</v>
      </c>
      <c r="CU94" s="33" t="n">
        <f aca="false">-$E94*CU13</f>
        <v>-0</v>
      </c>
      <c r="CV94" s="33" t="n">
        <f aca="false">-$E94*CV13</f>
        <v>-0</v>
      </c>
      <c r="CW94" s="33" t="n">
        <f aca="false">-$E94*CW13</f>
        <v>-0</v>
      </c>
      <c r="CX94" s="33" t="n">
        <f aca="false">-$E94*CX13</f>
        <v>-0</v>
      </c>
      <c r="CY94" s="33" t="n">
        <f aca="false">-$E94*CY13</f>
        <v>-0</v>
      </c>
      <c r="CZ94" s="33" t="n">
        <f aca="false">-$E94*CZ13</f>
        <v>-0</v>
      </c>
      <c r="DA94" s="33" t="n">
        <f aca="false">-$E94*DA13</f>
        <v>-0</v>
      </c>
      <c r="DB94" s="33" t="n">
        <f aca="false">-$E94*DB13</f>
        <v>-0</v>
      </c>
      <c r="DC94" s="33" t="n">
        <f aca="false">-$E94*DC13</f>
        <v>-0</v>
      </c>
      <c r="DD94" s="33" t="n">
        <f aca="false">-$E94*DD13</f>
        <v>-0</v>
      </c>
      <c r="DE94" s="33" t="n">
        <f aca="false">-$E94*DE13</f>
        <v>-0</v>
      </c>
      <c r="DF94" s="33" t="n">
        <f aca="false">-$E94*DF13</f>
        <v>-0</v>
      </c>
      <c r="DG94" s="33" t="n">
        <f aca="false">-$E94*DG13</f>
        <v>-0</v>
      </c>
      <c r="DH94" s="33" t="n">
        <f aca="false">-$E94*DH13</f>
        <v>-0</v>
      </c>
      <c r="DI94" s="33" t="n">
        <f aca="false">-$E94*DI13</f>
        <v>-0</v>
      </c>
      <c r="DJ94" s="33" t="n">
        <f aca="false">-$E94*DJ13</f>
        <v>-0</v>
      </c>
      <c r="DK94" s="33" t="n">
        <f aca="false">-$E94*DK13</f>
        <v>-0</v>
      </c>
      <c r="DL94" s="33" t="n">
        <f aca="false">-$E94*DL13</f>
        <v>-0</v>
      </c>
      <c r="DM94" s="33" t="n">
        <f aca="false">-$E94*DM13</f>
        <v>-0</v>
      </c>
      <c r="DN94" s="33" t="n">
        <f aca="false">-$E94*DN13</f>
        <v>-0</v>
      </c>
      <c r="DO94" s="33" t="n">
        <f aca="false">-$E94*DO13</f>
        <v>-0</v>
      </c>
      <c r="DP94" s="33" t="n">
        <f aca="false">-$E94*DP13</f>
        <v>-0</v>
      </c>
      <c r="DQ94" s="33" t="n">
        <f aca="false">-$E94*DQ13</f>
        <v>-0</v>
      </c>
      <c r="DR94" s="33" t="n">
        <f aca="false">-$E94*DR13</f>
        <v>-0</v>
      </c>
      <c r="DS94" s="33" t="n">
        <f aca="false">-$E94*DS13</f>
        <v>-0</v>
      </c>
      <c r="DT94" s="33" t="n">
        <f aca="false">-$E94*DT13</f>
        <v>-0</v>
      </c>
      <c r="DU94" s="33" t="n">
        <f aca="false">-$E94*DU13</f>
        <v>-0</v>
      </c>
      <c r="DV94" s="33" t="n">
        <f aca="false">-$E94*DV13</f>
        <v>-0</v>
      </c>
      <c r="DW94" s="33" t="n">
        <f aca="false">-$E94*DW13</f>
        <v>-0</v>
      </c>
      <c r="DX94" s="33" t="n">
        <f aca="false">-$E94*DX13</f>
        <v>-0</v>
      </c>
      <c r="DY94" s="33" t="n">
        <f aca="false">-$E94*DY13</f>
        <v>-0</v>
      </c>
      <c r="DZ94" s="33" t="n">
        <f aca="false">-$E94*DZ13</f>
        <v>-0</v>
      </c>
      <c r="EA94" s="33" t="n">
        <f aca="false">-$E94*EA13</f>
        <v>-0</v>
      </c>
      <c r="EB94" s="33" t="n">
        <f aca="false">-$E94*EB13</f>
        <v>-0</v>
      </c>
      <c r="EC94" s="33" t="n">
        <f aca="false">-$E94*EC13</f>
        <v>-0</v>
      </c>
      <c r="ED94" s="33" t="n">
        <f aca="false">-$E94*ED13</f>
        <v>-0</v>
      </c>
      <c r="EE94" s="33" t="n">
        <f aca="false">-$E94*EE13</f>
        <v>-0</v>
      </c>
      <c r="EF94" s="33" t="n">
        <f aca="false">-$E94*EF13</f>
        <v>-0</v>
      </c>
      <c r="EG94" s="33" t="n">
        <f aca="false">-$E94*EG13</f>
        <v>-0</v>
      </c>
      <c r="EH94" s="33" t="n">
        <f aca="false">-$E94*EH13</f>
        <v>-0</v>
      </c>
      <c r="EI94" s="33" t="n">
        <f aca="false">-$E94*EI13</f>
        <v>-0</v>
      </c>
      <c r="EJ94" s="33" t="n">
        <f aca="false">-$E94*EJ13</f>
        <v>-0</v>
      </c>
      <c r="EK94" s="33" t="n">
        <f aca="false">-$E94*EK13</f>
        <v>-0</v>
      </c>
      <c r="EL94" s="33" t="n">
        <f aca="false">-$E94*EL13</f>
        <v>-0</v>
      </c>
      <c r="EM94" s="33" t="n">
        <f aca="false">-$E94*EM13</f>
        <v>-0</v>
      </c>
      <c r="EN94" s="33" t="n">
        <f aca="false">-$E94*EN13</f>
        <v>-0</v>
      </c>
      <c r="EO94" s="33" t="n">
        <f aca="false">-$E94*EO13</f>
        <v>-0</v>
      </c>
      <c r="EP94" s="33" t="n">
        <f aca="false">-$E94*EP13</f>
        <v>-0</v>
      </c>
      <c r="EQ94" s="33" t="n">
        <f aca="false">-$E94*EQ13</f>
        <v>-0</v>
      </c>
      <c r="ER94" s="33" t="n">
        <f aca="false">-$E94*ER13</f>
        <v>-0</v>
      </c>
      <c r="ES94" s="33" t="n">
        <f aca="false">-$E94*ES13</f>
        <v>-0</v>
      </c>
      <c r="ET94" s="33" t="n">
        <f aca="false">-$E94*ET13</f>
        <v>-0</v>
      </c>
    </row>
    <row r="95" customFormat="false" ht="15" hidden="false" customHeight="false" outlineLevel="0" collapsed="false">
      <c r="C95" s="0" t="s">
        <v>545</v>
      </c>
      <c r="D95" s="11" t="s">
        <v>247</v>
      </c>
      <c r="E95" s="33" t="n">
        <f aca="false">$E30*In_MVA</f>
        <v>5000</v>
      </c>
      <c r="I95" s="33" t="n">
        <f aca="false">SUM(J95:ET95)</f>
        <v>-5000</v>
      </c>
      <c r="J95" s="33" t="n">
        <f aca="false">-$E95*J14</f>
        <v>-0</v>
      </c>
      <c r="K95" s="33" t="n">
        <f aca="false">-$E95*K14</f>
        <v>-0</v>
      </c>
      <c r="L95" s="33" t="n">
        <f aca="false">-$E95*L14</f>
        <v>-0</v>
      </c>
      <c r="M95" s="33" t="n">
        <f aca="false">-$E95*M14</f>
        <v>-0</v>
      </c>
      <c r="N95" s="33" t="n">
        <f aca="false">-$E95*N14</f>
        <v>-0</v>
      </c>
      <c r="O95" s="33" t="n">
        <f aca="false">-$E95*O14</f>
        <v>-0</v>
      </c>
      <c r="P95" s="33" t="n">
        <f aca="false">-$E95*P14</f>
        <v>-0</v>
      </c>
      <c r="Q95" s="33" t="n">
        <f aca="false">-$E95*Q14</f>
        <v>-0</v>
      </c>
      <c r="R95" s="33" t="n">
        <f aca="false">-$E95*R14</f>
        <v>-0</v>
      </c>
      <c r="S95" s="33" t="n">
        <f aca="false">-$E95*S14</f>
        <v>-0</v>
      </c>
      <c r="T95" s="33" t="n">
        <f aca="false">-$E95*T14</f>
        <v>-0</v>
      </c>
      <c r="U95" s="33" t="n">
        <f aca="false">-$E95*U14</f>
        <v>-0</v>
      </c>
      <c r="V95" s="33" t="n">
        <f aca="false">-$E95*V14</f>
        <v>-0</v>
      </c>
      <c r="W95" s="33" t="n">
        <f aca="false">-$E95*W14</f>
        <v>-0</v>
      </c>
      <c r="X95" s="33" t="n">
        <f aca="false">-$E95*X14</f>
        <v>-0</v>
      </c>
      <c r="Y95" s="33" t="n">
        <f aca="false">-$E95*Y14</f>
        <v>-0</v>
      </c>
      <c r="Z95" s="33" t="n">
        <f aca="false">-$E95*Z14</f>
        <v>-0</v>
      </c>
      <c r="AA95" s="33" t="n">
        <f aca="false">-$E95*AA14</f>
        <v>-0</v>
      </c>
      <c r="AB95" s="33" t="n">
        <f aca="false">-$E95*AB14</f>
        <v>-0</v>
      </c>
      <c r="AC95" s="33" t="n">
        <f aca="false">-$E95*AC14</f>
        <v>-0</v>
      </c>
      <c r="AD95" s="33" t="n">
        <f aca="false">-$E95*AD14</f>
        <v>-5000</v>
      </c>
      <c r="AE95" s="33" t="n">
        <f aca="false">-$E95*AE14</f>
        <v>-0</v>
      </c>
      <c r="AF95" s="33" t="n">
        <f aca="false">-$E95*AF14</f>
        <v>-0</v>
      </c>
      <c r="AG95" s="33" t="n">
        <f aca="false">-$E95*AG14</f>
        <v>-0</v>
      </c>
      <c r="AH95" s="33" t="n">
        <f aca="false">-$E95*AH14</f>
        <v>-0</v>
      </c>
      <c r="AI95" s="33" t="n">
        <f aca="false">-$E95*AI14</f>
        <v>-0</v>
      </c>
      <c r="AJ95" s="33" t="n">
        <f aca="false">-$E95*AJ14</f>
        <v>-0</v>
      </c>
      <c r="AK95" s="33" t="n">
        <f aca="false">-$E95*AK14</f>
        <v>-0</v>
      </c>
      <c r="AL95" s="33" t="n">
        <f aca="false">-$E95*AL14</f>
        <v>-0</v>
      </c>
      <c r="AM95" s="33" t="n">
        <f aca="false">-$E95*AM14</f>
        <v>-0</v>
      </c>
      <c r="AN95" s="33" t="n">
        <f aca="false">-$E95*AN14</f>
        <v>-0</v>
      </c>
      <c r="AO95" s="33" t="n">
        <f aca="false">-$E95*AO14</f>
        <v>-0</v>
      </c>
      <c r="AP95" s="33" t="n">
        <f aca="false">-$E95*AP14</f>
        <v>-0</v>
      </c>
      <c r="AQ95" s="33" t="n">
        <f aca="false">-$E95*AQ14</f>
        <v>-0</v>
      </c>
      <c r="AR95" s="33" t="n">
        <f aca="false">-$E95*AR14</f>
        <v>-0</v>
      </c>
      <c r="AS95" s="33" t="n">
        <f aca="false">-$E95*AS14</f>
        <v>-0</v>
      </c>
      <c r="AT95" s="33" t="n">
        <f aca="false">-$E95*AT14</f>
        <v>-0</v>
      </c>
      <c r="AU95" s="33" t="n">
        <f aca="false">-$E95*AU14</f>
        <v>-0</v>
      </c>
      <c r="AV95" s="33" t="n">
        <f aca="false">-$E95*AV14</f>
        <v>-0</v>
      </c>
      <c r="AW95" s="33" t="n">
        <f aca="false">-$E95*AW14</f>
        <v>-0</v>
      </c>
      <c r="AX95" s="33" t="n">
        <f aca="false">-$E95*AX14</f>
        <v>-0</v>
      </c>
      <c r="AY95" s="33" t="n">
        <f aca="false">-$E95*AY14</f>
        <v>-0</v>
      </c>
      <c r="AZ95" s="33" t="n">
        <f aca="false">-$E95*AZ14</f>
        <v>-0</v>
      </c>
      <c r="BA95" s="33" t="n">
        <f aca="false">-$E95*BA14</f>
        <v>-0</v>
      </c>
      <c r="BB95" s="33" t="n">
        <f aca="false">-$E95*BB14</f>
        <v>-0</v>
      </c>
      <c r="BC95" s="33" t="n">
        <f aca="false">-$E95*BC14</f>
        <v>-0</v>
      </c>
      <c r="BD95" s="33" t="n">
        <f aca="false">-$E95*BD14</f>
        <v>-0</v>
      </c>
      <c r="BE95" s="33" t="n">
        <f aca="false">-$E95*BE14</f>
        <v>-0</v>
      </c>
      <c r="BF95" s="33" t="n">
        <f aca="false">-$E95*BF14</f>
        <v>-0</v>
      </c>
      <c r="BG95" s="33" t="n">
        <f aca="false">-$E95*BG14</f>
        <v>-0</v>
      </c>
      <c r="BH95" s="33" t="n">
        <f aca="false">-$E95*BH14</f>
        <v>-0</v>
      </c>
      <c r="BI95" s="33" t="n">
        <f aca="false">-$E95*BI14</f>
        <v>-0</v>
      </c>
      <c r="BJ95" s="33" t="n">
        <f aca="false">-$E95*BJ14</f>
        <v>-0</v>
      </c>
      <c r="BK95" s="33" t="n">
        <f aca="false">-$E95*BK14</f>
        <v>-0</v>
      </c>
      <c r="BL95" s="33" t="n">
        <f aca="false">-$E95*BL14</f>
        <v>-0</v>
      </c>
      <c r="BM95" s="33" t="n">
        <f aca="false">-$E95*BM14</f>
        <v>-0</v>
      </c>
      <c r="BN95" s="33" t="n">
        <f aca="false">-$E95*BN14</f>
        <v>-0</v>
      </c>
      <c r="BO95" s="33" t="n">
        <f aca="false">-$E95*BO14</f>
        <v>-0</v>
      </c>
      <c r="BP95" s="33" t="n">
        <f aca="false">-$E95*BP14</f>
        <v>-0</v>
      </c>
      <c r="BQ95" s="33" t="n">
        <f aca="false">-$E95*BQ14</f>
        <v>-0</v>
      </c>
      <c r="BR95" s="33" t="n">
        <f aca="false">-$E95*BR14</f>
        <v>-0</v>
      </c>
      <c r="BS95" s="33" t="n">
        <f aca="false">-$E95*BS14</f>
        <v>-0</v>
      </c>
      <c r="BT95" s="33" t="n">
        <f aca="false">-$E95*BT14</f>
        <v>-0</v>
      </c>
      <c r="BU95" s="33" t="n">
        <f aca="false">-$E95*BU14</f>
        <v>-0</v>
      </c>
      <c r="BV95" s="33" t="n">
        <f aca="false">-$E95*BV14</f>
        <v>-0</v>
      </c>
      <c r="BW95" s="33" t="n">
        <f aca="false">-$E95*BW14</f>
        <v>-0</v>
      </c>
      <c r="BX95" s="33" t="n">
        <f aca="false">-$E95*BX14</f>
        <v>-0</v>
      </c>
      <c r="BY95" s="33" t="n">
        <f aca="false">-$E95*BY14</f>
        <v>-0</v>
      </c>
      <c r="BZ95" s="33" t="n">
        <f aca="false">-$E95*BZ14</f>
        <v>-0</v>
      </c>
      <c r="CA95" s="33" t="n">
        <f aca="false">-$E95*CA14</f>
        <v>-0</v>
      </c>
      <c r="CB95" s="33" t="n">
        <f aca="false">-$E95*CB14</f>
        <v>-0</v>
      </c>
      <c r="CC95" s="33" t="n">
        <f aca="false">-$E95*CC14</f>
        <v>-0</v>
      </c>
      <c r="CD95" s="33" t="n">
        <f aca="false">-$E95*CD14</f>
        <v>-0</v>
      </c>
      <c r="CE95" s="33" t="n">
        <f aca="false">-$E95*CE14</f>
        <v>-0</v>
      </c>
      <c r="CF95" s="33" t="n">
        <f aca="false">-$E95*CF14</f>
        <v>-0</v>
      </c>
      <c r="CG95" s="33" t="n">
        <f aca="false">-$E95*CG14</f>
        <v>-0</v>
      </c>
      <c r="CH95" s="33" t="n">
        <f aca="false">-$E95*CH14</f>
        <v>-0</v>
      </c>
      <c r="CI95" s="33" t="n">
        <f aca="false">-$E95*CI14</f>
        <v>-0</v>
      </c>
      <c r="CJ95" s="33" t="n">
        <f aca="false">-$E95*CJ14</f>
        <v>-0</v>
      </c>
      <c r="CK95" s="33" t="n">
        <f aca="false">-$E95*CK14</f>
        <v>-0</v>
      </c>
      <c r="CL95" s="33" t="n">
        <f aca="false">-$E95*CL14</f>
        <v>-0</v>
      </c>
      <c r="CM95" s="33" t="n">
        <f aca="false">-$E95*CM14</f>
        <v>-0</v>
      </c>
      <c r="CN95" s="33" t="n">
        <f aca="false">-$E95*CN14</f>
        <v>-0</v>
      </c>
      <c r="CO95" s="33" t="n">
        <f aca="false">-$E95*CO14</f>
        <v>-0</v>
      </c>
      <c r="CP95" s="33" t="n">
        <f aca="false">-$E95*CP14</f>
        <v>-0</v>
      </c>
      <c r="CQ95" s="33" t="n">
        <f aca="false">-$E95*CQ14</f>
        <v>-0</v>
      </c>
      <c r="CR95" s="33" t="n">
        <f aca="false">-$E95*CR14</f>
        <v>-0</v>
      </c>
      <c r="CS95" s="33" t="n">
        <f aca="false">-$E95*CS14</f>
        <v>-0</v>
      </c>
      <c r="CT95" s="33" t="n">
        <f aca="false">-$E95*CT14</f>
        <v>-0</v>
      </c>
      <c r="CU95" s="33" t="n">
        <f aca="false">-$E95*CU14</f>
        <v>-0</v>
      </c>
      <c r="CV95" s="33" t="n">
        <f aca="false">-$E95*CV14</f>
        <v>-0</v>
      </c>
      <c r="CW95" s="33" t="n">
        <f aca="false">-$E95*CW14</f>
        <v>-0</v>
      </c>
      <c r="CX95" s="33" t="n">
        <f aca="false">-$E95*CX14</f>
        <v>-0</v>
      </c>
      <c r="CY95" s="33" t="n">
        <f aca="false">-$E95*CY14</f>
        <v>-0</v>
      </c>
      <c r="CZ95" s="33" t="n">
        <f aca="false">-$E95*CZ14</f>
        <v>-0</v>
      </c>
      <c r="DA95" s="33" t="n">
        <f aca="false">-$E95*DA14</f>
        <v>-0</v>
      </c>
      <c r="DB95" s="33" t="n">
        <f aca="false">-$E95*DB14</f>
        <v>-0</v>
      </c>
      <c r="DC95" s="33" t="n">
        <f aca="false">-$E95*DC14</f>
        <v>-0</v>
      </c>
      <c r="DD95" s="33" t="n">
        <f aca="false">-$E95*DD14</f>
        <v>-0</v>
      </c>
      <c r="DE95" s="33" t="n">
        <f aca="false">-$E95*DE14</f>
        <v>-0</v>
      </c>
      <c r="DF95" s="33" t="n">
        <f aca="false">-$E95*DF14</f>
        <v>-0</v>
      </c>
      <c r="DG95" s="33" t="n">
        <f aca="false">-$E95*DG14</f>
        <v>-0</v>
      </c>
      <c r="DH95" s="33" t="n">
        <f aca="false">-$E95*DH14</f>
        <v>-0</v>
      </c>
      <c r="DI95" s="33" t="n">
        <f aca="false">-$E95*DI14</f>
        <v>-0</v>
      </c>
      <c r="DJ95" s="33" t="n">
        <f aca="false">-$E95*DJ14</f>
        <v>-0</v>
      </c>
      <c r="DK95" s="33" t="n">
        <f aca="false">-$E95*DK14</f>
        <v>-0</v>
      </c>
      <c r="DL95" s="33" t="n">
        <f aca="false">-$E95*DL14</f>
        <v>-0</v>
      </c>
      <c r="DM95" s="33" t="n">
        <f aca="false">-$E95*DM14</f>
        <v>-0</v>
      </c>
      <c r="DN95" s="33" t="n">
        <f aca="false">-$E95*DN14</f>
        <v>-0</v>
      </c>
      <c r="DO95" s="33" t="n">
        <f aca="false">-$E95*DO14</f>
        <v>-0</v>
      </c>
      <c r="DP95" s="33" t="n">
        <f aca="false">-$E95*DP14</f>
        <v>-0</v>
      </c>
      <c r="DQ95" s="33" t="n">
        <f aca="false">-$E95*DQ14</f>
        <v>-0</v>
      </c>
      <c r="DR95" s="33" t="n">
        <f aca="false">-$E95*DR14</f>
        <v>-0</v>
      </c>
      <c r="DS95" s="33" t="n">
        <f aca="false">-$E95*DS14</f>
        <v>-0</v>
      </c>
      <c r="DT95" s="33" t="n">
        <f aca="false">-$E95*DT14</f>
        <v>-0</v>
      </c>
      <c r="DU95" s="33" t="n">
        <f aca="false">-$E95*DU14</f>
        <v>-0</v>
      </c>
      <c r="DV95" s="33" t="n">
        <f aca="false">-$E95*DV14</f>
        <v>-0</v>
      </c>
      <c r="DW95" s="33" t="n">
        <f aca="false">-$E95*DW14</f>
        <v>-0</v>
      </c>
      <c r="DX95" s="33" t="n">
        <f aca="false">-$E95*DX14</f>
        <v>-0</v>
      </c>
      <c r="DY95" s="33" t="n">
        <f aca="false">-$E95*DY14</f>
        <v>-0</v>
      </c>
      <c r="DZ95" s="33" t="n">
        <f aca="false">-$E95*DZ14</f>
        <v>-0</v>
      </c>
      <c r="EA95" s="33" t="n">
        <f aca="false">-$E95*EA14</f>
        <v>-0</v>
      </c>
      <c r="EB95" s="33" t="n">
        <f aca="false">-$E95*EB14</f>
        <v>-0</v>
      </c>
      <c r="EC95" s="33" t="n">
        <f aca="false">-$E95*EC14</f>
        <v>-0</v>
      </c>
      <c r="ED95" s="33" t="n">
        <f aca="false">-$E95*ED14</f>
        <v>-0</v>
      </c>
      <c r="EE95" s="33" t="n">
        <f aca="false">-$E95*EE14</f>
        <v>-0</v>
      </c>
      <c r="EF95" s="33" t="n">
        <f aca="false">-$E95*EF14</f>
        <v>-0</v>
      </c>
      <c r="EG95" s="33" t="n">
        <f aca="false">-$E95*EG14</f>
        <v>-0</v>
      </c>
      <c r="EH95" s="33" t="n">
        <f aca="false">-$E95*EH14</f>
        <v>-0</v>
      </c>
      <c r="EI95" s="33" t="n">
        <f aca="false">-$E95*EI14</f>
        <v>-0</v>
      </c>
      <c r="EJ95" s="33" t="n">
        <f aca="false">-$E95*EJ14</f>
        <v>-0</v>
      </c>
      <c r="EK95" s="33" t="n">
        <f aca="false">-$E95*EK14</f>
        <v>-0</v>
      </c>
      <c r="EL95" s="33" t="n">
        <f aca="false">-$E95*EL14</f>
        <v>-0</v>
      </c>
      <c r="EM95" s="33" t="n">
        <f aca="false">-$E95*EM14</f>
        <v>-0</v>
      </c>
      <c r="EN95" s="33" t="n">
        <f aca="false">-$E95*EN14</f>
        <v>-0</v>
      </c>
      <c r="EO95" s="33" t="n">
        <f aca="false">-$E95*EO14</f>
        <v>-0</v>
      </c>
      <c r="EP95" s="33" t="n">
        <f aca="false">-$E95*EP14</f>
        <v>-0</v>
      </c>
      <c r="EQ95" s="33" t="n">
        <f aca="false">-$E95*EQ14</f>
        <v>-0</v>
      </c>
      <c r="ER95" s="33" t="n">
        <f aca="false">-$E95*ER14</f>
        <v>-0</v>
      </c>
      <c r="ES95" s="33" t="n">
        <f aca="false">-$E95*ES14</f>
        <v>-0</v>
      </c>
      <c r="ET95" s="33" t="n">
        <f aca="false">-$E95*ET14</f>
        <v>-0</v>
      </c>
    </row>
    <row r="96" customFormat="false" ht="15" hidden="false" customHeight="false" outlineLevel="0" collapsed="false">
      <c r="A96" s="55"/>
      <c r="B96" s="55"/>
      <c r="C96" s="55" t="s">
        <v>546</v>
      </c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  <c r="BN96" s="55"/>
      <c r="BO96" s="55"/>
      <c r="BP96" s="55"/>
      <c r="BQ96" s="55"/>
      <c r="BR96" s="55"/>
      <c r="BS96" s="55"/>
      <c r="BT96" s="55"/>
      <c r="BU96" s="55"/>
      <c r="BV96" s="55"/>
      <c r="BW96" s="55"/>
      <c r="BX96" s="5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55"/>
      <c r="CO96" s="55"/>
      <c r="CP96" s="55"/>
      <c r="CQ96" s="55"/>
      <c r="CR96" s="55"/>
      <c r="CS96" s="55"/>
      <c r="CT96" s="55"/>
      <c r="CU96" s="55"/>
      <c r="CV96" s="55"/>
      <c r="CW96" s="55"/>
      <c r="CX96" s="55"/>
      <c r="CY96" s="55"/>
      <c r="CZ96" s="55"/>
      <c r="DA96" s="55"/>
      <c r="DB96" s="55"/>
      <c r="DC96" s="55"/>
      <c r="DD96" s="55"/>
      <c r="DE96" s="55"/>
      <c r="DF96" s="55"/>
      <c r="DG96" s="55"/>
      <c r="DH96" s="55"/>
      <c r="DI96" s="55"/>
      <c r="DJ96" s="55"/>
      <c r="DK96" s="55"/>
      <c r="DL96" s="55"/>
      <c r="DM96" s="55"/>
      <c r="DN96" s="55"/>
      <c r="DO96" s="55"/>
      <c r="DP96" s="55"/>
      <c r="DQ96" s="55"/>
      <c r="DR96" s="55"/>
      <c r="DS96" s="55"/>
      <c r="DT96" s="55"/>
      <c r="DU96" s="55"/>
      <c r="DV96" s="55"/>
      <c r="DW96" s="55"/>
      <c r="DX96" s="55"/>
      <c r="DY96" s="55"/>
      <c r="DZ96" s="55"/>
      <c r="EA96" s="55"/>
      <c r="EB96" s="55"/>
      <c r="EC96" s="55"/>
      <c r="ED96" s="55"/>
      <c r="EE96" s="55"/>
      <c r="EF96" s="55"/>
      <c r="EG96" s="55"/>
      <c r="EH96" s="55"/>
      <c r="EI96" s="55"/>
      <c r="EJ96" s="55"/>
      <c r="EK96" s="55"/>
      <c r="EL96" s="55"/>
      <c r="EM96" s="55"/>
      <c r="EN96" s="55"/>
      <c r="EO96" s="55"/>
      <c r="EP96" s="55"/>
      <c r="EQ96" s="55"/>
      <c r="ER96" s="55"/>
      <c r="ES96" s="55"/>
      <c r="ET96" s="55"/>
    </row>
    <row r="97" customFormat="false" ht="15" hidden="false" customHeight="false" outlineLevel="0" collapsed="false">
      <c r="C97" s="0" t="s">
        <v>526</v>
      </c>
      <c r="D97" s="11" t="s">
        <v>247</v>
      </c>
      <c r="J97" s="22" t="n">
        <f aca="false">I101</f>
        <v>0</v>
      </c>
      <c r="K97" s="22" t="n">
        <f aca="false">J101</f>
        <v>0</v>
      </c>
      <c r="L97" s="22" t="n">
        <f aca="false">K101</f>
        <v>0</v>
      </c>
      <c r="M97" s="22" t="n">
        <f aca="false">L101</f>
        <v>0</v>
      </c>
      <c r="N97" s="22" t="n">
        <f aca="false">M101</f>
        <v>0</v>
      </c>
      <c r="O97" s="22" t="n">
        <f aca="false">N101</f>
        <v>0</v>
      </c>
      <c r="P97" s="22" t="n">
        <f aca="false">O101</f>
        <v>0</v>
      </c>
      <c r="Q97" s="22" t="n">
        <f aca="false">P101</f>
        <v>0</v>
      </c>
      <c r="R97" s="22" t="n">
        <f aca="false">Q101</f>
        <v>0</v>
      </c>
      <c r="S97" s="22" t="n">
        <f aca="false">R101</f>
        <v>0</v>
      </c>
      <c r="T97" s="22" t="n">
        <f aca="false">S101</f>
        <v>0</v>
      </c>
      <c r="U97" s="22" t="n">
        <f aca="false">T101</f>
        <v>0</v>
      </c>
      <c r="V97" s="22" t="n">
        <f aca="false">U101</f>
        <v>0</v>
      </c>
      <c r="W97" s="22" t="n">
        <f aca="false">V101</f>
        <v>0</v>
      </c>
      <c r="X97" s="22" t="n">
        <f aca="false">W101</f>
        <v>11364.7262807311</v>
      </c>
      <c r="Y97" s="22" t="n">
        <f aca="false">X101</f>
        <v>22624.4523729989</v>
      </c>
      <c r="Z97" s="22" t="n">
        <f aca="false">Y101</f>
        <v>34148.4546749063</v>
      </c>
      <c r="AA97" s="22" t="n">
        <f aca="false">Z101</f>
        <v>45940.0366390737</v>
      </c>
      <c r="AB97" s="22" t="n">
        <f aca="false">AA101</f>
        <v>57879.0133777932</v>
      </c>
      <c r="AC97" s="22" t="n">
        <f aca="false">AB101</f>
        <v>69720.1680587743</v>
      </c>
      <c r="AD97" s="22" t="n">
        <f aca="false">AC101</f>
        <v>81832.8668067539</v>
      </c>
      <c r="AE97" s="22" t="n">
        <f aca="false">AD101</f>
        <v>94220.5039225694</v>
      </c>
      <c r="AF97" s="22" t="n">
        <f aca="false">AE101</f>
        <v>92390.6085172141</v>
      </c>
      <c r="AG97" s="22" t="n">
        <f aca="false">AF101</f>
        <v>90537.8394192919</v>
      </c>
      <c r="AH97" s="22" t="n">
        <f aca="false">AG101</f>
        <v>88661.9107076456</v>
      </c>
      <c r="AI97" s="22" t="n">
        <f aca="false">AH101</f>
        <v>86762.5328871038</v>
      </c>
      <c r="AJ97" s="22" t="n">
        <f aca="false">AI101</f>
        <v>84839.4128438052</v>
      </c>
      <c r="AK97" s="22" t="n">
        <f aca="false">AJ101</f>
        <v>82892.2537999654</v>
      </c>
      <c r="AL97" s="22" t="n">
        <f aca="false">AK101</f>
        <v>80920.7552680775</v>
      </c>
      <c r="AM97" s="22" t="n">
        <f aca="false">AL101</f>
        <v>78924.6130045411</v>
      </c>
      <c r="AN97" s="22" t="n">
        <f aca="false">AM101</f>
        <v>76903.5189627105</v>
      </c>
      <c r="AO97" s="22" t="n">
        <f aca="false">AN101</f>
        <v>74857.1612453569</v>
      </c>
      <c r="AP97" s="22" t="n">
        <f aca="false">AO101</f>
        <v>72785.2240565365</v>
      </c>
      <c r="AQ97" s="22" t="n">
        <f aca="false">AP101</f>
        <v>70687.3876528558</v>
      </c>
      <c r="AR97" s="22" t="n">
        <f aca="false">AQ101</f>
        <v>68563.3282941291</v>
      </c>
      <c r="AS97" s="22" t="n">
        <f aca="false">AR101</f>
        <v>66412.7181934183</v>
      </c>
      <c r="AT97" s="22" t="n">
        <f aca="false">AS101</f>
        <v>64235.2254664487</v>
      </c>
      <c r="AU97" s="22" t="n">
        <f aca="false">AT101</f>
        <v>62030.5140803919</v>
      </c>
      <c r="AV97" s="22" t="n">
        <f aca="false">AU101</f>
        <v>59798.2438020094</v>
      </c>
      <c r="AW97" s="22" t="n">
        <f aca="false">AV101</f>
        <v>57538.0701451471</v>
      </c>
      <c r="AX97" s="22" t="n">
        <f aca="false">AW101</f>
        <v>55249.644317574</v>
      </c>
      <c r="AY97" s="22" t="n">
        <f aca="false">AX101</f>
        <v>52932.6131671563</v>
      </c>
      <c r="AZ97" s="22" t="n">
        <f aca="false">AY101</f>
        <v>50586.6191273584</v>
      </c>
      <c r="BA97" s="22" t="n">
        <f aca="false">AZ101</f>
        <v>48211.3001620629</v>
      </c>
      <c r="BB97" s="22" t="n">
        <f aca="false">BA101</f>
        <v>45806.2897097013</v>
      </c>
      <c r="BC97" s="22" t="n">
        <f aca="false">BB101</f>
        <v>43371.2166266852</v>
      </c>
      <c r="BD97" s="22" t="n">
        <f aca="false">BC101</f>
        <v>40905.7051301314</v>
      </c>
      <c r="BE97" s="22" t="n">
        <f aca="false">BD101</f>
        <v>38409.3747398706</v>
      </c>
      <c r="BF97" s="22" t="n">
        <f aca="false">BE101</f>
        <v>35881.8402197316</v>
      </c>
      <c r="BG97" s="22" t="n">
        <f aca="false">BF101</f>
        <v>33322.7115180908</v>
      </c>
      <c r="BH97" s="22" t="n">
        <f aca="false">BG101</f>
        <v>30731.5937076796</v>
      </c>
      <c r="BI97" s="22" t="n">
        <f aca="false">BH101</f>
        <v>28108.0869246381</v>
      </c>
      <c r="BJ97" s="22" t="n">
        <f aca="false">BI101</f>
        <v>25451.7863068087</v>
      </c>
      <c r="BK97" s="22" t="n">
        <f aca="false">BJ101</f>
        <v>22762.2819312564</v>
      </c>
      <c r="BL97" s="22" t="n">
        <f aca="false">BK101</f>
        <v>20039.1587510097</v>
      </c>
      <c r="BM97" s="22" t="n">
        <f aca="false">BL101</f>
        <v>17281.99653101</v>
      </c>
      <c r="BN97" s="22" t="n">
        <f aca="false">BM101</f>
        <v>14490.3697832602</v>
      </c>
      <c r="BO97" s="22" t="n">
        <f aca="false">BN101</f>
        <v>11663.8477011635</v>
      </c>
      <c r="BP97" s="22" t="n">
        <f aca="false">BO101</f>
        <v>8801.99409304069</v>
      </c>
      <c r="BQ97" s="22" t="n">
        <f aca="false">BP101</f>
        <v>5904.36731481629</v>
      </c>
      <c r="BR97" s="22" t="n">
        <f aca="false">BQ101</f>
        <v>2970.5202018641</v>
      </c>
      <c r="BS97" s="22" t="n">
        <f aca="false">BR101</f>
        <v>0</v>
      </c>
      <c r="BT97" s="22" t="n">
        <f aca="false">BS101</f>
        <v>0</v>
      </c>
      <c r="BU97" s="22" t="n">
        <f aca="false">BT101</f>
        <v>0</v>
      </c>
      <c r="BV97" s="22" t="n">
        <f aca="false">BU101</f>
        <v>0</v>
      </c>
      <c r="BW97" s="22" t="n">
        <f aca="false">BV101</f>
        <v>0</v>
      </c>
      <c r="BX97" s="22" t="n">
        <f aca="false">BW101</f>
        <v>0</v>
      </c>
      <c r="BY97" s="22" t="n">
        <f aca="false">BX101</f>
        <v>0</v>
      </c>
      <c r="BZ97" s="22" t="n">
        <f aca="false">BY101</f>
        <v>0</v>
      </c>
      <c r="CA97" s="22" t="n">
        <f aca="false">BZ101</f>
        <v>0</v>
      </c>
      <c r="CB97" s="22" t="n">
        <f aca="false">CA101</f>
        <v>0</v>
      </c>
      <c r="CC97" s="22" t="n">
        <f aca="false">CB101</f>
        <v>0</v>
      </c>
      <c r="CD97" s="22" t="n">
        <f aca="false">CC101</f>
        <v>0</v>
      </c>
      <c r="CE97" s="22" t="n">
        <f aca="false">CD101</f>
        <v>0</v>
      </c>
      <c r="CF97" s="22" t="n">
        <f aca="false">CE101</f>
        <v>0</v>
      </c>
      <c r="CG97" s="22" t="n">
        <f aca="false">CF101</f>
        <v>0</v>
      </c>
      <c r="CH97" s="22" t="n">
        <f aca="false">CG101</f>
        <v>0</v>
      </c>
      <c r="CI97" s="22" t="n">
        <f aca="false">CH101</f>
        <v>0</v>
      </c>
      <c r="CJ97" s="22" t="n">
        <f aca="false">CI101</f>
        <v>0</v>
      </c>
      <c r="CK97" s="22" t="n">
        <f aca="false">CJ101</f>
        <v>0</v>
      </c>
      <c r="CL97" s="22" t="n">
        <f aca="false">CK101</f>
        <v>0</v>
      </c>
      <c r="CM97" s="22" t="n">
        <f aca="false">CL101</f>
        <v>0</v>
      </c>
      <c r="CN97" s="22" t="n">
        <f aca="false">CM101</f>
        <v>0</v>
      </c>
      <c r="CO97" s="22" t="n">
        <f aca="false">CN101</f>
        <v>0</v>
      </c>
      <c r="CP97" s="22" t="n">
        <f aca="false">CO101</f>
        <v>0</v>
      </c>
      <c r="CQ97" s="22" t="n">
        <f aca="false">CP101</f>
        <v>0</v>
      </c>
      <c r="CR97" s="22" t="n">
        <f aca="false">CQ101</f>
        <v>0</v>
      </c>
      <c r="CS97" s="22" t="n">
        <f aca="false">CR101</f>
        <v>0</v>
      </c>
      <c r="CT97" s="22" t="n">
        <f aca="false">CS101</f>
        <v>0</v>
      </c>
      <c r="CU97" s="22" t="n">
        <f aca="false">CT101</f>
        <v>0</v>
      </c>
      <c r="CV97" s="22" t="n">
        <f aca="false">CU101</f>
        <v>0</v>
      </c>
      <c r="CW97" s="22" t="n">
        <f aca="false">CV101</f>
        <v>0</v>
      </c>
      <c r="CX97" s="22" t="n">
        <f aca="false">CW101</f>
        <v>0</v>
      </c>
      <c r="CY97" s="22" t="n">
        <f aca="false">CX101</f>
        <v>0</v>
      </c>
      <c r="CZ97" s="22" t="n">
        <f aca="false">CY101</f>
        <v>0</v>
      </c>
      <c r="DA97" s="22" t="n">
        <f aca="false">CZ101</f>
        <v>0</v>
      </c>
      <c r="DB97" s="22" t="n">
        <f aca="false">DA101</f>
        <v>0</v>
      </c>
      <c r="DC97" s="22" t="n">
        <f aca="false">DB101</f>
        <v>0</v>
      </c>
      <c r="DD97" s="22" t="n">
        <f aca="false">DC101</f>
        <v>0</v>
      </c>
      <c r="DE97" s="22" t="n">
        <f aca="false">DD101</f>
        <v>0</v>
      </c>
      <c r="DF97" s="22" t="n">
        <f aca="false">DE101</f>
        <v>0</v>
      </c>
      <c r="DG97" s="22" t="n">
        <f aca="false">DF101</f>
        <v>0</v>
      </c>
      <c r="DH97" s="22" t="n">
        <f aca="false">DG101</f>
        <v>0</v>
      </c>
      <c r="DI97" s="22" t="n">
        <f aca="false">DH101</f>
        <v>0</v>
      </c>
      <c r="DJ97" s="22" t="n">
        <f aca="false">DI101</f>
        <v>0</v>
      </c>
      <c r="DK97" s="22" t="n">
        <f aca="false">DJ101</f>
        <v>0</v>
      </c>
      <c r="DL97" s="22" t="n">
        <f aca="false">DK101</f>
        <v>0</v>
      </c>
      <c r="DM97" s="22" t="n">
        <f aca="false">DL101</f>
        <v>0</v>
      </c>
      <c r="DN97" s="22" t="n">
        <f aca="false">DM101</f>
        <v>0</v>
      </c>
      <c r="DO97" s="22" t="n">
        <f aca="false">DN101</f>
        <v>0</v>
      </c>
      <c r="DP97" s="22" t="n">
        <f aca="false">DO101</f>
        <v>0</v>
      </c>
      <c r="DQ97" s="22" t="n">
        <f aca="false">DP101</f>
        <v>0</v>
      </c>
      <c r="DR97" s="22" t="n">
        <f aca="false">DQ101</f>
        <v>0</v>
      </c>
      <c r="DS97" s="22" t="n">
        <f aca="false">DR101</f>
        <v>0</v>
      </c>
      <c r="DT97" s="22" t="n">
        <f aca="false">DS101</f>
        <v>0</v>
      </c>
      <c r="DU97" s="22" t="n">
        <f aca="false">DT101</f>
        <v>0</v>
      </c>
      <c r="DV97" s="22" t="n">
        <f aca="false">DU101</f>
        <v>0</v>
      </c>
      <c r="DW97" s="22" t="n">
        <f aca="false">DV101</f>
        <v>0</v>
      </c>
      <c r="DX97" s="22" t="n">
        <f aca="false">DW101</f>
        <v>0</v>
      </c>
      <c r="DY97" s="22" t="n">
        <f aca="false">DX101</f>
        <v>0</v>
      </c>
      <c r="DZ97" s="22" t="n">
        <f aca="false">DY101</f>
        <v>0</v>
      </c>
      <c r="EA97" s="22" t="n">
        <f aca="false">DZ101</f>
        <v>0</v>
      </c>
      <c r="EB97" s="22" t="n">
        <f aca="false">EA101</f>
        <v>0</v>
      </c>
      <c r="EC97" s="22" t="n">
        <f aca="false">EB101</f>
        <v>0</v>
      </c>
      <c r="ED97" s="22" t="n">
        <f aca="false">EC101</f>
        <v>0</v>
      </c>
      <c r="EE97" s="22" t="n">
        <f aca="false">ED101</f>
        <v>0</v>
      </c>
      <c r="EF97" s="22" t="n">
        <f aca="false">EE101</f>
        <v>0</v>
      </c>
      <c r="EG97" s="22" t="n">
        <f aca="false">EF101</f>
        <v>0</v>
      </c>
      <c r="EH97" s="22" t="n">
        <f aca="false">EG101</f>
        <v>0</v>
      </c>
      <c r="EI97" s="22" t="n">
        <f aca="false">EH101</f>
        <v>0</v>
      </c>
      <c r="EJ97" s="22" t="n">
        <f aca="false">EI101</f>
        <v>0</v>
      </c>
      <c r="EK97" s="22" t="n">
        <f aca="false">EJ101</f>
        <v>0</v>
      </c>
      <c r="EL97" s="22" t="n">
        <f aca="false">EK101</f>
        <v>0</v>
      </c>
      <c r="EM97" s="22" t="n">
        <f aca="false">EL101</f>
        <v>0</v>
      </c>
      <c r="EN97" s="22" t="n">
        <f aca="false">EM101</f>
        <v>0</v>
      </c>
      <c r="EO97" s="22" t="n">
        <f aca="false">EN101</f>
        <v>0</v>
      </c>
      <c r="EP97" s="22" t="n">
        <f aca="false">EO101</f>
        <v>0</v>
      </c>
      <c r="EQ97" s="22" t="n">
        <f aca="false">EP101</f>
        <v>0</v>
      </c>
      <c r="ER97" s="22" t="n">
        <f aca="false">EQ101</f>
        <v>0</v>
      </c>
      <c r="ES97" s="22" t="n">
        <f aca="false">ER101</f>
        <v>0</v>
      </c>
      <c r="ET97" s="22" t="n">
        <f aca="false">ES101</f>
        <v>0</v>
      </c>
    </row>
    <row r="98" customFormat="false" ht="15" hidden="false" customHeight="false" outlineLevel="0" collapsed="false">
      <c r="C98" s="0" t="s">
        <v>547</v>
      </c>
      <c r="D98" s="11" t="s">
        <v>247</v>
      </c>
      <c r="E98" s="33" t="n">
        <f aca="false">-IF(In_CN_Turbine=1,In_Gearing_CN,In_Gearing)*($I94+$I53+$I95)</f>
        <v>90176.6324449315</v>
      </c>
      <c r="I98" s="33" t="n">
        <f aca="false">SUM(J98:ET98)</f>
        <v>90176.6324449315</v>
      </c>
      <c r="J98" s="33" t="n">
        <f aca="false">$E98*J13</f>
        <v>0</v>
      </c>
      <c r="K98" s="33" t="n">
        <f aca="false">$E98*K13</f>
        <v>0</v>
      </c>
      <c r="L98" s="33" t="n">
        <f aca="false">$E98*L13</f>
        <v>0</v>
      </c>
      <c r="M98" s="33" t="n">
        <f aca="false">$E98*M13</f>
        <v>0</v>
      </c>
      <c r="N98" s="33" t="n">
        <f aca="false">$E98*N13</f>
        <v>0</v>
      </c>
      <c r="O98" s="33" t="n">
        <f aca="false">$E98*O13</f>
        <v>0</v>
      </c>
      <c r="P98" s="33" t="n">
        <f aca="false">$E98*P13</f>
        <v>0</v>
      </c>
      <c r="Q98" s="33" t="n">
        <f aca="false">$E98*Q13</f>
        <v>0</v>
      </c>
      <c r="R98" s="33" t="n">
        <f aca="false">$E98*R13</f>
        <v>0</v>
      </c>
      <c r="S98" s="33" t="n">
        <f aca="false">$E98*S13</f>
        <v>0</v>
      </c>
      <c r="T98" s="33" t="n">
        <f aca="false">$E98*T13</f>
        <v>0</v>
      </c>
      <c r="U98" s="33" t="n">
        <f aca="false">$E98*U13</f>
        <v>0</v>
      </c>
      <c r="V98" s="33" t="n">
        <f aca="false">$E98*V13</f>
        <v>0</v>
      </c>
      <c r="W98" s="33" t="n">
        <f aca="false">$E98*W13</f>
        <v>11364.7262807311</v>
      </c>
      <c r="X98" s="33" t="n">
        <f aca="false">$E98*X13</f>
        <v>11117.6670137587</v>
      </c>
      <c r="Y98" s="33" t="n">
        <f aca="false">$E98*Y13</f>
        <v>11241.1966472449</v>
      </c>
      <c r="Z98" s="33" t="n">
        <f aca="false">$E98*Z13</f>
        <v>11364.7262807311</v>
      </c>
      <c r="AA98" s="33" t="n">
        <f aca="false">$E98*AA13</f>
        <v>11364.7262807311</v>
      </c>
      <c r="AB98" s="33" t="n">
        <f aca="false">$E98*AB13</f>
        <v>11117.6670137587</v>
      </c>
      <c r="AC98" s="33" t="n">
        <f aca="false">$E98*AC13</f>
        <v>11241.1966472449</v>
      </c>
      <c r="AD98" s="33" t="n">
        <f aca="false">$E98*AD13</f>
        <v>11364.7262807311</v>
      </c>
      <c r="AE98" s="33" t="n">
        <f aca="false">$E98*AE13</f>
        <v>0</v>
      </c>
      <c r="AF98" s="33" t="n">
        <f aca="false">$E98*AF13</f>
        <v>0</v>
      </c>
      <c r="AG98" s="33" t="n">
        <f aca="false">$E98*AG13</f>
        <v>0</v>
      </c>
      <c r="AH98" s="33" t="n">
        <f aca="false">$E98*AH13</f>
        <v>0</v>
      </c>
      <c r="AI98" s="33" t="n">
        <f aca="false">$E98*AI13</f>
        <v>0</v>
      </c>
      <c r="AJ98" s="33" t="n">
        <f aca="false">$E98*AJ13</f>
        <v>0</v>
      </c>
      <c r="AK98" s="33" t="n">
        <f aca="false">$E98*AK13</f>
        <v>0</v>
      </c>
      <c r="AL98" s="33" t="n">
        <f aca="false">$E98*AL13</f>
        <v>0</v>
      </c>
      <c r="AM98" s="33" t="n">
        <f aca="false">$E98*AM13</f>
        <v>0</v>
      </c>
      <c r="AN98" s="33" t="n">
        <f aca="false">$E98*AN13</f>
        <v>0</v>
      </c>
      <c r="AO98" s="33" t="n">
        <f aca="false">$E98*AO13</f>
        <v>0</v>
      </c>
      <c r="AP98" s="33" t="n">
        <f aca="false">$E98*AP13</f>
        <v>0</v>
      </c>
      <c r="AQ98" s="33" t="n">
        <f aca="false">$E98*AQ13</f>
        <v>0</v>
      </c>
      <c r="AR98" s="33" t="n">
        <f aca="false">$E98*AR13</f>
        <v>0</v>
      </c>
      <c r="AS98" s="33" t="n">
        <f aca="false">$E98*AS13</f>
        <v>0</v>
      </c>
      <c r="AT98" s="33" t="n">
        <f aca="false">$E98*AT13</f>
        <v>0</v>
      </c>
      <c r="AU98" s="33" t="n">
        <f aca="false">$E98*AU13</f>
        <v>0</v>
      </c>
      <c r="AV98" s="33" t="n">
        <f aca="false">$E98*AV13</f>
        <v>0</v>
      </c>
      <c r="AW98" s="33" t="n">
        <f aca="false">$E98*AW13</f>
        <v>0</v>
      </c>
      <c r="AX98" s="33" t="n">
        <f aca="false">$E98*AX13</f>
        <v>0</v>
      </c>
      <c r="AY98" s="33" t="n">
        <f aca="false">$E98*AY13</f>
        <v>0</v>
      </c>
      <c r="AZ98" s="33" t="n">
        <f aca="false">$E98*AZ13</f>
        <v>0</v>
      </c>
      <c r="BA98" s="33" t="n">
        <f aca="false">$E98*BA13</f>
        <v>0</v>
      </c>
      <c r="BB98" s="33" t="n">
        <f aca="false">$E98*BB13</f>
        <v>0</v>
      </c>
      <c r="BC98" s="33" t="n">
        <f aca="false">$E98*BC13</f>
        <v>0</v>
      </c>
      <c r="BD98" s="33" t="n">
        <f aca="false">$E98*BD13</f>
        <v>0</v>
      </c>
      <c r="BE98" s="33" t="n">
        <f aca="false">$E98*BE13</f>
        <v>0</v>
      </c>
      <c r="BF98" s="33" t="n">
        <f aca="false">$E98*BF13</f>
        <v>0</v>
      </c>
      <c r="BG98" s="33" t="n">
        <f aca="false">$E98*BG13</f>
        <v>0</v>
      </c>
      <c r="BH98" s="33" t="n">
        <f aca="false">$E98*BH13</f>
        <v>0</v>
      </c>
      <c r="BI98" s="33" t="n">
        <f aca="false">$E98*BI13</f>
        <v>0</v>
      </c>
      <c r="BJ98" s="33" t="n">
        <f aca="false">$E98*BJ13</f>
        <v>0</v>
      </c>
      <c r="BK98" s="33" t="n">
        <f aca="false">$E98*BK13</f>
        <v>0</v>
      </c>
      <c r="BL98" s="33" t="n">
        <f aca="false">$E98*BL13</f>
        <v>0</v>
      </c>
      <c r="BM98" s="33" t="n">
        <f aca="false">$E98*BM13</f>
        <v>0</v>
      </c>
      <c r="BN98" s="33" t="n">
        <f aca="false">$E98*BN13</f>
        <v>0</v>
      </c>
      <c r="BO98" s="33" t="n">
        <f aca="false">$E98*BO13</f>
        <v>0</v>
      </c>
      <c r="BP98" s="33" t="n">
        <f aca="false">$E98*BP13</f>
        <v>0</v>
      </c>
      <c r="BQ98" s="33" t="n">
        <f aca="false">$E98*BQ13</f>
        <v>0</v>
      </c>
      <c r="BR98" s="33" t="n">
        <f aca="false">$E98*BR13</f>
        <v>0</v>
      </c>
      <c r="BS98" s="33" t="n">
        <f aca="false">$E98*BS13</f>
        <v>0</v>
      </c>
      <c r="BT98" s="33" t="n">
        <f aca="false">$E98*BT13</f>
        <v>0</v>
      </c>
      <c r="BU98" s="33" t="n">
        <f aca="false">$E98*BU13</f>
        <v>0</v>
      </c>
      <c r="BV98" s="33" t="n">
        <f aca="false">$E98*BV13</f>
        <v>0</v>
      </c>
      <c r="BW98" s="33" t="n">
        <f aca="false">$E98*BW13</f>
        <v>0</v>
      </c>
      <c r="BX98" s="33" t="n">
        <f aca="false">$E98*BX13</f>
        <v>0</v>
      </c>
      <c r="BY98" s="33" t="n">
        <f aca="false">$E98*BY13</f>
        <v>0</v>
      </c>
      <c r="BZ98" s="33" t="n">
        <f aca="false">$E98*BZ13</f>
        <v>0</v>
      </c>
      <c r="CA98" s="33" t="n">
        <f aca="false">$E98*CA13</f>
        <v>0</v>
      </c>
      <c r="CB98" s="33" t="n">
        <f aca="false">$E98*CB13</f>
        <v>0</v>
      </c>
      <c r="CC98" s="33" t="n">
        <f aca="false">$E98*CC13</f>
        <v>0</v>
      </c>
      <c r="CD98" s="33" t="n">
        <f aca="false">$E98*CD13</f>
        <v>0</v>
      </c>
      <c r="CE98" s="33" t="n">
        <f aca="false">$E98*CE13</f>
        <v>0</v>
      </c>
      <c r="CF98" s="33" t="n">
        <f aca="false">$E98*CF13</f>
        <v>0</v>
      </c>
      <c r="CG98" s="33" t="n">
        <f aca="false">$E98*CG13</f>
        <v>0</v>
      </c>
      <c r="CH98" s="33" t="n">
        <f aca="false">$E98*CH13</f>
        <v>0</v>
      </c>
      <c r="CI98" s="33" t="n">
        <f aca="false">$E98*CI13</f>
        <v>0</v>
      </c>
      <c r="CJ98" s="33" t="n">
        <f aca="false">$E98*CJ13</f>
        <v>0</v>
      </c>
      <c r="CK98" s="33" t="n">
        <f aca="false">$E98*CK13</f>
        <v>0</v>
      </c>
      <c r="CL98" s="33" t="n">
        <f aca="false">$E98*CL13</f>
        <v>0</v>
      </c>
      <c r="CM98" s="33" t="n">
        <f aca="false">$E98*CM13</f>
        <v>0</v>
      </c>
      <c r="CN98" s="33" t="n">
        <f aca="false">$E98*CN13</f>
        <v>0</v>
      </c>
      <c r="CO98" s="33" t="n">
        <f aca="false">$E98*CO13</f>
        <v>0</v>
      </c>
      <c r="CP98" s="33" t="n">
        <f aca="false">$E98*CP13</f>
        <v>0</v>
      </c>
      <c r="CQ98" s="33" t="n">
        <f aca="false">$E98*CQ13</f>
        <v>0</v>
      </c>
      <c r="CR98" s="33" t="n">
        <f aca="false">$E98*CR13</f>
        <v>0</v>
      </c>
      <c r="CS98" s="33" t="n">
        <f aca="false">$E98*CS13</f>
        <v>0</v>
      </c>
      <c r="CT98" s="33" t="n">
        <f aca="false">$E98*CT13</f>
        <v>0</v>
      </c>
      <c r="CU98" s="33" t="n">
        <f aca="false">$E98*CU13</f>
        <v>0</v>
      </c>
      <c r="CV98" s="33" t="n">
        <f aca="false">$E98*CV13</f>
        <v>0</v>
      </c>
      <c r="CW98" s="33" t="n">
        <f aca="false">$E98*CW13</f>
        <v>0</v>
      </c>
      <c r="CX98" s="33" t="n">
        <f aca="false">$E98*CX13</f>
        <v>0</v>
      </c>
      <c r="CY98" s="33" t="n">
        <f aca="false">$E98*CY13</f>
        <v>0</v>
      </c>
      <c r="CZ98" s="33" t="n">
        <f aca="false">$E98*CZ13</f>
        <v>0</v>
      </c>
      <c r="DA98" s="33" t="n">
        <f aca="false">$E98*DA13</f>
        <v>0</v>
      </c>
      <c r="DB98" s="33" t="n">
        <f aca="false">$E98*DB13</f>
        <v>0</v>
      </c>
      <c r="DC98" s="33" t="n">
        <f aca="false">$E98*DC13</f>
        <v>0</v>
      </c>
      <c r="DD98" s="33" t="n">
        <f aca="false">$E98*DD13</f>
        <v>0</v>
      </c>
      <c r="DE98" s="33" t="n">
        <f aca="false">$E98*DE13</f>
        <v>0</v>
      </c>
      <c r="DF98" s="33" t="n">
        <f aca="false">$E98*DF13</f>
        <v>0</v>
      </c>
      <c r="DG98" s="33" t="n">
        <f aca="false">$E98*DG13</f>
        <v>0</v>
      </c>
      <c r="DH98" s="33" t="n">
        <f aca="false">$E98*DH13</f>
        <v>0</v>
      </c>
      <c r="DI98" s="33" t="n">
        <f aca="false">$E98*DI13</f>
        <v>0</v>
      </c>
      <c r="DJ98" s="33" t="n">
        <f aca="false">$E98*DJ13</f>
        <v>0</v>
      </c>
      <c r="DK98" s="33" t="n">
        <f aca="false">$E98*DK13</f>
        <v>0</v>
      </c>
      <c r="DL98" s="33" t="n">
        <f aca="false">$E98*DL13</f>
        <v>0</v>
      </c>
      <c r="DM98" s="33" t="n">
        <f aca="false">$E98*DM13</f>
        <v>0</v>
      </c>
      <c r="DN98" s="33" t="n">
        <f aca="false">$E98*DN13</f>
        <v>0</v>
      </c>
      <c r="DO98" s="33" t="n">
        <f aca="false">$E98*DO13</f>
        <v>0</v>
      </c>
      <c r="DP98" s="33" t="n">
        <f aca="false">$E98*DP13</f>
        <v>0</v>
      </c>
      <c r="DQ98" s="33" t="n">
        <f aca="false">$E98*DQ13</f>
        <v>0</v>
      </c>
      <c r="DR98" s="33" t="n">
        <f aca="false">$E98*DR13</f>
        <v>0</v>
      </c>
      <c r="DS98" s="33" t="n">
        <f aca="false">$E98*DS13</f>
        <v>0</v>
      </c>
      <c r="DT98" s="33" t="n">
        <f aca="false">$E98*DT13</f>
        <v>0</v>
      </c>
      <c r="DU98" s="33" t="n">
        <f aca="false">$E98*DU13</f>
        <v>0</v>
      </c>
      <c r="DV98" s="33" t="n">
        <f aca="false">$E98*DV13</f>
        <v>0</v>
      </c>
      <c r="DW98" s="33" t="n">
        <f aca="false">$E98*DW13</f>
        <v>0</v>
      </c>
      <c r="DX98" s="33" t="n">
        <f aca="false">$E98*DX13</f>
        <v>0</v>
      </c>
      <c r="DY98" s="33" t="n">
        <f aca="false">$E98*DY13</f>
        <v>0</v>
      </c>
      <c r="DZ98" s="33" t="n">
        <f aca="false">$E98*DZ13</f>
        <v>0</v>
      </c>
      <c r="EA98" s="33" t="n">
        <f aca="false">$E98*EA13</f>
        <v>0</v>
      </c>
      <c r="EB98" s="33" t="n">
        <f aca="false">$E98*EB13</f>
        <v>0</v>
      </c>
      <c r="EC98" s="33" t="n">
        <f aca="false">$E98*EC13</f>
        <v>0</v>
      </c>
      <c r="ED98" s="33" t="n">
        <f aca="false">$E98*ED13</f>
        <v>0</v>
      </c>
      <c r="EE98" s="33" t="n">
        <f aca="false">$E98*EE13</f>
        <v>0</v>
      </c>
      <c r="EF98" s="33" t="n">
        <f aca="false">$E98*EF13</f>
        <v>0</v>
      </c>
      <c r="EG98" s="33" t="n">
        <f aca="false">$E98*EG13</f>
        <v>0</v>
      </c>
      <c r="EH98" s="33" t="n">
        <f aca="false">$E98*EH13</f>
        <v>0</v>
      </c>
      <c r="EI98" s="33" t="n">
        <f aca="false">$E98*EI13</f>
        <v>0</v>
      </c>
      <c r="EJ98" s="33" t="n">
        <f aca="false">$E98*EJ13</f>
        <v>0</v>
      </c>
      <c r="EK98" s="33" t="n">
        <f aca="false">$E98*EK13</f>
        <v>0</v>
      </c>
      <c r="EL98" s="33" t="n">
        <f aca="false">$E98*EL13</f>
        <v>0</v>
      </c>
      <c r="EM98" s="33" t="n">
        <f aca="false">$E98*EM13</f>
        <v>0</v>
      </c>
      <c r="EN98" s="33" t="n">
        <f aca="false">$E98*EN13</f>
        <v>0</v>
      </c>
      <c r="EO98" s="33" t="n">
        <f aca="false">$E98*EO13</f>
        <v>0</v>
      </c>
      <c r="EP98" s="33" t="n">
        <f aca="false">$E98*EP13</f>
        <v>0</v>
      </c>
      <c r="EQ98" s="33" t="n">
        <f aca="false">$E98*EQ13</f>
        <v>0</v>
      </c>
      <c r="ER98" s="33" t="n">
        <f aca="false">$E98*ER13</f>
        <v>0</v>
      </c>
      <c r="ES98" s="33" t="n">
        <f aca="false">$E98*ES13</f>
        <v>0</v>
      </c>
      <c r="ET98" s="33" t="n">
        <f aca="false">$E98*ET13</f>
        <v>0</v>
      </c>
    </row>
    <row r="99" customFormat="false" ht="15" hidden="false" customHeight="false" outlineLevel="0" collapsed="false">
      <c r="C99" s="0" t="s">
        <v>548</v>
      </c>
      <c r="D99" s="11" t="s">
        <v>247</v>
      </c>
      <c r="F99" s="53" t="n">
        <f aca="false">In_Debt_Rate*Months_Per_Period/Months_In_Year</f>
        <v>0.0125</v>
      </c>
      <c r="I99" s="33" t="n">
        <f aca="false">SUM(J99:ET99)</f>
        <v>4043.87147763789</v>
      </c>
      <c r="J99" s="33" t="n">
        <f aca="false">J97*$F99*(J$4&lt;=In_COD)</f>
        <v>0</v>
      </c>
      <c r="K99" s="33" t="n">
        <f aca="false">K97*$F99*(K$4&lt;=In_COD)</f>
        <v>0</v>
      </c>
      <c r="L99" s="33" t="n">
        <f aca="false">L97*$F99*(L$4&lt;=In_COD)</f>
        <v>0</v>
      </c>
      <c r="M99" s="33" t="n">
        <f aca="false">M97*$F99*(M$4&lt;=In_COD)</f>
        <v>0</v>
      </c>
      <c r="N99" s="33" t="n">
        <f aca="false">N97*$F99*(N$4&lt;=In_COD)</f>
        <v>0</v>
      </c>
      <c r="O99" s="33" t="n">
        <f aca="false">O97*$F99*(O$4&lt;=In_COD)</f>
        <v>0</v>
      </c>
      <c r="P99" s="33" t="n">
        <f aca="false">P97*$F99*(P$4&lt;=In_COD)</f>
        <v>0</v>
      </c>
      <c r="Q99" s="33" t="n">
        <f aca="false">Q97*$F99*(Q$4&lt;=In_COD)</f>
        <v>0</v>
      </c>
      <c r="R99" s="33" t="n">
        <f aca="false">R97*$F99*(R$4&lt;=In_COD)</f>
        <v>0</v>
      </c>
      <c r="S99" s="33" t="n">
        <f aca="false">S97*$F99*(S$4&lt;=In_COD)</f>
        <v>0</v>
      </c>
      <c r="T99" s="33" t="n">
        <f aca="false">T97*$F99*(T$4&lt;=In_COD)</f>
        <v>0</v>
      </c>
      <c r="U99" s="33" t="n">
        <f aca="false">U97*$F99*(U$4&lt;=In_COD)</f>
        <v>0</v>
      </c>
      <c r="V99" s="33" t="n">
        <f aca="false">V97*$F99*(V$4&lt;=In_COD)</f>
        <v>0</v>
      </c>
      <c r="W99" s="33" t="n">
        <f aca="false">W97*$F99*(W$4&lt;=In_COD)</f>
        <v>0</v>
      </c>
      <c r="X99" s="33" t="n">
        <f aca="false">X97*$F99*(X$4&lt;=In_COD)</f>
        <v>142.059078509139</v>
      </c>
      <c r="Y99" s="33" t="n">
        <f aca="false">Y97*$F99*(Y$4&lt;=In_COD)</f>
        <v>282.805654662486</v>
      </c>
      <c r="Z99" s="33" t="n">
        <f aca="false">Z97*$F99*(Z$4&lt;=In_COD)</f>
        <v>426.855683436329</v>
      </c>
      <c r="AA99" s="33" t="n">
        <f aca="false">AA97*$F99*(AA$4&lt;=In_COD)</f>
        <v>574.250457988422</v>
      </c>
      <c r="AB99" s="33" t="n">
        <f aca="false">AB97*$F99*(AB$4&lt;=In_COD)</f>
        <v>723.487667222415</v>
      </c>
      <c r="AC99" s="33" t="n">
        <f aca="false">AC97*$F99*(AC$4&lt;=In_COD)</f>
        <v>871.502100734679</v>
      </c>
      <c r="AD99" s="33" t="n">
        <f aca="false">AD97*$F99*(AD$4&lt;=In_COD)</f>
        <v>1022.91083508442</v>
      </c>
      <c r="AE99" s="33" t="n">
        <f aca="false">AE97*$F99*(AE$4&lt;=In_COD)</f>
        <v>0</v>
      </c>
      <c r="AF99" s="33" t="n">
        <f aca="false">AF97*$F99*(AF$4&lt;=In_COD)</f>
        <v>0</v>
      </c>
      <c r="AG99" s="33" t="n">
        <f aca="false">AG97*$F99*(AG$4&lt;=In_COD)</f>
        <v>0</v>
      </c>
      <c r="AH99" s="33" t="n">
        <f aca="false">AH97*$F99*(AH$4&lt;=In_COD)</f>
        <v>0</v>
      </c>
      <c r="AI99" s="33" t="n">
        <f aca="false">AI97*$F99*(AI$4&lt;=In_COD)</f>
        <v>0</v>
      </c>
      <c r="AJ99" s="33" t="n">
        <f aca="false">AJ97*$F99*(AJ$4&lt;=In_COD)</f>
        <v>0</v>
      </c>
      <c r="AK99" s="33" t="n">
        <f aca="false">AK97*$F99*(AK$4&lt;=In_COD)</f>
        <v>0</v>
      </c>
      <c r="AL99" s="33" t="n">
        <f aca="false">AL97*$F99*(AL$4&lt;=In_COD)</f>
        <v>0</v>
      </c>
      <c r="AM99" s="33" t="n">
        <f aca="false">AM97*$F99*(AM$4&lt;=In_COD)</f>
        <v>0</v>
      </c>
      <c r="AN99" s="33" t="n">
        <f aca="false">AN97*$F99*(AN$4&lt;=In_COD)</f>
        <v>0</v>
      </c>
      <c r="AO99" s="33" t="n">
        <f aca="false">AO97*$F99*(AO$4&lt;=In_COD)</f>
        <v>0</v>
      </c>
      <c r="AP99" s="33" t="n">
        <f aca="false">AP97*$F99*(AP$4&lt;=In_COD)</f>
        <v>0</v>
      </c>
      <c r="AQ99" s="33" t="n">
        <f aca="false">AQ97*$F99*(AQ$4&lt;=In_COD)</f>
        <v>0</v>
      </c>
      <c r="AR99" s="33" t="n">
        <f aca="false">AR97*$F99*(AR$4&lt;=In_COD)</f>
        <v>0</v>
      </c>
      <c r="AS99" s="33" t="n">
        <f aca="false">AS97*$F99*(AS$4&lt;=In_COD)</f>
        <v>0</v>
      </c>
      <c r="AT99" s="33" t="n">
        <f aca="false">AT97*$F99*(AT$4&lt;=In_COD)</f>
        <v>0</v>
      </c>
      <c r="AU99" s="33" t="n">
        <f aca="false">AU97*$F99*(AU$4&lt;=In_COD)</f>
        <v>0</v>
      </c>
      <c r="AV99" s="33" t="n">
        <f aca="false">AV97*$F99*(AV$4&lt;=In_COD)</f>
        <v>0</v>
      </c>
      <c r="AW99" s="33" t="n">
        <f aca="false">AW97*$F99*(AW$4&lt;=In_COD)</f>
        <v>0</v>
      </c>
      <c r="AX99" s="33" t="n">
        <f aca="false">AX97*$F99*(AX$4&lt;=In_COD)</f>
        <v>0</v>
      </c>
      <c r="AY99" s="33" t="n">
        <f aca="false">AY97*$F99*(AY$4&lt;=In_COD)</f>
        <v>0</v>
      </c>
      <c r="AZ99" s="33" t="n">
        <f aca="false">AZ97*$F99*(AZ$4&lt;=In_COD)</f>
        <v>0</v>
      </c>
      <c r="BA99" s="33" t="n">
        <f aca="false">BA97*$F99*(BA$4&lt;=In_COD)</f>
        <v>0</v>
      </c>
      <c r="BB99" s="33" t="n">
        <f aca="false">BB97*$F99*(BB$4&lt;=In_COD)</f>
        <v>0</v>
      </c>
      <c r="BC99" s="33" t="n">
        <f aca="false">BC97*$F99*(BC$4&lt;=In_COD)</f>
        <v>0</v>
      </c>
      <c r="BD99" s="33" t="n">
        <f aca="false">BD97*$F99*(BD$4&lt;=In_COD)</f>
        <v>0</v>
      </c>
      <c r="BE99" s="33" t="n">
        <f aca="false">BE97*$F99*(BE$4&lt;=In_COD)</f>
        <v>0</v>
      </c>
      <c r="BF99" s="33" t="n">
        <f aca="false">BF97*$F99*(BF$4&lt;=In_COD)</f>
        <v>0</v>
      </c>
      <c r="BG99" s="33" t="n">
        <f aca="false">BG97*$F99*(BG$4&lt;=In_COD)</f>
        <v>0</v>
      </c>
      <c r="BH99" s="33" t="n">
        <f aca="false">BH97*$F99*(BH$4&lt;=In_COD)</f>
        <v>0</v>
      </c>
      <c r="BI99" s="33" t="n">
        <f aca="false">BI97*$F99*(BI$4&lt;=In_COD)</f>
        <v>0</v>
      </c>
      <c r="BJ99" s="33" t="n">
        <f aca="false">BJ97*$F99*(BJ$4&lt;=In_COD)</f>
        <v>0</v>
      </c>
      <c r="BK99" s="33" t="n">
        <f aca="false">BK97*$F99*(BK$4&lt;=In_COD)</f>
        <v>0</v>
      </c>
      <c r="BL99" s="33" t="n">
        <f aca="false">BL97*$F99*(BL$4&lt;=In_COD)</f>
        <v>0</v>
      </c>
      <c r="BM99" s="33" t="n">
        <f aca="false">BM97*$F99*(BM$4&lt;=In_COD)</f>
        <v>0</v>
      </c>
      <c r="BN99" s="33" t="n">
        <f aca="false">BN97*$F99*(BN$4&lt;=In_COD)</f>
        <v>0</v>
      </c>
      <c r="BO99" s="33" t="n">
        <f aca="false">BO97*$F99*(BO$4&lt;=In_COD)</f>
        <v>0</v>
      </c>
      <c r="BP99" s="33" t="n">
        <f aca="false">BP97*$F99*(BP$4&lt;=In_COD)</f>
        <v>0</v>
      </c>
      <c r="BQ99" s="33" t="n">
        <f aca="false">BQ97*$F99*(BQ$4&lt;=In_COD)</f>
        <v>0</v>
      </c>
      <c r="BR99" s="33" t="n">
        <f aca="false">BR97*$F99*(BR$4&lt;=In_COD)</f>
        <v>0</v>
      </c>
      <c r="BS99" s="33" t="n">
        <f aca="false">BS97*$F99*(BS$4&lt;=In_COD)</f>
        <v>0</v>
      </c>
      <c r="BT99" s="33" t="n">
        <f aca="false">BT97*$F99*(BT$4&lt;=In_COD)</f>
        <v>0</v>
      </c>
      <c r="BU99" s="33" t="n">
        <f aca="false">BU97*$F99*(BU$4&lt;=In_COD)</f>
        <v>0</v>
      </c>
      <c r="BV99" s="33" t="n">
        <f aca="false">BV97*$F99*(BV$4&lt;=In_COD)</f>
        <v>0</v>
      </c>
      <c r="BW99" s="33" t="n">
        <f aca="false">BW97*$F99*(BW$4&lt;=In_COD)</f>
        <v>0</v>
      </c>
      <c r="BX99" s="33" t="n">
        <f aca="false">BX97*$F99*(BX$4&lt;=In_COD)</f>
        <v>0</v>
      </c>
      <c r="BY99" s="33" t="n">
        <f aca="false">BY97*$F99*(BY$4&lt;=In_COD)</f>
        <v>0</v>
      </c>
      <c r="BZ99" s="33" t="n">
        <f aca="false">BZ97*$F99*(BZ$4&lt;=In_COD)</f>
        <v>0</v>
      </c>
      <c r="CA99" s="33" t="n">
        <f aca="false">CA97*$F99*(CA$4&lt;=In_COD)</f>
        <v>0</v>
      </c>
      <c r="CB99" s="33" t="n">
        <f aca="false">CB97*$F99*(CB$4&lt;=In_COD)</f>
        <v>0</v>
      </c>
      <c r="CC99" s="33" t="n">
        <f aca="false">CC97*$F99*(CC$4&lt;=In_COD)</f>
        <v>0</v>
      </c>
      <c r="CD99" s="33" t="n">
        <f aca="false">CD97*$F99*(CD$4&lt;=In_COD)</f>
        <v>0</v>
      </c>
      <c r="CE99" s="33" t="n">
        <f aca="false">CE97*$F99*(CE$4&lt;=In_COD)</f>
        <v>0</v>
      </c>
      <c r="CF99" s="33" t="n">
        <f aca="false">CF97*$F99*(CF$4&lt;=In_COD)</f>
        <v>0</v>
      </c>
      <c r="CG99" s="33" t="n">
        <f aca="false">CG97*$F99*(CG$4&lt;=In_COD)</f>
        <v>0</v>
      </c>
      <c r="CH99" s="33" t="n">
        <f aca="false">CH97*$F99*(CH$4&lt;=In_COD)</f>
        <v>0</v>
      </c>
      <c r="CI99" s="33" t="n">
        <f aca="false">CI97*$F99*(CI$4&lt;=In_COD)</f>
        <v>0</v>
      </c>
      <c r="CJ99" s="33" t="n">
        <f aca="false">CJ97*$F99*(CJ$4&lt;=In_COD)</f>
        <v>0</v>
      </c>
      <c r="CK99" s="33" t="n">
        <f aca="false">CK97*$F99*(CK$4&lt;=In_COD)</f>
        <v>0</v>
      </c>
      <c r="CL99" s="33" t="n">
        <f aca="false">CL97*$F99*(CL$4&lt;=In_COD)</f>
        <v>0</v>
      </c>
      <c r="CM99" s="33" t="n">
        <f aca="false">CM97*$F99*(CM$4&lt;=In_COD)</f>
        <v>0</v>
      </c>
      <c r="CN99" s="33" t="n">
        <f aca="false">CN97*$F99*(CN$4&lt;=In_COD)</f>
        <v>0</v>
      </c>
      <c r="CO99" s="33" t="n">
        <f aca="false">CO97*$F99*(CO$4&lt;=In_COD)</f>
        <v>0</v>
      </c>
      <c r="CP99" s="33" t="n">
        <f aca="false">CP97*$F99*(CP$4&lt;=In_COD)</f>
        <v>0</v>
      </c>
      <c r="CQ99" s="33" t="n">
        <f aca="false">CQ97*$F99*(CQ$4&lt;=In_COD)</f>
        <v>0</v>
      </c>
      <c r="CR99" s="33" t="n">
        <f aca="false">CR97*$F99*(CR$4&lt;=In_COD)</f>
        <v>0</v>
      </c>
      <c r="CS99" s="33" t="n">
        <f aca="false">CS97*$F99*(CS$4&lt;=In_COD)</f>
        <v>0</v>
      </c>
      <c r="CT99" s="33" t="n">
        <f aca="false">CT97*$F99*(CT$4&lt;=In_COD)</f>
        <v>0</v>
      </c>
      <c r="CU99" s="33" t="n">
        <f aca="false">CU97*$F99*(CU$4&lt;=In_COD)</f>
        <v>0</v>
      </c>
      <c r="CV99" s="33" t="n">
        <f aca="false">CV97*$F99*(CV$4&lt;=In_COD)</f>
        <v>0</v>
      </c>
      <c r="CW99" s="33" t="n">
        <f aca="false">CW97*$F99*(CW$4&lt;=In_COD)</f>
        <v>0</v>
      </c>
      <c r="CX99" s="33" t="n">
        <f aca="false">CX97*$F99*(CX$4&lt;=In_COD)</f>
        <v>0</v>
      </c>
      <c r="CY99" s="33" t="n">
        <f aca="false">CY97*$F99*(CY$4&lt;=In_COD)</f>
        <v>0</v>
      </c>
      <c r="CZ99" s="33" t="n">
        <f aca="false">CZ97*$F99*(CZ$4&lt;=In_COD)</f>
        <v>0</v>
      </c>
      <c r="DA99" s="33" t="n">
        <f aca="false">DA97*$F99*(DA$4&lt;=In_COD)</f>
        <v>0</v>
      </c>
      <c r="DB99" s="33" t="n">
        <f aca="false">DB97*$F99*(DB$4&lt;=In_COD)</f>
        <v>0</v>
      </c>
      <c r="DC99" s="33" t="n">
        <f aca="false">DC97*$F99*(DC$4&lt;=In_COD)</f>
        <v>0</v>
      </c>
      <c r="DD99" s="33" t="n">
        <f aca="false">DD97*$F99*(DD$4&lt;=In_COD)</f>
        <v>0</v>
      </c>
      <c r="DE99" s="33" t="n">
        <f aca="false">DE97*$F99*(DE$4&lt;=In_COD)</f>
        <v>0</v>
      </c>
      <c r="DF99" s="33" t="n">
        <f aca="false">DF97*$F99*(DF$4&lt;=In_COD)</f>
        <v>0</v>
      </c>
      <c r="DG99" s="33" t="n">
        <f aca="false">DG97*$F99*(DG$4&lt;=In_COD)</f>
        <v>0</v>
      </c>
      <c r="DH99" s="33" t="n">
        <f aca="false">DH97*$F99*(DH$4&lt;=In_COD)</f>
        <v>0</v>
      </c>
      <c r="DI99" s="33" t="n">
        <f aca="false">DI97*$F99*(DI$4&lt;=In_COD)</f>
        <v>0</v>
      </c>
      <c r="DJ99" s="33" t="n">
        <f aca="false">DJ97*$F99*(DJ$4&lt;=In_COD)</f>
        <v>0</v>
      </c>
      <c r="DK99" s="33" t="n">
        <f aca="false">DK97*$F99*(DK$4&lt;=In_COD)</f>
        <v>0</v>
      </c>
      <c r="DL99" s="33" t="n">
        <f aca="false">DL97*$F99*(DL$4&lt;=In_COD)</f>
        <v>0</v>
      </c>
      <c r="DM99" s="33" t="n">
        <f aca="false">DM97*$F99*(DM$4&lt;=In_COD)</f>
        <v>0</v>
      </c>
      <c r="DN99" s="33" t="n">
        <f aca="false">DN97*$F99*(DN$4&lt;=In_COD)</f>
        <v>0</v>
      </c>
      <c r="DO99" s="33" t="n">
        <f aca="false">DO97*$F99*(DO$4&lt;=In_COD)</f>
        <v>0</v>
      </c>
      <c r="DP99" s="33" t="n">
        <f aca="false">DP97*$F99*(DP$4&lt;=In_COD)</f>
        <v>0</v>
      </c>
      <c r="DQ99" s="33" t="n">
        <f aca="false">DQ97*$F99*(DQ$4&lt;=In_COD)</f>
        <v>0</v>
      </c>
      <c r="DR99" s="33" t="n">
        <f aca="false">DR97*$F99*(DR$4&lt;=In_COD)</f>
        <v>0</v>
      </c>
      <c r="DS99" s="33" t="n">
        <f aca="false">DS97*$F99*(DS$4&lt;=In_COD)</f>
        <v>0</v>
      </c>
      <c r="DT99" s="33" t="n">
        <f aca="false">DT97*$F99*(DT$4&lt;=In_COD)</f>
        <v>0</v>
      </c>
      <c r="DU99" s="33" t="n">
        <f aca="false">DU97*$F99*(DU$4&lt;=In_COD)</f>
        <v>0</v>
      </c>
      <c r="DV99" s="33" t="n">
        <f aca="false">DV97*$F99*(DV$4&lt;=In_COD)</f>
        <v>0</v>
      </c>
      <c r="DW99" s="33" t="n">
        <f aca="false">DW97*$F99*(DW$4&lt;=In_COD)</f>
        <v>0</v>
      </c>
      <c r="DX99" s="33" t="n">
        <f aca="false">DX97*$F99*(DX$4&lt;=In_COD)</f>
        <v>0</v>
      </c>
      <c r="DY99" s="33" t="n">
        <f aca="false">DY97*$F99*(DY$4&lt;=In_COD)</f>
        <v>0</v>
      </c>
      <c r="DZ99" s="33" t="n">
        <f aca="false">DZ97*$F99*(DZ$4&lt;=In_COD)</f>
        <v>0</v>
      </c>
      <c r="EA99" s="33" t="n">
        <f aca="false">EA97*$F99*(EA$4&lt;=In_COD)</f>
        <v>0</v>
      </c>
      <c r="EB99" s="33" t="n">
        <f aca="false">EB97*$F99*(EB$4&lt;=In_COD)</f>
        <v>0</v>
      </c>
      <c r="EC99" s="33" t="n">
        <f aca="false">EC97*$F99*(EC$4&lt;=In_COD)</f>
        <v>0</v>
      </c>
      <c r="ED99" s="33" t="n">
        <f aca="false">ED97*$F99*(ED$4&lt;=In_COD)</f>
        <v>0</v>
      </c>
      <c r="EE99" s="33" t="n">
        <f aca="false">EE97*$F99*(EE$4&lt;=In_COD)</f>
        <v>0</v>
      </c>
      <c r="EF99" s="33" t="n">
        <f aca="false">EF97*$F99*(EF$4&lt;=In_COD)</f>
        <v>0</v>
      </c>
      <c r="EG99" s="33" t="n">
        <f aca="false">EG97*$F99*(EG$4&lt;=In_COD)</f>
        <v>0</v>
      </c>
      <c r="EH99" s="33" t="n">
        <f aca="false">EH97*$F99*(EH$4&lt;=In_COD)</f>
        <v>0</v>
      </c>
      <c r="EI99" s="33" t="n">
        <f aca="false">EI97*$F99*(EI$4&lt;=In_COD)</f>
        <v>0</v>
      </c>
      <c r="EJ99" s="33" t="n">
        <f aca="false">EJ97*$F99*(EJ$4&lt;=In_COD)</f>
        <v>0</v>
      </c>
      <c r="EK99" s="33" t="n">
        <f aca="false">EK97*$F99*(EK$4&lt;=In_COD)</f>
        <v>0</v>
      </c>
      <c r="EL99" s="33" t="n">
        <f aca="false">EL97*$F99*(EL$4&lt;=In_COD)</f>
        <v>0</v>
      </c>
      <c r="EM99" s="33" t="n">
        <f aca="false">EM97*$F99*(EM$4&lt;=In_COD)</f>
        <v>0</v>
      </c>
      <c r="EN99" s="33" t="n">
        <f aca="false">EN97*$F99*(EN$4&lt;=In_COD)</f>
        <v>0</v>
      </c>
      <c r="EO99" s="33" t="n">
        <f aca="false">EO97*$F99*(EO$4&lt;=In_COD)</f>
        <v>0</v>
      </c>
      <c r="EP99" s="33" t="n">
        <f aca="false">EP97*$F99*(EP$4&lt;=In_COD)</f>
        <v>0</v>
      </c>
      <c r="EQ99" s="33" t="n">
        <f aca="false">EQ97*$F99*(EQ$4&lt;=In_COD)</f>
        <v>0</v>
      </c>
      <c r="ER99" s="33" t="n">
        <f aca="false">ER97*$F99*(ER$4&lt;=In_COD)</f>
        <v>0</v>
      </c>
      <c r="ES99" s="33" t="n">
        <f aca="false">ES97*$F99*(ES$4&lt;=In_COD)</f>
        <v>0</v>
      </c>
      <c r="ET99" s="33" t="n">
        <f aca="false">ET97*$F99*(ET$4&lt;=In_COD)</f>
        <v>0</v>
      </c>
    </row>
    <row r="100" customFormat="false" ht="15" hidden="false" customHeight="false" outlineLevel="0" collapsed="false">
      <c r="C100" s="0" t="s">
        <v>549</v>
      </c>
      <c r="D100" s="11" t="s">
        <v>247</v>
      </c>
      <c r="I100" s="33" t="n">
        <f aca="false">SUM(J100:ET100)</f>
        <v>-94220.5039225694</v>
      </c>
      <c r="J100" s="33" t="n">
        <f aca="false">PPMT($F99,1,In_Debt_Tenor*Months_In_Year/Months_Per_Period-SUM($J17:J17)+1,J97)*J17</f>
        <v>0</v>
      </c>
      <c r="K100" s="33" t="n">
        <f aca="false">PPMT($F99,1,In_Debt_Tenor*Months_In_Year/Months_Per_Period-SUM($J17:K17)+1,K97)*K17</f>
        <v>0</v>
      </c>
      <c r="L100" s="33" t="n">
        <f aca="false">PPMT($F99,1,In_Debt_Tenor*Months_In_Year/Months_Per_Period-SUM($J17:L17)+1,L97)*L17</f>
        <v>0</v>
      </c>
      <c r="M100" s="33" t="n">
        <f aca="false">PPMT($F99,1,In_Debt_Tenor*Months_In_Year/Months_Per_Period-SUM($J17:M17)+1,M97)*M17</f>
        <v>0</v>
      </c>
      <c r="N100" s="33" t="n">
        <f aca="false">PPMT($F99,1,In_Debt_Tenor*Months_In_Year/Months_Per_Period-SUM($J17:N17)+1,N97)*N17</f>
        <v>0</v>
      </c>
      <c r="O100" s="33" t="n">
        <f aca="false">PPMT($F99,1,In_Debt_Tenor*Months_In_Year/Months_Per_Period-SUM($J17:O17)+1,O97)*O17</f>
        <v>0</v>
      </c>
      <c r="P100" s="33" t="n">
        <f aca="false">PPMT($F99,1,In_Debt_Tenor*Months_In_Year/Months_Per_Period-SUM($J17:P17)+1,P97)*P17</f>
        <v>0</v>
      </c>
      <c r="Q100" s="33" t="n">
        <f aca="false">PPMT($F99,1,In_Debt_Tenor*Months_In_Year/Months_Per_Period-SUM($J17:Q17)+1,Q97)*Q17</f>
        <v>0</v>
      </c>
      <c r="R100" s="33" t="n">
        <f aca="false">PPMT($F99,1,In_Debt_Tenor*Months_In_Year/Months_Per_Period-SUM($J17:R17)+1,R97)*R17</f>
        <v>0</v>
      </c>
      <c r="S100" s="33" t="n">
        <f aca="false">PPMT($F99,1,In_Debt_Tenor*Months_In_Year/Months_Per_Period-SUM($J17:S17)+1,S97)*S17</f>
        <v>0</v>
      </c>
      <c r="T100" s="33" t="n">
        <f aca="false">PPMT($F99,1,In_Debt_Tenor*Months_In_Year/Months_Per_Period-SUM($J17:T17)+1,T97)*T17</f>
        <v>0</v>
      </c>
      <c r="U100" s="33" t="n">
        <f aca="false">PPMT($F99,1,In_Debt_Tenor*Months_In_Year/Months_Per_Period-SUM($J17:U17)+1,U97)*U17</f>
        <v>0</v>
      </c>
      <c r="V100" s="33" t="n">
        <f aca="false">PPMT($F99,1,In_Debt_Tenor*Months_In_Year/Months_Per_Period-SUM($J17:V17)+1,V97)*V17</f>
        <v>0</v>
      </c>
      <c r="W100" s="33" t="n">
        <f aca="false">PPMT($F99,1,In_Debt_Tenor*Months_In_Year/Months_Per_Period-SUM($J17:W17)+1,W97)*W17</f>
        <v>0</v>
      </c>
      <c r="X100" s="33" t="n">
        <f aca="false">PPMT($F99,1,In_Debt_Tenor*Months_In_Year/Months_Per_Period-SUM($J17:X17)+1,X97)*X17</f>
        <v>-0</v>
      </c>
      <c r="Y100" s="33" t="n">
        <f aca="false">PPMT($F99,1,In_Debt_Tenor*Months_In_Year/Months_Per_Period-SUM($J17:Y17)+1,Y97)*Y17</f>
        <v>-0</v>
      </c>
      <c r="Z100" s="33" t="n">
        <f aca="false">PPMT($F99,1,In_Debt_Tenor*Months_In_Year/Months_Per_Period-SUM($J17:Z17)+1,Z97)*Z17</f>
        <v>-0</v>
      </c>
      <c r="AA100" s="33" t="n">
        <f aca="false">PPMT($F99,1,In_Debt_Tenor*Months_In_Year/Months_Per_Period-SUM($J17:AA17)+1,AA97)*AA17</f>
        <v>-0</v>
      </c>
      <c r="AB100" s="33" t="n">
        <f aca="false">PPMT($F99,1,In_Debt_Tenor*Months_In_Year/Months_Per_Period-SUM($J17:AB17)+1,AB97)*AB17</f>
        <v>-0</v>
      </c>
      <c r="AC100" s="33" t="n">
        <f aca="false">PPMT($F99,1,In_Debt_Tenor*Months_In_Year/Months_Per_Period-SUM($J17:AC17)+1,AC97)*AC17</f>
        <v>-0</v>
      </c>
      <c r="AD100" s="33" t="n">
        <f aca="false">PPMT($F99,1,In_Debt_Tenor*Months_In_Year/Months_Per_Period-SUM($J17:AD17)+1,AD97)*AD17</f>
        <v>-0</v>
      </c>
      <c r="AE100" s="33" t="n">
        <f aca="false">PPMT($F99,1,In_Debt_Tenor*Months_In_Year/Months_Per_Period-SUM($J17:AE17)+1,AE97)*AE17</f>
        <v>-1829.89540535528</v>
      </c>
      <c r="AF100" s="33" t="n">
        <f aca="false">PPMT($F99,1,In_Debt_Tenor*Months_In_Year/Months_Per_Period-SUM($J17:AF17)+1,AF97)*AF17</f>
        <v>-1852.76909792222</v>
      </c>
      <c r="AG100" s="33" t="n">
        <f aca="false">PPMT($F99,1,In_Debt_Tenor*Months_In_Year/Months_Per_Period-SUM($J17:AG17)+1,AG97)*AG17</f>
        <v>-1875.92871164625</v>
      </c>
      <c r="AH100" s="33" t="n">
        <f aca="false">PPMT($F99,1,In_Debt_Tenor*Months_In_Year/Months_Per_Period-SUM($J17:AH17)+1,AH97)*AH17</f>
        <v>-1899.37782054183</v>
      </c>
      <c r="AI100" s="33" t="n">
        <f aca="false">PPMT($F99,1,In_Debt_Tenor*Months_In_Year/Months_Per_Period-SUM($J17:AI17)+1,AI97)*AI17</f>
        <v>-1923.1200432986</v>
      </c>
      <c r="AJ100" s="33" t="n">
        <f aca="false">PPMT($F99,1,In_Debt_Tenor*Months_In_Year/Months_Per_Period-SUM($J17:AJ17)+1,AJ97)*AJ17</f>
        <v>-1947.15904383984</v>
      </c>
      <c r="AK100" s="33" t="n">
        <f aca="false">PPMT($F99,1,In_Debt_Tenor*Months_In_Year/Months_Per_Period-SUM($J17:AK17)+1,AK97)*AK17</f>
        <v>-1971.49853188783</v>
      </c>
      <c r="AL100" s="33" t="n">
        <f aca="false">PPMT($F99,1,In_Debt_Tenor*Months_In_Year/Months_Per_Period-SUM($J17:AL17)+1,AL97)*AL17</f>
        <v>-1996.14226353643</v>
      </c>
      <c r="AM100" s="33" t="n">
        <f aca="false">PPMT($F99,1,In_Debt_Tenor*Months_In_Year/Months_Per_Period-SUM($J17:AM17)+1,AM97)*AM17</f>
        <v>-2021.09404183064</v>
      </c>
      <c r="AN100" s="33" t="n">
        <f aca="false">PPMT($F99,1,In_Debt_Tenor*Months_In_Year/Months_Per_Period-SUM($J17:AN17)+1,AN97)*AN17</f>
        <v>-2046.35771735352</v>
      </c>
      <c r="AO100" s="33" t="n">
        <f aca="false">PPMT($F99,1,In_Debt_Tenor*Months_In_Year/Months_Per_Period-SUM($J17:AO17)+1,AO97)*AO17</f>
        <v>-2071.93718882044</v>
      </c>
      <c r="AP100" s="33" t="n">
        <f aca="false">PPMT($F99,1,In_Debt_Tenor*Months_In_Year/Months_Per_Period-SUM($J17:AP17)+1,AP97)*AP17</f>
        <v>-2097.83640368069</v>
      </c>
      <c r="AQ100" s="33" t="n">
        <f aca="false">PPMT($F99,1,In_Debt_Tenor*Months_In_Year/Months_Per_Period-SUM($J17:AQ17)+1,AQ97)*AQ17</f>
        <v>-2124.0593587267</v>
      </c>
      <c r="AR100" s="33" t="n">
        <f aca="false">PPMT($F99,1,In_Debt_Tenor*Months_In_Year/Months_Per_Period-SUM($J17:AR17)+1,AR97)*AR17</f>
        <v>-2150.61010071079</v>
      </c>
      <c r="AS100" s="33" t="n">
        <f aca="false">PPMT($F99,1,In_Debt_Tenor*Months_In_Year/Months_Per_Period-SUM($J17:AS17)+1,AS97)*AS17</f>
        <v>-2177.49272696967</v>
      </c>
      <c r="AT100" s="33" t="n">
        <f aca="false">PPMT($F99,1,In_Debt_Tenor*Months_In_Year/Months_Per_Period-SUM($J17:AT17)+1,AT97)*AT17</f>
        <v>-2204.71138605679</v>
      </c>
      <c r="AU100" s="33" t="n">
        <f aca="false">PPMT($F99,1,In_Debt_Tenor*Months_In_Year/Months_Per_Period-SUM($J17:AU17)+1,AU97)*AU17</f>
        <v>-2232.2702783825</v>
      </c>
      <c r="AV100" s="33" t="n">
        <f aca="false">PPMT($F99,1,In_Debt_Tenor*Months_In_Year/Months_Per_Period-SUM($J17:AV17)+1,AV97)*AV17</f>
        <v>-2260.17365686228</v>
      </c>
      <c r="AW100" s="33" t="n">
        <f aca="false">PPMT($F99,1,In_Debt_Tenor*Months_In_Year/Months_Per_Period-SUM($J17:AW17)+1,AW97)*AW17</f>
        <v>-2288.42582757306</v>
      </c>
      <c r="AX100" s="33" t="n">
        <f aca="false">PPMT($F99,1,In_Debt_Tenor*Months_In_Year/Months_Per_Period-SUM($J17:AX17)+1,AX97)*AX17</f>
        <v>-2317.03115041772</v>
      </c>
      <c r="AY100" s="33" t="n">
        <f aca="false">PPMT($F99,1,In_Debt_Tenor*Months_In_Year/Months_Per_Period-SUM($J17:AY17)+1,AY97)*AY17</f>
        <v>-2345.99403979795</v>
      </c>
      <c r="AZ100" s="33" t="n">
        <f aca="false">PPMT($F99,1,In_Debt_Tenor*Months_In_Year/Months_Per_Period-SUM($J17:AZ17)+1,AZ97)*AZ17</f>
        <v>-2375.31896529542</v>
      </c>
      <c r="BA100" s="33" t="n">
        <f aca="false">PPMT($F99,1,In_Debt_Tenor*Months_In_Year/Months_Per_Period-SUM($J17:BA17)+1,BA97)*BA17</f>
        <v>-2405.01045236161</v>
      </c>
      <c r="BB100" s="33" t="n">
        <f aca="false">PPMT($F99,1,In_Debt_Tenor*Months_In_Year/Months_Per_Period-SUM($J17:BB17)+1,BB97)*BB17</f>
        <v>-2435.07308301613</v>
      </c>
      <c r="BC100" s="33" t="n">
        <f aca="false">PPMT($F99,1,In_Debt_Tenor*Months_In_Year/Months_Per_Period-SUM($J17:BC17)+1,BC97)*BC17</f>
        <v>-2465.51149655383</v>
      </c>
      <c r="BD100" s="33" t="n">
        <f aca="false">PPMT($F99,1,In_Debt_Tenor*Months_In_Year/Months_Per_Period-SUM($J17:BD17)+1,BD97)*BD17</f>
        <v>-2496.33039026076</v>
      </c>
      <c r="BE100" s="33" t="n">
        <f aca="false">PPMT($F99,1,In_Debt_Tenor*Months_In_Year/Months_Per_Period-SUM($J17:BE17)+1,BE97)*BE17</f>
        <v>-2527.53452013902</v>
      </c>
      <c r="BF100" s="33" t="n">
        <f aca="false">PPMT($F99,1,In_Debt_Tenor*Months_In_Year/Months_Per_Period-SUM($J17:BF17)+1,BF97)*BF17</f>
        <v>-2559.12870164076</v>
      </c>
      <c r="BG100" s="33" t="n">
        <f aca="false">PPMT($F99,1,In_Debt_Tenor*Months_In_Year/Months_Per_Period-SUM($J17:BG17)+1,BG97)*BG17</f>
        <v>-2591.11781041126</v>
      </c>
      <c r="BH100" s="33" t="n">
        <f aca="false">PPMT($F99,1,In_Debt_Tenor*Months_In_Year/Months_Per_Period-SUM($J17:BH17)+1,BH97)*BH17</f>
        <v>-2623.50678304141</v>
      </c>
      <c r="BI100" s="33" t="n">
        <f aca="false">PPMT($F99,1,In_Debt_Tenor*Months_In_Year/Months_Per_Period-SUM($J17:BI17)+1,BI97)*BI17</f>
        <v>-2656.30061782942</v>
      </c>
      <c r="BJ100" s="33" t="n">
        <f aca="false">PPMT($F99,1,In_Debt_Tenor*Months_In_Year/Months_Per_Period-SUM($J17:BJ17)+1,BJ97)*BJ17</f>
        <v>-2689.50437555229</v>
      </c>
      <c r="BK100" s="33" t="n">
        <f aca="false">PPMT($F99,1,In_Debt_Tenor*Months_In_Year/Months_Per_Period-SUM($J17:BK17)+1,BK97)*BK17</f>
        <v>-2723.12318024669</v>
      </c>
      <c r="BL100" s="33" t="n">
        <f aca="false">PPMT($F99,1,In_Debt_Tenor*Months_In_Year/Months_Per_Period-SUM($J17:BL17)+1,BL97)*BL17</f>
        <v>-2757.16221999978</v>
      </c>
      <c r="BM100" s="33" t="n">
        <f aca="false">PPMT($F99,1,In_Debt_Tenor*Months_In_Year/Months_Per_Period-SUM($J17:BM17)+1,BM97)*BM17</f>
        <v>-2791.62674774978</v>
      </c>
      <c r="BN100" s="33" t="n">
        <f aca="false">PPMT($F99,1,In_Debt_Tenor*Months_In_Year/Months_Per_Period-SUM($J17:BN17)+1,BN97)*BN17</f>
        <v>-2826.52208209665</v>
      </c>
      <c r="BO100" s="33" t="n">
        <f aca="false">PPMT($F99,1,In_Debt_Tenor*Months_In_Year/Months_Per_Period-SUM($J17:BO17)+1,BO97)*BO17</f>
        <v>-2861.85360812286</v>
      </c>
      <c r="BP100" s="33" t="n">
        <f aca="false">PPMT($F99,1,In_Debt_Tenor*Months_In_Year/Months_Per_Period-SUM($J17:BP17)+1,BP97)*BP17</f>
        <v>-2897.62677822439</v>
      </c>
      <c r="BQ100" s="33" t="n">
        <f aca="false">PPMT($F99,1,In_Debt_Tenor*Months_In_Year/Months_Per_Period-SUM($J17:BQ17)+1,BQ97)*BQ17</f>
        <v>-2933.8471129522</v>
      </c>
      <c r="BR100" s="33" t="n">
        <f aca="false">PPMT($F99,1,In_Debt_Tenor*Months_In_Year/Months_Per_Period-SUM($J17:BR17)+1,BR97)*BR17</f>
        <v>-2970.5202018641</v>
      </c>
      <c r="BS100" s="33" t="n">
        <f aca="false">PPMT($F99,1,In_Debt_Tenor*Months_In_Year/Months_Per_Period-SUM($J17:BS17)+1,BS97)*BS17</f>
        <v>0</v>
      </c>
      <c r="BT100" s="33" t="n">
        <f aca="false">PPMT($F99,1,In_Debt_Tenor*Months_In_Year/Months_Per_Period-SUM($J17:BT17)+1,BT97)*BT17</f>
        <v>0</v>
      </c>
      <c r="BU100" s="33" t="n">
        <f aca="false">PPMT($F99,1,In_Debt_Tenor*Months_In_Year/Months_Per_Period-SUM($J17:BU17)+1,BU97)*BU17</f>
        <v>0</v>
      </c>
      <c r="BV100" s="33" t="n">
        <f aca="false">PPMT($F99,1,In_Debt_Tenor*Months_In_Year/Months_Per_Period-SUM($J17:BV17)+1,BV97)*BV17</f>
        <v>0</v>
      </c>
      <c r="BW100" s="33" t="n">
        <f aca="false">PPMT($F99,1,In_Debt_Tenor*Months_In_Year/Months_Per_Period-SUM($J17:BW17)+1,BW97)*BW17</f>
        <v>0</v>
      </c>
      <c r="BX100" s="33" t="n">
        <f aca="false">PPMT($F99,1,In_Debt_Tenor*Months_In_Year/Months_Per_Period-SUM($J17:BX17)+1,BX97)*BX17</f>
        <v>0</v>
      </c>
      <c r="BY100" s="33" t="n">
        <f aca="false">PPMT($F99,1,In_Debt_Tenor*Months_In_Year/Months_Per_Period-SUM($J17:BY17)+1,BY97)*BY17</f>
        <v>0</v>
      </c>
      <c r="BZ100" s="33" t="n">
        <f aca="false">PPMT($F99,1,In_Debt_Tenor*Months_In_Year/Months_Per_Period-SUM($J17:BZ17)+1,BZ97)*BZ17</f>
        <v>0</v>
      </c>
      <c r="CA100" s="33" t="n">
        <f aca="false">PPMT($F99,1,In_Debt_Tenor*Months_In_Year/Months_Per_Period-SUM($J17:CA17)+1,CA97)*CA17</f>
        <v>0</v>
      </c>
      <c r="CB100" s="33" t="n">
        <f aca="false">PPMT($F99,1,In_Debt_Tenor*Months_In_Year/Months_Per_Period-SUM($J17:CB17)+1,CB97)*CB17</f>
        <v>0</v>
      </c>
      <c r="CC100" s="33" t="n">
        <f aca="false">PPMT($F99,1,In_Debt_Tenor*Months_In_Year/Months_Per_Period-SUM($J17:CC17)+1,CC97)*CC17</f>
        <v>0</v>
      </c>
      <c r="CD100" s="33" t="n">
        <f aca="false">PPMT($F99,1,In_Debt_Tenor*Months_In_Year/Months_Per_Period-SUM($J17:CD17)+1,CD97)*CD17</f>
        <v>0</v>
      </c>
      <c r="CE100" s="33" t="n">
        <f aca="false">PPMT($F99,1,In_Debt_Tenor*Months_In_Year/Months_Per_Period-SUM($J17:CE17)+1,CE97)*CE17</f>
        <v>0</v>
      </c>
      <c r="CF100" s="33" t="n">
        <f aca="false">PPMT($F99,1,In_Debt_Tenor*Months_In_Year/Months_Per_Period-SUM($J17:CF17)+1,CF97)*CF17</f>
        <v>0</v>
      </c>
      <c r="CG100" s="33" t="n">
        <f aca="false">PPMT($F99,1,In_Debt_Tenor*Months_In_Year/Months_Per_Period-SUM($J17:CG17)+1,CG97)*CG17</f>
        <v>0</v>
      </c>
      <c r="CH100" s="33" t="n">
        <f aca="false">PPMT($F99,1,In_Debt_Tenor*Months_In_Year/Months_Per_Period-SUM($J17:CH17)+1,CH97)*CH17</f>
        <v>0</v>
      </c>
      <c r="CI100" s="33" t="n">
        <f aca="false">PPMT($F99,1,In_Debt_Tenor*Months_In_Year/Months_Per_Period-SUM($J17:CI17)+1,CI97)*CI17</f>
        <v>0</v>
      </c>
      <c r="CJ100" s="33" t="n">
        <f aca="false">PPMT($F99,1,In_Debt_Tenor*Months_In_Year/Months_Per_Period-SUM($J17:CJ17)+1,CJ97)*CJ17</f>
        <v>0</v>
      </c>
      <c r="CK100" s="33" t="n">
        <f aca="false">PPMT($F99,1,In_Debt_Tenor*Months_In_Year/Months_Per_Period-SUM($J17:CK17)+1,CK97)*CK17</f>
        <v>0</v>
      </c>
      <c r="CL100" s="33" t="n">
        <f aca="false">PPMT($F99,1,In_Debt_Tenor*Months_In_Year/Months_Per_Period-SUM($J17:CL17)+1,CL97)*CL17</f>
        <v>0</v>
      </c>
      <c r="CM100" s="33" t="n">
        <f aca="false">PPMT($F99,1,In_Debt_Tenor*Months_In_Year/Months_Per_Period-SUM($J17:CM17)+1,CM97)*CM17</f>
        <v>0</v>
      </c>
      <c r="CN100" s="33" t="n">
        <f aca="false">PPMT($F99,1,In_Debt_Tenor*Months_In_Year/Months_Per_Period-SUM($J17:CN17)+1,CN97)*CN17</f>
        <v>0</v>
      </c>
      <c r="CO100" s="33" t="n">
        <f aca="false">PPMT($F99,1,In_Debt_Tenor*Months_In_Year/Months_Per_Period-SUM($J17:CO17)+1,CO97)*CO17</f>
        <v>0</v>
      </c>
      <c r="CP100" s="33" t="n">
        <f aca="false">PPMT($F99,1,In_Debt_Tenor*Months_In_Year/Months_Per_Period-SUM($J17:CP17)+1,CP97)*CP17</f>
        <v>0</v>
      </c>
      <c r="CQ100" s="33" t="n">
        <f aca="false">PPMT($F99,1,In_Debt_Tenor*Months_In_Year/Months_Per_Period-SUM($J17:CQ17)+1,CQ97)*CQ17</f>
        <v>0</v>
      </c>
      <c r="CR100" s="33" t="n">
        <f aca="false">PPMT($F99,1,In_Debt_Tenor*Months_In_Year/Months_Per_Period-SUM($J17:CR17)+1,CR97)*CR17</f>
        <v>0</v>
      </c>
      <c r="CS100" s="33" t="n">
        <f aca="false">PPMT($F99,1,In_Debt_Tenor*Months_In_Year/Months_Per_Period-SUM($J17:CS17)+1,CS97)*CS17</f>
        <v>0</v>
      </c>
      <c r="CT100" s="33" t="n">
        <f aca="false">PPMT($F99,1,In_Debt_Tenor*Months_In_Year/Months_Per_Period-SUM($J17:CT17)+1,CT97)*CT17</f>
        <v>0</v>
      </c>
      <c r="CU100" s="33" t="n">
        <f aca="false">PPMT($F99,1,In_Debt_Tenor*Months_In_Year/Months_Per_Period-SUM($J17:CU17)+1,CU97)*CU17</f>
        <v>0</v>
      </c>
      <c r="CV100" s="33" t="n">
        <f aca="false">PPMT($F99,1,In_Debt_Tenor*Months_In_Year/Months_Per_Period-SUM($J17:CV17)+1,CV97)*CV17</f>
        <v>0</v>
      </c>
      <c r="CW100" s="33" t="n">
        <f aca="false">PPMT($F99,1,In_Debt_Tenor*Months_In_Year/Months_Per_Period-SUM($J17:CW17)+1,CW97)*CW17</f>
        <v>0</v>
      </c>
      <c r="CX100" s="33" t="n">
        <f aca="false">PPMT($F99,1,In_Debt_Tenor*Months_In_Year/Months_Per_Period-SUM($J17:CX17)+1,CX97)*CX17</f>
        <v>0</v>
      </c>
      <c r="CY100" s="33" t="n">
        <f aca="false">PPMT($F99,1,In_Debt_Tenor*Months_In_Year/Months_Per_Period-SUM($J17:CY17)+1,CY97)*CY17</f>
        <v>0</v>
      </c>
      <c r="CZ100" s="33" t="n">
        <f aca="false">PPMT($F99,1,In_Debt_Tenor*Months_In_Year/Months_Per_Period-SUM($J17:CZ17)+1,CZ97)*CZ17</f>
        <v>0</v>
      </c>
      <c r="DA100" s="33" t="n">
        <f aca="false">PPMT($F99,1,In_Debt_Tenor*Months_In_Year/Months_Per_Period-SUM($J17:DA17)+1,DA97)*DA17</f>
        <v>0</v>
      </c>
      <c r="DB100" s="33" t="n">
        <f aca="false">PPMT($F99,1,In_Debt_Tenor*Months_In_Year/Months_Per_Period-SUM($J17:DB17)+1,DB97)*DB17</f>
        <v>0</v>
      </c>
      <c r="DC100" s="33" t="n">
        <f aca="false">PPMT($F99,1,In_Debt_Tenor*Months_In_Year/Months_Per_Period-SUM($J17:DC17)+1,DC97)*DC17</f>
        <v>0</v>
      </c>
      <c r="DD100" s="33" t="n">
        <f aca="false">PPMT($F99,1,In_Debt_Tenor*Months_In_Year/Months_Per_Period-SUM($J17:DD17)+1,DD97)*DD17</f>
        <v>0</v>
      </c>
      <c r="DE100" s="33" t="n">
        <f aca="false">PPMT($F99,1,In_Debt_Tenor*Months_In_Year/Months_Per_Period-SUM($J17:DE17)+1,DE97)*DE17</f>
        <v>0</v>
      </c>
      <c r="DF100" s="33" t="n">
        <f aca="false">PPMT($F99,1,In_Debt_Tenor*Months_In_Year/Months_Per_Period-SUM($J17:DF17)+1,DF97)*DF17</f>
        <v>0</v>
      </c>
      <c r="DG100" s="33" t="n">
        <f aca="false">PPMT($F99,1,In_Debt_Tenor*Months_In_Year/Months_Per_Period-SUM($J17:DG17)+1,DG97)*DG17</f>
        <v>0</v>
      </c>
      <c r="DH100" s="33" t="n">
        <f aca="false">PPMT($F99,1,In_Debt_Tenor*Months_In_Year/Months_Per_Period-SUM($J17:DH17)+1,DH97)*DH17</f>
        <v>0</v>
      </c>
      <c r="DI100" s="33" t="n">
        <f aca="false">PPMT($F99,1,In_Debt_Tenor*Months_In_Year/Months_Per_Period-SUM($J17:DI17)+1,DI97)*DI17</f>
        <v>0</v>
      </c>
      <c r="DJ100" s="33" t="n">
        <f aca="false">PPMT($F99,1,In_Debt_Tenor*Months_In_Year/Months_Per_Period-SUM($J17:DJ17)+1,DJ97)*DJ17</f>
        <v>0</v>
      </c>
      <c r="DK100" s="33" t="n">
        <f aca="false">PPMT($F99,1,In_Debt_Tenor*Months_In_Year/Months_Per_Period-SUM($J17:DK17)+1,DK97)*DK17</f>
        <v>0</v>
      </c>
      <c r="DL100" s="33" t="n">
        <f aca="false">PPMT($F99,1,In_Debt_Tenor*Months_In_Year/Months_Per_Period-SUM($J17:DL17)+1,DL97)*DL17</f>
        <v>0</v>
      </c>
      <c r="DM100" s="33" t="n">
        <f aca="false">PPMT($F99,1,In_Debt_Tenor*Months_In_Year/Months_Per_Period-SUM($J17:DM17)+1,DM97)*DM17</f>
        <v>0</v>
      </c>
      <c r="DN100" s="33" t="n">
        <f aca="false">PPMT($F99,1,In_Debt_Tenor*Months_In_Year/Months_Per_Period-SUM($J17:DN17)+1,DN97)*DN17</f>
        <v>0</v>
      </c>
      <c r="DO100" s="33" t="n">
        <f aca="false">PPMT($F99,1,In_Debt_Tenor*Months_In_Year/Months_Per_Period-SUM($J17:DO17)+1,DO97)*DO17</f>
        <v>0</v>
      </c>
      <c r="DP100" s="33" t="n">
        <f aca="false">PPMT($F99,1,In_Debt_Tenor*Months_In_Year/Months_Per_Period-SUM($J17:DP17)+1,DP97)*DP17</f>
        <v>0</v>
      </c>
      <c r="DQ100" s="33" t="n">
        <f aca="false">PPMT($F99,1,In_Debt_Tenor*Months_In_Year/Months_Per_Period-SUM($J17:DQ17)+1,DQ97)*DQ17</f>
        <v>0</v>
      </c>
      <c r="DR100" s="33" t="n">
        <f aca="false">PPMT($F99,1,In_Debt_Tenor*Months_In_Year/Months_Per_Period-SUM($J17:DR17)+1,DR97)*DR17</f>
        <v>0</v>
      </c>
      <c r="DS100" s="33" t="n">
        <f aca="false">PPMT($F99,1,In_Debt_Tenor*Months_In_Year/Months_Per_Period-SUM($J17:DS17)+1,DS97)*DS17</f>
        <v>0</v>
      </c>
      <c r="DT100" s="33" t="n">
        <f aca="false">PPMT($F99,1,In_Debt_Tenor*Months_In_Year/Months_Per_Period-SUM($J17:DT17)+1,DT97)*DT17</f>
        <v>0</v>
      </c>
      <c r="DU100" s="33" t="n">
        <f aca="false">PPMT($F99,1,In_Debt_Tenor*Months_In_Year/Months_Per_Period-SUM($J17:DU17)+1,DU97)*DU17</f>
        <v>0</v>
      </c>
      <c r="DV100" s="33" t="n">
        <f aca="false">PPMT($F99,1,In_Debt_Tenor*Months_In_Year/Months_Per_Period-SUM($J17:DV17)+1,DV97)*DV17</f>
        <v>0</v>
      </c>
      <c r="DW100" s="33" t="n">
        <f aca="false">PPMT($F99,1,In_Debt_Tenor*Months_In_Year/Months_Per_Period-SUM($J17:DW17)+1,DW97)*DW17</f>
        <v>0</v>
      </c>
      <c r="DX100" s="33" t="n">
        <f aca="false">PPMT($F99,1,In_Debt_Tenor*Months_In_Year/Months_Per_Period-SUM($J17:DX17)+1,DX97)*DX17</f>
        <v>0</v>
      </c>
      <c r="DY100" s="33" t="n">
        <f aca="false">PPMT($F99,1,In_Debt_Tenor*Months_In_Year/Months_Per_Period-SUM($J17:DY17)+1,DY97)*DY17</f>
        <v>0</v>
      </c>
      <c r="DZ100" s="33" t="n">
        <f aca="false">PPMT($F99,1,In_Debt_Tenor*Months_In_Year/Months_Per_Period-SUM($J17:DZ17)+1,DZ97)*DZ17</f>
        <v>0</v>
      </c>
      <c r="EA100" s="33" t="n">
        <f aca="false">PPMT($F99,1,In_Debt_Tenor*Months_In_Year/Months_Per_Period-SUM($J17:EA17)+1,EA97)*EA17</f>
        <v>0</v>
      </c>
      <c r="EB100" s="33" t="n">
        <f aca="false">PPMT($F99,1,In_Debt_Tenor*Months_In_Year/Months_Per_Period-SUM($J17:EB17)+1,EB97)*EB17</f>
        <v>0</v>
      </c>
      <c r="EC100" s="33" t="n">
        <f aca="false">PPMT($F99,1,In_Debt_Tenor*Months_In_Year/Months_Per_Period-SUM($J17:EC17)+1,EC97)*EC17</f>
        <v>0</v>
      </c>
      <c r="ED100" s="33" t="n">
        <f aca="false">PPMT($F99,1,In_Debt_Tenor*Months_In_Year/Months_Per_Period-SUM($J17:ED17)+1,ED97)*ED17</f>
        <v>0</v>
      </c>
      <c r="EE100" s="33" t="n">
        <f aca="false">PPMT($F99,1,In_Debt_Tenor*Months_In_Year/Months_Per_Period-SUM($J17:EE17)+1,EE97)*EE17</f>
        <v>0</v>
      </c>
      <c r="EF100" s="33" t="n">
        <f aca="false">PPMT($F99,1,In_Debt_Tenor*Months_In_Year/Months_Per_Period-SUM($J17:EF17)+1,EF97)*EF17</f>
        <v>0</v>
      </c>
      <c r="EG100" s="33" t="n">
        <f aca="false">PPMT($F99,1,In_Debt_Tenor*Months_In_Year/Months_Per_Period-SUM($J17:EG17)+1,EG97)*EG17</f>
        <v>0</v>
      </c>
      <c r="EH100" s="33" t="n">
        <f aca="false">PPMT($F99,1,In_Debt_Tenor*Months_In_Year/Months_Per_Period-SUM($J17:EH17)+1,EH97)*EH17</f>
        <v>0</v>
      </c>
      <c r="EI100" s="33" t="n">
        <f aca="false">PPMT($F99,1,In_Debt_Tenor*Months_In_Year/Months_Per_Period-SUM($J17:EI17)+1,EI97)*EI17</f>
        <v>0</v>
      </c>
      <c r="EJ100" s="33" t="n">
        <f aca="false">PPMT($F99,1,In_Debt_Tenor*Months_In_Year/Months_Per_Period-SUM($J17:EJ17)+1,EJ97)*EJ17</f>
        <v>0</v>
      </c>
      <c r="EK100" s="33" t="n">
        <f aca="false">PPMT($F99,1,In_Debt_Tenor*Months_In_Year/Months_Per_Period-SUM($J17:EK17)+1,EK97)*EK17</f>
        <v>0</v>
      </c>
      <c r="EL100" s="33" t="n">
        <f aca="false">PPMT($F99,1,In_Debt_Tenor*Months_In_Year/Months_Per_Period-SUM($J17:EL17)+1,EL97)*EL17</f>
        <v>0</v>
      </c>
      <c r="EM100" s="33" t="n">
        <f aca="false">PPMT($F99,1,In_Debt_Tenor*Months_In_Year/Months_Per_Period-SUM($J17:EM17)+1,EM97)*EM17</f>
        <v>0</v>
      </c>
      <c r="EN100" s="33" t="n">
        <f aca="false">PPMT($F99,1,In_Debt_Tenor*Months_In_Year/Months_Per_Period-SUM($J17:EN17)+1,EN97)*EN17</f>
        <v>0</v>
      </c>
      <c r="EO100" s="33" t="n">
        <f aca="false">PPMT($F99,1,In_Debt_Tenor*Months_In_Year/Months_Per_Period-SUM($J17:EO17)+1,EO97)*EO17</f>
        <v>0</v>
      </c>
      <c r="EP100" s="33" t="n">
        <f aca="false">PPMT($F99,1,In_Debt_Tenor*Months_In_Year/Months_Per_Period-SUM($J17:EP17)+1,EP97)*EP17</f>
        <v>0</v>
      </c>
      <c r="EQ100" s="33" t="n">
        <f aca="false">PPMT($F99,1,In_Debt_Tenor*Months_In_Year/Months_Per_Period-SUM($J17:EQ17)+1,EQ97)*EQ17</f>
        <v>0</v>
      </c>
      <c r="ER100" s="33" t="n">
        <f aca="false">PPMT($F99,1,In_Debt_Tenor*Months_In_Year/Months_Per_Period-SUM($J17:ER17)+1,ER97)*ER17</f>
        <v>0</v>
      </c>
      <c r="ES100" s="33" t="n">
        <f aca="false">PPMT($F99,1,In_Debt_Tenor*Months_In_Year/Months_Per_Period-SUM($J17:ES17)+1,ES97)*ES17</f>
        <v>0</v>
      </c>
      <c r="ET100" s="33" t="n">
        <f aca="false">PPMT($F99,1,In_Debt_Tenor*Months_In_Year/Months_Per_Period-SUM($J17:ET17)+1,ET97)*ET17</f>
        <v>0</v>
      </c>
    </row>
    <row r="101" customFormat="false" ht="15" hidden="false" customHeight="false" outlineLevel="0" collapsed="false">
      <c r="C101" s="30" t="s">
        <v>529</v>
      </c>
      <c r="D101" s="11" t="s">
        <v>247</v>
      </c>
      <c r="I101" s="54"/>
      <c r="J101" s="35" t="n">
        <f aca="false">SUM(J97:J100)</f>
        <v>0</v>
      </c>
      <c r="K101" s="35" t="n">
        <f aca="false">SUM(K97:K100)</f>
        <v>0</v>
      </c>
      <c r="L101" s="35" t="n">
        <f aca="false">SUM(L97:L100)</f>
        <v>0</v>
      </c>
      <c r="M101" s="35" t="n">
        <f aca="false">SUM(M97:M100)</f>
        <v>0</v>
      </c>
      <c r="N101" s="35" t="n">
        <f aca="false">SUM(N97:N100)</f>
        <v>0</v>
      </c>
      <c r="O101" s="35" t="n">
        <f aca="false">SUM(O97:O100)</f>
        <v>0</v>
      </c>
      <c r="P101" s="35" t="n">
        <f aca="false">SUM(P97:P100)</f>
        <v>0</v>
      </c>
      <c r="Q101" s="35" t="n">
        <f aca="false">SUM(Q97:Q100)</f>
        <v>0</v>
      </c>
      <c r="R101" s="35" t="n">
        <f aca="false">SUM(R97:R100)</f>
        <v>0</v>
      </c>
      <c r="S101" s="35" t="n">
        <f aca="false">SUM(S97:S100)</f>
        <v>0</v>
      </c>
      <c r="T101" s="35" t="n">
        <f aca="false">SUM(T97:T100)</f>
        <v>0</v>
      </c>
      <c r="U101" s="35" t="n">
        <f aca="false">SUM(U97:U100)</f>
        <v>0</v>
      </c>
      <c r="V101" s="35" t="n">
        <f aca="false">SUM(V97:V100)</f>
        <v>0</v>
      </c>
      <c r="W101" s="35" t="n">
        <f aca="false">SUM(W97:W100)</f>
        <v>11364.7262807311</v>
      </c>
      <c r="X101" s="35" t="n">
        <f aca="false">SUM(X97:X100)</f>
        <v>22624.4523729989</v>
      </c>
      <c r="Y101" s="35" t="n">
        <f aca="false">SUM(Y97:Y100)</f>
        <v>34148.4546749063</v>
      </c>
      <c r="Z101" s="35" t="n">
        <f aca="false">SUM(Z97:Z100)</f>
        <v>45940.0366390737</v>
      </c>
      <c r="AA101" s="35" t="n">
        <f aca="false">SUM(AA97:AA100)</f>
        <v>57879.0133777932</v>
      </c>
      <c r="AB101" s="35" t="n">
        <f aca="false">SUM(AB97:AB100)</f>
        <v>69720.1680587743</v>
      </c>
      <c r="AC101" s="35" t="n">
        <f aca="false">SUM(AC97:AC100)</f>
        <v>81832.8668067539</v>
      </c>
      <c r="AD101" s="35" t="n">
        <f aca="false">SUM(AD97:AD100)</f>
        <v>94220.5039225694</v>
      </c>
      <c r="AE101" s="35" t="n">
        <f aca="false">SUM(AE97:AE100)</f>
        <v>92390.6085172141</v>
      </c>
      <c r="AF101" s="35" t="n">
        <f aca="false">SUM(AF97:AF100)</f>
        <v>90537.8394192919</v>
      </c>
      <c r="AG101" s="35" t="n">
        <f aca="false">SUM(AG97:AG100)</f>
        <v>88661.9107076456</v>
      </c>
      <c r="AH101" s="35" t="n">
        <f aca="false">SUM(AH97:AH100)</f>
        <v>86762.5328871038</v>
      </c>
      <c r="AI101" s="35" t="n">
        <f aca="false">SUM(AI97:AI100)</f>
        <v>84839.4128438052</v>
      </c>
      <c r="AJ101" s="35" t="n">
        <f aca="false">SUM(AJ97:AJ100)</f>
        <v>82892.2537999654</v>
      </c>
      <c r="AK101" s="35" t="n">
        <f aca="false">SUM(AK97:AK100)</f>
        <v>80920.7552680775</v>
      </c>
      <c r="AL101" s="35" t="n">
        <f aca="false">SUM(AL97:AL100)</f>
        <v>78924.6130045411</v>
      </c>
      <c r="AM101" s="35" t="n">
        <f aca="false">SUM(AM97:AM100)</f>
        <v>76903.5189627105</v>
      </c>
      <c r="AN101" s="35" t="n">
        <f aca="false">SUM(AN97:AN100)</f>
        <v>74857.1612453569</v>
      </c>
      <c r="AO101" s="35" t="n">
        <f aca="false">SUM(AO97:AO100)</f>
        <v>72785.2240565365</v>
      </c>
      <c r="AP101" s="35" t="n">
        <f aca="false">SUM(AP97:AP100)</f>
        <v>70687.3876528558</v>
      </c>
      <c r="AQ101" s="35" t="n">
        <f aca="false">SUM(AQ97:AQ100)</f>
        <v>68563.3282941291</v>
      </c>
      <c r="AR101" s="35" t="n">
        <f aca="false">SUM(AR97:AR100)</f>
        <v>66412.7181934183</v>
      </c>
      <c r="AS101" s="35" t="n">
        <f aca="false">SUM(AS97:AS100)</f>
        <v>64235.2254664487</v>
      </c>
      <c r="AT101" s="35" t="n">
        <f aca="false">SUM(AT97:AT100)</f>
        <v>62030.5140803919</v>
      </c>
      <c r="AU101" s="35" t="n">
        <f aca="false">SUM(AU97:AU100)</f>
        <v>59798.2438020094</v>
      </c>
      <c r="AV101" s="35" t="n">
        <f aca="false">SUM(AV97:AV100)</f>
        <v>57538.0701451471</v>
      </c>
      <c r="AW101" s="35" t="n">
        <f aca="false">SUM(AW97:AW100)</f>
        <v>55249.644317574</v>
      </c>
      <c r="AX101" s="35" t="n">
        <f aca="false">SUM(AX97:AX100)</f>
        <v>52932.6131671563</v>
      </c>
      <c r="AY101" s="35" t="n">
        <f aca="false">SUM(AY97:AY100)</f>
        <v>50586.6191273584</v>
      </c>
      <c r="AZ101" s="35" t="n">
        <f aca="false">SUM(AZ97:AZ100)</f>
        <v>48211.3001620629</v>
      </c>
      <c r="BA101" s="35" t="n">
        <f aca="false">SUM(BA97:BA100)</f>
        <v>45806.2897097013</v>
      </c>
      <c r="BB101" s="35" t="n">
        <f aca="false">SUM(BB97:BB100)</f>
        <v>43371.2166266852</v>
      </c>
      <c r="BC101" s="35" t="n">
        <f aca="false">SUM(BC97:BC100)</f>
        <v>40905.7051301314</v>
      </c>
      <c r="BD101" s="35" t="n">
        <f aca="false">SUM(BD97:BD100)</f>
        <v>38409.3747398706</v>
      </c>
      <c r="BE101" s="35" t="n">
        <f aca="false">SUM(BE97:BE100)</f>
        <v>35881.8402197316</v>
      </c>
      <c r="BF101" s="35" t="n">
        <f aca="false">SUM(BF97:BF100)</f>
        <v>33322.7115180908</v>
      </c>
      <c r="BG101" s="35" t="n">
        <f aca="false">SUM(BG97:BG100)</f>
        <v>30731.5937076796</v>
      </c>
      <c r="BH101" s="35" t="n">
        <f aca="false">SUM(BH97:BH100)</f>
        <v>28108.0869246381</v>
      </c>
      <c r="BI101" s="35" t="n">
        <f aca="false">SUM(BI97:BI100)</f>
        <v>25451.7863068087</v>
      </c>
      <c r="BJ101" s="35" t="n">
        <f aca="false">SUM(BJ97:BJ100)</f>
        <v>22762.2819312564</v>
      </c>
      <c r="BK101" s="35" t="n">
        <f aca="false">SUM(BK97:BK100)</f>
        <v>20039.1587510097</v>
      </c>
      <c r="BL101" s="35" t="n">
        <f aca="false">SUM(BL97:BL100)</f>
        <v>17281.99653101</v>
      </c>
      <c r="BM101" s="35" t="n">
        <f aca="false">SUM(BM97:BM100)</f>
        <v>14490.3697832602</v>
      </c>
      <c r="BN101" s="35" t="n">
        <f aca="false">SUM(BN97:BN100)</f>
        <v>11663.8477011635</v>
      </c>
      <c r="BO101" s="35" t="n">
        <f aca="false">SUM(BO97:BO100)</f>
        <v>8801.99409304069</v>
      </c>
      <c r="BP101" s="35" t="n">
        <f aca="false">SUM(BP97:BP100)</f>
        <v>5904.36731481629</v>
      </c>
      <c r="BQ101" s="35" t="n">
        <f aca="false">SUM(BQ97:BQ100)</f>
        <v>2970.5202018641</v>
      </c>
      <c r="BR101" s="35" t="n">
        <f aca="false">SUM(BR97:BR100)</f>
        <v>0</v>
      </c>
      <c r="BS101" s="35" t="n">
        <f aca="false">SUM(BS97:BS100)</f>
        <v>0</v>
      </c>
      <c r="BT101" s="35" t="n">
        <f aca="false">SUM(BT97:BT100)</f>
        <v>0</v>
      </c>
      <c r="BU101" s="35" t="n">
        <f aca="false">SUM(BU97:BU100)</f>
        <v>0</v>
      </c>
      <c r="BV101" s="35" t="n">
        <f aca="false">SUM(BV97:BV100)</f>
        <v>0</v>
      </c>
      <c r="BW101" s="35" t="n">
        <f aca="false">SUM(BW97:BW100)</f>
        <v>0</v>
      </c>
      <c r="BX101" s="35" t="n">
        <f aca="false">SUM(BX97:BX100)</f>
        <v>0</v>
      </c>
      <c r="BY101" s="35" t="n">
        <f aca="false">SUM(BY97:BY100)</f>
        <v>0</v>
      </c>
      <c r="BZ101" s="35" t="n">
        <f aca="false">SUM(BZ97:BZ100)</f>
        <v>0</v>
      </c>
      <c r="CA101" s="35" t="n">
        <f aca="false">SUM(CA97:CA100)</f>
        <v>0</v>
      </c>
      <c r="CB101" s="35" t="n">
        <f aca="false">SUM(CB97:CB100)</f>
        <v>0</v>
      </c>
      <c r="CC101" s="35" t="n">
        <f aca="false">SUM(CC97:CC100)</f>
        <v>0</v>
      </c>
      <c r="CD101" s="35" t="n">
        <f aca="false">SUM(CD97:CD100)</f>
        <v>0</v>
      </c>
      <c r="CE101" s="35" t="n">
        <f aca="false">SUM(CE97:CE100)</f>
        <v>0</v>
      </c>
      <c r="CF101" s="35" t="n">
        <f aca="false">SUM(CF97:CF100)</f>
        <v>0</v>
      </c>
      <c r="CG101" s="35" t="n">
        <f aca="false">SUM(CG97:CG100)</f>
        <v>0</v>
      </c>
      <c r="CH101" s="35" t="n">
        <f aca="false">SUM(CH97:CH100)</f>
        <v>0</v>
      </c>
      <c r="CI101" s="35" t="n">
        <f aca="false">SUM(CI97:CI100)</f>
        <v>0</v>
      </c>
      <c r="CJ101" s="35" t="n">
        <f aca="false">SUM(CJ97:CJ100)</f>
        <v>0</v>
      </c>
      <c r="CK101" s="35" t="n">
        <f aca="false">SUM(CK97:CK100)</f>
        <v>0</v>
      </c>
      <c r="CL101" s="35" t="n">
        <f aca="false">SUM(CL97:CL100)</f>
        <v>0</v>
      </c>
      <c r="CM101" s="35" t="n">
        <f aca="false">SUM(CM97:CM100)</f>
        <v>0</v>
      </c>
      <c r="CN101" s="35" t="n">
        <f aca="false">SUM(CN97:CN100)</f>
        <v>0</v>
      </c>
      <c r="CO101" s="35" t="n">
        <f aca="false">SUM(CO97:CO100)</f>
        <v>0</v>
      </c>
      <c r="CP101" s="35" t="n">
        <f aca="false">SUM(CP97:CP100)</f>
        <v>0</v>
      </c>
      <c r="CQ101" s="35" t="n">
        <f aca="false">SUM(CQ97:CQ100)</f>
        <v>0</v>
      </c>
      <c r="CR101" s="35" t="n">
        <f aca="false">SUM(CR97:CR100)</f>
        <v>0</v>
      </c>
      <c r="CS101" s="35" t="n">
        <f aca="false">SUM(CS97:CS100)</f>
        <v>0</v>
      </c>
      <c r="CT101" s="35" t="n">
        <f aca="false">SUM(CT97:CT100)</f>
        <v>0</v>
      </c>
      <c r="CU101" s="35" t="n">
        <f aca="false">SUM(CU97:CU100)</f>
        <v>0</v>
      </c>
      <c r="CV101" s="35" t="n">
        <f aca="false">SUM(CV97:CV100)</f>
        <v>0</v>
      </c>
      <c r="CW101" s="35" t="n">
        <f aca="false">SUM(CW97:CW100)</f>
        <v>0</v>
      </c>
      <c r="CX101" s="35" t="n">
        <f aca="false">SUM(CX97:CX100)</f>
        <v>0</v>
      </c>
      <c r="CY101" s="35" t="n">
        <f aca="false">SUM(CY97:CY100)</f>
        <v>0</v>
      </c>
      <c r="CZ101" s="35" t="n">
        <f aca="false">SUM(CZ97:CZ100)</f>
        <v>0</v>
      </c>
      <c r="DA101" s="35" t="n">
        <f aca="false">SUM(DA97:DA100)</f>
        <v>0</v>
      </c>
      <c r="DB101" s="35" t="n">
        <f aca="false">SUM(DB97:DB100)</f>
        <v>0</v>
      </c>
      <c r="DC101" s="35" t="n">
        <f aca="false">SUM(DC97:DC100)</f>
        <v>0</v>
      </c>
      <c r="DD101" s="35" t="n">
        <f aca="false">SUM(DD97:DD100)</f>
        <v>0</v>
      </c>
      <c r="DE101" s="35" t="n">
        <f aca="false">SUM(DE97:DE100)</f>
        <v>0</v>
      </c>
      <c r="DF101" s="35" t="n">
        <f aca="false">SUM(DF97:DF100)</f>
        <v>0</v>
      </c>
      <c r="DG101" s="35" t="n">
        <f aca="false">SUM(DG97:DG100)</f>
        <v>0</v>
      </c>
      <c r="DH101" s="35" t="n">
        <f aca="false">SUM(DH97:DH100)</f>
        <v>0</v>
      </c>
      <c r="DI101" s="35" t="n">
        <f aca="false">SUM(DI97:DI100)</f>
        <v>0</v>
      </c>
      <c r="DJ101" s="35" t="n">
        <f aca="false">SUM(DJ97:DJ100)</f>
        <v>0</v>
      </c>
      <c r="DK101" s="35" t="n">
        <f aca="false">SUM(DK97:DK100)</f>
        <v>0</v>
      </c>
      <c r="DL101" s="35" t="n">
        <f aca="false">SUM(DL97:DL100)</f>
        <v>0</v>
      </c>
      <c r="DM101" s="35" t="n">
        <f aca="false">SUM(DM97:DM100)</f>
        <v>0</v>
      </c>
      <c r="DN101" s="35" t="n">
        <f aca="false">SUM(DN97:DN100)</f>
        <v>0</v>
      </c>
      <c r="DO101" s="35" t="n">
        <f aca="false">SUM(DO97:DO100)</f>
        <v>0</v>
      </c>
      <c r="DP101" s="35" t="n">
        <f aca="false">SUM(DP97:DP100)</f>
        <v>0</v>
      </c>
      <c r="DQ101" s="35" t="n">
        <f aca="false">SUM(DQ97:DQ100)</f>
        <v>0</v>
      </c>
      <c r="DR101" s="35" t="n">
        <f aca="false">SUM(DR97:DR100)</f>
        <v>0</v>
      </c>
      <c r="DS101" s="35" t="n">
        <f aca="false">SUM(DS97:DS100)</f>
        <v>0</v>
      </c>
      <c r="DT101" s="35" t="n">
        <f aca="false">SUM(DT97:DT100)</f>
        <v>0</v>
      </c>
      <c r="DU101" s="35" t="n">
        <f aca="false">SUM(DU97:DU100)</f>
        <v>0</v>
      </c>
      <c r="DV101" s="35" t="n">
        <f aca="false">SUM(DV97:DV100)</f>
        <v>0</v>
      </c>
      <c r="DW101" s="35" t="n">
        <f aca="false">SUM(DW97:DW100)</f>
        <v>0</v>
      </c>
      <c r="DX101" s="35" t="n">
        <f aca="false">SUM(DX97:DX100)</f>
        <v>0</v>
      </c>
      <c r="DY101" s="35" t="n">
        <f aca="false">SUM(DY97:DY100)</f>
        <v>0</v>
      </c>
      <c r="DZ101" s="35" t="n">
        <f aca="false">SUM(DZ97:DZ100)</f>
        <v>0</v>
      </c>
      <c r="EA101" s="35" t="n">
        <f aca="false">SUM(EA97:EA100)</f>
        <v>0</v>
      </c>
      <c r="EB101" s="35" t="n">
        <f aca="false">SUM(EB97:EB100)</f>
        <v>0</v>
      </c>
      <c r="EC101" s="35" t="n">
        <f aca="false">SUM(EC97:EC100)</f>
        <v>0</v>
      </c>
      <c r="ED101" s="35" t="n">
        <f aca="false">SUM(ED97:ED100)</f>
        <v>0</v>
      </c>
      <c r="EE101" s="35" t="n">
        <f aca="false">SUM(EE97:EE100)</f>
        <v>0</v>
      </c>
      <c r="EF101" s="35" t="n">
        <f aca="false">SUM(EF97:EF100)</f>
        <v>0</v>
      </c>
      <c r="EG101" s="35" t="n">
        <f aca="false">SUM(EG97:EG100)</f>
        <v>0</v>
      </c>
      <c r="EH101" s="35" t="n">
        <f aca="false">SUM(EH97:EH100)</f>
        <v>0</v>
      </c>
      <c r="EI101" s="35" t="n">
        <f aca="false">SUM(EI97:EI100)</f>
        <v>0</v>
      </c>
      <c r="EJ101" s="35" t="n">
        <f aca="false">SUM(EJ97:EJ100)</f>
        <v>0</v>
      </c>
      <c r="EK101" s="35" t="n">
        <f aca="false">SUM(EK97:EK100)</f>
        <v>0</v>
      </c>
      <c r="EL101" s="35" t="n">
        <f aca="false">SUM(EL97:EL100)</f>
        <v>0</v>
      </c>
      <c r="EM101" s="35" t="n">
        <f aca="false">SUM(EM97:EM100)</f>
        <v>0</v>
      </c>
      <c r="EN101" s="35" t="n">
        <f aca="false">SUM(EN97:EN100)</f>
        <v>0</v>
      </c>
      <c r="EO101" s="35" t="n">
        <f aca="false">SUM(EO97:EO100)</f>
        <v>0</v>
      </c>
      <c r="EP101" s="35" t="n">
        <f aca="false">SUM(EP97:EP100)</f>
        <v>0</v>
      </c>
      <c r="EQ101" s="35" t="n">
        <f aca="false">SUM(EQ97:EQ100)</f>
        <v>0</v>
      </c>
      <c r="ER101" s="35" t="n">
        <f aca="false">SUM(ER97:ER100)</f>
        <v>0</v>
      </c>
      <c r="ES101" s="35" t="n">
        <f aca="false">SUM(ES97:ES100)</f>
        <v>0</v>
      </c>
      <c r="ET101" s="35" t="n">
        <f aca="false">SUM(ET97:ET100)</f>
        <v>0</v>
      </c>
    </row>
    <row r="102" customFormat="false" ht="15" hidden="false" customHeight="false" outlineLevel="0" collapsed="false">
      <c r="C102" s="0" t="s">
        <v>550</v>
      </c>
      <c r="D102" s="11" t="s">
        <v>247</v>
      </c>
      <c r="I102" s="33" t="n">
        <f aca="false">SUM(J102:ET102)</f>
        <v>-26085.5642529266</v>
      </c>
      <c r="J102" s="33" t="n">
        <f aca="false">-J97*$F99*(J$4&gt;In_COD)</f>
        <v>-0</v>
      </c>
      <c r="K102" s="33" t="n">
        <f aca="false">-K97*$F99*(K$4&gt;In_COD)</f>
        <v>-0</v>
      </c>
      <c r="L102" s="33" t="n">
        <f aca="false">-L97*$F99*(L$4&gt;In_COD)</f>
        <v>-0</v>
      </c>
      <c r="M102" s="33" t="n">
        <f aca="false">-M97*$F99*(M$4&gt;In_COD)</f>
        <v>-0</v>
      </c>
      <c r="N102" s="33" t="n">
        <f aca="false">-N97*$F99*(N$4&gt;In_COD)</f>
        <v>-0</v>
      </c>
      <c r="O102" s="33" t="n">
        <f aca="false">-O97*$F99*(O$4&gt;In_COD)</f>
        <v>-0</v>
      </c>
      <c r="P102" s="33" t="n">
        <f aca="false">-P97*$F99*(P$4&gt;In_COD)</f>
        <v>-0</v>
      </c>
      <c r="Q102" s="33" t="n">
        <f aca="false">-Q97*$F99*(Q$4&gt;In_COD)</f>
        <v>-0</v>
      </c>
      <c r="R102" s="33" t="n">
        <f aca="false">-R97*$F99*(R$4&gt;In_COD)</f>
        <v>-0</v>
      </c>
      <c r="S102" s="33" t="n">
        <f aca="false">-S97*$F99*(S$4&gt;In_COD)</f>
        <v>-0</v>
      </c>
      <c r="T102" s="33" t="n">
        <f aca="false">-T97*$F99*(T$4&gt;In_COD)</f>
        <v>-0</v>
      </c>
      <c r="U102" s="33" t="n">
        <f aca="false">-U97*$F99*(U$4&gt;In_COD)</f>
        <v>-0</v>
      </c>
      <c r="V102" s="33" t="n">
        <f aca="false">-V97*$F99*(V$4&gt;In_COD)</f>
        <v>-0</v>
      </c>
      <c r="W102" s="33" t="n">
        <f aca="false">-W97*$F99*(W$4&gt;In_COD)</f>
        <v>-0</v>
      </c>
      <c r="X102" s="33" t="n">
        <f aca="false">-X97*$F99*(X$4&gt;In_COD)</f>
        <v>-0</v>
      </c>
      <c r="Y102" s="33" t="n">
        <f aca="false">-Y97*$F99*(Y$4&gt;In_COD)</f>
        <v>-0</v>
      </c>
      <c r="Z102" s="33" t="n">
        <f aca="false">-Z97*$F99*(Z$4&gt;In_COD)</f>
        <v>-0</v>
      </c>
      <c r="AA102" s="33" t="n">
        <f aca="false">-AA97*$F99*(AA$4&gt;In_COD)</f>
        <v>-0</v>
      </c>
      <c r="AB102" s="33" t="n">
        <f aca="false">-AB97*$F99*(AB$4&gt;In_COD)</f>
        <v>-0</v>
      </c>
      <c r="AC102" s="33" t="n">
        <f aca="false">-AC97*$F99*(AC$4&gt;In_COD)</f>
        <v>-0</v>
      </c>
      <c r="AD102" s="33" t="n">
        <f aca="false">-AD97*$F99*(AD$4&gt;In_COD)</f>
        <v>-0</v>
      </c>
      <c r="AE102" s="33" t="n">
        <f aca="false">-AE97*$F99*(AE$4&gt;In_COD)</f>
        <v>-1177.75629903212</v>
      </c>
      <c r="AF102" s="33" t="n">
        <f aca="false">-AF97*$F99*(AF$4&gt;In_COD)</f>
        <v>-1154.88260646518</v>
      </c>
      <c r="AG102" s="33" t="n">
        <f aca="false">-AG97*$F99*(AG$4&gt;In_COD)</f>
        <v>-1131.72299274115</v>
      </c>
      <c r="AH102" s="33" t="n">
        <f aca="false">-AH97*$F99*(AH$4&gt;In_COD)</f>
        <v>-1108.27388384557</v>
      </c>
      <c r="AI102" s="33" t="n">
        <f aca="false">-AI97*$F99*(AI$4&gt;In_COD)</f>
        <v>-1084.5316610888</v>
      </c>
      <c r="AJ102" s="33" t="n">
        <f aca="false">-AJ97*$F99*(AJ$4&gt;In_COD)</f>
        <v>-1060.49266054757</v>
      </c>
      <c r="AK102" s="33" t="n">
        <f aca="false">-AK97*$F99*(AK$4&gt;In_COD)</f>
        <v>-1036.15317249957</v>
      </c>
      <c r="AL102" s="33" t="n">
        <f aca="false">-AL97*$F99*(AL$4&gt;In_COD)</f>
        <v>-1011.50944085097</v>
      </c>
      <c r="AM102" s="33" t="n">
        <f aca="false">-AM97*$F99*(AM$4&gt;In_COD)</f>
        <v>-986.557662556764</v>
      </c>
      <c r="AN102" s="33" t="n">
        <f aca="false">-AN97*$F99*(AN$4&gt;In_COD)</f>
        <v>-961.293987033881</v>
      </c>
      <c r="AO102" s="33" t="n">
        <f aca="false">-AO97*$F99*(AO$4&gt;In_COD)</f>
        <v>-935.714515566962</v>
      </c>
      <c r="AP102" s="33" t="n">
        <f aca="false">-AP97*$F99*(AP$4&gt;In_COD)</f>
        <v>-909.815300706707</v>
      </c>
      <c r="AQ102" s="33" t="n">
        <f aca="false">-AQ97*$F99*(AQ$4&gt;In_COD)</f>
        <v>-883.592345660698</v>
      </c>
      <c r="AR102" s="33" t="n">
        <f aca="false">-AR97*$F99*(AR$4&gt;In_COD)</f>
        <v>-857.041603676614</v>
      </c>
      <c r="AS102" s="33" t="n">
        <f aca="false">-AS97*$F99*(AS$4&gt;In_COD)</f>
        <v>-830.158977417729</v>
      </c>
      <c r="AT102" s="33" t="n">
        <f aca="false">-AT97*$F99*(AT$4&gt;In_COD)</f>
        <v>-802.940318330608</v>
      </c>
      <c r="AU102" s="33" t="n">
        <f aca="false">-AU97*$F99*(AU$4&gt;In_COD)</f>
        <v>-775.381426004899</v>
      </c>
      <c r="AV102" s="33" t="n">
        <f aca="false">-AV97*$F99*(AV$4&gt;In_COD)</f>
        <v>-747.478047525117</v>
      </c>
      <c r="AW102" s="33" t="n">
        <f aca="false">-AW97*$F99*(AW$4&gt;In_COD)</f>
        <v>-719.225876814339</v>
      </c>
      <c r="AX102" s="33" t="n">
        <f aca="false">-AX97*$F99*(AX$4&gt;In_COD)</f>
        <v>-690.620553969676</v>
      </c>
      <c r="AY102" s="33" t="n">
        <f aca="false">-AY97*$F99*(AY$4&gt;In_COD)</f>
        <v>-661.657664589454</v>
      </c>
      <c r="AZ102" s="33" t="n">
        <f aca="false">-AZ97*$F99*(AZ$4&gt;In_COD)</f>
        <v>-632.33273909198</v>
      </c>
      <c r="BA102" s="33" t="n">
        <f aca="false">-BA97*$F99*(BA$4&gt;In_COD)</f>
        <v>-602.641252025787</v>
      </c>
      <c r="BB102" s="33" t="n">
        <f aca="false">-BB97*$F99*(BB$4&gt;In_COD)</f>
        <v>-572.578621371267</v>
      </c>
      <c r="BC102" s="33" t="n">
        <f aca="false">-BC97*$F99*(BC$4&gt;In_COD)</f>
        <v>-542.140207833565</v>
      </c>
      <c r="BD102" s="33" t="n">
        <f aca="false">-BD97*$F99*(BD$4&gt;In_COD)</f>
        <v>-511.321314126642</v>
      </c>
      <c r="BE102" s="33" t="n">
        <f aca="false">-BE97*$F99*(BE$4&gt;In_COD)</f>
        <v>-480.117184248382</v>
      </c>
      <c r="BF102" s="33" t="n">
        <f aca="false">-BF97*$F99*(BF$4&gt;In_COD)</f>
        <v>-448.523002746645</v>
      </c>
      <c r="BG102" s="33" t="n">
        <f aca="false">-BG97*$F99*(BG$4&gt;In_COD)</f>
        <v>-416.533893976135</v>
      </c>
      <c r="BH102" s="33" t="n">
        <f aca="false">-BH97*$F99*(BH$4&gt;In_COD)</f>
        <v>-384.144921345995</v>
      </c>
      <c r="BI102" s="33" t="n">
        <f aca="false">-BI97*$F99*(BI$4&gt;In_COD)</f>
        <v>-351.351086557977</v>
      </c>
      <c r="BJ102" s="33" t="n">
        <f aca="false">-BJ97*$F99*(BJ$4&gt;In_COD)</f>
        <v>-318.147328835109</v>
      </c>
      <c r="BK102" s="33" t="n">
        <f aca="false">-BK97*$F99*(BK$4&gt;In_COD)</f>
        <v>-284.528524140706</v>
      </c>
      <c r="BL102" s="33" t="n">
        <f aca="false">-BL97*$F99*(BL$4&gt;In_COD)</f>
        <v>-250.489484387622</v>
      </c>
      <c r="BM102" s="33" t="n">
        <f aca="false">-BM97*$F99*(BM$4&gt;In_COD)</f>
        <v>-216.024956637625</v>
      </c>
      <c r="BN102" s="33" t="n">
        <f aca="false">-BN97*$F99*(BN$4&gt;In_COD)</f>
        <v>-181.129622290752</v>
      </c>
      <c r="BO102" s="33" t="n">
        <f aca="false">-BO97*$F99*(BO$4&gt;In_COD)</f>
        <v>-145.798096264544</v>
      </c>
      <c r="BP102" s="33" t="n">
        <f aca="false">-BP97*$F99*(BP$4&gt;In_COD)</f>
        <v>-110.024926163009</v>
      </c>
      <c r="BQ102" s="33" t="n">
        <f aca="false">-BQ97*$F99*(BQ$4&gt;In_COD)</f>
        <v>-73.8045914352037</v>
      </c>
      <c r="BR102" s="33" t="n">
        <f aca="false">-BR97*$F99*(BR$4&gt;In_COD)</f>
        <v>-37.1315025233012</v>
      </c>
      <c r="BS102" s="33" t="n">
        <f aca="false">-BS97*$F99*(BS$4&gt;In_COD)</f>
        <v>-0</v>
      </c>
      <c r="BT102" s="33" t="n">
        <f aca="false">-BT97*$F99*(BT$4&gt;In_COD)</f>
        <v>-0</v>
      </c>
      <c r="BU102" s="33" t="n">
        <f aca="false">-BU97*$F99*(BU$4&gt;In_COD)</f>
        <v>-0</v>
      </c>
      <c r="BV102" s="33" t="n">
        <f aca="false">-BV97*$F99*(BV$4&gt;In_COD)</f>
        <v>-0</v>
      </c>
      <c r="BW102" s="33" t="n">
        <f aca="false">-BW97*$F99*(BW$4&gt;In_COD)</f>
        <v>-0</v>
      </c>
      <c r="BX102" s="33" t="n">
        <f aca="false">-BX97*$F99*(BX$4&gt;In_COD)</f>
        <v>-0</v>
      </c>
      <c r="BY102" s="33" t="n">
        <f aca="false">-BY97*$F99*(BY$4&gt;In_COD)</f>
        <v>-0</v>
      </c>
      <c r="BZ102" s="33" t="n">
        <f aca="false">-BZ97*$F99*(BZ$4&gt;In_COD)</f>
        <v>-0</v>
      </c>
      <c r="CA102" s="33" t="n">
        <f aca="false">-CA97*$F99*(CA$4&gt;In_COD)</f>
        <v>-0</v>
      </c>
      <c r="CB102" s="33" t="n">
        <f aca="false">-CB97*$F99*(CB$4&gt;In_COD)</f>
        <v>-0</v>
      </c>
      <c r="CC102" s="33" t="n">
        <f aca="false">-CC97*$F99*(CC$4&gt;In_COD)</f>
        <v>-0</v>
      </c>
      <c r="CD102" s="33" t="n">
        <f aca="false">-CD97*$F99*(CD$4&gt;In_COD)</f>
        <v>-0</v>
      </c>
      <c r="CE102" s="33" t="n">
        <f aca="false">-CE97*$F99*(CE$4&gt;In_COD)</f>
        <v>-0</v>
      </c>
      <c r="CF102" s="33" t="n">
        <f aca="false">-CF97*$F99*(CF$4&gt;In_COD)</f>
        <v>-0</v>
      </c>
      <c r="CG102" s="33" t="n">
        <f aca="false">-CG97*$F99*(CG$4&gt;In_COD)</f>
        <v>-0</v>
      </c>
      <c r="CH102" s="33" t="n">
        <f aca="false">-CH97*$F99*(CH$4&gt;In_COD)</f>
        <v>-0</v>
      </c>
      <c r="CI102" s="33" t="n">
        <f aca="false">-CI97*$F99*(CI$4&gt;In_COD)</f>
        <v>-0</v>
      </c>
      <c r="CJ102" s="33" t="n">
        <f aca="false">-CJ97*$F99*(CJ$4&gt;In_COD)</f>
        <v>-0</v>
      </c>
      <c r="CK102" s="33" t="n">
        <f aca="false">-CK97*$F99*(CK$4&gt;In_COD)</f>
        <v>-0</v>
      </c>
      <c r="CL102" s="33" t="n">
        <f aca="false">-CL97*$F99*(CL$4&gt;In_COD)</f>
        <v>-0</v>
      </c>
      <c r="CM102" s="33" t="n">
        <f aca="false">-CM97*$F99*(CM$4&gt;In_COD)</f>
        <v>-0</v>
      </c>
      <c r="CN102" s="33" t="n">
        <f aca="false">-CN97*$F99*(CN$4&gt;In_COD)</f>
        <v>-0</v>
      </c>
      <c r="CO102" s="33" t="n">
        <f aca="false">-CO97*$F99*(CO$4&gt;In_COD)</f>
        <v>-0</v>
      </c>
      <c r="CP102" s="33" t="n">
        <f aca="false">-CP97*$F99*(CP$4&gt;In_COD)</f>
        <v>-0</v>
      </c>
      <c r="CQ102" s="33" t="n">
        <f aca="false">-CQ97*$F99*(CQ$4&gt;In_COD)</f>
        <v>-0</v>
      </c>
      <c r="CR102" s="33" t="n">
        <f aca="false">-CR97*$F99*(CR$4&gt;In_COD)</f>
        <v>-0</v>
      </c>
      <c r="CS102" s="33" t="n">
        <f aca="false">-CS97*$F99*(CS$4&gt;In_COD)</f>
        <v>-0</v>
      </c>
      <c r="CT102" s="33" t="n">
        <f aca="false">-CT97*$F99*(CT$4&gt;In_COD)</f>
        <v>-0</v>
      </c>
      <c r="CU102" s="33" t="n">
        <f aca="false">-CU97*$F99*(CU$4&gt;In_COD)</f>
        <v>-0</v>
      </c>
      <c r="CV102" s="33" t="n">
        <f aca="false">-CV97*$F99*(CV$4&gt;In_COD)</f>
        <v>-0</v>
      </c>
      <c r="CW102" s="33" t="n">
        <f aca="false">-CW97*$F99*(CW$4&gt;In_COD)</f>
        <v>-0</v>
      </c>
      <c r="CX102" s="33" t="n">
        <f aca="false">-CX97*$F99*(CX$4&gt;In_COD)</f>
        <v>-0</v>
      </c>
      <c r="CY102" s="33" t="n">
        <f aca="false">-CY97*$F99*(CY$4&gt;In_COD)</f>
        <v>-0</v>
      </c>
      <c r="CZ102" s="33" t="n">
        <f aca="false">-CZ97*$F99*(CZ$4&gt;In_COD)</f>
        <v>-0</v>
      </c>
      <c r="DA102" s="33" t="n">
        <f aca="false">-DA97*$F99*(DA$4&gt;In_COD)</f>
        <v>-0</v>
      </c>
      <c r="DB102" s="33" t="n">
        <f aca="false">-DB97*$F99*(DB$4&gt;In_COD)</f>
        <v>-0</v>
      </c>
      <c r="DC102" s="33" t="n">
        <f aca="false">-DC97*$F99*(DC$4&gt;In_COD)</f>
        <v>-0</v>
      </c>
      <c r="DD102" s="33" t="n">
        <f aca="false">-DD97*$F99*(DD$4&gt;In_COD)</f>
        <v>-0</v>
      </c>
      <c r="DE102" s="33" t="n">
        <f aca="false">-DE97*$F99*(DE$4&gt;In_COD)</f>
        <v>-0</v>
      </c>
      <c r="DF102" s="33" t="n">
        <f aca="false">-DF97*$F99*(DF$4&gt;In_COD)</f>
        <v>-0</v>
      </c>
      <c r="DG102" s="33" t="n">
        <f aca="false">-DG97*$F99*(DG$4&gt;In_COD)</f>
        <v>-0</v>
      </c>
      <c r="DH102" s="33" t="n">
        <f aca="false">-DH97*$F99*(DH$4&gt;In_COD)</f>
        <v>-0</v>
      </c>
      <c r="DI102" s="33" t="n">
        <f aca="false">-DI97*$F99*(DI$4&gt;In_COD)</f>
        <v>-0</v>
      </c>
      <c r="DJ102" s="33" t="n">
        <f aca="false">-DJ97*$F99*(DJ$4&gt;In_COD)</f>
        <v>-0</v>
      </c>
      <c r="DK102" s="33" t="n">
        <f aca="false">-DK97*$F99*(DK$4&gt;In_COD)</f>
        <v>-0</v>
      </c>
      <c r="DL102" s="33" t="n">
        <f aca="false">-DL97*$F99*(DL$4&gt;In_COD)</f>
        <v>-0</v>
      </c>
      <c r="DM102" s="33" t="n">
        <f aca="false">-DM97*$F99*(DM$4&gt;In_COD)</f>
        <v>-0</v>
      </c>
      <c r="DN102" s="33" t="n">
        <f aca="false">-DN97*$F99*(DN$4&gt;In_COD)</f>
        <v>-0</v>
      </c>
      <c r="DO102" s="33" t="n">
        <f aca="false">-DO97*$F99*(DO$4&gt;In_COD)</f>
        <v>-0</v>
      </c>
      <c r="DP102" s="33" t="n">
        <f aca="false">-DP97*$F99*(DP$4&gt;In_COD)</f>
        <v>-0</v>
      </c>
      <c r="DQ102" s="33" t="n">
        <f aca="false">-DQ97*$F99*(DQ$4&gt;In_COD)</f>
        <v>-0</v>
      </c>
      <c r="DR102" s="33" t="n">
        <f aca="false">-DR97*$F99*(DR$4&gt;In_COD)</f>
        <v>-0</v>
      </c>
      <c r="DS102" s="33" t="n">
        <f aca="false">-DS97*$F99*(DS$4&gt;In_COD)</f>
        <v>-0</v>
      </c>
      <c r="DT102" s="33" t="n">
        <f aca="false">-DT97*$F99*(DT$4&gt;In_COD)</f>
        <v>-0</v>
      </c>
      <c r="DU102" s="33" t="n">
        <f aca="false">-DU97*$F99*(DU$4&gt;In_COD)</f>
        <v>-0</v>
      </c>
      <c r="DV102" s="33" t="n">
        <f aca="false">-DV97*$F99*(DV$4&gt;In_COD)</f>
        <v>-0</v>
      </c>
      <c r="DW102" s="33" t="n">
        <f aca="false">-DW97*$F99*(DW$4&gt;In_COD)</f>
        <v>-0</v>
      </c>
      <c r="DX102" s="33" t="n">
        <f aca="false">-DX97*$F99*(DX$4&gt;In_COD)</f>
        <v>-0</v>
      </c>
      <c r="DY102" s="33" t="n">
        <f aca="false">-DY97*$F99*(DY$4&gt;In_COD)</f>
        <v>-0</v>
      </c>
      <c r="DZ102" s="33" t="n">
        <f aca="false">-DZ97*$F99*(DZ$4&gt;In_COD)</f>
        <v>-0</v>
      </c>
      <c r="EA102" s="33" t="n">
        <f aca="false">-EA97*$F99*(EA$4&gt;In_COD)</f>
        <v>-0</v>
      </c>
      <c r="EB102" s="33" t="n">
        <f aca="false">-EB97*$F99*(EB$4&gt;In_COD)</f>
        <v>-0</v>
      </c>
      <c r="EC102" s="33" t="n">
        <f aca="false">-EC97*$F99*(EC$4&gt;In_COD)</f>
        <v>-0</v>
      </c>
      <c r="ED102" s="33" t="n">
        <f aca="false">-ED97*$F99*(ED$4&gt;In_COD)</f>
        <v>-0</v>
      </c>
      <c r="EE102" s="33" t="n">
        <f aca="false">-EE97*$F99*(EE$4&gt;In_COD)</f>
        <v>-0</v>
      </c>
      <c r="EF102" s="33" t="n">
        <f aca="false">-EF97*$F99*(EF$4&gt;In_COD)</f>
        <v>-0</v>
      </c>
      <c r="EG102" s="33" t="n">
        <f aca="false">-EG97*$F99*(EG$4&gt;In_COD)</f>
        <v>-0</v>
      </c>
      <c r="EH102" s="33" t="n">
        <f aca="false">-EH97*$F99*(EH$4&gt;In_COD)</f>
        <v>-0</v>
      </c>
      <c r="EI102" s="33" t="n">
        <f aca="false">-EI97*$F99*(EI$4&gt;In_COD)</f>
        <v>-0</v>
      </c>
      <c r="EJ102" s="33" t="n">
        <f aca="false">-EJ97*$F99*(EJ$4&gt;In_COD)</f>
        <v>-0</v>
      </c>
      <c r="EK102" s="33" t="n">
        <f aca="false">-EK97*$F99*(EK$4&gt;In_COD)</f>
        <v>-0</v>
      </c>
      <c r="EL102" s="33" t="n">
        <f aca="false">-EL97*$F99*(EL$4&gt;In_COD)</f>
        <v>-0</v>
      </c>
      <c r="EM102" s="33" t="n">
        <f aca="false">-EM97*$F99*(EM$4&gt;In_COD)</f>
        <v>-0</v>
      </c>
      <c r="EN102" s="33" t="n">
        <f aca="false">-EN97*$F99*(EN$4&gt;In_COD)</f>
        <v>-0</v>
      </c>
      <c r="EO102" s="33" t="n">
        <f aca="false">-EO97*$F99*(EO$4&gt;In_COD)</f>
        <v>-0</v>
      </c>
      <c r="EP102" s="33" t="n">
        <f aca="false">-EP97*$F99*(EP$4&gt;In_COD)</f>
        <v>-0</v>
      </c>
      <c r="EQ102" s="33" t="n">
        <f aca="false">-EQ97*$F99*(EQ$4&gt;In_COD)</f>
        <v>-0</v>
      </c>
      <c r="ER102" s="33" t="n">
        <f aca="false">-ER97*$F99*(ER$4&gt;In_COD)</f>
        <v>-0</v>
      </c>
      <c r="ES102" s="33" t="n">
        <f aca="false">-ES97*$F99*(ES$4&gt;In_COD)</f>
        <v>-0</v>
      </c>
      <c r="ET102" s="33" t="n">
        <f aca="false">-ET97*$F99*(ET$4&gt;In_COD)</f>
        <v>-0</v>
      </c>
    </row>
    <row r="103" customFormat="false" ht="15" hidden="false" customHeight="false" outlineLevel="0" collapsed="false">
      <c r="C103" s="0" t="s">
        <v>397</v>
      </c>
      <c r="D103" s="11" t="s">
        <v>247</v>
      </c>
      <c r="I103" s="33" t="n">
        <f aca="false">SUM(J103:ET103)</f>
        <v>-1578.0910677863</v>
      </c>
      <c r="J103" s="33" t="n">
        <f aca="false">-In_Upfront_Fee*$E98*(J97=0)*(J98&gt;0)</f>
        <v>-0</v>
      </c>
      <c r="K103" s="33" t="n">
        <f aca="false">-In_Upfront_Fee*$E98*(K97=0)*(K98&gt;0)</f>
        <v>-0</v>
      </c>
      <c r="L103" s="33" t="n">
        <f aca="false">-In_Upfront_Fee*$E98*(L97=0)*(L98&gt;0)</f>
        <v>-0</v>
      </c>
      <c r="M103" s="33" t="n">
        <f aca="false">-In_Upfront_Fee*$E98*(M97=0)*(M98&gt;0)</f>
        <v>-0</v>
      </c>
      <c r="N103" s="33" t="n">
        <f aca="false">-In_Upfront_Fee*$E98*(N97=0)*(N98&gt;0)</f>
        <v>-0</v>
      </c>
      <c r="O103" s="33" t="n">
        <f aca="false">-In_Upfront_Fee*$E98*(O97=0)*(O98&gt;0)</f>
        <v>-0</v>
      </c>
      <c r="P103" s="33" t="n">
        <f aca="false">-In_Upfront_Fee*$E98*(P97=0)*(P98&gt;0)</f>
        <v>-0</v>
      </c>
      <c r="Q103" s="33" t="n">
        <f aca="false">-In_Upfront_Fee*$E98*(Q97=0)*(Q98&gt;0)</f>
        <v>-0</v>
      </c>
      <c r="R103" s="33" t="n">
        <f aca="false">-In_Upfront_Fee*$E98*(R97=0)*(R98&gt;0)</f>
        <v>-0</v>
      </c>
      <c r="S103" s="33" t="n">
        <f aca="false">-In_Upfront_Fee*$E98*(S97=0)*(S98&gt;0)</f>
        <v>-0</v>
      </c>
      <c r="T103" s="33" t="n">
        <f aca="false">-In_Upfront_Fee*$E98*(T97=0)*(T98&gt;0)</f>
        <v>-0</v>
      </c>
      <c r="U103" s="33" t="n">
        <f aca="false">-In_Upfront_Fee*$E98*(U97=0)*(U98&gt;0)</f>
        <v>-0</v>
      </c>
      <c r="V103" s="33" t="n">
        <f aca="false">-In_Upfront_Fee*$E98*(V97=0)*(V98&gt;0)</f>
        <v>-0</v>
      </c>
      <c r="W103" s="33" t="n">
        <f aca="false">-In_Upfront_Fee*$E98*(W97=0)*(W98&gt;0)</f>
        <v>-1578.0910677863</v>
      </c>
      <c r="X103" s="33" t="n">
        <f aca="false">-In_Upfront_Fee*$E98*(X97=0)*(X98&gt;0)</f>
        <v>-0</v>
      </c>
      <c r="Y103" s="33" t="n">
        <f aca="false">-In_Upfront_Fee*$E98*(Y97=0)*(Y98&gt;0)</f>
        <v>-0</v>
      </c>
      <c r="Z103" s="33" t="n">
        <f aca="false">-In_Upfront_Fee*$E98*(Z97=0)*(Z98&gt;0)</f>
        <v>-0</v>
      </c>
      <c r="AA103" s="33" t="n">
        <f aca="false">-In_Upfront_Fee*$E98*(AA97=0)*(AA98&gt;0)</f>
        <v>-0</v>
      </c>
      <c r="AB103" s="33" t="n">
        <f aca="false">-In_Upfront_Fee*$E98*(AB97=0)*(AB98&gt;0)</f>
        <v>-0</v>
      </c>
      <c r="AC103" s="33" t="n">
        <f aca="false">-In_Upfront_Fee*$E98*(AC97=0)*(AC98&gt;0)</f>
        <v>-0</v>
      </c>
      <c r="AD103" s="33" t="n">
        <f aca="false">-In_Upfront_Fee*$E98*(AD97=0)*(AD98&gt;0)</f>
        <v>-0</v>
      </c>
      <c r="AE103" s="33" t="n">
        <f aca="false">-In_Upfront_Fee*$E98*(AE97=0)*(AE98&gt;0)</f>
        <v>-0</v>
      </c>
      <c r="AF103" s="33" t="n">
        <f aca="false">-In_Upfront_Fee*$E98*(AF97=0)*(AF98&gt;0)</f>
        <v>-0</v>
      </c>
      <c r="AG103" s="33" t="n">
        <f aca="false">-In_Upfront_Fee*$E98*(AG97=0)*(AG98&gt;0)</f>
        <v>-0</v>
      </c>
      <c r="AH103" s="33" t="n">
        <f aca="false">-In_Upfront_Fee*$E98*(AH97=0)*(AH98&gt;0)</f>
        <v>-0</v>
      </c>
      <c r="AI103" s="33" t="n">
        <f aca="false">-In_Upfront_Fee*$E98*(AI97=0)*(AI98&gt;0)</f>
        <v>-0</v>
      </c>
      <c r="AJ103" s="33" t="n">
        <f aca="false">-In_Upfront_Fee*$E98*(AJ97=0)*(AJ98&gt;0)</f>
        <v>-0</v>
      </c>
      <c r="AK103" s="33" t="n">
        <f aca="false">-In_Upfront_Fee*$E98*(AK97=0)*(AK98&gt;0)</f>
        <v>-0</v>
      </c>
      <c r="AL103" s="33" t="n">
        <f aca="false">-In_Upfront_Fee*$E98*(AL97=0)*(AL98&gt;0)</f>
        <v>-0</v>
      </c>
      <c r="AM103" s="33" t="n">
        <f aca="false">-In_Upfront_Fee*$E98*(AM97=0)*(AM98&gt;0)</f>
        <v>-0</v>
      </c>
      <c r="AN103" s="33" t="n">
        <f aca="false">-In_Upfront_Fee*$E98*(AN97=0)*(AN98&gt;0)</f>
        <v>-0</v>
      </c>
      <c r="AO103" s="33" t="n">
        <f aca="false">-In_Upfront_Fee*$E98*(AO97=0)*(AO98&gt;0)</f>
        <v>-0</v>
      </c>
      <c r="AP103" s="33" t="n">
        <f aca="false">-In_Upfront_Fee*$E98*(AP97=0)*(AP98&gt;0)</f>
        <v>-0</v>
      </c>
      <c r="AQ103" s="33" t="n">
        <f aca="false">-In_Upfront_Fee*$E98*(AQ97=0)*(AQ98&gt;0)</f>
        <v>-0</v>
      </c>
      <c r="AR103" s="33" t="n">
        <f aca="false">-In_Upfront_Fee*$E98*(AR97=0)*(AR98&gt;0)</f>
        <v>-0</v>
      </c>
      <c r="AS103" s="33" t="n">
        <f aca="false">-In_Upfront_Fee*$E98*(AS97=0)*(AS98&gt;0)</f>
        <v>-0</v>
      </c>
      <c r="AT103" s="33" t="n">
        <f aca="false">-In_Upfront_Fee*$E98*(AT97=0)*(AT98&gt;0)</f>
        <v>-0</v>
      </c>
      <c r="AU103" s="33" t="n">
        <f aca="false">-In_Upfront_Fee*$E98*(AU97=0)*(AU98&gt;0)</f>
        <v>-0</v>
      </c>
      <c r="AV103" s="33" t="n">
        <f aca="false">-In_Upfront_Fee*$E98*(AV97=0)*(AV98&gt;0)</f>
        <v>-0</v>
      </c>
      <c r="AW103" s="33" t="n">
        <f aca="false">-In_Upfront_Fee*$E98*(AW97=0)*(AW98&gt;0)</f>
        <v>-0</v>
      </c>
      <c r="AX103" s="33" t="n">
        <f aca="false">-In_Upfront_Fee*$E98*(AX97=0)*(AX98&gt;0)</f>
        <v>-0</v>
      </c>
      <c r="AY103" s="33" t="n">
        <f aca="false">-In_Upfront_Fee*$E98*(AY97=0)*(AY98&gt;0)</f>
        <v>-0</v>
      </c>
      <c r="AZ103" s="33" t="n">
        <f aca="false">-In_Upfront_Fee*$E98*(AZ97=0)*(AZ98&gt;0)</f>
        <v>-0</v>
      </c>
      <c r="BA103" s="33" t="n">
        <f aca="false">-In_Upfront_Fee*$E98*(BA97=0)*(BA98&gt;0)</f>
        <v>-0</v>
      </c>
      <c r="BB103" s="33" t="n">
        <f aca="false">-In_Upfront_Fee*$E98*(BB97=0)*(BB98&gt;0)</f>
        <v>-0</v>
      </c>
      <c r="BC103" s="33" t="n">
        <f aca="false">-In_Upfront_Fee*$E98*(BC97=0)*(BC98&gt;0)</f>
        <v>-0</v>
      </c>
      <c r="BD103" s="33" t="n">
        <f aca="false">-In_Upfront_Fee*$E98*(BD97=0)*(BD98&gt;0)</f>
        <v>-0</v>
      </c>
      <c r="BE103" s="33" t="n">
        <f aca="false">-In_Upfront_Fee*$E98*(BE97=0)*(BE98&gt;0)</f>
        <v>-0</v>
      </c>
      <c r="BF103" s="33" t="n">
        <f aca="false">-In_Upfront_Fee*$E98*(BF97=0)*(BF98&gt;0)</f>
        <v>-0</v>
      </c>
      <c r="BG103" s="33" t="n">
        <f aca="false">-In_Upfront_Fee*$E98*(BG97=0)*(BG98&gt;0)</f>
        <v>-0</v>
      </c>
      <c r="BH103" s="33" t="n">
        <f aca="false">-In_Upfront_Fee*$E98*(BH97=0)*(BH98&gt;0)</f>
        <v>-0</v>
      </c>
      <c r="BI103" s="33" t="n">
        <f aca="false">-In_Upfront_Fee*$E98*(BI97=0)*(BI98&gt;0)</f>
        <v>-0</v>
      </c>
      <c r="BJ103" s="33" t="n">
        <f aca="false">-In_Upfront_Fee*$E98*(BJ97=0)*(BJ98&gt;0)</f>
        <v>-0</v>
      </c>
      <c r="BK103" s="33" t="n">
        <f aca="false">-In_Upfront_Fee*$E98*(BK97=0)*(BK98&gt;0)</f>
        <v>-0</v>
      </c>
      <c r="BL103" s="33" t="n">
        <f aca="false">-In_Upfront_Fee*$E98*(BL97=0)*(BL98&gt;0)</f>
        <v>-0</v>
      </c>
      <c r="BM103" s="33" t="n">
        <f aca="false">-In_Upfront_Fee*$E98*(BM97=0)*(BM98&gt;0)</f>
        <v>-0</v>
      </c>
      <c r="BN103" s="33" t="n">
        <f aca="false">-In_Upfront_Fee*$E98*(BN97=0)*(BN98&gt;0)</f>
        <v>-0</v>
      </c>
      <c r="BO103" s="33" t="n">
        <f aca="false">-In_Upfront_Fee*$E98*(BO97=0)*(BO98&gt;0)</f>
        <v>-0</v>
      </c>
      <c r="BP103" s="33" t="n">
        <f aca="false">-In_Upfront_Fee*$E98*(BP97=0)*(BP98&gt;0)</f>
        <v>-0</v>
      </c>
      <c r="BQ103" s="33" t="n">
        <f aca="false">-In_Upfront_Fee*$E98*(BQ97=0)*(BQ98&gt;0)</f>
        <v>-0</v>
      </c>
      <c r="BR103" s="33" t="n">
        <f aca="false">-In_Upfront_Fee*$E98*(BR97=0)*(BR98&gt;0)</f>
        <v>-0</v>
      </c>
      <c r="BS103" s="33" t="n">
        <f aca="false">-In_Upfront_Fee*$E98*(BS97=0)*(BS98&gt;0)</f>
        <v>-0</v>
      </c>
      <c r="BT103" s="33" t="n">
        <f aca="false">-In_Upfront_Fee*$E98*(BT97=0)*(BT98&gt;0)</f>
        <v>-0</v>
      </c>
      <c r="BU103" s="33" t="n">
        <f aca="false">-In_Upfront_Fee*$E98*(BU97=0)*(BU98&gt;0)</f>
        <v>-0</v>
      </c>
      <c r="BV103" s="33" t="n">
        <f aca="false">-In_Upfront_Fee*$E98*(BV97=0)*(BV98&gt;0)</f>
        <v>-0</v>
      </c>
      <c r="BW103" s="33" t="n">
        <f aca="false">-In_Upfront_Fee*$E98*(BW97=0)*(BW98&gt;0)</f>
        <v>-0</v>
      </c>
      <c r="BX103" s="33" t="n">
        <f aca="false">-In_Upfront_Fee*$E98*(BX97=0)*(BX98&gt;0)</f>
        <v>-0</v>
      </c>
      <c r="BY103" s="33" t="n">
        <f aca="false">-In_Upfront_Fee*$E98*(BY97=0)*(BY98&gt;0)</f>
        <v>-0</v>
      </c>
      <c r="BZ103" s="33" t="n">
        <f aca="false">-In_Upfront_Fee*$E98*(BZ97=0)*(BZ98&gt;0)</f>
        <v>-0</v>
      </c>
      <c r="CA103" s="33" t="n">
        <f aca="false">-In_Upfront_Fee*$E98*(CA97=0)*(CA98&gt;0)</f>
        <v>-0</v>
      </c>
      <c r="CB103" s="33" t="n">
        <f aca="false">-In_Upfront_Fee*$E98*(CB97=0)*(CB98&gt;0)</f>
        <v>-0</v>
      </c>
      <c r="CC103" s="33" t="n">
        <f aca="false">-In_Upfront_Fee*$E98*(CC97=0)*(CC98&gt;0)</f>
        <v>-0</v>
      </c>
      <c r="CD103" s="33" t="n">
        <f aca="false">-In_Upfront_Fee*$E98*(CD97=0)*(CD98&gt;0)</f>
        <v>-0</v>
      </c>
      <c r="CE103" s="33" t="n">
        <f aca="false">-In_Upfront_Fee*$E98*(CE97=0)*(CE98&gt;0)</f>
        <v>-0</v>
      </c>
      <c r="CF103" s="33" t="n">
        <f aca="false">-In_Upfront_Fee*$E98*(CF97=0)*(CF98&gt;0)</f>
        <v>-0</v>
      </c>
      <c r="CG103" s="33" t="n">
        <f aca="false">-In_Upfront_Fee*$E98*(CG97=0)*(CG98&gt;0)</f>
        <v>-0</v>
      </c>
      <c r="CH103" s="33" t="n">
        <f aca="false">-In_Upfront_Fee*$E98*(CH97=0)*(CH98&gt;0)</f>
        <v>-0</v>
      </c>
      <c r="CI103" s="33" t="n">
        <f aca="false">-In_Upfront_Fee*$E98*(CI97=0)*(CI98&gt;0)</f>
        <v>-0</v>
      </c>
      <c r="CJ103" s="33" t="n">
        <f aca="false">-In_Upfront_Fee*$E98*(CJ97=0)*(CJ98&gt;0)</f>
        <v>-0</v>
      </c>
      <c r="CK103" s="33" t="n">
        <f aca="false">-In_Upfront_Fee*$E98*(CK97=0)*(CK98&gt;0)</f>
        <v>-0</v>
      </c>
      <c r="CL103" s="33" t="n">
        <f aca="false">-In_Upfront_Fee*$E98*(CL97=0)*(CL98&gt;0)</f>
        <v>-0</v>
      </c>
      <c r="CM103" s="33" t="n">
        <f aca="false">-In_Upfront_Fee*$E98*(CM97=0)*(CM98&gt;0)</f>
        <v>-0</v>
      </c>
      <c r="CN103" s="33" t="n">
        <f aca="false">-In_Upfront_Fee*$E98*(CN97=0)*(CN98&gt;0)</f>
        <v>-0</v>
      </c>
      <c r="CO103" s="33" t="n">
        <f aca="false">-In_Upfront_Fee*$E98*(CO97=0)*(CO98&gt;0)</f>
        <v>-0</v>
      </c>
      <c r="CP103" s="33" t="n">
        <f aca="false">-In_Upfront_Fee*$E98*(CP97=0)*(CP98&gt;0)</f>
        <v>-0</v>
      </c>
      <c r="CQ103" s="33" t="n">
        <f aca="false">-In_Upfront_Fee*$E98*(CQ97=0)*(CQ98&gt;0)</f>
        <v>-0</v>
      </c>
      <c r="CR103" s="33" t="n">
        <f aca="false">-In_Upfront_Fee*$E98*(CR97=0)*(CR98&gt;0)</f>
        <v>-0</v>
      </c>
      <c r="CS103" s="33" t="n">
        <f aca="false">-In_Upfront_Fee*$E98*(CS97=0)*(CS98&gt;0)</f>
        <v>-0</v>
      </c>
      <c r="CT103" s="33" t="n">
        <f aca="false">-In_Upfront_Fee*$E98*(CT97=0)*(CT98&gt;0)</f>
        <v>-0</v>
      </c>
      <c r="CU103" s="33" t="n">
        <f aca="false">-In_Upfront_Fee*$E98*(CU97=0)*(CU98&gt;0)</f>
        <v>-0</v>
      </c>
      <c r="CV103" s="33" t="n">
        <f aca="false">-In_Upfront_Fee*$E98*(CV97=0)*(CV98&gt;0)</f>
        <v>-0</v>
      </c>
      <c r="CW103" s="33" t="n">
        <f aca="false">-In_Upfront_Fee*$E98*(CW97=0)*(CW98&gt;0)</f>
        <v>-0</v>
      </c>
      <c r="CX103" s="33" t="n">
        <f aca="false">-In_Upfront_Fee*$E98*(CX97=0)*(CX98&gt;0)</f>
        <v>-0</v>
      </c>
      <c r="CY103" s="33" t="n">
        <f aca="false">-In_Upfront_Fee*$E98*(CY97=0)*(CY98&gt;0)</f>
        <v>-0</v>
      </c>
      <c r="CZ103" s="33" t="n">
        <f aca="false">-In_Upfront_Fee*$E98*(CZ97=0)*(CZ98&gt;0)</f>
        <v>-0</v>
      </c>
      <c r="DA103" s="33" t="n">
        <f aca="false">-In_Upfront_Fee*$E98*(DA97=0)*(DA98&gt;0)</f>
        <v>-0</v>
      </c>
      <c r="DB103" s="33" t="n">
        <f aca="false">-In_Upfront_Fee*$E98*(DB97=0)*(DB98&gt;0)</f>
        <v>-0</v>
      </c>
      <c r="DC103" s="33" t="n">
        <f aca="false">-In_Upfront_Fee*$E98*(DC97=0)*(DC98&gt;0)</f>
        <v>-0</v>
      </c>
      <c r="DD103" s="33" t="n">
        <f aca="false">-In_Upfront_Fee*$E98*(DD97=0)*(DD98&gt;0)</f>
        <v>-0</v>
      </c>
      <c r="DE103" s="33" t="n">
        <f aca="false">-In_Upfront_Fee*$E98*(DE97=0)*(DE98&gt;0)</f>
        <v>-0</v>
      </c>
      <c r="DF103" s="33" t="n">
        <f aca="false">-In_Upfront_Fee*$E98*(DF97=0)*(DF98&gt;0)</f>
        <v>-0</v>
      </c>
      <c r="DG103" s="33" t="n">
        <f aca="false">-In_Upfront_Fee*$E98*(DG97=0)*(DG98&gt;0)</f>
        <v>-0</v>
      </c>
      <c r="DH103" s="33" t="n">
        <f aca="false">-In_Upfront_Fee*$E98*(DH97=0)*(DH98&gt;0)</f>
        <v>-0</v>
      </c>
      <c r="DI103" s="33" t="n">
        <f aca="false">-In_Upfront_Fee*$E98*(DI97=0)*(DI98&gt;0)</f>
        <v>-0</v>
      </c>
      <c r="DJ103" s="33" t="n">
        <f aca="false">-In_Upfront_Fee*$E98*(DJ97=0)*(DJ98&gt;0)</f>
        <v>-0</v>
      </c>
      <c r="DK103" s="33" t="n">
        <f aca="false">-In_Upfront_Fee*$E98*(DK97=0)*(DK98&gt;0)</f>
        <v>-0</v>
      </c>
      <c r="DL103" s="33" t="n">
        <f aca="false">-In_Upfront_Fee*$E98*(DL97=0)*(DL98&gt;0)</f>
        <v>-0</v>
      </c>
      <c r="DM103" s="33" t="n">
        <f aca="false">-In_Upfront_Fee*$E98*(DM97=0)*(DM98&gt;0)</f>
        <v>-0</v>
      </c>
      <c r="DN103" s="33" t="n">
        <f aca="false">-In_Upfront_Fee*$E98*(DN97=0)*(DN98&gt;0)</f>
        <v>-0</v>
      </c>
      <c r="DO103" s="33" t="n">
        <f aca="false">-In_Upfront_Fee*$E98*(DO97=0)*(DO98&gt;0)</f>
        <v>-0</v>
      </c>
      <c r="DP103" s="33" t="n">
        <f aca="false">-In_Upfront_Fee*$E98*(DP97=0)*(DP98&gt;0)</f>
        <v>-0</v>
      </c>
      <c r="DQ103" s="33" t="n">
        <f aca="false">-In_Upfront_Fee*$E98*(DQ97=0)*(DQ98&gt;0)</f>
        <v>-0</v>
      </c>
      <c r="DR103" s="33" t="n">
        <f aca="false">-In_Upfront_Fee*$E98*(DR97=0)*(DR98&gt;0)</f>
        <v>-0</v>
      </c>
      <c r="DS103" s="33" t="n">
        <f aca="false">-In_Upfront_Fee*$E98*(DS97=0)*(DS98&gt;0)</f>
        <v>-0</v>
      </c>
      <c r="DT103" s="33" t="n">
        <f aca="false">-In_Upfront_Fee*$E98*(DT97=0)*(DT98&gt;0)</f>
        <v>-0</v>
      </c>
      <c r="DU103" s="33" t="n">
        <f aca="false">-In_Upfront_Fee*$E98*(DU97=0)*(DU98&gt;0)</f>
        <v>-0</v>
      </c>
      <c r="DV103" s="33" t="n">
        <f aca="false">-In_Upfront_Fee*$E98*(DV97=0)*(DV98&gt;0)</f>
        <v>-0</v>
      </c>
      <c r="DW103" s="33" t="n">
        <f aca="false">-In_Upfront_Fee*$E98*(DW97=0)*(DW98&gt;0)</f>
        <v>-0</v>
      </c>
      <c r="DX103" s="33" t="n">
        <f aca="false">-In_Upfront_Fee*$E98*(DX97=0)*(DX98&gt;0)</f>
        <v>-0</v>
      </c>
      <c r="DY103" s="33" t="n">
        <f aca="false">-In_Upfront_Fee*$E98*(DY97=0)*(DY98&gt;0)</f>
        <v>-0</v>
      </c>
      <c r="DZ103" s="33" t="n">
        <f aca="false">-In_Upfront_Fee*$E98*(DZ97=0)*(DZ98&gt;0)</f>
        <v>-0</v>
      </c>
      <c r="EA103" s="33" t="n">
        <f aca="false">-In_Upfront_Fee*$E98*(EA97=0)*(EA98&gt;0)</f>
        <v>-0</v>
      </c>
      <c r="EB103" s="33" t="n">
        <f aca="false">-In_Upfront_Fee*$E98*(EB97=0)*(EB98&gt;0)</f>
        <v>-0</v>
      </c>
      <c r="EC103" s="33" t="n">
        <f aca="false">-In_Upfront_Fee*$E98*(EC97=0)*(EC98&gt;0)</f>
        <v>-0</v>
      </c>
      <c r="ED103" s="33" t="n">
        <f aca="false">-In_Upfront_Fee*$E98*(ED97=0)*(ED98&gt;0)</f>
        <v>-0</v>
      </c>
      <c r="EE103" s="33" t="n">
        <f aca="false">-In_Upfront_Fee*$E98*(EE97=0)*(EE98&gt;0)</f>
        <v>-0</v>
      </c>
      <c r="EF103" s="33" t="n">
        <f aca="false">-In_Upfront_Fee*$E98*(EF97=0)*(EF98&gt;0)</f>
        <v>-0</v>
      </c>
      <c r="EG103" s="33" t="n">
        <f aca="false">-In_Upfront_Fee*$E98*(EG97=0)*(EG98&gt;0)</f>
        <v>-0</v>
      </c>
      <c r="EH103" s="33" t="n">
        <f aca="false">-In_Upfront_Fee*$E98*(EH97=0)*(EH98&gt;0)</f>
        <v>-0</v>
      </c>
      <c r="EI103" s="33" t="n">
        <f aca="false">-In_Upfront_Fee*$E98*(EI97=0)*(EI98&gt;0)</f>
        <v>-0</v>
      </c>
      <c r="EJ103" s="33" t="n">
        <f aca="false">-In_Upfront_Fee*$E98*(EJ97=0)*(EJ98&gt;0)</f>
        <v>-0</v>
      </c>
      <c r="EK103" s="33" t="n">
        <f aca="false">-In_Upfront_Fee*$E98*(EK97=0)*(EK98&gt;0)</f>
        <v>-0</v>
      </c>
      <c r="EL103" s="33" t="n">
        <f aca="false">-In_Upfront_Fee*$E98*(EL97=0)*(EL98&gt;0)</f>
        <v>-0</v>
      </c>
      <c r="EM103" s="33" t="n">
        <f aca="false">-In_Upfront_Fee*$E98*(EM97=0)*(EM98&gt;0)</f>
        <v>-0</v>
      </c>
      <c r="EN103" s="33" t="n">
        <f aca="false">-In_Upfront_Fee*$E98*(EN97=0)*(EN98&gt;0)</f>
        <v>-0</v>
      </c>
      <c r="EO103" s="33" t="n">
        <f aca="false">-In_Upfront_Fee*$E98*(EO97=0)*(EO98&gt;0)</f>
        <v>-0</v>
      </c>
      <c r="EP103" s="33" t="n">
        <f aca="false">-In_Upfront_Fee*$E98*(EP97=0)*(EP98&gt;0)</f>
        <v>-0</v>
      </c>
      <c r="EQ103" s="33" t="n">
        <f aca="false">-In_Upfront_Fee*$E98*(EQ97=0)*(EQ98&gt;0)</f>
        <v>-0</v>
      </c>
      <c r="ER103" s="33" t="n">
        <f aca="false">-In_Upfront_Fee*$E98*(ER97=0)*(ER98&gt;0)</f>
        <v>-0</v>
      </c>
      <c r="ES103" s="33" t="n">
        <f aca="false">-In_Upfront_Fee*$E98*(ES97=0)*(ES98&gt;0)</f>
        <v>-0</v>
      </c>
      <c r="ET103" s="33" t="n">
        <f aca="false">-In_Upfront_Fee*$E98*(ET97=0)*(ET98&gt;0)</f>
        <v>-0</v>
      </c>
    </row>
    <row r="104" customFormat="false" ht="15" hidden="false" customHeight="false" outlineLevel="0" collapsed="false">
      <c r="C104" s="0" t="s">
        <v>551</v>
      </c>
      <c r="D104" s="11" t="s">
        <v>247</v>
      </c>
      <c r="I104" s="33" t="n">
        <f aca="false">SUM(J104:ET104)</f>
        <v>-913.046779829394</v>
      </c>
      <c r="J104" s="33" t="n">
        <f aca="false">-In_Commitment_Fee*($E98-SUM($J98:J98)+J98)*J$6*(J13&gt;0)</f>
        <v>-0</v>
      </c>
      <c r="K104" s="33" t="n">
        <f aca="false">-In_Commitment_Fee*($E98-SUM($J98:K98)+K98)*K$6*(K13&gt;0)</f>
        <v>-0</v>
      </c>
      <c r="L104" s="33" t="n">
        <f aca="false">-In_Commitment_Fee*($E98-SUM($J98:L98)+L98)*L$6*(L13&gt;0)</f>
        <v>-0</v>
      </c>
      <c r="M104" s="33" t="n">
        <f aca="false">-In_Commitment_Fee*($E98-SUM($J98:M98)+M98)*M$6*(M13&gt;0)</f>
        <v>-0</v>
      </c>
      <c r="N104" s="33" t="n">
        <f aca="false">-In_Commitment_Fee*($E98-SUM($J98:N98)+N98)*N$6*(N13&gt;0)</f>
        <v>-0</v>
      </c>
      <c r="O104" s="33" t="n">
        <f aca="false">-In_Commitment_Fee*($E98-SUM($J98:O98)+O98)*O$6*(O13&gt;0)</f>
        <v>-0</v>
      </c>
      <c r="P104" s="33" t="n">
        <f aca="false">-In_Commitment_Fee*($E98-SUM($J98:P98)+P98)*P$6*(P13&gt;0)</f>
        <v>-0</v>
      </c>
      <c r="Q104" s="33" t="n">
        <f aca="false">-In_Commitment_Fee*($E98-SUM($J98:Q98)+Q98)*Q$6*(Q13&gt;0)</f>
        <v>-0</v>
      </c>
      <c r="R104" s="33" t="n">
        <f aca="false">-In_Commitment_Fee*($E98-SUM($J98:R98)+R98)*R$6*(R13&gt;0)</f>
        <v>-0</v>
      </c>
      <c r="S104" s="33" t="n">
        <f aca="false">-In_Commitment_Fee*($E98-SUM($J98:S98)+S98)*S$6*(S13&gt;0)</f>
        <v>-0</v>
      </c>
      <c r="T104" s="33" t="n">
        <f aca="false">-In_Commitment_Fee*($E98-SUM($J98:T98)+T98)*T$6*(T13&gt;0)</f>
        <v>-0</v>
      </c>
      <c r="U104" s="33" t="n">
        <f aca="false">-In_Commitment_Fee*($E98-SUM($J98:U98)+U98)*U$6*(U13&gt;0)</f>
        <v>-0</v>
      </c>
      <c r="V104" s="33" t="n">
        <f aca="false">-In_Commitment_Fee*($E98-SUM($J98:V98)+V98)*V$6*(V13&gt;0)</f>
        <v>-0</v>
      </c>
      <c r="W104" s="33" t="n">
        <f aca="false">-In_Commitment_Fee*($E98-SUM($J98:W98)+W98)*W$6*(W13&gt;0)</f>
        <v>-204.56507305316</v>
      </c>
      <c r="X104" s="33" t="n">
        <f aca="false">-In_Commitment_Fee*($E98-SUM($J98:X98)+X98)*X$6*(X13&gt;0)</f>
        <v>-174.897654775349</v>
      </c>
      <c r="Y104" s="33" t="n">
        <f aca="false">-In_Commitment_Fee*($E98-SUM($J98:Y98)+Y98)*Y$6*(Y13&gt;0)</f>
        <v>-151.894744833457</v>
      </c>
      <c r="Z104" s="33" t="n">
        <f aca="false">-In_Commitment_Fee*($E98-SUM($J98:Z98)+Z98)*Z$6*(Z13&gt;0)</f>
        <v>-128.063340253827</v>
      </c>
      <c r="AA104" s="33" t="n">
        <f aca="false">-In_Commitment_Fee*($E98-SUM($J98:AA98)+AA98)*AA$6*(AA13&gt;0)</f>
        <v>-102.28253652658</v>
      </c>
      <c r="AB104" s="33" t="n">
        <f aca="false">-In_Commitment_Fee*($E98-SUM($J98:AB98)+AB98)*AB$6*(AB13&gt;0)</f>
        <v>-74.8386516515207</v>
      </c>
      <c r="AC104" s="33" t="n">
        <f aca="false">-In_Commitment_Fee*($E98-SUM($J98:AC98)+AC98)*AC$6*(AC13&gt;0)</f>
        <v>-50.723975008253</v>
      </c>
      <c r="AD104" s="33" t="n">
        <f aca="false">-In_Commitment_Fee*($E98-SUM($J98:AD98)+AD98)*AD$6*(AD13&gt;0)</f>
        <v>-25.7808037272475</v>
      </c>
      <c r="AE104" s="33" t="n">
        <f aca="false">-In_Commitment_Fee*($E98-SUM($J98:AE98)+AE98)*AE$6*(AE13&gt;0)</f>
        <v>-0</v>
      </c>
      <c r="AF104" s="33" t="n">
        <f aca="false">-In_Commitment_Fee*($E98-SUM($J98:AF98)+AF98)*AF$6*(AF13&gt;0)</f>
        <v>-0</v>
      </c>
      <c r="AG104" s="33" t="n">
        <f aca="false">-In_Commitment_Fee*($E98-SUM($J98:AG98)+AG98)*AG$6*(AG13&gt;0)</f>
        <v>-0</v>
      </c>
      <c r="AH104" s="33" t="n">
        <f aca="false">-In_Commitment_Fee*($E98-SUM($J98:AH98)+AH98)*AH$6*(AH13&gt;0)</f>
        <v>-0</v>
      </c>
      <c r="AI104" s="33" t="n">
        <f aca="false">-In_Commitment_Fee*($E98-SUM($J98:AI98)+AI98)*AI$6*(AI13&gt;0)</f>
        <v>-0</v>
      </c>
      <c r="AJ104" s="33" t="n">
        <f aca="false">-In_Commitment_Fee*($E98-SUM($J98:AJ98)+AJ98)*AJ$6*(AJ13&gt;0)</f>
        <v>-0</v>
      </c>
      <c r="AK104" s="33" t="n">
        <f aca="false">-In_Commitment_Fee*($E98-SUM($J98:AK98)+AK98)*AK$6*(AK13&gt;0)</f>
        <v>-0</v>
      </c>
      <c r="AL104" s="33" t="n">
        <f aca="false">-In_Commitment_Fee*($E98-SUM($J98:AL98)+AL98)*AL$6*(AL13&gt;0)</f>
        <v>-0</v>
      </c>
      <c r="AM104" s="33" t="n">
        <f aca="false">-In_Commitment_Fee*($E98-SUM($J98:AM98)+AM98)*AM$6*(AM13&gt;0)</f>
        <v>-0</v>
      </c>
      <c r="AN104" s="33" t="n">
        <f aca="false">-In_Commitment_Fee*($E98-SUM($J98:AN98)+AN98)*AN$6*(AN13&gt;0)</f>
        <v>-0</v>
      </c>
      <c r="AO104" s="33" t="n">
        <f aca="false">-In_Commitment_Fee*($E98-SUM($J98:AO98)+AO98)*AO$6*(AO13&gt;0)</f>
        <v>-0</v>
      </c>
      <c r="AP104" s="33" t="n">
        <f aca="false">-In_Commitment_Fee*($E98-SUM($J98:AP98)+AP98)*AP$6*(AP13&gt;0)</f>
        <v>-0</v>
      </c>
      <c r="AQ104" s="33" t="n">
        <f aca="false">-In_Commitment_Fee*($E98-SUM($J98:AQ98)+AQ98)*AQ$6*(AQ13&gt;0)</f>
        <v>-0</v>
      </c>
      <c r="AR104" s="33" t="n">
        <f aca="false">-In_Commitment_Fee*($E98-SUM($J98:AR98)+AR98)*AR$6*(AR13&gt;0)</f>
        <v>-0</v>
      </c>
      <c r="AS104" s="33" t="n">
        <f aca="false">-In_Commitment_Fee*($E98-SUM($J98:AS98)+AS98)*AS$6*(AS13&gt;0)</f>
        <v>-0</v>
      </c>
      <c r="AT104" s="33" t="n">
        <f aca="false">-In_Commitment_Fee*($E98-SUM($J98:AT98)+AT98)*AT$6*(AT13&gt;0)</f>
        <v>-0</v>
      </c>
      <c r="AU104" s="33" t="n">
        <f aca="false">-In_Commitment_Fee*($E98-SUM($J98:AU98)+AU98)*AU$6*(AU13&gt;0)</f>
        <v>-0</v>
      </c>
      <c r="AV104" s="33" t="n">
        <f aca="false">-In_Commitment_Fee*($E98-SUM($J98:AV98)+AV98)*AV$6*(AV13&gt;0)</f>
        <v>-0</v>
      </c>
      <c r="AW104" s="33" t="n">
        <f aca="false">-In_Commitment_Fee*($E98-SUM($J98:AW98)+AW98)*AW$6*(AW13&gt;0)</f>
        <v>-0</v>
      </c>
      <c r="AX104" s="33" t="n">
        <f aca="false">-In_Commitment_Fee*($E98-SUM($J98:AX98)+AX98)*AX$6*(AX13&gt;0)</f>
        <v>-0</v>
      </c>
      <c r="AY104" s="33" t="n">
        <f aca="false">-In_Commitment_Fee*($E98-SUM($J98:AY98)+AY98)*AY$6*(AY13&gt;0)</f>
        <v>-0</v>
      </c>
      <c r="AZ104" s="33" t="n">
        <f aca="false">-In_Commitment_Fee*($E98-SUM($J98:AZ98)+AZ98)*AZ$6*(AZ13&gt;0)</f>
        <v>-0</v>
      </c>
      <c r="BA104" s="33" t="n">
        <f aca="false">-In_Commitment_Fee*($E98-SUM($J98:BA98)+BA98)*BA$6*(BA13&gt;0)</f>
        <v>-0</v>
      </c>
      <c r="BB104" s="33" t="n">
        <f aca="false">-In_Commitment_Fee*($E98-SUM($J98:BB98)+BB98)*BB$6*(BB13&gt;0)</f>
        <v>-0</v>
      </c>
      <c r="BC104" s="33" t="n">
        <f aca="false">-In_Commitment_Fee*($E98-SUM($J98:BC98)+BC98)*BC$6*(BC13&gt;0)</f>
        <v>-0</v>
      </c>
      <c r="BD104" s="33" t="n">
        <f aca="false">-In_Commitment_Fee*($E98-SUM($J98:BD98)+BD98)*BD$6*(BD13&gt;0)</f>
        <v>-0</v>
      </c>
      <c r="BE104" s="33" t="n">
        <f aca="false">-In_Commitment_Fee*($E98-SUM($J98:BE98)+BE98)*BE$6*(BE13&gt;0)</f>
        <v>-0</v>
      </c>
      <c r="BF104" s="33" t="n">
        <f aca="false">-In_Commitment_Fee*($E98-SUM($J98:BF98)+BF98)*BF$6*(BF13&gt;0)</f>
        <v>-0</v>
      </c>
      <c r="BG104" s="33" t="n">
        <f aca="false">-In_Commitment_Fee*($E98-SUM($J98:BG98)+BG98)*BG$6*(BG13&gt;0)</f>
        <v>-0</v>
      </c>
      <c r="BH104" s="33" t="n">
        <f aca="false">-In_Commitment_Fee*($E98-SUM($J98:BH98)+BH98)*BH$6*(BH13&gt;0)</f>
        <v>-0</v>
      </c>
      <c r="BI104" s="33" t="n">
        <f aca="false">-In_Commitment_Fee*($E98-SUM($J98:BI98)+BI98)*BI$6*(BI13&gt;0)</f>
        <v>-0</v>
      </c>
      <c r="BJ104" s="33" t="n">
        <f aca="false">-In_Commitment_Fee*($E98-SUM($J98:BJ98)+BJ98)*BJ$6*(BJ13&gt;0)</f>
        <v>-0</v>
      </c>
      <c r="BK104" s="33" t="n">
        <f aca="false">-In_Commitment_Fee*($E98-SUM($J98:BK98)+BK98)*BK$6*(BK13&gt;0)</f>
        <v>-0</v>
      </c>
      <c r="BL104" s="33" t="n">
        <f aca="false">-In_Commitment_Fee*($E98-SUM($J98:BL98)+BL98)*BL$6*(BL13&gt;0)</f>
        <v>-0</v>
      </c>
      <c r="BM104" s="33" t="n">
        <f aca="false">-In_Commitment_Fee*($E98-SUM($J98:BM98)+BM98)*BM$6*(BM13&gt;0)</f>
        <v>-0</v>
      </c>
      <c r="BN104" s="33" t="n">
        <f aca="false">-In_Commitment_Fee*($E98-SUM($J98:BN98)+BN98)*BN$6*(BN13&gt;0)</f>
        <v>-0</v>
      </c>
      <c r="BO104" s="33" t="n">
        <f aca="false">-In_Commitment_Fee*($E98-SUM($J98:BO98)+BO98)*BO$6*(BO13&gt;0)</f>
        <v>-0</v>
      </c>
      <c r="BP104" s="33" t="n">
        <f aca="false">-In_Commitment_Fee*($E98-SUM($J98:BP98)+BP98)*BP$6*(BP13&gt;0)</f>
        <v>-0</v>
      </c>
      <c r="BQ104" s="33" t="n">
        <f aca="false">-In_Commitment_Fee*($E98-SUM($J98:BQ98)+BQ98)*BQ$6*(BQ13&gt;0)</f>
        <v>-0</v>
      </c>
      <c r="BR104" s="33" t="n">
        <f aca="false">-In_Commitment_Fee*($E98-SUM($J98:BR98)+BR98)*BR$6*(BR13&gt;0)</f>
        <v>-0</v>
      </c>
      <c r="BS104" s="33" t="n">
        <f aca="false">-In_Commitment_Fee*($E98-SUM($J98:BS98)+BS98)*BS$6*(BS13&gt;0)</f>
        <v>-0</v>
      </c>
      <c r="BT104" s="33" t="n">
        <f aca="false">-In_Commitment_Fee*($E98-SUM($J98:BT98)+BT98)*BT$6*(BT13&gt;0)</f>
        <v>-0</v>
      </c>
      <c r="BU104" s="33" t="n">
        <f aca="false">-In_Commitment_Fee*($E98-SUM($J98:BU98)+BU98)*BU$6*(BU13&gt;0)</f>
        <v>-0</v>
      </c>
      <c r="BV104" s="33" t="n">
        <f aca="false">-In_Commitment_Fee*($E98-SUM($J98:BV98)+BV98)*BV$6*(BV13&gt;0)</f>
        <v>-0</v>
      </c>
      <c r="BW104" s="33" t="n">
        <f aca="false">-In_Commitment_Fee*($E98-SUM($J98:BW98)+BW98)*BW$6*(BW13&gt;0)</f>
        <v>-0</v>
      </c>
      <c r="BX104" s="33" t="n">
        <f aca="false">-In_Commitment_Fee*($E98-SUM($J98:BX98)+BX98)*BX$6*(BX13&gt;0)</f>
        <v>-0</v>
      </c>
      <c r="BY104" s="33" t="n">
        <f aca="false">-In_Commitment_Fee*($E98-SUM($J98:BY98)+BY98)*BY$6*(BY13&gt;0)</f>
        <v>-0</v>
      </c>
      <c r="BZ104" s="33" t="n">
        <f aca="false">-In_Commitment_Fee*($E98-SUM($J98:BZ98)+BZ98)*BZ$6*(BZ13&gt;0)</f>
        <v>-0</v>
      </c>
      <c r="CA104" s="33" t="n">
        <f aca="false">-In_Commitment_Fee*($E98-SUM($J98:CA98)+CA98)*CA$6*(CA13&gt;0)</f>
        <v>-0</v>
      </c>
      <c r="CB104" s="33" t="n">
        <f aca="false">-In_Commitment_Fee*($E98-SUM($J98:CB98)+CB98)*CB$6*(CB13&gt;0)</f>
        <v>-0</v>
      </c>
      <c r="CC104" s="33" t="n">
        <f aca="false">-In_Commitment_Fee*($E98-SUM($J98:CC98)+CC98)*CC$6*(CC13&gt;0)</f>
        <v>-0</v>
      </c>
      <c r="CD104" s="33" t="n">
        <f aca="false">-In_Commitment_Fee*($E98-SUM($J98:CD98)+CD98)*CD$6*(CD13&gt;0)</f>
        <v>-0</v>
      </c>
      <c r="CE104" s="33" t="n">
        <f aca="false">-In_Commitment_Fee*($E98-SUM($J98:CE98)+CE98)*CE$6*(CE13&gt;0)</f>
        <v>-0</v>
      </c>
      <c r="CF104" s="33" t="n">
        <f aca="false">-In_Commitment_Fee*($E98-SUM($J98:CF98)+CF98)*CF$6*(CF13&gt;0)</f>
        <v>-0</v>
      </c>
      <c r="CG104" s="33" t="n">
        <f aca="false">-In_Commitment_Fee*($E98-SUM($J98:CG98)+CG98)*CG$6*(CG13&gt;0)</f>
        <v>-0</v>
      </c>
      <c r="CH104" s="33" t="n">
        <f aca="false">-In_Commitment_Fee*($E98-SUM($J98:CH98)+CH98)*CH$6*(CH13&gt;0)</f>
        <v>-0</v>
      </c>
      <c r="CI104" s="33" t="n">
        <f aca="false">-In_Commitment_Fee*($E98-SUM($J98:CI98)+CI98)*CI$6*(CI13&gt;0)</f>
        <v>-0</v>
      </c>
      <c r="CJ104" s="33" t="n">
        <f aca="false">-In_Commitment_Fee*($E98-SUM($J98:CJ98)+CJ98)*CJ$6*(CJ13&gt;0)</f>
        <v>-0</v>
      </c>
      <c r="CK104" s="33" t="n">
        <f aca="false">-In_Commitment_Fee*($E98-SUM($J98:CK98)+CK98)*CK$6*(CK13&gt;0)</f>
        <v>-0</v>
      </c>
      <c r="CL104" s="33" t="n">
        <f aca="false">-In_Commitment_Fee*($E98-SUM($J98:CL98)+CL98)*CL$6*(CL13&gt;0)</f>
        <v>-0</v>
      </c>
      <c r="CM104" s="33" t="n">
        <f aca="false">-In_Commitment_Fee*($E98-SUM($J98:CM98)+CM98)*CM$6*(CM13&gt;0)</f>
        <v>-0</v>
      </c>
      <c r="CN104" s="33" t="n">
        <f aca="false">-In_Commitment_Fee*($E98-SUM($J98:CN98)+CN98)*CN$6*(CN13&gt;0)</f>
        <v>-0</v>
      </c>
      <c r="CO104" s="33" t="n">
        <f aca="false">-In_Commitment_Fee*($E98-SUM($J98:CO98)+CO98)*CO$6*(CO13&gt;0)</f>
        <v>-0</v>
      </c>
      <c r="CP104" s="33" t="n">
        <f aca="false">-In_Commitment_Fee*($E98-SUM($J98:CP98)+CP98)*CP$6*(CP13&gt;0)</f>
        <v>-0</v>
      </c>
      <c r="CQ104" s="33" t="n">
        <f aca="false">-In_Commitment_Fee*($E98-SUM($J98:CQ98)+CQ98)*CQ$6*(CQ13&gt;0)</f>
        <v>-0</v>
      </c>
      <c r="CR104" s="33" t="n">
        <f aca="false">-In_Commitment_Fee*($E98-SUM($J98:CR98)+CR98)*CR$6*(CR13&gt;0)</f>
        <v>-0</v>
      </c>
      <c r="CS104" s="33" t="n">
        <f aca="false">-In_Commitment_Fee*($E98-SUM($J98:CS98)+CS98)*CS$6*(CS13&gt;0)</f>
        <v>-0</v>
      </c>
      <c r="CT104" s="33" t="n">
        <f aca="false">-In_Commitment_Fee*($E98-SUM($J98:CT98)+CT98)*CT$6*(CT13&gt;0)</f>
        <v>-0</v>
      </c>
      <c r="CU104" s="33" t="n">
        <f aca="false">-In_Commitment_Fee*($E98-SUM($J98:CU98)+CU98)*CU$6*(CU13&gt;0)</f>
        <v>-0</v>
      </c>
      <c r="CV104" s="33" t="n">
        <f aca="false">-In_Commitment_Fee*($E98-SUM($J98:CV98)+CV98)*CV$6*(CV13&gt;0)</f>
        <v>-0</v>
      </c>
      <c r="CW104" s="33" t="n">
        <f aca="false">-In_Commitment_Fee*($E98-SUM($J98:CW98)+CW98)*CW$6*(CW13&gt;0)</f>
        <v>-0</v>
      </c>
      <c r="CX104" s="33" t="n">
        <f aca="false">-In_Commitment_Fee*($E98-SUM($J98:CX98)+CX98)*CX$6*(CX13&gt;0)</f>
        <v>-0</v>
      </c>
      <c r="CY104" s="33" t="n">
        <f aca="false">-In_Commitment_Fee*($E98-SUM($J98:CY98)+CY98)*CY$6*(CY13&gt;0)</f>
        <v>-0</v>
      </c>
      <c r="CZ104" s="33" t="n">
        <f aca="false">-In_Commitment_Fee*($E98-SUM($J98:CZ98)+CZ98)*CZ$6*(CZ13&gt;0)</f>
        <v>-0</v>
      </c>
      <c r="DA104" s="33" t="n">
        <f aca="false">-In_Commitment_Fee*($E98-SUM($J98:DA98)+DA98)*DA$6*(DA13&gt;0)</f>
        <v>-0</v>
      </c>
      <c r="DB104" s="33" t="n">
        <f aca="false">-In_Commitment_Fee*($E98-SUM($J98:DB98)+DB98)*DB$6*(DB13&gt;0)</f>
        <v>-0</v>
      </c>
      <c r="DC104" s="33" t="n">
        <f aca="false">-In_Commitment_Fee*($E98-SUM($J98:DC98)+DC98)*DC$6*(DC13&gt;0)</f>
        <v>-0</v>
      </c>
      <c r="DD104" s="33" t="n">
        <f aca="false">-In_Commitment_Fee*($E98-SUM($J98:DD98)+DD98)*DD$6*(DD13&gt;0)</f>
        <v>-0</v>
      </c>
      <c r="DE104" s="33" t="n">
        <f aca="false">-In_Commitment_Fee*($E98-SUM($J98:DE98)+DE98)*DE$6*(DE13&gt;0)</f>
        <v>-0</v>
      </c>
      <c r="DF104" s="33" t="n">
        <f aca="false">-In_Commitment_Fee*($E98-SUM($J98:DF98)+DF98)*DF$6*(DF13&gt;0)</f>
        <v>-0</v>
      </c>
      <c r="DG104" s="33" t="n">
        <f aca="false">-In_Commitment_Fee*($E98-SUM($J98:DG98)+DG98)*DG$6*(DG13&gt;0)</f>
        <v>-0</v>
      </c>
      <c r="DH104" s="33" t="n">
        <f aca="false">-In_Commitment_Fee*($E98-SUM($J98:DH98)+DH98)*DH$6*(DH13&gt;0)</f>
        <v>-0</v>
      </c>
      <c r="DI104" s="33" t="n">
        <f aca="false">-In_Commitment_Fee*($E98-SUM($J98:DI98)+DI98)*DI$6*(DI13&gt;0)</f>
        <v>-0</v>
      </c>
      <c r="DJ104" s="33" t="n">
        <f aca="false">-In_Commitment_Fee*($E98-SUM($J98:DJ98)+DJ98)*DJ$6*(DJ13&gt;0)</f>
        <v>-0</v>
      </c>
      <c r="DK104" s="33" t="n">
        <f aca="false">-In_Commitment_Fee*($E98-SUM($J98:DK98)+DK98)*DK$6*(DK13&gt;0)</f>
        <v>-0</v>
      </c>
      <c r="DL104" s="33" t="n">
        <f aca="false">-In_Commitment_Fee*($E98-SUM($J98:DL98)+DL98)*DL$6*(DL13&gt;0)</f>
        <v>-0</v>
      </c>
      <c r="DM104" s="33" t="n">
        <f aca="false">-In_Commitment_Fee*($E98-SUM($J98:DM98)+DM98)*DM$6*(DM13&gt;0)</f>
        <v>-0</v>
      </c>
      <c r="DN104" s="33" t="n">
        <f aca="false">-In_Commitment_Fee*($E98-SUM($J98:DN98)+DN98)*DN$6*(DN13&gt;0)</f>
        <v>-0</v>
      </c>
      <c r="DO104" s="33" t="n">
        <f aca="false">-In_Commitment_Fee*($E98-SUM($J98:DO98)+DO98)*DO$6*(DO13&gt;0)</f>
        <v>-0</v>
      </c>
      <c r="DP104" s="33" t="n">
        <f aca="false">-In_Commitment_Fee*($E98-SUM($J98:DP98)+DP98)*DP$6*(DP13&gt;0)</f>
        <v>-0</v>
      </c>
      <c r="DQ104" s="33" t="n">
        <f aca="false">-In_Commitment_Fee*($E98-SUM($J98:DQ98)+DQ98)*DQ$6*(DQ13&gt;0)</f>
        <v>-0</v>
      </c>
      <c r="DR104" s="33" t="n">
        <f aca="false">-In_Commitment_Fee*($E98-SUM($J98:DR98)+DR98)*DR$6*(DR13&gt;0)</f>
        <v>-0</v>
      </c>
      <c r="DS104" s="33" t="n">
        <f aca="false">-In_Commitment_Fee*($E98-SUM($J98:DS98)+DS98)*DS$6*(DS13&gt;0)</f>
        <v>-0</v>
      </c>
      <c r="DT104" s="33" t="n">
        <f aca="false">-In_Commitment_Fee*($E98-SUM($J98:DT98)+DT98)*DT$6*(DT13&gt;0)</f>
        <v>-0</v>
      </c>
      <c r="DU104" s="33" t="n">
        <f aca="false">-In_Commitment_Fee*($E98-SUM($J98:DU98)+DU98)*DU$6*(DU13&gt;0)</f>
        <v>-0</v>
      </c>
      <c r="DV104" s="33" t="n">
        <f aca="false">-In_Commitment_Fee*($E98-SUM($J98:DV98)+DV98)*DV$6*(DV13&gt;0)</f>
        <v>-0</v>
      </c>
      <c r="DW104" s="33" t="n">
        <f aca="false">-In_Commitment_Fee*($E98-SUM($J98:DW98)+DW98)*DW$6*(DW13&gt;0)</f>
        <v>-0</v>
      </c>
      <c r="DX104" s="33" t="n">
        <f aca="false">-In_Commitment_Fee*($E98-SUM($J98:DX98)+DX98)*DX$6*(DX13&gt;0)</f>
        <v>-0</v>
      </c>
      <c r="DY104" s="33" t="n">
        <f aca="false">-In_Commitment_Fee*($E98-SUM($J98:DY98)+DY98)*DY$6*(DY13&gt;0)</f>
        <v>-0</v>
      </c>
      <c r="DZ104" s="33" t="n">
        <f aca="false">-In_Commitment_Fee*($E98-SUM($J98:DZ98)+DZ98)*DZ$6*(DZ13&gt;0)</f>
        <v>-0</v>
      </c>
      <c r="EA104" s="33" t="n">
        <f aca="false">-In_Commitment_Fee*($E98-SUM($J98:EA98)+EA98)*EA$6*(EA13&gt;0)</f>
        <v>-0</v>
      </c>
      <c r="EB104" s="33" t="n">
        <f aca="false">-In_Commitment_Fee*($E98-SUM($J98:EB98)+EB98)*EB$6*(EB13&gt;0)</f>
        <v>-0</v>
      </c>
      <c r="EC104" s="33" t="n">
        <f aca="false">-In_Commitment_Fee*($E98-SUM($J98:EC98)+EC98)*EC$6*(EC13&gt;0)</f>
        <v>-0</v>
      </c>
      <c r="ED104" s="33" t="n">
        <f aca="false">-In_Commitment_Fee*($E98-SUM($J98:ED98)+ED98)*ED$6*(ED13&gt;0)</f>
        <v>-0</v>
      </c>
      <c r="EE104" s="33" t="n">
        <f aca="false">-In_Commitment_Fee*($E98-SUM($J98:EE98)+EE98)*EE$6*(EE13&gt;0)</f>
        <v>-0</v>
      </c>
      <c r="EF104" s="33" t="n">
        <f aca="false">-In_Commitment_Fee*($E98-SUM($J98:EF98)+EF98)*EF$6*(EF13&gt;0)</f>
        <v>-0</v>
      </c>
      <c r="EG104" s="33" t="n">
        <f aca="false">-In_Commitment_Fee*($E98-SUM($J98:EG98)+EG98)*EG$6*(EG13&gt;0)</f>
        <v>-0</v>
      </c>
      <c r="EH104" s="33" t="n">
        <f aca="false">-In_Commitment_Fee*($E98-SUM($J98:EH98)+EH98)*EH$6*(EH13&gt;0)</f>
        <v>-0</v>
      </c>
      <c r="EI104" s="33" t="n">
        <f aca="false">-In_Commitment_Fee*($E98-SUM($J98:EI98)+EI98)*EI$6*(EI13&gt;0)</f>
        <v>-0</v>
      </c>
      <c r="EJ104" s="33" t="n">
        <f aca="false">-In_Commitment_Fee*($E98-SUM($J98:EJ98)+EJ98)*EJ$6*(EJ13&gt;0)</f>
        <v>-0</v>
      </c>
      <c r="EK104" s="33" t="n">
        <f aca="false">-In_Commitment_Fee*($E98-SUM($J98:EK98)+EK98)*EK$6*(EK13&gt;0)</f>
        <v>-0</v>
      </c>
      <c r="EL104" s="33" t="n">
        <f aca="false">-In_Commitment_Fee*($E98-SUM($J98:EL98)+EL98)*EL$6*(EL13&gt;0)</f>
        <v>-0</v>
      </c>
      <c r="EM104" s="33" t="n">
        <f aca="false">-In_Commitment_Fee*($E98-SUM($J98:EM98)+EM98)*EM$6*(EM13&gt;0)</f>
        <v>-0</v>
      </c>
      <c r="EN104" s="33" t="n">
        <f aca="false">-In_Commitment_Fee*($E98-SUM($J98:EN98)+EN98)*EN$6*(EN13&gt;0)</f>
        <v>-0</v>
      </c>
      <c r="EO104" s="33" t="n">
        <f aca="false">-In_Commitment_Fee*($E98-SUM($J98:EO98)+EO98)*EO$6*(EO13&gt;0)</f>
        <v>-0</v>
      </c>
      <c r="EP104" s="33" t="n">
        <f aca="false">-In_Commitment_Fee*($E98-SUM($J98:EP98)+EP98)*EP$6*(EP13&gt;0)</f>
        <v>-0</v>
      </c>
      <c r="EQ104" s="33" t="n">
        <f aca="false">-In_Commitment_Fee*($E98-SUM($J98:EQ98)+EQ98)*EQ$6*(EQ13&gt;0)</f>
        <v>-0</v>
      </c>
      <c r="ER104" s="33" t="n">
        <f aca="false">-In_Commitment_Fee*($E98-SUM($J98:ER98)+ER98)*ER$6*(ER13&gt;0)</f>
        <v>-0</v>
      </c>
      <c r="ES104" s="33" t="n">
        <f aca="false">-In_Commitment_Fee*($E98-SUM($J98:ES98)+ES98)*ES$6*(ES13&gt;0)</f>
        <v>-0</v>
      </c>
      <c r="ET104" s="33" t="n">
        <f aca="false">-In_Commitment_Fee*($E98-SUM($J98:ET98)+ET98)*ET$6*(ET13&gt;0)</f>
        <v>-0</v>
      </c>
    </row>
    <row r="105" customFormat="false" ht="15" hidden="false" customHeight="false" outlineLevel="0" collapsed="false">
      <c r="C105" s="30" t="s">
        <v>552</v>
      </c>
      <c r="D105" s="11" t="s">
        <v>247</v>
      </c>
      <c r="I105" s="35" t="n">
        <f aca="false">SUM(J105:ET105)</f>
        <v>-152785.525255835</v>
      </c>
      <c r="J105" s="35" t="n">
        <f aca="false">J94+J53+J95+J103+J104</f>
        <v>-0</v>
      </c>
      <c r="K105" s="35" t="n">
        <f aca="false">K94+K53+K95+K103+K104</f>
        <v>-0</v>
      </c>
      <c r="L105" s="35" t="n">
        <f aca="false">L94+L53+L95+L103+L104</f>
        <v>-0</v>
      </c>
      <c r="M105" s="35" t="n">
        <f aca="false">M94+M53+M95+M103+M104</f>
        <v>-0</v>
      </c>
      <c r="N105" s="35" t="n">
        <f aca="false">N94+N53+N95+N103+N104</f>
        <v>-0</v>
      </c>
      <c r="O105" s="35" t="n">
        <f aca="false">O94+O53+O95+O103+O104</f>
        <v>-0</v>
      </c>
      <c r="P105" s="35" t="n">
        <f aca="false">P94+P53+P95+P103+P104</f>
        <v>-0</v>
      </c>
      <c r="Q105" s="35" t="n">
        <f aca="false">Q94+Q53+Q95+Q103+Q104</f>
        <v>-0</v>
      </c>
      <c r="R105" s="35" t="n">
        <f aca="false">R94+R53+R95+R103+R104</f>
        <v>-0</v>
      </c>
      <c r="S105" s="35" t="n">
        <f aca="false">S94+S53+S95+S103+S104</f>
        <v>-0</v>
      </c>
      <c r="T105" s="35" t="n">
        <f aca="false">T94+T53+T95+T103+T104</f>
        <v>-20179.3874082192</v>
      </c>
      <c r="U105" s="35" t="n">
        <f aca="false">U94+U53+U95+U103+U104</f>
        <v>-0</v>
      </c>
      <c r="V105" s="35" t="n">
        <f aca="false">V94+V53+V95+V103+V104</f>
        <v>-0</v>
      </c>
      <c r="W105" s="35" t="n">
        <f aca="false">W94+W53+W95+W103+W104</f>
        <v>-17550.5739490586</v>
      </c>
      <c r="X105" s="35" t="n">
        <f aca="false">X94+X53+X95+X103+X104</f>
        <v>-15600.0346410767</v>
      </c>
      <c r="Y105" s="35" t="n">
        <f aca="false">Y94+Y53+Y95+Y103+Y104</f>
        <v>-15748.4221420937</v>
      </c>
      <c r="Z105" s="35" t="n">
        <f aca="false">Z94+Z53+Z95+Z103+Z104</f>
        <v>-15895.981148473</v>
      </c>
      <c r="AA105" s="35" t="n">
        <f aca="false">AA94+AA53+AA95+AA103+AA104</f>
        <v>-15870.2003447458</v>
      </c>
      <c r="AB105" s="35" t="n">
        <f aca="false">AB94+AB53+AB95+AB103+AB104</f>
        <v>-15499.9756379529</v>
      </c>
      <c r="AC105" s="35" t="n">
        <f aca="false">AC94+AC53+AC95+AC103+AC104</f>
        <v>-15647.2513722685</v>
      </c>
      <c r="AD105" s="35" t="n">
        <f aca="false">AD94+AD53+AD95+AD103+AD104</f>
        <v>-20793.6986119464</v>
      </c>
      <c r="AE105" s="35" t="n">
        <f aca="false">AE94+AE53+AE95+AE103+AE104</f>
        <v>-0</v>
      </c>
      <c r="AF105" s="35" t="n">
        <f aca="false">AF94+AF53+AF95+AF103+AF104</f>
        <v>-0</v>
      </c>
      <c r="AG105" s="35" t="n">
        <f aca="false">AG94+AG53+AG95+AG103+AG104</f>
        <v>-0</v>
      </c>
      <c r="AH105" s="35" t="n">
        <f aca="false">AH94+AH53+AH95+AH103+AH104</f>
        <v>-0</v>
      </c>
      <c r="AI105" s="35" t="n">
        <f aca="false">AI94+AI53+AI95+AI103+AI104</f>
        <v>-0</v>
      </c>
      <c r="AJ105" s="35" t="n">
        <f aca="false">AJ94+AJ53+AJ95+AJ103+AJ104</f>
        <v>-0</v>
      </c>
      <c r="AK105" s="35" t="n">
        <f aca="false">AK94+AK53+AK95+AK103+AK104</f>
        <v>-0</v>
      </c>
      <c r="AL105" s="35" t="n">
        <f aca="false">AL94+AL53+AL95+AL103+AL104</f>
        <v>-0</v>
      </c>
      <c r="AM105" s="35" t="n">
        <f aca="false">AM94+AM53+AM95+AM103+AM104</f>
        <v>-0</v>
      </c>
      <c r="AN105" s="35" t="n">
        <f aca="false">AN94+AN53+AN95+AN103+AN104</f>
        <v>-0</v>
      </c>
      <c r="AO105" s="35" t="n">
        <f aca="false">AO94+AO53+AO95+AO103+AO104</f>
        <v>-0</v>
      </c>
      <c r="AP105" s="35" t="n">
        <f aca="false">AP94+AP53+AP95+AP103+AP104</f>
        <v>-0</v>
      </c>
      <c r="AQ105" s="35" t="n">
        <f aca="false">AQ94+AQ53+AQ95+AQ103+AQ104</f>
        <v>-0</v>
      </c>
      <c r="AR105" s="35" t="n">
        <f aca="false">AR94+AR53+AR95+AR103+AR104</f>
        <v>-0</v>
      </c>
      <c r="AS105" s="35" t="n">
        <f aca="false">AS94+AS53+AS95+AS103+AS104</f>
        <v>-0</v>
      </c>
      <c r="AT105" s="35" t="n">
        <f aca="false">AT94+AT53+AT95+AT103+AT104</f>
        <v>-0</v>
      </c>
      <c r="AU105" s="35" t="n">
        <f aca="false">AU94+AU53+AU95+AU103+AU104</f>
        <v>-0</v>
      </c>
      <c r="AV105" s="35" t="n">
        <f aca="false">AV94+AV53+AV95+AV103+AV104</f>
        <v>-0</v>
      </c>
      <c r="AW105" s="35" t="n">
        <f aca="false">AW94+AW53+AW95+AW103+AW104</f>
        <v>-0</v>
      </c>
      <c r="AX105" s="35" t="n">
        <f aca="false">AX94+AX53+AX95+AX103+AX104</f>
        <v>-0</v>
      </c>
      <c r="AY105" s="35" t="n">
        <f aca="false">AY94+AY53+AY95+AY103+AY104</f>
        <v>-0</v>
      </c>
      <c r="AZ105" s="35" t="n">
        <f aca="false">AZ94+AZ53+AZ95+AZ103+AZ104</f>
        <v>-0</v>
      </c>
      <c r="BA105" s="35" t="n">
        <f aca="false">BA94+BA53+BA95+BA103+BA104</f>
        <v>-0</v>
      </c>
      <c r="BB105" s="35" t="n">
        <f aca="false">BB94+BB53+BB95+BB103+BB104</f>
        <v>-0</v>
      </c>
      <c r="BC105" s="35" t="n">
        <f aca="false">BC94+BC53+BC95+BC103+BC104</f>
        <v>-0</v>
      </c>
      <c r="BD105" s="35" t="n">
        <f aca="false">BD94+BD53+BD95+BD103+BD104</f>
        <v>-0</v>
      </c>
      <c r="BE105" s="35" t="n">
        <f aca="false">BE94+BE53+BE95+BE103+BE104</f>
        <v>-0</v>
      </c>
      <c r="BF105" s="35" t="n">
        <f aca="false">BF94+BF53+BF95+BF103+BF104</f>
        <v>-0</v>
      </c>
      <c r="BG105" s="35" t="n">
        <f aca="false">BG94+BG53+BG95+BG103+BG104</f>
        <v>-0</v>
      </c>
      <c r="BH105" s="35" t="n">
        <f aca="false">BH94+BH53+BH95+BH103+BH104</f>
        <v>-0</v>
      </c>
      <c r="BI105" s="35" t="n">
        <f aca="false">BI94+BI53+BI95+BI103+BI104</f>
        <v>-0</v>
      </c>
      <c r="BJ105" s="35" t="n">
        <f aca="false">BJ94+BJ53+BJ95+BJ103+BJ104</f>
        <v>-0</v>
      </c>
      <c r="BK105" s="35" t="n">
        <f aca="false">BK94+BK53+BK95+BK103+BK104</f>
        <v>-0</v>
      </c>
      <c r="BL105" s="35" t="n">
        <f aca="false">BL94+BL53+BL95+BL103+BL104</f>
        <v>-0</v>
      </c>
      <c r="BM105" s="35" t="n">
        <f aca="false">BM94+BM53+BM95+BM103+BM104</f>
        <v>-0</v>
      </c>
      <c r="BN105" s="35" t="n">
        <f aca="false">BN94+BN53+BN95+BN103+BN104</f>
        <v>-0</v>
      </c>
      <c r="BO105" s="35" t="n">
        <f aca="false">BO94+BO53+BO95+BO103+BO104</f>
        <v>-0</v>
      </c>
      <c r="BP105" s="35" t="n">
        <f aca="false">BP94+BP53+BP95+BP103+BP104</f>
        <v>-0</v>
      </c>
      <c r="BQ105" s="35" t="n">
        <f aca="false">BQ94+BQ53+BQ95+BQ103+BQ104</f>
        <v>-0</v>
      </c>
      <c r="BR105" s="35" t="n">
        <f aca="false">BR94+BR53+BR95+BR103+BR104</f>
        <v>-0</v>
      </c>
      <c r="BS105" s="35" t="n">
        <f aca="false">BS94+BS53+BS95+BS103+BS104</f>
        <v>-0</v>
      </c>
      <c r="BT105" s="35" t="n">
        <f aca="false">BT94+BT53+BT95+BT103+BT104</f>
        <v>-0</v>
      </c>
      <c r="BU105" s="35" t="n">
        <f aca="false">BU94+BU53+BU95+BU103+BU104</f>
        <v>-0</v>
      </c>
      <c r="BV105" s="35" t="n">
        <f aca="false">BV94+BV53+BV95+BV103+BV104</f>
        <v>-0</v>
      </c>
      <c r="BW105" s="35" t="n">
        <f aca="false">BW94+BW53+BW95+BW103+BW104</f>
        <v>-0</v>
      </c>
      <c r="BX105" s="35" t="n">
        <f aca="false">BX94+BX53+BX95+BX103+BX104</f>
        <v>-0</v>
      </c>
      <c r="BY105" s="35" t="n">
        <f aca="false">BY94+BY53+BY95+BY103+BY104</f>
        <v>-0</v>
      </c>
      <c r="BZ105" s="35" t="n">
        <f aca="false">BZ94+BZ53+BZ95+BZ103+BZ104</f>
        <v>-0</v>
      </c>
      <c r="CA105" s="35" t="n">
        <f aca="false">CA94+CA53+CA95+CA103+CA104</f>
        <v>-0</v>
      </c>
      <c r="CB105" s="35" t="n">
        <f aca="false">CB94+CB53+CB95+CB103+CB104</f>
        <v>-0</v>
      </c>
      <c r="CC105" s="35" t="n">
        <f aca="false">CC94+CC53+CC95+CC103+CC104</f>
        <v>-0</v>
      </c>
      <c r="CD105" s="35" t="n">
        <f aca="false">CD94+CD53+CD95+CD103+CD104</f>
        <v>-0</v>
      </c>
      <c r="CE105" s="35" t="n">
        <f aca="false">CE94+CE53+CE95+CE103+CE104</f>
        <v>-0</v>
      </c>
      <c r="CF105" s="35" t="n">
        <f aca="false">CF94+CF53+CF95+CF103+CF104</f>
        <v>-0</v>
      </c>
      <c r="CG105" s="35" t="n">
        <f aca="false">CG94+CG53+CG95+CG103+CG104</f>
        <v>-0</v>
      </c>
      <c r="CH105" s="35" t="n">
        <f aca="false">CH94+CH53+CH95+CH103+CH104</f>
        <v>-0</v>
      </c>
      <c r="CI105" s="35" t="n">
        <f aca="false">CI94+CI53+CI95+CI103+CI104</f>
        <v>-0</v>
      </c>
      <c r="CJ105" s="35" t="n">
        <f aca="false">CJ94+CJ53+CJ95+CJ103+CJ104</f>
        <v>-0</v>
      </c>
      <c r="CK105" s="35" t="n">
        <f aca="false">CK94+CK53+CK95+CK103+CK104</f>
        <v>-0</v>
      </c>
      <c r="CL105" s="35" t="n">
        <f aca="false">CL94+CL53+CL95+CL103+CL104</f>
        <v>-0</v>
      </c>
      <c r="CM105" s="35" t="n">
        <f aca="false">CM94+CM53+CM95+CM103+CM104</f>
        <v>-0</v>
      </c>
      <c r="CN105" s="35" t="n">
        <f aca="false">CN94+CN53+CN95+CN103+CN104</f>
        <v>-0</v>
      </c>
      <c r="CO105" s="35" t="n">
        <f aca="false">CO94+CO53+CO95+CO103+CO104</f>
        <v>-0</v>
      </c>
      <c r="CP105" s="35" t="n">
        <f aca="false">CP94+CP53+CP95+CP103+CP104</f>
        <v>-0</v>
      </c>
      <c r="CQ105" s="35" t="n">
        <f aca="false">CQ94+CQ53+CQ95+CQ103+CQ104</f>
        <v>-0</v>
      </c>
      <c r="CR105" s="35" t="n">
        <f aca="false">CR94+CR53+CR95+CR103+CR104</f>
        <v>-0</v>
      </c>
      <c r="CS105" s="35" t="n">
        <f aca="false">CS94+CS53+CS95+CS103+CS104</f>
        <v>-0</v>
      </c>
      <c r="CT105" s="35" t="n">
        <f aca="false">CT94+CT53+CT95+CT103+CT104</f>
        <v>-0</v>
      </c>
      <c r="CU105" s="35" t="n">
        <f aca="false">CU94+CU53+CU95+CU103+CU104</f>
        <v>-0</v>
      </c>
      <c r="CV105" s="35" t="n">
        <f aca="false">CV94+CV53+CV95+CV103+CV104</f>
        <v>-0</v>
      </c>
      <c r="CW105" s="35" t="n">
        <f aca="false">CW94+CW53+CW95+CW103+CW104</f>
        <v>-0</v>
      </c>
      <c r="CX105" s="35" t="n">
        <f aca="false">CX94+CX53+CX95+CX103+CX104</f>
        <v>-0</v>
      </c>
      <c r="CY105" s="35" t="n">
        <f aca="false">CY94+CY53+CY95+CY103+CY104</f>
        <v>-0</v>
      </c>
      <c r="CZ105" s="35" t="n">
        <f aca="false">CZ94+CZ53+CZ95+CZ103+CZ104</f>
        <v>-0</v>
      </c>
      <c r="DA105" s="35" t="n">
        <f aca="false">DA94+DA53+DA95+DA103+DA104</f>
        <v>-0</v>
      </c>
      <c r="DB105" s="35" t="n">
        <f aca="false">DB94+DB53+DB95+DB103+DB104</f>
        <v>-0</v>
      </c>
      <c r="DC105" s="35" t="n">
        <f aca="false">DC94+DC53+DC95+DC103+DC104</f>
        <v>-0</v>
      </c>
      <c r="DD105" s="35" t="n">
        <f aca="false">DD94+DD53+DD95+DD103+DD104</f>
        <v>-0</v>
      </c>
      <c r="DE105" s="35" t="n">
        <f aca="false">DE94+DE53+DE95+DE103+DE104</f>
        <v>-0</v>
      </c>
      <c r="DF105" s="35" t="n">
        <f aca="false">DF94+DF53+DF95+DF103+DF104</f>
        <v>-0</v>
      </c>
      <c r="DG105" s="35" t="n">
        <f aca="false">DG94+DG53+DG95+DG103+DG104</f>
        <v>-0</v>
      </c>
      <c r="DH105" s="35" t="n">
        <f aca="false">DH94+DH53+DH95+DH103+DH104</f>
        <v>-0</v>
      </c>
      <c r="DI105" s="35" t="n">
        <f aca="false">DI94+DI53+DI95+DI103+DI104</f>
        <v>-0</v>
      </c>
      <c r="DJ105" s="35" t="n">
        <f aca="false">DJ94+DJ53+DJ95+DJ103+DJ104</f>
        <v>-0</v>
      </c>
      <c r="DK105" s="35" t="n">
        <f aca="false">DK94+DK53+DK95+DK103+DK104</f>
        <v>-0</v>
      </c>
      <c r="DL105" s="35" t="n">
        <f aca="false">DL94+DL53+DL95+DL103+DL104</f>
        <v>-0</v>
      </c>
      <c r="DM105" s="35" t="n">
        <f aca="false">DM94+DM53+DM95+DM103+DM104</f>
        <v>-0</v>
      </c>
      <c r="DN105" s="35" t="n">
        <f aca="false">DN94+DN53+DN95+DN103+DN104</f>
        <v>-0</v>
      </c>
      <c r="DO105" s="35" t="n">
        <f aca="false">DO94+DO53+DO95+DO103+DO104</f>
        <v>-0</v>
      </c>
      <c r="DP105" s="35" t="n">
        <f aca="false">DP94+DP53+DP95+DP103+DP104</f>
        <v>-0</v>
      </c>
      <c r="DQ105" s="35" t="n">
        <f aca="false">DQ94+DQ53+DQ95+DQ103+DQ104</f>
        <v>-0</v>
      </c>
      <c r="DR105" s="35" t="n">
        <f aca="false">DR94+DR53+DR95+DR103+DR104</f>
        <v>-0</v>
      </c>
      <c r="DS105" s="35" t="n">
        <f aca="false">DS94+DS53+DS95+DS103+DS104</f>
        <v>-0</v>
      </c>
      <c r="DT105" s="35" t="n">
        <f aca="false">DT94+DT53+DT95+DT103+DT104</f>
        <v>-0</v>
      </c>
      <c r="DU105" s="35" t="n">
        <f aca="false">DU94+DU53+DU95+DU103+DU104</f>
        <v>-0</v>
      </c>
      <c r="DV105" s="35" t="n">
        <f aca="false">DV94+DV53+DV95+DV103+DV104</f>
        <v>-0</v>
      </c>
      <c r="DW105" s="35" t="n">
        <f aca="false">DW94+DW53+DW95+DW103+DW104</f>
        <v>-0</v>
      </c>
      <c r="DX105" s="35" t="n">
        <f aca="false">DX94+DX53+DX95+DX103+DX104</f>
        <v>-0</v>
      </c>
      <c r="DY105" s="35" t="n">
        <f aca="false">DY94+DY53+DY95+DY103+DY104</f>
        <v>-0</v>
      </c>
      <c r="DZ105" s="35" t="n">
        <f aca="false">DZ94+DZ53+DZ95+DZ103+DZ104</f>
        <v>-0</v>
      </c>
      <c r="EA105" s="35" t="n">
        <f aca="false">EA94+EA53+EA95+EA103+EA104</f>
        <v>-0</v>
      </c>
      <c r="EB105" s="35" t="n">
        <f aca="false">EB94+EB53+EB95+EB103+EB104</f>
        <v>-0</v>
      </c>
      <c r="EC105" s="35" t="n">
        <f aca="false">EC94+EC53+EC95+EC103+EC104</f>
        <v>-0</v>
      </c>
      <c r="ED105" s="35" t="n">
        <f aca="false">ED94+ED53+ED95+ED103+ED104</f>
        <v>-0</v>
      </c>
      <c r="EE105" s="35" t="n">
        <f aca="false">EE94+EE53+EE95+EE103+EE104</f>
        <v>-0</v>
      </c>
      <c r="EF105" s="35" t="n">
        <f aca="false">EF94+EF53+EF95+EF103+EF104</f>
        <v>-0</v>
      </c>
      <c r="EG105" s="35" t="n">
        <f aca="false">EG94+EG53+EG95+EG103+EG104</f>
        <v>-0</v>
      </c>
      <c r="EH105" s="35" t="n">
        <f aca="false">EH94+EH53+EH95+EH103+EH104</f>
        <v>-0</v>
      </c>
      <c r="EI105" s="35" t="n">
        <f aca="false">EI94+EI53+EI95+EI103+EI104</f>
        <v>-0</v>
      </c>
      <c r="EJ105" s="35" t="n">
        <f aca="false">EJ94+EJ53+EJ95+EJ103+EJ104</f>
        <v>-0</v>
      </c>
      <c r="EK105" s="35" t="n">
        <f aca="false">EK94+EK53+EK95+EK103+EK104</f>
        <v>-0</v>
      </c>
      <c r="EL105" s="35" t="n">
        <f aca="false">EL94+EL53+EL95+EL103+EL104</f>
        <v>-0</v>
      </c>
      <c r="EM105" s="35" t="n">
        <f aca="false">EM94+EM53+EM95+EM103+EM104</f>
        <v>-0</v>
      </c>
      <c r="EN105" s="35" t="n">
        <f aca="false">EN94+EN53+EN95+EN103+EN104</f>
        <v>-0</v>
      </c>
      <c r="EO105" s="35" t="n">
        <f aca="false">EO94+EO53+EO95+EO103+EO104</f>
        <v>-0</v>
      </c>
      <c r="EP105" s="35" t="n">
        <f aca="false">EP94+EP53+EP95+EP103+EP104</f>
        <v>-0</v>
      </c>
      <c r="EQ105" s="35" t="n">
        <f aca="false">EQ94+EQ53+EQ95+EQ103+EQ104</f>
        <v>-0</v>
      </c>
      <c r="ER105" s="35" t="n">
        <f aca="false">ER94+ER53+ER95+ER103+ER104</f>
        <v>-0</v>
      </c>
      <c r="ES105" s="35" t="n">
        <f aca="false">ES94+ES53+ES95+ES103+ES104</f>
        <v>-0</v>
      </c>
      <c r="ET105" s="35" t="n">
        <f aca="false">ET94+ET53+ET95+ET103+ET104</f>
        <v>-0</v>
      </c>
    </row>
    <row r="107" customFormat="false" ht="15" hidden="false" customHeight="false" outlineLevel="0" collapsed="false">
      <c r="A107" s="9" t="s">
        <v>13</v>
      </c>
      <c r="B107" s="9"/>
      <c r="C107" s="9" t="s">
        <v>363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</row>
    <row r="108" customFormat="false" ht="15" hidden="false" customHeight="false" outlineLevel="0" collapsed="false">
      <c r="C108" s="0" t="s">
        <v>553</v>
      </c>
      <c r="D108" s="11" t="s">
        <v>205</v>
      </c>
      <c r="J108" s="42" t="n">
        <f aca="false">ROUNDUP(YEARFRAC(In_COD,J$4),0)*(J$4&gt;In_COD)</f>
        <v>0</v>
      </c>
      <c r="K108" s="42" t="n">
        <f aca="false">ROUNDUP(YEARFRAC(In_COD,K$4),0)*(K$4&gt;In_COD)</f>
        <v>0</v>
      </c>
      <c r="L108" s="42" t="n">
        <f aca="false">ROUNDUP(YEARFRAC(In_COD,L$4),0)*(L$4&gt;In_COD)</f>
        <v>0</v>
      </c>
      <c r="M108" s="42" t="n">
        <f aca="false">ROUNDUP(YEARFRAC(In_COD,M$4),0)*(M$4&gt;In_COD)</f>
        <v>0</v>
      </c>
      <c r="N108" s="42" t="n">
        <f aca="false">ROUNDUP(YEARFRAC(In_COD,N$4),0)*(N$4&gt;In_COD)</f>
        <v>0</v>
      </c>
      <c r="O108" s="42" t="n">
        <f aca="false">ROUNDUP(YEARFRAC(In_COD,O$4),0)*(O$4&gt;In_COD)</f>
        <v>0</v>
      </c>
      <c r="P108" s="42" t="n">
        <f aca="false">ROUNDUP(YEARFRAC(In_COD,P$4),0)*(P$4&gt;In_COD)</f>
        <v>0</v>
      </c>
      <c r="Q108" s="42" t="n">
        <f aca="false">ROUNDUP(YEARFRAC(In_COD,Q$4),0)*(Q$4&gt;In_COD)</f>
        <v>0</v>
      </c>
      <c r="R108" s="42" t="n">
        <f aca="false">ROUNDUP(YEARFRAC(In_COD,R$4),0)*(R$4&gt;In_COD)</f>
        <v>0</v>
      </c>
      <c r="S108" s="42" t="n">
        <f aca="false">ROUNDUP(YEARFRAC(In_COD,S$4),0)*(S$4&gt;In_COD)</f>
        <v>0</v>
      </c>
      <c r="T108" s="42" t="n">
        <f aca="false">ROUNDUP(YEARFRAC(In_COD,T$4),0)*(T$4&gt;In_COD)</f>
        <v>0</v>
      </c>
      <c r="U108" s="42" t="n">
        <f aca="false">ROUNDUP(YEARFRAC(In_COD,U$4),0)*(U$4&gt;In_COD)</f>
        <v>0</v>
      </c>
      <c r="V108" s="42" t="n">
        <f aca="false">ROUNDUP(YEARFRAC(In_COD,V$4),0)*(V$4&gt;In_COD)</f>
        <v>0</v>
      </c>
      <c r="W108" s="42" t="n">
        <f aca="false">ROUNDUP(YEARFRAC(In_COD,W$4),0)*(W$4&gt;In_COD)</f>
        <v>0</v>
      </c>
      <c r="X108" s="42" t="n">
        <f aca="false">ROUNDUP(YEARFRAC(In_COD,X$4),0)*(X$4&gt;In_COD)</f>
        <v>0</v>
      </c>
      <c r="Y108" s="42" t="n">
        <f aca="false">ROUNDUP(YEARFRAC(In_COD,Y$4),0)*(Y$4&gt;In_COD)</f>
        <v>0</v>
      </c>
      <c r="Z108" s="42" t="n">
        <f aca="false">ROUNDUP(YEARFRAC(In_COD,Z$4),0)*(Z$4&gt;In_COD)</f>
        <v>0</v>
      </c>
      <c r="AA108" s="42" t="n">
        <f aca="false">ROUNDUP(YEARFRAC(In_COD,AA$4),0)*(AA$4&gt;In_COD)</f>
        <v>0</v>
      </c>
      <c r="AB108" s="42" t="n">
        <f aca="false">ROUNDUP(YEARFRAC(In_COD,AB$4),0)*(AB$4&gt;In_COD)</f>
        <v>0</v>
      </c>
      <c r="AC108" s="42" t="n">
        <f aca="false">ROUNDUP(YEARFRAC(In_COD,AC$4),0)*(AC$4&gt;In_COD)</f>
        <v>0</v>
      </c>
      <c r="AD108" s="42" t="n">
        <f aca="false">ROUNDUP(YEARFRAC(In_COD,AD$4),0)*(AD$4&gt;In_COD)</f>
        <v>0</v>
      </c>
      <c r="AE108" s="42" t="n">
        <f aca="false">ROUNDUP(YEARFRAC(In_COD,AE$4),0)*(AE$4&gt;In_COD)</f>
        <v>1</v>
      </c>
      <c r="AF108" s="42" t="n">
        <f aca="false">ROUNDUP(YEARFRAC(In_COD,AF$4),0)*(AF$4&gt;In_COD)</f>
        <v>1</v>
      </c>
      <c r="AG108" s="42" t="n">
        <f aca="false">ROUNDUP(YEARFRAC(In_COD,AG$4),0)*(AG$4&gt;In_COD)</f>
        <v>1</v>
      </c>
      <c r="AH108" s="42" t="n">
        <f aca="false">ROUNDUP(YEARFRAC(In_COD,AH$4),0)*(AH$4&gt;In_COD)</f>
        <v>1</v>
      </c>
      <c r="AI108" s="42" t="n">
        <f aca="false">ROUNDUP(YEARFRAC(In_COD,AI$4),0)*(AI$4&gt;In_COD)</f>
        <v>2</v>
      </c>
      <c r="AJ108" s="42" t="n">
        <f aca="false">ROUNDUP(YEARFRAC(In_COD,AJ$4),0)*(AJ$4&gt;In_COD)</f>
        <v>2</v>
      </c>
      <c r="AK108" s="42" t="n">
        <f aca="false">ROUNDUP(YEARFRAC(In_COD,AK$4),0)*(AK$4&gt;In_COD)</f>
        <v>2</v>
      </c>
      <c r="AL108" s="42" t="n">
        <f aca="false">ROUNDUP(YEARFRAC(In_COD,AL$4),0)*(AL$4&gt;In_COD)</f>
        <v>2</v>
      </c>
      <c r="AM108" s="42" t="n">
        <f aca="false">ROUNDUP(YEARFRAC(In_COD,AM$4),0)*(AM$4&gt;In_COD)</f>
        <v>3</v>
      </c>
      <c r="AN108" s="42" t="n">
        <f aca="false">ROUNDUP(YEARFRAC(In_COD,AN$4),0)*(AN$4&gt;In_COD)</f>
        <v>3</v>
      </c>
      <c r="AO108" s="42" t="n">
        <f aca="false">ROUNDUP(YEARFRAC(In_COD,AO$4),0)*(AO$4&gt;In_COD)</f>
        <v>3</v>
      </c>
      <c r="AP108" s="42" t="n">
        <f aca="false">ROUNDUP(YEARFRAC(In_COD,AP$4),0)*(AP$4&gt;In_COD)</f>
        <v>3</v>
      </c>
      <c r="AQ108" s="42" t="n">
        <f aca="false">ROUNDUP(YEARFRAC(In_COD,AQ$4),0)*(AQ$4&gt;In_COD)</f>
        <v>4</v>
      </c>
      <c r="AR108" s="42" t="n">
        <f aca="false">ROUNDUP(YEARFRAC(In_COD,AR$4),0)*(AR$4&gt;In_COD)</f>
        <v>4</v>
      </c>
      <c r="AS108" s="42" t="n">
        <f aca="false">ROUNDUP(YEARFRAC(In_COD,AS$4),0)*(AS$4&gt;In_COD)</f>
        <v>4</v>
      </c>
      <c r="AT108" s="42" t="n">
        <f aca="false">ROUNDUP(YEARFRAC(In_COD,AT$4),0)*(AT$4&gt;In_COD)</f>
        <v>4</v>
      </c>
      <c r="AU108" s="42" t="n">
        <f aca="false">ROUNDUP(YEARFRAC(In_COD,AU$4),0)*(AU$4&gt;In_COD)</f>
        <v>5</v>
      </c>
      <c r="AV108" s="42" t="n">
        <f aca="false">ROUNDUP(YEARFRAC(In_COD,AV$4),0)*(AV$4&gt;In_COD)</f>
        <v>5</v>
      </c>
      <c r="AW108" s="42" t="n">
        <f aca="false">ROUNDUP(YEARFRAC(In_COD,AW$4),0)*(AW$4&gt;In_COD)</f>
        <v>5</v>
      </c>
      <c r="AX108" s="42" t="n">
        <f aca="false">ROUNDUP(YEARFRAC(In_COD,AX$4),0)*(AX$4&gt;In_COD)</f>
        <v>5</v>
      </c>
      <c r="AY108" s="42" t="n">
        <f aca="false">ROUNDUP(YEARFRAC(In_COD,AY$4),0)*(AY$4&gt;In_COD)</f>
        <v>6</v>
      </c>
      <c r="AZ108" s="42" t="n">
        <f aca="false">ROUNDUP(YEARFRAC(In_COD,AZ$4),0)*(AZ$4&gt;In_COD)</f>
        <v>6</v>
      </c>
      <c r="BA108" s="42" t="n">
        <f aca="false">ROUNDUP(YEARFRAC(In_COD,BA$4),0)*(BA$4&gt;In_COD)</f>
        <v>6</v>
      </c>
      <c r="BB108" s="42" t="n">
        <f aca="false">ROUNDUP(YEARFRAC(In_COD,BB$4),0)*(BB$4&gt;In_COD)</f>
        <v>6</v>
      </c>
      <c r="BC108" s="42" t="n">
        <f aca="false">ROUNDUP(YEARFRAC(In_COD,BC$4),0)*(BC$4&gt;In_COD)</f>
        <v>7</v>
      </c>
      <c r="BD108" s="42" t="n">
        <f aca="false">ROUNDUP(YEARFRAC(In_COD,BD$4),0)*(BD$4&gt;In_COD)</f>
        <v>7</v>
      </c>
      <c r="BE108" s="42" t="n">
        <f aca="false">ROUNDUP(YEARFRAC(In_COD,BE$4),0)*(BE$4&gt;In_COD)</f>
        <v>7</v>
      </c>
      <c r="BF108" s="42" t="n">
        <f aca="false">ROUNDUP(YEARFRAC(In_COD,BF$4),0)*(BF$4&gt;In_COD)</f>
        <v>7</v>
      </c>
      <c r="BG108" s="42" t="n">
        <f aca="false">ROUNDUP(YEARFRAC(In_COD,BG$4),0)*(BG$4&gt;In_COD)</f>
        <v>8</v>
      </c>
      <c r="BH108" s="42" t="n">
        <f aca="false">ROUNDUP(YEARFRAC(In_COD,BH$4),0)*(BH$4&gt;In_COD)</f>
        <v>8</v>
      </c>
      <c r="BI108" s="42" t="n">
        <f aca="false">ROUNDUP(YEARFRAC(In_COD,BI$4),0)*(BI$4&gt;In_COD)</f>
        <v>8</v>
      </c>
      <c r="BJ108" s="42" t="n">
        <f aca="false">ROUNDUP(YEARFRAC(In_COD,BJ$4),0)*(BJ$4&gt;In_COD)</f>
        <v>8</v>
      </c>
      <c r="BK108" s="42" t="n">
        <f aca="false">ROUNDUP(YEARFRAC(In_COD,BK$4),0)*(BK$4&gt;In_COD)</f>
        <v>9</v>
      </c>
      <c r="BL108" s="42" t="n">
        <f aca="false">ROUNDUP(YEARFRAC(In_COD,BL$4),0)*(BL$4&gt;In_COD)</f>
        <v>9</v>
      </c>
      <c r="BM108" s="42" t="n">
        <f aca="false">ROUNDUP(YEARFRAC(In_COD,BM$4),0)*(BM$4&gt;In_COD)</f>
        <v>9</v>
      </c>
      <c r="BN108" s="42" t="n">
        <f aca="false">ROUNDUP(YEARFRAC(In_COD,BN$4),0)*(BN$4&gt;In_COD)</f>
        <v>9</v>
      </c>
      <c r="BO108" s="42" t="n">
        <f aca="false">ROUNDUP(YEARFRAC(In_COD,BO$4),0)*(BO$4&gt;In_COD)</f>
        <v>10</v>
      </c>
      <c r="BP108" s="42" t="n">
        <f aca="false">ROUNDUP(YEARFRAC(In_COD,BP$4),0)*(BP$4&gt;In_COD)</f>
        <v>10</v>
      </c>
      <c r="BQ108" s="42" t="n">
        <f aca="false">ROUNDUP(YEARFRAC(In_COD,BQ$4),0)*(BQ$4&gt;In_COD)</f>
        <v>10</v>
      </c>
      <c r="BR108" s="42" t="n">
        <f aca="false">ROUNDUP(YEARFRAC(In_COD,BR$4),0)*(BR$4&gt;In_COD)</f>
        <v>10</v>
      </c>
      <c r="BS108" s="42" t="n">
        <f aca="false">ROUNDUP(YEARFRAC(In_COD,BS$4),0)*(BS$4&gt;In_COD)</f>
        <v>11</v>
      </c>
      <c r="BT108" s="42" t="n">
        <f aca="false">ROUNDUP(YEARFRAC(In_COD,BT$4),0)*(BT$4&gt;In_COD)</f>
        <v>11</v>
      </c>
      <c r="BU108" s="42" t="n">
        <f aca="false">ROUNDUP(YEARFRAC(In_COD,BU$4),0)*(BU$4&gt;In_COD)</f>
        <v>11</v>
      </c>
      <c r="BV108" s="42" t="n">
        <f aca="false">ROUNDUP(YEARFRAC(In_COD,BV$4),0)*(BV$4&gt;In_COD)</f>
        <v>11</v>
      </c>
      <c r="BW108" s="42" t="n">
        <f aca="false">ROUNDUP(YEARFRAC(In_COD,BW$4),0)*(BW$4&gt;In_COD)</f>
        <v>12</v>
      </c>
      <c r="BX108" s="42" t="n">
        <f aca="false">ROUNDUP(YEARFRAC(In_COD,BX$4),0)*(BX$4&gt;In_COD)</f>
        <v>12</v>
      </c>
      <c r="BY108" s="42" t="n">
        <f aca="false">ROUNDUP(YEARFRAC(In_COD,BY$4),0)*(BY$4&gt;In_COD)</f>
        <v>12</v>
      </c>
      <c r="BZ108" s="42" t="n">
        <f aca="false">ROUNDUP(YEARFRAC(In_COD,BZ$4),0)*(BZ$4&gt;In_COD)</f>
        <v>12</v>
      </c>
      <c r="CA108" s="42" t="n">
        <f aca="false">ROUNDUP(YEARFRAC(In_COD,CA$4),0)*(CA$4&gt;In_COD)</f>
        <v>13</v>
      </c>
      <c r="CB108" s="42" t="n">
        <f aca="false">ROUNDUP(YEARFRAC(In_COD,CB$4),0)*(CB$4&gt;In_COD)</f>
        <v>13</v>
      </c>
      <c r="CC108" s="42" t="n">
        <f aca="false">ROUNDUP(YEARFRAC(In_COD,CC$4),0)*(CC$4&gt;In_COD)</f>
        <v>13</v>
      </c>
      <c r="CD108" s="42" t="n">
        <f aca="false">ROUNDUP(YEARFRAC(In_COD,CD$4),0)*(CD$4&gt;In_COD)</f>
        <v>13</v>
      </c>
      <c r="CE108" s="42" t="n">
        <f aca="false">ROUNDUP(YEARFRAC(In_COD,CE$4),0)*(CE$4&gt;In_COD)</f>
        <v>14</v>
      </c>
      <c r="CF108" s="42" t="n">
        <f aca="false">ROUNDUP(YEARFRAC(In_COD,CF$4),0)*(CF$4&gt;In_COD)</f>
        <v>14</v>
      </c>
      <c r="CG108" s="42" t="n">
        <f aca="false">ROUNDUP(YEARFRAC(In_COD,CG$4),0)*(CG$4&gt;In_COD)</f>
        <v>14</v>
      </c>
      <c r="CH108" s="42" t="n">
        <f aca="false">ROUNDUP(YEARFRAC(In_COD,CH$4),0)*(CH$4&gt;In_COD)</f>
        <v>14</v>
      </c>
      <c r="CI108" s="42" t="n">
        <f aca="false">ROUNDUP(YEARFRAC(In_COD,CI$4),0)*(CI$4&gt;In_COD)</f>
        <v>15</v>
      </c>
      <c r="CJ108" s="42" t="n">
        <f aca="false">ROUNDUP(YEARFRAC(In_COD,CJ$4),0)*(CJ$4&gt;In_COD)</f>
        <v>15</v>
      </c>
      <c r="CK108" s="42" t="n">
        <f aca="false">ROUNDUP(YEARFRAC(In_COD,CK$4),0)*(CK$4&gt;In_COD)</f>
        <v>15</v>
      </c>
      <c r="CL108" s="42" t="n">
        <f aca="false">ROUNDUP(YEARFRAC(In_COD,CL$4),0)*(CL$4&gt;In_COD)</f>
        <v>15</v>
      </c>
      <c r="CM108" s="42" t="n">
        <f aca="false">ROUNDUP(YEARFRAC(In_COD,CM$4),0)*(CM$4&gt;In_COD)</f>
        <v>16</v>
      </c>
      <c r="CN108" s="42" t="n">
        <f aca="false">ROUNDUP(YEARFRAC(In_COD,CN$4),0)*(CN$4&gt;In_COD)</f>
        <v>16</v>
      </c>
      <c r="CO108" s="42" t="n">
        <f aca="false">ROUNDUP(YEARFRAC(In_COD,CO$4),0)*(CO$4&gt;In_COD)</f>
        <v>16</v>
      </c>
      <c r="CP108" s="42" t="n">
        <f aca="false">ROUNDUP(YEARFRAC(In_COD,CP$4),0)*(CP$4&gt;In_COD)</f>
        <v>16</v>
      </c>
      <c r="CQ108" s="42" t="n">
        <f aca="false">ROUNDUP(YEARFRAC(In_COD,CQ$4),0)*(CQ$4&gt;In_COD)</f>
        <v>17</v>
      </c>
      <c r="CR108" s="42" t="n">
        <f aca="false">ROUNDUP(YEARFRAC(In_COD,CR$4),0)*(CR$4&gt;In_COD)</f>
        <v>17</v>
      </c>
      <c r="CS108" s="42" t="n">
        <f aca="false">ROUNDUP(YEARFRAC(In_COD,CS$4),0)*(CS$4&gt;In_COD)</f>
        <v>17</v>
      </c>
      <c r="CT108" s="42" t="n">
        <f aca="false">ROUNDUP(YEARFRAC(In_COD,CT$4),0)*(CT$4&gt;In_COD)</f>
        <v>17</v>
      </c>
      <c r="CU108" s="42" t="n">
        <f aca="false">ROUNDUP(YEARFRAC(In_COD,CU$4),0)*(CU$4&gt;In_COD)</f>
        <v>18</v>
      </c>
      <c r="CV108" s="42" t="n">
        <f aca="false">ROUNDUP(YEARFRAC(In_COD,CV$4),0)*(CV$4&gt;In_COD)</f>
        <v>18</v>
      </c>
      <c r="CW108" s="42" t="n">
        <f aca="false">ROUNDUP(YEARFRAC(In_COD,CW$4),0)*(CW$4&gt;In_COD)</f>
        <v>18</v>
      </c>
      <c r="CX108" s="42" t="n">
        <f aca="false">ROUNDUP(YEARFRAC(In_COD,CX$4),0)*(CX$4&gt;In_COD)</f>
        <v>18</v>
      </c>
      <c r="CY108" s="42" t="n">
        <f aca="false">ROUNDUP(YEARFRAC(In_COD,CY$4),0)*(CY$4&gt;In_COD)</f>
        <v>19</v>
      </c>
      <c r="CZ108" s="42" t="n">
        <f aca="false">ROUNDUP(YEARFRAC(In_COD,CZ$4),0)*(CZ$4&gt;In_COD)</f>
        <v>19</v>
      </c>
      <c r="DA108" s="42" t="n">
        <f aca="false">ROUNDUP(YEARFRAC(In_COD,DA$4),0)*(DA$4&gt;In_COD)</f>
        <v>19</v>
      </c>
      <c r="DB108" s="42" t="n">
        <f aca="false">ROUNDUP(YEARFRAC(In_COD,DB$4),0)*(DB$4&gt;In_COD)</f>
        <v>19</v>
      </c>
      <c r="DC108" s="42" t="n">
        <f aca="false">ROUNDUP(YEARFRAC(In_COD,DC$4),0)*(DC$4&gt;In_COD)</f>
        <v>20</v>
      </c>
      <c r="DD108" s="42" t="n">
        <f aca="false">ROUNDUP(YEARFRAC(In_COD,DD$4),0)*(DD$4&gt;In_COD)</f>
        <v>20</v>
      </c>
      <c r="DE108" s="42" t="n">
        <f aca="false">ROUNDUP(YEARFRAC(In_COD,DE$4),0)*(DE$4&gt;In_COD)</f>
        <v>20</v>
      </c>
      <c r="DF108" s="42" t="n">
        <f aca="false">ROUNDUP(YEARFRAC(In_COD,DF$4),0)*(DF$4&gt;In_COD)</f>
        <v>20</v>
      </c>
      <c r="DG108" s="42" t="n">
        <f aca="false">ROUNDUP(YEARFRAC(In_COD,DG$4),0)*(DG$4&gt;In_COD)</f>
        <v>21</v>
      </c>
      <c r="DH108" s="42" t="n">
        <f aca="false">ROUNDUP(YEARFRAC(In_COD,DH$4),0)*(DH$4&gt;In_COD)</f>
        <v>21</v>
      </c>
      <c r="DI108" s="42" t="n">
        <f aca="false">ROUNDUP(YEARFRAC(In_COD,DI$4),0)*(DI$4&gt;In_COD)</f>
        <v>21</v>
      </c>
      <c r="DJ108" s="42" t="n">
        <f aca="false">ROUNDUP(YEARFRAC(In_COD,DJ$4),0)*(DJ$4&gt;In_COD)</f>
        <v>21</v>
      </c>
      <c r="DK108" s="42" t="n">
        <f aca="false">ROUNDUP(YEARFRAC(In_COD,DK$4),0)*(DK$4&gt;In_COD)</f>
        <v>22</v>
      </c>
      <c r="DL108" s="42" t="n">
        <f aca="false">ROUNDUP(YEARFRAC(In_COD,DL$4),0)*(DL$4&gt;In_COD)</f>
        <v>22</v>
      </c>
      <c r="DM108" s="42" t="n">
        <f aca="false">ROUNDUP(YEARFRAC(In_COD,DM$4),0)*(DM$4&gt;In_COD)</f>
        <v>22</v>
      </c>
      <c r="DN108" s="42" t="n">
        <f aca="false">ROUNDUP(YEARFRAC(In_COD,DN$4),0)*(DN$4&gt;In_COD)</f>
        <v>22</v>
      </c>
      <c r="DO108" s="42" t="n">
        <f aca="false">ROUNDUP(YEARFRAC(In_COD,DO$4),0)*(DO$4&gt;In_COD)</f>
        <v>23</v>
      </c>
      <c r="DP108" s="42" t="n">
        <f aca="false">ROUNDUP(YEARFRAC(In_COD,DP$4),0)*(DP$4&gt;In_COD)</f>
        <v>23</v>
      </c>
      <c r="DQ108" s="42" t="n">
        <f aca="false">ROUNDUP(YEARFRAC(In_COD,DQ$4),0)*(DQ$4&gt;In_COD)</f>
        <v>23</v>
      </c>
      <c r="DR108" s="42" t="n">
        <f aca="false">ROUNDUP(YEARFRAC(In_COD,DR$4),0)*(DR$4&gt;In_COD)</f>
        <v>23</v>
      </c>
      <c r="DS108" s="42" t="n">
        <f aca="false">ROUNDUP(YEARFRAC(In_COD,DS$4),0)*(DS$4&gt;In_COD)</f>
        <v>24</v>
      </c>
      <c r="DT108" s="42" t="n">
        <f aca="false">ROUNDUP(YEARFRAC(In_COD,DT$4),0)*(DT$4&gt;In_COD)</f>
        <v>24</v>
      </c>
      <c r="DU108" s="42" t="n">
        <f aca="false">ROUNDUP(YEARFRAC(In_COD,DU$4),0)*(DU$4&gt;In_COD)</f>
        <v>24</v>
      </c>
      <c r="DV108" s="42" t="n">
        <f aca="false">ROUNDUP(YEARFRAC(In_COD,DV$4),0)*(DV$4&gt;In_COD)</f>
        <v>24</v>
      </c>
      <c r="DW108" s="42" t="n">
        <f aca="false">ROUNDUP(YEARFRAC(In_COD,DW$4),0)*(DW$4&gt;In_COD)</f>
        <v>25</v>
      </c>
      <c r="DX108" s="42" t="n">
        <f aca="false">ROUNDUP(YEARFRAC(In_COD,DX$4),0)*(DX$4&gt;In_COD)</f>
        <v>25</v>
      </c>
      <c r="DY108" s="42" t="n">
        <f aca="false">ROUNDUP(YEARFRAC(In_COD,DY$4),0)*(DY$4&gt;In_COD)</f>
        <v>25</v>
      </c>
      <c r="DZ108" s="42" t="n">
        <f aca="false">ROUNDUP(YEARFRAC(In_COD,DZ$4),0)*(DZ$4&gt;In_COD)</f>
        <v>25</v>
      </c>
      <c r="EA108" s="42" t="n">
        <f aca="false">ROUNDUP(YEARFRAC(In_COD,EA$4),0)*(EA$4&gt;In_COD)</f>
        <v>26</v>
      </c>
      <c r="EB108" s="42" t="n">
        <f aca="false">ROUNDUP(YEARFRAC(In_COD,EB$4),0)*(EB$4&gt;In_COD)</f>
        <v>26</v>
      </c>
      <c r="EC108" s="42" t="n">
        <f aca="false">ROUNDUP(YEARFRAC(In_COD,EC$4),0)*(EC$4&gt;In_COD)</f>
        <v>26</v>
      </c>
      <c r="ED108" s="42" t="n">
        <f aca="false">ROUNDUP(YEARFRAC(In_COD,ED$4),0)*(ED$4&gt;In_COD)</f>
        <v>26</v>
      </c>
      <c r="EE108" s="42" t="n">
        <f aca="false">ROUNDUP(YEARFRAC(In_COD,EE$4),0)*(EE$4&gt;In_COD)</f>
        <v>27</v>
      </c>
      <c r="EF108" s="42" t="n">
        <f aca="false">ROUNDUP(YEARFRAC(In_COD,EF$4),0)*(EF$4&gt;In_COD)</f>
        <v>27</v>
      </c>
      <c r="EG108" s="42" t="n">
        <f aca="false">ROUNDUP(YEARFRAC(In_COD,EG$4),0)*(EG$4&gt;In_COD)</f>
        <v>27</v>
      </c>
      <c r="EH108" s="42" t="n">
        <f aca="false">ROUNDUP(YEARFRAC(In_COD,EH$4),0)*(EH$4&gt;In_COD)</f>
        <v>27</v>
      </c>
      <c r="EI108" s="42" t="n">
        <f aca="false">ROUNDUP(YEARFRAC(In_COD,EI$4),0)*(EI$4&gt;In_COD)</f>
        <v>28</v>
      </c>
      <c r="EJ108" s="42" t="n">
        <f aca="false">ROUNDUP(YEARFRAC(In_COD,EJ$4),0)*(EJ$4&gt;In_COD)</f>
        <v>28</v>
      </c>
      <c r="EK108" s="42" t="n">
        <f aca="false">ROUNDUP(YEARFRAC(In_COD,EK$4),0)*(EK$4&gt;In_COD)</f>
        <v>28</v>
      </c>
      <c r="EL108" s="42" t="n">
        <f aca="false">ROUNDUP(YEARFRAC(In_COD,EL$4),0)*(EL$4&gt;In_COD)</f>
        <v>28</v>
      </c>
      <c r="EM108" s="42" t="n">
        <f aca="false">ROUNDUP(YEARFRAC(In_COD,EM$4),0)*(EM$4&gt;In_COD)</f>
        <v>29</v>
      </c>
      <c r="EN108" s="42" t="n">
        <f aca="false">ROUNDUP(YEARFRAC(In_COD,EN$4),0)*(EN$4&gt;In_COD)</f>
        <v>29</v>
      </c>
      <c r="EO108" s="42" t="n">
        <f aca="false">ROUNDUP(YEARFRAC(In_COD,EO$4),0)*(EO$4&gt;In_COD)</f>
        <v>29</v>
      </c>
      <c r="EP108" s="42" t="n">
        <f aca="false">ROUNDUP(YEARFRAC(In_COD,EP$4),0)*(EP$4&gt;In_COD)</f>
        <v>29</v>
      </c>
      <c r="EQ108" s="42" t="n">
        <f aca="false">ROUNDUP(YEARFRAC(In_COD,EQ$4),0)*(EQ$4&gt;In_COD)</f>
        <v>30</v>
      </c>
      <c r="ER108" s="42" t="n">
        <f aca="false">ROUNDUP(YEARFRAC(In_COD,ER$4),0)*(ER$4&gt;In_COD)</f>
        <v>30</v>
      </c>
      <c r="ES108" s="42" t="n">
        <f aca="false">ROUNDUP(YEARFRAC(In_COD,ES$4),0)*(ES$4&gt;In_COD)</f>
        <v>30</v>
      </c>
      <c r="ET108" s="42" t="n">
        <f aca="false">ROUNDUP(YEARFRAC(In_COD,ET$4),0)*(ET$4&gt;In_COD)</f>
        <v>30</v>
      </c>
    </row>
    <row r="109" customFormat="false" ht="15" hidden="false" customHeight="false" outlineLevel="0" collapsed="false">
      <c r="C109" s="0" t="s">
        <v>554</v>
      </c>
      <c r="D109" s="11" t="s">
        <v>474</v>
      </c>
      <c r="J109" s="52" t="n">
        <f aca="false">(1+In_Opex_Esc)^(J$7-YEAR(In_COD))</f>
        <v>0.883854287609517</v>
      </c>
      <c r="K109" s="52" t="n">
        <f aca="false">(1+In_Opex_Esc)^(K$7-YEAR(In_COD))</f>
        <v>0.883854287609517</v>
      </c>
      <c r="L109" s="52" t="n">
        <f aca="false">(1+In_Opex_Esc)^(L$7-YEAR(In_COD))</f>
        <v>0.905950644799755</v>
      </c>
      <c r="M109" s="52" t="n">
        <f aca="false">(1+In_Opex_Esc)^(M$7-YEAR(In_COD))</f>
        <v>0.905950644799755</v>
      </c>
      <c r="N109" s="52" t="n">
        <f aca="false">(1+In_Opex_Esc)^(N$7-YEAR(In_COD))</f>
        <v>0.905950644799755</v>
      </c>
      <c r="O109" s="52" t="n">
        <f aca="false">(1+In_Opex_Esc)^(O$7-YEAR(In_COD))</f>
        <v>0.905950644799755</v>
      </c>
      <c r="P109" s="52" t="n">
        <f aca="false">(1+In_Opex_Esc)^(P$7-YEAR(In_COD))</f>
        <v>0.928599410919749</v>
      </c>
      <c r="Q109" s="52" t="n">
        <f aca="false">(1+In_Opex_Esc)^(Q$7-YEAR(In_COD))</f>
        <v>0.928599410919749</v>
      </c>
      <c r="R109" s="52" t="n">
        <f aca="false">(1+In_Opex_Esc)^(R$7-YEAR(In_COD))</f>
        <v>0.928599410919749</v>
      </c>
      <c r="S109" s="52" t="n">
        <f aca="false">(1+In_Opex_Esc)^(S$7-YEAR(In_COD))</f>
        <v>0.928599410919749</v>
      </c>
      <c r="T109" s="52" t="n">
        <f aca="false">(1+In_Opex_Esc)^(T$7-YEAR(In_COD))</f>
        <v>0.951814396192743</v>
      </c>
      <c r="U109" s="52" t="n">
        <f aca="false">(1+In_Opex_Esc)^(U$7-YEAR(In_COD))</f>
        <v>0.951814396192743</v>
      </c>
      <c r="V109" s="52" t="n">
        <f aca="false">(1+In_Opex_Esc)^(V$7-YEAR(In_COD))</f>
        <v>0.951814396192743</v>
      </c>
      <c r="W109" s="52" t="n">
        <f aca="false">(1+In_Opex_Esc)^(W$7-YEAR(In_COD))</f>
        <v>0.951814396192743</v>
      </c>
      <c r="X109" s="52" t="n">
        <f aca="false">(1+In_Opex_Esc)^(X$7-YEAR(In_COD))</f>
        <v>0.975609756097561</v>
      </c>
      <c r="Y109" s="52" t="n">
        <f aca="false">(1+In_Opex_Esc)^(Y$7-YEAR(In_COD))</f>
        <v>0.975609756097561</v>
      </c>
      <c r="Z109" s="52" t="n">
        <f aca="false">(1+In_Opex_Esc)^(Z$7-YEAR(In_COD))</f>
        <v>0.975609756097561</v>
      </c>
      <c r="AA109" s="52" t="n">
        <f aca="false">(1+In_Opex_Esc)^(AA$7-YEAR(In_COD))</f>
        <v>0.975609756097561</v>
      </c>
      <c r="AB109" s="52" t="n">
        <f aca="false">(1+In_Opex_Esc)^(AB$7-YEAR(In_COD))</f>
        <v>1</v>
      </c>
      <c r="AC109" s="52" t="n">
        <f aca="false">(1+In_Opex_Esc)^(AC$7-YEAR(In_COD))</f>
        <v>1</v>
      </c>
      <c r="AD109" s="52" t="n">
        <f aca="false">(1+In_Opex_Esc)^(AD$7-YEAR(In_COD))</f>
        <v>1</v>
      </c>
      <c r="AE109" s="52" t="n">
        <f aca="false">(1+In_Opex_Esc)^(AE$7-YEAR(In_COD))</f>
        <v>1</v>
      </c>
      <c r="AF109" s="52" t="n">
        <f aca="false">(1+In_Opex_Esc)^(AF$7-YEAR(In_COD))</f>
        <v>1.025</v>
      </c>
      <c r="AG109" s="52" t="n">
        <f aca="false">(1+In_Opex_Esc)^(AG$7-YEAR(In_COD))</f>
        <v>1.025</v>
      </c>
      <c r="AH109" s="52" t="n">
        <f aca="false">(1+In_Opex_Esc)^(AH$7-YEAR(In_COD))</f>
        <v>1.025</v>
      </c>
      <c r="AI109" s="52" t="n">
        <f aca="false">(1+In_Opex_Esc)^(AI$7-YEAR(In_COD))</f>
        <v>1.025</v>
      </c>
      <c r="AJ109" s="52" t="n">
        <f aca="false">(1+In_Opex_Esc)^(AJ$7-YEAR(In_COD))</f>
        <v>1.050625</v>
      </c>
      <c r="AK109" s="52" t="n">
        <f aca="false">(1+In_Opex_Esc)^(AK$7-YEAR(In_COD))</f>
        <v>1.050625</v>
      </c>
      <c r="AL109" s="52" t="n">
        <f aca="false">(1+In_Opex_Esc)^(AL$7-YEAR(In_COD))</f>
        <v>1.050625</v>
      </c>
      <c r="AM109" s="52" t="n">
        <f aca="false">(1+In_Opex_Esc)^(AM$7-YEAR(In_COD))</f>
        <v>1.050625</v>
      </c>
      <c r="AN109" s="52" t="n">
        <f aca="false">(1+In_Opex_Esc)^(AN$7-YEAR(In_COD))</f>
        <v>1.076890625</v>
      </c>
      <c r="AO109" s="52" t="n">
        <f aca="false">(1+In_Opex_Esc)^(AO$7-YEAR(In_COD))</f>
        <v>1.076890625</v>
      </c>
      <c r="AP109" s="52" t="n">
        <f aca="false">(1+In_Opex_Esc)^(AP$7-YEAR(In_COD))</f>
        <v>1.076890625</v>
      </c>
      <c r="AQ109" s="52" t="n">
        <f aca="false">(1+In_Opex_Esc)^(AQ$7-YEAR(In_COD))</f>
        <v>1.076890625</v>
      </c>
      <c r="AR109" s="52" t="n">
        <f aca="false">(1+In_Opex_Esc)^(AR$7-YEAR(In_COD))</f>
        <v>1.103812890625</v>
      </c>
      <c r="AS109" s="52" t="n">
        <f aca="false">(1+In_Opex_Esc)^(AS$7-YEAR(In_COD))</f>
        <v>1.103812890625</v>
      </c>
      <c r="AT109" s="52" t="n">
        <f aca="false">(1+In_Opex_Esc)^(AT$7-YEAR(In_COD))</f>
        <v>1.103812890625</v>
      </c>
      <c r="AU109" s="52" t="n">
        <f aca="false">(1+In_Opex_Esc)^(AU$7-YEAR(In_COD))</f>
        <v>1.103812890625</v>
      </c>
      <c r="AV109" s="52" t="n">
        <f aca="false">(1+In_Opex_Esc)^(AV$7-YEAR(In_COD))</f>
        <v>1.13140821289062</v>
      </c>
      <c r="AW109" s="52" t="n">
        <f aca="false">(1+In_Opex_Esc)^(AW$7-YEAR(In_COD))</f>
        <v>1.13140821289062</v>
      </c>
      <c r="AX109" s="52" t="n">
        <f aca="false">(1+In_Opex_Esc)^(AX$7-YEAR(In_COD))</f>
        <v>1.13140821289062</v>
      </c>
      <c r="AY109" s="52" t="n">
        <f aca="false">(1+In_Opex_Esc)^(AY$7-YEAR(In_COD))</f>
        <v>1.13140821289062</v>
      </c>
      <c r="AZ109" s="52" t="n">
        <f aca="false">(1+In_Opex_Esc)^(AZ$7-YEAR(In_COD))</f>
        <v>1.15969341821289</v>
      </c>
      <c r="BA109" s="52" t="n">
        <f aca="false">(1+In_Opex_Esc)^(BA$7-YEAR(In_COD))</f>
        <v>1.15969341821289</v>
      </c>
      <c r="BB109" s="52" t="n">
        <f aca="false">(1+In_Opex_Esc)^(BB$7-YEAR(In_COD))</f>
        <v>1.15969341821289</v>
      </c>
      <c r="BC109" s="52" t="n">
        <f aca="false">(1+In_Opex_Esc)^(BC$7-YEAR(In_COD))</f>
        <v>1.15969341821289</v>
      </c>
      <c r="BD109" s="52" t="n">
        <f aca="false">(1+In_Opex_Esc)^(BD$7-YEAR(In_COD))</f>
        <v>1.18868575366821</v>
      </c>
      <c r="BE109" s="52" t="n">
        <f aca="false">(1+In_Opex_Esc)^(BE$7-YEAR(In_COD))</f>
        <v>1.18868575366821</v>
      </c>
      <c r="BF109" s="52" t="n">
        <f aca="false">(1+In_Opex_Esc)^(BF$7-YEAR(In_COD))</f>
        <v>1.18868575366821</v>
      </c>
      <c r="BG109" s="52" t="n">
        <f aca="false">(1+In_Opex_Esc)^(BG$7-YEAR(In_COD))</f>
        <v>1.18868575366821</v>
      </c>
      <c r="BH109" s="52" t="n">
        <f aca="false">(1+In_Opex_Esc)^(BH$7-YEAR(In_COD))</f>
        <v>1.21840289750992</v>
      </c>
      <c r="BI109" s="52" t="n">
        <f aca="false">(1+In_Opex_Esc)^(BI$7-YEAR(In_COD))</f>
        <v>1.21840289750992</v>
      </c>
      <c r="BJ109" s="52" t="n">
        <f aca="false">(1+In_Opex_Esc)^(BJ$7-YEAR(In_COD))</f>
        <v>1.21840289750992</v>
      </c>
      <c r="BK109" s="52" t="n">
        <f aca="false">(1+In_Opex_Esc)^(BK$7-YEAR(In_COD))</f>
        <v>1.21840289750992</v>
      </c>
      <c r="BL109" s="52" t="n">
        <f aca="false">(1+In_Opex_Esc)^(BL$7-YEAR(In_COD))</f>
        <v>1.24886296994767</v>
      </c>
      <c r="BM109" s="52" t="n">
        <f aca="false">(1+In_Opex_Esc)^(BM$7-YEAR(In_COD))</f>
        <v>1.24886296994767</v>
      </c>
      <c r="BN109" s="52" t="n">
        <f aca="false">(1+In_Opex_Esc)^(BN$7-YEAR(In_COD))</f>
        <v>1.24886296994767</v>
      </c>
      <c r="BO109" s="52" t="n">
        <f aca="false">(1+In_Opex_Esc)^(BO$7-YEAR(In_COD))</f>
        <v>1.24886296994767</v>
      </c>
      <c r="BP109" s="52" t="n">
        <f aca="false">(1+In_Opex_Esc)^(BP$7-YEAR(In_COD))</f>
        <v>1.28008454419636</v>
      </c>
      <c r="BQ109" s="52" t="n">
        <f aca="false">(1+In_Opex_Esc)^(BQ$7-YEAR(In_COD))</f>
        <v>1.28008454419636</v>
      </c>
      <c r="BR109" s="52" t="n">
        <f aca="false">(1+In_Opex_Esc)^(BR$7-YEAR(In_COD))</f>
        <v>1.28008454419636</v>
      </c>
      <c r="BS109" s="52" t="n">
        <f aca="false">(1+In_Opex_Esc)^(BS$7-YEAR(In_COD))</f>
        <v>1.28008454419636</v>
      </c>
      <c r="BT109" s="52" t="n">
        <f aca="false">(1+In_Opex_Esc)^(BT$7-YEAR(In_COD))</f>
        <v>1.31208665780127</v>
      </c>
      <c r="BU109" s="52" t="n">
        <f aca="false">(1+In_Opex_Esc)^(BU$7-YEAR(In_COD))</f>
        <v>1.31208665780127</v>
      </c>
      <c r="BV109" s="52" t="n">
        <f aca="false">(1+In_Opex_Esc)^(BV$7-YEAR(In_COD))</f>
        <v>1.31208665780127</v>
      </c>
      <c r="BW109" s="52" t="n">
        <f aca="false">(1+In_Opex_Esc)^(BW$7-YEAR(In_COD))</f>
        <v>1.31208665780127</v>
      </c>
      <c r="BX109" s="52" t="n">
        <f aca="false">(1+In_Opex_Esc)^(BX$7-YEAR(In_COD))</f>
        <v>1.3448888242463</v>
      </c>
      <c r="BY109" s="52" t="n">
        <f aca="false">(1+In_Opex_Esc)^(BY$7-YEAR(In_COD))</f>
        <v>1.3448888242463</v>
      </c>
      <c r="BZ109" s="52" t="n">
        <f aca="false">(1+In_Opex_Esc)^(BZ$7-YEAR(In_COD))</f>
        <v>1.3448888242463</v>
      </c>
      <c r="CA109" s="52" t="n">
        <f aca="false">(1+In_Opex_Esc)^(CA$7-YEAR(In_COD))</f>
        <v>1.3448888242463</v>
      </c>
      <c r="CB109" s="52" t="n">
        <f aca="false">(1+In_Opex_Esc)^(CB$7-YEAR(In_COD))</f>
        <v>1.37851104485245</v>
      </c>
      <c r="CC109" s="52" t="n">
        <f aca="false">(1+In_Opex_Esc)^(CC$7-YEAR(In_COD))</f>
        <v>1.37851104485245</v>
      </c>
      <c r="CD109" s="52" t="n">
        <f aca="false">(1+In_Opex_Esc)^(CD$7-YEAR(In_COD))</f>
        <v>1.37851104485245</v>
      </c>
      <c r="CE109" s="52" t="n">
        <f aca="false">(1+In_Opex_Esc)^(CE$7-YEAR(In_COD))</f>
        <v>1.37851104485245</v>
      </c>
      <c r="CF109" s="52" t="n">
        <f aca="false">(1+In_Opex_Esc)^(CF$7-YEAR(In_COD))</f>
        <v>1.41297382097377</v>
      </c>
      <c r="CG109" s="52" t="n">
        <f aca="false">(1+In_Opex_Esc)^(CG$7-YEAR(In_COD))</f>
        <v>1.41297382097377</v>
      </c>
      <c r="CH109" s="52" t="n">
        <f aca="false">(1+In_Opex_Esc)^(CH$7-YEAR(In_COD))</f>
        <v>1.41297382097377</v>
      </c>
      <c r="CI109" s="52" t="n">
        <f aca="false">(1+In_Opex_Esc)^(CI$7-YEAR(In_COD))</f>
        <v>1.41297382097377</v>
      </c>
      <c r="CJ109" s="52" t="n">
        <f aca="false">(1+In_Opex_Esc)^(CJ$7-YEAR(In_COD))</f>
        <v>1.44829816649811</v>
      </c>
      <c r="CK109" s="52" t="n">
        <f aca="false">(1+In_Opex_Esc)^(CK$7-YEAR(In_COD))</f>
        <v>1.44829816649811</v>
      </c>
      <c r="CL109" s="52" t="n">
        <f aca="false">(1+In_Opex_Esc)^(CL$7-YEAR(In_COD))</f>
        <v>1.44829816649811</v>
      </c>
      <c r="CM109" s="52" t="n">
        <f aca="false">(1+In_Opex_Esc)^(CM$7-YEAR(In_COD))</f>
        <v>1.44829816649811</v>
      </c>
      <c r="CN109" s="52" t="n">
        <f aca="false">(1+In_Opex_Esc)^(CN$7-YEAR(In_COD))</f>
        <v>1.48450562066056</v>
      </c>
      <c r="CO109" s="52" t="n">
        <f aca="false">(1+In_Opex_Esc)^(CO$7-YEAR(In_COD))</f>
        <v>1.48450562066056</v>
      </c>
      <c r="CP109" s="52" t="n">
        <f aca="false">(1+In_Opex_Esc)^(CP$7-YEAR(In_COD))</f>
        <v>1.48450562066056</v>
      </c>
      <c r="CQ109" s="52" t="n">
        <f aca="false">(1+In_Opex_Esc)^(CQ$7-YEAR(In_COD))</f>
        <v>1.48450562066056</v>
      </c>
      <c r="CR109" s="52" t="n">
        <f aca="false">(1+In_Opex_Esc)^(CR$7-YEAR(In_COD))</f>
        <v>1.52161826117708</v>
      </c>
      <c r="CS109" s="52" t="n">
        <f aca="false">(1+In_Opex_Esc)^(CS$7-YEAR(In_COD))</f>
        <v>1.52161826117708</v>
      </c>
      <c r="CT109" s="52" t="n">
        <f aca="false">(1+In_Opex_Esc)^(CT$7-YEAR(In_COD))</f>
        <v>1.52161826117708</v>
      </c>
      <c r="CU109" s="52" t="n">
        <f aca="false">(1+In_Opex_Esc)^(CU$7-YEAR(In_COD))</f>
        <v>1.52161826117708</v>
      </c>
      <c r="CV109" s="52" t="n">
        <f aca="false">(1+In_Opex_Esc)^(CV$7-YEAR(In_COD))</f>
        <v>1.5596587177065</v>
      </c>
      <c r="CW109" s="52" t="n">
        <f aca="false">(1+In_Opex_Esc)^(CW$7-YEAR(In_COD))</f>
        <v>1.5596587177065</v>
      </c>
      <c r="CX109" s="52" t="n">
        <f aca="false">(1+In_Opex_Esc)^(CX$7-YEAR(In_COD))</f>
        <v>1.5596587177065</v>
      </c>
      <c r="CY109" s="52" t="n">
        <f aca="false">(1+In_Opex_Esc)^(CY$7-YEAR(In_COD))</f>
        <v>1.5596587177065</v>
      </c>
      <c r="CZ109" s="52" t="n">
        <f aca="false">(1+In_Opex_Esc)^(CZ$7-YEAR(In_COD))</f>
        <v>1.59865018564917</v>
      </c>
      <c r="DA109" s="52" t="n">
        <f aca="false">(1+In_Opex_Esc)^(DA$7-YEAR(In_COD))</f>
        <v>1.59865018564917</v>
      </c>
      <c r="DB109" s="52" t="n">
        <f aca="false">(1+In_Opex_Esc)^(DB$7-YEAR(In_COD))</f>
        <v>1.59865018564917</v>
      </c>
      <c r="DC109" s="52" t="n">
        <f aca="false">(1+In_Opex_Esc)^(DC$7-YEAR(In_COD))</f>
        <v>1.59865018564917</v>
      </c>
      <c r="DD109" s="52" t="n">
        <f aca="false">(1+In_Opex_Esc)^(DD$7-YEAR(In_COD))</f>
        <v>1.63861644029039</v>
      </c>
      <c r="DE109" s="52" t="n">
        <f aca="false">(1+In_Opex_Esc)^(DE$7-YEAR(In_COD))</f>
        <v>1.63861644029039</v>
      </c>
      <c r="DF109" s="52" t="n">
        <f aca="false">(1+In_Opex_Esc)^(DF$7-YEAR(In_COD))</f>
        <v>1.63861644029039</v>
      </c>
      <c r="DG109" s="52" t="n">
        <f aca="false">(1+In_Opex_Esc)^(DG$7-YEAR(In_COD))</f>
        <v>1.63861644029039</v>
      </c>
      <c r="DH109" s="52" t="n">
        <f aca="false">(1+In_Opex_Esc)^(DH$7-YEAR(In_COD))</f>
        <v>1.67958185129765</v>
      </c>
      <c r="DI109" s="52" t="n">
        <f aca="false">(1+In_Opex_Esc)^(DI$7-YEAR(In_COD))</f>
        <v>1.67958185129765</v>
      </c>
      <c r="DJ109" s="52" t="n">
        <f aca="false">(1+In_Opex_Esc)^(DJ$7-YEAR(In_COD))</f>
        <v>1.67958185129765</v>
      </c>
      <c r="DK109" s="52" t="n">
        <f aca="false">(1+In_Opex_Esc)^(DK$7-YEAR(In_COD))</f>
        <v>1.67958185129765</v>
      </c>
      <c r="DL109" s="52" t="n">
        <f aca="false">(1+In_Opex_Esc)^(DL$7-YEAR(In_COD))</f>
        <v>1.7215713975801</v>
      </c>
      <c r="DM109" s="52" t="n">
        <f aca="false">(1+In_Opex_Esc)^(DM$7-YEAR(In_COD))</f>
        <v>1.7215713975801</v>
      </c>
      <c r="DN109" s="52" t="n">
        <f aca="false">(1+In_Opex_Esc)^(DN$7-YEAR(In_COD))</f>
        <v>1.7215713975801</v>
      </c>
      <c r="DO109" s="52" t="n">
        <f aca="false">(1+In_Opex_Esc)^(DO$7-YEAR(In_COD))</f>
        <v>1.7215713975801</v>
      </c>
      <c r="DP109" s="52" t="n">
        <f aca="false">(1+In_Opex_Esc)^(DP$7-YEAR(In_COD))</f>
        <v>1.7646106825196</v>
      </c>
      <c r="DQ109" s="52" t="n">
        <f aca="false">(1+In_Opex_Esc)^(DQ$7-YEAR(In_COD))</f>
        <v>1.7646106825196</v>
      </c>
      <c r="DR109" s="52" t="n">
        <f aca="false">(1+In_Opex_Esc)^(DR$7-YEAR(In_COD))</f>
        <v>1.7646106825196</v>
      </c>
      <c r="DS109" s="52" t="n">
        <f aca="false">(1+In_Opex_Esc)^(DS$7-YEAR(In_COD))</f>
        <v>1.7646106825196</v>
      </c>
      <c r="DT109" s="52" t="n">
        <f aca="false">(1+In_Opex_Esc)^(DT$7-YEAR(In_COD))</f>
        <v>1.80872594958259</v>
      </c>
      <c r="DU109" s="52" t="n">
        <f aca="false">(1+In_Opex_Esc)^(DU$7-YEAR(In_COD))</f>
        <v>1.80872594958259</v>
      </c>
      <c r="DV109" s="52" t="n">
        <f aca="false">(1+In_Opex_Esc)^(DV$7-YEAR(In_COD))</f>
        <v>1.80872594958259</v>
      </c>
      <c r="DW109" s="52" t="n">
        <f aca="false">(1+In_Opex_Esc)^(DW$7-YEAR(In_COD))</f>
        <v>1.80872594958259</v>
      </c>
      <c r="DX109" s="52" t="n">
        <f aca="false">(1+In_Opex_Esc)^(DX$7-YEAR(In_COD))</f>
        <v>1.85394409832215</v>
      </c>
      <c r="DY109" s="52" t="n">
        <f aca="false">(1+In_Opex_Esc)^(DY$7-YEAR(In_COD))</f>
        <v>1.85394409832215</v>
      </c>
      <c r="DZ109" s="52" t="n">
        <f aca="false">(1+In_Opex_Esc)^(DZ$7-YEAR(In_COD))</f>
        <v>1.85394409832215</v>
      </c>
      <c r="EA109" s="52" t="n">
        <f aca="false">(1+In_Opex_Esc)^(EA$7-YEAR(In_COD))</f>
        <v>1.85394409832215</v>
      </c>
      <c r="EB109" s="52" t="n">
        <f aca="false">(1+In_Opex_Esc)^(EB$7-YEAR(In_COD))</f>
        <v>1.90029270078021</v>
      </c>
      <c r="EC109" s="52" t="n">
        <f aca="false">(1+In_Opex_Esc)^(EC$7-YEAR(In_COD))</f>
        <v>1.90029270078021</v>
      </c>
      <c r="ED109" s="52" t="n">
        <f aca="false">(1+In_Opex_Esc)^(ED$7-YEAR(In_COD))</f>
        <v>1.90029270078021</v>
      </c>
      <c r="EE109" s="52" t="n">
        <f aca="false">(1+In_Opex_Esc)^(EE$7-YEAR(In_COD))</f>
        <v>1.90029270078021</v>
      </c>
      <c r="EF109" s="52" t="n">
        <f aca="false">(1+In_Opex_Esc)^(EF$7-YEAR(In_COD))</f>
        <v>1.94780001829971</v>
      </c>
      <c r="EG109" s="52" t="n">
        <f aca="false">(1+In_Opex_Esc)^(EG$7-YEAR(In_COD))</f>
        <v>1.94780001829971</v>
      </c>
      <c r="EH109" s="52" t="n">
        <f aca="false">(1+In_Opex_Esc)^(EH$7-YEAR(In_COD))</f>
        <v>1.94780001829971</v>
      </c>
      <c r="EI109" s="52" t="n">
        <f aca="false">(1+In_Opex_Esc)^(EI$7-YEAR(In_COD))</f>
        <v>1.94780001829971</v>
      </c>
      <c r="EJ109" s="52" t="n">
        <f aca="false">(1+In_Opex_Esc)^(EJ$7-YEAR(In_COD))</f>
        <v>1.9964950187572</v>
      </c>
      <c r="EK109" s="52" t="n">
        <f aca="false">(1+In_Opex_Esc)^(EK$7-YEAR(In_COD))</f>
        <v>1.9964950187572</v>
      </c>
      <c r="EL109" s="52" t="n">
        <f aca="false">(1+In_Opex_Esc)^(EL$7-YEAR(In_COD))</f>
        <v>1.9964950187572</v>
      </c>
      <c r="EM109" s="52" t="n">
        <f aca="false">(1+In_Opex_Esc)^(EM$7-YEAR(In_COD))</f>
        <v>1.9964950187572</v>
      </c>
      <c r="EN109" s="52" t="n">
        <f aca="false">(1+In_Opex_Esc)^(EN$7-YEAR(In_COD))</f>
        <v>2.04640739422613</v>
      </c>
      <c r="EO109" s="52" t="n">
        <f aca="false">(1+In_Opex_Esc)^(EO$7-YEAR(In_COD))</f>
        <v>2.04640739422613</v>
      </c>
      <c r="EP109" s="52" t="n">
        <f aca="false">(1+In_Opex_Esc)^(EP$7-YEAR(In_COD))</f>
        <v>2.04640739422613</v>
      </c>
      <c r="EQ109" s="52" t="n">
        <f aca="false">(1+In_Opex_Esc)^(EQ$7-YEAR(In_COD))</f>
        <v>2.04640739422613</v>
      </c>
      <c r="ER109" s="52" t="n">
        <f aca="false">(1+In_Opex_Esc)^(ER$7-YEAR(In_COD))</f>
        <v>2.09756757908179</v>
      </c>
      <c r="ES109" s="52" t="n">
        <f aca="false">(1+In_Opex_Esc)^(ES$7-YEAR(In_COD))</f>
        <v>2.09756757908179</v>
      </c>
      <c r="ET109" s="52" t="n">
        <f aca="false">(1+In_Opex_Esc)^(ET$7-YEAR(In_COD))</f>
        <v>2.09756757908179</v>
      </c>
    </row>
    <row r="110" customFormat="false" ht="15" hidden="false" customHeight="false" outlineLevel="0" collapsed="false">
      <c r="C110" s="0" t="s">
        <v>555</v>
      </c>
      <c r="D110" s="11" t="s">
        <v>32</v>
      </c>
      <c r="J110" s="28" t="n">
        <f aca="false">In_PPA_Price*(1+In_PPA_Esc)^(J$7-YEAR(In_COD))</f>
        <v>85.6319118846074</v>
      </c>
      <c r="K110" s="28" t="n">
        <f aca="false">In_PPA_Price*(1+In_PPA_Esc)^(K$7-YEAR(In_COD))</f>
        <v>85.6319118846074</v>
      </c>
      <c r="L110" s="28" t="n">
        <f aca="false">In_PPA_Price*(1+In_PPA_Esc)^(L$7-YEAR(In_COD))</f>
        <v>86.4882310034535</v>
      </c>
      <c r="M110" s="28" t="n">
        <f aca="false">In_PPA_Price*(1+In_PPA_Esc)^(M$7-YEAR(In_COD))</f>
        <v>86.4882310034535</v>
      </c>
      <c r="N110" s="28" t="n">
        <f aca="false">In_PPA_Price*(1+In_PPA_Esc)^(N$7-YEAR(In_COD))</f>
        <v>86.4882310034535</v>
      </c>
      <c r="O110" s="28" t="n">
        <f aca="false">In_PPA_Price*(1+In_PPA_Esc)^(O$7-YEAR(In_COD))</f>
        <v>86.4882310034535</v>
      </c>
      <c r="P110" s="28" t="n">
        <f aca="false">In_PPA_Price*(1+In_PPA_Esc)^(P$7-YEAR(In_COD))</f>
        <v>87.353113313488</v>
      </c>
      <c r="Q110" s="28" t="n">
        <f aca="false">In_PPA_Price*(1+In_PPA_Esc)^(Q$7-YEAR(In_COD))</f>
        <v>87.353113313488</v>
      </c>
      <c r="R110" s="28" t="n">
        <f aca="false">In_PPA_Price*(1+In_PPA_Esc)^(R$7-YEAR(In_COD))</f>
        <v>87.353113313488</v>
      </c>
      <c r="S110" s="28" t="n">
        <f aca="false">In_PPA_Price*(1+In_PPA_Esc)^(S$7-YEAR(In_COD))</f>
        <v>87.353113313488</v>
      </c>
      <c r="T110" s="28" t="n">
        <f aca="false">In_PPA_Price*(1+In_PPA_Esc)^(T$7-YEAR(In_COD))</f>
        <v>88.2266444466229</v>
      </c>
      <c r="U110" s="28" t="n">
        <f aca="false">In_PPA_Price*(1+In_PPA_Esc)^(U$7-YEAR(In_COD))</f>
        <v>88.2266444466229</v>
      </c>
      <c r="V110" s="28" t="n">
        <f aca="false">In_PPA_Price*(1+In_PPA_Esc)^(V$7-YEAR(In_COD))</f>
        <v>88.2266444466229</v>
      </c>
      <c r="W110" s="28" t="n">
        <f aca="false">In_PPA_Price*(1+In_PPA_Esc)^(W$7-YEAR(In_COD))</f>
        <v>88.2266444466229</v>
      </c>
      <c r="X110" s="28" t="n">
        <f aca="false">In_PPA_Price*(1+In_PPA_Esc)^(X$7-YEAR(In_COD))</f>
        <v>89.1089108910891</v>
      </c>
      <c r="Y110" s="28" t="n">
        <f aca="false">In_PPA_Price*(1+In_PPA_Esc)^(Y$7-YEAR(In_COD))</f>
        <v>89.1089108910891</v>
      </c>
      <c r="Z110" s="28" t="n">
        <f aca="false">In_PPA_Price*(1+In_PPA_Esc)^(Z$7-YEAR(In_COD))</f>
        <v>89.1089108910891</v>
      </c>
      <c r="AA110" s="28" t="n">
        <f aca="false">In_PPA_Price*(1+In_PPA_Esc)^(AA$7-YEAR(In_COD))</f>
        <v>89.1089108910891</v>
      </c>
      <c r="AB110" s="28" t="n">
        <f aca="false">In_PPA_Price*(1+In_PPA_Esc)^(AB$7-YEAR(In_COD))</f>
        <v>90</v>
      </c>
      <c r="AC110" s="28" t="n">
        <f aca="false">In_PPA_Price*(1+In_PPA_Esc)^(AC$7-YEAR(In_COD))</f>
        <v>90</v>
      </c>
      <c r="AD110" s="28" t="n">
        <f aca="false">In_PPA_Price*(1+In_PPA_Esc)^(AD$7-YEAR(In_COD))</f>
        <v>90</v>
      </c>
      <c r="AE110" s="28" t="n">
        <f aca="false">In_PPA_Price*(1+In_PPA_Esc)^(AE$7-YEAR(In_COD))</f>
        <v>90</v>
      </c>
      <c r="AF110" s="28" t="n">
        <f aca="false">In_PPA_Price*(1+In_PPA_Esc)^(AF$7-YEAR(In_COD))</f>
        <v>90.9</v>
      </c>
      <c r="AG110" s="28" t="n">
        <f aca="false">In_PPA_Price*(1+In_PPA_Esc)^(AG$7-YEAR(In_COD))</f>
        <v>90.9</v>
      </c>
      <c r="AH110" s="28" t="n">
        <f aca="false">In_PPA_Price*(1+In_PPA_Esc)^(AH$7-YEAR(In_COD))</f>
        <v>90.9</v>
      </c>
      <c r="AI110" s="28" t="n">
        <f aca="false">In_PPA_Price*(1+In_PPA_Esc)^(AI$7-YEAR(In_COD))</f>
        <v>90.9</v>
      </c>
      <c r="AJ110" s="28" t="n">
        <f aca="false">In_PPA_Price*(1+In_PPA_Esc)^(AJ$7-YEAR(In_COD))</f>
        <v>91.809</v>
      </c>
      <c r="AK110" s="28" t="n">
        <f aca="false">In_PPA_Price*(1+In_PPA_Esc)^(AK$7-YEAR(In_COD))</f>
        <v>91.809</v>
      </c>
      <c r="AL110" s="28" t="n">
        <f aca="false">In_PPA_Price*(1+In_PPA_Esc)^(AL$7-YEAR(In_COD))</f>
        <v>91.809</v>
      </c>
      <c r="AM110" s="28" t="n">
        <f aca="false">In_PPA_Price*(1+In_PPA_Esc)^(AM$7-YEAR(In_COD))</f>
        <v>91.809</v>
      </c>
      <c r="AN110" s="28" t="n">
        <f aca="false">In_PPA_Price*(1+In_PPA_Esc)^(AN$7-YEAR(In_COD))</f>
        <v>92.72709</v>
      </c>
      <c r="AO110" s="28" t="n">
        <f aca="false">In_PPA_Price*(1+In_PPA_Esc)^(AO$7-YEAR(In_COD))</f>
        <v>92.72709</v>
      </c>
      <c r="AP110" s="28" t="n">
        <f aca="false">In_PPA_Price*(1+In_PPA_Esc)^(AP$7-YEAR(In_COD))</f>
        <v>92.72709</v>
      </c>
      <c r="AQ110" s="28" t="n">
        <f aca="false">In_PPA_Price*(1+In_PPA_Esc)^(AQ$7-YEAR(In_COD))</f>
        <v>92.72709</v>
      </c>
      <c r="AR110" s="28" t="n">
        <f aca="false">In_PPA_Price*(1+In_PPA_Esc)^(AR$7-YEAR(In_COD))</f>
        <v>93.6543609</v>
      </c>
      <c r="AS110" s="28" t="n">
        <f aca="false">In_PPA_Price*(1+In_PPA_Esc)^(AS$7-YEAR(In_COD))</f>
        <v>93.6543609</v>
      </c>
      <c r="AT110" s="28" t="n">
        <f aca="false">In_PPA_Price*(1+In_PPA_Esc)^(AT$7-YEAR(In_COD))</f>
        <v>93.6543609</v>
      </c>
      <c r="AU110" s="28" t="n">
        <f aca="false">In_PPA_Price*(1+In_PPA_Esc)^(AU$7-YEAR(In_COD))</f>
        <v>93.6543609</v>
      </c>
      <c r="AV110" s="28" t="n">
        <f aca="false">In_PPA_Price*(1+In_PPA_Esc)^(AV$7-YEAR(In_COD))</f>
        <v>94.590904509</v>
      </c>
      <c r="AW110" s="28" t="n">
        <f aca="false">In_PPA_Price*(1+In_PPA_Esc)^(AW$7-YEAR(In_COD))</f>
        <v>94.590904509</v>
      </c>
      <c r="AX110" s="28" t="n">
        <f aca="false">In_PPA_Price*(1+In_PPA_Esc)^(AX$7-YEAR(In_COD))</f>
        <v>94.590904509</v>
      </c>
      <c r="AY110" s="28" t="n">
        <f aca="false">In_PPA_Price*(1+In_PPA_Esc)^(AY$7-YEAR(In_COD))</f>
        <v>94.590904509</v>
      </c>
      <c r="AZ110" s="28" t="n">
        <f aca="false">In_PPA_Price*(1+In_PPA_Esc)^(AZ$7-YEAR(In_COD))</f>
        <v>95.53681355409</v>
      </c>
      <c r="BA110" s="28" t="n">
        <f aca="false">In_PPA_Price*(1+In_PPA_Esc)^(BA$7-YEAR(In_COD))</f>
        <v>95.53681355409</v>
      </c>
      <c r="BB110" s="28" t="n">
        <f aca="false">In_PPA_Price*(1+In_PPA_Esc)^(BB$7-YEAR(In_COD))</f>
        <v>95.53681355409</v>
      </c>
      <c r="BC110" s="28" t="n">
        <f aca="false">In_PPA_Price*(1+In_PPA_Esc)^(BC$7-YEAR(In_COD))</f>
        <v>95.53681355409</v>
      </c>
      <c r="BD110" s="28" t="n">
        <f aca="false">In_PPA_Price*(1+In_PPA_Esc)^(BD$7-YEAR(In_COD))</f>
        <v>96.4921816896309</v>
      </c>
      <c r="BE110" s="28" t="n">
        <f aca="false">In_PPA_Price*(1+In_PPA_Esc)^(BE$7-YEAR(In_COD))</f>
        <v>96.4921816896309</v>
      </c>
      <c r="BF110" s="28" t="n">
        <f aca="false">In_PPA_Price*(1+In_PPA_Esc)^(BF$7-YEAR(In_COD))</f>
        <v>96.4921816896309</v>
      </c>
      <c r="BG110" s="28" t="n">
        <f aca="false">In_PPA_Price*(1+In_PPA_Esc)^(BG$7-YEAR(In_COD))</f>
        <v>96.4921816896309</v>
      </c>
      <c r="BH110" s="28" t="n">
        <f aca="false">In_PPA_Price*(1+In_PPA_Esc)^(BH$7-YEAR(In_COD))</f>
        <v>97.4571035065272</v>
      </c>
      <c r="BI110" s="28" t="n">
        <f aca="false">In_PPA_Price*(1+In_PPA_Esc)^(BI$7-YEAR(In_COD))</f>
        <v>97.4571035065272</v>
      </c>
      <c r="BJ110" s="28" t="n">
        <f aca="false">In_PPA_Price*(1+In_PPA_Esc)^(BJ$7-YEAR(In_COD))</f>
        <v>97.4571035065272</v>
      </c>
      <c r="BK110" s="28" t="n">
        <f aca="false">In_PPA_Price*(1+In_PPA_Esc)^(BK$7-YEAR(In_COD))</f>
        <v>97.4571035065272</v>
      </c>
      <c r="BL110" s="28" t="n">
        <f aca="false">In_PPA_Price*(1+In_PPA_Esc)^(BL$7-YEAR(In_COD))</f>
        <v>98.4316745415925</v>
      </c>
      <c r="BM110" s="28" t="n">
        <f aca="false">In_PPA_Price*(1+In_PPA_Esc)^(BM$7-YEAR(In_COD))</f>
        <v>98.4316745415925</v>
      </c>
      <c r="BN110" s="28" t="n">
        <f aca="false">In_PPA_Price*(1+In_PPA_Esc)^(BN$7-YEAR(In_COD))</f>
        <v>98.4316745415925</v>
      </c>
      <c r="BO110" s="28" t="n">
        <f aca="false">In_PPA_Price*(1+In_PPA_Esc)^(BO$7-YEAR(In_COD))</f>
        <v>98.4316745415925</v>
      </c>
      <c r="BP110" s="28" t="n">
        <f aca="false">In_PPA_Price*(1+In_PPA_Esc)^(BP$7-YEAR(In_COD))</f>
        <v>99.4159912870084</v>
      </c>
      <c r="BQ110" s="28" t="n">
        <f aca="false">In_PPA_Price*(1+In_PPA_Esc)^(BQ$7-YEAR(In_COD))</f>
        <v>99.4159912870084</v>
      </c>
      <c r="BR110" s="28" t="n">
        <f aca="false">In_PPA_Price*(1+In_PPA_Esc)^(BR$7-YEAR(In_COD))</f>
        <v>99.4159912870084</v>
      </c>
      <c r="BS110" s="28" t="n">
        <f aca="false">In_PPA_Price*(1+In_PPA_Esc)^(BS$7-YEAR(In_COD))</f>
        <v>99.4159912870084</v>
      </c>
      <c r="BT110" s="28" t="n">
        <f aca="false">In_PPA_Price*(1+In_PPA_Esc)^(BT$7-YEAR(In_COD))</f>
        <v>100.410151199878</v>
      </c>
      <c r="BU110" s="28" t="n">
        <f aca="false">In_PPA_Price*(1+In_PPA_Esc)^(BU$7-YEAR(In_COD))</f>
        <v>100.410151199878</v>
      </c>
      <c r="BV110" s="28" t="n">
        <f aca="false">In_PPA_Price*(1+In_PPA_Esc)^(BV$7-YEAR(In_COD))</f>
        <v>100.410151199878</v>
      </c>
      <c r="BW110" s="28" t="n">
        <f aca="false">In_PPA_Price*(1+In_PPA_Esc)^(BW$7-YEAR(In_COD))</f>
        <v>100.410151199878</v>
      </c>
      <c r="BX110" s="28" t="n">
        <f aca="false">In_PPA_Price*(1+In_PPA_Esc)^(BX$7-YEAR(In_COD))</f>
        <v>101.414252711877</v>
      </c>
      <c r="BY110" s="28" t="n">
        <f aca="false">In_PPA_Price*(1+In_PPA_Esc)^(BY$7-YEAR(In_COD))</f>
        <v>101.414252711877</v>
      </c>
      <c r="BZ110" s="28" t="n">
        <f aca="false">In_PPA_Price*(1+In_PPA_Esc)^(BZ$7-YEAR(In_COD))</f>
        <v>101.414252711877</v>
      </c>
      <c r="CA110" s="28" t="n">
        <f aca="false">In_PPA_Price*(1+In_PPA_Esc)^(CA$7-YEAR(In_COD))</f>
        <v>101.414252711877</v>
      </c>
      <c r="CB110" s="28" t="n">
        <f aca="false">In_PPA_Price*(1+In_PPA_Esc)^(CB$7-YEAR(In_COD))</f>
        <v>102.428395238996</v>
      </c>
      <c r="CC110" s="28" t="n">
        <f aca="false">In_PPA_Price*(1+In_PPA_Esc)^(CC$7-YEAR(In_COD))</f>
        <v>102.428395238996</v>
      </c>
      <c r="CD110" s="28" t="n">
        <f aca="false">In_PPA_Price*(1+In_PPA_Esc)^(CD$7-YEAR(In_COD))</f>
        <v>102.428395238996</v>
      </c>
      <c r="CE110" s="28" t="n">
        <f aca="false">In_PPA_Price*(1+In_PPA_Esc)^(CE$7-YEAR(In_COD))</f>
        <v>102.428395238996</v>
      </c>
      <c r="CF110" s="28" t="n">
        <f aca="false">In_PPA_Price*(1+In_PPA_Esc)^(CF$7-YEAR(In_COD))</f>
        <v>103.452679191386</v>
      </c>
      <c r="CG110" s="28" t="n">
        <f aca="false">In_PPA_Price*(1+In_PPA_Esc)^(CG$7-YEAR(In_COD))</f>
        <v>103.452679191386</v>
      </c>
      <c r="CH110" s="28" t="n">
        <f aca="false">In_PPA_Price*(1+In_PPA_Esc)^(CH$7-YEAR(In_COD))</f>
        <v>103.452679191386</v>
      </c>
      <c r="CI110" s="28" t="n">
        <f aca="false">In_PPA_Price*(1+In_PPA_Esc)^(CI$7-YEAR(In_COD))</f>
        <v>103.452679191386</v>
      </c>
      <c r="CJ110" s="28" t="n">
        <f aca="false">In_PPA_Price*(1+In_PPA_Esc)^(CJ$7-YEAR(In_COD))</f>
        <v>104.4872059833</v>
      </c>
      <c r="CK110" s="28" t="n">
        <f aca="false">In_PPA_Price*(1+In_PPA_Esc)^(CK$7-YEAR(In_COD))</f>
        <v>104.4872059833</v>
      </c>
      <c r="CL110" s="28" t="n">
        <f aca="false">In_PPA_Price*(1+In_PPA_Esc)^(CL$7-YEAR(In_COD))</f>
        <v>104.4872059833</v>
      </c>
      <c r="CM110" s="28" t="n">
        <f aca="false">In_PPA_Price*(1+In_PPA_Esc)^(CM$7-YEAR(In_COD))</f>
        <v>104.4872059833</v>
      </c>
      <c r="CN110" s="28" t="n">
        <f aca="false">In_PPA_Price*(1+In_PPA_Esc)^(CN$7-YEAR(In_COD))</f>
        <v>105.532078043133</v>
      </c>
      <c r="CO110" s="28" t="n">
        <f aca="false">In_PPA_Price*(1+In_PPA_Esc)^(CO$7-YEAR(In_COD))</f>
        <v>105.532078043133</v>
      </c>
      <c r="CP110" s="28" t="n">
        <f aca="false">In_PPA_Price*(1+In_PPA_Esc)^(CP$7-YEAR(In_COD))</f>
        <v>105.532078043133</v>
      </c>
      <c r="CQ110" s="28" t="n">
        <f aca="false">In_PPA_Price*(1+In_PPA_Esc)^(CQ$7-YEAR(In_COD))</f>
        <v>105.532078043133</v>
      </c>
      <c r="CR110" s="28" t="n">
        <f aca="false">In_PPA_Price*(1+In_PPA_Esc)^(CR$7-YEAR(In_COD))</f>
        <v>106.587398823564</v>
      </c>
      <c r="CS110" s="28" t="n">
        <f aca="false">In_PPA_Price*(1+In_PPA_Esc)^(CS$7-YEAR(In_COD))</f>
        <v>106.587398823564</v>
      </c>
      <c r="CT110" s="28" t="n">
        <f aca="false">In_PPA_Price*(1+In_PPA_Esc)^(CT$7-YEAR(In_COD))</f>
        <v>106.587398823564</v>
      </c>
      <c r="CU110" s="28" t="n">
        <f aca="false">In_PPA_Price*(1+In_PPA_Esc)^(CU$7-YEAR(In_COD))</f>
        <v>106.587398823564</v>
      </c>
      <c r="CV110" s="28" t="n">
        <f aca="false">In_PPA_Price*(1+In_PPA_Esc)^(CV$7-YEAR(In_COD))</f>
        <v>107.6532728118</v>
      </c>
      <c r="CW110" s="28" t="n">
        <f aca="false">In_PPA_Price*(1+In_PPA_Esc)^(CW$7-YEAR(In_COD))</f>
        <v>107.6532728118</v>
      </c>
      <c r="CX110" s="28" t="n">
        <f aca="false">In_PPA_Price*(1+In_PPA_Esc)^(CX$7-YEAR(In_COD))</f>
        <v>107.6532728118</v>
      </c>
      <c r="CY110" s="28" t="n">
        <f aca="false">In_PPA_Price*(1+In_PPA_Esc)^(CY$7-YEAR(In_COD))</f>
        <v>107.6532728118</v>
      </c>
      <c r="CZ110" s="28" t="n">
        <f aca="false">In_PPA_Price*(1+In_PPA_Esc)^(CZ$7-YEAR(In_COD))</f>
        <v>108.729805539918</v>
      </c>
      <c r="DA110" s="28" t="n">
        <f aca="false">In_PPA_Price*(1+In_PPA_Esc)^(DA$7-YEAR(In_COD))</f>
        <v>108.729805539918</v>
      </c>
      <c r="DB110" s="28" t="n">
        <f aca="false">In_PPA_Price*(1+In_PPA_Esc)^(DB$7-YEAR(In_COD))</f>
        <v>108.729805539918</v>
      </c>
      <c r="DC110" s="28" t="n">
        <f aca="false">In_PPA_Price*(1+In_PPA_Esc)^(DC$7-YEAR(In_COD))</f>
        <v>108.729805539918</v>
      </c>
      <c r="DD110" s="28" t="n">
        <f aca="false">In_PPA_Price*(1+In_PPA_Esc)^(DD$7-YEAR(In_COD))</f>
        <v>109.817103595317</v>
      </c>
      <c r="DE110" s="28" t="n">
        <f aca="false">In_PPA_Price*(1+In_PPA_Esc)^(DE$7-YEAR(In_COD))</f>
        <v>109.817103595317</v>
      </c>
      <c r="DF110" s="28" t="n">
        <f aca="false">In_PPA_Price*(1+In_PPA_Esc)^(DF$7-YEAR(In_COD))</f>
        <v>109.817103595317</v>
      </c>
      <c r="DG110" s="28" t="n">
        <f aca="false">In_PPA_Price*(1+In_PPA_Esc)^(DG$7-YEAR(In_COD))</f>
        <v>109.817103595317</v>
      </c>
      <c r="DH110" s="28" t="n">
        <f aca="false">In_PPA_Price*(1+In_PPA_Esc)^(DH$7-YEAR(In_COD))</f>
        <v>110.91527463127</v>
      </c>
      <c r="DI110" s="28" t="n">
        <f aca="false">In_PPA_Price*(1+In_PPA_Esc)^(DI$7-YEAR(In_COD))</f>
        <v>110.91527463127</v>
      </c>
      <c r="DJ110" s="28" t="n">
        <f aca="false">In_PPA_Price*(1+In_PPA_Esc)^(DJ$7-YEAR(In_COD))</f>
        <v>110.91527463127</v>
      </c>
      <c r="DK110" s="28" t="n">
        <f aca="false">In_PPA_Price*(1+In_PPA_Esc)^(DK$7-YEAR(In_COD))</f>
        <v>110.91527463127</v>
      </c>
      <c r="DL110" s="28" t="n">
        <f aca="false">In_PPA_Price*(1+In_PPA_Esc)^(DL$7-YEAR(In_COD))</f>
        <v>112.024427377583</v>
      </c>
      <c r="DM110" s="28" t="n">
        <f aca="false">In_PPA_Price*(1+In_PPA_Esc)^(DM$7-YEAR(In_COD))</f>
        <v>112.024427377583</v>
      </c>
      <c r="DN110" s="28" t="n">
        <f aca="false">In_PPA_Price*(1+In_PPA_Esc)^(DN$7-YEAR(In_COD))</f>
        <v>112.024427377583</v>
      </c>
      <c r="DO110" s="28" t="n">
        <f aca="false">In_PPA_Price*(1+In_PPA_Esc)^(DO$7-YEAR(In_COD))</f>
        <v>112.024427377583</v>
      </c>
      <c r="DP110" s="28" t="n">
        <f aca="false">In_PPA_Price*(1+In_PPA_Esc)^(DP$7-YEAR(In_COD))</f>
        <v>113.144671651359</v>
      </c>
      <c r="DQ110" s="28" t="n">
        <f aca="false">In_PPA_Price*(1+In_PPA_Esc)^(DQ$7-YEAR(In_COD))</f>
        <v>113.144671651359</v>
      </c>
      <c r="DR110" s="28" t="n">
        <f aca="false">In_PPA_Price*(1+In_PPA_Esc)^(DR$7-YEAR(In_COD))</f>
        <v>113.144671651359</v>
      </c>
      <c r="DS110" s="28" t="n">
        <f aca="false">In_PPA_Price*(1+In_PPA_Esc)^(DS$7-YEAR(In_COD))</f>
        <v>113.144671651359</v>
      </c>
      <c r="DT110" s="28" t="n">
        <f aca="false">In_PPA_Price*(1+In_PPA_Esc)^(DT$7-YEAR(In_COD))</f>
        <v>114.276118367872</v>
      </c>
      <c r="DU110" s="28" t="n">
        <f aca="false">In_PPA_Price*(1+In_PPA_Esc)^(DU$7-YEAR(In_COD))</f>
        <v>114.276118367872</v>
      </c>
      <c r="DV110" s="28" t="n">
        <f aca="false">In_PPA_Price*(1+In_PPA_Esc)^(DV$7-YEAR(In_COD))</f>
        <v>114.276118367872</v>
      </c>
      <c r="DW110" s="28" t="n">
        <f aca="false">In_PPA_Price*(1+In_PPA_Esc)^(DW$7-YEAR(In_COD))</f>
        <v>114.276118367872</v>
      </c>
      <c r="DX110" s="28" t="n">
        <f aca="false">In_PPA_Price*(1+In_PPA_Esc)^(DX$7-YEAR(In_COD))</f>
        <v>115.418879551551</v>
      </c>
      <c r="DY110" s="28" t="n">
        <f aca="false">In_PPA_Price*(1+In_PPA_Esc)^(DY$7-YEAR(In_COD))</f>
        <v>115.418879551551</v>
      </c>
      <c r="DZ110" s="28" t="n">
        <f aca="false">In_PPA_Price*(1+In_PPA_Esc)^(DZ$7-YEAR(In_COD))</f>
        <v>115.418879551551</v>
      </c>
      <c r="EA110" s="28" t="n">
        <f aca="false">In_PPA_Price*(1+In_PPA_Esc)^(EA$7-YEAR(In_COD))</f>
        <v>115.418879551551</v>
      </c>
      <c r="EB110" s="28" t="n">
        <f aca="false">In_PPA_Price*(1+In_PPA_Esc)^(EB$7-YEAR(In_COD))</f>
        <v>116.573068347067</v>
      </c>
      <c r="EC110" s="28" t="n">
        <f aca="false">In_PPA_Price*(1+In_PPA_Esc)^(EC$7-YEAR(In_COD))</f>
        <v>116.573068347067</v>
      </c>
      <c r="ED110" s="28" t="n">
        <f aca="false">In_PPA_Price*(1+In_PPA_Esc)^(ED$7-YEAR(In_COD))</f>
        <v>116.573068347067</v>
      </c>
      <c r="EE110" s="28" t="n">
        <f aca="false">In_PPA_Price*(1+In_PPA_Esc)^(EE$7-YEAR(In_COD))</f>
        <v>116.573068347067</v>
      </c>
      <c r="EF110" s="28" t="n">
        <f aca="false">In_PPA_Price*(1+In_PPA_Esc)^(EF$7-YEAR(In_COD))</f>
        <v>117.738799030537</v>
      </c>
      <c r="EG110" s="28" t="n">
        <f aca="false">In_PPA_Price*(1+In_PPA_Esc)^(EG$7-YEAR(In_COD))</f>
        <v>117.738799030537</v>
      </c>
      <c r="EH110" s="28" t="n">
        <f aca="false">In_PPA_Price*(1+In_PPA_Esc)^(EH$7-YEAR(In_COD))</f>
        <v>117.738799030537</v>
      </c>
      <c r="EI110" s="28" t="n">
        <f aca="false">In_PPA_Price*(1+In_PPA_Esc)^(EI$7-YEAR(In_COD))</f>
        <v>117.738799030537</v>
      </c>
      <c r="EJ110" s="28" t="n">
        <f aca="false">In_PPA_Price*(1+In_PPA_Esc)^(EJ$7-YEAR(In_COD))</f>
        <v>118.916187020843</v>
      </c>
      <c r="EK110" s="28" t="n">
        <f aca="false">In_PPA_Price*(1+In_PPA_Esc)^(EK$7-YEAR(In_COD))</f>
        <v>118.916187020843</v>
      </c>
      <c r="EL110" s="28" t="n">
        <f aca="false">In_PPA_Price*(1+In_PPA_Esc)^(EL$7-YEAR(In_COD))</f>
        <v>118.916187020843</v>
      </c>
      <c r="EM110" s="28" t="n">
        <f aca="false">In_PPA_Price*(1+In_PPA_Esc)^(EM$7-YEAR(In_COD))</f>
        <v>118.916187020843</v>
      </c>
      <c r="EN110" s="28" t="n">
        <f aca="false">In_PPA_Price*(1+In_PPA_Esc)^(EN$7-YEAR(In_COD))</f>
        <v>120.105348891051</v>
      </c>
      <c r="EO110" s="28" t="n">
        <f aca="false">In_PPA_Price*(1+In_PPA_Esc)^(EO$7-YEAR(In_COD))</f>
        <v>120.105348891051</v>
      </c>
      <c r="EP110" s="28" t="n">
        <f aca="false">In_PPA_Price*(1+In_PPA_Esc)^(EP$7-YEAR(In_COD))</f>
        <v>120.105348891051</v>
      </c>
      <c r="EQ110" s="28" t="n">
        <f aca="false">In_PPA_Price*(1+In_PPA_Esc)^(EQ$7-YEAR(In_COD))</f>
        <v>120.105348891051</v>
      </c>
      <c r="ER110" s="28" t="n">
        <f aca="false">In_PPA_Price*(1+In_PPA_Esc)^(ER$7-YEAR(In_COD))</f>
        <v>121.306402379962</v>
      </c>
      <c r="ES110" s="28" t="n">
        <f aca="false">In_PPA_Price*(1+In_PPA_Esc)^(ES$7-YEAR(In_COD))</f>
        <v>121.306402379962</v>
      </c>
      <c r="ET110" s="28" t="n">
        <f aca="false">In_PPA_Price*(1+In_PPA_Esc)^(ET$7-YEAR(In_COD))</f>
        <v>121.306402379962</v>
      </c>
    </row>
    <row r="111" customFormat="false" ht="15" hidden="false" customHeight="false" outlineLevel="0" collapsed="false">
      <c r="C111" s="0" t="s">
        <v>556</v>
      </c>
      <c r="D111" s="11" t="s">
        <v>491</v>
      </c>
      <c r="I111" s="33" t="n">
        <f aca="false">SUM(J111:ET111)</f>
        <v>6931492.24461103</v>
      </c>
      <c r="J111" s="33" t="n">
        <f aca="false">$F24*In_P50_Hours*(1-In_Curtailment)*(1-$E27)*(1-In_Degradation)^(J108-1)*J15*J$6</f>
        <v>0</v>
      </c>
      <c r="K111" s="33" t="n">
        <f aca="false">$F24*In_P50_Hours*(1-In_Curtailment)*(1-$E27)*(1-In_Degradation)^(K108-1)*K15*K$6</f>
        <v>0</v>
      </c>
      <c r="L111" s="33" t="n">
        <f aca="false">$F24*In_P50_Hours*(1-In_Curtailment)*(1-$E27)*(1-In_Degradation)^(L108-1)*L15*L$6</f>
        <v>0</v>
      </c>
      <c r="M111" s="33" t="n">
        <f aca="false">$F24*In_P50_Hours*(1-In_Curtailment)*(1-$E27)*(1-In_Degradation)^(M108-1)*M15*M$6</f>
        <v>0</v>
      </c>
      <c r="N111" s="33" t="n">
        <f aca="false">$F24*In_P50_Hours*(1-In_Curtailment)*(1-$E27)*(1-In_Degradation)^(N108-1)*N15*N$6</f>
        <v>0</v>
      </c>
      <c r="O111" s="33" t="n">
        <f aca="false">$F24*In_P50_Hours*(1-In_Curtailment)*(1-$E27)*(1-In_Degradation)^(O108-1)*O15*O$6</f>
        <v>0</v>
      </c>
      <c r="P111" s="33" t="n">
        <f aca="false">$F24*In_P50_Hours*(1-In_Curtailment)*(1-$E27)*(1-In_Degradation)^(P108-1)*P15*P$6</f>
        <v>0</v>
      </c>
      <c r="Q111" s="33" t="n">
        <f aca="false">$F24*In_P50_Hours*(1-In_Curtailment)*(1-$E27)*(1-In_Degradation)^(Q108-1)*Q15*Q$6</f>
        <v>0</v>
      </c>
      <c r="R111" s="33" t="n">
        <f aca="false">$F24*In_P50_Hours*(1-In_Curtailment)*(1-$E27)*(1-In_Degradation)^(R108-1)*R15*R$6</f>
        <v>0</v>
      </c>
      <c r="S111" s="33" t="n">
        <f aca="false">$F24*In_P50_Hours*(1-In_Curtailment)*(1-$E27)*(1-In_Degradation)^(S108-1)*S15*S$6</f>
        <v>0</v>
      </c>
      <c r="T111" s="33" t="n">
        <f aca="false">$F24*In_P50_Hours*(1-In_Curtailment)*(1-$E27)*(1-In_Degradation)^(T108-1)*T15*T$6</f>
        <v>0</v>
      </c>
      <c r="U111" s="33" t="n">
        <f aca="false">$F24*In_P50_Hours*(1-In_Curtailment)*(1-$E27)*(1-In_Degradation)^(U108-1)*U15*U$6</f>
        <v>0</v>
      </c>
      <c r="V111" s="33" t="n">
        <f aca="false">$F24*In_P50_Hours*(1-In_Curtailment)*(1-$E27)*(1-In_Degradation)^(V108-1)*V15*V$6</f>
        <v>0</v>
      </c>
      <c r="W111" s="33" t="n">
        <f aca="false">$F24*In_P50_Hours*(1-In_Curtailment)*(1-$E27)*(1-In_Degradation)^(W108-1)*W15*W$6</f>
        <v>0</v>
      </c>
      <c r="X111" s="33" t="n">
        <f aca="false">$F24*In_P50_Hours*(1-In_Curtailment)*(1-$E27)*(1-In_Degradation)^(X108-1)*X15*X$6</f>
        <v>0</v>
      </c>
      <c r="Y111" s="33" t="n">
        <f aca="false">$F24*In_P50_Hours*(1-In_Curtailment)*(1-$E27)*(1-In_Degradation)^(Y108-1)*Y15*Y$6</f>
        <v>0</v>
      </c>
      <c r="Z111" s="33" t="n">
        <f aca="false">$F24*In_P50_Hours*(1-In_Curtailment)*(1-$E27)*(1-In_Degradation)^(Z108-1)*Z15*Z$6</f>
        <v>0</v>
      </c>
      <c r="AA111" s="33" t="n">
        <f aca="false">$F24*In_P50_Hours*(1-In_Curtailment)*(1-$E27)*(1-In_Degradation)^(AA108-1)*AA15*AA$6</f>
        <v>0</v>
      </c>
      <c r="AB111" s="33" t="n">
        <f aca="false">$F24*In_P50_Hours*(1-In_Curtailment)*(1-$E27)*(1-In_Degradation)^(AB108-1)*AB15*AB$6</f>
        <v>0</v>
      </c>
      <c r="AC111" s="33" t="n">
        <f aca="false">$F24*In_P50_Hours*(1-In_Curtailment)*(1-$E27)*(1-In_Degradation)^(AC108-1)*AC15*AC$6</f>
        <v>0</v>
      </c>
      <c r="AD111" s="33" t="n">
        <f aca="false">$F24*In_P50_Hours*(1-In_Curtailment)*(1-$E27)*(1-In_Degradation)^(AD108-1)*AD15*AD$6</f>
        <v>0</v>
      </c>
      <c r="AE111" s="33" t="n">
        <f aca="false">$F24*In_P50_Hours*(1-In_Curtailment)*(1-$E27)*(1-In_Degradation)^(AE108-1)*AE15*AE$6</f>
        <v>60765.3698630137</v>
      </c>
      <c r="AF111" s="33" t="n">
        <f aca="false">$F24*In_P50_Hours*(1-In_Curtailment)*(1-$E27)*(1-In_Degradation)^(AF108-1)*AF15*AF$6</f>
        <v>60104.8767123288</v>
      </c>
      <c r="AG111" s="33" t="n">
        <f aca="false">$F24*In_P50_Hours*(1-In_Curtailment)*(1-$E27)*(1-In_Degradation)^(AG108-1)*AG15*AG$6</f>
        <v>60104.8767123288</v>
      </c>
      <c r="AH111" s="33" t="n">
        <f aca="false">$F24*In_P50_Hours*(1-In_Curtailment)*(1-$E27)*(1-In_Degradation)^(AH108-1)*AH15*AH$6</f>
        <v>60765.3698630137</v>
      </c>
      <c r="AI111" s="33" t="n">
        <f aca="false">$F24*In_P50_Hours*(1-In_Curtailment)*(1-$E27)*(1-In_Degradation)^(AI108-1)*AI15*AI$6</f>
        <v>60583.0737534247</v>
      </c>
      <c r="AJ111" s="33" t="n">
        <f aca="false">$F24*In_P50_Hours*(1-In_Curtailment)*(1-$E27)*(1-In_Degradation)^(AJ108-1)*AJ15*AJ$6</f>
        <v>59266.0504109589</v>
      </c>
      <c r="AK111" s="33" t="n">
        <f aca="false">$F24*In_P50_Hours*(1-In_Curtailment)*(1-$E27)*(1-In_Degradation)^(AK108-1)*AK15*AK$6</f>
        <v>59924.5620821918</v>
      </c>
      <c r="AL111" s="33" t="n">
        <f aca="false">$F24*In_P50_Hours*(1-In_Curtailment)*(1-$E27)*(1-In_Degradation)^(AL108-1)*AL15*AL$6</f>
        <v>60583.0737534247</v>
      </c>
      <c r="AM111" s="33" t="n">
        <f aca="false">$F24*In_P50_Hours*(1-In_Curtailment)*(1-$E27)*(1-In_Degradation)^(AM108-1)*AM15*AM$6</f>
        <v>60401.3245321644</v>
      </c>
      <c r="AN111" s="33" t="n">
        <f aca="false">$F24*In_P50_Hours*(1-In_Curtailment)*(1-$E27)*(1-In_Degradation)^(AN108-1)*AN15*AN$6</f>
        <v>59088.252259726</v>
      </c>
      <c r="AO111" s="33" t="n">
        <f aca="false">$F24*In_P50_Hours*(1-In_Curtailment)*(1-$E27)*(1-In_Degradation)^(AO108-1)*AO15*AO$6</f>
        <v>59744.7883959452</v>
      </c>
      <c r="AP111" s="33" t="n">
        <f aca="false">$F24*In_P50_Hours*(1-In_Curtailment)*(1-$E27)*(1-In_Degradation)^(AP108-1)*AP15*AP$6</f>
        <v>60401.3245321644</v>
      </c>
      <c r="AQ111" s="33" t="n">
        <f aca="false">$F24*In_P50_Hours*(1-In_Curtailment)*(1-$E27)*(1-In_Degradation)^(AQ108-1)*AQ15*AQ$6</f>
        <v>60220.1205585679</v>
      </c>
      <c r="AR111" s="33" t="n">
        <f aca="false">$F24*In_P50_Hours*(1-In_Curtailment)*(1-$E27)*(1-In_Degradation)^(AR108-1)*AR15*AR$6</f>
        <v>58910.9875029468</v>
      </c>
      <c r="AS111" s="33" t="n">
        <f aca="false">$F24*In_P50_Hours*(1-In_Curtailment)*(1-$E27)*(1-In_Degradation)^(AS108-1)*AS15*AS$6</f>
        <v>59565.5540307574</v>
      </c>
      <c r="AT111" s="33" t="n">
        <f aca="false">$F24*In_P50_Hours*(1-In_Curtailment)*(1-$E27)*(1-In_Degradation)^(AT108-1)*AT15*AT$6</f>
        <v>60220.1205585679</v>
      </c>
      <c r="AU111" s="33" t="n">
        <f aca="false">$F24*In_P50_Hours*(1-In_Curtailment)*(1-$E27)*(1-In_Degradation)^(AU108-1)*AU15*AU$6</f>
        <v>60039.4601968922</v>
      </c>
      <c r="AV111" s="33" t="n">
        <f aca="false">$F24*In_P50_Hours*(1-In_Curtailment)*(1-$E27)*(1-In_Degradation)^(AV108-1)*AV15*AV$6</f>
        <v>59386.8573686651</v>
      </c>
      <c r="AW111" s="33" t="n">
        <f aca="false">$F24*In_P50_Hours*(1-In_Curtailment)*(1-$E27)*(1-In_Degradation)^(AW108-1)*AW15*AW$6</f>
        <v>59386.8573686651</v>
      </c>
      <c r="AX111" s="33" t="n">
        <f aca="false">$F24*In_P50_Hours*(1-In_Curtailment)*(1-$E27)*(1-In_Degradation)^(AX108-1)*AX15*AX$6</f>
        <v>60039.4601968922</v>
      </c>
      <c r="AY111" s="33" t="n">
        <f aca="false">$F24*In_P50_Hours*(1-In_Curtailment)*(1-$E27)*(1-In_Degradation)^(AY108-1)*AY15*AY$6</f>
        <v>59859.3418163015</v>
      </c>
      <c r="AZ111" s="33" t="n">
        <f aca="false">$F24*In_P50_Hours*(1-In_Curtailment)*(1-$E27)*(1-In_Degradation)^(AZ108-1)*AZ15*AZ$6</f>
        <v>58558.0517768167</v>
      </c>
      <c r="BA111" s="33" t="n">
        <f aca="false">$F24*In_P50_Hours*(1-In_Curtailment)*(1-$E27)*(1-In_Degradation)^(BA108-1)*BA15*BA$6</f>
        <v>59208.6967965591</v>
      </c>
      <c r="BB111" s="33" t="n">
        <f aca="false">$F24*In_P50_Hours*(1-In_Curtailment)*(1-$E27)*(1-In_Degradation)^(BB108-1)*BB15*BB$6</f>
        <v>59859.3418163015</v>
      </c>
      <c r="BC111" s="33" t="n">
        <f aca="false">$F24*In_P50_Hours*(1-In_Curtailment)*(1-$E27)*(1-In_Degradation)^(BC108-1)*BC15*BC$6</f>
        <v>59679.7637908526</v>
      </c>
      <c r="BD111" s="33" t="n">
        <f aca="false">$F24*In_P50_Hours*(1-In_Curtailment)*(1-$E27)*(1-In_Degradation)^(BD108-1)*BD15*BD$6</f>
        <v>58382.3776214862</v>
      </c>
      <c r="BE111" s="33" t="n">
        <f aca="false">$F24*In_P50_Hours*(1-In_Curtailment)*(1-$E27)*(1-In_Degradation)^(BE108-1)*BE15*BE$6</f>
        <v>59031.0707061694</v>
      </c>
      <c r="BF111" s="33" t="n">
        <f aca="false">$F24*In_P50_Hours*(1-In_Curtailment)*(1-$E27)*(1-In_Degradation)^(BF108-1)*BF15*BF$6</f>
        <v>59679.7637908526</v>
      </c>
      <c r="BG111" s="33" t="n">
        <f aca="false">$F24*In_P50_Hours*(1-In_Curtailment)*(1-$E27)*(1-In_Degradation)^(BG108-1)*BG15*BG$6</f>
        <v>59500.7244994801</v>
      </c>
      <c r="BH111" s="33" t="n">
        <f aca="false">$F24*In_P50_Hours*(1-In_Curtailment)*(1-$E27)*(1-In_Degradation)^(BH108-1)*BH15*BH$6</f>
        <v>58207.2304886218</v>
      </c>
      <c r="BI111" s="33" t="n">
        <f aca="false">$F24*In_P50_Hours*(1-In_Curtailment)*(1-$E27)*(1-In_Degradation)^(BI108-1)*BI15*BI$6</f>
        <v>58853.9774940509</v>
      </c>
      <c r="BJ111" s="33" t="n">
        <f aca="false">$F24*In_P50_Hours*(1-In_Curtailment)*(1-$E27)*(1-In_Degradation)^(BJ108-1)*BJ15*BJ$6</f>
        <v>59500.7244994801</v>
      </c>
      <c r="BK111" s="33" t="n">
        <f aca="false">$F24*In_P50_Hours*(1-In_Curtailment)*(1-$E27)*(1-In_Degradation)^(BK108-1)*BK15*BK$6</f>
        <v>59322.2223259816</v>
      </c>
      <c r="BL111" s="33" t="n">
        <f aca="false">$F24*In_P50_Hours*(1-In_Curtailment)*(1-$E27)*(1-In_Degradation)^(BL108-1)*BL15*BL$6</f>
        <v>58677.4155615688</v>
      </c>
      <c r="BM111" s="33" t="n">
        <f aca="false">$F24*In_P50_Hours*(1-In_Curtailment)*(1-$E27)*(1-In_Degradation)^(BM108-1)*BM15*BM$6</f>
        <v>58677.4155615688</v>
      </c>
      <c r="BN111" s="33" t="n">
        <f aca="false">$F24*In_P50_Hours*(1-In_Curtailment)*(1-$E27)*(1-In_Degradation)^(BN108-1)*BN15*BN$6</f>
        <v>59322.2223259816</v>
      </c>
      <c r="BO111" s="33" t="n">
        <f aca="false">$F24*In_P50_Hours*(1-In_Curtailment)*(1-$E27)*(1-In_Degradation)^(BO108-1)*BO15*BO$6</f>
        <v>59144.2556590037</v>
      </c>
      <c r="BP111" s="33" t="n">
        <f aca="false">$F24*In_P50_Hours*(1-In_Curtailment)*(1-$E27)*(1-In_Degradation)^(BP108-1)*BP15*BP$6</f>
        <v>57858.5109707644</v>
      </c>
      <c r="BQ111" s="33" t="n">
        <f aca="false">$F24*In_P50_Hours*(1-In_Curtailment)*(1-$E27)*(1-In_Degradation)^(BQ108-1)*BQ15*BQ$6</f>
        <v>58501.3833148841</v>
      </c>
      <c r="BR111" s="33" t="n">
        <f aca="false">$F24*In_P50_Hours*(1-In_Curtailment)*(1-$E27)*(1-In_Degradation)^(BR108-1)*BR15*BR$6</f>
        <v>59144.2556590037</v>
      </c>
      <c r="BS111" s="33" t="n">
        <f aca="false">$F24*In_P50_Hours*(1-In_Curtailment)*(1-$E27)*(1-In_Degradation)^(BS108-1)*BS15*BS$6</f>
        <v>58966.8228920267</v>
      </c>
      <c r="BT111" s="33" t="n">
        <f aca="false">$F24*In_P50_Hours*(1-In_Curtailment)*(1-$E27)*(1-In_Degradation)^(BT108-1)*BT15*BT$6</f>
        <v>57684.9354378522</v>
      </c>
      <c r="BU111" s="33" t="n">
        <f aca="false">$F24*In_P50_Hours*(1-In_Curtailment)*(1-$E27)*(1-In_Degradation)^(BU108-1)*BU15*BU$6</f>
        <v>58325.8791649394</v>
      </c>
      <c r="BV111" s="33" t="n">
        <f aca="false">$F24*In_P50_Hours*(1-In_Curtailment)*(1-$E27)*(1-In_Degradation)^(BV108-1)*BV15*BV$6</f>
        <v>58966.8228920267</v>
      </c>
      <c r="BW111" s="33" t="n">
        <f aca="false">$F24*In_P50_Hours*(1-In_Curtailment)*(1-$E27)*(1-In_Degradation)^(BW108-1)*BW15*BW$6</f>
        <v>58789.9224233506</v>
      </c>
      <c r="BX111" s="33" t="n">
        <f aca="false">$F24*In_P50_Hours*(1-In_Curtailment)*(1-$E27)*(1-In_Degradation)^(BX108-1)*BX15*BX$6</f>
        <v>57511.8806315386</v>
      </c>
      <c r="BY111" s="33" t="n">
        <f aca="false">$F24*In_P50_Hours*(1-In_Curtailment)*(1-$E27)*(1-In_Degradation)^(BY108-1)*BY15*BY$6</f>
        <v>58150.9015274446</v>
      </c>
      <c r="BZ111" s="33" t="n">
        <f aca="false">$F24*In_P50_Hours*(1-In_Curtailment)*(1-$E27)*(1-In_Degradation)^(BZ108-1)*BZ15*BZ$6</f>
        <v>58789.9224233506</v>
      </c>
      <c r="CA111" s="33" t="n">
        <f aca="false">$F24*In_P50_Hours*(1-In_Curtailment)*(1-$E27)*(1-In_Degradation)^(CA108-1)*CA15*CA$6</f>
        <v>58613.5526560805</v>
      </c>
      <c r="CB111" s="33" t="n">
        <f aca="false">$F24*In_P50_Hours*(1-In_Curtailment)*(1-$E27)*(1-In_Degradation)^(CB108-1)*CB15*CB$6</f>
        <v>57976.4488228623</v>
      </c>
      <c r="CC111" s="33" t="n">
        <f aca="false">$F24*In_P50_Hours*(1-In_Curtailment)*(1-$E27)*(1-In_Degradation)^(CC108-1)*CC15*CC$6</f>
        <v>57976.4488228623</v>
      </c>
      <c r="CD111" s="33" t="n">
        <f aca="false">$F24*In_P50_Hours*(1-In_Curtailment)*(1-$E27)*(1-In_Degradation)^(CD108-1)*CD15*CD$6</f>
        <v>58613.5526560805</v>
      </c>
      <c r="CE111" s="33" t="n">
        <f aca="false">$F24*In_P50_Hours*(1-In_Curtailment)*(1-$E27)*(1-In_Degradation)^(CE108-1)*CE15*CE$6</f>
        <v>58437.7119981123</v>
      </c>
      <c r="CF111" s="33" t="n">
        <f aca="false">$F24*In_P50_Hours*(1-In_Curtailment)*(1-$E27)*(1-In_Degradation)^(CF108-1)*CF15*CF$6</f>
        <v>57167.326954675</v>
      </c>
      <c r="CG111" s="33" t="n">
        <f aca="false">$F24*In_P50_Hours*(1-In_Curtailment)*(1-$E27)*(1-In_Degradation)^(CG108-1)*CG15*CG$6</f>
        <v>57802.5194763937</v>
      </c>
      <c r="CH111" s="33" t="n">
        <f aca="false">$F24*In_P50_Hours*(1-In_Curtailment)*(1-$E27)*(1-In_Degradation)^(CH108-1)*CH15*CH$6</f>
        <v>58437.7119981123</v>
      </c>
      <c r="CI111" s="33" t="n">
        <f aca="false">$F24*In_P50_Hours*(1-In_Curtailment)*(1-$E27)*(1-In_Degradation)^(CI108-1)*CI15*CI$6</f>
        <v>58262.398862118</v>
      </c>
      <c r="CJ111" s="33" t="n">
        <f aca="false">$F24*In_P50_Hours*(1-In_Curtailment)*(1-$E27)*(1-In_Degradation)^(CJ108-1)*CJ15*CJ$6</f>
        <v>56995.824973811</v>
      </c>
      <c r="CK111" s="33" t="n">
        <f aca="false">$F24*In_P50_Hours*(1-In_Curtailment)*(1-$E27)*(1-In_Degradation)^(CK108-1)*CK15*CK$6</f>
        <v>57629.1119179645</v>
      </c>
      <c r="CL111" s="33" t="n">
        <f aca="false">$F24*In_P50_Hours*(1-In_Curtailment)*(1-$E27)*(1-In_Degradation)^(CL108-1)*CL15*CL$6</f>
        <v>58262.398862118</v>
      </c>
      <c r="CM111" s="33" t="n">
        <f aca="false">$F24*In_P50_Hours*(1-In_Curtailment)*(1-$E27)*(1-In_Degradation)^(CM108-1)*CM15*CM$6</f>
        <v>58087.6116655316</v>
      </c>
      <c r="CN111" s="33" t="n">
        <f aca="false">$F24*In_P50_Hours*(1-In_Curtailment)*(1-$E27)*(1-In_Degradation)^(CN108-1)*CN15*CN$6</f>
        <v>56824.8374988896</v>
      </c>
      <c r="CO111" s="33" t="n">
        <f aca="false">$F24*In_P50_Hours*(1-In_Curtailment)*(1-$E27)*(1-In_Degradation)^(CO108-1)*CO15*CO$6</f>
        <v>57456.2245822106</v>
      </c>
      <c r="CP111" s="33" t="n">
        <f aca="false">$F24*In_P50_Hours*(1-In_Curtailment)*(1-$E27)*(1-In_Degradation)^(CP108-1)*CP15*CP$6</f>
        <v>58087.6116655316</v>
      </c>
      <c r="CQ111" s="33" t="n">
        <f aca="false">$F24*In_P50_Hours*(1-In_Curtailment)*(1-$E27)*(1-In_Degradation)^(CQ108-1)*CQ15*CQ$6</f>
        <v>57913.348830535</v>
      </c>
      <c r="CR111" s="33" t="n">
        <f aca="false">$F24*In_P50_Hours*(1-In_Curtailment)*(1-$E27)*(1-In_Degradation)^(CR108-1)*CR15*CR$6</f>
        <v>57283.855908464</v>
      </c>
      <c r="CS111" s="33" t="n">
        <f aca="false">$F24*In_P50_Hours*(1-In_Curtailment)*(1-$E27)*(1-In_Degradation)^(CS108-1)*CS15*CS$6</f>
        <v>57283.855908464</v>
      </c>
      <c r="CT111" s="33" t="n">
        <f aca="false">$F24*In_P50_Hours*(1-In_Curtailment)*(1-$E27)*(1-In_Degradation)^(CT108-1)*CT15*CT$6</f>
        <v>57913.348830535</v>
      </c>
      <c r="CU111" s="33" t="n">
        <f aca="false">$F24*In_P50_Hours*(1-In_Curtailment)*(1-$E27)*(1-In_Degradation)^(CU108-1)*CU15*CU$6</f>
        <v>57739.6087840434</v>
      </c>
      <c r="CV111" s="33" t="n">
        <f aca="false">$F24*In_P50_Hours*(1-In_Curtailment)*(1-$E27)*(1-In_Degradation)^(CV108-1)*CV15*CV$6</f>
        <v>56484.3998974337</v>
      </c>
      <c r="CW111" s="33" t="n">
        <f aca="false">$F24*In_P50_Hours*(1-In_Curtailment)*(1-$E27)*(1-In_Degradation)^(CW108-1)*CW15*CW$6</f>
        <v>57112.0043407386</v>
      </c>
      <c r="CX111" s="33" t="n">
        <f aca="false">$F24*In_P50_Hours*(1-In_Curtailment)*(1-$E27)*(1-In_Degradation)^(CX108-1)*CX15*CX$6</f>
        <v>57739.6087840434</v>
      </c>
      <c r="CY111" s="33" t="n">
        <f aca="false">$F24*In_P50_Hours*(1-In_Curtailment)*(1-$E27)*(1-In_Degradation)^(CY108-1)*CY15*CY$6</f>
        <v>57566.3899576913</v>
      </c>
      <c r="CZ111" s="33" t="n">
        <f aca="false">$F24*In_P50_Hours*(1-In_Curtailment)*(1-$E27)*(1-In_Degradation)^(CZ108-1)*CZ15*CZ$6</f>
        <v>56314.9466977414</v>
      </c>
      <c r="DA111" s="33" t="n">
        <f aca="false">$F24*In_P50_Hours*(1-In_Curtailment)*(1-$E27)*(1-In_Degradation)^(DA108-1)*DA15*DA$6</f>
        <v>56940.6683277164</v>
      </c>
      <c r="DB111" s="33" t="n">
        <f aca="false">$F24*In_P50_Hours*(1-In_Curtailment)*(1-$E27)*(1-In_Degradation)^(DB108-1)*DB15*DB$6</f>
        <v>57566.3899576913</v>
      </c>
      <c r="DC111" s="33" t="n">
        <f aca="false">$F24*In_P50_Hours*(1-In_Curtailment)*(1-$E27)*(1-In_Degradation)^(DC108-1)*DC15*DC$6</f>
        <v>57393.6907878182</v>
      </c>
      <c r="DD111" s="33" t="n">
        <f aca="false">$F24*In_P50_Hours*(1-In_Curtailment)*(1-$E27)*(1-In_Degradation)^(DD108-1)*DD15*DD$6</f>
        <v>56146.0018576482</v>
      </c>
      <c r="DE111" s="33" t="n">
        <f aca="false">$F24*In_P50_Hours*(1-In_Curtailment)*(1-$E27)*(1-In_Degradation)^(DE108-1)*DE15*DE$6</f>
        <v>56769.8463227332</v>
      </c>
      <c r="DF111" s="33" t="n">
        <f aca="false">$F24*In_P50_Hours*(1-In_Curtailment)*(1-$E27)*(1-In_Degradation)^(DF108-1)*DF15*DF$6</f>
        <v>57393.6907878182</v>
      </c>
      <c r="DG111" s="33" t="n">
        <f aca="false">$F24*In_P50_Hours*(1-In_Curtailment)*(1-$E27)*(1-In_Degradation)^(DG108-1)*DG15*DG$6</f>
        <v>57221.5097154547</v>
      </c>
      <c r="DH111" s="33" t="n">
        <f aca="false">$F24*In_P50_Hours*(1-In_Curtailment)*(1-$E27)*(1-In_Degradation)^(DH108-1)*DH15*DH$6</f>
        <v>56599.536783765</v>
      </c>
      <c r="DI111" s="33" t="n">
        <f aca="false">$F24*In_P50_Hours*(1-In_Curtailment)*(1-$E27)*(1-In_Degradation)^(DI108-1)*DI15*DI$6</f>
        <v>56599.536783765</v>
      </c>
      <c r="DJ111" s="33" t="n">
        <f aca="false">$F24*In_P50_Hours*(1-In_Curtailment)*(1-$E27)*(1-In_Degradation)^(DJ108-1)*DJ15*DJ$6</f>
        <v>57221.5097154547</v>
      </c>
      <c r="DK111" s="33" t="n">
        <f aca="false">$F24*In_P50_Hours*(1-In_Curtailment)*(1-$E27)*(1-In_Degradation)^(DK108-1)*DK15*DK$6</f>
        <v>57049.8451863084</v>
      </c>
      <c r="DL111" s="33" t="n">
        <f aca="false">$F24*In_P50_Hours*(1-In_Curtailment)*(1-$E27)*(1-In_Degradation)^(DL108-1)*DL15*DL$6</f>
        <v>55809.6311605191</v>
      </c>
      <c r="DM111" s="33" t="n">
        <f aca="false">$F24*In_P50_Hours*(1-In_Curtailment)*(1-$E27)*(1-In_Degradation)^(DM108-1)*DM15*DM$6</f>
        <v>56429.7381734137</v>
      </c>
      <c r="DN111" s="33" t="n">
        <f aca="false">$F24*In_P50_Hours*(1-In_Curtailment)*(1-$E27)*(1-In_Degradation)^(DN108-1)*DN15*DN$6</f>
        <v>57049.8451863084</v>
      </c>
      <c r="DO111" s="33" t="n">
        <f aca="false">$F24*In_P50_Hours*(1-In_Curtailment)*(1-$E27)*(1-In_Degradation)^(DO108-1)*DO15*DO$6</f>
        <v>56878.6956507494</v>
      </c>
      <c r="DP111" s="33" t="n">
        <f aca="false">$F24*In_P50_Hours*(1-In_Curtailment)*(1-$E27)*(1-In_Degradation)^(DP108-1)*DP15*DP$6</f>
        <v>55642.2022670375</v>
      </c>
      <c r="DQ111" s="33" t="n">
        <f aca="false">$F24*In_P50_Hours*(1-In_Curtailment)*(1-$E27)*(1-In_Degradation)^(DQ108-1)*DQ15*DQ$6</f>
        <v>56260.4489588935</v>
      </c>
      <c r="DR111" s="33" t="n">
        <f aca="false">$F24*In_P50_Hours*(1-In_Curtailment)*(1-$E27)*(1-In_Degradation)^(DR108-1)*DR15*DR$6</f>
        <v>56878.6956507494</v>
      </c>
      <c r="DS111" s="33" t="n">
        <f aca="false">$F24*In_P50_Hours*(1-In_Curtailment)*(1-$E27)*(1-In_Degradation)^(DS108-1)*DS15*DS$6</f>
        <v>56708.0595637972</v>
      </c>
      <c r="DT111" s="33" t="n">
        <f aca="false">$F24*In_P50_Hours*(1-In_Curtailment)*(1-$E27)*(1-In_Degradation)^(DT108-1)*DT15*DT$6</f>
        <v>55475.2756602364</v>
      </c>
      <c r="DU111" s="33" t="n">
        <f aca="false">$F24*In_P50_Hours*(1-In_Curtailment)*(1-$E27)*(1-In_Degradation)^(DU108-1)*DU15*DU$6</f>
        <v>56091.6676120168</v>
      </c>
      <c r="DV111" s="33" t="n">
        <f aca="false">$F24*In_P50_Hours*(1-In_Curtailment)*(1-$E27)*(1-In_Degradation)^(DV108-1)*DV15*DV$6</f>
        <v>56708.0595637972</v>
      </c>
      <c r="DW111" s="33" t="n">
        <f aca="false">$F24*In_P50_Hours*(1-In_Curtailment)*(1-$E27)*(1-In_Degradation)^(DW108-1)*DW15*DW$6</f>
        <v>56537.9353851058</v>
      </c>
      <c r="DX111" s="33" t="n">
        <f aca="false">$F24*In_P50_Hours*(1-In_Curtailment)*(1-$E27)*(1-In_Degradation)^(DX108-1)*DX15*DX$6</f>
        <v>55923.3926091807</v>
      </c>
      <c r="DY111" s="33" t="n">
        <f aca="false">$F24*In_P50_Hours*(1-In_Curtailment)*(1-$E27)*(1-In_Degradation)^(DY108-1)*DY15*DY$6</f>
        <v>55923.3926091807</v>
      </c>
      <c r="DZ111" s="33" t="n">
        <f aca="false">$F24*In_P50_Hours*(1-In_Curtailment)*(1-$E27)*(1-In_Degradation)^(DZ108-1)*DZ15*DZ$6</f>
        <v>56537.9353851058</v>
      </c>
      <c r="EA111" s="33" t="n">
        <f aca="false">$F24*In_P50_Hours*(1-In_Curtailment)*(1-$E27)*(1-In_Degradation)^(EA108-1)*EA15*EA$6</f>
        <v>56368.3215789505</v>
      </c>
      <c r="EB111" s="33" t="n">
        <f aca="false">$F24*In_P50_Hours*(1-In_Curtailment)*(1-$E27)*(1-In_Degradation)^(EB108-1)*EB15*EB$6</f>
        <v>55142.9232837559</v>
      </c>
      <c r="EC111" s="33" t="n">
        <f aca="false">$F24*In_P50_Hours*(1-In_Curtailment)*(1-$E27)*(1-In_Degradation)^(EC108-1)*EC15*EC$6</f>
        <v>55755.6224313532</v>
      </c>
      <c r="ED111" s="33" t="n">
        <f aca="false">$F24*In_P50_Hours*(1-In_Curtailment)*(1-$E27)*(1-In_Degradation)^(ED108-1)*ED15*ED$6</f>
        <v>56368.3215789505</v>
      </c>
      <c r="EE111" s="33" t="n">
        <f aca="false">$F24*In_P50_Hours*(1-In_Curtailment)*(1-$E27)*(1-In_Degradation)^(EE108-1)*EE15*EE$6</f>
        <v>56199.2166142136</v>
      </c>
      <c r="EF111" s="33" t="n">
        <f aca="false">$F24*In_P50_Hours*(1-In_Curtailment)*(1-$E27)*(1-In_Degradation)^(EF108-1)*EF15*EF$6</f>
        <v>54977.4945139046</v>
      </c>
      <c r="EG111" s="33" t="n">
        <f aca="false">$F24*In_P50_Hours*(1-In_Curtailment)*(1-$E27)*(1-In_Degradation)^(EG108-1)*EG15*EG$6</f>
        <v>55588.3555640591</v>
      </c>
      <c r="EH111" s="33" t="n">
        <f aca="false">$F24*In_P50_Hours*(1-In_Curtailment)*(1-$E27)*(1-In_Degradation)^(EH108-1)*EH15*EH$6</f>
        <v>56199.2166142136</v>
      </c>
      <c r="EI111" s="33" t="n">
        <f aca="false">$F24*In_P50_Hours*(1-In_Curtailment)*(1-$E27)*(1-In_Degradation)^(EI108-1)*EI15*EI$6</f>
        <v>56030.618964371</v>
      </c>
      <c r="EJ111" s="33" t="n">
        <f aca="false">$F24*In_P50_Hours*(1-In_Curtailment)*(1-$E27)*(1-In_Degradation)^(EJ108-1)*EJ15*EJ$6</f>
        <v>54812.5620303629</v>
      </c>
      <c r="EK111" s="33" t="n">
        <f aca="false">$F24*In_P50_Hours*(1-In_Curtailment)*(1-$E27)*(1-In_Degradation)^(EK108-1)*EK15*EK$6</f>
        <v>55421.590497367</v>
      </c>
      <c r="EL111" s="33" t="n">
        <f aca="false">$F24*In_P50_Hours*(1-In_Curtailment)*(1-$E27)*(1-In_Degradation)^(EL108-1)*EL15*EL$6</f>
        <v>56030.618964371</v>
      </c>
      <c r="EM111" s="33" t="n">
        <f aca="false">$F24*In_P50_Hours*(1-In_Curtailment)*(1-$E27)*(1-In_Degradation)^(EM108-1)*EM15*EM$6</f>
        <v>55862.5271074779</v>
      </c>
      <c r="EN111" s="33" t="n">
        <f aca="false">$F24*In_P50_Hours*(1-In_Curtailment)*(1-$E27)*(1-In_Degradation)^(EN108-1)*EN15*EN$6</f>
        <v>55255.3257258749</v>
      </c>
      <c r="EO111" s="33" t="n">
        <f aca="false">$F24*In_P50_Hours*(1-In_Curtailment)*(1-$E27)*(1-In_Degradation)^(EO108-1)*EO15*EO$6</f>
        <v>55255.3257258749</v>
      </c>
      <c r="EP111" s="33" t="n">
        <f aca="false">$F24*In_P50_Hours*(1-In_Curtailment)*(1-$E27)*(1-In_Degradation)^(EP108-1)*EP15*EP$6</f>
        <v>55862.5271074779</v>
      </c>
      <c r="EQ111" s="33" t="n">
        <f aca="false">$F24*In_P50_Hours*(1-In_Curtailment)*(1-$E27)*(1-In_Degradation)^(EQ108-1)*EQ15*EQ$6</f>
        <v>55694.9395261554</v>
      </c>
      <c r="ER111" s="33" t="n">
        <f aca="false">$F24*In_P50_Hours*(1-In_Curtailment)*(1-$E27)*(1-In_Degradation)^(ER108-1)*ER15*ER$6</f>
        <v>54484.179971239</v>
      </c>
      <c r="ES111" s="33" t="n">
        <f aca="false">$F24*In_P50_Hours*(1-In_Curtailment)*(1-$E27)*(1-In_Degradation)^(ES108-1)*ES15*ES$6</f>
        <v>55089.5597486972</v>
      </c>
      <c r="ET111" s="33" t="n">
        <f aca="false">$F24*In_P50_Hours*(1-In_Curtailment)*(1-$E27)*(1-In_Degradation)^(ET108-1)*ET15*ET$6</f>
        <v>55694.9395261554</v>
      </c>
    </row>
    <row r="112" customFormat="false" ht="15" hidden="false" customHeight="false" outlineLevel="0" collapsed="false">
      <c r="C112" s="0" t="s">
        <v>557</v>
      </c>
      <c r="D112" s="11" t="s">
        <v>247</v>
      </c>
      <c r="I112" s="33" t="n">
        <f aca="false">SUM(J112:ET112)</f>
        <v>727113.739439716</v>
      </c>
      <c r="J112" s="33" t="n">
        <f aca="false">J111*J110/Thousand</f>
        <v>0</v>
      </c>
      <c r="K112" s="33" t="n">
        <f aca="false">K111*K110/Thousand</f>
        <v>0</v>
      </c>
      <c r="L112" s="33" t="n">
        <f aca="false">L111*L110/Thousand</f>
        <v>0</v>
      </c>
      <c r="M112" s="33" t="n">
        <f aca="false">M111*M110/Thousand</f>
        <v>0</v>
      </c>
      <c r="N112" s="33" t="n">
        <f aca="false">N111*N110/Thousand</f>
        <v>0</v>
      </c>
      <c r="O112" s="33" t="n">
        <f aca="false">O111*O110/Thousand</f>
        <v>0</v>
      </c>
      <c r="P112" s="33" t="n">
        <f aca="false">P111*P110/Thousand</f>
        <v>0</v>
      </c>
      <c r="Q112" s="33" t="n">
        <f aca="false">Q111*Q110/Thousand</f>
        <v>0</v>
      </c>
      <c r="R112" s="33" t="n">
        <f aca="false">R111*R110/Thousand</f>
        <v>0</v>
      </c>
      <c r="S112" s="33" t="n">
        <f aca="false">S111*S110/Thousand</f>
        <v>0</v>
      </c>
      <c r="T112" s="33" t="n">
        <f aca="false">T111*T110/Thousand</f>
        <v>0</v>
      </c>
      <c r="U112" s="33" t="n">
        <f aca="false">U111*U110/Thousand</f>
        <v>0</v>
      </c>
      <c r="V112" s="33" t="n">
        <f aca="false">V111*V110/Thousand</f>
        <v>0</v>
      </c>
      <c r="W112" s="33" t="n">
        <f aca="false">W111*W110/Thousand</f>
        <v>0</v>
      </c>
      <c r="X112" s="33" t="n">
        <f aca="false">X111*X110/Thousand</f>
        <v>0</v>
      </c>
      <c r="Y112" s="33" t="n">
        <f aca="false">Y111*Y110/Thousand</f>
        <v>0</v>
      </c>
      <c r="Z112" s="33" t="n">
        <f aca="false">Z111*Z110/Thousand</f>
        <v>0</v>
      </c>
      <c r="AA112" s="33" t="n">
        <f aca="false">AA111*AA110/Thousand</f>
        <v>0</v>
      </c>
      <c r="AB112" s="33" t="n">
        <f aca="false">AB111*AB110/Thousand</f>
        <v>0</v>
      </c>
      <c r="AC112" s="33" t="n">
        <f aca="false">AC111*AC110/Thousand</f>
        <v>0</v>
      </c>
      <c r="AD112" s="33" t="n">
        <f aca="false">AD111*AD110/Thousand</f>
        <v>0</v>
      </c>
      <c r="AE112" s="33" t="n">
        <f aca="false">AE111*AE110/Thousand</f>
        <v>5468.88328767123</v>
      </c>
      <c r="AF112" s="33" t="n">
        <f aca="false">AF111*AF110/Thousand</f>
        <v>5463.53329315069</v>
      </c>
      <c r="AG112" s="33" t="n">
        <f aca="false">AG111*AG110/Thousand</f>
        <v>5463.53329315069</v>
      </c>
      <c r="AH112" s="33" t="n">
        <f aca="false">AH111*AH110/Thousand</f>
        <v>5523.57212054795</v>
      </c>
      <c r="AI112" s="33" t="n">
        <f aca="false">AI111*AI110/Thousand</f>
        <v>5507.0014041863</v>
      </c>
      <c r="AJ112" s="33" t="n">
        <f aca="false">AJ111*AJ110/Thousand</f>
        <v>5441.15682217973</v>
      </c>
      <c r="AK112" s="33" t="n">
        <f aca="false">AK111*AK110/Thousand</f>
        <v>5501.61412020395</v>
      </c>
      <c r="AL112" s="33" t="n">
        <f aca="false">AL111*AL110/Thousand</f>
        <v>5562.07141822817</v>
      </c>
      <c r="AM112" s="33" t="n">
        <f aca="false">AM111*AM110/Thousand</f>
        <v>5545.38520397348</v>
      </c>
      <c r="AN112" s="33" t="n">
        <f aca="false">AN111*AN110/Thousand</f>
        <v>5479.08168523032</v>
      </c>
      <c r="AO112" s="33" t="n">
        <f aca="false">AO111*AO110/Thousand</f>
        <v>5539.96037062177</v>
      </c>
      <c r="AP112" s="33" t="n">
        <f aca="false">AP111*AP110/Thousand</f>
        <v>5600.83905601322</v>
      </c>
      <c r="AQ112" s="33" t="n">
        <f aca="false">AQ111*AQ110/Thousand</f>
        <v>5584.03653884518</v>
      </c>
      <c r="AR112" s="33" t="n">
        <f aca="false">AR111*AR110/Thousand</f>
        <v>5517.27088457637</v>
      </c>
      <c r="AS112" s="33" t="n">
        <f aca="false">AS111*AS110/Thousand</f>
        <v>5578.573894405</v>
      </c>
      <c r="AT112" s="33" t="n">
        <f aca="false">AT111*AT110/Thousand</f>
        <v>5639.87690423363</v>
      </c>
      <c r="AU112" s="33" t="n">
        <f aca="false">AU111*AU110/Thousand</f>
        <v>5622.95727352093</v>
      </c>
      <c r="AV112" s="33" t="n">
        <f aca="false">AV111*AV110/Thousand</f>
        <v>5617.456554449</v>
      </c>
      <c r="AW112" s="33" t="n">
        <f aca="false">AW111*AW110/Thousand</f>
        <v>5617.456554449</v>
      </c>
      <c r="AX112" s="33" t="n">
        <f aca="false">AX111*AX110/Thousand</f>
        <v>5679.18684625614</v>
      </c>
      <c r="AY112" s="33" t="n">
        <f aca="false">AY111*AY110/Thousand</f>
        <v>5662.14928571737</v>
      </c>
      <c r="AZ112" s="33" t="n">
        <f aca="false">AZ111*AZ110/Thousand</f>
        <v>5594.44967469249</v>
      </c>
      <c r="BA112" s="33" t="n">
        <f aca="false">BA111*BA110/Thousand</f>
        <v>5656.61022663352</v>
      </c>
      <c r="BB112" s="33" t="n">
        <f aca="false">BB111*BB110/Thousand</f>
        <v>5718.77077857454</v>
      </c>
      <c r="BC112" s="33" t="n">
        <f aca="false">BC111*BC110/Thousand</f>
        <v>5701.61446623882</v>
      </c>
      <c r="BD112" s="33" t="n">
        <f aca="false">BD111*BD110/Thousand</f>
        <v>5633.44298892509</v>
      </c>
      <c r="BE112" s="33" t="n">
        <f aca="false">BE111*BE110/Thousand</f>
        <v>5696.03679991315</v>
      </c>
      <c r="BF112" s="33" t="n">
        <f aca="false">BF111*BF110/Thousand</f>
        <v>5758.63061090121</v>
      </c>
      <c r="BG112" s="33" t="n">
        <f aca="false">BG111*BG110/Thousand</f>
        <v>5741.3547190685</v>
      </c>
      <c r="BH112" s="33" t="n">
        <f aca="false">BH111*BH110/Thousand</f>
        <v>5672.7080865579</v>
      </c>
      <c r="BI112" s="33" t="n">
        <f aca="false">BI111*BI110/Thousand</f>
        <v>5735.73817640854</v>
      </c>
      <c r="BJ112" s="33" t="n">
        <f aca="false">BJ111*BJ110/Thousand</f>
        <v>5798.76826625919</v>
      </c>
      <c r="BK112" s="33" t="n">
        <f aca="false">BK111*BK110/Thousand</f>
        <v>5781.37196146041</v>
      </c>
      <c r="BL112" s="33" t="n">
        <f aca="false">BL111*BL110/Thousand</f>
        <v>5775.71627149811</v>
      </c>
      <c r="BM112" s="33" t="n">
        <f aca="false">BM111*BM110/Thousand</f>
        <v>5775.71627149811</v>
      </c>
      <c r="BN112" s="33" t="n">
        <f aca="false">BN111*BN110/Thousand</f>
        <v>5839.18568107501</v>
      </c>
      <c r="BO112" s="33" t="n">
        <f aca="false">BO111*BO110/Thousand</f>
        <v>5821.66812403179</v>
      </c>
      <c r="BP112" s="33" t="n">
        <f aca="false">BP111*BP110/Thousand</f>
        <v>5752.0612225488</v>
      </c>
      <c r="BQ112" s="33" t="n">
        <f aca="false">BQ111*BQ110/Thousand</f>
        <v>5815.97301391045</v>
      </c>
      <c r="BR112" s="33" t="n">
        <f aca="false">BR111*BR110/Thousand</f>
        <v>5879.88480527211</v>
      </c>
      <c r="BS112" s="33" t="n">
        <f aca="false">BS111*BS110/Thousand</f>
        <v>5862.24515085629</v>
      </c>
      <c r="BT112" s="33" t="n">
        <f aca="false">BT111*BT110/Thousand</f>
        <v>5792.15308926996</v>
      </c>
      <c r="BU112" s="33" t="n">
        <f aca="false">BU111*BU110/Thousand</f>
        <v>5856.51034581741</v>
      </c>
      <c r="BV112" s="33" t="n">
        <f aca="false">BV111*BV110/Thousand</f>
        <v>5920.86760236485</v>
      </c>
      <c r="BW112" s="33" t="n">
        <f aca="false">BW111*BW110/Thousand</f>
        <v>5903.10499955776</v>
      </c>
      <c r="BX112" s="33" t="n">
        <f aca="false">BX111*BX110/Thousand</f>
        <v>5832.52439630218</v>
      </c>
      <c r="BY112" s="33" t="n">
        <f aca="false">BY111*BY110/Thousand</f>
        <v>5897.33022292776</v>
      </c>
      <c r="BZ112" s="33" t="n">
        <f aca="false">BZ111*BZ110/Thousand</f>
        <v>5962.13604955334</v>
      </c>
      <c r="CA112" s="33" t="n">
        <f aca="false">CA111*CA110/Thousand</f>
        <v>5944.24964140468</v>
      </c>
      <c r="CB112" s="33" t="n">
        <f aca="false">CB111*CB110/Thousand</f>
        <v>5938.43461458156</v>
      </c>
      <c r="CC112" s="33" t="n">
        <f aca="false">CC111*CC110/Thousand</f>
        <v>5938.43461458156</v>
      </c>
      <c r="CD112" s="33" t="n">
        <f aca="false">CD111*CD110/Thousand</f>
        <v>6003.69213781872</v>
      </c>
      <c r="CE112" s="33" t="n">
        <f aca="false">CE111*CE110/Thousand</f>
        <v>5985.68106140527</v>
      </c>
      <c r="CF112" s="33" t="n">
        <f aca="false">CF111*CF110/Thousand</f>
        <v>5914.11313567107</v>
      </c>
      <c r="CG112" s="33" t="n">
        <f aca="false">CG111*CG110/Thousand</f>
        <v>5979.8255038452</v>
      </c>
      <c r="CH112" s="33" t="n">
        <f aca="false">CH111*CH110/Thousand</f>
        <v>6045.53787201932</v>
      </c>
      <c r="CI112" s="33" t="n">
        <f aca="false">CI111*CI110/Thousand</f>
        <v>6027.40125840326</v>
      </c>
      <c r="CJ112" s="33" t="n">
        <f aca="false">CJ111*CJ110/Thousand</f>
        <v>5955.3345042267</v>
      </c>
      <c r="CK112" s="33" t="n">
        <f aca="false">CK111*CK110/Thousand</f>
        <v>6021.504887607</v>
      </c>
      <c r="CL112" s="33" t="n">
        <f aca="false">CL111*CL110/Thousand</f>
        <v>6087.67527098729</v>
      </c>
      <c r="CM112" s="33" t="n">
        <f aca="false">CM111*CM110/Thousand</f>
        <v>6069.41224517433</v>
      </c>
      <c r="CN112" s="33" t="n">
        <f aca="false">CN111*CN110/Thousand</f>
        <v>5996.84318572116</v>
      </c>
      <c r="CO112" s="33" t="n">
        <f aca="false">CO111*CO110/Thousand</f>
        <v>6063.47477667362</v>
      </c>
      <c r="CP112" s="33" t="n">
        <f aca="false">CP111*CP110/Thousand</f>
        <v>6130.10636762608</v>
      </c>
      <c r="CQ112" s="33" t="n">
        <f aca="false">CQ111*CQ110/Thousand</f>
        <v>6111.7160485232</v>
      </c>
      <c r="CR112" s="33" t="n">
        <f aca="false">CR111*CR110/Thousand</f>
        <v>6105.73719586703</v>
      </c>
      <c r="CS112" s="33" t="n">
        <f aca="false">CS111*CS110/Thousand</f>
        <v>6105.73719586703</v>
      </c>
      <c r="CT112" s="33" t="n">
        <f aca="false">CT111*CT110/Thousand</f>
        <v>6172.83320900843</v>
      </c>
      <c r="CU112" s="33" t="n">
        <f aca="false">CU111*CU110/Thousand</f>
        <v>6154.3147093814</v>
      </c>
      <c r="CV112" s="33" t="n">
        <f aca="false">CV111*CV110/Thousand</f>
        <v>6080.73051176923</v>
      </c>
      <c r="CW112" s="33" t="n">
        <f aca="false">CW111*CW110/Thousand</f>
        <v>6148.29418412223</v>
      </c>
      <c r="CX112" s="33" t="n">
        <f aca="false">CX111*CX110/Thousand</f>
        <v>6215.85785647522</v>
      </c>
      <c r="CY112" s="33" t="n">
        <f aca="false">CY111*CY110/Thousand</f>
        <v>6197.21028290579</v>
      </c>
      <c r="CZ112" s="33" t="n">
        <f aca="false">CZ111*CZ110/Thousand</f>
        <v>6123.11320343627</v>
      </c>
      <c r="DA112" s="33" t="n">
        <f aca="false">DA111*DA110/Thousand</f>
        <v>6191.14779458556</v>
      </c>
      <c r="DB112" s="33" t="n">
        <f aca="false">DB111*DB110/Thousand</f>
        <v>6259.18238573485</v>
      </c>
      <c r="DC112" s="33" t="n">
        <f aca="false">DC111*DC110/Thousand</f>
        <v>6240.40483857765</v>
      </c>
      <c r="DD112" s="33" t="n">
        <f aca="false">DD111*DD110/Thousand</f>
        <v>6165.79130246422</v>
      </c>
      <c r="DE112" s="33" t="n">
        <f aca="false">DE111*DE110/Thousand</f>
        <v>6234.30009471382</v>
      </c>
      <c r="DF112" s="33" t="n">
        <f aca="false">DF111*DF110/Thousand</f>
        <v>6302.80888696342</v>
      </c>
      <c r="DG112" s="33" t="n">
        <f aca="false">DG111*DG110/Thousand</f>
        <v>6283.90046030253</v>
      </c>
      <c r="DH112" s="33" t="n">
        <f aca="false">DH111*DH110/Thousand</f>
        <v>6277.75316637398</v>
      </c>
      <c r="DI112" s="33" t="n">
        <f aca="false">DI111*DI110/Thousand</f>
        <v>6277.75316637398</v>
      </c>
      <c r="DJ112" s="33" t="n">
        <f aca="false">DJ111*DJ110/Thousand</f>
        <v>6346.73946490556</v>
      </c>
      <c r="DK112" s="33" t="n">
        <f aca="false">DK111*DK110/Thousand</f>
        <v>6327.69924651084</v>
      </c>
      <c r="DL112" s="33" t="n">
        <f aca="false">DL111*DL110/Thousand</f>
        <v>6252.04197291125</v>
      </c>
      <c r="DM112" s="33" t="n">
        <f aca="false">DM111*DM110/Thousand</f>
        <v>6321.5091059436</v>
      </c>
      <c r="DN112" s="33" t="n">
        <f aca="false">DN111*DN110/Thousand</f>
        <v>6390.97623897595</v>
      </c>
      <c r="DO112" s="33" t="n">
        <f aca="false">DO111*DO110/Thousand</f>
        <v>6371.80331025902</v>
      </c>
      <c r="DP112" s="33" t="n">
        <f aca="false">DP111*DP110/Thousand</f>
        <v>6295.61870546244</v>
      </c>
      <c r="DQ112" s="33" t="n">
        <f aca="false">DQ111*DQ110/Thousand</f>
        <v>6365.57002441203</v>
      </c>
      <c r="DR112" s="33" t="n">
        <f aca="false">DR111*DR110/Thousand</f>
        <v>6435.52134336161</v>
      </c>
      <c r="DS112" s="33" t="n">
        <f aca="false">DS111*DS110/Thousand</f>
        <v>6416.21477933153</v>
      </c>
      <c r="DT112" s="33" t="n">
        <f aca="false">DT111*DT110/Thousand</f>
        <v>6339.49916783952</v>
      </c>
      <c r="DU112" s="33" t="n">
        <f aca="false">DU111*DU110/Thousand</f>
        <v>6409.93804748218</v>
      </c>
      <c r="DV112" s="33" t="n">
        <f aca="false">DV111*DV110/Thousand</f>
        <v>6480.37692712484</v>
      </c>
      <c r="DW112" s="33" t="n">
        <f aca="false">DW111*DW110/Thousand</f>
        <v>6460.93579634347</v>
      </c>
      <c r="DX112" s="33" t="n">
        <f aca="false">DX111*DX110/Thousand</f>
        <v>6454.61531567313</v>
      </c>
      <c r="DY112" s="33" t="n">
        <f aca="false">DY111*DY110/Thousand</f>
        <v>6454.61531567313</v>
      </c>
      <c r="DZ112" s="33" t="n">
        <f aca="false">DZ111*DZ110/Thousand</f>
        <v>6525.5451543069</v>
      </c>
      <c r="EA112" s="33" t="n">
        <f aca="false">EA111*EA110/Thousand</f>
        <v>6505.96851884398</v>
      </c>
      <c r="EB112" s="33" t="n">
        <f aca="false">EB111*EB110/Thousand</f>
        <v>6428.17976481433</v>
      </c>
      <c r="EC112" s="33" t="n">
        <f aca="false">EC111*EC110/Thousand</f>
        <v>6499.60398442337</v>
      </c>
      <c r="ED112" s="33" t="n">
        <f aca="false">ED111*ED110/Thousand</f>
        <v>6571.02820403242</v>
      </c>
      <c r="EE112" s="33" t="n">
        <f aca="false">EE111*EE110/Thousand</f>
        <v>6551.31511942033</v>
      </c>
      <c r="EF112" s="33" t="n">
        <f aca="false">EF111*EF110/Thousand</f>
        <v>6472.98417777508</v>
      </c>
      <c r="EG112" s="33" t="n">
        <f aca="false">EG111*EG110/Thousand</f>
        <v>6544.90622419481</v>
      </c>
      <c r="EH112" s="33" t="n">
        <f aca="false">EH111*EH110/Thousand</f>
        <v>6616.82827061453</v>
      </c>
      <c r="EI112" s="33" t="n">
        <f aca="false">EI111*EI110/Thousand</f>
        <v>6596.97778580269</v>
      </c>
      <c r="EJ112" s="33" t="n">
        <f aca="false">EJ111*EJ110/Thousand</f>
        <v>6518.10087749417</v>
      </c>
      <c r="EK112" s="33" t="n">
        <f aca="false">EK111*EK110/Thousand</f>
        <v>6590.52422057744</v>
      </c>
      <c r="EL112" s="33" t="n">
        <f aca="false">EL111*EL110/Thousand</f>
        <v>6662.94756366071</v>
      </c>
      <c r="EM112" s="33" t="n">
        <f aca="false">EM111*EM110/Thousand</f>
        <v>6642.95872096973</v>
      </c>
      <c r="EN112" s="33" t="n">
        <f aca="false">EN111*EN110/Thousand</f>
        <v>6636.46017439487</v>
      </c>
      <c r="EO112" s="33" t="n">
        <f aca="false">EO111*EO110/Thousand</f>
        <v>6636.46017439487</v>
      </c>
      <c r="EP112" s="33" t="n">
        <f aca="false">EP111*EP110/Thousand</f>
        <v>6709.38830817943</v>
      </c>
      <c r="EQ112" s="33" t="n">
        <f aca="false">EQ111*EQ110/Thousand</f>
        <v>6689.26014325489</v>
      </c>
      <c r="ER112" s="33" t="n">
        <f aca="false">ER111*ER110/Thousand</f>
        <v>6609.27985893336</v>
      </c>
      <c r="ES112" s="33" t="n">
        <f aca="false">ES111*ES110/Thousand</f>
        <v>6682.7163018104</v>
      </c>
      <c r="ET112" s="33" t="n">
        <f aca="false">ET111*ET110/Thousand</f>
        <v>6756.15274468744</v>
      </c>
    </row>
    <row r="113" customFormat="false" ht="15" hidden="false" customHeight="false" outlineLevel="0" collapsed="false">
      <c r="C113" s="0" t="s">
        <v>558</v>
      </c>
      <c r="D113" s="11" t="s">
        <v>247</v>
      </c>
      <c r="I113" s="33" t="n">
        <f aca="false">SUM(J113:ET113)</f>
        <v>-51382.5373327149</v>
      </c>
      <c r="J113" s="33" t="n">
        <f aca="false">-In_Var_Opex*J111*J109/Thousand</f>
        <v>-0</v>
      </c>
      <c r="K113" s="33" t="n">
        <f aca="false">-In_Var_Opex*K111*K109/Thousand</f>
        <v>-0</v>
      </c>
      <c r="L113" s="33" t="n">
        <f aca="false">-In_Var_Opex*L111*L109/Thousand</f>
        <v>-0</v>
      </c>
      <c r="M113" s="33" t="n">
        <f aca="false">-In_Var_Opex*M111*M109/Thousand</f>
        <v>-0</v>
      </c>
      <c r="N113" s="33" t="n">
        <f aca="false">-In_Var_Opex*N111*N109/Thousand</f>
        <v>-0</v>
      </c>
      <c r="O113" s="33" t="n">
        <f aca="false">-In_Var_Opex*O111*O109/Thousand</f>
        <v>-0</v>
      </c>
      <c r="P113" s="33" t="n">
        <f aca="false">-In_Var_Opex*P111*P109/Thousand</f>
        <v>-0</v>
      </c>
      <c r="Q113" s="33" t="n">
        <f aca="false">-In_Var_Opex*Q111*Q109/Thousand</f>
        <v>-0</v>
      </c>
      <c r="R113" s="33" t="n">
        <f aca="false">-In_Var_Opex*R111*R109/Thousand</f>
        <v>-0</v>
      </c>
      <c r="S113" s="33" t="n">
        <f aca="false">-In_Var_Opex*S111*S109/Thousand</f>
        <v>-0</v>
      </c>
      <c r="T113" s="33" t="n">
        <f aca="false">-In_Var_Opex*T111*T109/Thousand</f>
        <v>-0</v>
      </c>
      <c r="U113" s="33" t="n">
        <f aca="false">-In_Var_Opex*U111*U109/Thousand</f>
        <v>-0</v>
      </c>
      <c r="V113" s="33" t="n">
        <f aca="false">-In_Var_Opex*V111*V109/Thousand</f>
        <v>-0</v>
      </c>
      <c r="W113" s="33" t="n">
        <f aca="false">-In_Var_Opex*W111*W109/Thousand</f>
        <v>-0</v>
      </c>
      <c r="X113" s="33" t="n">
        <f aca="false">-In_Var_Opex*X111*X109/Thousand</f>
        <v>-0</v>
      </c>
      <c r="Y113" s="33" t="n">
        <f aca="false">-In_Var_Opex*Y111*Y109/Thousand</f>
        <v>-0</v>
      </c>
      <c r="Z113" s="33" t="n">
        <f aca="false">-In_Var_Opex*Z111*Z109/Thousand</f>
        <v>-0</v>
      </c>
      <c r="AA113" s="33" t="n">
        <f aca="false">-In_Var_Opex*AA111*AA109/Thousand</f>
        <v>-0</v>
      </c>
      <c r="AB113" s="33" t="n">
        <f aca="false">-In_Var_Opex*AB111*AB109/Thousand</f>
        <v>-0</v>
      </c>
      <c r="AC113" s="33" t="n">
        <f aca="false">-In_Var_Opex*AC111*AC109/Thousand</f>
        <v>-0</v>
      </c>
      <c r="AD113" s="33" t="n">
        <f aca="false">-In_Var_Opex*AD111*AD109/Thousand</f>
        <v>-0</v>
      </c>
      <c r="AE113" s="33" t="n">
        <f aca="false">-In_Var_Opex*AE111*AE109/Thousand</f>
        <v>-303.826849315069</v>
      </c>
      <c r="AF113" s="33" t="n">
        <f aca="false">-In_Var_Opex*AF111*AF109/Thousand</f>
        <v>-308.037493150685</v>
      </c>
      <c r="AG113" s="33" t="n">
        <f aca="false">-In_Var_Opex*AG111*AG109/Thousand</f>
        <v>-308.037493150685</v>
      </c>
      <c r="AH113" s="33" t="n">
        <f aca="false">-In_Var_Opex*AH111*AH109/Thousand</f>
        <v>-311.422520547945</v>
      </c>
      <c r="AI113" s="33" t="n">
        <f aca="false">-In_Var_Opex*AI111*AI109/Thousand</f>
        <v>-310.488252986301</v>
      </c>
      <c r="AJ113" s="33" t="n">
        <f aca="false">-In_Var_Opex*AJ111*AJ109/Thousand</f>
        <v>-311.331971065068</v>
      </c>
      <c r="AK113" s="33" t="n">
        <f aca="false">-In_Var_Opex*AK111*AK109/Thousand</f>
        <v>-314.791215188014</v>
      </c>
      <c r="AL113" s="33" t="n">
        <f aca="false">-In_Var_Opex*AL111*AL109/Thousand</f>
        <v>-318.250459310959</v>
      </c>
      <c r="AM113" s="33" t="n">
        <f aca="false">-In_Var_Opex*AM111*AM109/Thousand</f>
        <v>-317.295707933026</v>
      </c>
      <c r="AN113" s="33" t="n">
        <f aca="false">-In_Var_Opex*AN111*AN109/Thousand</f>
        <v>-318.15792453067</v>
      </c>
      <c r="AO113" s="33" t="n">
        <f aca="false">-In_Var_Opex*AO111*AO109/Thousand</f>
        <v>-321.693012581011</v>
      </c>
      <c r="AP113" s="33" t="n">
        <f aca="false">-In_Var_Opex*AP111*AP109/Thousand</f>
        <v>-325.228100631352</v>
      </c>
      <c r="AQ113" s="33" t="n">
        <f aca="false">-In_Var_Opex*AQ111*AQ109/Thousand</f>
        <v>-324.252416329458</v>
      </c>
      <c r="AR113" s="33" t="n">
        <f aca="false">-In_Var_Opex*AR111*AR109/Thousand</f>
        <v>-325.133537026005</v>
      </c>
      <c r="AS113" s="33" t="n">
        <f aca="false">-In_Var_Opex*AS111*AS109/Thousand</f>
        <v>-328.746131881849</v>
      </c>
      <c r="AT113" s="33" t="n">
        <f aca="false">-In_Var_Opex*AT111*AT109/Thousand</f>
        <v>-332.358726737694</v>
      </c>
      <c r="AU113" s="33" t="n">
        <f aca="false">-In_Var_Opex*AU111*AU109/Thousand</f>
        <v>-331.361650557481</v>
      </c>
      <c r="AV113" s="33" t="n">
        <f aca="false">-In_Var_Opex*AV111*AV109/Thousand</f>
        <v>-335.953890823359</v>
      </c>
      <c r="AW113" s="33" t="n">
        <f aca="false">-In_Var_Opex*AW111*AW109/Thousand</f>
        <v>-335.953890823359</v>
      </c>
      <c r="AX113" s="33" t="n">
        <f aca="false">-In_Var_Opex*AX111*AX109/Thousand</f>
        <v>-339.645691821418</v>
      </c>
      <c r="AY113" s="33" t="n">
        <f aca="false">-In_Var_Opex*AY111*AY109/Thousand</f>
        <v>-338.626754745954</v>
      </c>
      <c r="AZ113" s="33" t="n">
        <f aca="false">-In_Var_Opex*AZ111*AZ109/Thousand</f>
        <v>-339.54693614472</v>
      </c>
      <c r="BA113" s="33" t="n">
        <f aca="false">-In_Var_Opex*BA111*BA109/Thousand</f>
        <v>-343.319679879661</v>
      </c>
      <c r="BB113" s="33" t="n">
        <f aca="false">-In_Var_Opex*BB111*BB109/Thousand</f>
        <v>-347.092423614602</v>
      </c>
      <c r="BC113" s="33" t="n">
        <f aca="false">-In_Var_Opex*BC111*BC109/Thousand</f>
        <v>-346.051146343759</v>
      </c>
      <c r="BD113" s="33" t="n">
        <f aca="false">-In_Var_Opex*BD111*BD109/Thousand</f>
        <v>-346.991502719693</v>
      </c>
      <c r="BE113" s="33" t="n">
        <f aca="false">-In_Var_Opex*BE111*BE109/Thousand</f>
        <v>-350.846963861023</v>
      </c>
      <c r="BF113" s="33" t="n">
        <f aca="false">-In_Var_Opex*BF111*BF109/Thousand</f>
        <v>-354.702425002353</v>
      </c>
      <c r="BG113" s="33" t="n">
        <f aca="false">-In_Var_Opex*BG111*BG109/Thousand</f>
        <v>-353.638317727346</v>
      </c>
      <c r="BH113" s="33" t="n">
        <f aca="false">-In_Var_Opex*BH111*BH109/Thousand</f>
        <v>-354.599291416822</v>
      </c>
      <c r="BI113" s="33" t="n">
        <f aca="false">-In_Var_Opex*BI111*BI109/Thousand</f>
        <v>-358.539283543675</v>
      </c>
      <c r="BJ113" s="33" t="n">
        <f aca="false">-In_Var_Opex*BJ111*BJ109/Thousand</f>
        <v>-362.479275670529</v>
      </c>
      <c r="BK113" s="33" t="n">
        <f aca="false">-In_Var_Opex*BK111*BK109/Thousand</f>
        <v>-361.391837843517</v>
      </c>
      <c r="BL113" s="33" t="n">
        <f aca="false">-In_Var_Opex*BL111*BL109/Thousand</f>
        <v>-366.400257335371</v>
      </c>
      <c r="BM113" s="33" t="n">
        <f aca="false">-In_Var_Opex*BM111*BM109/Thousand</f>
        <v>-366.400257335371</v>
      </c>
      <c r="BN113" s="33" t="n">
        <f aca="false">-In_Var_Opex*BN111*BN109/Thousand</f>
        <v>-370.426633789605</v>
      </c>
      <c r="BO113" s="33" t="n">
        <f aca="false">-In_Var_Opex*BO111*BO109/Thousand</f>
        <v>-369.315353888237</v>
      </c>
      <c r="BP113" s="33" t="n">
        <f aca="false">-In_Var_Opex*BP111*BP109/Thousand</f>
        <v>-370.318928219455</v>
      </c>
      <c r="BQ113" s="33" t="n">
        <f aca="false">-In_Var_Opex*BQ111*BQ109/Thousand</f>
        <v>-374.433582977449</v>
      </c>
      <c r="BR113" s="33" t="n">
        <f aca="false">-In_Var_Opex*BR111*BR109/Thousand</f>
        <v>-378.548237735442</v>
      </c>
      <c r="BS113" s="33" t="n">
        <f aca="false">-In_Var_Opex*BS111*BS109/Thousand</f>
        <v>-377.412593022236</v>
      </c>
      <c r="BT113" s="33" t="n">
        <f aca="false">-In_Var_Opex*BT111*BT109/Thousand</f>
        <v>-378.438170720666</v>
      </c>
      <c r="BU113" s="33" t="n">
        <f aca="false">-In_Var_Opex*BU111*BU109/Thousand</f>
        <v>-382.643039284229</v>
      </c>
      <c r="BV113" s="33" t="n">
        <f aca="false">-In_Var_Opex*BV111*BV109/Thousand</f>
        <v>-386.847907847792</v>
      </c>
      <c r="BW113" s="33" t="n">
        <f aca="false">-In_Var_Opex*BW111*BW109/Thousand</f>
        <v>-385.687364124249</v>
      </c>
      <c r="BX113" s="33" t="n">
        <f aca="false">-In_Var_Opex*BX111*BX109/Thousand</f>
        <v>-386.735427613717</v>
      </c>
      <c r="BY113" s="33" t="n">
        <f aca="false">-In_Var_Opex*BY111*BY109/Thousand</f>
        <v>-391.032487920536</v>
      </c>
      <c r="BZ113" s="33" t="n">
        <f aca="false">-In_Var_Opex*BZ111*BZ109/Thousand</f>
        <v>-395.329548227355</v>
      </c>
      <c r="CA113" s="33" t="n">
        <f aca="false">-In_Var_Opex*CA111*CA109/Thousand</f>
        <v>-394.143559582673</v>
      </c>
      <c r="CB113" s="33" t="n">
        <f aca="false">-In_Var_Opex*CB111*CB109/Thousand</f>
        <v>-399.605875218193</v>
      </c>
      <c r="CC113" s="33" t="n">
        <f aca="false">-In_Var_Opex*CC111*CC109/Thousand</f>
        <v>-399.605875218193</v>
      </c>
      <c r="CD113" s="33" t="n">
        <f aca="false">-In_Var_Opex*CD111*CD109/Thousand</f>
        <v>-403.99714857224</v>
      </c>
      <c r="CE113" s="33" t="n">
        <f aca="false">-In_Var_Opex*CE111*CE109/Thousand</f>
        <v>-402.785157126523</v>
      </c>
      <c r="CF113" s="33" t="n">
        <f aca="false">-In_Var_Opex*CF111*CF109/Thousand</f>
        <v>-403.879682010019</v>
      </c>
      <c r="CG113" s="33" t="n">
        <f aca="false">-In_Var_Opex*CG111*CG109/Thousand</f>
        <v>-408.367234032352</v>
      </c>
      <c r="CH113" s="33" t="n">
        <f aca="false">-In_Var_Opex*CH111*CH109/Thousand</f>
        <v>-412.854786054686</v>
      </c>
      <c r="CI113" s="33" t="n">
        <f aca="false">-In_Var_Opex*CI111*CI109/Thousand</f>
        <v>-411.616221696522</v>
      </c>
      <c r="CJ113" s="33" t="n">
        <f aca="false">-In_Var_Opex*CJ111*CJ109/Thousand</f>
        <v>-412.734744038088</v>
      </c>
      <c r="CK113" s="33" t="n">
        <f aca="false">-In_Var_Opex*CK111*CK109/Thousand</f>
        <v>-417.320685638512</v>
      </c>
      <c r="CL113" s="33" t="n">
        <f aca="false">-In_Var_Opex*CL111*CL109/Thousand</f>
        <v>-421.906627238935</v>
      </c>
      <c r="CM113" s="33" t="n">
        <f aca="false">-In_Var_Opex*CM111*CM109/Thousand</f>
        <v>-420.640907357218</v>
      </c>
      <c r="CN113" s="33" t="n">
        <f aca="false">-In_Var_Opex*CN111*CN109/Thousand</f>
        <v>-421.783953301123</v>
      </c>
      <c r="CO113" s="33" t="n">
        <f aca="false">-In_Var_Opex*CO111*CO109/Thousand</f>
        <v>-426.470441671136</v>
      </c>
      <c r="CP113" s="33" t="n">
        <f aca="false">-In_Var_Opex*CP111*CP109/Thousand</f>
        <v>-431.156930041149</v>
      </c>
      <c r="CQ113" s="33" t="n">
        <f aca="false">-In_Var_Opex*CQ111*CQ109/Thousand</f>
        <v>-429.863459251025</v>
      </c>
      <c r="CR113" s="33" t="n">
        <f aca="false">-In_Var_Opex*CR111*CR109/Thousand</f>
        <v>-435.820806104776</v>
      </c>
      <c r="CS113" s="33" t="n">
        <f aca="false">-In_Var_Opex*CS111*CS109/Thousand</f>
        <v>-435.820806104776</v>
      </c>
      <c r="CT113" s="33" t="n">
        <f aca="false">-In_Var_Opex*CT111*CT109/Thousand</f>
        <v>-440.610045732301</v>
      </c>
      <c r="CU113" s="33" t="n">
        <f aca="false">-In_Var_Opex*CU111*CU109/Thousand</f>
        <v>-439.288215595104</v>
      </c>
      <c r="CV113" s="33" t="n">
        <f aca="false">-In_Var_Opex*CV111*CV109/Thousand</f>
        <v>-440.481933572264</v>
      </c>
      <c r="CW113" s="33" t="n">
        <f aca="false">-In_Var_Opex*CW111*CW109/Thousand</f>
        <v>-445.376177278623</v>
      </c>
      <c r="CX113" s="33" t="n">
        <f aca="false">-In_Var_Opex*CX111*CX109/Thousand</f>
        <v>-450.270420984981</v>
      </c>
      <c r="CY113" s="33" t="n">
        <f aca="false">-In_Var_Opex*CY111*CY109/Thousand</f>
        <v>-448.919609722026</v>
      </c>
      <c r="CZ113" s="33" t="n">
        <f aca="false">-In_Var_Opex*CZ111*CZ109/Thousand</f>
        <v>-450.139499965836</v>
      </c>
      <c r="DA113" s="33" t="n">
        <f aca="false">-In_Var_Opex*DA111*DA109/Thousand</f>
        <v>-455.141049965457</v>
      </c>
      <c r="DB113" s="33" t="n">
        <f aca="false">-In_Var_Opex*DB111*DB109/Thousand</f>
        <v>-460.142599965077</v>
      </c>
      <c r="DC113" s="33" t="n">
        <f aca="false">-In_Var_Opex*DC111*DC109/Thousand</f>
        <v>-458.762172165182</v>
      </c>
      <c r="DD113" s="33" t="n">
        <f aca="false">-In_Var_Opex*DD111*DD109/Thousand</f>
        <v>-460.008808502587</v>
      </c>
      <c r="DE113" s="33" t="n">
        <f aca="false">-In_Var_Opex*DE111*DE109/Thousand</f>
        <v>-465.120017485949</v>
      </c>
      <c r="DF113" s="33" t="n">
        <f aca="false">-In_Var_Opex*DF111*DF109/Thousand</f>
        <v>-470.231226469311</v>
      </c>
      <c r="DG113" s="33" t="n">
        <f aca="false">-In_Var_Opex*DG111*DG109/Thousand</f>
        <v>-468.820532789903</v>
      </c>
      <c r="DH113" s="33" t="n">
        <f aca="false">-In_Var_Opex*DH111*DH109/Thousand</f>
        <v>-475.317773869328</v>
      </c>
      <c r="DI113" s="33" t="n">
        <f aca="false">-In_Var_Opex*DI111*DI109/Thousand</f>
        <v>-475.317773869328</v>
      </c>
      <c r="DJ113" s="33" t="n">
        <f aca="false">-In_Var_Opex*DJ111*DJ109/Thousand</f>
        <v>-480.541046109651</v>
      </c>
      <c r="DK113" s="33" t="n">
        <f aca="false">-In_Var_Opex*DK111*DK109/Thousand</f>
        <v>-479.099422971322</v>
      </c>
      <c r="DL113" s="33" t="n">
        <f aca="false">-In_Var_Opex*DL111*DL109/Thousand</f>
        <v>-480.401323577222</v>
      </c>
      <c r="DM113" s="33" t="n">
        <f aca="false">-In_Var_Opex*DM111*DM109/Thousand</f>
        <v>-485.739116061413</v>
      </c>
      <c r="DN113" s="33" t="n">
        <f aca="false">-In_Var_Opex*DN111*DN109/Thousand</f>
        <v>-491.076908545605</v>
      </c>
      <c r="DO113" s="33" t="n">
        <f aca="false">-In_Var_Opex*DO111*DO109/Thousand</f>
        <v>-489.603677819968</v>
      </c>
      <c r="DP113" s="33" t="n">
        <f aca="false">-In_Var_Opex*DP111*DP109/Thousand</f>
        <v>-490.934122596653</v>
      </c>
      <c r="DQ113" s="33" t="n">
        <f aca="false">-In_Var_Opex*DQ111*DQ109/Thousand</f>
        <v>-496.38894618106</v>
      </c>
      <c r="DR113" s="33" t="n">
        <f aca="false">-In_Var_Opex*DR111*DR109/Thousand</f>
        <v>-501.843769765467</v>
      </c>
      <c r="DS113" s="33" t="n">
        <f aca="false">-In_Var_Opex*DS111*DS109/Thousand</f>
        <v>-500.338238456171</v>
      </c>
      <c r="DT113" s="33" t="n">
        <f aca="false">-In_Var_Opex*DT111*DT109/Thousand</f>
        <v>-501.697853234584</v>
      </c>
      <c r="DU113" s="33" t="n">
        <f aca="false">-In_Var_Opex*DU111*DU109/Thousand</f>
        <v>-507.27227382608</v>
      </c>
      <c r="DV113" s="33" t="n">
        <f aca="false">-In_Var_Opex*DV111*DV109/Thousand</f>
        <v>-512.846694417575</v>
      </c>
      <c r="DW113" s="33" t="n">
        <f aca="false">-In_Var_Opex*DW111*DW109/Thousand</f>
        <v>-511.308154334322</v>
      </c>
      <c r="DX113" s="33" t="n">
        <f aca="false">-In_Var_Opex*DX111*DX109/Thousand</f>
        <v>-518.394218429716</v>
      </c>
      <c r="DY113" s="33" t="n">
        <f aca="false">-In_Var_Opex*DY111*DY109/Thousand</f>
        <v>-518.394218429716</v>
      </c>
      <c r="DZ113" s="33" t="n">
        <f aca="false">-In_Var_Opex*DZ111*DZ109/Thousand</f>
        <v>-524.09085819268</v>
      </c>
      <c r="EA113" s="33" t="n">
        <f aca="false">-In_Var_Opex*EA111*EA109/Thousand</f>
        <v>-522.518585618102</v>
      </c>
      <c r="EB113" s="33" t="n">
        <f aca="false">-In_Var_Opex*EB111*EB109/Thousand</f>
        <v>-523.938473079021</v>
      </c>
      <c r="EC113" s="33" t="n">
        <f aca="false">-In_Var_Opex*EC111*EC109/Thousand</f>
        <v>-529.760011668788</v>
      </c>
      <c r="ED113" s="33" t="n">
        <f aca="false">-In_Var_Opex*ED111*ED109/Thousand</f>
        <v>-535.581550258555</v>
      </c>
      <c r="EE113" s="33" t="n">
        <f aca="false">-In_Var_Opex*EE111*EE109/Thousand</f>
        <v>-533.974805607779</v>
      </c>
      <c r="EF113" s="33" t="n">
        <f aca="false">-In_Var_Opex*EF111*EF109/Thousand</f>
        <v>-535.425824101278</v>
      </c>
      <c r="EG113" s="33" t="n">
        <f aca="false">-In_Var_Opex*EG111*EG109/Thousand</f>
        <v>-541.374999924626</v>
      </c>
      <c r="EH113" s="33" t="n">
        <f aca="false">-In_Var_Opex*EH111*EH109/Thousand</f>
        <v>-547.324175747974</v>
      </c>
      <c r="EI113" s="33" t="n">
        <f aca="false">-In_Var_Opex*EI111*EI109/Thousand</f>
        <v>-545.68220322073</v>
      </c>
      <c r="EJ113" s="33" t="n">
        <f aca="false">-In_Var_Opex*EJ111*EJ109/Thousand</f>
        <v>-547.165035294699</v>
      </c>
      <c r="EK113" s="33" t="n">
        <f aca="false">-In_Var_Opex*EK111*EK109/Thousand</f>
        <v>-553.244646797973</v>
      </c>
      <c r="EL113" s="33" t="n">
        <f aca="false">-In_Var_Opex*EL111*EL109/Thousand</f>
        <v>-559.324258301248</v>
      </c>
      <c r="EM113" s="33" t="n">
        <f aca="false">-In_Var_Opex*EM111*EM109/Thousand</f>
        <v>-557.646285526344</v>
      </c>
      <c r="EN113" s="33" t="n">
        <f aca="false">-In_Var_Opex*EN111*EN109/Thousand</f>
        <v>-565.374535679019</v>
      </c>
      <c r="EO113" s="33" t="n">
        <f aca="false">-In_Var_Opex*EO111*EO109/Thousand</f>
        <v>-565.374535679019</v>
      </c>
      <c r="EP113" s="33" t="n">
        <f aca="false">-In_Var_Opex*EP111*EP109/Thousand</f>
        <v>-571.587442664503</v>
      </c>
      <c r="EQ113" s="33" t="n">
        <f aca="false">-In_Var_Opex*EQ111*EQ109/Thousand</f>
        <v>-569.872680336509</v>
      </c>
      <c r="ER113" s="33" t="n">
        <f aca="false">-In_Var_Opex*ER111*ER109/Thousand</f>
        <v>-571.421247402641</v>
      </c>
      <c r="ES113" s="33" t="n">
        <f aca="false">-In_Var_Opex*ES111*ES109/Thousand</f>
        <v>-577.770372373781</v>
      </c>
      <c r="ET113" s="33" t="n">
        <f aca="false">-In_Var_Opex*ET111*ET109/Thousand</f>
        <v>-584.119497344922</v>
      </c>
    </row>
    <row r="114" customFormat="false" ht="15" hidden="false" customHeight="false" outlineLevel="0" collapsed="false">
      <c r="C114" s="0" t="s">
        <v>559</v>
      </c>
      <c r="D114" s="11" t="s">
        <v>247</v>
      </c>
      <c r="I114" s="33" t="n">
        <f aca="false">SUM(J114:ET114)</f>
        <v>-105177.037405926</v>
      </c>
      <c r="J114" s="33" t="n">
        <f aca="false">-(In_Fixed_Opex*$F24+In_Admin)*J109*J15*J$6</f>
        <v>-0</v>
      </c>
      <c r="K114" s="33" t="n">
        <f aca="false">-(In_Fixed_Opex*$F24+In_Admin)*K109*K15*K$6</f>
        <v>-0</v>
      </c>
      <c r="L114" s="33" t="n">
        <f aca="false">-(In_Fixed_Opex*$F24+In_Admin)*L109*L15*L$6</f>
        <v>-0</v>
      </c>
      <c r="M114" s="33" t="n">
        <f aca="false">-(In_Fixed_Opex*$F24+In_Admin)*M109*M15*M$6</f>
        <v>-0</v>
      </c>
      <c r="N114" s="33" t="n">
        <f aca="false">-(In_Fixed_Opex*$F24+In_Admin)*N109*N15*N$6</f>
        <v>-0</v>
      </c>
      <c r="O114" s="33" t="n">
        <f aca="false">-(In_Fixed_Opex*$F24+In_Admin)*O109*O15*O$6</f>
        <v>-0</v>
      </c>
      <c r="P114" s="33" t="n">
        <f aca="false">-(In_Fixed_Opex*$F24+In_Admin)*P109*P15*P$6</f>
        <v>-0</v>
      </c>
      <c r="Q114" s="33" t="n">
        <f aca="false">-(In_Fixed_Opex*$F24+In_Admin)*Q109*Q15*Q$6</f>
        <v>-0</v>
      </c>
      <c r="R114" s="33" t="n">
        <f aca="false">-(In_Fixed_Opex*$F24+In_Admin)*R109*R15*R$6</f>
        <v>-0</v>
      </c>
      <c r="S114" s="33" t="n">
        <f aca="false">-(In_Fixed_Opex*$F24+In_Admin)*S109*S15*S$6</f>
        <v>-0</v>
      </c>
      <c r="T114" s="33" t="n">
        <f aca="false">-(In_Fixed_Opex*$F24+In_Admin)*T109*T15*T$6</f>
        <v>-0</v>
      </c>
      <c r="U114" s="33" t="n">
        <f aca="false">-(In_Fixed_Opex*$F24+In_Admin)*U109*U15*U$6</f>
        <v>-0</v>
      </c>
      <c r="V114" s="33" t="n">
        <f aca="false">-(In_Fixed_Opex*$F24+In_Admin)*V109*V15*V$6</f>
        <v>-0</v>
      </c>
      <c r="W114" s="33" t="n">
        <f aca="false">-(In_Fixed_Opex*$F24+In_Admin)*W109*W15*W$6</f>
        <v>-0</v>
      </c>
      <c r="X114" s="33" t="n">
        <f aca="false">-(In_Fixed_Opex*$F24+In_Admin)*X109*X15*X$6</f>
        <v>-0</v>
      </c>
      <c r="Y114" s="33" t="n">
        <f aca="false">-(In_Fixed_Opex*$F24+In_Admin)*Y109*Y15*Y$6</f>
        <v>-0</v>
      </c>
      <c r="Z114" s="33" t="n">
        <f aca="false">-(In_Fixed_Opex*$F24+In_Admin)*Z109*Z15*Z$6</f>
        <v>-0</v>
      </c>
      <c r="AA114" s="33" t="n">
        <f aca="false">-(In_Fixed_Opex*$F24+In_Admin)*AA109*AA15*AA$6</f>
        <v>-0</v>
      </c>
      <c r="AB114" s="33" t="n">
        <f aca="false">-(In_Fixed_Opex*$F24+In_Admin)*AB109*AB15*AB$6</f>
        <v>-0</v>
      </c>
      <c r="AC114" s="33" t="n">
        <f aca="false">-(In_Fixed_Opex*$F24+In_Admin)*AC109*AC15*AC$6</f>
        <v>-0</v>
      </c>
      <c r="AD114" s="33" t="n">
        <f aca="false">-(In_Fixed_Opex*$F24+In_Admin)*AD109*AD15*AD$6</f>
        <v>-0</v>
      </c>
      <c r="AE114" s="33" t="n">
        <f aca="false">-(In_Fixed_Opex*$F24+In_Admin)*AE109*AE15*AE$6</f>
        <v>-592.328767123288</v>
      </c>
      <c r="AF114" s="33" t="n">
        <f aca="false">-(In_Fixed_Opex*$F24+In_Admin)*AF109*AF15*AF$6</f>
        <v>-600.537671232877</v>
      </c>
      <c r="AG114" s="33" t="n">
        <f aca="false">-(In_Fixed_Opex*$F24+In_Admin)*AG109*AG15*AG$6</f>
        <v>-600.537671232877</v>
      </c>
      <c r="AH114" s="33" t="n">
        <f aca="false">-(In_Fixed_Opex*$F24+In_Admin)*AH109*AH15*AH$6</f>
        <v>-607.13698630137</v>
      </c>
      <c r="AI114" s="33" t="n">
        <f aca="false">-(In_Fixed_Opex*$F24+In_Admin)*AI109*AI15*AI$6</f>
        <v>-607.13698630137</v>
      </c>
      <c r="AJ114" s="33" t="n">
        <f aca="false">-(In_Fixed_Opex*$F24+In_Admin)*AJ109*AJ15*AJ$6</f>
        <v>-608.786815068493</v>
      </c>
      <c r="AK114" s="33" t="n">
        <f aca="false">-(In_Fixed_Opex*$F24+In_Admin)*AK109*AK15*AK$6</f>
        <v>-615.551113013699</v>
      </c>
      <c r="AL114" s="33" t="n">
        <f aca="false">-(In_Fixed_Opex*$F24+In_Admin)*AL109*AL15*AL$6</f>
        <v>-622.315410958904</v>
      </c>
      <c r="AM114" s="33" t="n">
        <f aca="false">-(In_Fixed_Opex*$F24+In_Admin)*AM109*AM15*AM$6</f>
        <v>-622.315410958904</v>
      </c>
      <c r="AN114" s="33" t="n">
        <f aca="false">-(In_Fixed_Opex*$F24+In_Admin)*AN109*AN15*AN$6</f>
        <v>-624.006485445205</v>
      </c>
      <c r="AO114" s="33" t="n">
        <f aca="false">-(In_Fixed_Opex*$F24+In_Admin)*AO109*AO15*AO$6</f>
        <v>-630.939890839041</v>
      </c>
      <c r="AP114" s="33" t="n">
        <f aca="false">-(In_Fixed_Opex*$F24+In_Admin)*AP109*AP15*AP$6</f>
        <v>-637.873296232877</v>
      </c>
      <c r="AQ114" s="33" t="n">
        <f aca="false">-(In_Fixed_Opex*$F24+In_Admin)*AQ109*AQ15*AQ$6</f>
        <v>-637.873296232877</v>
      </c>
      <c r="AR114" s="33" t="n">
        <f aca="false">-(In_Fixed_Opex*$F24+In_Admin)*AR109*AR15*AR$6</f>
        <v>-639.606647581335</v>
      </c>
      <c r="AS114" s="33" t="n">
        <f aca="false">-(In_Fixed_Opex*$F24+In_Admin)*AS109*AS15*AS$6</f>
        <v>-646.713388110017</v>
      </c>
      <c r="AT114" s="33" t="n">
        <f aca="false">-(In_Fixed_Opex*$F24+In_Admin)*AT109*AT15*AT$6</f>
        <v>-653.820128638698</v>
      </c>
      <c r="AU114" s="33" t="n">
        <f aca="false">-(In_Fixed_Opex*$F24+In_Admin)*AU109*AU15*AU$6</f>
        <v>-653.820128638698</v>
      </c>
      <c r="AV114" s="33" t="n">
        <f aca="false">-(In_Fixed_Opex*$F24+In_Admin)*AV109*AV15*AV$6</f>
        <v>-662.881222812767</v>
      </c>
      <c r="AW114" s="33" t="n">
        <f aca="false">-(In_Fixed_Opex*$F24+In_Admin)*AW109*AW15*AW$6</f>
        <v>-662.881222812767</v>
      </c>
      <c r="AX114" s="33" t="n">
        <f aca="false">-(In_Fixed_Opex*$F24+In_Admin)*AX109*AX15*AX$6</f>
        <v>-670.165631854666</v>
      </c>
      <c r="AY114" s="33" t="n">
        <f aca="false">-(In_Fixed_Opex*$F24+In_Admin)*AY109*AY15*AY$6</f>
        <v>-670.165631854666</v>
      </c>
      <c r="AZ114" s="33" t="n">
        <f aca="false">-(In_Fixed_Opex*$F24+In_Admin)*AZ109*AZ15*AZ$6</f>
        <v>-671.98673411514</v>
      </c>
      <c r="BA114" s="33" t="n">
        <f aca="false">-(In_Fixed_Opex*$F24+In_Admin)*BA109*BA15*BA$6</f>
        <v>-679.453253383086</v>
      </c>
      <c r="BB114" s="33" t="n">
        <f aca="false">-(In_Fixed_Opex*$F24+In_Admin)*BB109*BB15*BB$6</f>
        <v>-686.919772651032</v>
      </c>
      <c r="BC114" s="33" t="n">
        <f aca="false">-(In_Fixed_Opex*$F24+In_Admin)*BC109*BC15*BC$6</f>
        <v>-686.919772651032</v>
      </c>
      <c r="BD114" s="33" t="n">
        <f aca="false">-(In_Fixed_Opex*$F24+In_Admin)*BD109*BD15*BD$6</f>
        <v>-688.786402468019</v>
      </c>
      <c r="BE114" s="33" t="n">
        <f aca="false">-(In_Fixed_Opex*$F24+In_Admin)*BE109*BE15*BE$6</f>
        <v>-696.439584717664</v>
      </c>
      <c r="BF114" s="33" t="n">
        <f aca="false">-(In_Fixed_Opex*$F24+In_Admin)*BF109*BF15*BF$6</f>
        <v>-704.092766967308</v>
      </c>
      <c r="BG114" s="33" t="n">
        <f aca="false">-(In_Fixed_Opex*$F24+In_Admin)*BG109*BG15*BG$6</f>
        <v>-704.092766967308</v>
      </c>
      <c r="BH114" s="33" t="n">
        <f aca="false">-(In_Fixed_Opex*$F24+In_Admin)*BH109*BH15*BH$6</f>
        <v>-706.006062529719</v>
      </c>
      <c r="BI114" s="33" t="n">
        <f aca="false">-(In_Fixed_Opex*$F24+In_Admin)*BI109*BI15*BI$6</f>
        <v>-713.850574335605</v>
      </c>
      <c r="BJ114" s="33" t="n">
        <f aca="false">-(In_Fixed_Opex*$F24+In_Admin)*BJ109*BJ15*BJ$6</f>
        <v>-721.695086141491</v>
      </c>
      <c r="BK114" s="33" t="n">
        <f aca="false">-(In_Fixed_Opex*$F24+In_Admin)*BK109*BK15*BK$6</f>
        <v>-721.695086141491</v>
      </c>
      <c r="BL114" s="33" t="n">
        <f aca="false">-(In_Fixed_Opex*$F24+In_Admin)*BL109*BL15*BL$6</f>
        <v>-731.696838693995</v>
      </c>
      <c r="BM114" s="33" t="n">
        <f aca="false">-(In_Fixed_Opex*$F24+In_Admin)*BM109*BM15*BM$6</f>
        <v>-731.696838693995</v>
      </c>
      <c r="BN114" s="33" t="n">
        <f aca="false">-(In_Fixed_Opex*$F24+In_Admin)*BN109*BN15*BN$6</f>
        <v>-739.737463295028</v>
      </c>
      <c r="BO114" s="33" t="n">
        <f aca="false">-(In_Fixed_Opex*$F24+In_Admin)*BO109*BO15*BO$6</f>
        <v>-739.737463295028</v>
      </c>
      <c r="BP114" s="33" t="n">
        <f aca="false">-(In_Fixed_Opex*$F24+In_Admin)*BP109*BP15*BP$6</f>
        <v>-741.747619445286</v>
      </c>
      <c r="BQ114" s="33" t="n">
        <f aca="false">-(In_Fixed_Opex*$F24+In_Admin)*BQ109*BQ15*BQ$6</f>
        <v>-749.989259661345</v>
      </c>
      <c r="BR114" s="33" t="n">
        <f aca="false">-(In_Fixed_Opex*$F24+In_Admin)*BR109*BR15*BR$6</f>
        <v>-758.230899877404</v>
      </c>
      <c r="BS114" s="33" t="n">
        <f aca="false">-(In_Fixed_Opex*$F24+In_Admin)*BS109*BS15*BS$6</f>
        <v>-758.230899877404</v>
      </c>
      <c r="BT114" s="33" t="n">
        <f aca="false">-(In_Fixed_Opex*$F24+In_Admin)*BT109*BT15*BT$6</f>
        <v>-760.291309931418</v>
      </c>
      <c r="BU114" s="33" t="n">
        <f aca="false">-(In_Fixed_Opex*$F24+In_Admin)*BU109*BU15*BU$6</f>
        <v>-768.738991152879</v>
      </c>
      <c r="BV114" s="33" t="n">
        <f aca="false">-(In_Fixed_Opex*$F24+In_Admin)*BV109*BV15*BV$6</f>
        <v>-777.186672374339</v>
      </c>
      <c r="BW114" s="33" t="n">
        <f aca="false">-(In_Fixed_Opex*$F24+In_Admin)*BW109*BW15*BW$6</f>
        <v>-777.186672374339</v>
      </c>
      <c r="BX114" s="33" t="n">
        <f aca="false">-(In_Fixed_Opex*$F24+In_Admin)*BX109*BX15*BX$6</f>
        <v>-779.298592679704</v>
      </c>
      <c r="BY114" s="33" t="n">
        <f aca="false">-(In_Fixed_Opex*$F24+In_Admin)*BY109*BY15*BY$6</f>
        <v>-787.9574659317</v>
      </c>
      <c r="BZ114" s="33" t="n">
        <f aca="false">-(In_Fixed_Opex*$F24+In_Admin)*BZ109*BZ15*BZ$6</f>
        <v>-796.616339183697</v>
      </c>
      <c r="CA114" s="33" t="n">
        <f aca="false">-(In_Fixed_Opex*$F24+In_Admin)*CA109*CA15*CA$6</f>
        <v>-796.616339183697</v>
      </c>
      <c r="CB114" s="33" t="n">
        <f aca="false">-(In_Fixed_Opex*$F24+In_Admin)*CB109*CB15*CB$6</f>
        <v>-807.656402579993</v>
      </c>
      <c r="CC114" s="33" t="n">
        <f aca="false">-(In_Fixed_Opex*$F24+In_Admin)*CC109*CC15*CC$6</f>
        <v>-807.656402579993</v>
      </c>
      <c r="CD114" s="33" t="n">
        <f aca="false">-(In_Fixed_Opex*$F24+In_Admin)*CD109*CD15*CD$6</f>
        <v>-816.53174766329</v>
      </c>
      <c r="CE114" s="33" t="n">
        <f aca="false">-(In_Fixed_Opex*$F24+In_Admin)*CE109*CE15*CE$6</f>
        <v>-816.53174766329</v>
      </c>
      <c r="CF114" s="33" t="n">
        <f aca="false">-(In_Fixed_Opex*$F24+In_Admin)*CF109*CF15*CF$6</f>
        <v>-818.750583934114</v>
      </c>
      <c r="CG114" s="33" t="n">
        <f aca="false">-(In_Fixed_Opex*$F24+In_Admin)*CG109*CG15*CG$6</f>
        <v>-827.847812644493</v>
      </c>
      <c r="CH114" s="33" t="n">
        <f aca="false">-(In_Fixed_Opex*$F24+In_Admin)*CH109*CH15*CH$6</f>
        <v>-836.945041354872</v>
      </c>
      <c r="CI114" s="33" t="n">
        <f aca="false">-(In_Fixed_Opex*$F24+In_Admin)*CI109*CI15*CI$6</f>
        <v>-836.945041354872</v>
      </c>
      <c r="CJ114" s="33" t="n">
        <f aca="false">-(In_Fixed_Opex*$F24+In_Admin)*CJ109*CJ15*CJ$6</f>
        <v>-839.219348532466</v>
      </c>
      <c r="CK114" s="33" t="n">
        <f aca="false">-(In_Fixed_Opex*$F24+In_Admin)*CK109*CK15*CK$6</f>
        <v>-848.544007960605</v>
      </c>
      <c r="CL114" s="33" t="n">
        <f aca="false">-(In_Fixed_Opex*$F24+In_Admin)*CL109*CL15*CL$6</f>
        <v>-857.868667388743</v>
      </c>
      <c r="CM114" s="33" t="n">
        <f aca="false">-(In_Fixed_Opex*$F24+In_Admin)*CM109*CM15*CM$6</f>
        <v>-857.868667388743</v>
      </c>
      <c r="CN114" s="33" t="n">
        <f aca="false">-(In_Fixed_Opex*$F24+In_Admin)*CN109*CN15*CN$6</f>
        <v>-860.199832245778</v>
      </c>
      <c r="CO114" s="33" t="n">
        <f aca="false">-(In_Fixed_Opex*$F24+In_Admin)*CO109*CO15*CO$6</f>
        <v>-869.75760815962</v>
      </c>
      <c r="CP114" s="33" t="n">
        <f aca="false">-(In_Fixed_Opex*$F24+In_Admin)*CP109*CP15*CP$6</f>
        <v>-879.315384073462</v>
      </c>
      <c r="CQ114" s="33" t="n">
        <f aca="false">-(In_Fixed_Opex*$F24+In_Admin)*CQ109*CQ15*CQ$6</f>
        <v>-879.315384073462</v>
      </c>
      <c r="CR114" s="33" t="n">
        <f aca="false">-(In_Fixed_Opex*$F24+In_Admin)*CR109*CR15*CR$6</f>
        <v>-891.50154836361</v>
      </c>
      <c r="CS114" s="33" t="n">
        <f aca="false">-(In_Fixed_Opex*$F24+In_Admin)*CS109*CS15*CS$6</f>
        <v>-891.50154836361</v>
      </c>
      <c r="CT114" s="33" t="n">
        <f aca="false">-(In_Fixed_Opex*$F24+In_Admin)*CT109*CT15*CT$6</f>
        <v>-901.298268675298</v>
      </c>
      <c r="CU114" s="33" t="n">
        <f aca="false">-(In_Fixed_Opex*$F24+In_Admin)*CU109*CU15*CU$6</f>
        <v>-901.298268675298</v>
      </c>
      <c r="CV114" s="33" t="n">
        <f aca="false">-(In_Fixed_Opex*$F24+In_Admin)*CV109*CV15*CV$6</f>
        <v>-903.74744875322</v>
      </c>
      <c r="CW114" s="33" t="n">
        <f aca="false">-(In_Fixed_Opex*$F24+In_Admin)*CW109*CW15*CW$6</f>
        <v>-913.789087072701</v>
      </c>
      <c r="CX114" s="33" t="n">
        <f aca="false">-(In_Fixed_Opex*$F24+In_Admin)*CX109*CX15*CX$6</f>
        <v>-923.830725392181</v>
      </c>
      <c r="CY114" s="33" t="n">
        <f aca="false">-(In_Fixed_Opex*$F24+In_Admin)*CY109*CY15*CY$6</f>
        <v>-923.830725392181</v>
      </c>
      <c r="CZ114" s="33" t="n">
        <f aca="false">-(In_Fixed_Opex*$F24+In_Admin)*CZ109*CZ15*CZ$6</f>
        <v>-926.341134972051</v>
      </c>
      <c r="DA114" s="33" t="n">
        <f aca="false">-(In_Fixed_Opex*$F24+In_Admin)*DA109*DA15*DA$6</f>
        <v>-936.633814249518</v>
      </c>
      <c r="DB114" s="33" t="n">
        <f aca="false">-(In_Fixed_Opex*$F24+In_Admin)*DB109*DB15*DB$6</f>
        <v>-946.926493526985</v>
      </c>
      <c r="DC114" s="33" t="n">
        <f aca="false">-(In_Fixed_Opex*$F24+In_Admin)*DC109*DC15*DC$6</f>
        <v>-946.926493526985</v>
      </c>
      <c r="DD114" s="33" t="n">
        <f aca="false">-(In_Fixed_Opex*$F24+In_Admin)*DD109*DD15*DD$6</f>
        <v>-949.499663346352</v>
      </c>
      <c r="DE114" s="33" t="n">
        <f aca="false">-(In_Fixed_Opex*$F24+In_Admin)*DE109*DE15*DE$6</f>
        <v>-960.049659605756</v>
      </c>
      <c r="DF114" s="33" t="n">
        <f aca="false">-(In_Fixed_Opex*$F24+In_Admin)*DF109*DF15*DF$6</f>
        <v>-970.59965586516</v>
      </c>
      <c r="DG114" s="33" t="n">
        <f aca="false">-(In_Fixed_Opex*$F24+In_Admin)*DG109*DG15*DG$6</f>
        <v>-970.59965586516</v>
      </c>
      <c r="DH114" s="33" t="n">
        <f aca="false">-(In_Fixed_Opex*$F24+In_Admin)*DH109*DH15*DH$6</f>
        <v>-984.0509010959</v>
      </c>
      <c r="DI114" s="33" t="n">
        <f aca="false">-(In_Fixed_Opex*$F24+In_Admin)*DI109*DI15*DI$6</f>
        <v>-984.0509010959</v>
      </c>
      <c r="DJ114" s="33" t="n">
        <f aca="false">-(In_Fixed_Opex*$F24+In_Admin)*DJ109*DJ15*DJ$6</f>
        <v>-994.864647261789</v>
      </c>
      <c r="DK114" s="33" t="n">
        <f aca="false">-(In_Fixed_Opex*$F24+In_Admin)*DK109*DK15*DK$6</f>
        <v>-994.864647261789</v>
      </c>
      <c r="DL114" s="33" t="n">
        <f aca="false">-(In_Fixed_Opex*$F24+In_Admin)*DL109*DL15*DL$6</f>
        <v>-997.568083803261</v>
      </c>
      <c r="DM114" s="33" t="n">
        <f aca="false">-(In_Fixed_Opex*$F24+In_Admin)*DM109*DM15*DM$6</f>
        <v>-1008.6521736233</v>
      </c>
      <c r="DN114" s="33" t="n">
        <f aca="false">-(In_Fixed_Opex*$F24+In_Admin)*DN109*DN15*DN$6</f>
        <v>-1019.73626344333</v>
      </c>
      <c r="DO114" s="33" t="n">
        <f aca="false">-(In_Fixed_Opex*$F24+In_Admin)*DO109*DO15*DO$6</f>
        <v>-1019.73626344333</v>
      </c>
      <c r="DP114" s="33" t="n">
        <f aca="false">-(In_Fixed_Opex*$F24+In_Admin)*DP109*DP15*DP$6</f>
        <v>-1022.50728589834</v>
      </c>
      <c r="DQ114" s="33" t="n">
        <f aca="false">-(In_Fixed_Opex*$F24+In_Admin)*DQ109*DQ15*DQ$6</f>
        <v>-1033.86847796388</v>
      </c>
      <c r="DR114" s="33" t="n">
        <f aca="false">-(In_Fixed_Opex*$F24+In_Admin)*DR109*DR15*DR$6</f>
        <v>-1045.22967002942</v>
      </c>
      <c r="DS114" s="33" t="n">
        <f aca="false">-(In_Fixed_Opex*$F24+In_Admin)*DS109*DS15*DS$6</f>
        <v>-1045.22967002942</v>
      </c>
      <c r="DT114" s="33" t="n">
        <f aca="false">-(In_Fixed_Opex*$F24+In_Admin)*DT109*DT15*DT$6</f>
        <v>-1048.0699680458</v>
      </c>
      <c r="DU114" s="33" t="n">
        <f aca="false">-(In_Fixed_Opex*$F24+In_Admin)*DU109*DU15*DU$6</f>
        <v>-1059.71518991298</v>
      </c>
      <c r="DV114" s="33" t="n">
        <f aca="false">-(In_Fixed_Opex*$F24+In_Admin)*DV109*DV15*DV$6</f>
        <v>-1071.36041178015</v>
      </c>
      <c r="DW114" s="33" t="n">
        <f aca="false">-(In_Fixed_Opex*$F24+In_Admin)*DW109*DW15*DW$6</f>
        <v>-1071.36041178015</v>
      </c>
      <c r="DX114" s="33" t="n">
        <f aca="false">-(In_Fixed_Opex*$F24+In_Admin)*DX109*DX15*DX$6</f>
        <v>-1086.2080696608</v>
      </c>
      <c r="DY114" s="33" t="n">
        <f aca="false">-(In_Fixed_Opex*$F24+In_Admin)*DY109*DY15*DY$6</f>
        <v>-1086.2080696608</v>
      </c>
      <c r="DZ114" s="33" t="n">
        <f aca="false">-(In_Fixed_Opex*$F24+In_Admin)*DZ109*DZ15*DZ$6</f>
        <v>-1098.14442207466</v>
      </c>
      <c r="EA114" s="33" t="n">
        <f aca="false">-(In_Fixed_Opex*$F24+In_Admin)*EA109*EA15*EA$6</f>
        <v>-1098.14442207466</v>
      </c>
      <c r="EB114" s="33" t="n">
        <f aca="false">-(In_Fixed_Opex*$F24+In_Admin)*EB109*EB15*EB$6</f>
        <v>-1101.12851017812</v>
      </c>
      <c r="EC114" s="33" t="n">
        <f aca="false">-(In_Fixed_Opex*$F24+In_Admin)*EC109*EC15*EC$6</f>
        <v>-1113.36327140232</v>
      </c>
      <c r="ED114" s="33" t="n">
        <f aca="false">-(In_Fixed_Opex*$F24+In_Admin)*ED109*ED15*ED$6</f>
        <v>-1125.59803262652</v>
      </c>
      <c r="EE114" s="33" t="n">
        <f aca="false">-(In_Fixed_Opex*$F24+In_Admin)*EE109*EE15*EE$6</f>
        <v>-1125.59803262652</v>
      </c>
      <c r="EF114" s="33" t="n">
        <f aca="false">-(In_Fixed_Opex*$F24+In_Admin)*EF109*EF15*EF$6</f>
        <v>-1128.65672293257</v>
      </c>
      <c r="EG114" s="33" t="n">
        <f aca="false">-(In_Fixed_Opex*$F24+In_Admin)*EG109*EG15*EG$6</f>
        <v>-1141.19735318738</v>
      </c>
      <c r="EH114" s="33" t="n">
        <f aca="false">-(In_Fixed_Opex*$F24+In_Admin)*EH109*EH15*EH$6</f>
        <v>-1153.73798344218</v>
      </c>
      <c r="EI114" s="33" t="n">
        <f aca="false">-(In_Fixed_Opex*$F24+In_Admin)*EI109*EI15*EI$6</f>
        <v>-1153.73798344218</v>
      </c>
      <c r="EJ114" s="33" t="n">
        <f aca="false">-(In_Fixed_Opex*$F24+In_Admin)*EJ109*EJ15*EJ$6</f>
        <v>-1156.87314100589</v>
      </c>
      <c r="EK114" s="33" t="n">
        <f aca="false">-(In_Fixed_Opex*$F24+In_Admin)*EK109*EK15*EK$6</f>
        <v>-1169.72728701706</v>
      </c>
      <c r="EL114" s="33" t="n">
        <f aca="false">-(In_Fixed_Opex*$F24+In_Admin)*EL109*EL15*EL$6</f>
        <v>-1182.58143302824</v>
      </c>
      <c r="EM114" s="33" t="n">
        <f aca="false">-(In_Fixed_Opex*$F24+In_Admin)*EM109*EM15*EM$6</f>
        <v>-1182.58143302824</v>
      </c>
      <c r="EN114" s="33" t="n">
        <f aca="false">-(In_Fixed_Opex*$F24+In_Admin)*EN109*EN15*EN$6</f>
        <v>-1198.97046919249</v>
      </c>
      <c r="EO114" s="33" t="n">
        <f aca="false">-(In_Fixed_Opex*$F24+In_Admin)*EO109*EO15*EO$6</f>
        <v>-1198.97046919249</v>
      </c>
      <c r="EP114" s="33" t="n">
        <f aca="false">-(In_Fixed_Opex*$F24+In_Admin)*EP109*EP15*EP$6</f>
        <v>-1212.14596885395</v>
      </c>
      <c r="EQ114" s="33" t="n">
        <f aca="false">-(In_Fixed_Opex*$F24+In_Admin)*EQ109*EQ15*EQ$6</f>
        <v>-1212.14596885395</v>
      </c>
      <c r="ER114" s="33" t="n">
        <f aca="false">-(In_Fixed_Opex*$F24+In_Admin)*ER109*ER15*ER$6</f>
        <v>-1215.43984376931</v>
      </c>
      <c r="ES114" s="33" t="n">
        <f aca="false">-(In_Fixed_Opex*$F24+In_Admin)*ES109*ES15*ES$6</f>
        <v>-1228.9447309223</v>
      </c>
      <c r="ET114" s="33" t="n">
        <f aca="false">-(In_Fixed_Opex*$F24+In_Admin)*ET109*ET15*ET$6</f>
        <v>-1242.44961807529</v>
      </c>
    </row>
    <row r="115" customFormat="false" ht="15" hidden="false" customHeight="false" outlineLevel="0" collapsed="false">
      <c r="C115" s="0" t="s">
        <v>560</v>
      </c>
      <c r="D115" s="11" t="s">
        <v>247</v>
      </c>
      <c r="I115" s="33" t="n">
        <f aca="false">SUM(J115:ET115)</f>
        <v>-14015.8951421437</v>
      </c>
      <c r="J115" s="33" t="n">
        <f aca="false">-In_Lease*$F24*J109*J16*J$6</f>
        <v>-0</v>
      </c>
      <c r="K115" s="33" t="n">
        <f aca="false">-In_Lease*$F24*K109*K16*K$6</f>
        <v>-0</v>
      </c>
      <c r="L115" s="33" t="n">
        <f aca="false">-In_Lease*$F24*L109*L16*L$6</f>
        <v>-0</v>
      </c>
      <c r="M115" s="33" t="n">
        <f aca="false">-In_Lease*$F24*M109*M16*M$6</f>
        <v>-0</v>
      </c>
      <c r="N115" s="33" t="n">
        <f aca="false">-In_Lease*$F24*N109*N16*N$6</f>
        <v>-0</v>
      </c>
      <c r="O115" s="33" t="n">
        <f aca="false">-In_Lease*$F24*O109*O16*O$6</f>
        <v>-0</v>
      </c>
      <c r="P115" s="33" t="n">
        <f aca="false">-In_Lease*$F24*P109*P16*P$6</f>
        <v>-0</v>
      </c>
      <c r="Q115" s="33" t="n">
        <f aca="false">-In_Lease*$F24*Q109*Q16*Q$6</f>
        <v>-0</v>
      </c>
      <c r="R115" s="33" t="n">
        <f aca="false">-In_Lease*$F24*R109*R16*R$6</f>
        <v>-0</v>
      </c>
      <c r="S115" s="33" t="n">
        <f aca="false">-In_Lease*$F24*S109*S16*S$6</f>
        <v>-0</v>
      </c>
      <c r="T115" s="33" t="n">
        <f aca="false">-In_Lease*$F24*T109*T16*T$6</f>
        <v>-0</v>
      </c>
      <c r="U115" s="33" t="n">
        <f aca="false">-In_Lease*$F24*U109*U16*U$6</f>
        <v>-0</v>
      </c>
      <c r="V115" s="33" t="n">
        <f aca="false">-In_Lease*$F24*V109*V16*V$6</f>
        <v>-0</v>
      </c>
      <c r="W115" s="33" t="n">
        <f aca="false">-In_Lease*$F24*W109*W16*W$6</f>
        <v>-71.9728146162183</v>
      </c>
      <c r="X115" s="33" t="n">
        <f aca="false">-In_Lease*$F24*X109*X16*X$6</f>
        <v>-72.1683929168059</v>
      </c>
      <c r="Y115" s="33" t="n">
        <f aca="false">-In_Lease*$F24*Y109*Y16*Y$6</f>
        <v>-72.9702639492148</v>
      </c>
      <c r="Z115" s="33" t="n">
        <f aca="false">-In_Lease*$F24*Z109*Z16*Z$6</f>
        <v>-73.7721349816238</v>
      </c>
      <c r="AA115" s="33" t="n">
        <f aca="false">-In_Lease*$F24*AA109*AA16*AA$6</f>
        <v>-73.7721349816238</v>
      </c>
      <c r="AB115" s="33" t="n">
        <f aca="false">-In_Lease*$F24*AB109*AB16*AB$6</f>
        <v>-73.972602739726</v>
      </c>
      <c r="AC115" s="33" t="n">
        <f aca="false">-In_Lease*$F24*AC109*AC16*AC$6</f>
        <v>-74.7945205479452</v>
      </c>
      <c r="AD115" s="33" t="n">
        <f aca="false">-In_Lease*$F24*AD109*AD16*AD$6</f>
        <v>-75.6164383561644</v>
      </c>
      <c r="AE115" s="33" t="n">
        <f aca="false">-In_Lease*$F24*AE109*AE16*AE$6</f>
        <v>-75.6164383561644</v>
      </c>
      <c r="AF115" s="33" t="n">
        <f aca="false">-In_Lease*$F24*AF109*AF16*AF$6</f>
        <v>-76.6643835616438</v>
      </c>
      <c r="AG115" s="33" t="n">
        <f aca="false">-In_Lease*$F24*AG109*AG16*AG$6</f>
        <v>-76.6643835616438</v>
      </c>
      <c r="AH115" s="33" t="n">
        <f aca="false">-In_Lease*$F24*AH109*AH16*AH$6</f>
        <v>-77.5068493150685</v>
      </c>
      <c r="AI115" s="33" t="n">
        <f aca="false">-In_Lease*$F24*AI109*AI16*AI$6</f>
        <v>-77.5068493150685</v>
      </c>
      <c r="AJ115" s="33" t="n">
        <f aca="false">-In_Lease*$F24*AJ109*AJ16*AJ$6</f>
        <v>-77.7174657534247</v>
      </c>
      <c r="AK115" s="33" t="n">
        <f aca="false">-In_Lease*$F24*AK109*AK16*AK$6</f>
        <v>-78.5809931506849</v>
      </c>
      <c r="AL115" s="33" t="n">
        <f aca="false">-In_Lease*$F24*AL109*AL16*AL$6</f>
        <v>-79.4445205479452</v>
      </c>
      <c r="AM115" s="33" t="n">
        <f aca="false">-In_Lease*$F24*AM109*AM16*AM$6</f>
        <v>-79.4445205479452</v>
      </c>
      <c r="AN115" s="33" t="n">
        <f aca="false">-In_Lease*$F24*AN109*AN16*AN$6</f>
        <v>-79.6604023972602</v>
      </c>
      <c r="AO115" s="33" t="n">
        <f aca="false">-In_Lease*$F24*AO109*AO16*AO$6</f>
        <v>-80.545517979452</v>
      </c>
      <c r="AP115" s="33" t="n">
        <f aca="false">-In_Lease*$F24*AP109*AP16*AP$6</f>
        <v>-81.4306335616438</v>
      </c>
      <c r="AQ115" s="33" t="n">
        <f aca="false">-In_Lease*$F24*AQ109*AQ16*AQ$6</f>
        <v>-81.4306335616438</v>
      </c>
      <c r="AR115" s="33" t="n">
        <f aca="false">-In_Lease*$F24*AR109*AR16*AR$6</f>
        <v>-81.6519124571917</v>
      </c>
      <c r="AS115" s="33" t="n">
        <f aca="false">-In_Lease*$F24*AS109*AS16*AS$6</f>
        <v>-82.5591559289383</v>
      </c>
      <c r="AT115" s="33" t="n">
        <f aca="false">-In_Lease*$F24*AT109*AT16*AT$6</f>
        <v>-83.4663994006849</v>
      </c>
      <c r="AU115" s="33" t="n">
        <f aca="false">-In_Lease*$F24*AU109*AU16*AU$6</f>
        <v>-83.4663994006849</v>
      </c>
      <c r="AV115" s="33" t="n">
        <f aca="false">-In_Lease*$F24*AV109*AV16*AV$6</f>
        <v>-84.6231348271618</v>
      </c>
      <c r="AW115" s="33" t="n">
        <f aca="false">-In_Lease*$F24*AW109*AW16*AW$6</f>
        <v>-84.6231348271618</v>
      </c>
      <c r="AX115" s="33" t="n">
        <f aca="false">-In_Lease*$F24*AX109*AX16*AX$6</f>
        <v>-85.553059385702</v>
      </c>
      <c r="AY115" s="33" t="n">
        <f aca="false">-In_Lease*$F24*AY109*AY16*AY$6</f>
        <v>-85.553059385702</v>
      </c>
      <c r="AZ115" s="33" t="n">
        <f aca="false">-In_Lease*$F24*AZ109*AZ16*AZ$6</f>
        <v>-85.7855405253371</v>
      </c>
      <c r="BA115" s="33" t="n">
        <f aca="false">-In_Lease*$F24*BA109*BA16*BA$6</f>
        <v>-86.7387131978408</v>
      </c>
      <c r="BB115" s="33" t="n">
        <f aca="false">-In_Lease*$F24*BB109*BB16*BB$6</f>
        <v>-87.6918858703446</v>
      </c>
      <c r="BC115" s="33" t="n">
        <f aca="false">-In_Lease*$F24*BC109*BC16*BC$6</f>
        <v>-87.6918858703446</v>
      </c>
      <c r="BD115" s="33" t="n">
        <f aca="false">-In_Lease*$F24*BD109*BD16*BD$6</f>
        <v>-87.9301790384705</v>
      </c>
      <c r="BE115" s="33" t="n">
        <f aca="false">-In_Lease*$F24*BE109*BE16*BE$6</f>
        <v>-88.9071810277869</v>
      </c>
      <c r="BF115" s="33" t="n">
        <f aca="false">-In_Lease*$F24*BF109*BF16*BF$6</f>
        <v>-89.8841830171032</v>
      </c>
      <c r="BG115" s="33" t="n">
        <f aca="false">-In_Lease*$F24*BG109*BG16*BG$6</f>
        <v>-89.8841830171032</v>
      </c>
      <c r="BH115" s="33" t="n">
        <f aca="false">-In_Lease*$F24*BH109*BH16*BH$6</f>
        <v>-90.1284335144322</v>
      </c>
      <c r="BI115" s="33" t="n">
        <f aca="false">-In_Lease*$F24*BI109*BI16*BI$6</f>
        <v>-91.1298605534815</v>
      </c>
      <c r="BJ115" s="33" t="n">
        <f aca="false">-In_Lease*$F24*BJ109*BJ16*BJ$6</f>
        <v>-92.1312875925307</v>
      </c>
      <c r="BK115" s="33" t="n">
        <f aca="false">-In_Lease*$F24*BK109*BK16*BK$6</f>
        <v>-92.1312875925307</v>
      </c>
      <c r="BL115" s="33" t="n">
        <f aca="false">-In_Lease*$F24*BL109*BL16*BL$6</f>
        <v>-93.4081070673185</v>
      </c>
      <c r="BM115" s="33" t="n">
        <f aca="false">-In_Lease*$F24*BM109*BM16*BM$6</f>
        <v>-93.4081070673185</v>
      </c>
      <c r="BN115" s="33" t="n">
        <f aca="false">-In_Lease*$F24*BN109*BN16*BN$6</f>
        <v>-94.434569782344</v>
      </c>
      <c r="BO115" s="33" t="n">
        <f aca="false">-In_Lease*$F24*BO109*BO16*BO$6</f>
        <v>-94.434569782344</v>
      </c>
      <c r="BP115" s="33" t="n">
        <f aca="false">-In_Lease*$F24*BP109*BP16*BP$6</f>
        <v>-94.6911854611004</v>
      </c>
      <c r="BQ115" s="33" t="n">
        <f aca="false">-In_Lease*$F24*BQ109*BQ16*BQ$6</f>
        <v>-95.7433097440015</v>
      </c>
      <c r="BR115" s="33" t="n">
        <f aca="false">-In_Lease*$F24*BR109*BR16*BR$6</f>
        <v>-96.7954340269026</v>
      </c>
      <c r="BS115" s="33" t="n">
        <f aca="false">-In_Lease*$F24*BS109*BS16*BS$6</f>
        <v>-96.7954340269026</v>
      </c>
      <c r="BT115" s="33" t="n">
        <f aca="false">-In_Lease*$F24*BT109*BT16*BT$6</f>
        <v>-97.0584650976279</v>
      </c>
      <c r="BU115" s="33" t="n">
        <f aca="false">-In_Lease*$F24*BU109*BU16*BU$6</f>
        <v>-98.1368924876015</v>
      </c>
      <c r="BV115" s="33" t="n">
        <f aca="false">-In_Lease*$F24*BV109*BV16*BV$6</f>
        <v>-99.2153198775752</v>
      </c>
      <c r="BW115" s="33" t="n">
        <f aca="false">-In_Lease*$F24*BW109*BW16*BW$6</f>
        <v>-99.2153198775752</v>
      </c>
      <c r="BX115" s="33" t="n">
        <f aca="false">-In_Lease*$F24*BX109*BX16*BX$6</f>
        <v>-99.4849267250686</v>
      </c>
      <c r="BY115" s="33" t="n">
        <f aca="false">-In_Lease*$F24*BY109*BY16*BY$6</f>
        <v>-100.590314799792</v>
      </c>
      <c r="BZ115" s="33" t="n">
        <f aca="false">-In_Lease*$F24*BZ109*BZ16*BZ$6</f>
        <v>-101.695702874515</v>
      </c>
      <c r="CA115" s="33" t="n">
        <f aca="false">-In_Lease*$F24*CA109*CA16*CA$6</f>
        <v>-101.695702874515</v>
      </c>
      <c r="CB115" s="33" t="n">
        <f aca="false">-In_Lease*$F24*CB109*CB16*CB$6</f>
        <v>-103.105072669786</v>
      </c>
      <c r="CC115" s="33" t="n">
        <f aca="false">-In_Lease*$F24*CC109*CC16*CC$6</f>
        <v>-103.105072669786</v>
      </c>
      <c r="CD115" s="33" t="n">
        <f aca="false">-In_Lease*$F24*CD109*CD16*CD$6</f>
        <v>-104.238095446377</v>
      </c>
      <c r="CE115" s="33" t="n">
        <f aca="false">-In_Lease*$F24*CE109*CE16*CE$6</f>
        <v>-104.238095446377</v>
      </c>
      <c r="CF115" s="33" t="n">
        <f aca="false">-In_Lease*$F24*CF109*CF16*CF$6</f>
        <v>-104.521351140525</v>
      </c>
      <c r="CG115" s="33" t="n">
        <f aca="false">-In_Lease*$F24*CG109*CG16*CG$6</f>
        <v>-105.682699486531</v>
      </c>
      <c r="CH115" s="33" t="n">
        <f aca="false">-In_Lease*$F24*CH109*CH16*CH$6</f>
        <v>-106.844047832537</v>
      </c>
      <c r="CI115" s="33" t="n">
        <f aca="false">-In_Lease*$F24*CI109*CI16*CI$6</f>
        <v>-106.844047832537</v>
      </c>
      <c r="CJ115" s="33" t="n">
        <f aca="false">-In_Lease*$F24*CJ109*CJ16*CJ$6</f>
        <v>-107.134384919038</v>
      </c>
      <c r="CK115" s="33" t="n">
        <f aca="false">-In_Lease*$F24*CK109*CK16*CK$6</f>
        <v>-108.324766973694</v>
      </c>
      <c r="CL115" s="33" t="n">
        <f aca="false">-In_Lease*$F24*CL109*CL16*CL$6</f>
        <v>-109.51514902835</v>
      </c>
      <c r="CM115" s="33" t="n">
        <f aca="false">-In_Lease*$F24*CM109*CM16*CM$6</f>
        <v>-109.51514902835</v>
      </c>
      <c r="CN115" s="33" t="n">
        <f aca="false">-In_Lease*$F24*CN109*CN16*CN$6</f>
        <v>-109.812744542014</v>
      </c>
      <c r="CO115" s="33" t="n">
        <f aca="false">-In_Lease*$F24*CO109*CO16*CO$6</f>
        <v>-111.032886148037</v>
      </c>
      <c r="CP115" s="33" t="n">
        <f aca="false">-In_Lease*$F24*CP109*CP16*CP$6</f>
        <v>-112.253027754059</v>
      </c>
      <c r="CQ115" s="33" t="n">
        <f aca="false">-In_Lease*$F24*CQ109*CQ16*CQ$6</f>
        <v>-112.253027754059</v>
      </c>
      <c r="CR115" s="33" t="n">
        <f aca="false">-In_Lease*$F24*CR109*CR16*CR$6</f>
        <v>-113.808708301737</v>
      </c>
      <c r="CS115" s="33" t="n">
        <f aca="false">-In_Lease*$F24*CS109*CS16*CS$6</f>
        <v>-113.808708301737</v>
      </c>
      <c r="CT115" s="33" t="n">
        <f aca="false">-In_Lease*$F24*CT109*CT16*CT$6</f>
        <v>-115.05935344791</v>
      </c>
      <c r="CU115" s="33" t="n">
        <f aca="false">-In_Lease*$F24*CU109*CU16*CU$6</f>
        <v>-115.05935344791</v>
      </c>
      <c r="CV115" s="33" t="n">
        <f aca="false">-In_Lease*$F24*CV109*CV16*CV$6</f>
        <v>-115.372014734454</v>
      </c>
      <c r="CW115" s="33" t="n">
        <f aca="false">-In_Lease*$F24*CW109*CW16*CW$6</f>
        <v>-116.653926009281</v>
      </c>
      <c r="CX115" s="33" t="n">
        <f aca="false">-In_Lease*$F24*CX109*CX16*CX$6</f>
        <v>-117.935837284108</v>
      </c>
      <c r="CY115" s="33" t="n">
        <f aca="false">-In_Lease*$F24*CY109*CY16*CY$6</f>
        <v>-117.935837284108</v>
      </c>
      <c r="CZ115" s="33" t="n">
        <f aca="false">-In_Lease*$F24*CZ109*CZ16*CZ$6</f>
        <v>-118.256315102815</v>
      </c>
      <c r="DA115" s="33" t="n">
        <f aca="false">-In_Lease*$F24*DA109*DA16*DA$6</f>
        <v>-119.570274159513</v>
      </c>
      <c r="DB115" s="33" t="n">
        <f aca="false">-In_Lease*$F24*DB109*DB16*DB$6</f>
        <v>-120.884233216211</v>
      </c>
      <c r="DC115" s="33" t="n">
        <f aca="false">-In_Lease*$F24*DC109*DC16*DC$6</f>
        <v>-120.884233216211</v>
      </c>
      <c r="DD115" s="33" t="n">
        <f aca="false">-In_Lease*$F24*DD109*DD16*DD$6</f>
        <v>-121.212722980385</v>
      </c>
      <c r="DE115" s="33" t="n">
        <f aca="false">-In_Lease*$F24*DE109*DE16*DE$6</f>
        <v>-122.559531013501</v>
      </c>
      <c r="DF115" s="33" t="n">
        <f aca="false">-In_Lease*$F24*DF109*DF16*DF$6</f>
        <v>-123.906339046616</v>
      </c>
      <c r="DG115" s="33" t="n">
        <f aca="false">-In_Lease*$F24*DG109*DG16*DG$6</f>
        <v>-123.906339046616</v>
      </c>
      <c r="DH115" s="33" t="n">
        <f aca="false">-In_Lease*$F24*DH109*DH16*DH$6</f>
        <v>-125.623519288838</v>
      </c>
      <c r="DI115" s="33" t="n">
        <f aca="false">-In_Lease*$F24*DI109*DI16*DI$6</f>
        <v>-125.623519288838</v>
      </c>
      <c r="DJ115" s="33" t="n">
        <f aca="false">-In_Lease*$F24*DJ109*DJ16*DJ$6</f>
        <v>-127.003997522782</v>
      </c>
      <c r="DK115" s="33" t="n">
        <f aca="false">-In_Lease*$F24*DK109*DK16*DK$6</f>
        <v>-127.003997522782</v>
      </c>
      <c r="DL115" s="33" t="n">
        <f aca="false">-In_Lease*$F24*DL109*DL16*DL$6</f>
        <v>-127.349117081267</v>
      </c>
      <c r="DM115" s="33" t="n">
        <f aca="false">-In_Lease*$F24*DM109*DM16*DM$6</f>
        <v>-128.764107271059</v>
      </c>
      <c r="DN115" s="33" t="n">
        <f aca="false">-In_Lease*$F24*DN109*DN16*DN$6</f>
        <v>-130.179097460851</v>
      </c>
      <c r="DO115" s="33" t="n">
        <f aca="false">-In_Lease*$F24*DO109*DO16*DO$6</f>
        <v>-130.179097460851</v>
      </c>
      <c r="DP115" s="33" t="n">
        <f aca="false">-In_Lease*$F24*DP109*DP16*DP$6</f>
        <v>-130.532845008299</v>
      </c>
      <c r="DQ115" s="33" t="n">
        <f aca="false">-In_Lease*$F24*DQ109*DQ16*DQ$6</f>
        <v>-131.983209952836</v>
      </c>
      <c r="DR115" s="33" t="n">
        <f aca="false">-In_Lease*$F24*DR109*DR16*DR$6</f>
        <v>-133.433574897372</v>
      </c>
      <c r="DS115" s="33" t="n">
        <f aca="false">-In_Lease*$F24*DS109*DS16*DS$6</f>
        <v>-133.433574897372</v>
      </c>
      <c r="DT115" s="33" t="n">
        <f aca="false">-In_Lease*$F24*DT109*DT16*DT$6</f>
        <v>-133.796166133506</v>
      </c>
      <c r="DU115" s="33" t="n">
        <f aca="false">-In_Lease*$F24*DU109*DU16*DU$6</f>
        <v>-135.282790201657</v>
      </c>
      <c r="DV115" s="33" t="n">
        <f aca="false">-In_Lease*$F24*DV109*DV16*DV$6</f>
        <v>-136.769414269807</v>
      </c>
      <c r="DW115" s="33" t="n">
        <f aca="false">-In_Lease*$F24*DW109*DW16*DW$6</f>
        <v>-136.769414269807</v>
      </c>
      <c r="DX115" s="33" t="n">
        <f aca="false">-In_Lease*$F24*DX109*DX16*DX$6</f>
        <v>-138.664859956698</v>
      </c>
      <c r="DY115" s="33" t="n">
        <f aca="false">-In_Lease*$F24*DY109*DY16*DY$6</f>
        <v>-138.664859956698</v>
      </c>
      <c r="DZ115" s="33" t="n">
        <f aca="false">-In_Lease*$F24*DZ109*DZ16*DZ$6</f>
        <v>-140.188649626552</v>
      </c>
      <c r="EA115" s="33" t="n">
        <f aca="false">-In_Lease*$F24*EA109*EA16*EA$6</f>
        <v>-140.188649626552</v>
      </c>
      <c r="EB115" s="33" t="n">
        <f aca="false">-In_Lease*$F24*EB109*EB16*EB$6</f>
        <v>-140.569597044015</v>
      </c>
      <c r="EC115" s="33" t="n">
        <f aca="false">-In_Lease*$F24*EC109*EC16*EC$6</f>
        <v>-142.131481455615</v>
      </c>
      <c r="ED115" s="33" t="n">
        <f aca="false">-In_Lease*$F24*ED109*ED16*ED$6</f>
        <v>-143.693365867216</v>
      </c>
      <c r="EE115" s="33" t="n">
        <f aca="false">-In_Lease*$F24*EE109*EE16*EE$6</f>
        <v>-143.693365867216</v>
      </c>
      <c r="EF115" s="33" t="n">
        <f aca="false">-In_Lease*$F24*EF109*EF16*EF$6</f>
        <v>-144.083836970116</v>
      </c>
      <c r="EG115" s="33" t="n">
        <f aca="false">-In_Lease*$F24*EG109*EG16*EG$6</f>
        <v>-145.684768492006</v>
      </c>
      <c r="EH115" s="33" t="n">
        <f aca="false">-In_Lease*$F24*EH109*EH16*EH$6</f>
        <v>-147.285700013896</v>
      </c>
      <c r="EI115" s="33" t="n">
        <f aca="false">-In_Lease*$F24*EI109*EI16*EI$6</f>
        <v>-147.285700013896</v>
      </c>
      <c r="EJ115" s="33" t="n">
        <f aca="false">-In_Lease*$F24*EJ109*EJ16*EJ$6</f>
        <v>-147.685932894368</v>
      </c>
      <c r="EK115" s="33" t="n">
        <f aca="false">-In_Lease*$F24*EK109*EK16*EK$6</f>
        <v>-149.326887704306</v>
      </c>
      <c r="EL115" s="33" t="n">
        <f aca="false">-In_Lease*$F24*EL109*EL16*EL$6</f>
        <v>-150.967842514243</v>
      </c>
      <c r="EM115" s="33" t="n">
        <f aca="false">-In_Lease*$F24*EM109*EM16*EM$6</f>
        <v>-150.967842514243</v>
      </c>
      <c r="EN115" s="33" t="n">
        <f aca="false">-In_Lease*$F24*EN109*EN16*EN$6</f>
        <v>-153.060059896914</v>
      </c>
      <c r="EO115" s="33" t="n">
        <f aca="false">-In_Lease*$F24*EO109*EO16*EO$6</f>
        <v>-153.060059896914</v>
      </c>
      <c r="EP115" s="33" t="n">
        <f aca="false">-In_Lease*$F24*EP109*EP16*EP$6</f>
        <v>-154.742038577099</v>
      </c>
      <c r="EQ115" s="33" t="n">
        <f aca="false">-In_Lease*$F24*EQ109*EQ16*EQ$6</f>
        <v>-154.742038577099</v>
      </c>
      <c r="ER115" s="33" t="n">
        <f aca="false">-In_Lease*$F24*ER109*ER16*ER$6</f>
        <v>-155.162533247146</v>
      </c>
      <c r="ES115" s="33" t="n">
        <f aca="false">-In_Lease*$F24*ES109*ES16*ES$6</f>
        <v>-156.886561394336</v>
      </c>
      <c r="ET115" s="33" t="n">
        <f aca="false">-In_Lease*$F24*ET109*ET16*ET$6</f>
        <v>-158.610589541527</v>
      </c>
    </row>
    <row r="116" customFormat="false" ht="15" hidden="false" customHeight="false" outlineLevel="0" collapsed="false">
      <c r="C116" s="0" t="s">
        <v>561</v>
      </c>
      <c r="D116" s="11" t="s">
        <v>247</v>
      </c>
      <c r="I116" s="33" t="n">
        <f aca="false">SUM(J116:ET116)</f>
        <v>-15269.388528234</v>
      </c>
      <c r="J116" s="33" t="n">
        <f aca="false">-J112*(In_MEKH+In_HIPA)</f>
        <v>-0</v>
      </c>
      <c r="K116" s="33" t="n">
        <f aca="false">-K112*(In_MEKH+In_HIPA)</f>
        <v>-0</v>
      </c>
      <c r="L116" s="33" t="n">
        <f aca="false">-L112*(In_MEKH+In_HIPA)</f>
        <v>-0</v>
      </c>
      <c r="M116" s="33" t="n">
        <f aca="false">-M112*(In_MEKH+In_HIPA)</f>
        <v>-0</v>
      </c>
      <c r="N116" s="33" t="n">
        <f aca="false">-N112*(In_MEKH+In_HIPA)</f>
        <v>-0</v>
      </c>
      <c r="O116" s="33" t="n">
        <f aca="false">-O112*(In_MEKH+In_HIPA)</f>
        <v>-0</v>
      </c>
      <c r="P116" s="33" t="n">
        <f aca="false">-P112*(In_MEKH+In_HIPA)</f>
        <v>-0</v>
      </c>
      <c r="Q116" s="33" t="n">
        <f aca="false">-Q112*(In_MEKH+In_HIPA)</f>
        <v>-0</v>
      </c>
      <c r="R116" s="33" t="n">
        <f aca="false">-R112*(In_MEKH+In_HIPA)</f>
        <v>-0</v>
      </c>
      <c r="S116" s="33" t="n">
        <f aca="false">-S112*(In_MEKH+In_HIPA)</f>
        <v>-0</v>
      </c>
      <c r="T116" s="33" t="n">
        <f aca="false">-T112*(In_MEKH+In_HIPA)</f>
        <v>-0</v>
      </c>
      <c r="U116" s="33" t="n">
        <f aca="false">-U112*(In_MEKH+In_HIPA)</f>
        <v>-0</v>
      </c>
      <c r="V116" s="33" t="n">
        <f aca="false">-V112*(In_MEKH+In_HIPA)</f>
        <v>-0</v>
      </c>
      <c r="W116" s="33" t="n">
        <f aca="false">-W112*(In_MEKH+In_HIPA)</f>
        <v>-0</v>
      </c>
      <c r="X116" s="33" t="n">
        <f aca="false">-X112*(In_MEKH+In_HIPA)</f>
        <v>-0</v>
      </c>
      <c r="Y116" s="33" t="n">
        <f aca="false">-Y112*(In_MEKH+In_HIPA)</f>
        <v>-0</v>
      </c>
      <c r="Z116" s="33" t="n">
        <f aca="false">-Z112*(In_MEKH+In_HIPA)</f>
        <v>-0</v>
      </c>
      <c r="AA116" s="33" t="n">
        <f aca="false">-AA112*(In_MEKH+In_HIPA)</f>
        <v>-0</v>
      </c>
      <c r="AB116" s="33" t="n">
        <f aca="false">-AB112*(In_MEKH+In_HIPA)</f>
        <v>-0</v>
      </c>
      <c r="AC116" s="33" t="n">
        <f aca="false">-AC112*(In_MEKH+In_HIPA)</f>
        <v>-0</v>
      </c>
      <c r="AD116" s="33" t="n">
        <f aca="false">-AD112*(In_MEKH+In_HIPA)</f>
        <v>-0</v>
      </c>
      <c r="AE116" s="33" t="n">
        <f aca="false">-AE112*(In_MEKH+In_HIPA)</f>
        <v>-114.846549041096</v>
      </c>
      <c r="AF116" s="33" t="n">
        <f aca="false">-AF112*(In_MEKH+In_HIPA)</f>
        <v>-114.734199156164</v>
      </c>
      <c r="AG116" s="33" t="n">
        <f aca="false">-AG112*(In_MEKH+In_HIPA)</f>
        <v>-114.734199156164</v>
      </c>
      <c r="AH116" s="33" t="n">
        <f aca="false">-AH112*(In_MEKH+In_HIPA)</f>
        <v>-115.995014531507</v>
      </c>
      <c r="AI116" s="33" t="n">
        <f aca="false">-AI112*(In_MEKH+In_HIPA)</f>
        <v>-115.647029487912</v>
      </c>
      <c r="AJ116" s="33" t="n">
        <f aca="false">-AJ112*(In_MEKH+In_HIPA)</f>
        <v>-114.264293265774</v>
      </c>
      <c r="AK116" s="33" t="n">
        <f aca="false">-AK112*(In_MEKH+In_HIPA)</f>
        <v>-115.533896524283</v>
      </c>
      <c r="AL116" s="33" t="n">
        <f aca="false">-AL112*(In_MEKH+In_HIPA)</f>
        <v>-116.803499782791</v>
      </c>
      <c r="AM116" s="33" t="n">
        <f aca="false">-AM112*(In_MEKH+In_HIPA)</f>
        <v>-116.453089283443</v>
      </c>
      <c r="AN116" s="33" t="n">
        <f aca="false">-AN112*(In_MEKH+In_HIPA)</f>
        <v>-115.060715389837</v>
      </c>
      <c r="AO116" s="33" t="n">
        <f aca="false">-AO112*(In_MEKH+In_HIPA)</f>
        <v>-116.339167783057</v>
      </c>
      <c r="AP116" s="33" t="n">
        <f aca="false">-AP112*(In_MEKH+In_HIPA)</f>
        <v>-117.617620176278</v>
      </c>
      <c r="AQ116" s="33" t="n">
        <f aca="false">-AQ112*(In_MEKH+In_HIPA)</f>
        <v>-117.264767315749</v>
      </c>
      <c r="AR116" s="33" t="n">
        <f aca="false">-AR112*(In_MEKH+In_HIPA)</f>
        <v>-115.862688576104</v>
      </c>
      <c r="AS116" s="33" t="n">
        <f aca="false">-AS112*(In_MEKH+In_HIPA)</f>
        <v>-117.150051782505</v>
      </c>
      <c r="AT116" s="33" t="n">
        <f aca="false">-AT112*(In_MEKH+In_HIPA)</f>
        <v>-118.437414988906</v>
      </c>
      <c r="AU116" s="33" t="n">
        <f aca="false">-AU112*(In_MEKH+In_HIPA)</f>
        <v>-118.082102743939</v>
      </c>
      <c r="AV116" s="33" t="n">
        <f aca="false">-AV112*(In_MEKH+In_HIPA)</f>
        <v>-117.966587643429</v>
      </c>
      <c r="AW116" s="33" t="n">
        <f aca="false">-AW112*(In_MEKH+In_HIPA)</f>
        <v>-117.966587643429</v>
      </c>
      <c r="AX116" s="33" t="n">
        <f aca="false">-AX112*(In_MEKH+In_HIPA)</f>
        <v>-119.262923771379</v>
      </c>
      <c r="AY116" s="33" t="n">
        <f aca="false">-AY112*(In_MEKH+In_HIPA)</f>
        <v>-118.905135000065</v>
      </c>
      <c r="AZ116" s="33" t="n">
        <f aca="false">-AZ112*(In_MEKH+In_HIPA)</f>
        <v>-117.483443168542</v>
      </c>
      <c r="BA116" s="33" t="n">
        <f aca="false">-BA112*(In_MEKH+In_HIPA)</f>
        <v>-118.788814759304</v>
      </c>
      <c r="BB116" s="33" t="n">
        <f aca="false">-BB112*(In_MEKH+In_HIPA)</f>
        <v>-120.094186350065</v>
      </c>
      <c r="BC116" s="33" t="n">
        <f aca="false">-BC112*(In_MEKH+In_HIPA)</f>
        <v>-119.733903791015</v>
      </c>
      <c r="BD116" s="33" t="n">
        <f aca="false">-BD112*(In_MEKH+In_HIPA)</f>
        <v>-118.302302767427</v>
      </c>
      <c r="BE116" s="33" t="n">
        <f aca="false">-BE112*(In_MEKH+In_HIPA)</f>
        <v>-119.616772798176</v>
      </c>
      <c r="BF116" s="33" t="n">
        <f aca="false">-BF112*(In_MEKH+In_HIPA)</f>
        <v>-120.931242828925</v>
      </c>
      <c r="BG116" s="33" t="n">
        <f aca="false">-BG112*(In_MEKH+In_HIPA)</f>
        <v>-120.568449100439</v>
      </c>
      <c r="BH116" s="33" t="n">
        <f aca="false">-BH112*(In_MEKH+In_HIPA)</f>
        <v>-119.126869817716</v>
      </c>
      <c r="BI116" s="33" t="n">
        <f aca="false">-BI112*(In_MEKH+In_HIPA)</f>
        <v>-120.450501704579</v>
      </c>
      <c r="BJ116" s="33" t="n">
        <f aca="false">-BJ112*(In_MEKH+In_HIPA)</f>
        <v>-121.774133591443</v>
      </c>
      <c r="BK116" s="33" t="n">
        <f aca="false">-BK112*(In_MEKH+In_HIPA)</f>
        <v>-121.408811190669</v>
      </c>
      <c r="BL116" s="33" t="n">
        <f aca="false">-BL112*(In_MEKH+In_HIPA)</f>
        <v>-121.29004170146</v>
      </c>
      <c r="BM116" s="33" t="n">
        <f aca="false">-BM112*(In_MEKH+In_HIPA)</f>
        <v>-121.29004170146</v>
      </c>
      <c r="BN116" s="33" t="n">
        <f aca="false">-BN112*(In_MEKH+In_HIPA)</f>
        <v>-122.622899302575</v>
      </c>
      <c r="BO116" s="33" t="n">
        <f aca="false">-BO112*(In_MEKH+In_HIPA)</f>
        <v>-122.255030604668</v>
      </c>
      <c r="BP116" s="33" t="n">
        <f aca="false">-BP112*(In_MEKH+In_HIPA)</f>
        <v>-120.793285673525</v>
      </c>
      <c r="BQ116" s="33" t="n">
        <f aca="false">-BQ112*(In_MEKH+In_HIPA)</f>
        <v>-122.13543329212</v>
      </c>
      <c r="BR116" s="33" t="n">
        <f aca="false">-BR112*(In_MEKH+In_HIPA)</f>
        <v>-123.477580910714</v>
      </c>
      <c r="BS116" s="33" t="n">
        <f aca="false">-BS112*(In_MEKH+In_HIPA)</f>
        <v>-123.107148167982</v>
      </c>
      <c r="BT116" s="33" t="n">
        <f aca="false">-BT112*(In_MEKH+In_HIPA)</f>
        <v>-121.635214874669</v>
      </c>
      <c r="BU116" s="33" t="n">
        <f aca="false">-BU112*(In_MEKH+In_HIPA)</f>
        <v>-122.986717262166</v>
      </c>
      <c r="BV116" s="33" t="n">
        <f aca="false">-BV112*(In_MEKH+In_HIPA)</f>
        <v>-124.338219649662</v>
      </c>
      <c r="BW116" s="33" t="n">
        <f aca="false">-BW112*(In_MEKH+In_HIPA)</f>
        <v>-123.965204990713</v>
      </c>
      <c r="BX116" s="33" t="n">
        <f aca="false">-BX112*(In_MEKH+In_HIPA)</f>
        <v>-122.483012322346</v>
      </c>
      <c r="BY116" s="33" t="n">
        <f aca="false">-BY112*(In_MEKH+In_HIPA)</f>
        <v>-123.843934681483</v>
      </c>
      <c r="BZ116" s="33" t="n">
        <f aca="false">-BZ112*(In_MEKH+In_HIPA)</f>
        <v>-125.20485704062</v>
      </c>
      <c r="CA116" s="33" t="n">
        <f aca="false">-CA112*(In_MEKH+In_HIPA)</f>
        <v>-124.829242469498</v>
      </c>
      <c r="CB116" s="33" t="n">
        <f aca="false">-CB112*(In_MEKH+In_HIPA)</f>
        <v>-124.707126906213</v>
      </c>
      <c r="CC116" s="33" t="n">
        <f aca="false">-CC112*(In_MEKH+In_HIPA)</f>
        <v>-124.707126906213</v>
      </c>
      <c r="CD116" s="33" t="n">
        <f aca="false">-CD112*(In_MEKH+In_HIPA)</f>
        <v>-126.077534894193</v>
      </c>
      <c r="CE116" s="33" t="n">
        <f aca="false">-CE112*(In_MEKH+In_HIPA)</f>
        <v>-125.699302289511</v>
      </c>
      <c r="CF116" s="33" t="n">
        <f aca="false">-CF112*(In_MEKH+In_HIPA)</f>
        <v>-124.196375849093</v>
      </c>
      <c r="CG116" s="33" t="n">
        <f aca="false">-CG112*(In_MEKH+In_HIPA)</f>
        <v>-125.576335580749</v>
      </c>
      <c r="CH116" s="33" t="n">
        <f aca="false">-CH112*(In_MEKH+In_HIPA)</f>
        <v>-126.956295312406</v>
      </c>
      <c r="CI116" s="33" t="n">
        <f aca="false">-CI112*(In_MEKH+In_HIPA)</f>
        <v>-126.575426426469</v>
      </c>
      <c r="CJ116" s="33" t="n">
        <f aca="false">-CJ112*(In_MEKH+In_HIPA)</f>
        <v>-125.062024588761</v>
      </c>
      <c r="CK116" s="33" t="n">
        <f aca="false">-CK112*(In_MEKH+In_HIPA)</f>
        <v>-126.451602639747</v>
      </c>
      <c r="CL116" s="33" t="n">
        <f aca="false">-CL112*(In_MEKH+In_HIPA)</f>
        <v>-127.841180690733</v>
      </c>
      <c r="CM116" s="33" t="n">
        <f aca="false">-CM112*(In_MEKH+In_HIPA)</f>
        <v>-127.457657148661</v>
      </c>
      <c r="CN116" s="33" t="n">
        <f aca="false">-CN112*(In_MEKH+In_HIPA)</f>
        <v>-125.933706900144</v>
      </c>
      <c r="CO116" s="33" t="n">
        <f aca="false">-CO112*(In_MEKH+In_HIPA)</f>
        <v>-127.332970310146</v>
      </c>
      <c r="CP116" s="33" t="n">
        <f aca="false">-CP112*(In_MEKH+In_HIPA)</f>
        <v>-128.732233720148</v>
      </c>
      <c r="CQ116" s="33" t="n">
        <f aca="false">-CQ112*(In_MEKH+In_HIPA)</f>
        <v>-128.346037018987</v>
      </c>
      <c r="CR116" s="33" t="n">
        <f aca="false">-CR112*(In_MEKH+In_HIPA)</f>
        <v>-128.220481113208</v>
      </c>
      <c r="CS116" s="33" t="n">
        <f aca="false">-CS112*(In_MEKH+In_HIPA)</f>
        <v>-128.220481113208</v>
      </c>
      <c r="CT116" s="33" t="n">
        <f aca="false">-CT112*(In_MEKH+In_HIPA)</f>
        <v>-129.629497389177</v>
      </c>
      <c r="CU116" s="33" t="n">
        <f aca="false">-CU112*(In_MEKH+In_HIPA)</f>
        <v>-129.240608897009</v>
      </c>
      <c r="CV116" s="33" t="n">
        <f aca="false">-CV112*(In_MEKH+In_HIPA)</f>
        <v>-127.695340747154</v>
      </c>
      <c r="CW116" s="33" t="n">
        <f aca="false">-CW112*(In_MEKH+In_HIPA)</f>
        <v>-129.114177866567</v>
      </c>
      <c r="CX116" s="33" t="n">
        <f aca="false">-CX112*(In_MEKH+In_HIPA)</f>
        <v>-130.53301498598</v>
      </c>
      <c r="CY116" s="33" t="n">
        <f aca="false">-CY112*(In_MEKH+In_HIPA)</f>
        <v>-130.141415941022</v>
      </c>
      <c r="CZ116" s="33" t="n">
        <f aca="false">-CZ112*(In_MEKH+In_HIPA)</f>
        <v>-128.585377272162</v>
      </c>
      <c r="DA116" s="33" t="n">
        <f aca="false">-DA112*(In_MEKH+In_HIPA)</f>
        <v>-130.014103686297</v>
      </c>
      <c r="DB116" s="33" t="n">
        <f aca="false">-DB112*(In_MEKH+In_HIPA)</f>
        <v>-131.442830100432</v>
      </c>
      <c r="DC116" s="33" t="n">
        <f aca="false">-DC112*(In_MEKH+In_HIPA)</f>
        <v>-131.048501610131</v>
      </c>
      <c r="DD116" s="33" t="n">
        <f aca="false">-DD112*(In_MEKH+In_HIPA)</f>
        <v>-129.481617351749</v>
      </c>
      <c r="DE116" s="33" t="n">
        <f aca="false">-DE112*(In_MEKH+In_HIPA)</f>
        <v>-130.92030198899</v>
      </c>
      <c r="DF116" s="33" t="n">
        <f aca="false">-DF112*(In_MEKH+In_HIPA)</f>
        <v>-132.358986626232</v>
      </c>
      <c r="DG116" s="33" t="n">
        <f aca="false">-DG112*(In_MEKH+In_HIPA)</f>
        <v>-131.961909666353</v>
      </c>
      <c r="DH116" s="33" t="n">
        <f aca="false">-DH112*(In_MEKH+In_HIPA)</f>
        <v>-131.832816493854</v>
      </c>
      <c r="DI116" s="33" t="n">
        <f aca="false">-DI112*(In_MEKH+In_HIPA)</f>
        <v>-131.832816493854</v>
      </c>
      <c r="DJ116" s="33" t="n">
        <f aca="false">-DJ112*(In_MEKH+In_HIPA)</f>
        <v>-133.281528763017</v>
      </c>
      <c r="DK116" s="33" t="n">
        <f aca="false">-DK112*(In_MEKH+In_HIPA)</f>
        <v>-132.881684176728</v>
      </c>
      <c r="DL116" s="33" t="n">
        <f aca="false">-DL112*(In_MEKH+In_HIPA)</f>
        <v>-131.292881431136</v>
      </c>
      <c r="DM116" s="33" t="n">
        <f aca="false">-DM112*(In_MEKH+In_HIPA)</f>
        <v>-132.751691224816</v>
      </c>
      <c r="DN116" s="33" t="n">
        <f aca="false">-DN112*(In_MEKH+In_HIPA)</f>
        <v>-134.210501018495</v>
      </c>
      <c r="DO116" s="33" t="n">
        <f aca="false">-DO112*(In_MEKH+In_HIPA)</f>
        <v>-133.807869515439</v>
      </c>
      <c r="DP116" s="33" t="n">
        <f aca="false">-DP112*(In_MEKH+In_HIPA)</f>
        <v>-132.207992814711</v>
      </c>
      <c r="DQ116" s="33" t="n">
        <f aca="false">-DQ112*(In_MEKH+In_HIPA)</f>
        <v>-133.676970512653</v>
      </c>
      <c r="DR116" s="33" t="n">
        <f aca="false">-DR112*(In_MEKH+In_HIPA)</f>
        <v>-135.145948210594</v>
      </c>
      <c r="DS116" s="33" t="n">
        <f aca="false">-DS112*(In_MEKH+In_HIPA)</f>
        <v>-134.740510365962</v>
      </c>
      <c r="DT116" s="33" t="n">
        <f aca="false">-DT112*(In_MEKH+In_HIPA)</f>
        <v>-133.12948252463</v>
      </c>
      <c r="DU116" s="33" t="n">
        <f aca="false">-DU112*(In_MEKH+In_HIPA)</f>
        <v>-134.608698997126</v>
      </c>
      <c r="DV116" s="33" t="n">
        <f aca="false">-DV112*(In_MEKH+In_HIPA)</f>
        <v>-136.087915469622</v>
      </c>
      <c r="DW116" s="33" t="n">
        <f aca="false">-DW112*(In_MEKH+In_HIPA)</f>
        <v>-135.679651723213</v>
      </c>
      <c r="DX116" s="33" t="n">
        <f aca="false">-DX112*(In_MEKH+In_HIPA)</f>
        <v>-135.546921629136</v>
      </c>
      <c r="DY116" s="33" t="n">
        <f aca="false">-DY112*(In_MEKH+In_HIPA)</f>
        <v>-135.546921629136</v>
      </c>
      <c r="DZ116" s="33" t="n">
        <f aca="false">-DZ112*(In_MEKH+In_HIPA)</f>
        <v>-137.036448240445</v>
      </c>
      <c r="EA116" s="33" t="n">
        <f aca="false">-EA112*(In_MEKH+In_HIPA)</f>
        <v>-136.625338895724</v>
      </c>
      <c r="EB116" s="33" t="n">
        <f aca="false">-EB112*(In_MEKH+In_HIPA)</f>
        <v>-134.991775061101</v>
      </c>
      <c r="EC116" s="33" t="n">
        <f aca="false">-EC112*(In_MEKH+In_HIPA)</f>
        <v>-136.491683672891</v>
      </c>
      <c r="ED116" s="33" t="n">
        <f aca="false">-ED112*(In_MEKH+In_HIPA)</f>
        <v>-137.991592284681</v>
      </c>
      <c r="EE116" s="33" t="n">
        <f aca="false">-EE112*(In_MEKH+In_HIPA)</f>
        <v>-137.577617507827</v>
      </c>
      <c r="EF116" s="33" t="n">
        <f aca="false">-EF112*(In_MEKH+In_HIPA)</f>
        <v>-135.932667733277</v>
      </c>
      <c r="EG116" s="33" t="n">
        <f aca="false">-EG112*(In_MEKH+In_HIPA)</f>
        <v>-137.443030708091</v>
      </c>
      <c r="EH116" s="33" t="n">
        <f aca="false">-EH112*(In_MEKH+In_HIPA)</f>
        <v>-138.953393682905</v>
      </c>
      <c r="EI116" s="33" t="n">
        <f aca="false">-EI112*(In_MEKH+In_HIPA)</f>
        <v>-138.536533501856</v>
      </c>
      <c r="EJ116" s="33" t="n">
        <f aca="false">-EJ112*(In_MEKH+In_HIPA)</f>
        <v>-136.880118427378</v>
      </c>
      <c r="EK116" s="33" t="n">
        <f aca="false">-EK112*(In_MEKH+In_HIPA)</f>
        <v>-138.401008632126</v>
      </c>
      <c r="EL116" s="33" t="n">
        <f aca="false">-EL112*(In_MEKH+In_HIPA)</f>
        <v>-139.921898836875</v>
      </c>
      <c r="EM116" s="33" t="n">
        <f aca="false">-EM112*(In_MEKH+In_HIPA)</f>
        <v>-139.502133140364</v>
      </c>
      <c r="EN116" s="33" t="n">
        <f aca="false">-EN112*(In_MEKH+In_HIPA)</f>
        <v>-139.365663662292</v>
      </c>
      <c r="EO116" s="33" t="n">
        <f aca="false">-EO112*(In_MEKH+In_HIPA)</f>
        <v>-139.365663662292</v>
      </c>
      <c r="EP116" s="33" t="n">
        <f aca="false">-EP112*(In_MEKH+In_HIPA)</f>
        <v>-140.897154471768</v>
      </c>
      <c r="EQ116" s="33" t="n">
        <f aca="false">-EQ112*(In_MEKH+In_HIPA)</f>
        <v>-140.474463008353</v>
      </c>
      <c r="ER116" s="33" t="n">
        <f aca="false">-ER112*(In_MEKH+In_HIPA)</f>
        <v>-138.794877037601</v>
      </c>
      <c r="ES116" s="33" t="n">
        <f aca="false">-ES112*(In_MEKH+In_HIPA)</f>
        <v>-140.337042338018</v>
      </c>
      <c r="ET116" s="33" t="n">
        <f aca="false">-ET112*(In_MEKH+In_HIPA)</f>
        <v>-141.879207638436</v>
      </c>
    </row>
    <row r="117" customFormat="false" ht="15" hidden="false" customHeight="false" outlineLevel="0" collapsed="false">
      <c r="C117" s="0" t="s">
        <v>382</v>
      </c>
      <c r="D117" s="11" t="s">
        <v>247</v>
      </c>
      <c r="I117" s="33" t="n">
        <f aca="false">SUM(J117:ET117)</f>
        <v>-8565.12918101122</v>
      </c>
      <c r="J117" s="33" t="n">
        <f aca="false">In_Opex_Contingency*(J113+J114+J115-J112*In_MEKH)</f>
        <v>-0</v>
      </c>
      <c r="K117" s="33" t="n">
        <f aca="false">In_Opex_Contingency*(K113+K114+K115-K112*In_MEKH)</f>
        <v>-0</v>
      </c>
      <c r="L117" s="33" t="n">
        <f aca="false">In_Opex_Contingency*(L113+L114+L115-L112*In_MEKH)</f>
        <v>-0</v>
      </c>
      <c r="M117" s="33" t="n">
        <f aca="false">In_Opex_Contingency*(M113+M114+M115-M112*In_MEKH)</f>
        <v>-0</v>
      </c>
      <c r="N117" s="33" t="n">
        <f aca="false">In_Opex_Contingency*(N113+N114+N115-N112*In_MEKH)</f>
        <v>-0</v>
      </c>
      <c r="O117" s="33" t="n">
        <f aca="false">In_Opex_Contingency*(O113+O114+O115-O112*In_MEKH)</f>
        <v>-0</v>
      </c>
      <c r="P117" s="33" t="n">
        <f aca="false">In_Opex_Contingency*(P113+P114+P115-P112*In_MEKH)</f>
        <v>-0</v>
      </c>
      <c r="Q117" s="33" t="n">
        <f aca="false">In_Opex_Contingency*(Q113+Q114+Q115-Q112*In_MEKH)</f>
        <v>-0</v>
      </c>
      <c r="R117" s="33" t="n">
        <f aca="false">In_Opex_Contingency*(R113+R114+R115-R112*In_MEKH)</f>
        <v>-0</v>
      </c>
      <c r="S117" s="33" t="n">
        <f aca="false">In_Opex_Contingency*(S113+S114+S115-S112*In_MEKH)</f>
        <v>-0</v>
      </c>
      <c r="T117" s="33" t="n">
        <f aca="false">In_Opex_Contingency*(T113+T114+T115-T112*In_MEKH)</f>
        <v>-0</v>
      </c>
      <c r="U117" s="33" t="n">
        <f aca="false">In_Opex_Contingency*(U113+U114+U115-U112*In_MEKH)</f>
        <v>-0</v>
      </c>
      <c r="V117" s="33" t="n">
        <f aca="false">In_Opex_Contingency*(V113+V114+V115-V112*In_MEKH)</f>
        <v>-0</v>
      </c>
      <c r="W117" s="33" t="n">
        <f aca="false">In_Opex_Contingency*(W113+W114+W115-W112*In_MEKH)</f>
        <v>-3.59864073081092</v>
      </c>
      <c r="X117" s="33" t="n">
        <f aca="false">In_Opex_Contingency*(X113+X114+X115-X112*In_MEKH)</f>
        <v>-3.60841964584029</v>
      </c>
      <c r="Y117" s="33" t="n">
        <f aca="false">In_Opex_Contingency*(Y113+Y114+Y115-Y112*In_MEKH)</f>
        <v>-3.64851319746074</v>
      </c>
      <c r="Z117" s="33" t="n">
        <f aca="false">In_Opex_Contingency*(Z113+Z114+Z115-Z112*In_MEKH)</f>
        <v>-3.68860674908119</v>
      </c>
      <c r="AA117" s="33" t="n">
        <f aca="false">In_Opex_Contingency*(AA113+AA114+AA115-AA112*In_MEKH)</f>
        <v>-3.68860674908119</v>
      </c>
      <c r="AB117" s="33" t="n">
        <f aca="false">In_Opex_Contingency*(AB113+AB114+AB115-AB112*In_MEKH)</f>
        <v>-3.6986301369863</v>
      </c>
      <c r="AC117" s="33" t="n">
        <f aca="false">In_Opex_Contingency*(AC113+AC114+AC115-AC112*In_MEKH)</f>
        <v>-3.73972602739726</v>
      </c>
      <c r="AD117" s="33" t="n">
        <f aca="false">In_Opex_Contingency*(AD113+AD114+AD115-AD112*In_MEKH)</f>
        <v>-3.78082191780822</v>
      </c>
      <c r="AE117" s="33" t="n">
        <f aca="false">In_Opex_Contingency*(AE113+AE114+AE115-AE112*In_MEKH)</f>
        <v>-48.8620469041096</v>
      </c>
      <c r="AF117" s="33" t="n">
        <f aca="false">In_Opex_Contingency*(AF113+AF114+AF115-AF112*In_MEKH)</f>
        <v>-49.5351540619178</v>
      </c>
      <c r="AG117" s="33" t="n">
        <f aca="false">In_Opex_Contingency*(AG113+AG114+AG115-AG112*In_MEKH)</f>
        <v>-49.5351540619178</v>
      </c>
      <c r="AH117" s="33" t="n">
        <f aca="false">In_Opex_Contingency*(AH113+AH114+AH115-AH112*In_MEKH)</f>
        <v>-50.0794964142466</v>
      </c>
      <c r="AI117" s="33" t="n">
        <f aca="false">In_Opex_Contingency*(AI113+AI114+AI115-AI112*In_MEKH)</f>
        <v>-50.0319545003463</v>
      </c>
      <c r="AJ117" s="33" t="n">
        <f aca="false">In_Opex_Contingency*(AJ113+AJ114+AJ115-AJ112*In_MEKH)</f>
        <v>-50.1638704354583</v>
      </c>
      <c r="AK117" s="33" t="n">
        <f aca="false">In_Opex_Contingency*(AK113+AK114+AK115-AK112*In_MEKH)</f>
        <v>-50.7212467736301</v>
      </c>
      <c r="AL117" s="33" t="n">
        <f aca="false">In_Opex_Contingency*(AL113+AL114+AL115-AL112*In_MEKH)</f>
        <v>-51.2786231118018</v>
      </c>
      <c r="AM117" s="33" t="n">
        <f aca="false">In_Opex_Contingency*(AM113+AM114+AM115-AM112*In_MEKH)</f>
        <v>-51.2300512321924</v>
      </c>
      <c r="AN117" s="33" t="n">
        <f aca="false">In_Opex_Contingency*(AN113+AN114+AN115-AN112*In_MEKH)</f>
        <v>-51.3651947029183</v>
      </c>
      <c r="AO117" s="33" t="n">
        <f aca="false">In_Opex_Contingency*(AO113+AO114+AO115-AO112*In_MEKH)</f>
        <v>-51.9359190885063</v>
      </c>
      <c r="AP117" s="33" t="n">
        <f aca="false">In_Opex_Contingency*(AP113+AP114+AP115-AP112*In_MEKH)</f>
        <v>-52.5066434740943</v>
      </c>
      <c r="AQ117" s="33" t="n">
        <f aca="false">In_Opex_Contingency*(AQ113+AQ114+AQ115-AQ112*In_MEKH)</f>
        <v>-52.4570191331412</v>
      </c>
      <c r="AR117" s="33" t="n">
        <f aca="false">In_Opex_Contingency*(AR113+AR114+AR115-AR112*In_MEKH)</f>
        <v>-52.5954683974554</v>
      </c>
      <c r="AS117" s="33" t="n">
        <f aca="false">In_Opex_Contingency*(AS113+AS114+AS115-AS112*In_MEKH)</f>
        <v>-53.1798624907605</v>
      </c>
      <c r="AT117" s="33" t="n">
        <f aca="false">In_Opex_Contingency*(AT113+AT114+AT115-AT112*In_MEKH)</f>
        <v>-53.7642565840656</v>
      </c>
      <c r="AU117" s="33" t="n">
        <f aca="false">In_Opex_Contingency*(AU113+AU114+AU115-AU112*In_MEKH)</f>
        <v>-53.7135567935193</v>
      </c>
      <c r="AV117" s="33" t="n">
        <f aca="false">In_Opex_Contingency*(AV113+AV114+AV115-AV112*In_MEKH)</f>
        <v>-54.4537852508869</v>
      </c>
      <c r="AW117" s="33" t="n">
        <f aca="false">In_Opex_Contingency*(AW113+AW114+AW115-AW112*In_MEKH)</f>
        <v>-54.4537852508869</v>
      </c>
      <c r="AX117" s="33" t="n">
        <f aca="false">In_Opex_Contingency*(AX113+AX114+AX115-AX112*In_MEKH)</f>
        <v>-55.0521784954021</v>
      </c>
      <c r="AY117" s="33" t="n">
        <f aca="false">In_Opex_Contingency*(AY113+AY114+AY115-AY112*In_MEKH)</f>
        <v>-55.0003797636019</v>
      </c>
      <c r="AZ117" s="33" t="n">
        <f aca="false">In_Opex_Contingency*(AZ113+AZ114+AZ115-AZ112*In_MEKH)</f>
        <v>-55.1456830229945</v>
      </c>
      <c r="BA117" s="33" t="n">
        <f aca="false">In_Opex_Contingency*(BA113+BA114+BA115-BA112*In_MEKH)</f>
        <v>-55.7584128343611</v>
      </c>
      <c r="BB117" s="33" t="n">
        <f aca="false">In_Opex_Contingency*(BB113+BB114+BB115-BB112*In_MEKH)</f>
        <v>-56.3711426457277</v>
      </c>
      <c r="BC117" s="33" t="n">
        <f aca="false">In_Opex_Contingency*(BC113+BC114+BC115-BC112*In_MEKH)</f>
        <v>-56.3182209665687</v>
      </c>
      <c r="BD117" s="33" t="n">
        <f aca="false">In_Opex_Contingency*(BD113+BD114+BD115-BD112*In_MEKH)</f>
        <v>-56.4670763607554</v>
      </c>
      <c r="BE117" s="33" t="n">
        <f aca="false">In_Opex_Contingency*(BE113+BE114+BE115-BE112*In_MEKH)</f>
        <v>-57.0944883203193</v>
      </c>
      <c r="BF117" s="33" t="n">
        <f aca="false">In_Opex_Contingency*(BF113+BF114+BF115-BF112*In_MEKH)</f>
        <v>-57.7219002798833</v>
      </c>
      <c r="BG117" s="33" t="n">
        <f aca="false">In_Opex_Contingency*(BG113+BG114+BG115-BG112*In_MEKH)</f>
        <v>-57.6678311215413</v>
      </c>
      <c r="BH117" s="33" t="n">
        <f aca="false">In_Opex_Contingency*(BH113+BH114+BH115-BH112*In_MEKH)</f>
        <v>-57.8203247773766</v>
      </c>
      <c r="BI117" s="33" t="n">
        <f aca="false">In_Opex_Contingency*(BI113+BI114+BI115-BI112*In_MEKH)</f>
        <v>-58.4627728304585</v>
      </c>
      <c r="BJ117" s="33" t="n">
        <f aca="false">In_Opex_Contingency*(BJ113+BJ114+BJ115-BJ112*In_MEKH)</f>
        <v>-59.1052208835405</v>
      </c>
      <c r="BK117" s="33" t="n">
        <f aca="false">In_Opex_Contingency*(BK113+BK114+BK115-BK112*In_MEKH)</f>
        <v>-59.04997917695</v>
      </c>
      <c r="BL117" s="33" t="n">
        <f aca="false">In_Opex_Contingency*(BL113+BL114+BL115-BL112*In_MEKH)</f>
        <v>-59.8640459684091</v>
      </c>
      <c r="BM117" s="33" t="n">
        <f aca="false">In_Opex_Contingency*(BM113+BM114+BM115-BM112*In_MEKH)</f>
        <v>-59.8640459684091</v>
      </c>
      <c r="BN117" s="33" t="n">
        <f aca="false">In_Opex_Contingency*(BN113+BN114+BN115-BN112*In_MEKH)</f>
        <v>-60.5218926274026</v>
      </c>
      <c r="BO117" s="33" t="n">
        <f aca="false">In_Opex_Contingency*(BO113+BO114+BO115-BO112*In_MEKH)</f>
        <v>-60.465452754482</v>
      </c>
      <c r="BP117" s="33" t="n">
        <f aca="false">In_Opex_Contingency*(BP113+BP114+BP115-BP112*In_MEKH)</f>
        <v>-60.6254897174195</v>
      </c>
      <c r="BQ117" s="33" t="n">
        <f aca="false">In_Opex_Contingency*(BQ113+BQ114+BQ115-BQ112*In_MEKH)</f>
        <v>-61.2991062698353</v>
      </c>
      <c r="BR117" s="33" t="n">
        <f aca="false">In_Opex_Contingency*(BR113+BR114+BR115-BR112*In_MEKH)</f>
        <v>-61.972722822251</v>
      </c>
      <c r="BS117" s="33" t="n">
        <f aca="false">In_Opex_Contingency*(BS113+BS114+BS115-BS112*In_MEKH)</f>
        <v>-61.9150586038699</v>
      </c>
      <c r="BT117" s="33" t="n">
        <f aca="false">In_Opex_Contingency*(BT113+BT114+BT115-BT112*In_MEKH)</f>
        <v>-62.0790049419491</v>
      </c>
      <c r="BU117" s="33" t="n">
        <f aca="false">In_Opex_Contingency*(BU113+BU114+BU115-BU112*In_MEKH)</f>
        <v>-62.7687716635263</v>
      </c>
      <c r="BV117" s="33" t="n">
        <f aca="false">In_Opex_Contingency*(BV113+BV114+BV115-BV112*In_MEKH)</f>
        <v>-63.4585383851035</v>
      </c>
      <c r="BW117" s="33" t="n">
        <f aca="false">In_Opex_Contingency*(BW113+BW114+BW115-BW112*In_MEKH)</f>
        <v>-63.399623068786</v>
      </c>
      <c r="BX117" s="33" t="n">
        <f aca="false">In_Opex_Contingency*(BX113+BX114+BX115-BX112*In_MEKH)</f>
        <v>-63.5675735707396</v>
      </c>
      <c r="BY117" s="33" t="n">
        <f aca="false">In_Opex_Contingency*(BY113+BY114+BY115-BY112*In_MEKH)</f>
        <v>-64.2738799437478</v>
      </c>
      <c r="BZ117" s="33" t="n">
        <f aca="false">In_Opex_Contingency*(BZ113+BZ114+BZ115-BZ112*In_MEKH)</f>
        <v>-64.980186316756</v>
      </c>
      <c r="CA117" s="33" t="n">
        <f aca="false">In_Opex_Contingency*(CA113+CA114+CA115-CA112*In_MEKH)</f>
        <v>-64.9199925641145</v>
      </c>
      <c r="CB117" s="33" t="n">
        <f aca="false">In_Opex_Contingency*(CB113+CB114+CB115-CB112*In_MEKH)</f>
        <v>-65.8152892541277</v>
      </c>
      <c r="CC117" s="33" t="n">
        <f aca="false">In_Opex_Contingency*(CC113+CC114+CC115-CC112*In_MEKH)</f>
        <v>-65.8152892541277</v>
      </c>
      <c r="CD117" s="33" t="n">
        <f aca="false">In_Opex_Contingency*(CD113+CD114+CD115-CD112*In_MEKH)</f>
        <v>-66.5385341909863</v>
      </c>
      <c r="CE117" s="33" t="n">
        <f aca="false">In_Opex_Contingency*(CE113+CE114+CE115-CE112*In_MEKH)</f>
        <v>-66.4770340648798</v>
      </c>
      <c r="CF117" s="33" t="n">
        <f aca="false">In_Opex_Contingency*(CF113+CF114+CF115-CF112*In_MEKH)</f>
        <v>-66.6532865110164</v>
      </c>
      <c r="CG117" s="33" t="n">
        <f aca="false">In_Opex_Contingency*(CG113+CG114+CG115-CG112*In_MEKH)</f>
        <v>-67.3938785833611</v>
      </c>
      <c r="CH117" s="33" t="n">
        <f aca="false">In_Opex_Contingency*(CH113+CH114+CH115-CH112*In_MEKH)</f>
        <v>-68.1344706557057</v>
      </c>
      <c r="CI117" s="33" t="n">
        <f aca="false">In_Opex_Contingency*(CI113+CI114+CI115-CI112*In_MEKH)</f>
        <v>-68.0716356071167</v>
      </c>
      <c r="CJ117" s="33" t="n">
        <f aca="false">In_Opex_Contingency*(CJ113+CJ114+CJ115-CJ112*In_MEKH)</f>
        <v>-68.252190599691</v>
      </c>
      <c r="CK117" s="33" t="n">
        <f aca="false">In_Opex_Contingency*(CK113+CK114+CK115-CK112*In_MEKH)</f>
        <v>-69.0105482730209</v>
      </c>
      <c r="CL117" s="33" t="n">
        <f aca="false">In_Opex_Contingency*(CL113+CL114+CL115-CL112*In_MEKH)</f>
        <v>-69.7689059463508</v>
      </c>
      <c r="CM117" s="33" t="n">
        <f aca="false">In_Opex_Contingency*(CM113+CM114+CM115-CM112*In_MEKH)</f>
        <v>-69.7047068009743</v>
      </c>
      <c r="CN117" s="33" t="n">
        <f aca="false">In_Opex_Contingency*(CN113+CN114+CN115-CN112*In_MEKH)</f>
        <v>-69.8896686637318</v>
      </c>
      <c r="CO117" s="33" t="n">
        <f aca="false">In_Opex_Contingency*(CO113+CO114+CO115-CO112*In_MEKH)</f>
        <v>-70.6662205377733</v>
      </c>
      <c r="CP117" s="33" t="n">
        <f aca="false">In_Opex_Contingency*(CP113+CP114+CP115-CP112*In_MEKH)</f>
        <v>-71.4427724118148</v>
      </c>
      <c r="CQ117" s="33" t="n">
        <f aca="false">In_Opex_Contingency*(CQ113+CQ114+CQ115-CQ112*In_MEKH)</f>
        <v>-71.3771793563535</v>
      </c>
      <c r="CR117" s="33" t="n">
        <f aca="false">In_Opex_Contingency*(CR113+CR114+CR115-CR112*In_MEKH)</f>
        <v>-72.3618399982995</v>
      </c>
      <c r="CS117" s="33" t="n">
        <f aca="false">In_Opex_Contingency*(CS113+CS114+CS115-CS112*In_MEKH)</f>
        <v>-72.3618399982995</v>
      </c>
      <c r="CT117" s="33" t="n">
        <f aca="false">In_Opex_Contingency*(CT113+CT114+CT115-CT112*In_MEKH)</f>
        <v>-73.1570250532259</v>
      </c>
      <c r="CU117" s="33" t="n">
        <f aca="false">In_Opex_Contingency*(CU113+CU114+CU115-CU112*In_MEKH)</f>
        <v>-73.0900076213847</v>
      </c>
      <c r="CV117" s="33" t="n">
        <f aca="false">In_Opex_Contingency*(CV113+CV114+CV115-CV112*In_MEKH)</f>
        <v>-73.2841063785854</v>
      </c>
      <c r="CW117" s="33" t="n">
        <f aca="false">In_Opex_Contingency*(CW113+CW114+CW115-CW112*In_MEKH)</f>
        <v>-74.0983742272363</v>
      </c>
      <c r="CX117" s="33" t="n">
        <f aca="false">In_Opex_Contingency*(CX113+CX114+CX115-CX112*In_MEKH)</f>
        <v>-74.9126420758873</v>
      </c>
      <c r="CY117" s="33" t="n">
        <f aca="false">In_Opex_Contingency*(CY113+CY114+CY115-CY112*In_MEKH)</f>
        <v>-74.8441691340611</v>
      </c>
      <c r="CZ117" s="33" t="n">
        <f aca="false">In_Opex_Contingency*(CZ113+CZ114+CZ115-CZ112*In_MEKH)</f>
        <v>-75.0430031622069</v>
      </c>
      <c r="DA117" s="33" t="n">
        <f aca="false">In_Opex_Contingency*(DA113+DA114+DA115-DA112*In_MEKH)</f>
        <v>-75.8768143084537</v>
      </c>
      <c r="DB117" s="33" t="n">
        <f aca="false">In_Opex_Contingency*(DB113+DB114+DB115-DB112*In_MEKH)</f>
        <v>-76.7106254547004</v>
      </c>
      <c r="DC117" s="33" t="n">
        <f aca="false">In_Opex_Contingency*(DC113+DC114+DC115-DC112*In_MEKH)</f>
        <v>-76.6406651873478</v>
      </c>
      <c r="DD117" s="33" t="n">
        <f aca="false">In_Opex_Contingency*(DD113+DD114+DD115-DD112*In_MEKH)</f>
        <v>-76.8443493065894</v>
      </c>
      <c r="DE117" s="33" t="n">
        <f aca="false">In_Opex_Contingency*(DE113+DE114+DE115-DE112*In_MEKH)</f>
        <v>-77.698175409996</v>
      </c>
      <c r="DF117" s="33" t="n">
        <f aca="false">In_Opex_Contingency*(DF113+DF114+DF115-DF112*In_MEKH)</f>
        <v>-78.5520015134025</v>
      </c>
      <c r="DG117" s="33" t="n">
        <f aca="false">In_Opex_Contingency*(DG113+DG114+DG115-DG112*In_MEKH)</f>
        <v>-78.4805214080991</v>
      </c>
      <c r="DH117" s="33" t="n">
        <f aca="false">In_Opex_Contingency*(DH113+DH114+DH115-DH112*In_MEKH)</f>
        <v>-79.563497371022</v>
      </c>
      <c r="DI117" s="33" t="n">
        <f aca="false">In_Opex_Contingency*(DI113+DI114+DI115-DI112*In_MEKH)</f>
        <v>-79.563497371022</v>
      </c>
      <c r="DJ117" s="33" t="n">
        <f aca="false">In_Opex_Contingency*(DJ113+DJ114+DJ115-DJ112*In_MEKH)</f>
        <v>-80.4378215179563</v>
      </c>
      <c r="DK117" s="33" t="n">
        <f aca="false">In_Opex_Contingency*(DK113+DK114+DK115-DK112*In_MEKH)</f>
        <v>-80.3647883501201</v>
      </c>
      <c r="DL117" s="33" t="n">
        <f aca="false">In_Opex_Contingency*(DL113+DL114+DL115-DL112*In_MEKH)</f>
        <v>-80.5785283217331</v>
      </c>
      <c r="DM117" s="33" t="n">
        <f aca="false">In_Opex_Contingency*(DM113+DM114+DM115-DM112*In_MEKH)</f>
        <v>-81.4738453030857</v>
      </c>
      <c r="DN117" s="33" t="n">
        <f aca="false">In_Opex_Contingency*(DN113+DN114+DN115-DN112*In_MEKH)</f>
        <v>-82.3691622844383</v>
      </c>
      <c r="DO117" s="33" t="n">
        <f aca="false">In_Opex_Contingency*(DO113+DO114+DO115-DO112*In_MEKH)</f>
        <v>-82.2945421017206</v>
      </c>
      <c r="DP117" s="33" t="n">
        <f aca="false">In_Opex_Contingency*(DP113+DP114+DP115-DP112*In_MEKH)</f>
        <v>-82.5134936104378</v>
      </c>
      <c r="DQ117" s="33" t="n">
        <f aca="false">In_Opex_Contingency*(DQ113+DQ114+DQ115-DQ112*In_MEKH)</f>
        <v>-83.4303102061093</v>
      </c>
      <c r="DR117" s="33" t="n">
        <f aca="false">In_Opex_Contingency*(DR113+DR114+DR115-DR112*In_MEKH)</f>
        <v>-84.3471268017809</v>
      </c>
      <c r="DS117" s="33" t="n">
        <f aca="false">In_Opex_Contingency*(DS113+DS114+DS115-DS112*In_MEKH)</f>
        <v>-84.2708849081146</v>
      </c>
      <c r="DT117" s="33" t="n">
        <f aca="false">In_Opex_Contingency*(DT113+DT114+DT115-DT112*In_MEKH)</f>
        <v>-84.4951743290865</v>
      </c>
      <c r="DU117" s="33" t="n">
        <f aca="false">In_Opex_Contingency*(DU113+DU114+DU115-DU112*In_MEKH)</f>
        <v>-85.4340095994097</v>
      </c>
      <c r="DV117" s="33" t="n">
        <f aca="false">In_Opex_Contingency*(DV113+DV114+DV115-DV112*In_MEKH)</f>
        <v>-86.3728448697329</v>
      </c>
      <c r="DW117" s="33" t="n">
        <f aca="false">In_Opex_Contingency*(DW113+DW114+DW115-DW112*In_MEKH)</f>
        <v>-86.2949458090312</v>
      </c>
      <c r="DX117" s="33" t="n">
        <f aca="false">In_Opex_Contingency*(DX113+DX114+DX115-DX112*In_MEKH)</f>
        <v>-87.4860881681444</v>
      </c>
      <c r="DY117" s="33" t="n">
        <f aca="false">In_Opex_Contingency*(DY113+DY114+DY115-DY112*In_MEKH)</f>
        <v>-87.4860881681444</v>
      </c>
      <c r="DZ117" s="33" t="n">
        <f aca="false">In_Opex_Contingency*(DZ113+DZ114+DZ115-DZ112*In_MEKH)</f>
        <v>-88.4474737524097</v>
      </c>
      <c r="EA117" s="33" t="n">
        <f aca="false">In_Opex_Contingency*(EA113+EA114+EA115-EA112*In_MEKH)</f>
        <v>-88.3678812919077</v>
      </c>
      <c r="EB117" s="33" t="n">
        <f aca="false">In_Opex_Contingency*(EB113+EB114+EB115-EB112*In_MEKH)</f>
        <v>-88.6032380032985</v>
      </c>
      <c r="EC117" s="33" t="n">
        <f aca="false">In_Opex_Contingency*(EC113+EC114+EC115-EC112*In_MEKH)</f>
        <v>-89.5877184255573</v>
      </c>
      <c r="ED117" s="33" t="n">
        <f aca="false">In_Opex_Contingency*(ED113+ED114+ED115-ED112*In_MEKH)</f>
        <v>-90.5721988478162</v>
      </c>
      <c r="EE117" s="33" t="n">
        <f aca="false">In_Opex_Contingency*(EE113+EE114+EE115-EE112*In_MEKH)</f>
        <v>-90.4908759610468</v>
      </c>
      <c r="EF117" s="33" t="n">
        <f aca="false">In_Opex_Contingency*(EF113+EF114+EF115-EF112*In_MEKH)</f>
        <v>-90.731968409087</v>
      </c>
      <c r="EG117" s="33" t="n">
        <f aca="false">In_Opex_Contingency*(EG113+EG114+EG115-EG112*In_MEKH)</f>
        <v>-91.7401013914103</v>
      </c>
      <c r="EH117" s="33" t="n">
        <f aca="false">In_Opex_Contingency*(EH113+EH114+EH115-EH112*In_MEKH)</f>
        <v>-92.7482343737334</v>
      </c>
      <c r="EI117" s="33" t="n">
        <f aca="false">In_Opex_Contingency*(EI113+EI114+EI115-EI112*In_MEKH)</f>
        <v>-92.6651432231306</v>
      </c>
      <c r="EJ117" s="33" t="n">
        <f aca="false">In_Opex_Contingency*(EJ113+EJ114+EJ115-EJ112*In_MEKH)</f>
        <v>-92.9121105036224</v>
      </c>
      <c r="EK117" s="33" t="n">
        <f aca="false">In_Opex_Contingency*(EK113+EK114+EK115-EK112*In_MEKH)</f>
        <v>-93.944467286996</v>
      </c>
      <c r="EL117" s="33" t="n">
        <f aca="false">In_Opex_Contingency*(EL113+EL114+EL115-EL112*In_MEKH)</f>
        <v>-94.9768240703696</v>
      </c>
      <c r="EM117" s="33" t="n">
        <f aca="false">In_Opex_Contingency*(EM113+EM114+EM115-EM112*In_MEKH)</f>
        <v>-94.8919259894898</v>
      </c>
      <c r="EN117" s="33" t="n">
        <f aca="false">In_Opex_Contingency*(EN113+EN114+EN115-EN112*In_MEKH)</f>
        <v>-96.2020762471408</v>
      </c>
      <c r="EO117" s="33" t="n">
        <f aca="false">In_Opex_Contingency*(EO113+EO114+EO115-EO112*In_MEKH)</f>
        <v>-96.2020762471408</v>
      </c>
      <c r="EP117" s="33" t="n">
        <f aca="false">In_Opex_Contingency*(EP113+EP114+EP115-EP112*In_MEKH)</f>
        <v>-97.2592419201863</v>
      </c>
      <c r="EQ117" s="33" t="n">
        <f aca="false">In_Opex_Contingency*(EQ113+EQ114+EQ115-EQ112*In_MEKH)</f>
        <v>-97.1724973955404</v>
      </c>
      <c r="ER117" s="33" t="n">
        <f aca="false">In_Opex_Contingency*(ER113+ER114+ER115-ER112*In_MEKH)</f>
        <v>-97.4316452139015</v>
      </c>
      <c r="ES117" s="33" t="n">
        <f aca="false">In_Opex_Contingency*(ES113+ES114+ES115-ES112*In_MEKH)</f>
        <v>-98.5142190496114</v>
      </c>
      <c r="ET117" s="33" t="n">
        <f aca="false">In_Opex_Contingency*(ET113+ET114+ET115-ET112*In_MEKH)</f>
        <v>-99.5967928853215</v>
      </c>
    </row>
    <row r="118" customFormat="false" ht="15" hidden="false" customHeight="false" outlineLevel="0" collapsed="false">
      <c r="C118" s="0" t="s">
        <v>31</v>
      </c>
      <c r="D118" s="11" t="s">
        <v>247</v>
      </c>
      <c r="I118" s="33" t="n">
        <f aca="false">SUM(J118:ET118)</f>
        <v>-20794.4767338331</v>
      </c>
      <c r="J118" s="33" t="n">
        <f aca="false">-$E31*J111/Thousand</f>
        <v>-0</v>
      </c>
      <c r="K118" s="33" t="n">
        <f aca="false">-$E31*K111/Thousand</f>
        <v>-0</v>
      </c>
      <c r="L118" s="33" t="n">
        <f aca="false">-$E31*L111/Thousand</f>
        <v>-0</v>
      </c>
      <c r="M118" s="33" t="n">
        <f aca="false">-$E31*M111/Thousand</f>
        <v>-0</v>
      </c>
      <c r="N118" s="33" t="n">
        <f aca="false">-$E31*N111/Thousand</f>
        <v>-0</v>
      </c>
      <c r="O118" s="33" t="n">
        <f aca="false">-$E31*O111/Thousand</f>
        <v>-0</v>
      </c>
      <c r="P118" s="33" t="n">
        <f aca="false">-$E31*P111/Thousand</f>
        <v>-0</v>
      </c>
      <c r="Q118" s="33" t="n">
        <f aca="false">-$E31*Q111/Thousand</f>
        <v>-0</v>
      </c>
      <c r="R118" s="33" t="n">
        <f aca="false">-$E31*R111/Thousand</f>
        <v>-0</v>
      </c>
      <c r="S118" s="33" t="n">
        <f aca="false">-$E31*S111/Thousand</f>
        <v>-0</v>
      </c>
      <c r="T118" s="33" t="n">
        <f aca="false">-$E31*T111/Thousand</f>
        <v>-0</v>
      </c>
      <c r="U118" s="33" t="n">
        <f aca="false">-$E31*U111/Thousand</f>
        <v>-0</v>
      </c>
      <c r="V118" s="33" t="n">
        <f aca="false">-$E31*V111/Thousand</f>
        <v>-0</v>
      </c>
      <c r="W118" s="33" t="n">
        <f aca="false">-$E31*W111/Thousand</f>
        <v>-0</v>
      </c>
      <c r="X118" s="33" t="n">
        <f aca="false">-$E31*X111/Thousand</f>
        <v>-0</v>
      </c>
      <c r="Y118" s="33" t="n">
        <f aca="false">-$E31*Y111/Thousand</f>
        <v>-0</v>
      </c>
      <c r="Z118" s="33" t="n">
        <f aca="false">-$E31*Z111/Thousand</f>
        <v>-0</v>
      </c>
      <c r="AA118" s="33" t="n">
        <f aca="false">-$E31*AA111/Thousand</f>
        <v>-0</v>
      </c>
      <c r="AB118" s="33" t="n">
        <f aca="false">-$E31*AB111/Thousand</f>
        <v>-0</v>
      </c>
      <c r="AC118" s="33" t="n">
        <f aca="false">-$E31*AC111/Thousand</f>
        <v>-0</v>
      </c>
      <c r="AD118" s="33" t="n">
        <f aca="false">-$E31*AD111/Thousand</f>
        <v>-0</v>
      </c>
      <c r="AE118" s="33" t="n">
        <f aca="false">-$E31*AE111/Thousand</f>
        <v>-182.296109589041</v>
      </c>
      <c r="AF118" s="33" t="n">
        <f aca="false">-$E31*AF111/Thousand</f>
        <v>-180.314630136986</v>
      </c>
      <c r="AG118" s="33" t="n">
        <f aca="false">-$E31*AG111/Thousand</f>
        <v>-180.314630136986</v>
      </c>
      <c r="AH118" s="33" t="n">
        <f aca="false">-$E31*AH111/Thousand</f>
        <v>-182.296109589041</v>
      </c>
      <c r="AI118" s="33" t="n">
        <f aca="false">-$E31*AI111/Thousand</f>
        <v>-181.749221260274</v>
      </c>
      <c r="AJ118" s="33" t="n">
        <f aca="false">-$E31*AJ111/Thousand</f>
        <v>-177.798151232877</v>
      </c>
      <c r="AK118" s="33" t="n">
        <f aca="false">-$E31*AK111/Thousand</f>
        <v>-179.773686246575</v>
      </c>
      <c r="AL118" s="33" t="n">
        <f aca="false">-$E31*AL111/Thousand</f>
        <v>-181.749221260274</v>
      </c>
      <c r="AM118" s="33" t="n">
        <f aca="false">-$E31*AM111/Thousand</f>
        <v>-181.203973596493</v>
      </c>
      <c r="AN118" s="33" t="n">
        <f aca="false">-$E31*AN111/Thousand</f>
        <v>-177.264756779178</v>
      </c>
      <c r="AO118" s="33" t="n">
        <f aca="false">-$E31*AO111/Thousand</f>
        <v>-179.234365187836</v>
      </c>
      <c r="AP118" s="33" t="n">
        <f aca="false">-$E31*AP111/Thousand</f>
        <v>-181.203973596493</v>
      </c>
      <c r="AQ118" s="33" t="n">
        <f aca="false">-$E31*AQ111/Thousand</f>
        <v>-180.660361675704</v>
      </c>
      <c r="AR118" s="33" t="n">
        <f aca="false">-$E31*AR111/Thousand</f>
        <v>-176.732962508841</v>
      </c>
      <c r="AS118" s="33" t="n">
        <f aca="false">-$E31*AS111/Thousand</f>
        <v>-178.696662092272</v>
      </c>
      <c r="AT118" s="33" t="n">
        <f aca="false">-$E31*AT111/Thousand</f>
        <v>-180.660361675704</v>
      </c>
      <c r="AU118" s="33" t="n">
        <f aca="false">-$E31*AU111/Thousand</f>
        <v>-180.118380590677</v>
      </c>
      <c r="AV118" s="33" t="n">
        <f aca="false">-$E31*AV111/Thousand</f>
        <v>-178.160572105995</v>
      </c>
      <c r="AW118" s="33" t="n">
        <f aca="false">-$E31*AW111/Thousand</f>
        <v>-178.160572105995</v>
      </c>
      <c r="AX118" s="33" t="n">
        <f aca="false">-$E31*AX111/Thousand</f>
        <v>-180.118380590677</v>
      </c>
      <c r="AY118" s="33" t="n">
        <f aca="false">-$E31*AY111/Thousand</f>
        <v>-179.578025448905</v>
      </c>
      <c r="AZ118" s="33" t="n">
        <f aca="false">-$E31*AZ111/Thousand</f>
        <v>-175.67415533045</v>
      </c>
      <c r="BA118" s="33" t="n">
        <f aca="false">-$E31*BA111/Thousand</f>
        <v>-177.626090389677</v>
      </c>
      <c r="BB118" s="33" t="n">
        <f aca="false">-$E31*BB111/Thousand</f>
        <v>-179.578025448905</v>
      </c>
      <c r="BC118" s="33" t="n">
        <f aca="false">-$E31*BC111/Thousand</f>
        <v>-179.039291372558</v>
      </c>
      <c r="BD118" s="33" t="n">
        <f aca="false">-$E31*BD111/Thousand</f>
        <v>-175.147132864459</v>
      </c>
      <c r="BE118" s="33" t="n">
        <f aca="false">-$E31*BE111/Thousand</f>
        <v>-177.093212118508</v>
      </c>
      <c r="BF118" s="33" t="n">
        <f aca="false">-$E31*BF111/Thousand</f>
        <v>-179.039291372558</v>
      </c>
      <c r="BG118" s="33" t="n">
        <f aca="false">-$E31*BG111/Thousand</f>
        <v>-178.50217349844</v>
      </c>
      <c r="BH118" s="33" t="n">
        <f aca="false">-$E31*BH111/Thousand</f>
        <v>-174.621691465865</v>
      </c>
      <c r="BI118" s="33" t="n">
        <f aca="false">-$E31*BI111/Thousand</f>
        <v>-176.561932482153</v>
      </c>
      <c r="BJ118" s="33" t="n">
        <f aca="false">-$E31*BJ111/Thousand</f>
        <v>-178.50217349844</v>
      </c>
      <c r="BK118" s="33" t="n">
        <f aca="false">-$E31*BK111/Thousand</f>
        <v>-177.966666977945</v>
      </c>
      <c r="BL118" s="33" t="n">
        <f aca="false">-$E31*BL111/Thousand</f>
        <v>-176.032246684706</v>
      </c>
      <c r="BM118" s="33" t="n">
        <f aca="false">-$E31*BM111/Thousand</f>
        <v>-176.032246684706</v>
      </c>
      <c r="BN118" s="33" t="n">
        <f aca="false">-$E31*BN111/Thousand</f>
        <v>-177.966666977945</v>
      </c>
      <c r="BO118" s="33" t="n">
        <f aca="false">-$E31*BO111/Thousand</f>
        <v>-177.432766977011</v>
      </c>
      <c r="BP118" s="33" t="n">
        <f aca="false">-$E31*BP111/Thousand</f>
        <v>-173.575532912293</v>
      </c>
      <c r="BQ118" s="33" t="n">
        <f aca="false">-$E31*BQ111/Thousand</f>
        <v>-175.504149944652</v>
      </c>
      <c r="BR118" s="33" t="n">
        <f aca="false">-$E31*BR111/Thousand</f>
        <v>-177.432766977011</v>
      </c>
      <c r="BS118" s="33" t="n">
        <f aca="false">-$E31*BS111/Thousand</f>
        <v>-176.90046867608</v>
      </c>
      <c r="BT118" s="33" t="n">
        <f aca="false">-$E31*BT111/Thousand</f>
        <v>-173.054806313556</v>
      </c>
      <c r="BU118" s="33" t="n">
        <f aca="false">-$E31*BU111/Thousand</f>
        <v>-174.977637494818</v>
      </c>
      <c r="BV118" s="33" t="n">
        <f aca="false">-$E31*BV111/Thousand</f>
        <v>-176.90046867608</v>
      </c>
      <c r="BW118" s="33" t="n">
        <f aca="false">-$E31*BW111/Thousand</f>
        <v>-176.369767270052</v>
      </c>
      <c r="BX118" s="33" t="n">
        <f aca="false">-$E31*BX111/Thousand</f>
        <v>-172.535641894616</v>
      </c>
      <c r="BY118" s="33" t="n">
        <f aca="false">-$E31*BY111/Thousand</f>
        <v>-174.452704582334</v>
      </c>
      <c r="BZ118" s="33" t="n">
        <f aca="false">-$E31*BZ111/Thousand</f>
        <v>-176.369767270052</v>
      </c>
      <c r="CA118" s="33" t="n">
        <f aca="false">-$E31*CA111/Thousand</f>
        <v>-175.840657968242</v>
      </c>
      <c r="CB118" s="33" t="n">
        <f aca="false">-$E31*CB111/Thousand</f>
        <v>-173.929346468587</v>
      </c>
      <c r="CC118" s="33" t="n">
        <f aca="false">-$E31*CC111/Thousand</f>
        <v>-173.929346468587</v>
      </c>
      <c r="CD118" s="33" t="n">
        <f aca="false">-$E31*CD111/Thousand</f>
        <v>-175.840657968242</v>
      </c>
      <c r="CE118" s="33" t="n">
        <f aca="false">-$E31*CE111/Thousand</f>
        <v>-175.313135994337</v>
      </c>
      <c r="CF118" s="33" t="n">
        <f aca="false">-$E31*CF111/Thousand</f>
        <v>-171.501980864025</v>
      </c>
      <c r="CG118" s="33" t="n">
        <f aca="false">-$E31*CG111/Thousand</f>
        <v>-173.407558429181</v>
      </c>
      <c r="CH118" s="33" t="n">
        <f aca="false">-$E31*CH111/Thousand</f>
        <v>-175.313135994337</v>
      </c>
      <c r="CI118" s="33" t="n">
        <f aca="false">-$E31*CI111/Thousand</f>
        <v>-174.787196586354</v>
      </c>
      <c r="CJ118" s="33" t="n">
        <f aca="false">-$E31*CJ111/Thousand</f>
        <v>-170.987474921433</v>
      </c>
      <c r="CK118" s="33" t="n">
        <f aca="false">-$E31*CK111/Thousand</f>
        <v>-172.887335753893</v>
      </c>
      <c r="CL118" s="33" t="n">
        <f aca="false">-$E31*CL111/Thousand</f>
        <v>-174.787196586354</v>
      </c>
      <c r="CM118" s="33" t="n">
        <f aca="false">-$E31*CM111/Thousand</f>
        <v>-174.262834996595</v>
      </c>
      <c r="CN118" s="33" t="n">
        <f aca="false">-$E31*CN111/Thousand</f>
        <v>-170.474512496669</v>
      </c>
      <c r="CO118" s="33" t="n">
        <f aca="false">-$E31*CO111/Thousand</f>
        <v>-172.368673746632</v>
      </c>
      <c r="CP118" s="33" t="n">
        <f aca="false">-$E31*CP111/Thousand</f>
        <v>-174.262834996595</v>
      </c>
      <c r="CQ118" s="33" t="n">
        <f aca="false">-$E31*CQ111/Thousand</f>
        <v>-173.740046491605</v>
      </c>
      <c r="CR118" s="33" t="n">
        <f aca="false">-$E31*CR111/Thousand</f>
        <v>-171.851567725392</v>
      </c>
      <c r="CS118" s="33" t="n">
        <f aca="false">-$E31*CS111/Thousand</f>
        <v>-171.851567725392</v>
      </c>
      <c r="CT118" s="33" t="n">
        <f aca="false">-$E31*CT111/Thousand</f>
        <v>-173.740046491605</v>
      </c>
      <c r="CU118" s="33" t="n">
        <f aca="false">-$E31*CU111/Thousand</f>
        <v>-173.21882635213</v>
      </c>
      <c r="CV118" s="33" t="n">
        <f aca="false">-$E31*CV111/Thousand</f>
        <v>-169.453199692301</v>
      </c>
      <c r="CW118" s="33" t="n">
        <f aca="false">-$E31*CW111/Thousand</f>
        <v>-171.336013022216</v>
      </c>
      <c r="CX118" s="33" t="n">
        <f aca="false">-$E31*CX111/Thousand</f>
        <v>-173.21882635213</v>
      </c>
      <c r="CY118" s="33" t="n">
        <f aca="false">-$E31*CY111/Thousand</f>
        <v>-172.699169873074</v>
      </c>
      <c r="CZ118" s="33" t="n">
        <f aca="false">-$E31*CZ111/Thousand</f>
        <v>-168.944840093224</v>
      </c>
      <c r="DA118" s="33" t="n">
        <f aca="false">-$E31*DA111/Thousand</f>
        <v>-170.822004983149</v>
      </c>
      <c r="DB118" s="33" t="n">
        <f aca="false">-$E31*DB111/Thousand</f>
        <v>-172.699169873074</v>
      </c>
      <c r="DC118" s="33" t="n">
        <f aca="false">-$E31*DC111/Thousand</f>
        <v>-172.181072363455</v>
      </c>
      <c r="DD118" s="33" t="n">
        <f aca="false">-$E31*DD111/Thousand</f>
        <v>-168.438005572945</v>
      </c>
      <c r="DE118" s="33" t="n">
        <f aca="false">-$E31*DE111/Thousand</f>
        <v>-170.3095389682</v>
      </c>
      <c r="DF118" s="33" t="n">
        <f aca="false">-$E31*DF111/Thousand</f>
        <v>-172.181072363455</v>
      </c>
      <c r="DG118" s="33" t="n">
        <f aca="false">-$E31*DG111/Thousand</f>
        <v>-171.664529146364</v>
      </c>
      <c r="DH118" s="33" t="n">
        <f aca="false">-$E31*DH111/Thousand</f>
        <v>-169.798610351295</v>
      </c>
      <c r="DI118" s="33" t="n">
        <f aca="false">-$E31*DI111/Thousand</f>
        <v>-169.798610351295</v>
      </c>
      <c r="DJ118" s="33" t="n">
        <f aca="false">-$E31*DJ111/Thousand</f>
        <v>-171.664529146364</v>
      </c>
      <c r="DK118" s="33" t="n">
        <f aca="false">-$E31*DK111/Thousand</f>
        <v>-171.149535558925</v>
      </c>
      <c r="DL118" s="33" t="n">
        <f aca="false">-$E31*DL111/Thousand</f>
        <v>-167.428893481557</v>
      </c>
      <c r="DM118" s="33" t="n">
        <f aca="false">-$E31*DM111/Thousand</f>
        <v>-169.289214520241</v>
      </c>
      <c r="DN118" s="33" t="n">
        <f aca="false">-$E31*DN111/Thousand</f>
        <v>-171.149535558925</v>
      </c>
      <c r="DO118" s="33" t="n">
        <f aca="false">-$E31*DO111/Thousand</f>
        <v>-170.636086952248</v>
      </c>
      <c r="DP118" s="33" t="n">
        <f aca="false">-$E31*DP111/Thousand</f>
        <v>-166.926606801112</v>
      </c>
      <c r="DQ118" s="33" t="n">
        <f aca="false">-$E31*DQ111/Thousand</f>
        <v>-168.78134687668</v>
      </c>
      <c r="DR118" s="33" t="n">
        <f aca="false">-$E31*DR111/Thousand</f>
        <v>-170.636086952248</v>
      </c>
      <c r="DS118" s="33" t="n">
        <f aca="false">-$E31*DS111/Thousand</f>
        <v>-170.124178691392</v>
      </c>
      <c r="DT118" s="33" t="n">
        <f aca="false">-$E31*DT111/Thousand</f>
        <v>-166.425826980709</v>
      </c>
      <c r="DU118" s="33" t="n">
        <f aca="false">-$E31*DU111/Thousand</f>
        <v>-168.27500283605</v>
      </c>
      <c r="DV118" s="33" t="n">
        <f aca="false">-$E31*DV111/Thousand</f>
        <v>-170.124178691392</v>
      </c>
      <c r="DW118" s="33" t="n">
        <f aca="false">-$E31*DW111/Thousand</f>
        <v>-169.613806155317</v>
      </c>
      <c r="DX118" s="33" t="n">
        <f aca="false">-$E31*DX111/Thousand</f>
        <v>-167.770177827542</v>
      </c>
      <c r="DY118" s="33" t="n">
        <f aca="false">-$E31*DY111/Thousand</f>
        <v>-167.770177827542</v>
      </c>
      <c r="DZ118" s="33" t="n">
        <f aca="false">-$E31*DZ111/Thousand</f>
        <v>-169.613806155317</v>
      </c>
      <c r="EA118" s="33" t="n">
        <f aca="false">-$E31*EA111/Thousand</f>
        <v>-169.104964736851</v>
      </c>
      <c r="EB118" s="33" t="n">
        <f aca="false">-$E31*EB111/Thousand</f>
        <v>-165.428769851268</v>
      </c>
      <c r="EC118" s="33" t="n">
        <f aca="false">-$E31*EC111/Thousand</f>
        <v>-167.26686729406</v>
      </c>
      <c r="ED118" s="33" t="n">
        <f aca="false">-$E31*ED111/Thousand</f>
        <v>-169.104964736851</v>
      </c>
      <c r="EE118" s="33" t="n">
        <f aca="false">-$E31*EE111/Thousand</f>
        <v>-168.597649842641</v>
      </c>
      <c r="EF118" s="33" t="n">
        <f aca="false">-$E31*EF111/Thousand</f>
        <v>-164.932483541714</v>
      </c>
      <c r="EG118" s="33" t="n">
        <f aca="false">-$E31*EG111/Thousand</f>
        <v>-166.765066692177</v>
      </c>
      <c r="EH118" s="33" t="n">
        <f aca="false">-$E31*EH111/Thousand</f>
        <v>-168.597649842641</v>
      </c>
      <c r="EI118" s="33" t="n">
        <f aca="false">-$E31*EI111/Thousand</f>
        <v>-168.091856893113</v>
      </c>
      <c r="EJ118" s="33" t="n">
        <f aca="false">-$E31*EJ111/Thousand</f>
        <v>-164.437686091089</v>
      </c>
      <c r="EK118" s="33" t="n">
        <f aca="false">-$E31*EK111/Thousand</f>
        <v>-166.264771492101</v>
      </c>
      <c r="EL118" s="33" t="n">
        <f aca="false">-$E31*EL111/Thousand</f>
        <v>-168.091856893113</v>
      </c>
      <c r="EM118" s="33" t="n">
        <f aca="false">-$E31*EM111/Thousand</f>
        <v>-167.587581322434</v>
      </c>
      <c r="EN118" s="33" t="n">
        <f aca="false">-$E31*EN111/Thousand</f>
        <v>-165.765977177625</v>
      </c>
      <c r="EO118" s="33" t="n">
        <f aca="false">-$E31*EO111/Thousand</f>
        <v>-165.765977177625</v>
      </c>
      <c r="EP118" s="33" t="n">
        <f aca="false">-$E31*EP111/Thousand</f>
        <v>-167.587581322434</v>
      </c>
      <c r="EQ118" s="33" t="n">
        <f aca="false">-$E31*EQ111/Thousand</f>
        <v>-167.084818578466</v>
      </c>
      <c r="ER118" s="33" t="n">
        <f aca="false">-$E31*ER111/Thousand</f>
        <v>-163.452539913717</v>
      </c>
      <c r="ES118" s="33" t="n">
        <f aca="false">-$E31*ES111/Thousand</f>
        <v>-165.268679246092</v>
      </c>
      <c r="ET118" s="33" t="n">
        <f aca="false">-$E31*ET111/Thousand</f>
        <v>-167.084818578466</v>
      </c>
    </row>
    <row r="119" customFormat="false" ht="15" hidden="false" customHeight="false" outlineLevel="0" collapsed="false">
      <c r="C119" s="30" t="s">
        <v>562</v>
      </c>
      <c r="D119" s="11" t="s">
        <v>247</v>
      </c>
      <c r="I119" s="35" t="n">
        <f aca="false">SUM(J119:ET119)</f>
        <v>511909.275115853</v>
      </c>
      <c r="J119" s="35" t="n">
        <f aca="false">SUM(J112:J118)</f>
        <v>0</v>
      </c>
      <c r="K119" s="35" t="n">
        <f aca="false">SUM(K112:K118)</f>
        <v>0</v>
      </c>
      <c r="L119" s="35" t="n">
        <f aca="false">SUM(L112:L118)</f>
        <v>0</v>
      </c>
      <c r="M119" s="35" t="n">
        <f aca="false">SUM(M112:M118)</f>
        <v>0</v>
      </c>
      <c r="N119" s="35" t="n">
        <f aca="false">SUM(N112:N118)</f>
        <v>0</v>
      </c>
      <c r="O119" s="35" t="n">
        <f aca="false">SUM(O112:O118)</f>
        <v>0</v>
      </c>
      <c r="P119" s="35" t="n">
        <f aca="false">SUM(P112:P118)</f>
        <v>0</v>
      </c>
      <c r="Q119" s="35" t="n">
        <f aca="false">SUM(Q112:Q118)</f>
        <v>0</v>
      </c>
      <c r="R119" s="35" t="n">
        <f aca="false">SUM(R112:R118)</f>
        <v>0</v>
      </c>
      <c r="S119" s="35" t="n">
        <f aca="false">SUM(S112:S118)</f>
        <v>0</v>
      </c>
      <c r="T119" s="35" t="n">
        <f aca="false">SUM(T112:T118)</f>
        <v>0</v>
      </c>
      <c r="U119" s="35" t="n">
        <f aca="false">SUM(U112:U118)</f>
        <v>0</v>
      </c>
      <c r="V119" s="35" t="n">
        <f aca="false">SUM(V112:V118)</f>
        <v>0</v>
      </c>
      <c r="W119" s="35" t="n">
        <f aca="false">SUM(W112:W118)</f>
        <v>-75.5714553470293</v>
      </c>
      <c r="X119" s="35" t="n">
        <f aca="false">SUM(X112:X118)</f>
        <v>-75.7768125626462</v>
      </c>
      <c r="Y119" s="35" t="n">
        <f aca="false">SUM(Y112:Y118)</f>
        <v>-76.6187771466756</v>
      </c>
      <c r="Z119" s="35" t="n">
        <f aca="false">SUM(Z112:Z118)</f>
        <v>-77.460741730705</v>
      </c>
      <c r="AA119" s="35" t="n">
        <f aca="false">SUM(AA112:AA118)</f>
        <v>-77.460741730705</v>
      </c>
      <c r="AB119" s="35" t="n">
        <f aca="false">SUM(AB112:AB118)</f>
        <v>-77.6712328767123</v>
      </c>
      <c r="AC119" s="35" t="n">
        <f aca="false">SUM(AC112:AC118)</f>
        <v>-78.5342465753425</v>
      </c>
      <c r="AD119" s="35" t="n">
        <f aca="false">SUM(AD112:AD118)</f>
        <v>-79.3972602739726</v>
      </c>
      <c r="AE119" s="35" t="n">
        <f aca="false">SUM(AE112:AE118)</f>
        <v>4151.10652734247</v>
      </c>
      <c r="AF119" s="35" t="n">
        <f aca="false">SUM(AF112:AF118)</f>
        <v>4133.70976185041</v>
      </c>
      <c r="AG119" s="35" t="n">
        <f aca="false">SUM(AG112:AG118)</f>
        <v>4133.70976185041</v>
      </c>
      <c r="AH119" s="35" t="n">
        <f aca="false">SUM(AH112:AH118)</f>
        <v>4179.13514384877</v>
      </c>
      <c r="AI119" s="35" t="n">
        <f aca="false">SUM(AI112:AI118)</f>
        <v>4164.44111033503</v>
      </c>
      <c r="AJ119" s="35" t="n">
        <f aca="false">SUM(AJ112:AJ118)</f>
        <v>4101.09425535863</v>
      </c>
      <c r="AK119" s="35" t="n">
        <f aca="false">SUM(AK112:AK118)</f>
        <v>4146.66196930706</v>
      </c>
      <c r="AL119" s="35" t="n">
        <f aca="false">SUM(AL112:AL118)</f>
        <v>4192.22968325549</v>
      </c>
      <c r="AM119" s="35" t="n">
        <f aca="false">SUM(AM112:AM118)</f>
        <v>4177.44245042148</v>
      </c>
      <c r="AN119" s="35" t="n">
        <f aca="false">SUM(AN112:AN118)</f>
        <v>4113.56620598525</v>
      </c>
      <c r="AO119" s="35" t="n">
        <f aca="false">SUM(AO112:AO118)</f>
        <v>4159.27249716287</v>
      </c>
      <c r="AP119" s="35" t="n">
        <f aca="false">SUM(AP112:AP118)</f>
        <v>4204.97878834048</v>
      </c>
      <c r="AQ119" s="35" t="n">
        <f aca="false">SUM(AQ112:AQ118)</f>
        <v>4190.09804459661</v>
      </c>
      <c r="AR119" s="35" t="n">
        <f aca="false">SUM(AR112:AR118)</f>
        <v>4125.68766802944</v>
      </c>
      <c r="AS119" s="35" t="n">
        <f aca="false">SUM(AS112:AS118)</f>
        <v>4171.52864211866</v>
      </c>
      <c r="AT119" s="35" t="n">
        <f aca="false">SUM(AT112:AT118)</f>
        <v>4217.36961620788</v>
      </c>
      <c r="AU119" s="35" t="n">
        <f aca="false">SUM(AU112:AU118)</f>
        <v>4202.39505479593</v>
      </c>
      <c r="AV119" s="35" t="n">
        <f aca="false">SUM(AV112:AV118)</f>
        <v>4183.41736098541</v>
      </c>
      <c r="AW119" s="35" t="n">
        <f aca="false">SUM(AW112:AW118)</f>
        <v>4183.41736098541</v>
      </c>
      <c r="AX119" s="35" t="n">
        <f aca="false">SUM(AX112:AX118)</f>
        <v>4229.38898033689</v>
      </c>
      <c r="AY119" s="35" t="n">
        <f aca="false">SUM(AY112:AY118)</f>
        <v>4214.32029951848</v>
      </c>
      <c r="AZ119" s="35" t="n">
        <f aca="false">SUM(AZ112:AZ118)</f>
        <v>4148.8271823853</v>
      </c>
      <c r="BA119" s="35" t="n">
        <f aca="false">SUM(BA112:BA118)</f>
        <v>4194.92526218958</v>
      </c>
      <c r="BB119" s="35" t="n">
        <f aca="false">SUM(BB112:BB118)</f>
        <v>4241.02334199387</v>
      </c>
      <c r="BC119" s="35" t="n">
        <f aca="false">SUM(BC112:BC118)</f>
        <v>4225.86024524354</v>
      </c>
      <c r="BD119" s="35" t="n">
        <f aca="false">SUM(BD112:BD118)</f>
        <v>4159.81839270627</v>
      </c>
      <c r="BE119" s="35" t="n">
        <f aca="false">SUM(BE112:BE118)</f>
        <v>4206.03859706967</v>
      </c>
      <c r="BF119" s="35" t="n">
        <f aca="false">SUM(BF112:BF118)</f>
        <v>4252.25880143308</v>
      </c>
      <c r="BG119" s="35" t="n">
        <f aca="false">SUM(BG112:BG118)</f>
        <v>4237.00099763633</v>
      </c>
      <c r="BH119" s="35" t="n">
        <f aca="false">SUM(BH112:BH118)</f>
        <v>4170.40541303597</v>
      </c>
      <c r="BI119" s="35" t="n">
        <f aca="false">SUM(BI112:BI118)</f>
        <v>4216.74325095859</v>
      </c>
      <c r="BJ119" s="35" t="n">
        <f aca="false">SUM(BJ112:BJ118)</f>
        <v>4263.08108888121</v>
      </c>
      <c r="BK119" s="35" t="n">
        <f aca="false">SUM(BK112:BK118)</f>
        <v>4247.72829253731</v>
      </c>
      <c r="BL119" s="35" t="n">
        <f aca="false">SUM(BL112:BL118)</f>
        <v>4227.02473404685</v>
      </c>
      <c r="BM119" s="35" t="n">
        <f aca="false">SUM(BM112:BM118)</f>
        <v>4227.02473404685</v>
      </c>
      <c r="BN119" s="35" t="n">
        <f aca="false">SUM(BN112:BN118)</f>
        <v>4273.47555530011</v>
      </c>
      <c r="BO119" s="35" t="n">
        <f aca="false">SUM(BO112:BO118)</f>
        <v>4258.02748673002</v>
      </c>
      <c r="BP119" s="35" t="n">
        <f aca="false">SUM(BP112:BP118)</f>
        <v>4190.30918111972</v>
      </c>
      <c r="BQ119" s="35" t="n">
        <f aca="false">SUM(BQ112:BQ118)</f>
        <v>4236.86817202105</v>
      </c>
      <c r="BR119" s="35" t="n">
        <f aca="false">SUM(BR112:BR118)</f>
        <v>4283.42716292238</v>
      </c>
      <c r="BS119" s="35" t="n">
        <f aca="false">SUM(BS112:BS118)</f>
        <v>4267.88354848182</v>
      </c>
      <c r="BT119" s="35" t="n">
        <f aca="false">SUM(BT112:BT118)</f>
        <v>4199.59611739008</v>
      </c>
      <c r="BU119" s="35" t="n">
        <f aca="false">SUM(BU112:BU118)</f>
        <v>4246.25829647219</v>
      </c>
      <c r="BV119" s="35" t="n">
        <f aca="false">SUM(BV112:BV118)</f>
        <v>4292.9204755543</v>
      </c>
      <c r="BW119" s="35" t="n">
        <f aca="false">SUM(BW112:BW118)</f>
        <v>4277.28104785204</v>
      </c>
      <c r="BX119" s="35" t="n">
        <f aca="false">SUM(BX112:BX118)</f>
        <v>4208.41922149599</v>
      </c>
      <c r="BY119" s="35" t="n">
        <f aca="false">SUM(BY112:BY118)</f>
        <v>4255.17943506817</v>
      </c>
      <c r="BZ119" s="35" t="n">
        <f aca="false">SUM(BZ112:BZ118)</f>
        <v>4301.93964864034</v>
      </c>
      <c r="CA119" s="35" t="n">
        <f aca="false">SUM(CA112:CA118)</f>
        <v>4286.20414676194</v>
      </c>
      <c r="CB119" s="35" t="n">
        <f aca="false">SUM(CB112:CB118)</f>
        <v>4263.61550148466</v>
      </c>
      <c r="CC119" s="35" t="n">
        <f aca="false">SUM(CC112:CC118)</f>
        <v>4263.61550148466</v>
      </c>
      <c r="CD119" s="35" t="n">
        <f aca="false">SUM(CD112:CD118)</f>
        <v>4310.4684190834</v>
      </c>
      <c r="CE119" s="35" t="n">
        <f aca="false">SUM(CE112:CE118)</f>
        <v>4294.63658882035</v>
      </c>
      <c r="CF119" s="35" t="n">
        <f aca="false">SUM(CF112:CF118)</f>
        <v>4224.60987536228</v>
      </c>
      <c r="CG119" s="35" t="n">
        <f aca="false">SUM(CG112:CG118)</f>
        <v>4271.54998508853</v>
      </c>
      <c r="CH119" s="35" t="n">
        <f aca="false">SUM(CH112:CH118)</f>
        <v>4318.49009481478</v>
      </c>
      <c r="CI119" s="35" t="n">
        <f aca="false">SUM(CI112:CI118)</f>
        <v>4302.56168889939</v>
      </c>
      <c r="CJ119" s="35" t="n">
        <f aca="false">SUM(CJ112:CJ118)</f>
        <v>4231.94433662722</v>
      </c>
      <c r="CK119" s="35" t="n">
        <f aca="false">SUM(CK112:CK118)</f>
        <v>4278.96594036753</v>
      </c>
      <c r="CL119" s="35" t="n">
        <f aca="false">SUM(CL112:CL118)</f>
        <v>4325.98754410783</v>
      </c>
      <c r="CM119" s="35" t="n">
        <f aca="false">SUM(CM112:CM118)</f>
        <v>4309.96232245379</v>
      </c>
      <c r="CN119" s="35" t="n">
        <f aca="false">SUM(CN112:CN118)</f>
        <v>4238.7487675717</v>
      </c>
      <c r="CO119" s="35" t="n">
        <f aca="false">SUM(CO112:CO118)</f>
        <v>4285.84597610028</v>
      </c>
      <c r="CP119" s="35" t="n">
        <f aca="false">SUM(CP112:CP118)</f>
        <v>4332.94318462885</v>
      </c>
      <c r="CQ119" s="35" t="n">
        <f aca="false">SUM(CQ112:CQ118)</f>
        <v>4316.82091457771</v>
      </c>
      <c r="CR119" s="35" t="n">
        <f aca="false">SUM(CR112:CR118)</f>
        <v>4292.17224426001</v>
      </c>
      <c r="CS119" s="35" t="n">
        <f aca="false">SUM(CS112:CS118)</f>
        <v>4292.17224426001</v>
      </c>
      <c r="CT119" s="35" t="n">
        <f aca="false">SUM(CT112:CT118)</f>
        <v>4339.33897221891</v>
      </c>
      <c r="CU119" s="35" t="n">
        <f aca="false">SUM(CU112:CU118)</f>
        <v>4323.11942879257</v>
      </c>
      <c r="CV119" s="35" t="n">
        <f aca="false">SUM(CV112:CV118)</f>
        <v>4250.69646789126</v>
      </c>
      <c r="CW119" s="35" t="n">
        <f aca="false">SUM(CW112:CW118)</f>
        <v>4297.9264286456</v>
      </c>
      <c r="CX119" s="35" t="n">
        <f aca="false">SUM(CX112:CX118)</f>
        <v>4345.15638939995</v>
      </c>
      <c r="CY119" s="35" t="n">
        <f aca="false">SUM(CY112:CY118)</f>
        <v>4328.83935555932</v>
      </c>
      <c r="CZ119" s="35" t="n">
        <f aca="false">SUM(CZ112:CZ118)</f>
        <v>4255.80303286797</v>
      </c>
      <c r="DA119" s="35" t="n">
        <f aca="false">SUM(DA112:DA118)</f>
        <v>4303.08973323317</v>
      </c>
      <c r="DB119" s="35" t="n">
        <f aca="false">SUM(DB112:DB118)</f>
        <v>4350.37643359837</v>
      </c>
      <c r="DC119" s="35" t="n">
        <f aca="false">SUM(DC112:DC118)</f>
        <v>4333.96170050834</v>
      </c>
      <c r="DD119" s="35" t="n">
        <f aca="false">SUM(DD112:DD118)</f>
        <v>4260.30613540361</v>
      </c>
      <c r="DE119" s="35" t="n">
        <f aca="false">SUM(DE112:DE118)</f>
        <v>4307.64287024143</v>
      </c>
      <c r="DF119" s="35" t="n">
        <f aca="false">SUM(DF112:DF118)</f>
        <v>4354.97960507925</v>
      </c>
      <c r="DG119" s="35" t="n">
        <f aca="false">SUM(DG112:DG118)</f>
        <v>4338.46697238004</v>
      </c>
      <c r="DH119" s="35" t="n">
        <f aca="false">SUM(DH112:DH118)</f>
        <v>4311.56604790374</v>
      </c>
      <c r="DI119" s="35" t="n">
        <f aca="false">SUM(DI112:DI118)</f>
        <v>4311.56604790374</v>
      </c>
      <c r="DJ119" s="35" t="n">
        <f aca="false">SUM(DJ112:DJ118)</f>
        <v>4358.945894584</v>
      </c>
      <c r="DK119" s="35" t="n">
        <f aca="false">SUM(DK112:DK118)</f>
        <v>4342.33517066918</v>
      </c>
      <c r="DL119" s="35" t="n">
        <f aca="false">SUM(DL112:DL118)</f>
        <v>4267.42314521508</v>
      </c>
      <c r="DM119" s="35" t="n">
        <f aca="false">SUM(DM112:DM118)</f>
        <v>4314.83895793969</v>
      </c>
      <c r="DN119" s="35" t="n">
        <f aca="false">SUM(DN112:DN118)</f>
        <v>4362.2547706643</v>
      </c>
      <c r="DO119" s="35" t="n">
        <f aca="false">SUM(DO112:DO118)</f>
        <v>4345.54577296546</v>
      </c>
      <c r="DP119" s="35" t="n">
        <f aca="false">SUM(DP112:DP118)</f>
        <v>4269.99635873289</v>
      </c>
      <c r="DQ119" s="35" t="n">
        <f aca="false">SUM(DQ112:DQ118)</f>
        <v>4317.44076271881</v>
      </c>
      <c r="DR119" s="35" t="n">
        <f aca="false">SUM(DR112:DR118)</f>
        <v>4364.88516670473</v>
      </c>
      <c r="DS119" s="35" t="n">
        <f aca="false">SUM(DS112:DS118)</f>
        <v>4348.0777219831</v>
      </c>
      <c r="DT119" s="35" t="n">
        <f aca="false">SUM(DT112:DT118)</f>
        <v>4271.8846965912</v>
      </c>
      <c r="DU119" s="35" t="n">
        <f aca="false">SUM(DU112:DU118)</f>
        <v>4319.35008210888</v>
      </c>
      <c r="DV119" s="35" t="n">
        <f aca="false">SUM(DV112:DV118)</f>
        <v>4366.81546762656</v>
      </c>
      <c r="DW119" s="35" t="n">
        <f aca="false">SUM(DW112:DW118)</f>
        <v>4349.90941227163</v>
      </c>
      <c r="DX119" s="35" t="n">
        <f aca="false">SUM(DX112:DX118)</f>
        <v>4320.54498000109</v>
      </c>
      <c r="DY119" s="35" t="n">
        <f aca="false">SUM(DY112:DY118)</f>
        <v>4320.54498000109</v>
      </c>
      <c r="DZ119" s="35" t="n">
        <f aca="false">SUM(DZ112:DZ118)</f>
        <v>4368.02349626484</v>
      </c>
      <c r="EA119" s="35" t="n">
        <f aca="false">SUM(EA112:EA118)</f>
        <v>4351.01867660019</v>
      </c>
      <c r="EB119" s="35" t="n">
        <f aca="false">SUM(EB112:EB118)</f>
        <v>4273.5194015975</v>
      </c>
      <c r="EC119" s="35" t="n">
        <f aca="false">SUM(EC112:EC118)</f>
        <v>4321.00295050414</v>
      </c>
      <c r="ED119" s="35" t="n">
        <f aca="false">SUM(ED112:ED118)</f>
        <v>4368.48649941078</v>
      </c>
      <c r="EE119" s="35" t="n">
        <f aca="false">SUM(EE112:EE118)</f>
        <v>4351.38277200729</v>
      </c>
      <c r="EF119" s="35" t="n">
        <f aca="false">SUM(EF112:EF118)</f>
        <v>4273.22067408704</v>
      </c>
      <c r="EG119" s="35" t="n">
        <f aca="false">SUM(EG112:EG118)</f>
        <v>4320.70090379912</v>
      </c>
      <c r="EH119" s="35" t="n">
        <f aca="false">SUM(EH112:EH118)</f>
        <v>4368.1811335112</v>
      </c>
      <c r="EI119" s="35" t="n">
        <f aca="false">SUM(EI112:EI118)</f>
        <v>4350.97836550777</v>
      </c>
      <c r="EJ119" s="35" t="n">
        <f aca="false">SUM(EJ112:EJ118)</f>
        <v>4272.14685327713</v>
      </c>
      <c r="EK119" s="35" t="n">
        <f aca="false">SUM(EK112:EK118)</f>
        <v>4319.61515164688</v>
      </c>
      <c r="EL119" s="35" t="n">
        <f aca="false">SUM(EL112:EL118)</f>
        <v>4367.08345001662</v>
      </c>
      <c r="EM119" s="35" t="n">
        <f aca="false">SUM(EM112:EM118)</f>
        <v>4349.78151944861</v>
      </c>
      <c r="EN119" s="35" t="n">
        <f aca="false">SUM(EN112:EN118)</f>
        <v>4317.72139253939</v>
      </c>
      <c r="EO119" s="35" t="n">
        <f aca="false">SUM(EO112:EO118)</f>
        <v>4317.72139253939</v>
      </c>
      <c r="EP119" s="35" t="n">
        <f aca="false">SUM(EP112:EP118)</f>
        <v>4365.16888036949</v>
      </c>
      <c r="EQ119" s="35" t="n">
        <f aca="false">SUM(EQ112:EQ118)</f>
        <v>4347.76767650498</v>
      </c>
      <c r="ER119" s="35" t="n">
        <f aca="false">SUM(ER112:ER118)</f>
        <v>4267.57717234905</v>
      </c>
      <c r="ES119" s="35" t="n">
        <f aca="false">SUM(ES112:ES118)</f>
        <v>4314.99469648626</v>
      </c>
      <c r="ET119" s="35" t="n">
        <f aca="false">SUM(ET112:ET118)</f>
        <v>4362.41222062347</v>
      </c>
    </row>
    <row r="121" customFormat="false" ht="15" hidden="false" customHeight="false" outlineLevel="0" collapsed="false">
      <c r="A121" s="9" t="s">
        <v>13</v>
      </c>
      <c r="B121" s="9"/>
      <c r="C121" s="9" t="s">
        <v>563</v>
      </c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</row>
    <row r="122" customFormat="false" ht="15" hidden="false" customHeight="false" outlineLevel="0" collapsed="false">
      <c r="C122" s="0" t="s">
        <v>564</v>
      </c>
      <c r="D122" s="11" t="s">
        <v>247</v>
      </c>
      <c r="E122" s="33" t="n">
        <f aca="false">$I99-($I94+$I53+$I95+$I50)</f>
        <v>155571.135598186</v>
      </c>
      <c r="I122" s="33" t="n">
        <f aca="false">SUM(J122:ET122)</f>
        <v>-155571.135598186</v>
      </c>
      <c r="J122" s="33" t="n">
        <f aca="false">-$E122*J18</f>
        <v>-0</v>
      </c>
      <c r="K122" s="33" t="n">
        <f aca="false">-$E122*K18</f>
        <v>-0</v>
      </c>
      <c r="L122" s="33" t="n">
        <f aca="false">-$E122*L18</f>
        <v>-0</v>
      </c>
      <c r="M122" s="33" t="n">
        <f aca="false">-$E122*M18</f>
        <v>-0</v>
      </c>
      <c r="N122" s="33" t="n">
        <f aca="false">-$E122*N18</f>
        <v>-0</v>
      </c>
      <c r="O122" s="33" t="n">
        <f aca="false">-$E122*O18</f>
        <v>-0</v>
      </c>
      <c r="P122" s="33" t="n">
        <f aca="false">-$E122*P18</f>
        <v>-0</v>
      </c>
      <c r="Q122" s="33" t="n">
        <f aca="false">-$E122*Q18</f>
        <v>-0</v>
      </c>
      <c r="R122" s="33" t="n">
        <f aca="false">-$E122*R18</f>
        <v>-0</v>
      </c>
      <c r="S122" s="33" t="n">
        <f aca="false">-$E122*S18</f>
        <v>-0</v>
      </c>
      <c r="T122" s="33" t="n">
        <f aca="false">-$E122*T18</f>
        <v>-0</v>
      </c>
      <c r="U122" s="33" t="n">
        <f aca="false">-$E122*U18</f>
        <v>-0</v>
      </c>
      <c r="V122" s="33" t="n">
        <f aca="false">-$E122*V18</f>
        <v>-0</v>
      </c>
      <c r="W122" s="33" t="n">
        <f aca="false">-$E122*W18</f>
        <v>-0</v>
      </c>
      <c r="X122" s="33" t="n">
        <f aca="false">-$E122*X18</f>
        <v>-0</v>
      </c>
      <c r="Y122" s="33" t="n">
        <f aca="false">-$E122*Y18</f>
        <v>-0</v>
      </c>
      <c r="Z122" s="33" t="n">
        <f aca="false">-$E122*Z18</f>
        <v>-0</v>
      </c>
      <c r="AA122" s="33" t="n">
        <f aca="false">-$E122*AA18</f>
        <v>-0</v>
      </c>
      <c r="AB122" s="33" t="n">
        <f aca="false">-$E122*AB18</f>
        <v>-0</v>
      </c>
      <c r="AC122" s="33" t="n">
        <f aca="false">-$E122*AC18</f>
        <v>-0</v>
      </c>
      <c r="AD122" s="33" t="n">
        <f aca="false">-$E122*AD18</f>
        <v>-0</v>
      </c>
      <c r="AE122" s="33" t="n">
        <f aca="false">-$E122*AE18</f>
        <v>-1959.28055784163</v>
      </c>
      <c r="AF122" s="33" t="n">
        <f aca="false">-$E122*AF18</f>
        <v>-1937.984030039</v>
      </c>
      <c r="AG122" s="33" t="n">
        <f aca="false">-$E122*AG18</f>
        <v>-1937.984030039</v>
      </c>
      <c r="AH122" s="33" t="n">
        <f aca="false">-$E122*AH18</f>
        <v>-1959.28055784163</v>
      </c>
      <c r="AI122" s="33" t="n">
        <f aca="false">-$E122*AI18</f>
        <v>-1959.28055784163</v>
      </c>
      <c r="AJ122" s="33" t="n">
        <f aca="false">-$E122*AJ18</f>
        <v>-1916.68750223638</v>
      </c>
      <c r="AK122" s="33" t="n">
        <f aca="false">-$E122*AK18</f>
        <v>-1937.984030039</v>
      </c>
      <c r="AL122" s="33" t="n">
        <f aca="false">-$E122*AL18</f>
        <v>-1959.28055784163</v>
      </c>
      <c r="AM122" s="33" t="n">
        <f aca="false">-$E122*AM18</f>
        <v>-1959.28055784163</v>
      </c>
      <c r="AN122" s="33" t="n">
        <f aca="false">-$E122*AN18</f>
        <v>-1916.68750223638</v>
      </c>
      <c r="AO122" s="33" t="n">
        <f aca="false">-$E122*AO18</f>
        <v>-1937.984030039</v>
      </c>
      <c r="AP122" s="33" t="n">
        <f aca="false">-$E122*AP18</f>
        <v>-1959.28055784163</v>
      </c>
      <c r="AQ122" s="33" t="n">
        <f aca="false">-$E122*AQ18</f>
        <v>-1959.28055784163</v>
      </c>
      <c r="AR122" s="33" t="n">
        <f aca="false">-$E122*AR18</f>
        <v>-1916.68750223638</v>
      </c>
      <c r="AS122" s="33" t="n">
        <f aca="false">-$E122*AS18</f>
        <v>-1937.984030039</v>
      </c>
      <c r="AT122" s="33" t="n">
        <f aca="false">-$E122*AT18</f>
        <v>-1959.28055784163</v>
      </c>
      <c r="AU122" s="33" t="n">
        <f aca="false">-$E122*AU18</f>
        <v>-1959.28055784163</v>
      </c>
      <c r="AV122" s="33" t="n">
        <f aca="false">-$E122*AV18</f>
        <v>-1937.984030039</v>
      </c>
      <c r="AW122" s="33" t="n">
        <f aca="false">-$E122*AW18</f>
        <v>-1937.984030039</v>
      </c>
      <c r="AX122" s="33" t="n">
        <f aca="false">-$E122*AX18</f>
        <v>-1959.28055784163</v>
      </c>
      <c r="AY122" s="33" t="n">
        <f aca="false">-$E122*AY18</f>
        <v>-1959.28055784163</v>
      </c>
      <c r="AZ122" s="33" t="n">
        <f aca="false">-$E122*AZ18</f>
        <v>-1916.68750223638</v>
      </c>
      <c r="BA122" s="33" t="n">
        <f aca="false">-$E122*BA18</f>
        <v>-1937.984030039</v>
      </c>
      <c r="BB122" s="33" t="n">
        <f aca="false">-$E122*BB18</f>
        <v>-1959.28055784163</v>
      </c>
      <c r="BC122" s="33" t="n">
        <f aca="false">-$E122*BC18</f>
        <v>-1959.28055784163</v>
      </c>
      <c r="BD122" s="33" t="n">
        <f aca="false">-$E122*BD18</f>
        <v>-1916.68750223638</v>
      </c>
      <c r="BE122" s="33" t="n">
        <f aca="false">-$E122*BE18</f>
        <v>-1937.984030039</v>
      </c>
      <c r="BF122" s="33" t="n">
        <f aca="false">-$E122*BF18</f>
        <v>-1959.28055784163</v>
      </c>
      <c r="BG122" s="33" t="n">
        <f aca="false">-$E122*BG18</f>
        <v>-1959.28055784163</v>
      </c>
      <c r="BH122" s="33" t="n">
        <f aca="false">-$E122*BH18</f>
        <v>-1916.68750223638</v>
      </c>
      <c r="BI122" s="33" t="n">
        <f aca="false">-$E122*BI18</f>
        <v>-1937.984030039</v>
      </c>
      <c r="BJ122" s="33" t="n">
        <f aca="false">-$E122*BJ18</f>
        <v>-1959.28055784163</v>
      </c>
      <c r="BK122" s="33" t="n">
        <f aca="false">-$E122*BK18</f>
        <v>-1959.28055784163</v>
      </c>
      <c r="BL122" s="33" t="n">
        <f aca="false">-$E122*BL18</f>
        <v>-1937.984030039</v>
      </c>
      <c r="BM122" s="33" t="n">
        <f aca="false">-$E122*BM18</f>
        <v>-1937.984030039</v>
      </c>
      <c r="BN122" s="33" t="n">
        <f aca="false">-$E122*BN18</f>
        <v>-1959.28055784163</v>
      </c>
      <c r="BO122" s="33" t="n">
        <f aca="false">-$E122*BO18</f>
        <v>-1959.28055784163</v>
      </c>
      <c r="BP122" s="33" t="n">
        <f aca="false">-$E122*BP18</f>
        <v>-1916.68750223638</v>
      </c>
      <c r="BQ122" s="33" t="n">
        <f aca="false">-$E122*BQ18</f>
        <v>-1937.984030039</v>
      </c>
      <c r="BR122" s="33" t="n">
        <f aca="false">-$E122*BR18</f>
        <v>-1959.28055784163</v>
      </c>
      <c r="BS122" s="33" t="n">
        <f aca="false">-$E122*BS18</f>
        <v>-1959.28055784163</v>
      </c>
      <c r="BT122" s="33" t="n">
        <f aca="false">-$E122*BT18</f>
        <v>-1916.68750223638</v>
      </c>
      <c r="BU122" s="33" t="n">
        <f aca="false">-$E122*BU18</f>
        <v>-1937.984030039</v>
      </c>
      <c r="BV122" s="33" t="n">
        <f aca="false">-$E122*BV18</f>
        <v>-1959.28055784163</v>
      </c>
      <c r="BW122" s="33" t="n">
        <f aca="false">-$E122*BW18</f>
        <v>-1959.28055784163</v>
      </c>
      <c r="BX122" s="33" t="n">
        <f aca="false">-$E122*BX18</f>
        <v>-1916.68750223638</v>
      </c>
      <c r="BY122" s="33" t="n">
        <f aca="false">-$E122*BY18</f>
        <v>-1937.984030039</v>
      </c>
      <c r="BZ122" s="33" t="n">
        <f aca="false">-$E122*BZ18</f>
        <v>-1959.28055784163</v>
      </c>
      <c r="CA122" s="33" t="n">
        <f aca="false">-$E122*CA18</f>
        <v>-1959.28055784163</v>
      </c>
      <c r="CB122" s="33" t="n">
        <f aca="false">-$E122*CB18</f>
        <v>-1937.984030039</v>
      </c>
      <c r="CC122" s="33" t="n">
        <f aca="false">-$E122*CC18</f>
        <v>-1937.984030039</v>
      </c>
      <c r="CD122" s="33" t="n">
        <f aca="false">-$E122*CD18</f>
        <v>-1959.28055784163</v>
      </c>
      <c r="CE122" s="33" t="n">
        <f aca="false">-$E122*CE18</f>
        <v>-1959.28055784163</v>
      </c>
      <c r="CF122" s="33" t="n">
        <f aca="false">-$E122*CF18</f>
        <v>-1916.68750223638</v>
      </c>
      <c r="CG122" s="33" t="n">
        <f aca="false">-$E122*CG18</f>
        <v>-1937.984030039</v>
      </c>
      <c r="CH122" s="33" t="n">
        <f aca="false">-$E122*CH18</f>
        <v>-1959.28055784163</v>
      </c>
      <c r="CI122" s="33" t="n">
        <f aca="false">-$E122*CI18</f>
        <v>-1959.28055784163</v>
      </c>
      <c r="CJ122" s="33" t="n">
        <f aca="false">-$E122*CJ18</f>
        <v>-1916.68750223638</v>
      </c>
      <c r="CK122" s="33" t="n">
        <f aca="false">-$E122*CK18</f>
        <v>-1937.984030039</v>
      </c>
      <c r="CL122" s="33" t="n">
        <f aca="false">-$E122*CL18</f>
        <v>-1959.28055784163</v>
      </c>
      <c r="CM122" s="33" t="n">
        <f aca="false">-$E122*CM18</f>
        <v>-1959.28055784163</v>
      </c>
      <c r="CN122" s="33" t="n">
        <f aca="false">-$E122*CN18</f>
        <v>-1916.68750223638</v>
      </c>
      <c r="CO122" s="33" t="n">
        <f aca="false">-$E122*CO18</f>
        <v>-1937.984030039</v>
      </c>
      <c r="CP122" s="33" t="n">
        <f aca="false">-$E122*CP18</f>
        <v>-1959.28055784163</v>
      </c>
      <c r="CQ122" s="33" t="n">
        <f aca="false">-$E122*CQ18</f>
        <v>-1959.28055784163</v>
      </c>
      <c r="CR122" s="33" t="n">
        <f aca="false">-$E122*CR18</f>
        <v>-1937.984030039</v>
      </c>
      <c r="CS122" s="33" t="n">
        <f aca="false">-$E122*CS18</f>
        <v>-1937.984030039</v>
      </c>
      <c r="CT122" s="33" t="n">
        <f aca="false">-$E122*CT18</f>
        <v>-1959.28055784163</v>
      </c>
      <c r="CU122" s="33" t="n">
        <f aca="false">-$E122*CU18</f>
        <v>-1959.28055784163</v>
      </c>
      <c r="CV122" s="33" t="n">
        <f aca="false">-$E122*CV18</f>
        <v>-1916.68750223638</v>
      </c>
      <c r="CW122" s="33" t="n">
        <f aca="false">-$E122*CW18</f>
        <v>-1937.984030039</v>
      </c>
      <c r="CX122" s="33" t="n">
        <f aca="false">-$E122*CX18</f>
        <v>-1959.28055784163</v>
      </c>
      <c r="CY122" s="33" t="n">
        <f aca="false">-$E122*CY18</f>
        <v>-1959.28055784163</v>
      </c>
      <c r="CZ122" s="33" t="n">
        <f aca="false">-$E122*CZ18</f>
        <v>-1916.68750223638</v>
      </c>
      <c r="DA122" s="33" t="n">
        <f aca="false">-$E122*DA18</f>
        <v>-1937.984030039</v>
      </c>
      <c r="DB122" s="33" t="n">
        <f aca="false">-$E122*DB18</f>
        <v>-1959.28055784163</v>
      </c>
      <c r="DC122" s="33" t="n">
        <f aca="false">-$E122*DC18</f>
        <v>-1959.28055784163</v>
      </c>
      <c r="DD122" s="33" t="n">
        <f aca="false">-$E122*DD18</f>
        <v>-1916.68750223638</v>
      </c>
      <c r="DE122" s="33" t="n">
        <f aca="false">-$E122*DE18</f>
        <v>-1937.984030039</v>
      </c>
      <c r="DF122" s="33" t="n">
        <f aca="false">-$E122*DF18</f>
        <v>-1959.28055784163</v>
      </c>
      <c r="DG122" s="33" t="n">
        <f aca="false">-$E122*DG18</f>
        <v>-0</v>
      </c>
      <c r="DH122" s="33" t="n">
        <f aca="false">-$E122*DH18</f>
        <v>-0</v>
      </c>
      <c r="DI122" s="33" t="n">
        <f aca="false">-$E122*DI18</f>
        <v>-0</v>
      </c>
      <c r="DJ122" s="33" t="n">
        <f aca="false">-$E122*DJ18</f>
        <v>-0</v>
      </c>
      <c r="DK122" s="33" t="n">
        <f aca="false">-$E122*DK18</f>
        <v>-0</v>
      </c>
      <c r="DL122" s="33" t="n">
        <f aca="false">-$E122*DL18</f>
        <v>-0</v>
      </c>
      <c r="DM122" s="33" t="n">
        <f aca="false">-$E122*DM18</f>
        <v>-0</v>
      </c>
      <c r="DN122" s="33" t="n">
        <f aca="false">-$E122*DN18</f>
        <v>-0</v>
      </c>
      <c r="DO122" s="33" t="n">
        <f aca="false">-$E122*DO18</f>
        <v>-0</v>
      </c>
      <c r="DP122" s="33" t="n">
        <f aca="false">-$E122*DP18</f>
        <v>-0</v>
      </c>
      <c r="DQ122" s="33" t="n">
        <f aca="false">-$E122*DQ18</f>
        <v>-0</v>
      </c>
      <c r="DR122" s="33" t="n">
        <f aca="false">-$E122*DR18</f>
        <v>-0</v>
      </c>
      <c r="DS122" s="33" t="n">
        <f aca="false">-$E122*DS18</f>
        <v>-0</v>
      </c>
      <c r="DT122" s="33" t="n">
        <f aca="false">-$E122*DT18</f>
        <v>-0</v>
      </c>
      <c r="DU122" s="33" t="n">
        <f aca="false">-$E122*DU18</f>
        <v>-0</v>
      </c>
      <c r="DV122" s="33" t="n">
        <f aca="false">-$E122*DV18</f>
        <v>-0</v>
      </c>
      <c r="DW122" s="33" t="n">
        <f aca="false">-$E122*DW18</f>
        <v>-0</v>
      </c>
      <c r="DX122" s="33" t="n">
        <f aca="false">-$E122*DX18</f>
        <v>-0</v>
      </c>
      <c r="DY122" s="33" t="n">
        <f aca="false">-$E122*DY18</f>
        <v>-0</v>
      </c>
      <c r="DZ122" s="33" t="n">
        <f aca="false">-$E122*DZ18</f>
        <v>-0</v>
      </c>
      <c r="EA122" s="33" t="n">
        <f aca="false">-$E122*EA18</f>
        <v>-0</v>
      </c>
      <c r="EB122" s="33" t="n">
        <f aca="false">-$E122*EB18</f>
        <v>-0</v>
      </c>
      <c r="EC122" s="33" t="n">
        <f aca="false">-$E122*EC18</f>
        <v>-0</v>
      </c>
      <c r="ED122" s="33" t="n">
        <f aca="false">-$E122*ED18</f>
        <v>-0</v>
      </c>
      <c r="EE122" s="33" t="n">
        <f aca="false">-$E122*EE18</f>
        <v>-0</v>
      </c>
      <c r="EF122" s="33" t="n">
        <f aca="false">-$E122*EF18</f>
        <v>-0</v>
      </c>
      <c r="EG122" s="33" t="n">
        <f aca="false">-$E122*EG18</f>
        <v>-0</v>
      </c>
      <c r="EH122" s="33" t="n">
        <f aca="false">-$E122*EH18</f>
        <v>-0</v>
      </c>
      <c r="EI122" s="33" t="n">
        <f aca="false">-$E122*EI18</f>
        <v>-0</v>
      </c>
      <c r="EJ122" s="33" t="n">
        <f aca="false">-$E122*EJ18</f>
        <v>-0</v>
      </c>
      <c r="EK122" s="33" t="n">
        <f aca="false">-$E122*EK18</f>
        <v>-0</v>
      </c>
      <c r="EL122" s="33" t="n">
        <f aca="false">-$E122*EL18</f>
        <v>-0</v>
      </c>
      <c r="EM122" s="33" t="n">
        <f aca="false">-$E122*EM18</f>
        <v>-0</v>
      </c>
      <c r="EN122" s="33" t="n">
        <f aca="false">-$E122*EN18</f>
        <v>-0</v>
      </c>
      <c r="EO122" s="33" t="n">
        <f aca="false">-$E122*EO18</f>
        <v>-0</v>
      </c>
      <c r="EP122" s="33" t="n">
        <f aca="false">-$E122*EP18</f>
        <v>-0</v>
      </c>
      <c r="EQ122" s="33" t="n">
        <f aca="false">-$E122*EQ18</f>
        <v>-0</v>
      </c>
      <c r="ER122" s="33" t="n">
        <f aca="false">-$E122*ER18</f>
        <v>-0</v>
      </c>
      <c r="ES122" s="33" t="n">
        <f aca="false">-$E122*ES18</f>
        <v>-0</v>
      </c>
      <c r="ET122" s="33" t="n">
        <f aca="false">-$E122*ET18</f>
        <v>-0</v>
      </c>
    </row>
    <row r="123" customFormat="false" ht="15" hidden="false" customHeight="false" outlineLevel="0" collapsed="false">
      <c r="C123" s="0" t="s">
        <v>565</v>
      </c>
      <c r="D123" s="11" t="s">
        <v>247</v>
      </c>
      <c r="I123" s="33" t="n">
        <f aca="false">SUM(J123:ET123)</f>
        <v>324641.812905154</v>
      </c>
      <c r="J123" s="33" t="n">
        <f aca="false">J119+J122+J102+J103+J104+J57</f>
        <v>0</v>
      </c>
      <c r="K123" s="33" t="n">
        <f aca="false">K119+K122+K102+K103+K104+K57</f>
        <v>-178.520547945205</v>
      </c>
      <c r="L123" s="33" t="n">
        <f aca="false">L119+L122+L102+L103+L104+L57</f>
        <v>-588.444520547945</v>
      </c>
      <c r="M123" s="33" t="n">
        <f aca="false">M119+M122+M102+M103+M104+M57</f>
        <v>-43.8356164383562</v>
      </c>
      <c r="N123" s="33" t="n">
        <f aca="false">N119+N122+N102+N103+N104+N57</f>
        <v>-43.8356164383562</v>
      </c>
      <c r="O123" s="33" t="n">
        <f aca="false">O119+O122+O102+O103+O104+O57</f>
        <v>-184.361643835616</v>
      </c>
      <c r="P123" s="33" t="n">
        <f aca="false">P119+P122+P102+P103+P104+P57</f>
        <v>-1290.04179480011</v>
      </c>
      <c r="Q123" s="33" t="n">
        <f aca="false">Q119+Q122+Q102+Q103+Q104+Q57</f>
        <v>-4.60958904109589</v>
      </c>
      <c r="R123" s="33" t="n">
        <f aca="false">R119+R122+R102+R103+R104+R57</f>
        <v>-164.091509980431</v>
      </c>
      <c r="S123" s="33" t="n">
        <f aca="false">S119+S122+S102+S103+S104+S57</f>
        <v>-317.226138697232</v>
      </c>
      <c r="T123" s="33" t="n">
        <f aca="false">T119+T122+T102+T103+T104+T57</f>
        <v>-304.657534246575</v>
      </c>
      <c r="U123" s="33" t="n">
        <f aca="false">U119+U122+U102+U103+U104+U57</f>
        <v>0</v>
      </c>
      <c r="V123" s="33" t="n">
        <f aca="false">V119+V122+V102+V103+V104+V57</f>
        <v>0</v>
      </c>
      <c r="W123" s="33" t="n">
        <f aca="false">W119+W122+W102+W103+W104+W57</f>
        <v>-1858.22759618649</v>
      </c>
      <c r="X123" s="33" t="n">
        <f aca="false">X119+X122+X102+X103+X104+X57</f>
        <v>-250.674467337995</v>
      </c>
      <c r="Y123" s="33" t="n">
        <f aca="false">Y119+Y122+Y102+Y103+Y104+Y57</f>
        <v>-228.513521980133</v>
      </c>
      <c r="Z123" s="33" t="n">
        <f aca="false">Z119+Z122+Z102+Z103+Z104+Z57</f>
        <v>-205.524081984532</v>
      </c>
      <c r="AA123" s="33" t="n">
        <f aca="false">AA119+AA122+AA102+AA103+AA104+AA57</f>
        <v>-179.743278257285</v>
      </c>
      <c r="AB123" s="33" t="n">
        <f aca="false">AB119+AB122+AB102+AB103+AB104+AB57</f>
        <v>-152.509884528233</v>
      </c>
      <c r="AC123" s="33" t="n">
        <f aca="false">AC119+AC122+AC102+AC103+AC104+AC57</f>
        <v>-129.258221583595</v>
      </c>
      <c r="AD123" s="33" t="n">
        <f aca="false">AD119+AD122+AD102+AD103+AD104+AD57</f>
        <v>-105.17806400122</v>
      </c>
      <c r="AE123" s="33" t="n">
        <f aca="false">AE119+AE122+AE102+AE103+AE104+AE57</f>
        <v>1014.06967046872</v>
      </c>
      <c r="AF123" s="33" t="n">
        <f aca="false">AF119+AF122+AF102+AF103+AF104+AF57</f>
        <v>1040.84312534623</v>
      </c>
      <c r="AG123" s="33" t="n">
        <f aca="false">AG119+AG122+AG102+AG103+AG104+AG57</f>
        <v>1064.00273907026</v>
      </c>
      <c r="AH123" s="33" t="n">
        <f aca="false">AH119+AH122+AH102+AH103+AH104+AH57</f>
        <v>1111.58070216157</v>
      </c>
      <c r="AI123" s="33" t="n">
        <f aca="false">AI119+AI122+AI102+AI103+AI104+AI57</f>
        <v>1120.6288914046</v>
      </c>
      <c r="AJ123" s="33" t="n">
        <f aca="false">AJ119+AJ122+AJ102+AJ103+AJ104+AJ57</f>
        <v>1123.91409257469</v>
      </c>
      <c r="AK123" s="33" t="n">
        <f aca="false">AK119+AK122+AK102+AK103+AK104+AK57</f>
        <v>1172.52476676849</v>
      </c>
      <c r="AL123" s="33" t="n">
        <f aca="false">AL119+AL122+AL102+AL103+AL104+AL57</f>
        <v>1221.43968456289</v>
      </c>
      <c r="AM123" s="33" t="n">
        <f aca="false">AM119+AM122+AM102+AM103+AM104+AM57</f>
        <v>1231.60423002308</v>
      </c>
      <c r="AN123" s="33" t="n">
        <f aca="false">AN119+AN122+AN102+AN103+AN104+AN57</f>
        <v>1235.58471671499</v>
      </c>
      <c r="AO123" s="33" t="n">
        <f aca="false">AO119+AO122+AO102+AO103+AO104+AO57</f>
        <v>1285.5739515569</v>
      </c>
      <c r="AP123" s="33" t="n">
        <f aca="false">AP119+AP122+AP102+AP103+AP104+AP57</f>
        <v>1335.88292979214</v>
      </c>
      <c r="AQ123" s="33" t="n">
        <f aca="false">AQ119+AQ122+AQ102+AQ103+AQ104+AQ57</f>
        <v>1347.22514109428</v>
      </c>
      <c r="AR123" s="33" t="n">
        <f aca="false">AR119+AR122+AR102+AR103+AR104+AR57</f>
        <v>1351.95856211645</v>
      </c>
      <c r="AS123" s="33" t="n">
        <f aca="false">AS119+AS122+AS102+AS103+AS104+AS57</f>
        <v>1403.38563466193</v>
      </c>
      <c r="AT123" s="33" t="n">
        <f aca="false">AT119+AT122+AT102+AT103+AT104+AT57</f>
        <v>1455.14874003564</v>
      </c>
      <c r="AU123" s="33" t="n">
        <f aca="false">AU119+AU122+AU102+AU103+AU104+AU57</f>
        <v>1467.7330709494</v>
      </c>
      <c r="AV123" s="33" t="n">
        <f aca="false">AV119+AV122+AV102+AV103+AV104+AV57</f>
        <v>1497.95528342129</v>
      </c>
      <c r="AW123" s="33" t="n">
        <f aca="false">AW119+AW122+AW102+AW103+AW104+AW57</f>
        <v>1526.20745413206</v>
      </c>
      <c r="AX123" s="33" t="n">
        <f aca="false">AX119+AX122+AX102+AX103+AX104+AX57</f>
        <v>1579.48786852559</v>
      </c>
      <c r="AY123" s="33" t="n">
        <f aca="false">AY119+AY122+AY102+AY103+AY104+AY57</f>
        <v>1593.38207708739</v>
      </c>
      <c r="AZ123" s="33" t="n">
        <f aca="false">AZ119+AZ122+AZ102+AZ103+AZ104+AZ57</f>
        <v>1599.80694105695</v>
      </c>
      <c r="BA123" s="33" t="n">
        <f aca="false">BA119+BA122+BA102+BA103+BA104+BA57</f>
        <v>1654.29998012479</v>
      </c>
      <c r="BB123" s="33" t="n">
        <f aca="false">BB119+BB122+BB102+BB103+BB104+BB57</f>
        <v>1709.16416278097</v>
      </c>
      <c r="BC123" s="33" t="n">
        <f aca="false">BC119+BC122+BC102+BC103+BC104+BC57</f>
        <v>1724.43947956835</v>
      </c>
      <c r="BD123" s="33" t="n">
        <f aca="false">BD119+BD122+BD102+BD103+BD104+BD57</f>
        <v>1731.80957634325</v>
      </c>
      <c r="BE123" s="33" t="n">
        <f aca="false">BE119+BE122+BE102+BE103+BE104+BE57</f>
        <v>1787.93738278229</v>
      </c>
      <c r="BF123" s="33" t="n">
        <f aca="false">BF119+BF122+BF102+BF103+BF104+BF57</f>
        <v>1844.4552408448</v>
      </c>
      <c r="BG123" s="33" t="n">
        <f aca="false">BG119+BG122+BG102+BG103+BG104+BG57</f>
        <v>1861.18654581856</v>
      </c>
      <c r="BH123" s="33" t="n">
        <f aca="false">BH119+BH122+BH102+BH103+BH104+BH57</f>
        <v>1869.5729894536</v>
      </c>
      <c r="BI123" s="33" t="n">
        <f aca="false">BI119+BI122+BI102+BI103+BI104+BI57</f>
        <v>1927.40813436161</v>
      </c>
      <c r="BJ123" s="33" t="n">
        <f aca="false">BJ119+BJ122+BJ102+BJ103+BJ104+BJ57</f>
        <v>1985.65320220448</v>
      </c>
      <c r="BK123" s="33" t="n">
        <f aca="false">BK119+BK122+BK102+BK103+BK104+BK57</f>
        <v>2003.91921055497</v>
      </c>
      <c r="BL123" s="33" t="n">
        <f aca="false">BL119+BL122+BL102+BL103+BL104+BL57</f>
        <v>2038.55121962023</v>
      </c>
      <c r="BM123" s="33" t="n">
        <f aca="false">BM119+BM122+BM102+BM103+BM104+BM57</f>
        <v>2073.01574737022</v>
      </c>
      <c r="BN123" s="33" t="n">
        <f aca="false">BN119+BN122+BN102+BN103+BN104+BN57</f>
        <v>2133.06537516773</v>
      </c>
      <c r="BO123" s="33" t="n">
        <f aca="false">BO119+BO122+BO102+BO103+BO104+BO57</f>
        <v>2152.94883262385</v>
      </c>
      <c r="BP123" s="33" t="n">
        <f aca="false">BP119+BP122+BP102+BP103+BP104+BP57</f>
        <v>2163.59675272034</v>
      </c>
      <c r="BQ123" s="33" t="n">
        <f aca="false">BQ119+BQ122+BQ102+BQ103+BQ104+BQ57</f>
        <v>2225.07955054684</v>
      </c>
      <c r="BR123" s="33" t="n">
        <f aca="false">BR119+BR122+BR102+BR103+BR104+BR57</f>
        <v>2287.01510255745</v>
      </c>
      <c r="BS123" s="33" t="n">
        <f aca="false">BS119+BS122+BS102+BS103+BS104+BS57</f>
        <v>2308.60299064019</v>
      </c>
      <c r="BT123" s="33" t="n">
        <f aca="false">BT119+BT122+BT102+BT103+BT104+BT57</f>
        <v>2282.9086151537</v>
      </c>
      <c r="BU123" s="33" t="n">
        <f aca="false">BU119+BU122+BU102+BU103+BU104+BU57</f>
        <v>2308.27426643319</v>
      </c>
      <c r="BV123" s="33" t="n">
        <f aca="false">BV119+BV122+BV102+BV103+BV104+BV57</f>
        <v>2333.63991771267</v>
      </c>
      <c r="BW123" s="33" t="n">
        <f aca="false">BW119+BW122+BW102+BW103+BW104+BW57</f>
        <v>2318.00049001042</v>
      </c>
      <c r="BX123" s="33" t="n">
        <f aca="false">BX119+BX122+BX102+BX103+BX104+BX57</f>
        <v>2291.73171925961</v>
      </c>
      <c r="BY123" s="33" t="n">
        <f aca="false">BY119+BY122+BY102+BY103+BY104+BY57</f>
        <v>2317.19540502916</v>
      </c>
      <c r="BZ123" s="33" t="n">
        <f aca="false">BZ119+BZ122+BZ102+BZ103+BZ104+BZ57</f>
        <v>2342.65909079871</v>
      </c>
      <c r="CA123" s="33" t="n">
        <f aca="false">CA119+CA122+CA102+CA103+CA104+CA57</f>
        <v>2326.92358892031</v>
      </c>
      <c r="CB123" s="33" t="n">
        <f aca="false">CB119+CB122+CB102+CB103+CB104+CB57</f>
        <v>2325.63147144566</v>
      </c>
      <c r="CC123" s="33" t="n">
        <f aca="false">CC119+CC122+CC102+CC103+CC104+CC57</f>
        <v>2325.63147144566</v>
      </c>
      <c r="CD123" s="33" t="n">
        <f aca="false">CD119+CD122+CD102+CD103+CD104+CD57</f>
        <v>2351.18786124177</v>
      </c>
      <c r="CE123" s="33" t="n">
        <f aca="false">CE119+CE122+CE102+CE103+CE104+CE57</f>
        <v>2335.35603097872</v>
      </c>
      <c r="CF123" s="33" t="n">
        <f aca="false">CF119+CF122+CF102+CF103+CF104+CF57</f>
        <v>2307.92237312591</v>
      </c>
      <c r="CG123" s="33" t="n">
        <f aca="false">CG119+CG122+CG102+CG103+CG104+CG57</f>
        <v>2333.56595504953</v>
      </c>
      <c r="CH123" s="33" t="n">
        <f aca="false">CH119+CH122+CH102+CH103+CH104+CH57</f>
        <v>2359.20953697315</v>
      </c>
      <c r="CI123" s="33" t="n">
        <f aca="false">CI119+CI122+CI102+CI103+CI104+CI57</f>
        <v>2343.28113105777</v>
      </c>
      <c r="CJ123" s="33" t="n">
        <f aca="false">CJ119+CJ122+CJ102+CJ103+CJ104+CJ57</f>
        <v>2315.25683439085</v>
      </c>
      <c r="CK123" s="33" t="n">
        <f aca="false">CK119+CK122+CK102+CK103+CK104+CK57</f>
        <v>2340.98191032852</v>
      </c>
      <c r="CL123" s="33" t="n">
        <f aca="false">CL119+CL122+CL102+CL103+CL104+CL57</f>
        <v>2366.7069862662</v>
      </c>
      <c r="CM123" s="33" t="n">
        <f aca="false">CM119+CM122+CM102+CM103+CM104+CM57</f>
        <v>2350.68176461216</v>
      </c>
      <c r="CN123" s="33" t="n">
        <f aca="false">CN119+CN122+CN102+CN103+CN104+CN57</f>
        <v>2322.06126533532</v>
      </c>
      <c r="CO123" s="33" t="n">
        <f aca="false">CO119+CO122+CO102+CO103+CO104+CO57</f>
        <v>2347.86194606127</v>
      </c>
      <c r="CP123" s="33" t="n">
        <f aca="false">CP119+CP122+CP102+CP103+CP104+CP57</f>
        <v>2373.66262678722</v>
      </c>
      <c r="CQ123" s="33" t="n">
        <f aca="false">CQ119+CQ122+CQ102+CQ103+CQ104+CQ57</f>
        <v>2357.54035673608</v>
      </c>
      <c r="CR123" s="33" t="n">
        <f aca="false">CR119+CR122+CR102+CR103+CR104+CR57</f>
        <v>2354.18821422101</v>
      </c>
      <c r="CS123" s="33" t="n">
        <f aca="false">CS119+CS122+CS102+CS103+CS104+CS57</f>
        <v>2354.18821422101</v>
      </c>
      <c r="CT123" s="33" t="n">
        <f aca="false">CT119+CT122+CT102+CT103+CT104+CT57</f>
        <v>2380.05841437728</v>
      </c>
      <c r="CU123" s="33" t="n">
        <f aca="false">CU119+CU122+CU102+CU103+CU104+CU57</f>
        <v>2363.83887095094</v>
      </c>
      <c r="CV123" s="33" t="n">
        <f aca="false">CV119+CV122+CV102+CV103+CV104+CV57</f>
        <v>2334.00896565488</v>
      </c>
      <c r="CW123" s="33" t="n">
        <f aca="false">CW119+CW122+CW102+CW103+CW104+CW57</f>
        <v>2359.9423986066</v>
      </c>
      <c r="CX123" s="33" t="n">
        <f aca="false">CX119+CX122+CX102+CX103+CX104+CX57</f>
        <v>2385.87583155832</v>
      </c>
      <c r="CY123" s="33" t="n">
        <f aca="false">CY119+CY122+CY102+CY103+CY104+CY57</f>
        <v>2369.55879771769</v>
      </c>
      <c r="CZ123" s="33" t="n">
        <f aca="false">CZ119+CZ122+CZ102+CZ103+CZ104+CZ57</f>
        <v>2339.1155306316</v>
      </c>
      <c r="DA123" s="33" t="n">
        <f aca="false">DA119+DA122+DA102+DA103+DA104+DA57</f>
        <v>2365.10570319417</v>
      </c>
      <c r="DB123" s="33" t="n">
        <f aca="false">DB119+DB122+DB102+DB103+DB104+DB57</f>
        <v>2391.09587575674</v>
      </c>
      <c r="DC123" s="33" t="n">
        <f aca="false">DC119+DC122+DC102+DC103+DC104+DC57</f>
        <v>2374.68114266671</v>
      </c>
      <c r="DD123" s="33" t="n">
        <f aca="false">DD119+DD122+DD102+DD103+DD104+DD57</f>
        <v>2343.61863316723</v>
      </c>
      <c r="DE123" s="33" t="n">
        <f aca="false">DE119+DE122+DE102+DE103+DE104+DE57</f>
        <v>2369.65884020243</v>
      </c>
      <c r="DF123" s="33" t="n">
        <f aca="false">DF119+DF122+DF102+DF103+DF104+DF57</f>
        <v>2395.69904723762</v>
      </c>
      <c r="DG123" s="33" t="n">
        <f aca="false">DG119+DG122+DG102+DG103+DG104+DG57</f>
        <v>4338.46697238004</v>
      </c>
      <c r="DH123" s="33" t="n">
        <f aca="false">DH119+DH122+DH102+DH103+DH104+DH57</f>
        <v>4311.56604790374</v>
      </c>
      <c r="DI123" s="33" t="n">
        <f aca="false">DI119+DI122+DI102+DI103+DI104+DI57</f>
        <v>4311.56604790374</v>
      </c>
      <c r="DJ123" s="33" t="n">
        <f aca="false">DJ119+DJ122+DJ102+DJ103+DJ104+DJ57</f>
        <v>4358.945894584</v>
      </c>
      <c r="DK123" s="33" t="n">
        <f aca="false">DK119+DK122+DK102+DK103+DK104+DK57</f>
        <v>4342.33517066918</v>
      </c>
      <c r="DL123" s="33" t="n">
        <f aca="false">DL119+DL122+DL102+DL103+DL104+DL57</f>
        <v>4267.42314521508</v>
      </c>
      <c r="DM123" s="33" t="n">
        <f aca="false">DM119+DM122+DM102+DM103+DM104+DM57</f>
        <v>4314.83895793969</v>
      </c>
      <c r="DN123" s="33" t="n">
        <f aca="false">DN119+DN122+DN102+DN103+DN104+DN57</f>
        <v>4362.2547706643</v>
      </c>
      <c r="DO123" s="33" t="n">
        <f aca="false">DO119+DO122+DO102+DO103+DO104+DO57</f>
        <v>4345.54577296546</v>
      </c>
      <c r="DP123" s="33" t="n">
        <f aca="false">DP119+DP122+DP102+DP103+DP104+DP57</f>
        <v>4269.99635873289</v>
      </c>
      <c r="DQ123" s="33" t="n">
        <f aca="false">DQ119+DQ122+DQ102+DQ103+DQ104+DQ57</f>
        <v>4317.44076271881</v>
      </c>
      <c r="DR123" s="33" t="n">
        <f aca="false">DR119+DR122+DR102+DR103+DR104+DR57</f>
        <v>4364.88516670473</v>
      </c>
      <c r="DS123" s="33" t="n">
        <f aca="false">DS119+DS122+DS102+DS103+DS104+DS57</f>
        <v>4348.0777219831</v>
      </c>
      <c r="DT123" s="33" t="n">
        <f aca="false">DT119+DT122+DT102+DT103+DT104+DT57</f>
        <v>4271.8846965912</v>
      </c>
      <c r="DU123" s="33" t="n">
        <f aca="false">DU119+DU122+DU102+DU103+DU104+DU57</f>
        <v>4319.35008210888</v>
      </c>
      <c r="DV123" s="33" t="n">
        <f aca="false">DV119+DV122+DV102+DV103+DV104+DV57</f>
        <v>4366.81546762656</v>
      </c>
      <c r="DW123" s="33" t="n">
        <f aca="false">DW119+DW122+DW102+DW103+DW104+DW57</f>
        <v>4349.90941227163</v>
      </c>
      <c r="DX123" s="33" t="n">
        <f aca="false">DX119+DX122+DX102+DX103+DX104+DX57</f>
        <v>4320.54498000109</v>
      </c>
      <c r="DY123" s="33" t="n">
        <f aca="false">DY119+DY122+DY102+DY103+DY104+DY57</f>
        <v>4320.54498000109</v>
      </c>
      <c r="DZ123" s="33" t="n">
        <f aca="false">DZ119+DZ122+DZ102+DZ103+DZ104+DZ57</f>
        <v>4368.02349626484</v>
      </c>
      <c r="EA123" s="33" t="n">
        <f aca="false">EA119+EA122+EA102+EA103+EA104+EA57</f>
        <v>4351.01867660019</v>
      </c>
      <c r="EB123" s="33" t="n">
        <f aca="false">EB119+EB122+EB102+EB103+EB104+EB57</f>
        <v>4273.5194015975</v>
      </c>
      <c r="EC123" s="33" t="n">
        <f aca="false">EC119+EC122+EC102+EC103+EC104+EC57</f>
        <v>4321.00295050414</v>
      </c>
      <c r="ED123" s="33" t="n">
        <f aca="false">ED119+ED122+ED102+ED103+ED104+ED57</f>
        <v>4368.48649941078</v>
      </c>
      <c r="EE123" s="33" t="n">
        <f aca="false">EE119+EE122+EE102+EE103+EE104+EE57</f>
        <v>4351.38277200729</v>
      </c>
      <c r="EF123" s="33" t="n">
        <f aca="false">EF119+EF122+EF102+EF103+EF104+EF57</f>
        <v>4273.22067408704</v>
      </c>
      <c r="EG123" s="33" t="n">
        <f aca="false">EG119+EG122+EG102+EG103+EG104+EG57</f>
        <v>4320.70090379912</v>
      </c>
      <c r="EH123" s="33" t="n">
        <f aca="false">EH119+EH122+EH102+EH103+EH104+EH57</f>
        <v>4368.1811335112</v>
      </c>
      <c r="EI123" s="33" t="n">
        <f aca="false">EI119+EI122+EI102+EI103+EI104+EI57</f>
        <v>4350.97836550777</v>
      </c>
      <c r="EJ123" s="33" t="n">
        <f aca="false">EJ119+EJ122+EJ102+EJ103+EJ104+EJ57</f>
        <v>4272.14685327713</v>
      </c>
      <c r="EK123" s="33" t="n">
        <f aca="false">EK119+EK122+EK102+EK103+EK104+EK57</f>
        <v>4319.61515164688</v>
      </c>
      <c r="EL123" s="33" t="n">
        <f aca="false">EL119+EL122+EL102+EL103+EL104+EL57</f>
        <v>4367.08345001662</v>
      </c>
      <c r="EM123" s="33" t="n">
        <f aca="false">EM119+EM122+EM102+EM103+EM104+EM57</f>
        <v>4349.78151944861</v>
      </c>
      <c r="EN123" s="33" t="n">
        <f aca="false">EN119+EN122+EN102+EN103+EN104+EN57</f>
        <v>4317.72139253939</v>
      </c>
      <c r="EO123" s="33" t="n">
        <f aca="false">EO119+EO122+EO102+EO103+EO104+EO57</f>
        <v>4317.72139253939</v>
      </c>
      <c r="EP123" s="33" t="n">
        <f aca="false">EP119+EP122+EP102+EP103+EP104+EP57</f>
        <v>4365.16888036949</v>
      </c>
      <c r="EQ123" s="33" t="n">
        <f aca="false">EQ119+EQ122+EQ102+EQ103+EQ104+EQ57</f>
        <v>4347.76767650498</v>
      </c>
      <c r="ER123" s="33" t="n">
        <f aca="false">ER119+ER122+ER102+ER103+ER104+ER57</f>
        <v>4267.57717234905</v>
      </c>
      <c r="ES123" s="33" t="n">
        <f aca="false">ES119+ES122+ES102+ES103+ES104+ES57</f>
        <v>4314.99469648626</v>
      </c>
      <c r="ET123" s="33" t="n">
        <f aca="false">ET119+ET122+ET102+ET103+ET104+ET57</f>
        <v>4362.41222062347</v>
      </c>
    </row>
    <row r="124" customFormat="false" ht="15" hidden="false" customHeight="false" outlineLevel="0" collapsed="false">
      <c r="C124" s="0" t="s">
        <v>566</v>
      </c>
      <c r="D124" s="11" t="s">
        <v>247</v>
      </c>
      <c r="J124" s="22" t="n">
        <f aca="false">I127</f>
        <v>0</v>
      </c>
      <c r="K124" s="22" t="n">
        <f aca="false">J127</f>
        <v>0</v>
      </c>
      <c r="L124" s="22" t="n">
        <f aca="false">K127</f>
        <v>178.520547945205</v>
      </c>
      <c r="M124" s="22" t="n">
        <f aca="false">L127</f>
        <v>766.965068493151</v>
      </c>
      <c r="N124" s="22" t="n">
        <f aca="false">M127</f>
        <v>810.800684931507</v>
      </c>
      <c r="O124" s="22" t="n">
        <f aca="false">N127</f>
        <v>854.636301369863</v>
      </c>
      <c r="P124" s="22" t="n">
        <f aca="false">O127</f>
        <v>1038.99794520548</v>
      </c>
      <c r="Q124" s="22" t="n">
        <f aca="false">P127</f>
        <v>2329.03974000559</v>
      </c>
      <c r="R124" s="22" t="n">
        <f aca="false">Q127</f>
        <v>2333.64932904669</v>
      </c>
      <c r="S124" s="22" t="n">
        <f aca="false">R127</f>
        <v>2497.74083902712</v>
      </c>
      <c r="T124" s="22" t="n">
        <f aca="false">S127</f>
        <v>2814.96697772435</v>
      </c>
      <c r="U124" s="22" t="n">
        <f aca="false">T127</f>
        <v>3119.62451197093</v>
      </c>
      <c r="V124" s="22" t="n">
        <f aca="false">U127</f>
        <v>3119.62451197093</v>
      </c>
      <c r="W124" s="22" t="n">
        <f aca="false">V127</f>
        <v>3119.62451197093</v>
      </c>
      <c r="X124" s="22" t="n">
        <f aca="false">W127</f>
        <v>4977.85210815742</v>
      </c>
      <c r="Y124" s="22" t="n">
        <f aca="false">X127</f>
        <v>5228.52657549541</v>
      </c>
      <c r="Z124" s="22" t="n">
        <f aca="false">Y127</f>
        <v>5457.04009747554</v>
      </c>
      <c r="AA124" s="22" t="n">
        <f aca="false">Z127</f>
        <v>5662.56417946008</v>
      </c>
      <c r="AB124" s="22" t="n">
        <f aca="false">AA127</f>
        <v>5842.30745771736</v>
      </c>
      <c r="AC124" s="22" t="n">
        <f aca="false">AB127</f>
        <v>5994.81734224559</v>
      </c>
      <c r="AD124" s="22" t="n">
        <f aca="false">AC127</f>
        <v>6124.07556382919</v>
      </c>
      <c r="AE124" s="22" t="n">
        <f aca="false">AD127</f>
        <v>6229.25362783041</v>
      </c>
      <c r="AF124" s="22" t="n">
        <f aca="false">AE127</f>
        <v>5215.18395736169</v>
      </c>
      <c r="AG124" s="22" t="n">
        <f aca="false">AF127</f>
        <v>4174.34083201546</v>
      </c>
      <c r="AH124" s="22" t="n">
        <f aca="false">AG127</f>
        <v>3110.3380929452</v>
      </c>
      <c r="AI124" s="22" t="n">
        <f aca="false">AH127</f>
        <v>1998.75739078363</v>
      </c>
      <c r="AJ124" s="22" t="n">
        <f aca="false">AI127</f>
        <v>878.128499379028</v>
      </c>
      <c r="AK124" s="22" t="n">
        <f aca="false">AJ127</f>
        <v>0</v>
      </c>
      <c r="AL124" s="22" t="n">
        <f aca="false">AK127</f>
        <v>0</v>
      </c>
      <c r="AM124" s="22" t="n">
        <f aca="false">AL127</f>
        <v>0</v>
      </c>
      <c r="AN124" s="22" t="n">
        <f aca="false">AM127</f>
        <v>0</v>
      </c>
      <c r="AO124" s="22" t="n">
        <f aca="false">AN127</f>
        <v>0</v>
      </c>
      <c r="AP124" s="22" t="n">
        <f aca="false">AO127</f>
        <v>0</v>
      </c>
      <c r="AQ124" s="22" t="n">
        <f aca="false">AP127</f>
        <v>0</v>
      </c>
      <c r="AR124" s="22" t="n">
        <f aca="false">AQ127</f>
        <v>0</v>
      </c>
      <c r="AS124" s="22" t="n">
        <f aca="false">AR127</f>
        <v>0</v>
      </c>
      <c r="AT124" s="22" t="n">
        <f aca="false">AS127</f>
        <v>0</v>
      </c>
      <c r="AU124" s="22" t="n">
        <f aca="false">AT127</f>
        <v>0</v>
      </c>
      <c r="AV124" s="22" t="n">
        <f aca="false">AU127</f>
        <v>0</v>
      </c>
      <c r="AW124" s="22" t="n">
        <f aca="false">AV127</f>
        <v>0</v>
      </c>
      <c r="AX124" s="22" t="n">
        <f aca="false">AW127</f>
        <v>0</v>
      </c>
      <c r="AY124" s="22" t="n">
        <f aca="false">AX127</f>
        <v>0</v>
      </c>
      <c r="AZ124" s="22" t="n">
        <f aca="false">AY127</f>
        <v>0</v>
      </c>
      <c r="BA124" s="22" t="n">
        <f aca="false">AZ127</f>
        <v>0</v>
      </c>
      <c r="BB124" s="22" t="n">
        <f aca="false">BA127</f>
        <v>0</v>
      </c>
      <c r="BC124" s="22" t="n">
        <f aca="false">BB127</f>
        <v>0</v>
      </c>
      <c r="BD124" s="22" t="n">
        <f aca="false">BC127</f>
        <v>0</v>
      </c>
      <c r="BE124" s="22" t="n">
        <f aca="false">BD127</f>
        <v>0</v>
      </c>
      <c r="BF124" s="22" t="n">
        <f aca="false">BE127</f>
        <v>0</v>
      </c>
      <c r="BG124" s="22" t="n">
        <f aca="false">BF127</f>
        <v>0</v>
      </c>
      <c r="BH124" s="22" t="n">
        <f aca="false">BG127</f>
        <v>0</v>
      </c>
      <c r="BI124" s="22" t="n">
        <f aca="false">BH127</f>
        <v>0</v>
      </c>
      <c r="BJ124" s="22" t="n">
        <f aca="false">BI127</f>
        <v>0</v>
      </c>
      <c r="BK124" s="22" t="n">
        <f aca="false">BJ127</f>
        <v>0</v>
      </c>
      <c r="BL124" s="22" t="n">
        <f aca="false">BK127</f>
        <v>0</v>
      </c>
      <c r="BM124" s="22" t="n">
        <f aca="false">BL127</f>
        <v>0</v>
      </c>
      <c r="BN124" s="22" t="n">
        <f aca="false">BM127</f>
        <v>0</v>
      </c>
      <c r="BO124" s="22" t="n">
        <f aca="false">BN127</f>
        <v>0</v>
      </c>
      <c r="BP124" s="22" t="n">
        <f aca="false">BO127</f>
        <v>0</v>
      </c>
      <c r="BQ124" s="22" t="n">
        <f aca="false">BP127</f>
        <v>0</v>
      </c>
      <c r="BR124" s="22" t="n">
        <f aca="false">BQ127</f>
        <v>0</v>
      </c>
      <c r="BS124" s="22" t="n">
        <f aca="false">BR127</f>
        <v>0</v>
      </c>
      <c r="BT124" s="22" t="n">
        <f aca="false">BS127</f>
        <v>0</v>
      </c>
      <c r="BU124" s="22" t="n">
        <f aca="false">BT127</f>
        <v>0</v>
      </c>
      <c r="BV124" s="22" t="n">
        <f aca="false">BU127</f>
        <v>0</v>
      </c>
      <c r="BW124" s="22" t="n">
        <f aca="false">BV127</f>
        <v>0</v>
      </c>
      <c r="BX124" s="22" t="n">
        <f aca="false">BW127</f>
        <v>0</v>
      </c>
      <c r="BY124" s="22" t="n">
        <f aca="false">BX127</f>
        <v>0</v>
      </c>
      <c r="BZ124" s="22" t="n">
        <f aca="false">BY127</f>
        <v>0</v>
      </c>
      <c r="CA124" s="22" t="n">
        <f aca="false">BZ127</f>
        <v>0</v>
      </c>
      <c r="CB124" s="22" t="n">
        <f aca="false">CA127</f>
        <v>0</v>
      </c>
      <c r="CC124" s="22" t="n">
        <f aca="false">CB127</f>
        <v>0</v>
      </c>
      <c r="CD124" s="22" t="n">
        <f aca="false">CC127</f>
        <v>0</v>
      </c>
      <c r="CE124" s="22" t="n">
        <f aca="false">CD127</f>
        <v>0</v>
      </c>
      <c r="CF124" s="22" t="n">
        <f aca="false">CE127</f>
        <v>0</v>
      </c>
      <c r="CG124" s="22" t="n">
        <f aca="false">CF127</f>
        <v>0</v>
      </c>
      <c r="CH124" s="22" t="n">
        <f aca="false">CG127</f>
        <v>0</v>
      </c>
      <c r="CI124" s="22" t="n">
        <f aca="false">CH127</f>
        <v>0</v>
      </c>
      <c r="CJ124" s="22" t="n">
        <f aca="false">CI127</f>
        <v>0</v>
      </c>
      <c r="CK124" s="22" t="n">
        <f aca="false">CJ127</f>
        <v>0</v>
      </c>
      <c r="CL124" s="22" t="n">
        <f aca="false">CK127</f>
        <v>0</v>
      </c>
      <c r="CM124" s="22" t="n">
        <f aca="false">CL127</f>
        <v>0</v>
      </c>
      <c r="CN124" s="22" t="n">
        <f aca="false">CM127</f>
        <v>0</v>
      </c>
      <c r="CO124" s="22" t="n">
        <f aca="false">CN127</f>
        <v>0</v>
      </c>
      <c r="CP124" s="22" t="n">
        <f aca="false">CO127</f>
        <v>0</v>
      </c>
      <c r="CQ124" s="22" t="n">
        <f aca="false">CP127</f>
        <v>0</v>
      </c>
      <c r="CR124" s="22" t="n">
        <f aca="false">CQ127</f>
        <v>0</v>
      </c>
      <c r="CS124" s="22" t="n">
        <f aca="false">CR127</f>
        <v>0</v>
      </c>
      <c r="CT124" s="22" t="n">
        <f aca="false">CS127</f>
        <v>0</v>
      </c>
      <c r="CU124" s="22" t="n">
        <f aca="false">CT127</f>
        <v>0</v>
      </c>
      <c r="CV124" s="22" t="n">
        <f aca="false">CU127</f>
        <v>0</v>
      </c>
      <c r="CW124" s="22" t="n">
        <f aca="false">CV127</f>
        <v>0</v>
      </c>
      <c r="CX124" s="22" t="n">
        <f aca="false">CW127</f>
        <v>0</v>
      </c>
      <c r="CY124" s="22" t="n">
        <f aca="false">CX127</f>
        <v>0</v>
      </c>
      <c r="CZ124" s="22" t="n">
        <f aca="false">CY127</f>
        <v>0</v>
      </c>
      <c r="DA124" s="22" t="n">
        <f aca="false">CZ127</f>
        <v>0</v>
      </c>
      <c r="DB124" s="22" t="n">
        <f aca="false">DA127</f>
        <v>0</v>
      </c>
      <c r="DC124" s="22" t="n">
        <f aca="false">DB127</f>
        <v>0</v>
      </c>
      <c r="DD124" s="22" t="n">
        <f aca="false">DC127</f>
        <v>0</v>
      </c>
      <c r="DE124" s="22" t="n">
        <f aca="false">DD127</f>
        <v>0</v>
      </c>
      <c r="DF124" s="22" t="n">
        <f aca="false">DE127</f>
        <v>0</v>
      </c>
      <c r="DG124" s="22" t="n">
        <f aca="false">DF127</f>
        <v>0</v>
      </c>
      <c r="DH124" s="22" t="n">
        <f aca="false">DG127</f>
        <v>0</v>
      </c>
      <c r="DI124" s="22" t="n">
        <f aca="false">DH127</f>
        <v>0</v>
      </c>
      <c r="DJ124" s="22" t="n">
        <f aca="false">DI127</f>
        <v>0</v>
      </c>
      <c r="DK124" s="22" t="n">
        <f aca="false">DJ127</f>
        <v>0</v>
      </c>
      <c r="DL124" s="22" t="n">
        <f aca="false">DK127</f>
        <v>0</v>
      </c>
      <c r="DM124" s="22" t="n">
        <f aca="false">DL127</f>
        <v>0</v>
      </c>
      <c r="DN124" s="22" t="n">
        <f aca="false">DM127</f>
        <v>0</v>
      </c>
      <c r="DO124" s="22" t="n">
        <f aca="false">DN127</f>
        <v>0</v>
      </c>
      <c r="DP124" s="22" t="n">
        <f aca="false">DO127</f>
        <v>0</v>
      </c>
      <c r="DQ124" s="22" t="n">
        <f aca="false">DP127</f>
        <v>0</v>
      </c>
      <c r="DR124" s="22" t="n">
        <f aca="false">DQ127</f>
        <v>0</v>
      </c>
      <c r="DS124" s="22" t="n">
        <f aca="false">DR127</f>
        <v>0</v>
      </c>
      <c r="DT124" s="22" t="n">
        <f aca="false">DS127</f>
        <v>0</v>
      </c>
      <c r="DU124" s="22" t="n">
        <f aca="false">DT127</f>
        <v>0</v>
      </c>
      <c r="DV124" s="22" t="n">
        <f aca="false">DU127</f>
        <v>0</v>
      </c>
      <c r="DW124" s="22" t="n">
        <f aca="false">DV127</f>
        <v>0</v>
      </c>
      <c r="DX124" s="22" t="n">
        <f aca="false">DW127</f>
        <v>0</v>
      </c>
      <c r="DY124" s="22" t="n">
        <f aca="false">DX127</f>
        <v>0</v>
      </c>
      <c r="DZ124" s="22" t="n">
        <f aca="false">DY127</f>
        <v>0</v>
      </c>
      <c r="EA124" s="22" t="n">
        <f aca="false">DZ127</f>
        <v>0</v>
      </c>
      <c r="EB124" s="22" t="n">
        <f aca="false">EA127</f>
        <v>0</v>
      </c>
      <c r="EC124" s="22" t="n">
        <f aca="false">EB127</f>
        <v>0</v>
      </c>
      <c r="ED124" s="22" t="n">
        <f aca="false">EC127</f>
        <v>0</v>
      </c>
      <c r="EE124" s="22" t="n">
        <f aca="false">ED127</f>
        <v>0</v>
      </c>
      <c r="EF124" s="22" t="n">
        <f aca="false">EE127</f>
        <v>0</v>
      </c>
      <c r="EG124" s="22" t="n">
        <f aca="false">EF127</f>
        <v>0</v>
      </c>
      <c r="EH124" s="22" t="n">
        <f aca="false">EG127</f>
        <v>0</v>
      </c>
      <c r="EI124" s="22" t="n">
        <f aca="false">EH127</f>
        <v>0</v>
      </c>
      <c r="EJ124" s="22" t="n">
        <f aca="false">EI127</f>
        <v>0</v>
      </c>
      <c r="EK124" s="22" t="n">
        <f aca="false">EJ127</f>
        <v>0</v>
      </c>
      <c r="EL124" s="22" t="n">
        <f aca="false">EK127</f>
        <v>0</v>
      </c>
      <c r="EM124" s="22" t="n">
        <f aca="false">EL127</f>
        <v>0</v>
      </c>
      <c r="EN124" s="22" t="n">
        <f aca="false">EM127</f>
        <v>0</v>
      </c>
      <c r="EO124" s="22" t="n">
        <f aca="false">EN127</f>
        <v>0</v>
      </c>
      <c r="EP124" s="22" t="n">
        <f aca="false">EO127</f>
        <v>0</v>
      </c>
      <c r="EQ124" s="22" t="n">
        <f aca="false">EP127</f>
        <v>0</v>
      </c>
      <c r="ER124" s="22" t="n">
        <f aca="false">EQ127</f>
        <v>0</v>
      </c>
      <c r="ES124" s="22" t="n">
        <f aca="false">ER127</f>
        <v>0</v>
      </c>
      <c r="ET124" s="22" t="n">
        <f aca="false">ES127</f>
        <v>0</v>
      </c>
    </row>
    <row r="125" customFormat="false" ht="15" hidden="false" customHeight="false" outlineLevel="0" collapsed="false">
      <c r="C125" s="0" t="s">
        <v>567</v>
      </c>
      <c r="D125" s="11" t="s">
        <v>247</v>
      </c>
      <c r="I125" s="33" t="n">
        <f aca="false">SUM(J125:ET125)</f>
        <v>6229.25362783041</v>
      </c>
      <c r="J125" s="33" t="n">
        <f aca="false">MAX(0,-J123)</f>
        <v>-0</v>
      </c>
      <c r="K125" s="33" t="n">
        <f aca="false">MAX(0,-K123)</f>
        <v>178.520547945205</v>
      </c>
      <c r="L125" s="33" t="n">
        <f aca="false">MAX(0,-L123)</f>
        <v>588.444520547945</v>
      </c>
      <c r="M125" s="33" t="n">
        <f aca="false">MAX(0,-M123)</f>
        <v>43.8356164383562</v>
      </c>
      <c r="N125" s="33" t="n">
        <f aca="false">MAX(0,-N123)</f>
        <v>43.8356164383562</v>
      </c>
      <c r="O125" s="33" t="n">
        <f aca="false">MAX(0,-O123)</f>
        <v>184.361643835616</v>
      </c>
      <c r="P125" s="33" t="n">
        <f aca="false">MAX(0,-P123)</f>
        <v>1290.04179480011</v>
      </c>
      <c r="Q125" s="33" t="n">
        <f aca="false">MAX(0,-Q123)</f>
        <v>4.60958904109589</v>
      </c>
      <c r="R125" s="33" t="n">
        <f aca="false">MAX(0,-R123)</f>
        <v>164.091509980431</v>
      </c>
      <c r="S125" s="33" t="n">
        <f aca="false">MAX(0,-S123)</f>
        <v>317.226138697232</v>
      </c>
      <c r="T125" s="33" t="n">
        <f aca="false">MAX(0,-T123)</f>
        <v>304.657534246575</v>
      </c>
      <c r="U125" s="33" t="n">
        <f aca="false">MAX(0,-U123)</f>
        <v>-0</v>
      </c>
      <c r="V125" s="33" t="n">
        <f aca="false">MAX(0,-V123)</f>
        <v>-0</v>
      </c>
      <c r="W125" s="33" t="n">
        <f aca="false">MAX(0,-W123)</f>
        <v>1858.22759618649</v>
      </c>
      <c r="X125" s="33" t="n">
        <f aca="false">MAX(0,-X123)</f>
        <v>250.674467337995</v>
      </c>
      <c r="Y125" s="33" t="n">
        <f aca="false">MAX(0,-Y123)</f>
        <v>228.513521980133</v>
      </c>
      <c r="Z125" s="33" t="n">
        <f aca="false">MAX(0,-Z123)</f>
        <v>205.524081984532</v>
      </c>
      <c r="AA125" s="33" t="n">
        <f aca="false">MAX(0,-AA123)</f>
        <v>179.743278257285</v>
      </c>
      <c r="AB125" s="33" t="n">
        <f aca="false">MAX(0,-AB123)</f>
        <v>152.509884528233</v>
      </c>
      <c r="AC125" s="33" t="n">
        <f aca="false">MAX(0,-AC123)</f>
        <v>129.258221583595</v>
      </c>
      <c r="AD125" s="33" t="n">
        <f aca="false">MAX(0,-AD123)</f>
        <v>105.17806400122</v>
      </c>
      <c r="AE125" s="33" t="n">
        <f aca="false">MAX(0,-AE123)</f>
        <v>0</v>
      </c>
      <c r="AF125" s="33" t="n">
        <f aca="false">MAX(0,-AF123)</f>
        <v>0</v>
      </c>
      <c r="AG125" s="33" t="n">
        <f aca="false">MAX(0,-AG123)</f>
        <v>0</v>
      </c>
      <c r="AH125" s="33" t="n">
        <f aca="false">MAX(0,-AH123)</f>
        <v>0</v>
      </c>
      <c r="AI125" s="33" t="n">
        <f aca="false">MAX(0,-AI123)</f>
        <v>0</v>
      </c>
      <c r="AJ125" s="33" t="n">
        <f aca="false">MAX(0,-AJ123)</f>
        <v>0</v>
      </c>
      <c r="AK125" s="33" t="n">
        <f aca="false">MAX(0,-AK123)</f>
        <v>0</v>
      </c>
      <c r="AL125" s="33" t="n">
        <f aca="false">MAX(0,-AL123)</f>
        <v>0</v>
      </c>
      <c r="AM125" s="33" t="n">
        <f aca="false">MAX(0,-AM123)</f>
        <v>0</v>
      </c>
      <c r="AN125" s="33" t="n">
        <f aca="false">MAX(0,-AN123)</f>
        <v>0</v>
      </c>
      <c r="AO125" s="33" t="n">
        <f aca="false">MAX(0,-AO123)</f>
        <v>0</v>
      </c>
      <c r="AP125" s="33" t="n">
        <f aca="false">MAX(0,-AP123)</f>
        <v>0</v>
      </c>
      <c r="AQ125" s="33" t="n">
        <f aca="false">MAX(0,-AQ123)</f>
        <v>0</v>
      </c>
      <c r="AR125" s="33" t="n">
        <f aca="false">MAX(0,-AR123)</f>
        <v>0</v>
      </c>
      <c r="AS125" s="33" t="n">
        <f aca="false">MAX(0,-AS123)</f>
        <v>0</v>
      </c>
      <c r="AT125" s="33" t="n">
        <f aca="false">MAX(0,-AT123)</f>
        <v>0</v>
      </c>
      <c r="AU125" s="33" t="n">
        <f aca="false">MAX(0,-AU123)</f>
        <v>0</v>
      </c>
      <c r="AV125" s="33" t="n">
        <f aca="false">MAX(0,-AV123)</f>
        <v>0</v>
      </c>
      <c r="AW125" s="33" t="n">
        <f aca="false">MAX(0,-AW123)</f>
        <v>0</v>
      </c>
      <c r="AX125" s="33" t="n">
        <f aca="false">MAX(0,-AX123)</f>
        <v>0</v>
      </c>
      <c r="AY125" s="33" t="n">
        <f aca="false">MAX(0,-AY123)</f>
        <v>0</v>
      </c>
      <c r="AZ125" s="33" t="n">
        <f aca="false">MAX(0,-AZ123)</f>
        <v>0</v>
      </c>
      <c r="BA125" s="33" t="n">
        <f aca="false">MAX(0,-BA123)</f>
        <v>0</v>
      </c>
      <c r="BB125" s="33" t="n">
        <f aca="false">MAX(0,-BB123)</f>
        <v>0</v>
      </c>
      <c r="BC125" s="33" t="n">
        <f aca="false">MAX(0,-BC123)</f>
        <v>0</v>
      </c>
      <c r="BD125" s="33" t="n">
        <f aca="false">MAX(0,-BD123)</f>
        <v>0</v>
      </c>
      <c r="BE125" s="33" t="n">
        <f aca="false">MAX(0,-BE123)</f>
        <v>0</v>
      </c>
      <c r="BF125" s="33" t="n">
        <f aca="false">MAX(0,-BF123)</f>
        <v>0</v>
      </c>
      <c r="BG125" s="33" t="n">
        <f aca="false">MAX(0,-BG123)</f>
        <v>0</v>
      </c>
      <c r="BH125" s="33" t="n">
        <f aca="false">MAX(0,-BH123)</f>
        <v>0</v>
      </c>
      <c r="BI125" s="33" t="n">
        <f aca="false">MAX(0,-BI123)</f>
        <v>0</v>
      </c>
      <c r="BJ125" s="33" t="n">
        <f aca="false">MAX(0,-BJ123)</f>
        <v>0</v>
      </c>
      <c r="BK125" s="33" t="n">
        <f aca="false">MAX(0,-BK123)</f>
        <v>0</v>
      </c>
      <c r="BL125" s="33" t="n">
        <f aca="false">MAX(0,-BL123)</f>
        <v>0</v>
      </c>
      <c r="BM125" s="33" t="n">
        <f aca="false">MAX(0,-BM123)</f>
        <v>0</v>
      </c>
      <c r="BN125" s="33" t="n">
        <f aca="false">MAX(0,-BN123)</f>
        <v>0</v>
      </c>
      <c r="BO125" s="33" t="n">
        <f aca="false">MAX(0,-BO123)</f>
        <v>0</v>
      </c>
      <c r="BP125" s="33" t="n">
        <f aca="false">MAX(0,-BP123)</f>
        <v>0</v>
      </c>
      <c r="BQ125" s="33" t="n">
        <f aca="false">MAX(0,-BQ123)</f>
        <v>0</v>
      </c>
      <c r="BR125" s="33" t="n">
        <f aca="false">MAX(0,-BR123)</f>
        <v>0</v>
      </c>
      <c r="BS125" s="33" t="n">
        <f aca="false">MAX(0,-BS123)</f>
        <v>0</v>
      </c>
      <c r="BT125" s="33" t="n">
        <f aca="false">MAX(0,-BT123)</f>
        <v>0</v>
      </c>
      <c r="BU125" s="33" t="n">
        <f aca="false">MAX(0,-BU123)</f>
        <v>0</v>
      </c>
      <c r="BV125" s="33" t="n">
        <f aca="false">MAX(0,-BV123)</f>
        <v>0</v>
      </c>
      <c r="BW125" s="33" t="n">
        <f aca="false">MAX(0,-BW123)</f>
        <v>0</v>
      </c>
      <c r="BX125" s="33" t="n">
        <f aca="false">MAX(0,-BX123)</f>
        <v>0</v>
      </c>
      <c r="BY125" s="33" t="n">
        <f aca="false">MAX(0,-BY123)</f>
        <v>0</v>
      </c>
      <c r="BZ125" s="33" t="n">
        <f aca="false">MAX(0,-BZ123)</f>
        <v>0</v>
      </c>
      <c r="CA125" s="33" t="n">
        <f aca="false">MAX(0,-CA123)</f>
        <v>0</v>
      </c>
      <c r="CB125" s="33" t="n">
        <f aca="false">MAX(0,-CB123)</f>
        <v>0</v>
      </c>
      <c r="CC125" s="33" t="n">
        <f aca="false">MAX(0,-CC123)</f>
        <v>0</v>
      </c>
      <c r="CD125" s="33" t="n">
        <f aca="false">MAX(0,-CD123)</f>
        <v>0</v>
      </c>
      <c r="CE125" s="33" t="n">
        <f aca="false">MAX(0,-CE123)</f>
        <v>0</v>
      </c>
      <c r="CF125" s="33" t="n">
        <f aca="false">MAX(0,-CF123)</f>
        <v>0</v>
      </c>
      <c r="CG125" s="33" t="n">
        <f aca="false">MAX(0,-CG123)</f>
        <v>0</v>
      </c>
      <c r="CH125" s="33" t="n">
        <f aca="false">MAX(0,-CH123)</f>
        <v>0</v>
      </c>
      <c r="CI125" s="33" t="n">
        <f aca="false">MAX(0,-CI123)</f>
        <v>0</v>
      </c>
      <c r="CJ125" s="33" t="n">
        <f aca="false">MAX(0,-CJ123)</f>
        <v>0</v>
      </c>
      <c r="CK125" s="33" t="n">
        <f aca="false">MAX(0,-CK123)</f>
        <v>0</v>
      </c>
      <c r="CL125" s="33" t="n">
        <f aca="false">MAX(0,-CL123)</f>
        <v>0</v>
      </c>
      <c r="CM125" s="33" t="n">
        <f aca="false">MAX(0,-CM123)</f>
        <v>0</v>
      </c>
      <c r="CN125" s="33" t="n">
        <f aca="false">MAX(0,-CN123)</f>
        <v>0</v>
      </c>
      <c r="CO125" s="33" t="n">
        <f aca="false">MAX(0,-CO123)</f>
        <v>0</v>
      </c>
      <c r="CP125" s="33" t="n">
        <f aca="false">MAX(0,-CP123)</f>
        <v>0</v>
      </c>
      <c r="CQ125" s="33" t="n">
        <f aca="false">MAX(0,-CQ123)</f>
        <v>0</v>
      </c>
      <c r="CR125" s="33" t="n">
        <f aca="false">MAX(0,-CR123)</f>
        <v>0</v>
      </c>
      <c r="CS125" s="33" t="n">
        <f aca="false">MAX(0,-CS123)</f>
        <v>0</v>
      </c>
      <c r="CT125" s="33" t="n">
        <f aca="false">MAX(0,-CT123)</f>
        <v>0</v>
      </c>
      <c r="CU125" s="33" t="n">
        <f aca="false">MAX(0,-CU123)</f>
        <v>0</v>
      </c>
      <c r="CV125" s="33" t="n">
        <f aca="false">MAX(0,-CV123)</f>
        <v>0</v>
      </c>
      <c r="CW125" s="33" t="n">
        <f aca="false">MAX(0,-CW123)</f>
        <v>0</v>
      </c>
      <c r="CX125" s="33" t="n">
        <f aca="false">MAX(0,-CX123)</f>
        <v>0</v>
      </c>
      <c r="CY125" s="33" t="n">
        <f aca="false">MAX(0,-CY123)</f>
        <v>0</v>
      </c>
      <c r="CZ125" s="33" t="n">
        <f aca="false">MAX(0,-CZ123)</f>
        <v>0</v>
      </c>
      <c r="DA125" s="33" t="n">
        <f aca="false">MAX(0,-DA123)</f>
        <v>0</v>
      </c>
      <c r="DB125" s="33" t="n">
        <f aca="false">MAX(0,-DB123)</f>
        <v>0</v>
      </c>
      <c r="DC125" s="33" t="n">
        <f aca="false">MAX(0,-DC123)</f>
        <v>0</v>
      </c>
      <c r="DD125" s="33" t="n">
        <f aca="false">MAX(0,-DD123)</f>
        <v>0</v>
      </c>
      <c r="DE125" s="33" t="n">
        <f aca="false">MAX(0,-DE123)</f>
        <v>0</v>
      </c>
      <c r="DF125" s="33" t="n">
        <f aca="false">MAX(0,-DF123)</f>
        <v>0</v>
      </c>
      <c r="DG125" s="33" t="n">
        <f aca="false">MAX(0,-DG123)</f>
        <v>0</v>
      </c>
      <c r="DH125" s="33" t="n">
        <f aca="false">MAX(0,-DH123)</f>
        <v>0</v>
      </c>
      <c r="DI125" s="33" t="n">
        <f aca="false">MAX(0,-DI123)</f>
        <v>0</v>
      </c>
      <c r="DJ125" s="33" t="n">
        <f aca="false">MAX(0,-DJ123)</f>
        <v>0</v>
      </c>
      <c r="DK125" s="33" t="n">
        <f aca="false">MAX(0,-DK123)</f>
        <v>0</v>
      </c>
      <c r="DL125" s="33" t="n">
        <f aca="false">MAX(0,-DL123)</f>
        <v>0</v>
      </c>
      <c r="DM125" s="33" t="n">
        <f aca="false">MAX(0,-DM123)</f>
        <v>0</v>
      </c>
      <c r="DN125" s="33" t="n">
        <f aca="false">MAX(0,-DN123)</f>
        <v>0</v>
      </c>
      <c r="DO125" s="33" t="n">
        <f aca="false">MAX(0,-DO123)</f>
        <v>0</v>
      </c>
      <c r="DP125" s="33" t="n">
        <f aca="false">MAX(0,-DP123)</f>
        <v>0</v>
      </c>
      <c r="DQ125" s="33" t="n">
        <f aca="false">MAX(0,-DQ123)</f>
        <v>0</v>
      </c>
      <c r="DR125" s="33" t="n">
        <f aca="false">MAX(0,-DR123)</f>
        <v>0</v>
      </c>
      <c r="DS125" s="33" t="n">
        <f aca="false">MAX(0,-DS123)</f>
        <v>0</v>
      </c>
      <c r="DT125" s="33" t="n">
        <f aca="false">MAX(0,-DT123)</f>
        <v>0</v>
      </c>
      <c r="DU125" s="33" t="n">
        <f aca="false">MAX(0,-DU123)</f>
        <v>0</v>
      </c>
      <c r="DV125" s="33" t="n">
        <f aca="false">MAX(0,-DV123)</f>
        <v>0</v>
      </c>
      <c r="DW125" s="33" t="n">
        <f aca="false">MAX(0,-DW123)</f>
        <v>0</v>
      </c>
      <c r="DX125" s="33" t="n">
        <f aca="false">MAX(0,-DX123)</f>
        <v>0</v>
      </c>
      <c r="DY125" s="33" t="n">
        <f aca="false">MAX(0,-DY123)</f>
        <v>0</v>
      </c>
      <c r="DZ125" s="33" t="n">
        <f aca="false">MAX(0,-DZ123)</f>
        <v>0</v>
      </c>
      <c r="EA125" s="33" t="n">
        <f aca="false">MAX(0,-EA123)</f>
        <v>0</v>
      </c>
      <c r="EB125" s="33" t="n">
        <f aca="false">MAX(0,-EB123)</f>
        <v>0</v>
      </c>
      <c r="EC125" s="33" t="n">
        <f aca="false">MAX(0,-EC123)</f>
        <v>0</v>
      </c>
      <c r="ED125" s="33" t="n">
        <f aca="false">MAX(0,-ED123)</f>
        <v>0</v>
      </c>
      <c r="EE125" s="33" t="n">
        <f aca="false">MAX(0,-EE123)</f>
        <v>0</v>
      </c>
      <c r="EF125" s="33" t="n">
        <f aca="false">MAX(0,-EF123)</f>
        <v>0</v>
      </c>
      <c r="EG125" s="33" t="n">
        <f aca="false">MAX(0,-EG123)</f>
        <v>0</v>
      </c>
      <c r="EH125" s="33" t="n">
        <f aca="false">MAX(0,-EH123)</f>
        <v>0</v>
      </c>
      <c r="EI125" s="33" t="n">
        <f aca="false">MAX(0,-EI123)</f>
        <v>0</v>
      </c>
      <c r="EJ125" s="33" t="n">
        <f aca="false">MAX(0,-EJ123)</f>
        <v>0</v>
      </c>
      <c r="EK125" s="33" t="n">
        <f aca="false">MAX(0,-EK123)</f>
        <v>0</v>
      </c>
      <c r="EL125" s="33" t="n">
        <f aca="false">MAX(0,-EL123)</f>
        <v>0</v>
      </c>
      <c r="EM125" s="33" t="n">
        <f aca="false">MAX(0,-EM123)</f>
        <v>0</v>
      </c>
      <c r="EN125" s="33" t="n">
        <f aca="false">MAX(0,-EN123)</f>
        <v>0</v>
      </c>
      <c r="EO125" s="33" t="n">
        <f aca="false">MAX(0,-EO123)</f>
        <v>0</v>
      </c>
      <c r="EP125" s="33" t="n">
        <f aca="false">MAX(0,-EP123)</f>
        <v>0</v>
      </c>
      <c r="EQ125" s="33" t="n">
        <f aca="false">MAX(0,-EQ123)</f>
        <v>0</v>
      </c>
      <c r="ER125" s="33" t="n">
        <f aca="false">MAX(0,-ER123)</f>
        <v>0</v>
      </c>
      <c r="ES125" s="33" t="n">
        <f aca="false">MAX(0,-ES123)</f>
        <v>0</v>
      </c>
      <c r="ET125" s="33" t="n">
        <f aca="false">MAX(0,-ET123)</f>
        <v>0</v>
      </c>
    </row>
    <row r="126" customFormat="false" ht="15" hidden="false" customHeight="false" outlineLevel="0" collapsed="false">
      <c r="C126" s="0" t="s">
        <v>568</v>
      </c>
      <c r="D126" s="11" t="s">
        <v>247</v>
      </c>
      <c r="I126" s="33" t="n">
        <f aca="false">SUM(J126:ET126)</f>
        <v>-6229.25362783041</v>
      </c>
      <c r="J126" s="33" t="n">
        <f aca="false">-MIN(J124,MAX(0,J123))</f>
        <v>-0</v>
      </c>
      <c r="K126" s="33" t="n">
        <f aca="false">-MIN(K124,MAX(0,K123))</f>
        <v>-0</v>
      </c>
      <c r="L126" s="33" t="n">
        <f aca="false">-MIN(L124,MAX(0,L123))</f>
        <v>-0</v>
      </c>
      <c r="M126" s="33" t="n">
        <f aca="false">-MIN(M124,MAX(0,M123))</f>
        <v>-0</v>
      </c>
      <c r="N126" s="33" t="n">
        <f aca="false">-MIN(N124,MAX(0,N123))</f>
        <v>-0</v>
      </c>
      <c r="O126" s="33" t="n">
        <f aca="false">-MIN(O124,MAX(0,O123))</f>
        <v>-0</v>
      </c>
      <c r="P126" s="33" t="n">
        <f aca="false">-MIN(P124,MAX(0,P123))</f>
        <v>-0</v>
      </c>
      <c r="Q126" s="33" t="n">
        <f aca="false">-MIN(Q124,MAX(0,Q123))</f>
        <v>-0</v>
      </c>
      <c r="R126" s="33" t="n">
        <f aca="false">-MIN(R124,MAX(0,R123))</f>
        <v>-0</v>
      </c>
      <c r="S126" s="33" t="n">
        <f aca="false">-MIN(S124,MAX(0,S123))</f>
        <v>-0</v>
      </c>
      <c r="T126" s="33" t="n">
        <f aca="false">-MIN(T124,MAX(0,T123))</f>
        <v>-0</v>
      </c>
      <c r="U126" s="33" t="n">
        <f aca="false">-MIN(U124,MAX(0,U123))</f>
        <v>-0</v>
      </c>
      <c r="V126" s="33" t="n">
        <f aca="false">-MIN(V124,MAX(0,V123))</f>
        <v>-0</v>
      </c>
      <c r="W126" s="33" t="n">
        <f aca="false">-MIN(W124,MAX(0,W123))</f>
        <v>-0</v>
      </c>
      <c r="X126" s="33" t="n">
        <f aca="false">-MIN(X124,MAX(0,X123))</f>
        <v>-0</v>
      </c>
      <c r="Y126" s="33" t="n">
        <f aca="false">-MIN(Y124,MAX(0,Y123))</f>
        <v>-0</v>
      </c>
      <c r="Z126" s="33" t="n">
        <f aca="false">-MIN(Z124,MAX(0,Z123))</f>
        <v>-0</v>
      </c>
      <c r="AA126" s="33" t="n">
        <f aca="false">-MIN(AA124,MAX(0,AA123))</f>
        <v>-0</v>
      </c>
      <c r="AB126" s="33" t="n">
        <f aca="false">-MIN(AB124,MAX(0,AB123))</f>
        <v>-0</v>
      </c>
      <c r="AC126" s="33" t="n">
        <f aca="false">-MIN(AC124,MAX(0,AC123))</f>
        <v>-0</v>
      </c>
      <c r="AD126" s="33" t="n">
        <f aca="false">-MIN(AD124,MAX(0,AD123))</f>
        <v>-0</v>
      </c>
      <c r="AE126" s="33" t="n">
        <f aca="false">-MIN(AE124,MAX(0,AE123))</f>
        <v>-1014.06967046872</v>
      </c>
      <c r="AF126" s="33" t="n">
        <f aca="false">-MIN(AF124,MAX(0,AF123))</f>
        <v>-1040.84312534623</v>
      </c>
      <c r="AG126" s="33" t="n">
        <f aca="false">-MIN(AG124,MAX(0,AG123))</f>
        <v>-1064.00273907026</v>
      </c>
      <c r="AH126" s="33" t="n">
        <f aca="false">-MIN(AH124,MAX(0,AH123))</f>
        <v>-1111.58070216157</v>
      </c>
      <c r="AI126" s="33" t="n">
        <f aca="false">-MIN(AI124,MAX(0,AI123))</f>
        <v>-1120.6288914046</v>
      </c>
      <c r="AJ126" s="33" t="n">
        <f aca="false">-MIN(AJ124,MAX(0,AJ123))</f>
        <v>-878.128499379028</v>
      </c>
      <c r="AK126" s="33" t="n">
        <f aca="false">-MIN(AK124,MAX(0,AK123))</f>
        <v>-0</v>
      </c>
      <c r="AL126" s="33" t="n">
        <f aca="false">-MIN(AL124,MAX(0,AL123))</f>
        <v>-0</v>
      </c>
      <c r="AM126" s="33" t="n">
        <f aca="false">-MIN(AM124,MAX(0,AM123))</f>
        <v>-0</v>
      </c>
      <c r="AN126" s="33" t="n">
        <f aca="false">-MIN(AN124,MAX(0,AN123))</f>
        <v>-0</v>
      </c>
      <c r="AO126" s="33" t="n">
        <f aca="false">-MIN(AO124,MAX(0,AO123))</f>
        <v>-0</v>
      </c>
      <c r="AP126" s="33" t="n">
        <f aca="false">-MIN(AP124,MAX(0,AP123))</f>
        <v>-0</v>
      </c>
      <c r="AQ126" s="33" t="n">
        <f aca="false">-MIN(AQ124,MAX(0,AQ123))</f>
        <v>-0</v>
      </c>
      <c r="AR126" s="33" t="n">
        <f aca="false">-MIN(AR124,MAX(0,AR123))</f>
        <v>-0</v>
      </c>
      <c r="AS126" s="33" t="n">
        <f aca="false">-MIN(AS124,MAX(0,AS123))</f>
        <v>-0</v>
      </c>
      <c r="AT126" s="33" t="n">
        <f aca="false">-MIN(AT124,MAX(0,AT123))</f>
        <v>-0</v>
      </c>
      <c r="AU126" s="33" t="n">
        <f aca="false">-MIN(AU124,MAX(0,AU123))</f>
        <v>-0</v>
      </c>
      <c r="AV126" s="33" t="n">
        <f aca="false">-MIN(AV124,MAX(0,AV123))</f>
        <v>-0</v>
      </c>
      <c r="AW126" s="33" t="n">
        <f aca="false">-MIN(AW124,MAX(0,AW123))</f>
        <v>-0</v>
      </c>
      <c r="AX126" s="33" t="n">
        <f aca="false">-MIN(AX124,MAX(0,AX123))</f>
        <v>-0</v>
      </c>
      <c r="AY126" s="33" t="n">
        <f aca="false">-MIN(AY124,MAX(0,AY123))</f>
        <v>-0</v>
      </c>
      <c r="AZ126" s="33" t="n">
        <f aca="false">-MIN(AZ124,MAX(0,AZ123))</f>
        <v>-0</v>
      </c>
      <c r="BA126" s="33" t="n">
        <f aca="false">-MIN(BA124,MAX(0,BA123))</f>
        <v>-0</v>
      </c>
      <c r="BB126" s="33" t="n">
        <f aca="false">-MIN(BB124,MAX(0,BB123))</f>
        <v>-0</v>
      </c>
      <c r="BC126" s="33" t="n">
        <f aca="false">-MIN(BC124,MAX(0,BC123))</f>
        <v>-0</v>
      </c>
      <c r="BD126" s="33" t="n">
        <f aca="false">-MIN(BD124,MAX(0,BD123))</f>
        <v>-0</v>
      </c>
      <c r="BE126" s="33" t="n">
        <f aca="false">-MIN(BE124,MAX(0,BE123))</f>
        <v>-0</v>
      </c>
      <c r="BF126" s="33" t="n">
        <f aca="false">-MIN(BF124,MAX(0,BF123))</f>
        <v>-0</v>
      </c>
      <c r="BG126" s="33" t="n">
        <f aca="false">-MIN(BG124,MAX(0,BG123))</f>
        <v>-0</v>
      </c>
      <c r="BH126" s="33" t="n">
        <f aca="false">-MIN(BH124,MAX(0,BH123))</f>
        <v>-0</v>
      </c>
      <c r="BI126" s="33" t="n">
        <f aca="false">-MIN(BI124,MAX(0,BI123))</f>
        <v>-0</v>
      </c>
      <c r="BJ126" s="33" t="n">
        <f aca="false">-MIN(BJ124,MAX(0,BJ123))</f>
        <v>-0</v>
      </c>
      <c r="BK126" s="33" t="n">
        <f aca="false">-MIN(BK124,MAX(0,BK123))</f>
        <v>-0</v>
      </c>
      <c r="BL126" s="33" t="n">
        <f aca="false">-MIN(BL124,MAX(0,BL123))</f>
        <v>-0</v>
      </c>
      <c r="BM126" s="33" t="n">
        <f aca="false">-MIN(BM124,MAX(0,BM123))</f>
        <v>-0</v>
      </c>
      <c r="BN126" s="33" t="n">
        <f aca="false">-MIN(BN124,MAX(0,BN123))</f>
        <v>-0</v>
      </c>
      <c r="BO126" s="33" t="n">
        <f aca="false">-MIN(BO124,MAX(0,BO123))</f>
        <v>-0</v>
      </c>
      <c r="BP126" s="33" t="n">
        <f aca="false">-MIN(BP124,MAX(0,BP123))</f>
        <v>-0</v>
      </c>
      <c r="BQ126" s="33" t="n">
        <f aca="false">-MIN(BQ124,MAX(0,BQ123))</f>
        <v>-0</v>
      </c>
      <c r="BR126" s="33" t="n">
        <f aca="false">-MIN(BR124,MAX(0,BR123))</f>
        <v>-0</v>
      </c>
      <c r="BS126" s="33" t="n">
        <f aca="false">-MIN(BS124,MAX(0,BS123))</f>
        <v>-0</v>
      </c>
      <c r="BT126" s="33" t="n">
        <f aca="false">-MIN(BT124,MAX(0,BT123))</f>
        <v>-0</v>
      </c>
      <c r="BU126" s="33" t="n">
        <f aca="false">-MIN(BU124,MAX(0,BU123))</f>
        <v>-0</v>
      </c>
      <c r="BV126" s="33" t="n">
        <f aca="false">-MIN(BV124,MAX(0,BV123))</f>
        <v>-0</v>
      </c>
      <c r="BW126" s="33" t="n">
        <f aca="false">-MIN(BW124,MAX(0,BW123))</f>
        <v>-0</v>
      </c>
      <c r="BX126" s="33" t="n">
        <f aca="false">-MIN(BX124,MAX(0,BX123))</f>
        <v>-0</v>
      </c>
      <c r="BY126" s="33" t="n">
        <f aca="false">-MIN(BY124,MAX(0,BY123))</f>
        <v>-0</v>
      </c>
      <c r="BZ126" s="33" t="n">
        <f aca="false">-MIN(BZ124,MAX(0,BZ123))</f>
        <v>-0</v>
      </c>
      <c r="CA126" s="33" t="n">
        <f aca="false">-MIN(CA124,MAX(0,CA123))</f>
        <v>-0</v>
      </c>
      <c r="CB126" s="33" t="n">
        <f aca="false">-MIN(CB124,MAX(0,CB123))</f>
        <v>-0</v>
      </c>
      <c r="CC126" s="33" t="n">
        <f aca="false">-MIN(CC124,MAX(0,CC123))</f>
        <v>-0</v>
      </c>
      <c r="CD126" s="33" t="n">
        <f aca="false">-MIN(CD124,MAX(0,CD123))</f>
        <v>-0</v>
      </c>
      <c r="CE126" s="33" t="n">
        <f aca="false">-MIN(CE124,MAX(0,CE123))</f>
        <v>-0</v>
      </c>
      <c r="CF126" s="33" t="n">
        <f aca="false">-MIN(CF124,MAX(0,CF123))</f>
        <v>-0</v>
      </c>
      <c r="CG126" s="33" t="n">
        <f aca="false">-MIN(CG124,MAX(0,CG123))</f>
        <v>-0</v>
      </c>
      <c r="CH126" s="33" t="n">
        <f aca="false">-MIN(CH124,MAX(0,CH123))</f>
        <v>-0</v>
      </c>
      <c r="CI126" s="33" t="n">
        <f aca="false">-MIN(CI124,MAX(0,CI123))</f>
        <v>-0</v>
      </c>
      <c r="CJ126" s="33" t="n">
        <f aca="false">-MIN(CJ124,MAX(0,CJ123))</f>
        <v>-0</v>
      </c>
      <c r="CK126" s="33" t="n">
        <f aca="false">-MIN(CK124,MAX(0,CK123))</f>
        <v>-0</v>
      </c>
      <c r="CL126" s="33" t="n">
        <f aca="false">-MIN(CL124,MAX(0,CL123))</f>
        <v>-0</v>
      </c>
      <c r="CM126" s="33" t="n">
        <f aca="false">-MIN(CM124,MAX(0,CM123))</f>
        <v>-0</v>
      </c>
      <c r="CN126" s="33" t="n">
        <f aca="false">-MIN(CN124,MAX(0,CN123))</f>
        <v>-0</v>
      </c>
      <c r="CO126" s="33" t="n">
        <f aca="false">-MIN(CO124,MAX(0,CO123))</f>
        <v>-0</v>
      </c>
      <c r="CP126" s="33" t="n">
        <f aca="false">-MIN(CP124,MAX(0,CP123))</f>
        <v>-0</v>
      </c>
      <c r="CQ126" s="33" t="n">
        <f aca="false">-MIN(CQ124,MAX(0,CQ123))</f>
        <v>-0</v>
      </c>
      <c r="CR126" s="33" t="n">
        <f aca="false">-MIN(CR124,MAX(0,CR123))</f>
        <v>-0</v>
      </c>
      <c r="CS126" s="33" t="n">
        <f aca="false">-MIN(CS124,MAX(0,CS123))</f>
        <v>-0</v>
      </c>
      <c r="CT126" s="33" t="n">
        <f aca="false">-MIN(CT124,MAX(0,CT123))</f>
        <v>-0</v>
      </c>
      <c r="CU126" s="33" t="n">
        <f aca="false">-MIN(CU124,MAX(0,CU123))</f>
        <v>-0</v>
      </c>
      <c r="CV126" s="33" t="n">
        <f aca="false">-MIN(CV124,MAX(0,CV123))</f>
        <v>-0</v>
      </c>
      <c r="CW126" s="33" t="n">
        <f aca="false">-MIN(CW124,MAX(0,CW123))</f>
        <v>-0</v>
      </c>
      <c r="CX126" s="33" t="n">
        <f aca="false">-MIN(CX124,MAX(0,CX123))</f>
        <v>-0</v>
      </c>
      <c r="CY126" s="33" t="n">
        <f aca="false">-MIN(CY124,MAX(0,CY123))</f>
        <v>-0</v>
      </c>
      <c r="CZ126" s="33" t="n">
        <f aca="false">-MIN(CZ124,MAX(0,CZ123))</f>
        <v>-0</v>
      </c>
      <c r="DA126" s="33" t="n">
        <f aca="false">-MIN(DA124,MAX(0,DA123))</f>
        <v>-0</v>
      </c>
      <c r="DB126" s="33" t="n">
        <f aca="false">-MIN(DB124,MAX(0,DB123))</f>
        <v>-0</v>
      </c>
      <c r="DC126" s="33" t="n">
        <f aca="false">-MIN(DC124,MAX(0,DC123))</f>
        <v>-0</v>
      </c>
      <c r="DD126" s="33" t="n">
        <f aca="false">-MIN(DD124,MAX(0,DD123))</f>
        <v>-0</v>
      </c>
      <c r="DE126" s="33" t="n">
        <f aca="false">-MIN(DE124,MAX(0,DE123))</f>
        <v>-0</v>
      </c>
      <c r="DF126" s="33" t="n">
        <f aca="false">-MIN(DF124,MAX(0,DF123))</f>
        <v>-0</v>
      </c>
      <c r="DG126" s="33" t="n">
        <f aca="false">-MIN(DG124,MAX(0,DG123))</f>
        <v>-0</v>
      </c>
      <c r="DH126" s="33" t="n">
        <f aca="false">-MIN(DH124,MAX(0,DH123))</f>
        <v>-0</v>
      </c>
      <c r="DI126" s="33" t="n">
        <f aca="false">-MIN(DI124,MAX(0,DI123))</f>
        <v>-0</v>
      </c>
      <c r="DJ126" s="33" t="n">
        <f aca="false">-MIN(DJ124,MAX(0,DJ123))</f>
        <v>-0</v>
      </c>
      <c r="DK126" s="33" t="n">
        <f aca="false">-MIN(DK124,MAX(0,DK123))</f>
        <v>-0</v>
      </c>
      <c r="DL126" s="33" t="n">
        <f aca="false">-MIN(DL124,MAX(0,DL123))</f>
        <v>-0</v>
      </c>
      <c r="DM126" s="33" t="n">
        <f aca="false">-MIN(DM124,MAX(0,DM123))</f>
        <v>-0</v>
      </c>
      <c r="DN126" s="33" t="n">
        <f aca="false">-MIN(DN124,MAX(0,DN123))</f>
        <v>-0</v>
      </c>
      <c r="DO126" s="33" t="n">
        <f aca="false">-MIN(DO124,MAX(0,DO123))</f>
        <v>-0</v>
      </c>
      <c r="DP126" s="33" t="n">
        <f aca="false">-MIN(DP124,MAX(0,DP123))</f>
        <v>-0</v>
      </c>
      <c r="DQ126" s="33" t="n">
        <f aca="false">-MIN(DQ124,MAX(0,DQ123))</f>
        <v>-0</v>
      </c>
      <c r="DR126" s="33" t="n">
        <f aca="false">-MIN(DR124,MAX(0,DR123))</f>
        <v>-0</v>
      </c>
      <c r="DS126" s="33" t="n">
        <f aca="false">-MIN(DS124,MAX(0,DS123))</f>
        <v>-0</v>
      </c>
      <c r="DT126" s="33" t="n">
        <f aca="false">-MIN(DT124,MAX(0,DT123))</f>
        <v>-0</v>
      </c>
      <c r="DU126" s="33" t="n">
        <f aca="false">-MIN(DU124,MAX(0,DU123))</f>
        <v>-0</v>
      </c>
      <c r="DV126" s="33" t="n">
        <f aca="false">-MIN(DV124,MAX(0,DV123))</f>
        <v>-0</v>
      </c>
      <c r="DW126" s="33" t="n">
        <f aca="false">-MIN(DW124,MAX(0,DW123))</f>
        <v>-0</v>
      </c>
      <c r="DX126" s="33" t="n">
        <f aca="false">-MIN(DX124,MAX(0,DX123))</f>
        <v>-0</v>
      </c>
      <c r="DY126" s="33" t="n">
        <f aca="false">-MIN(DY124,MAX(0,DY123))</f>
        <v>-0</v>
      </c>
      <c r="DZ126" s="33" t="n">
        <f aca="false">-MIN(DZ124,MAX(0,DZ123))</f>
        <v>-0</v>
      </c>
      <c r="EA126" s="33" t="n">
        <f aca="false">-MIN(EA124,MAX(0,EA123))</f>
        <v>-0</v>
      </c>
      <c r="EB126" s="33" t="n">
        <f aca="false">-MIN(EB124,MAX(0,EB123))</f>
        <v>-0</v>
      </c>
      <c r="EC126" s="33" t="n">
        <f aca="false">-MIN(EC124,MAX(0,EC123))</f>
        <v>-0</v>
      </c>
      <c r="ED126" s="33" t="n">
        <f aca="false">-MIN(ED124,MAX(0,ED123))</f>
        <v>-0</v>
      </c>
      <c r="EE126" s="33" t="n">
        <f aca="false">-MIN(EE124,MAX(0,EE123))</f>
        <v>-0</v>
      </c>
      <c r="EF126" s="33" t="n">
        <f aca="false">-MIN(EF124,MAX(0,EF123))</f>
        <v>-0</v>
      </c>
      <c r="EG126" s="33" t="n">
        <f aca="false">-MIN(EG124,MAX(0,EG123))</f>
        <v>-0</v>
      </c>
      <c r="EH126" s="33" t="n">
        <f aca="false">-MIN(EH124,MAX(0,EH123))</f>
        <v>-0</v>
      </c>
      <c r="EI126" s="33" t="n">
        <f aca="false">-MIN(EI124,MAX(0,EI123))</f>
        <v>-0</v>
      </c>
      <c r="EJ126" s="33" t="n">
        <f aca="false">-MIN(EJ124,MAX(0,EJ123))</f>
        <v>-0</v>
      </c>
      <c r="EK126" s="33" t="n">
        <f aca="false">-MIN(EK124,MAX(0,EK123))</f>
        <v>-0</v>
      </c>
      <c r="EL126" s="33" t="n">
        <f aca="false">-MIN(EL124,MAX(0,EL123))</f>
        <v>-0</v>
      </c>
      <c r="EM126" s="33" t="n">
        <f aca="false">-MIN(EM124,MAX(0,EM123))</f>
        <v>-0</v>
      </c>
      <c r="EN126" s="33" t="n">
        <f aca="false">-MIN(EN124,MAX(0,EN123))</f>
        <v>-0</v>
      </c>
      <c r="EO126" s="33" t="n">
        <f aca="false">-MIN(EO124,MAX(0,EO123))</f>
        <v>-0</v>
      </c>
      <c r="EP126" s="33" t="n">
        <f aca="false">-MIN(EP124,MAX(0,EP123))</f>
        <v>-0</v>
      </c>
      <c r="EQ126" s="33" t="n">
        <f aca="false">-MIN(EQ124,MAX(0,EQ123))</f>
        <v>-0</v>
      </c>
      <c r="ER126" s="33" t="n">
        <f aca="false">-MIN(ER124,MAX(0,ER123))</f>
        <v>-0</v>
      </c>
      <c r="ES126" s="33" t="n">
        <f aca="false">-MIN(ES124,MAX(0,ES123))</f>
        <v>-0</v>
      </c>
      <c r="ET126" s="33" t="n">
        <f aca="false">-MIN(ET124,MAX(0,ET123))</f>
        <v>-0</v>
      </c>
    </row>
    <row r="127" customFormat="false" ht="15" hidden="false" customHeight="false" outlineLevel="0" collapsed="false">
      <c r="C127" s="0" t="s">
        <v>569</v>
      </c>
      <c r="D127" s="11" t="s">
        <v>247</v>
      </c>
      <c r="I127" s="54"/>
      <c r="J127" s="33" t="n">
        <f aca="false">SUM(J124:J126)</f>
        <v>0</v>
      </c>
      <c r="K127" s="33" t="n">
        <f aca="false">SUM(K124:K126)</f>
        <v>178.520547945205</v>
      </c>
      <c r="L127" s="33" t="n">
        <f aca="false">SUM(L124:L126)</f>
        <v>766.965068493151</v>
      </c>
      <c r="M127" s="33" t="n">
        <f aca="false">SUM(M124:M126)</f>
        <v>810.800684931507</v>
      </c>
      <c r="N127" s="33" t="n">
        <f aca="false">SUM(N124:N126)</f>
        <v>854.636301369863</v>
      </c>
      <c r="O127" s="33" t="n">
        <f aca="false">SUM(O124:O126)</f>
        <v>1038.99794520548</v>
      </c>
      <c r="P127" s="33" t="n">
        <f aca="false">SUM(P124:P126)</f>
        <v>2329.03974000559</v>
      </c>
      <c r="Q127" s="33" t="n">
        <f aca="false">SUM(Q124:Q126)</f>
        <v>2333.64932904669</v>
      </c>
      <c r="R127" s="33" t="n">
        <f aca="false">SUM(R124:R126)</f>
        <v>2497.74083902712</v>
      </c>
      <c r="S127" s="33" t="n">
        <f aca="false">SUM(S124:S126)</f>
        <v>2814.96697772435</v>
      </c>
      <c r="T127" s="33" t="n">
        <f aca="false">SUM(T124:T126)</f>
        <v>3119.62451197093</v>
      </c>
      <c r="U127" s="33" t="n">
        <f aca="false">SUM(U124:U126)</f>
        <v>3119.62451197093</v>
      </c>
      <c r="V127" s="33" t="n">
        <f aca="false">SUM(V124:V126)</f>
        <v>3119.62451197093</v>
      </c>
      <c r="W127" s="33" t="n">
        <f aca="false">SUM(W124:W126)</f>
        <v>4977.85210815742</v>
      </c>
      <c r="X127" s="33" t="n">
        <f aca="false">SUM(X124:X126)</f>
        <v>5228.52657549541</v>
      </c>
      <c r="Y127" s="33" t="n">
        <f aca="false">SUM(Y124:Y126)</f>
        <v>5457.04009747554</v>
      </c>
      <c r="Z127" s="33" t="n">
        <f aca="false">SUM(Z124:Z126)</f>
        <v>5662.56417946008</v>
      </c>
      <c r="AA127" s="33" t="n">
        <f aca="false">SUM(AA124:AA126)</f>
        <v>5842.30745771736</v>
      </c>
      <c r="AB127" s="33" t="n">
        <f aca="false">SUM(AB124:AB126)</f>
        <v>5994.81734224559</v>
      </c>
      <c r="AC127" s="33" t="n">
        <f aca="false">SUM(AC124:AC126)</f>
        <v>6124.07556382919</v>
      </c>
      <c r="AD127" s="33" t="n">
        <f aca="false">SUM(AD124:AD126)</f>
        <v>6229.25362783041</v>
      </c>
      <c r="AE127" s="33" t="n">
        <f aca="false">SUM(AE124:AE126)</f>
        <v>5215.18395736169</v>
      </c>
      <c r="AF127" s="33" t="n">
        <f aca="false">SUM(AF124:AF126)</f>
        <v>4174.34083201546</v>
      </c>
      <c r="AG127" s="33" t="n">
        <f aca="false">SUM(AG124:AG126)</f>
        <v>3110.3380929452</v>
      </c>
      <c r="AH127" s="33" t="n">
        <f aca="false">SUM(AH124:AH126)</f>
        <v>1998.75739078363</v>
      </c>
      <c r="AI127" s="33" t="n">
        <f aca="false">SUM(AI124:AI126)</f>
        <v>878.128499379028</v>
      </c>
      <c r="AJ127" s="33" t="n">
        <f aca="false">SUM(AJ124:AJ126)</f>
        <v>0</v>
      </c>
      <c r="AK127" s="33" t="n">
        <f aca="false">SUM(AK124:AK126)</f>
        <v>0</v>
      </c>
      <c r="AL127" s="33" t="n">
        <f aca="false">SUM(AL124:AL126)</f>
        <v>0</v>
      </c>
      <c r="AM127" s="33" t="n">
        <f aca="false">SUM(AM124:AM126)</f>
        <v>0</v>
      </c>
      <c r="AN127" s="33" t="n">
        <f aca="false">SUM(AN124:AN126)</f>
        <v>0</v>
      </c>
      <c r="AO127" s="33" t="n">
        <f aca="false">SUM(AO124:AO126)</f>
        <v>0</v>
      </c>
      <c r="AP127" s="33" t="n">
        <f aca="false">SUM(AP124:AP126)</f>
        <v>0</v>
      </c>
      <c r="AQ127" s="33" t="n">
        <f aca="false">SUM(AQ124:AQ126)</f>
        <v>0</v>
      </c>
      <c r="AR127" s="33" t="n">
        <f aca="false">SUM(AR124:AR126)</f>
        <v>0</v>
      </c>
      <c r="AS127" s="33" t="n">
        <f aca="false">SUM(AS124:AS126)</f>
        <v>0</v>
      </c>
      <c r="AT127" s="33" t="n">
        <f aca="false">SUM(AT124:AT126)</f>
        <v>0</v>
      </c>
      <c r="AU127" s="33" t="n">
        <f aca="false">SUM(AU124:AU126)</f>
        <v>0</v>
      </c>
      <c r="AV127" s="33" t="n">
        <f aca="false">SUM(AV124:AV126)</f>
        <v>0</v>
      </c>
      <c r="AW127" s="33" t="n">
        <f aca="false">SUM(AW124:AW126)</f>
        <v>0</v>
      </c>
      <c r="AX127" s="33" t="n">
        <f aca="false">SUM(AX124:AX126)</f>
        <v>0</v>
      </c>
      <c r="AY127" s="33" t="n">
        <f aca="false">SUM(AY124:AY126)</f>
        <v>0</v>
      </c>
      <c r="AZ127" s="33" t="n">
        <f aca="false">SUM(AZ124:AZ126)</f>
        <v>0</v>
      </c>
      <c r="BA127" s="33" t="n">
        <f aca="false">SUM(BA124:BA126)</f>
        <v>0</v>
      </c>
      <c r="BB127" s="33" t="n">
        <f aca="false">SUM(BB124:BB126)</f>
        <v>0</v>
      </c>
      <c r="BC127" s="33" t="n">
        <f aca="false">SUM(BC124:BC126)</f>
        <v>0</v>
      </c>
      <c r="BD127" s="33" t="n">
        <f aca="false">SUM(BD124:BD126)</f>
        <v>0</v>
      </c>
      <c r="BE127" s="33" t="n">
        <f aca="false">SUM(BE124:BE126)</f>
        <v>0</v>
      </c>
      <c r="BF127" s="33" t="n">
        <f aca="false">SUM(BF124:BF126)</f>
        <v>0</v>
      </c>
      <c r="BG127" s="33" t="n">
        <f aca="false">SUM(BG124:BG126)</f>
        <v>0</v>
      </c>
      <c r="BH127" s="33" t="n">
        <f aca="false">SUM(BH124:BH126)</f>
        <v>0</v>
      </c>
      <c r="BI127" s="33" t="n">
        <f aca="false">SUM(BI124:BI126)</f>
        <v>0</v>
      </c>
      <c r="BJ127" s="33" t="n">
        <f aca="false">SUM(BJ124:BJ126)</f>
        <v>0</v>
      </c>
      <c r="BK127" s="33" t="n">
        <f aca="false">SUM(BK124:BK126)</f>
        <v>0</v>
      </c>
      <c r="BL127" s="33" t="n">
        <f aca="false">SUM(BL124:BL126)</f>
        <v>0</v>
      </c>
      <c r="BM127" s="33" t="n">
        <f aca="false">SUM(BM124:BM126)</f>
        <v>0</v>
      </c>
      <c r="BN127" s="33" t="n">
        <f aca="false">SUM(BN124:BN126)</f>
        <v>0</v>
      </c>
      <c r="BO127" s="33" t="n">
        <f aca="false">SUM(BO124:BO126)</f>
        <v>0</v>
      </c>
      <c r="BP127" s="33" t="n">
        <f aca="false">SUM(BP124:BP126)</f>
        <v>0</v>
      </c>
      <c r="BQ127" s="33" t="n">
        <f aca="false">SUM(BQ124:BQ126)</f>
        <v>0</v>
      </c>
      <c r="BR127" s="33" t="n">
        <f aca="false">SUM(BR124:BR126)</f>
        <v>0</v>
      </c>
      <c r="BS127" s="33" t="n">
        <f aca="false">SUM(BS124:BS126)</f>
        <v>0</v>
      </c>
      <c r="BT127" s="33" t="n">
        <f aca="false">SUM(BT124:BT126)</f>
        <v>0</v>
      </c>
      <c r="BU127" s="33" t="n">
        <f aca="false">SUM(BU124:BU126)</f>
        <v>0</v>
      </c>
      <c r="BV127" s="33" t="n">
        <f aca="false">SUM(BV124:BV126)</f>
        <v>0</v>
      </c>
      <c r="BW127" s="33" t="n">
        <f aca="false">SUM(BW124:BW126)</f>
        <v>0</v>
      </c>
      <c r="BX127" s="33" t="n">
        <f aca="false">SUM(BX124:BX126)</f>
        <v>0</v>
      </c>
      <c r="BY127" s="33" t="n">
        <f aca="false">SUM(BY124:BY126)</f>
        <v>0</v>
      </c>
      <c r="BZ127" s="33" t="n">
        <f aca="false">SUM(BZ124:BZ126)</f>
        <v>0</v>
      </c>
      <c r="CA127" s="33" t="n">
        <f aca="false">SUM(CA124:CA126)</f>
        <v>0</v>
      </c>
      <c r="CB127" s="33" t="n">
        <f aca="false">SUM(CB124:CB126)</f>
        <v>0</v>
      </c>
      <c r="CC127" s="33" t="n">
        <f aca="false">SUM(CC124:CC126)</f>
        <v>0</v>
      </c>
      <c r="CD127" s="33" t="n">
        <f aca="false">SUM(CD124:CD126)</f>
        <v>0</v>
      </c>
      <c r="CE127" s="33" t="n">
        <f aca="false">SUM(CE124:CE126)</f>
        <v>0</v>
      </c>
      <c r="CF127" s="33" t="n">
        <f aca="false">SUM(CF124:CF126)</f>
        <v>0</v>
      </c>
      <c r="CG127" s="33" t="n">
        <f aca="false">SUM(CG124:CG126)</f>
        <v>0</v>
      </c>
      <c r="CH127" s="33" t="n">
        <f aca="false">SUM(CH124:CH126)</f>
        <v>0</v>
      </c>
      <c r="CI127" s="33" t="n">
        <f aca="false">SUM(CI124:CI126)</f>
        <v>0</v>
      </c>
      <c r="CJ127" s="33" t="n">
        <f aca="false">SUM(CJ124:CJ126)</f>
        <v>0</v>
      </c>
      <c r="CK127" s="33" t="n">
        <f aca="false">SUM(CK124:CK126)</f>
        <v>0</v>
      </c>
      <c r="CL127" s="33" t="n">
        <f aca="false">SUM(CL124:CL126)</f>
        <v>0</v>
      </c>
      <c r="CM127" s="33" t="n">
        <f aca="false">SUM(CM124:CM126)</f>
        <v>0</v>
      </c>
      <c r="CN127" s="33" t="n">
        <f aca="false">SUM(CN124:CN126)</f>
        <v>0</v>
      </c>
      <c r="CO127" s="33" t="n">
        <f aca="false">SUM(CO124:CO126)</f>
        <v>0</v>
      </c>
      <c r="CP127" s="33" t="n">
        <f aca="false">SUM(CP124:CP126)</f>
        <v>0</v>
      </c>
      <c r="CQ127" s="33" t="n">
        <f aca="false">SUM(CQ124:CQ126)</f>
        <v>0</v>
      </c>
      <c r="CR127" s="33" t="n">
        <f aca="false">SUM(CR124:CR126)</f>
        <v>0</v>
      </c>
      <c r="CS127" s="33" t="n">
        <f aca="false">SUM(CS124:CS126)</f>
        <v>0</v>
      </c>
      <c r="CT127" s="33" t="n">
        <f aca="false">SUM(CT124:CT126)</f>
        <v>0</v>
      </c>
      <c r="CU127" s="33" t="n">
        <f aca="false">SUM(CU124:CU126)</f>
        <v>0</v>
      </c>
      <c r="CV127" s="33" t="n">
        <f aca="false">SUM(CV124:CV126)</f>
        <v>0</v>
      </c>
      <c r="CW127" s="33" t="n">
        <f aca="false">SUM(CW124:CW126)</f>
        <v>0</v>
      </c>
      <c r="CX127" s="33" t="n">
        <f aca="false">SUM(CX124:CX126)</f>
        <v>0</v>
      </c>
      <c r="CY127" s="33" t="n">
        <f aca="false">SUM(CY124:CY126)</f>
        <v>0</v>
      </c>
      <c r="CZ127" s="33" t="n">
        <f aca="false">SUM(CZ124:CZ126)</f>
        <v>0</v>
      </c>
      <c r="DA127" s="33" t="n">
        <f aca="false">SUM(DA124:DA126)</f>
        <v>0</v>
      </c>
      <c r="DB127" s="33" t="n">
        <f aca="false">SUM(DB124:DB126)</f>
        <v>0</v>
      </c>
      <c r="DC127" s="33" t="n">
        <f aca="false">SUM(DC124:DC126)</f>
        <v>0</v>
      </c>
      <c r="DD127" s="33" t="n">
        <f aca="false">SUM(DD124:DD126)</f>
        <v>0</v>
      </c>
      <c r="DE127" s="33" t="n">
        <f aca="false">SUM(DE124:DE126)</f>
        <v>0</v>
      </c>
      <c r="DF127" s="33" t="n">
        <f aca="false">SUM(DF124:DF126)</f>
        <v>0</v>
      </c>
      <c r="DG127" s="33" t="n">
        <f aca="false">SUM(DG124:DG126)</f>
        <v>0</v>
      </c>
      <c r="DH127" s="33" t="n">
        <f aca="false">SUM(DH124:DH126)</f>
        <v>0</v>
      </c>
      <c r="DI127" s="33" t="n">
        <f aca="false">SUM(DI124:DI126)</f>
        <v>0</v>
      </c>
      <c r="DJ127" s="33" t="n">
        <f aca="false">SUM(DJ124:DJ126)</f>
        <v>0</v>
      </c>
      <c r="DK127" s="33" t="n">
        <f aca="false">SUM(DK124:DK126)</f>
        <v>0</v>
      </c>
      <c r="DL127" s="33" t="n">
        <f aca="false">SUM(DL124:DL126)</f>
        <v>0</v>
      </c>
      <c r="DM127" s="33" t="n">
        <f aca="false">SUM(DM124:DM126)</f>
        <v>0</v>
      </c>
      <c r="DN127" s="33" t="n">
        <f aca="false">SUM(DN124:DN126)</f>
        <v>0</v>
      </c>
      <c r="DO127" s="33" t="n">
        <f aca="false">SUM(DO124:DO126)</f>
        <v>0</v>
      </c>
      <c r="DP127" s="33" t="n">
        <f aca="false">SUM(DP124:DP126)</f>
        <v>0</v>
      </c>
      <c r="DQ127" s="33" t="n">
        <f aca="false">SUM(DQ124:DQ126)</f>
        <v>0</v>
      </c>
      <c r="DR127" s="33" t="n">
        <f aca="false">SUM(DR124:DR126)</f>
        <v>0</v>
      </c>
      <c r="DS127" s="33" t="n">
        <f aca="false">SUM(DS124:DS126)</f>
        <v>0</v>
      </c>
      <c r="DT127" s="33" t="n">
        <f aca="false">SUM(DT124:DT126)</f>
        <v>0</v>
      </c>
      <c r="DU127" s="33" t="n">
        <f aca="false">SUM(DU124:DU126)</f>
        <v>0</v>
      </c>
      <c r="DV127" s="33" t="n">
        <f aca="false">SUM(DV124:DV126)</f>
        <v>0</v>
      </c>
      <c r="DW127" s="33" t="n">
        <f aca="false">SUM(DW124:DW126)</f>
        <v>0</v>
      </c>
      <c r="DX127" s="33" t="n">
        <f aca="false">SUM(DX124:DX126)</f>
        <v>0</v>
      </c>
      <c r="DY127" s="33" t="n">
        <f aca="false">SUM(DY124:DY126)</f>
        <v>0</v>
      </c>
      <c r="DZ127" s="33" t="n">
        <f aca="false">SUM(DZ124:DZ126)</f>
        <v>0</v>
      </c>
      <c r="EA127" s="33" t="n">
        <f aca="false">SUM(EA124:EA126)</f>
        <v>0</v>
      </c>
      <c r="EB127" s="33" t="n">
        <f aca="false">SUM(EB124:EB126)</f>
        <v>0</v>
      </c>
      <c r="EC127" s="33" t="n">
        <f aca="false">SUM(EC124:EC126)</f>
        <v>0</v>
      </c>
      <c r="ED127" s="33" t="n">
        <f aca="false">SUM(ED124:ED126)</f>
        <v>0</v>
      </c>
      <c r="EE127" s="33" t="n">
        <f aca="false">SUM(EE124:EE126)</f>
        <v>0</v>
      </c>
      <c r="EF127" s="33" t="n">
        <f aca="false">SUM(EF124:EF126)</f>
        <v>0</v>
      </c>
      <c r="EG127" s="33" t="n">
        <f aca="false">SUM(EG124:EG126)</f>
        <v>0</v>
      </c>
      <c r="EH127" s="33" t="n">
        <f aca="false">SUM(EH124:EH126)</f>
        <v>0</v>
      </c>
      <c r="EI127" s="33" t="n">
        <f aca="false">SUM(EI124:EI126)</f>
        <v>0</v>
      </c>
      <c r="EJ127" s="33" t="n">
        <f aca="false">SUM(EJ124:EJ126)</f>
        <v>0</v>
      </c>
      <c r="EK127" s="33" t="n">
        <f aca="false">SUM(EK124:EK126)</f>
        <v>0</v>
      </c>
      <c r="EL127" s="33" t="n">
        <f aca="false">SUM(EL124:EL126)</f>
        <v>0</v>
      </c>
      <c r="EM127" s="33" t="n">
        <f aca="false">SUM(EM124:EM126)</f>
        <v>0</v>
      </c>
      <c r="EN127" s="33" t="n">
        <f aca="false">SUM(EN124:EN126)</f>
        <v>0</v>
      </c>
      <c r="EO127" s="33" t="n">
        <f aca="false">SUM(EO124:EO126)</f>
        <v>0</v>
      </c>
      <c r="EP127" s="33" t="n">
        <f aca="false">SUM(EP124:EP126)</f>
        <v>0</v>
      </c>
      <c r="EQ127" s="33" t="n">
        <f aca="false">SUM(EQ124:EQ126)</f>
        <v>0</v>
      </c>
      <c r="ER127" s="33" t="n">
        <f aca="false">SUM(ER124:ER126)</f>
        <v>0</v>
      </c>
      <c r="ES127" s="33" t="n">
        <f aca="false">SUM(ES124:ES126)</f>
        <v>0</v>
      </c>
      <c r="ET127" s="33" t="n">
        <f aca="false">SUM(ET124:ET126)</f>
        <v>0</v>
      </c>
    </row>
    <row r="128" customFormat="false" ht="15" hidden="false" customHeight="false" outlineLevel="0" collapsed="false">
      <c r="C128" s="30" t="s">
        <v>244</v>
      </c>
      <c r="D128" s="11" t="s">
        <v>247</v>
      </c>
      <c r="I128" s="35" t="n">
        <f aca="false">SUM(J128:ET128)</f>
        <v>-29217.7631614638</v>
      </c>
      <c r="J128" s="35" t="n">
        <f aca="false">-In_CIT*(MAX(0,J123)+J126)</f>
        <v>-0</v>
      </c>
      <c r="K128" s="35" t="n">
        <f aca="false">-In_CIT*(MAX(0,K123)+K126)</f>
        <v>-0</v>
      </c>
      <c r="L128" s="35" t="n">
        <f aca="false">-In_CIT*(MAX(0,L123)+L126)</f>
        <v>-0</v>
      </c>
      <c r="M128" s="35" t="n">
        <f aca="false">-In_CIT*(MAX(0,M123)+M126)</f>
        <v>-0</v>
      </c>
      <c r="N128" s="35" t="n">
        <f aca="false">-In_CIT*(MAX(0,N123)+N126)</f>
        <v>-0</v>
      </c>
      <c r="O128" s="35" t="n">
        <f aca="false">-In_CIT*(MAX(0,O123)+O126)</f>
        <v>-0</v>
      </c>
      <c r="P128" s="35" t="n">
        <f aca="false">-In_CIT*(MAX(0,P123)+P126)</f>
        <v>-0</v>
      </c>
      <c r="Q128" s="35" t="n">
        <f aca="false">-In_CIT*(MAX(0,Q123)+Q126)</f>
        <v>-0</v>
      </c>
      <c r="R128" s="35" t="n">
        <f aca="false">-In_CIT*(MAX(0,R123)+R126)</f>
        <v>-0</v>
      </c>
      <c r="S128" s="35" t="n">
        <f aca="false">-In_CIT*(MAX(0,S123)+S126)</f>
        <v>-0</v>
      </c>
      <c r="T128" s="35" t="n">
        <f aca="false">-In_CIT*(MAX(0,T123)+T126)</f>
        <v>-0</v>
      </c>
      <c r="U128" s="35" t="n">
        <f aca="false">-In_CIT*(MAX(0,U123)+U126)</f>
        <v>-0</v>
      </c>
      <c r="V128" s="35" t="n">
        <f aca="false">-In_CIT*(MAX(0,V123)+V126)</f>
        <v>-0</v>
      </c>
      <c r="W128" s="35" t="n">
        <f aca="false">-In_CIT*(MAX(0,W123)+W126)</f>
        <v>-0</v>
      </c>
      <c r="X128" s="35" t="n">
        <f aca="false">-In_CIT*(MAX(0,X123)+X126)</f>
        <v>-0</v>
      </c>
      <c r="Y128" s="35" t="n">
        <f aca="false">-In_CIT*(MAX(0,Y123)+Y126)</f>
        <v>-0</v>
      </c>
      <c r="Z128" s="35" t="n">
        <f aca="false">-In_CIT*(MAX(0,Z123)+Z126)</f>
        <v>-0</v>
      </c>
      <c r="AA128" s="35" t="n">
        <f aca="false">-In_CIT*(MAX(0,AA123)+AA126)</f>
        <v>-0</v>
      </c>
      <c r="AB128" s="35" t="n">
        <f aca="false">-In_CIT*(MAX(0,AB123)+AB126)</f>
        <v>-0</v>
      </c>
      <c r="AC128" s="35" t="n">
        <f aca="false">-In_CIT*(MAX(0,AC123)+AC126)</f>
        <v>-0</v>
      </c>
      <c r="AD128" s="35" t="n">
        <f aca="false">-In_CIT*(MAX(0,AD123)+AD126)</f>
        <v>-0</v>
      </c>
      <c r="AE128" s="35" t="n">
        <f aca="false">-In_CIT*(MAX(0,AE123)+AE126)</f>
        <v>-0</v>
      </c>
      <c r="AF128" s="35" t="n">
        <f aca="false">-In_CIT*(MAX(0,AF123)+AF126)</f>
        <v>-0</v>
      </c>
      <c r="AG128" s="35" t="n">
        <f aca="false">-In_CIT*(MAX(0,AG123)+AG126)</f>
        <v>-0</v>
      </c>
      <c r="AH128" s="35" t="n">
        <f aca="false">-In_CIT*(MAX(0,AH123)+AH126)</f>
        <v>-0</v>
      </c>
      <c r="AI128" s="35" t="n">
        <f aca="false">-In_CIT*(MAX(0,AI123)+AI126)</f>
        <v>-0</v>
      </c>
      <c r="AJ128" s="35" t="n">
        <f aca="false">-In_CIT*(MAX(0,AJ123)+AJ126)</f>
        <v>-22.1207033876094</v>
      </c>
      <c r="AK128" s="35" t="n">
        <f aca="false">-In_CIT*(MAX(0,AK123)+AK126)</f>
        <v>-105.527229009164</v>
      </c>
      <c r="AL128" s="35" t="n">
        <f aca="false">-In_CIT*(MAX(0,AL123)+AL126)</f>
        <v>-109.92957161066</v>
      </c>
      <c r="AM128" s="35" t="n">
        <f aca="false">-In_CIT*(MAX(0,AM123)+AM126)</f>
        <v>-110.844380702077</v>
      </c>
      <c r="AN128" s="35" t="n">
        <f aca="false">-In_CIT*(MAX(0,AN123)+AN126)</f>
        <v>-111.202624504349</v>
      </c>
      <c r="AO128" s="35" t="n">
        <f aca="false">-In_CIT*(MAX(0,AO123)+AO126)</f>
        <v>-115.701655640121</v>
      </c>
      <c r="AP128" s="35" t="n">
        <f aca="false">-In_CIT*(MAX(0,AP123)+AP126)</f>
        <v>-120.229463681293</v>
      </c>
      <c r="AQ128" s="35" t="n">
        <f aca="false">-In_CIT*(MAX(0,AQ123)+AQ126)</f>
        <v>-121.250262698485</v>
      </c>
      <c r="AR128" s="35" t="n">
        <f aca="false">-In_CIT*(MAX(0,AR123)+AR126)</f>
        <v>-121.676270590481</v>
      </c>
      <c r="AS128" s="35" t="n">
        <f aca="false">-In_CIT*(MAX(0,AS123)+AS126)</f>
        <v>-126.304707119573</v>
      </c>
      <c r="AT128" s="35" t="n">
        <f aca="false">-In_CIT*(MAX(0,AT123)+AT126)</f>
        <v>-130.963386603207</v>
      </c>
      <c r="AU128" s="35" t="n">
        <f aca="false">-In_CIT*(MAX(0,AU123)+AU126)</f>
        <v>-132.095976385446</v>
      </c>
      <c r="AV128" s="35" t="n">
        <f aca="false">-In_CIT*(MAX(0,AV123)+AV126)</f>
        <v>-134.815975507916</v>
      </c>
      <c r="AW128" s="35" t="n">
        <f aca="false">-In_CIT*(MAX(0,AW123)+AW126)</f>
        <v>-137.358670871886</v>
      </c>
      <c r="AX128" s="35" t="n">
        <f aca="false">-In_CIT*(MAX(0,AX123)+AX126)</f>
        <v>-142.153908167303</v>
      </c>
      <c r="AY128" s="35" t="n">
        <f aca="false">-In_CIT*(MAX(0,AY123)+AY126)</f>
        <v>-143.404386937865</v>
      </c>
      <c r="AZ128" s="35" t="n">
        <f aca="false">-In_CIT*(MAX(0,AZ123)+AZ126)</f>
        <v>-143.982624695125</v>
      </c>
      <c r="BA128" s="35" t="n">
        <f aca="false">-In_CIT*(MAX(0,BA123)+BA126)</f>
        <v>-148.886998211232</v>
      </c>
      <c r="BB128" s="35" t="n">
        <f aca="false">-In_CIT*(MAX(0,BB123)+BB126)</f>
        <v>-153.824774650287</v>
      </c>
      <c r="BC128" s="35" t="n">
        <f aca="false">-In_CIT*(MAX(0,BC123)+BC126)</f>
        <v>-155.199553161151</v>
      </c>
      <c r="BD128" s="35" t="n">
        <f aca="false">-In_CIT*(MAX(0,BD123)+BD126)</f>
        <v>-155.862861870893</v>
      </c>
      <c r="BE128" s="35" t="n">
        <f aca="false">-In_CIT*(MAX(0,BE123)+BE126)</f>
        <v>-160.914364450406</v>
      </c>
      <c r="BF128" s="35" t="n">
        <f aca="false">-In_CIT*(MAX(0,BF123)+BF126)</f>
        <v>-166.000971676032</v>
      </c>
      <c r="BG128" s="35" t="n">
        <f aca="false">-In_CIT*(MAX(0,BG123)+BG126)</f>
        <v>-167.506789123671</v>
      </c>
      <c r="BH128" s="35" t="n">
        <f aca="false">-In_CIT*(MAX(0,BH123)+BH126)</f>
        <v>-168.261569050824</v>
      </c>
      <c r="BI128" s="35" t="n">
        <f aca="false">-In_CIT*(MAX(0,BI123)+BI126)</f>
        <v>-173.466732092545</v>
      </c>
      <c r="BJ128" s="35" t="n">
        <f aca="false">-In_CIT*(MAX(0,BJ123)+BJ126)</f>
        <v>-178.708788198403</v>
      </c>
      <c r="BK128" s="35" t="n">
        <f aca="false">-In_CIT*(MAX(0,BK123)+BK126)</f>
        <v>-180.352728949948</v>
      </c>
      <c r="BL128" s="35" t="n">
        <f aca="false">-In_CIT*(MAX(0,BL123)+BL126)</f>
        <v>-183.46960976582</v>
      </c>
      <c r="BM128" s="35" t="n">
        <f aca="false">-In_CIT*(MAX(0,BM123)+BM126)</f>
        <v>-186.57141726332</v>
      </c>
      <c r="BN128" s="35" t="n">
        <f aca="false">-In_CIT*(MAX(0,BN123)+BN126)</f>
        <v>-191.975883765096</v>
      </c>
      <c r="BO128" s="35" t="n">
        <f aca="false">-In_CIT*(MAX(0,BO123)+BO126)</f>
        <v>-193.765394936146</v>
      </c>
      <c r="BP128" s="35" t="n">
        <f aca="false">-In_CIT*(MAX(0,BP123)+BP126)</f>
        <v>-194.72370774483</v>
      </c>
      <c r="BQ128" s="35" t="n">
        <f aca="false">-In_CIT*(MAX(0,BQ123)+BQ126)</f>
        <v>-200.257159549216</v>
      </c>
      <c r="BR128" s="35" t="n">
        <f aca="false">-In_CIT*(MAX(0,BR123)+BR126)</f>
        <v>-205.831359230171</v>
      </c>
      <c r="BS128" s="35" t="n">
        <f aca="false">-In_CIT*(MAX(0,BS123)+BS126)</f>
        <v>-207.774269157617</v>
      </c>
      <c r="BT128" s="35" t="n">
        <f aca="false">-In_CIT*(MAX(0,BT123)+BT126)</f>
        <v>-205.461775363833</v>
      </c>
      <c r="BU128" s="35" t="n">
        <f aca="false">-In_CIT*(MAX(0,BU123)+BU126)</f>
        <v>-207.744683978987</v>
      </c>
      <c r="BV128" s="35" t="n">
        <f aca="false">-In_CIT*(MAX(0,BV123)+BV126)</f>
        <v>-210.02759259414</v>
      </c>
      <c r="BW128" s="35" t="n">
        <f aca="false">-In_CIT*(MAX(0,BW123)+BW126)</f>
        <v>-208.620044100937</v>
      </c>
      <c r="BX128" s="35" t="n">
        <f aca="false">-In_CIT*(MAX(0,BX123)+BX126)</f>
        <v>-206.255854733365</v>
      </c>
      <c r="BY128" s="35" t="n">
        <f aca="false">-In_CIT*(MAX(0,BY123)+BY126)</f>
        <v>-208.547586452625</v>
      </c>
      <c r="BZ128" s="35" t="n">
        <f aca="false">-In_CIT*(MAX(0,BZ123)+BZ126)</f>
        <v>-210.839318171884</v>
      </c>
      <c r="CA128" s="35" t="n">
        <f aca="false">-In_CIT*(MAX(0,CA123)+CA126)</f>
        <v>-209.423123002828</v>
      </c>
      <c r="CB128" s="35" t="n">
        <f aca="false">-In_CIT*(MAX(0,CB123)+CB126)</f>
        <v>-209.30683243011</v>
      </c>
      <c r="CC128" s="35" t="n">
        <f aca="false">-In_CIT*(MAX(0,CC123)+CC126)</f>
        <v>-209.30683243011</v>
      </c>
      <c r="CD128" s="35" t="n">
        <f aca="false">-In_CIT*(MAX(0,CD123)+CD126)</f>
        <v>-211.606907511759</v>
      </c>
      <c r="CE128" s="35" t="n">
        <f aca="false">-In_CIT*(MAX(0,CE123)+CE126)</f>
        <v>-210.182042788085</v>
      </c>
      <c r="CF128" s="35" t="n">
        <f aca="false">-In_CIT*(MAX(0,CF123)+CF126)</f>
        <v>-207.713013581331</v>
      </c>
      <c r="CG128" s="35" t="n">
        <f aca="false">-In_CIT*(MAX(0,CG123)+CG126)</f>
        <v>-210.020935954457</v>
      </c>
      <c r="CH128" s="35" t="n">
        <f aca="false">-In_CIT*(MAX(0,CH123)+CH126)</f>
        <v>-212.328858327583</v>
      </c>
      <c r="CI128" s="35" t="n">
        <f aca="false">-In_CIT*(MAX(0,CI123)+CI126)</f>
        <v>-210.895301795199</v>
      </c>
      <c r="CJ128" s="35" t="n">
        <f aca="false">-In_CIT*(MAX(0,CJ123)+CJ126)</f>
        <v>-208.373115095176</v>
      </c>
      <c r="CK128" s="35" t="n">
        <f aca="false">-In_CIT*(MAX(0,CK123)+CK126)</f>
        <v>-210.688371929567</v>
      </c>
      <c r="CL128" s="35" t="n">
        <f aca="false">-In_CIT*(MAX(0,CL123)+CL126)</f>
        <v>-213.003628763958</v>
      </c>
      <c r="CM128" s="35" t="n">
        <f aca="false">-In_CIT*(MAX(0,CM123)+CM126)</f>
        <v>-211.561358815095</v>
      </c>
      <c r="CN128" s="35" t="n">
        <f aca="false">-In_CIT*(MAX(0,CN123)+CN126)</f>
        <v>-208.985513880179</v>
      </c>
      <c r="CO128" s="35" t="n">
        <f aca="false">-In_CIT*(MAX(0,CO123)+CO126)</f>
        <v>-211.307575145515</v>
      </c>
      <c r="CP128" s="35" t="n">
        <f aca="false">-In_CIT*(MAX(0,CP123)+CP126)</f>
        <v>-213.62963641085</v>
      </c>
      <c r="CQ128" s="35" t="n">
        <f aca="false">-In_CIT*(MAX(0,CQ123)+CQ126)</f>
        <v>-212.178632106247</v>
      </c>
      <c r="CR128" s="35" t="n">
        <f aca="false">-In_CIT*(MAX(0,CR123)+CR126)</f>
        <v>-211.876939279891</v>
      </c>
      <c r="CS128" s="35" t="n">
        <f aca="false">-In_CIT*(MAX(0,CS123)+CS126)</f>
        <v>-211.876939279891</v>
      </c>
      <c r="CT128" s="35" t="n">
        <f aca="false">-In_CIT*(MAX(0,CT123)+CT126)</f>
        <v>-214.205257293956</v>
      </c>
      <c r="CU128" s="35" t="n">
        <f aca="false">-In_CIT*(MAX(0,CU123)+CU126)</f>
        <v>-212.745498385584</v>
      </c>
      <c r="CV128" s="35" t="n">
        <f aca="false">-In_CIT*(MAX(0,CV123)+CV126)</f>
        <v>-210.060806908939</v>
      </c>
      <c r="CW128" s="35" t="n">
        <f aca="false">-In_CIT*(MAX(0,CW123)+CW126)</f>
        <v>-212.394815874594</v>
      </c>
      <c r="CX128" s="35" t="n">
        <f aca="false">-In_CIT*(MAX(0,CX123)+CX126)</f>
        <v>-214.728824840249</v>
      </c>
      <c r="CY128" s="35" t="n">
        <f aca="false">-In_CIT*(MAX(0,CY123)+CY126)</f>
        <v>-213.260291794592</v>
      </c>
      <c r="CZ128" s="35" t="n">
        <f aca="false">-In_CIT*(MAX(0,CZ123)+CZ126)</f>
        <v>-210.520397756844</v>
      </c>
      <c r="DA128" s="35" t="n">
        <f aca="false">-In_CIT*(MAX(0,DA123)+DA126)</f>
        <v>-212.859513287475</v>
      </c>
      <c r="DB128" s="35" t="n">
        <f aca="false">-In_CIT*(MAX(0,DB123)+DB126)</f>
        <v>-215.198628818107</v>
      </c>
      <c r="DC128" s="35" t="n">
        <f aca="false">-In_CIT*(MAX(0,DC123)+DC126)</f>
        <v>-213.721302840004</v>
      </c>
      <c r="DD128" s="35" t="n">
        <f aca="false">-In_CIT*(MAX(0,DD123)+DD126)</f>
        <v>-210.925676985051</v>
      </c>
      <c r="DE128" s="35" t="n">
        <f aca="false">-In_CIT*(MAX(0,DE123)+DE126)</f>
        <v>-213.269295618218</v>
      </c>
      <c r="DF128" s="35" t="n">
        <f aca="false">-In_CIT*(MAX(0,DF123)+DF126)</f>
        <v>-215.612914251386</v>
      </c>
      <c r="DG128" s="35" t="n">
        <f aca="false">-In_CIT*(MAX(0,DG123)+DG126)</f>
        <v>-390.462027514203</v>
      </c>
      <c r="DH128" s="35" t="n">
        <f aca="false">-In_CIT*(MAX(0,DH123)+DH126)</f>
        <v>-388.040944311337</v>
      </c>
      <c r="DI128" s="35" t="n">
        <f aca="false">-In_CIT*(MAX(0,DI123)+DI126)</f>
        <v>-388.040944311337</v>
      </c>
      <c r="DJ128" s="35" t="n">
        <f aca="false">-In_CIT*(MAX(0,DJ123)+DJ126)</f>
        <v>-392.30513051256</v>
      </c>
      <c r="DK128" s="35" t="n">
        <f aca="false">-In_CIT*(MAX(0,DK123)+DK126)</f>
        <v>-390.810165360226</v>
      </c>
      <c r="DL128" s="35" t="n">
        <f aca="false">-In_CIT*(MAX(0,DL123)+DL126)</f>
        <v>-384.068083069357</v>
      </c>
      <c r="DM128" s="35" t="n">
        <f aca="false">-In_CIT*(MAX(0,DM123)+DM126)</f>
        <v>-388.335506214572</v>
      </c>
      <c r="DN128" s="35" t="n">
        <f aca="false">-In_CIT*(MAX(0,DN123)+DN126)</f>
        <v>-392.602929359787</v>
      </c>
      <c r="DO128" s="35" t="n">
        <f aca="false">-In_CIT*(MAX(0,DO123)+DO126)</f>
        <v>-391.099119566891</v>
      </c>
      <c r="DP128" s="35" t="n">
        <f aca="false">-In_CIT*(MAX(0,DP123)+DP126)</f>
        <v>-384.29967228596</v>
      </c>
      <c r="DQ128" s="35" t="n">
        <f aca="false">-In_CIT*(MAX(0,DQ123)+DQ126)</f>
        <v>-388.569668644693</v>
      </c>
      <c r="DR128" s="35" t="n">
        <f aca="false">-In_CIT*(MAX(0,DR123)+DR126)</f>
        <v>-392.839665003426</v>
      </c>
      <c r="DS128" s="35" t="n">
        <f aca="false">-In_CIT*(MAX(0,DS123)+DS126)</f>
        <v>-391.326994978479</v>
      </c>
      <c r="DT128" s="35" t="n">
        <f aca="false">-In_CIT*(MAX(0,DT123)+DT126)</f>
        <v>-384.469622693208</v>
      </c>
      <c r="DU128" s="35" t="n">
        <f aca="false">-In_CIT*(MAX(0,DU123)+DU126)</f>
        <v>-388.741507389799</v>
      </c>
      <c r="DV128" s="35" t="n">
        <f aca="false">-In_CIT*(MAX(0,DV123)+DV126)</f>
        <v>-393.013392086391</v>
      </c>
      <c r="DW128" s="35" t="n">
        <f aca="false">-In_CIT*(MAX(0,DW123)+DW126)</f>
        <v>-391.491847104446</v>
      </c>
      <c r="DX128" s="35" t="n">
        <f aca="false">-In_CIT*(MAX(0,DX123)+DX126)</f>
        <v>-388.849048200098</v>
      </c>
      <c r="DY128" s="35" t="n">
        <f aca="false">-In_CIT*(MAX(0,DY123)+DY126)</f>
        <v>-388.849048200098</v>
      </c>
      <c r="DZ128" s="35" t="n">
        <f aca="false">-In_CIT*(MAX(0,DZ123)+DZ126)</f>
        <v>-393.122114663836</v>
      </c>
      <c r="EA128" s="35" t="n">
        <f aca="false">-In_CIT*(MAX(0,EA123)+EA126)</f>
        <v>-391.591680894017</v>
      </c>
      <c r="EB128" s="35" t="n">
        <f aca="false">-In_CIT*(MAX(0,EB123)+EB126)</f>
        <v>-384.616746143775</v>
      </c>
      <c r="EC128" s="35" t="n">
        <f aca="false">-In_CIT*(MAX(0,EC123)+EC126)</f>
        <v>-388.890265545373</v>
      </c>
      <c r="ED128" s="35" t="n">
        <f aca="false">-In_CIT*(MAX(0,ED123)+ED126)</f>
        <v>-393.16378494697</v>
      </c>
      <c r="EE128" s="35" t="n">
        <f aca="false">-In_CIT*(MAX(0,EE123)+EE126)</f>
        <v>-391.624449480656</v>
      </c>
      <c r="EF128" s="35" t="n">
        <f aca="false">-In_CIT*(MAX(0,EF123)+EF126)</f>
        <v>-384.589860667834</v>
      </c>
      <c r="EG128" s="35" t="n">
        <f aca="false">-In_CIT*(MAX(0,EG123)+EG126)</f>
        <v>-388.86308134192</v>
      </c>
      <c r="EH128" s="35" t="n">
        <f aca="false">-In_CIT*(MAX(0,EH123)+EH126)</f>
        <v>-393.136302016008</v>
      </c>
      <c r="EI128" s="35" t="n">
        <f aca="false">-In_CIT*(MAX(0,EI123)+EI126)</f>
        <v>-391.5880528957</v>
      </c>
      <c r="EJ128" s="35" t="n">
        <f aca="false">-In_CIT*(MAX(0,EJ123)+EJ126)</f>
        <v>-384.493216794942</v>
      </c>
      <c r="EK128" s="35" t="n">
        <f aca="false">-In_CIT*(MAX(0,EK123)+EK126)</f>
        <v>-388.765363648219</v>
      </c>
      <c r="EL128" s="35" t="n">
        <f aca="false">-In_CIT*(MAX(0,EL123)+EL126)</f>
        <v>-393.037510501496</v>
      </c>
      <c r="EM128" s="35" t="n">
        <f aca="false">-In_CIT*(MAX(0,EM123)+EM126)</f>
        <v>-391.480336750375</v>
      </c>
      <c r="EN128" s="35" t="n">
        <f aca="false">-In_CIT*(MAX(0,EN123)+EN126)</f>
        <v>-388.594925328545</v>
      </c>
      <c r="EO128" s="35" t="n">
        <f aca="false">-In_CIT*(MAX(0,EO123)+EO126)</f>
        <v>-388.594925328545</v>
      </c>
      <c r="EP128" s="35" t="n">
        <f aca="false">-In_CIT*(MAX(0,EP123)+EP126)</f>
        <v>-392.865199233254</v>
      </c>
      <c r="EQ128" s="35" t="n">
        <f aca="false">-In_CIT*(MAX(0,EQ123)+EQ126)</f>
        <v>-391.299090885448</v>
      </c>
      <c r="ER128" s="35" t="n">
        <f aca="false">-In_CIT*(MAX(0,ER123)+ER126)</f>
        <v>-384.081945511414</v>
      </c>
      <c r="ES128" s="35" t="n">
        <f aca="false">-In_CIT*(MAX(0,ES123)+ES126)</f>
        <v>-388.349522683763</v>
      </c>
      <c r="ET128" s="35" t="n">
        <f aca="false">-In_CIT*(MAX(0,ET123)+ET126)</f>
        <v>-392.617099856112</v>
      </c>
    </row>
    <row r="130" customFormat="false" ht="15" hidden="false" customHeight="false" outlineLevel="0" collapsed="false">
      <c r="A130" s="9" t="s">
        <v>13</v>
      </c>
      <c r="B130" s="9"/>
      <c r="C130" s="9" t="s">
        <v>479</v>
      </c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</row>
    <row r="131" customFormat="false" ht="15" hidden="false" customHeight="false" outlineLevel="0" collapsed="false">
      <c r="C131" s="30" t="s">
        <v>45</v>
      </c>
      <c r="D131" s="11" t="s">
        <v>247</v>
      </c>
      <c r="E131" s="35" t="n">
        <f aca="false">In_RtB_Premium*In_MVA</f>
        <v>15000</v>
      </c>
    </row>
    <row r="132" customFormat="false" ht="15" hidden="false" customHeight="false" outlineLevel="0" collapsed="false">
      <c r="A132" s="55"/>
      <c r="B132" s="55"/>
      <c r="C132" s="55" t="s">
        <v>570</v>
      </c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55"/>
      <c r="BA132" s="55"/>
      <c r="BB132" s="55"/>
      <c r="BC132" s="55"/>
      <c r="BD132" s="55"/>
      <c r="BE132" s="55"/>
      <c r="BF132" s="55"/>
      <c r="BG132" s="55"/>
      <c r="BH132" s="55"/>
      <c r="BI132" s="55"/>
      <c r="BJ132" s="55"/>
      <c r="BK132" s="55"/>
      <c r="BL132" s="55"/>
      <c r="BM132" s="55"/>
      <c r="BN132" s="55"/>
      <c r="BO132" s="55"/>
      <c r="BP132" s="55"/>
      <c r="BQ132" s="55"/>
      <c r="BR132" s="55"/>
      <c r="BS132" s="55"/>
      <c r="BT132" s="55"/>
      <c r="BU132" s="55"/>
      <c r="BV132" s="55"/>
      <c r="BW132" s="55"/>
      <c r="BX132" s="55"/>
      <c r="BY132" s="55"/>
      <c r="BZ132" s="55"/>
      <c r="CA132" s="55"/>
      <c r="CB132" s="55"/>
      <c r="CC132" s="55"/>
      <c r="CD132" s="55"/>
      <c r="CE132" s="55"/>
      <c r="CF132" s="55"/>
      <c r="CG132" s="55"/>
      <c r="CH132" s="55"/>
      <c r="CI132" s="55"/>
      <c r="CJ132" s="55"/>
      <c r="CK132" s="55"/>
      <c r="CL132" s="55"/>
      <c r="CM132" s="55"/>
      <c r="CN132" s="55"/>
      <c r="CO132" s="55"/>
      <c r="CP132" s="55"/>
      <c r="CQ132" s="55"/>
      <c r="CR132" s="55"/>
      <c r="CS132" s="55"/>
      <c r="CT132" s="55"/>
      <c r="CU132" s="55"/>
      <c r="CV132" s="55"/>
      <c r="CW132" s="55"/>
      <c r="CX132" s="55"/>
      <c r="CY132" s="55"/>
      <c r="CZ132" s="55"/>
      <c r="DA132" s="55"/>
      <c r="DB132" s="55"/>
      <c r="DC132" s="55"/>
      <c r="DD132" s="55"/>
      <c r="DE132" s="55"/>
      <c r="DF132" s="55"/>
      <c r="DG132" s="55"/>
      <c r="DH132" s="55"/>
      <c r="DI132" s="55"/>
      <c r="DJ132" s="55"/>
      <c r="DK132" s="55"/>
      <c r="DL132" s="55"/>
      <c r="DM132" s="55"/>
      <c r="DN132" s="55"/>
      <c r="DO132" s="55"/>
      <c r="DP132" s="55"/>
      <c r="DQ132" s="55"/>
      <c r="DR132" s="55"/>
      <c r="DS132" s="55"/>
      <c r="DT132" s="55"/>
      <c r="DU132" s="55"/>
      <c r="DV132" s="55"/>
      <c r="DW132" s="55"/>
      <c r="DX132" s="55"/>
      <c r="DY132" s="55"/>
      <c r="DZ132" s="55"/>
      <c r="EA132" s="55"/>
      <c r="EB132" s="55"/>
      <c r="EC132" s="55"/>
      <c r="ED132" s="55"/>
      <c r="EE132" s="55"/>
      <c r="EF132" s="55"/>
      <c r="EG132" s="55"/>
      <c r="EH132" s="55"/>
      <c r="EI132" s="55"/>
      <c r="EJ132" s="55"/>
      <c r="EK132" s="55"/>
      <c r="EL132" s="55"/>
      <c r="EM132" s="55"/>
      <c r="EN132" s="55"/>
      <c r="EO132" s="55"/>
      <c r="EP132" s="55"/>
      <c r="EQ132" s="55"/>
      <c r="ER132" s="55"/>
      <c r="ES132" s="55"/>
      <c r="ET132" s="55"/>
    </row>
    <row r="133" customFormat="false" ht="15" hidden="false" customHeight="false" outlineLevel="0" collapsed="false">
      <c r="C133" s="0" t="s">
        <v>571</v>
      </c>
      <c r="D133" s="11" t="s">
        <v>247</v>
      </c>
      <c r="E133" s="33" t="n">
        <f aca="false">$E65+$E55</f>
        <v>21842.7086410959</v>
      </c>
      <c r="F133" s="33" t="n">
        <f aca="false">MAX(0,$E131+$E133)</f>
        <v>36842.7086410959</v>
      </c>
    </row>
    <row r="134" customFormat="false" ht="15" hidden="false" customHeight="false" outlineLevel="0" collapsed="false">
      <c r="C134" s="0" t="s">
        <v>572</v>
      </c>
      <c r="D134" s="11" t="s">
        <v>247</v>
      </c>
      <c r="E134" s="22" t="n">
        <f aca="false">In_Sale_Costs</f>
        <v>500</v>
      </c>
      <c r="F134" s="33" t="n">
        <f aca="false">MIN($E134,$F133)</f>
        <v>500</v>
      </c>
    </row>
    <row r="135" customFormat="false" ht="15" hidden="false" customHeight="false" outlineLevel="0" collapsed="false">
      <c r="C135" s="0" t="s">
        <v>573</v>
      </c>
      <c r="D135" s="11" t="s">
        <v>247</v>
      </c>
      <c r="E135" s="33" t="n">
        <f aca="false">$E65</f>
        <v>21412.2641205479</v>
      </c>
      <c r="F135" s="33" t="n">
        <f aca="false">MIN($E135,$F133-SUM($F134:$F134))</f>
        <v>21412.2641205479</v>
      </c>
    </row>
    <row r="136" customFormat="false" ht="15" hidden="false" customHeight="false" outlineLevel="0" collapsed="false">
      <c r="C136" s="0" t="s">
        <v>574</v>
      </c>
      <c r="D136" s="11" t="s">
        <v>247</v>
      </c>
      <c r="E136" s="33" t="n">
        <f aca="false">$E68</f>
        <v>1564.53664418093</v>
      </c>
      <c r="F136" s="33" t="n">
        <f aca="false">MIN($E136,$F133-SUM($F134:$F135))</f>
        <v>1564.53664418093</v>
      </c>
    </row>
    <row r="137" customFormat="false" ht="15" hidden="false" customHeight="false" outlineLevel="0" collapsed="false">
      <c r="C137" s="0" t="s">
        <v>575</v>
      </c>
      <c r="D137" s="11" t="s">
        <v>247</v>
      </c>
      <c r="E137" s="33" t="n">
        <f aca="false">$E55</f>
        <v>430.444520547945</v>
      </c>
      <c r="F137" s="33" t="n">
        <f aca="false">MIN($E137,$F133-SUM($F134:$F136))</f>
        <v>430.444520547945</v>
      </c>
    </row>
    <row r="138" customFormat="false" ht="15" hidden="false" customHeight="false" outlineLevel="0" collapsed="false">
      <c r="C138" s="0" t="s">
        <v>576</v>
      </c>
      <c r="D138" s="11" t="s">
        <v>247</v>
      </c>
      <c r="E138" s="33" t="n">
        <f aca="false">$E79</f>
        <v>3119.62451197093</v>
      </c>
      <c r="F138" s="33" t="n">
        <f aca="false">MIN($E138,$F133-SUM($F134:$F137))</f>
        <v>3119.62451197093</v>
      </c>
    </row>
    <row r="139" customFormat="false" ht="15" hidden="false" customHeight="false" outlineLevel="0" collapsed="false">
      <c r="C139" s="0" t="s">
        <v>577</v>
      </c>
      <c r="D139" s="11" t="s">
        <v>247</v>
      </c>
      <c r="E139" s="33" t="n">
        <f aca="false">$E73</f>
        <v>1120.48016110676</v>
      </c>
      <c r="F139" s="33" t="n">
        <f aca="false">MIN($E139,$F133-SUM($F134:$F138))</f>
        <v>1120.48016110676</v>
      </c>
    </row>
    <row r="140" customFormat="false" ht="15" hidden="false" customHeight="false" outlineLevel="0" collapsed="false">
      <c r="C140" s="0" t="s">
        <v>578</v>
      </c>
      <c r="D140" s="11" t="s">
        <v>247</v>
      </c>
      <c r="E140" s="33" t="n">
        <f aca="false">MIN(In_DSA_Cap,In_DSA_Rate*YEARFRAC(In_Signing_Date,$E12,0))*$E24</f>
        <v>1200.65972222222</v>
      </c>
      <c r="F140" s="33" t="n">
        <f aca="false">MIN($E140,$F133-SUM($F134:$F139))</f>
        <v>1200.65972222222</v>
      </c>
    </row>
    <row r="141" customFormat="false" ht="15" hidden="false" customHeight="false" outlineLevel="0" collapsed="false">
      <c r="C141" s="30" t="s">
        <v>161</v>
      </c>
      <c r="D141" s="11" t="s">
        <v>247</v>
      </c>
      <c r="F141" s="35" t="n">
        <f aca="false">MAX(0,$F133-SUM($E134:$E140))</f>
        <v>7494.69896051916</v>
      </c>
    </row>
    <row r="142" customFormat="false" ht="15" hidden="false" customHeight="false" outlineLevel="0" collapsed="false">
      <c r="C142" s="30" t="s">
        <v>579</v>
      </c>
      <c r="D142" s="11" t="s">
        <v>247</v>
      </c>
      <c r="F142" s="35" t="n">
        <f aca="false">SUM($F135:$F139)+In_FEP_Share*$F141</f>
        <v>32893.6392307179</v>
      </c>
    </row>
    <row r="143" customFormat="false" ht="15" hidden="false" customHeight="false" outlineLevel="0" collapsed="false">
      <c r="C143" s="0" t="s">
        <v>580</v>
      </c>
      <c r="D143" s="11" t="s">
        <v>247</v>
      </c>
      <c r="F143" s="33" t="n">
        <f aca="false">$F140+(1-In_FEP_Share)*$F141</f>
        <v>3449.06941037797</v>
      </c>
    </row>
    <row r="144" customFormat="false" ht="15" hidden="false" customHeight="false" outlineLevel="0" collapsed="false">
      <c r="A144" s="55"/>
      <c r="B144" s="55"/>
      <c r="C144" s="55" t="s">
        <v>581</v>
      </c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55"/>
      <c r="BI144" s="55"/>
      <c r="BJ144" s="55"/>
      <c r="BK144" s="55"/>
      <c r="BL144" s="55"/>
      <c r="BM144" s="55"/>
      <c r="BN144" s="55"/>
      <c r="BO144" s="55"/>
      <c r="BP144" s="55"/>
      <c r="BQ144" s="55"/>
      <c r="BR144" s="55"/>
      <c r="BS144" s="55"/>
      <c r="BT144" s="55"/>
      <c r="BU144" s="55"/>
      <c r="BV144" s="55"/>
      <c r="BW144" s="55"/>
      <c r="BX144" s="55"/>
      <c r="BY144" s="55"/>
      <c r="BZ144" s="55"/>
      <c r="CA144" s="55"/>
      <c r="CB144" s="55"/>
      <c r="CC144" s="55"/>
      <c r="CD144" s="55"/>
      <c r="CE144" s="55"/>
      <c r="CF144" s="55"/>
      <c r="CG144" s="55"/>
      <c r="CH144" s="55"/>
      <c r="CI144" s="55"/>
      <c r="CJ144" s="55"/>
      <c r="CK144" s="55"/>
      <c r="CL144" s="55"/>
      <c r="CM144" s="55"/>
      <c r="CN144" s="55"/>
      <c r="CO144" s="55"/>
      <c r="CP144" s="55"/>
      <c r="CQ144" s="55"/>
      <c r="CR144" s="55"/>
      <c r="CS144" s="55"/>
      <c r="CT144" s="55"/>
      <c r="CU144" s="55"/>
      <c r="CV144" s="55"/>
      <c r="CW144" s="55"/>
      <c r="CX144" s="55"/>
      <c r="CY144" s="55"/>
      <c r="CZ144" s="55"/>
      <c r="DA144" s="55"/>
      <c r="DB144" s="55"/>
      <c r="DC144" s="55"/>
      <c r="DD144" s="55"/>
      <c r="DE144" s="55"/>
      <c r="DF144" s="55"/>
      <c r="DG144" s="55"/>
      <c r="DH144" s="55"/>
      <c r="DI144" s="55"/>
      <c r="DJ144" s="55"/>
      <c r="DK144" s="55"/>
      <c r="DL144" s="55"/>
      <c r="DM144" s="55"/>
      <c r="DN144" s="55"/>
      <c r="DO144" s="55"/>
      <c r="DP144" s="55"/>
      <c r="DQ144" s="55"/>
      <c r="DR144" s="55"/>
      <c r="DS144" s="55"/>
      <c r="DT144" s="55"/>
      <c r="DU144" s="55"/>
      <c r="DV144" s="55"/>
      <c r="DW144" s="55"/>
      <c r="DX144" s="55"/>
      <c r="DY144" s="55"/>
      <c r="DZ144" s="55"/>
      <c r="EA144" s="55"/>
      <c r="EB144" s="55"/>
      <c r="EC144" s="55"/>
      <c r="ED144" s="55"/>
      <c r="EE144" s="55"/>
      <c r="EF144" s="55"/>
      <c r="EG144" s="55"/>
      <c r="EH144" s="55"/>
      <c r="EI144" s="55"/>
      <c r="EJ144" s="55"/>
      <c r="EK144" s="55"/>
      <c r="EL144" s="55"/>
      <c r="EM144" s="55"/>
      <c r="EN144" s="55"/>
      <c r="EO144" s="55"/>
      <c r="EP144" s="55"/>
      <c r="EQ144" s="55"/>
      <c r="ER144" s="55"/>
      <c r="ES144" s="55"/>
      <c r="ET144" s="55"/>
    </row>
    <row r="145" customFormat="false" ht="15" hidden="false" customHeight="false" outlineLevel="0" collapsed="false">
      <c r="C145" s="0" t="s">
        <v>582</v>
      </c>
      <c r="D145" s="11" t="s">
        <v>247</v>
      </c>
      <c r="E145" s="33" t="n">
        <f aca="false">$F135+$F137</f>
        <v>21842.7086410959</v>
      </c>
      <c r="F145" s="33" t="n">
        <f aca="false">In_FEP_Share*$F141</f>
        <v>5246.28927236341</v>
      </c>
    </row>
    <row r="146" customFormat="false" ht="15" hidden="false" customHeight="false" outlineLevel="0" collapsed="false">
      <c r="C146" s="0" t="s">
        <v>583</v>
      </c>
      <c r="D146" s="11" t="s">
        <v>247</v>
      </c>
      <c r="E146" s="33" t="n">
        <f aca="false">$E55-$E57-$E47</f>
        <v>-2697.39916950517</v>
      </c>
    </row>
    <row r="147" customFormat="false" ht="15" hidden="false" customHeight="false" outlineLevel="0" collapsed="false">
      <c r="C147" s="30" t="s">
        <v>584</v>
      </c>
      <c r="D147" s="11" t="s">
        <v>247</v>
      </c>
      <c r="E147" s="35" t="n">
        <f aca="false">$F136+$F138+$F139</f>
        <v>5804.64131725861</v>
      </c>
      <c r="F147" s="35" t="n">
        <f aca="false">$E147+$F145+$E146</f>
        <v>8353.53142011685</v>
      </c>
    </row>
    <row r="148" customFormat="false" ht="15" hidden="false" customHeight="false" outlineLevel="0" collapsed="false">
      <c r="C148" s="0" t="s">
        <v>585</v>
      </c>
      <c r="D148" s="11" t="s">
        <v>247</v>
      </c>
      <c r="E148" s="33" t="n">
        <f aca="false">(1-In_FEP_Share)*$F141</f>
        <v>2248.40968815575</v>
      </c>
    </row>
    <row r="149" customFormat="false" ht="15" hidden="false" customHeight="false" outlineLevel="0" collapsed="false">
      <c r="C149" s="0" t="s">
        <v>586</v>
      </c>
      <c r="D149" s="11" t="s">
        <v>27</v>
      </c>
      <c r="E149" s="32" t="n">
        <f aca="false">$F147/$E24</f>
        <v>55.3214001332242</v>
      </c>
      <c r="F149" s="32" t="n">
        <f aca="false">$F143/$E24</f>
        <v>22.8415192740263</v>
      </c>
    </row>
    <row r="150" customFormat="false" ht="15" hidden="false" customHeight="false" outlineLevel="0" collapsed="false">
      <c r="A150" s="55"/>
      <c r="B150" s="55"/>
      <c r="C150" s="55" t="s">
        <v>587</v>
      </c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  <c r="BJ150" s="55"/>
      <c r="BK150" s="55"/>
      <c r="BL150" s="55"/>
      <c r="BM150" s="55"/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5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55"/>
      <c r="CO150" s="55"/>
      <c r="CP150" s="55"/>
      <c r="CQ150" s="55"/>
      <c r="CR150" s="55"/>
      <c r="CS150" s="55"/>
      <c r="CT150" s="55"/>
      <c r="CU150" s="55"/>
      <c r="CV150" s="55"/>
      <c r="CW150" s="55"/>
      <c r="CX150" s="55"/>
      <c r="CY150" s="55"/>
      <c r="CZ150" s="55"/>
      <c r="DA150" s="55"/>
      <c r="DB150" s="55"/>
      <c r="DC150" s="55"/>
      <c r="DD150" s="55"/>
      <c r="DE150" s="55"/>
      <c r="DF150" s="55"/>
      <c r="DG150" s="55"/>
      <c r="DH150" s="55"/>
      <c r="DI150" s="55"/>
      <c r="DJ150" s="55"/>
      <c r="DK150" s="55"/>
      <c r="DL150" s="55"/>
      <c r="DM150" s="55"/>
      <c r="DN150" s="55"/>
      <c r="DO150" s="55"/>
      <c r="DP150" s="55"/>
      <c r="DQ150" s="55"/>
      <c r="DR150" s="55"/>
      <c r="DS150" s="55"/>
      <c r="DT150" s="55"/>
      <c r="DU150" s="55"/>
      <c r="DV150" s="55"/>
      <c r="DW150" s="55"/>
      <c r="DX150" s="55"/>
      <c r="DY150" s="55"/>
      <c r="DZ150" s="55"/>
      <c r="EA150" s="55"/>
      <c r="EB150" s="55"/>
      <c r="EC150" s="55"/>
      <c r="ED150" s="55"/>
      <c r="EE150" s="55"/>
      <c r="EF150" s="55"/>
      <c r="EG150" s="55"/>
      <c r="EH150" s="55"/>
      <c r="EI150" s="55"/>
      <c r="EJ150" s="55"/>
      <c r="EK150" s="55"/>
      <c r="EL150" s="55"/>
      <c r="EM150" s="55"/>
      <c r="EN150" s="55"/>
      <c r="EO150" s="55"/>
      <c r="EP150" s="55"/>
      <c r="EQ150" s="55"/>
      <c r="ER150" s="55"/>
      <c r="ES150" s="55"/>
      <c r="ET150" s="55"/>
    </row>
    <row r="151" customFormat="false" ht="15" hidden="false" customHeight="false" outlineLevel="0" collapsed="false">
      <c r="C151" s="0" t="s">
        <v>588</v>
      </c>
      <c r="D151" s="11" t="s">
        <v>247</v>
      </c>
      <c r="E151" s="33" t="n">
        <f aca="false">-In_CIT*MAX(0,$I151-In_FEP_Share*$F141)</f>
        <v>-128.61785929143</v>
      </c>
      <c r="I151" s="33" t="n">
        <f aca="false">SUM(J151:ET151)</f>
        <v>6675.37659782375</v>
      </c>
      <c r="J151" s="33" t="n">
        <f aca="false">(J60+J53)*(J$4&lt;=$E12)+$F142*J12</f>
        <v>-400</v>
      </c>
      <c r="K151" s="33" t="n">
        <f aca="false">(K60+K53)*(K$4&lt;=$E12)+$F142*K12</f>
        <v>-1437.78053818728</v>
      </c>
      <c r="L151" s="33" t="n">
        <f aca="false">(L60+L53)*(L$4&lt;=$E12)+$F142*L12</f>
        <v>-691.910911990993</v>
      </c>
      <c r="M151" s="33" t="n">
        <f aca="false">(M60+M53)*(M$4&lt;=$E12)+$F142*M12</f>
        <v>-148.451634452993</v>
      </c>
      <c r="N151" s="33" t="n">
        <f aca="false">(N60+N53)*(N$4&lt;=$E12)+$F142*N12</f>
        <v>-149.601261024582</v>
      </c>
      <c r="O151" s="33" t="n">
        <f aca="false">(O60+O53)*(O$4&lt;=$E12)+$F142*O12</f>
        <v>-290.127288421843</v>
      </c>
      <c r="P151" s="33" t="n">
        <f aca="false">(P60+P53)*(P$4&lt;=$E12)+$F142*P12</f>
        <v>-1394.65781281475</v>
      </c>
      <c r="Q151" s="33" t="n">
        <f aca="false">(Q60+Q53)*(Q$4&lt;=$E12)+$F142*Q12</f>
        <v>-109.225607055733</v>
      </c>
      <c r="R151" s="33" t="n">
        <f aca="false">(R60+R53)*(R$4&lt;=$E12)+$F142*R12</f>
        <v>-269.857154566657</v>
      </c>
      <c r="S151" s="33" t="n">
        <f aca="false">(S60+S53)*(S$4&lt;=$E12)+$F142*S12</f>
        <v>-422.991783283459</v>
      </c>
      <c r="T151" s="33" t="n">
        <f aca="false">(T60+T53)*(T$4&lt;=$E12)+$F142*T12</f>
        <v>-20587.5113339088</v>
      </c>
      <c r="U151" s="33" t="n">
        <f aca="false">(U60+U53)*(U$4&lt;=$E12)+$F142*U12</f>
        <v>-104.616018014637</v>
      </c>
      <c r="V151" s="33" t="n">
        <f aca="false">(V60+V53)*(V$4&lt;=$E12)+$F142*V12</f>
        <v>-105.765644586226</v>
      </c>
      <c r="W151" s="33" t="n">
        <f aca="false">(W60+W53)*(W$4&lt;=$E12)+$F142*W12</f>
        <v>32787.8735861317</v>
      </c>
      <c r="X151" s="33" t="n">
        <f aca="false">(X60+X53)*(X$4&lt;=$E12)+$F142*X12</f>
        <v>0</v>
      </c>
      <c r="Y151" s="33" t="n">
        <f aca="false">(Y60+Y53)*(Y$4&lt;=$E12)+$F142*Y12</f>
        <v>0</v>
      </c>
      <c r="Z151" s="33" t="n">
        <f aca="false">(Z60+Z53)*(Z$4&lt;=$E12)+$F142*Z12</f>
        <v>0</v>
      </c>
      <c r="AA151" s="33" t="n">
        <f aca="false">(AA60+AA53)*(AA$4&lt;=$E12)+$F142*AA12</f>
        <v>0</v>
      </c>
      <c r="AB151" s="33" t="n">
        <f aca="false">(AB60+AB53)*(AB$4&lt;=$E12)+$F142*AB12</f>
        <v>0</v>
      </c>
      <c r="AC151" s="33" t="n">
        <f aca="false">(AC60+AC53)*(AC$4&lt;=$E12)+$F142*AC12</f>
        <v>0</v>
      </c>
      <c r="AD151" s="33" t="n">
        <f aca="false">(AD60+AD53)*(AD$4&lt;=$E12)+$F142*AD12</f>
        <v>0</v>
      </c>
      <c r="AE151" s="33" t="n">
        <f aca="false">(AE60+AE53)*(AE$4&lt;=$E12)+$F142*AE12</f>
        <v>0</v>
      </c>
      <c r="AF151" s="33" t="n">
        <f aca="false">(AF60+AF53)*(AF$4&lt;=$E12)+$F142*AF12</f>
        <v>0</v>
      </c>
      <c r="AG151" s="33" t="n">
        <f aca="false">(AG60+AG53)*(AG$4&lt;=$E12)+$F142*AG12</f>
        <v>0</v>
      </c>
      <c r="AH151" s="33" t="n">
        <f aca="false">(AH60+AH53)*(AH$4&lt;=$E12)+$F142*AH12</f>
        <v>0</v>
      </c>
      <c r="AI151" s="33" t="n">
        <f aca="false">(AI60+AI53)*(AI$4&lt;=$E12)+$F142*AI12</f>
        <v>0</v>
      </c>
      <c r="AJ151" s="33" t="n">
        <f aca="false">(AJ60+AJ53)*(AJ$4&lt;=$E12)+$F142*AJ12</f>
        <v>0</v>
      </c>
      <c r="AK151" s="33" t="n">
        <f aca="false">(AK60+AK53)*(AK$4&lt;=$E12)+$F142*AK12</f>
        <v>0</v>
      </c>
      <c r="AL151" s="33" t="n">
        <f aca="false">(AL60+AL53)*(AL$4&lt;=$E12)+$F142*AL12</f>
        <v>0</v>
      </c>
      <c r="AM151" s="33" t="n">
        <f aca="false">(AM60+AM53)*(AM$4&lt;=$E12)+$F142*AM12</f>
        <v>0</v>
      </c>
      <c r="AN151" s="33" t="n">
        <f aca="false">(AN60+AN53)*(AN$4&lt;=$E12)+$F142*AN12</f>
        <v>0</v>
      </c>
      <c r="AO151" s="33" t="n">
        <f aca="false">(AO60+AO53)*(AO$4&lt;=$E12)+$F142*AO12</f>
        <v>0</v>
      </c>
      <c r="AP151" s="33" t="n">
        <f aca="false">(AP60+AP53)*(AP$4&lt;=$E12)+$F142*AP12</f>
        <v>0</v>
      </c>
      <c r="AQ151" s="33" t="n">
        <f aca="false">(AQ60+AQ53)*(AQ$4&lt;=$E12)+$F142*AQ12</f>
        <v>0</v>
      </c>
      <c r="AR151" s="33" t="n">
        <f aca="false">(AR60+AR53)*(AR$4&lt;=$E12)+$F142*AR12</f>
        <v>0</v>
      </c>
      <c r="AS151" s="33" t="n">
        <f aca="false">(AS60+AS53)*(AS$4&lt;=$E12)+$F142*AS12</f>
        <v>0</v>
      </c>
      <c r="AT151" s="33" t="n">
        <f aca="false">(AT60+AT53)*(AT$4&lt;=$E12)+$F142*AT12</f>
        <v>0</v>
      </c>
      <c r="AU151" s="33" t="n">
        <f aca="false">(AU60+AU53)*(AU$4&lt;=$E12)+$F142*AU12</f>
        <v>0</v>
      </c>
      <c r="AV151" s="33" t="n">
        <f aca="false">(AV60+AV53)*(AV$4&lt;=$E12)+$F142*AV12</f>
        <v>0</v>
      </c>
      <c r="AW151" s="33" t="n">
        <f aca="false">(AW60+AW53)*(AW$4&lt;=$E12)+$F142*AW12</f>
        <v>0</v>
      </c>
      <c r="AX151" s="33" t="n">
        <f aca="false">(AX60+AX53)*(AX$4&lt;=$E12)+$F142*AX12</f>
        <v>0</v>
      </c>
      <c r="AY151" s="33" t="n">
        <f aca="false">(AY60+AY53)*(AY$4&lt;=$E12)+$F142*AY12</f>
        <v>0</v>
      </c>
      <c r="AZ151" s="33" t="n">
        <f aca="false">(AZ60+AZ53)*(AZ$4&lt;=$E12)+$F142*AZ12</f>
        <v>0</v>
      </c>
      <c r="BA151" s="33" t="n">
        <f aca="false">(BA60+BA53)*(BA$4&lt;=$E12)+$F142*BA12</f>
        <v>0</v>
      </c>
      <c r="BB151" s="33" t="n">
        <f aca="false">(BB60+BB53)*(BB$4&lt;=$E12)+$F142*BB12</f>
        <v>0</v>
      </c>
      <c r="BC151" s="33" t="n">
        <f aca="false">(BC60+BC53)*(BC$4&lt;=$E12)+$F142*BC12</f>
        <v>0</v>
      </c>
      <c r="BD151" s="33" t="n">
        <f aca="false">(BD60+BD53)*(BD$4&lt;=$E12)+$F142*BD12</f>
        <v>0</v>
      </c>
      <c r="BE151" s="33" t="n">
        <f aca="false">(BE60+BE53)*(BE$4&lt;=$E12)+$F142*BE12</f>
        <v>0</v>
      </c>
      <c r="BF151" s="33" t="n">
        <f aca="false">(BF60+BF53)*(BF$4&lt;=$E12)+$F142*BF12</f>
        <v>0</v>
      </c>
      <c r="BG151" s="33" t="n">
        <f aca="false">(BG60+BG53)*(BG$4&lt;=$E12)+$F142*BG12</f>
        <v>0</v>
      </c>
      <c r="BH151" s="33" t="n">
        <f aca="false">(BH60+BH53)*(BH$4&lt;=$E12)+$F142*BH12</f>
        <v>0</v>
      </c>
      <c r="BI151" s="33" t="n">
        <f aca="false">(BI60+BI53)*(BI$4&lt;=$E12)+$F142*BI12</f>
        <v>0</v>
      </c>
      <c r="BJ151" s="33" t="n">
        <f aca="false">(BJ60+BJ53)*(BJ$4&lt;=$E12)+$F142*BJ12</f>
        <v>0</v>
      </c>
      <c r="BK151" s="33" t="n">
        <f aca="false">(BK60+BK53)*(BK$4&lt;=$E12)+$F142*BK12</f>
        <v>0</v>
      </c>
      <c r="BL151" s="33" t="n">
        <f aca="false">(BL60+BL53)*(BL$4&lt;=$E12)+$F142*BL12</f>
        <v>0</v>
      </c>
      <c r="BM151" s="33" t="n">
        <f aca="false">(BM60+BM53)*(BM$4&lt;=$E12)+$F142*BM12</f>
        <v>0</v>
      </c>
      <c r="BN151" s="33" t="n">
        <f aca="false">(BN60+BN53)*(BN$4&lt;=$E12)+$F142*BN12</f>
        <v>0</v>
      </c>
      <c r="BO151" s="33" t="n">
        <f aca="false">(BO60+BO53)*(BO$4&lt;=$E12)+$F142*BO12</f>
        <v>0</v>
      </c>
      <c r="BP151" s="33" t="n">
        <f aca="false">(BP60+BP53)*(BP$4&lt;=$E12)+$F142*BP12</f>
        <v>0</v>
      </c>
      <c r="BQ151" s="33" t="n">
        <f aca="false">(BQ60+BQ53)*(BQ$4&lt;=$E12)+$F142*BQ12</f>
        <v>0</v>
      </c>
      <c r="BR151" s="33" t="n">
        <f aca="false">(BR60+BR53)*(BR$4&lt;=$E12)+$F142*BR12</f>
        <v>0</v>
      </c>
      <c r="BS151" s="33" t="n">
        <f aca="false">(BS60+BS53)*(BS$4&lt;=$E12)+$F142*BS12</f>
        <v>0</v>
      </c>
      <c r="BT151" s="33" t="n">
        <f aca="false">(BT60+BT53)*(BT$4&lt;=$E12)+$F142*BT12</f>
        <v>0</v>
      </c>
      <c r="BU151" s="33" t="n">
        <f aca="false">(BU60+BU53)*(BU$4&lt;=$E12)+$F142*BU12</f>
        <v>0</v>
      </c>
      <c r="BV151" s="33" t="n">
        <f aca="false">(BV60+BV53)*(BV$4&lt;=$E12)+$F142*BV12</f>
        <v>0</v>
      </c>
      <c r="BW151" s="33" t="n">
        <f aca="false">(BW60+BW53)*(BW$4&lt;=$E12)+$F142*BW12</f>
        <v>0</v>
      </c>
      <c r="BX151" s="33" t="n">
        <f aca="false">(BX60+BX53)*(BX$4&lt;=$E12)+$F142*BX12</f>
        <v>0</v>
      </c>
      <c r="BY151" s="33" t="n">
        <f aca="false">(BY60+BY53)*(BY$4&lt;=$E12)+$F142*BY12</f>
        <v>0</v>
      </c>
      <c r="BZ151" s="33" t="n">
        <f aca="false">(BZ60+BZ53)*(BZ$4&lt;=$E12)+$F142*BZ12</f>
        <v>0</v>
      </c>
      <c r="CA151" s="33" t="n">
        <f aca="false">(CA60+CA53)*(CA$4&lt;=$E12)+$F142*CA12</f>
        <v>0</v>
      </c>
      <c r="CB151" s="33" t="n">
        <f aca="false">(CB60+CB53)*(CB$4&lt;=$E12)+$F142*CB12</f>
        <v>0</v>
      </c>
      <c r="CC151" s="33" t="n">
        <f aca="false">(CC60+CC53)*(CC$4&lt;=$E12)+$F142*CC12</f>
        <v>0</v>
      </c>
      <c r="CD151" s="33" t="n">
        <f aca="false">(CD60+CD53)*(CD$4&lt;=$E12)+$F142*CD12</f>
        <v>0</v>
      </c>
      <c r="CE151" s="33" t="n">
        <f aca="false">(CE60+CE53)*(CE$4&lt;=$E12)+$F142*CE12</f>
        <v>0</v>
      </c>
      <c r="CF151" s="33" t="n">
        <f aca="false">(CF60+CF53)*(CF$4&lt;=$E12)+$F142*CF12</f>
        <v>0</v>
      </c>
      <c r="CG151" s="33" t="n">
        <f aca="false">(CG60+CG53)*(CG$4&lt;=$E12)+$F142*CG12</f>
        <v>0</v>
      </c>
      <c r="CH151" s="33" t="n">
        <f aca="false">(CH60+CH53)*(CH$4&lt;=$E12)+$F142*CH12</f>
        <v>0</v>
      </c>
      <c r="CI151" s="33" t="n">
        <f aca="false">(CI60+CI53)*(CI$4&lt;=$E12)+$F142*CI12</f>
        <v>0</v>
      </c>
      <c r="CJ151" s="33" t="n">
        <f aca="false">(CJ60+CJ53)*(CJ$4&lt;=$E12)+$F142*CJ12</f>
        <v>0</v>
      </c>
      <c r="CK151" s="33" t="n">
        <f aca="false">(CK60+CK53)*(CK$4&lt;=$E12)+$F142*CK12</f>
        <v>0</v>
      </c>
      <c r="CL151" s="33" t="n">
        <f aca="false">(CL60+CL53)*(CL$4&lt;=$E12)+$F142*CL12</f>
        <v>0</v>
      </c>
      <c r="CM151" s="33" t="n">
        <f aca="false">(CM60+CM53)*(CM$4&lt;=$E12)+$F142*CM12</f>
        <v>0</v>
      </c>
      <c r="CN151" s="33" t="n">
        <f aca="false">(CN60+CN53)*(CN$4&lt;=$E12)+$F142*CN12</f>
        <v>0</v>
      </c>
      <c r="CO151" s="33" t="n">
        <f aca="false">(CO60+CO53)*(CO$4&lt;=$E12)+$F142*CO12</f>
        <v>0</v>
      </c>
      <c r="CP151" s="33" t="n">
        <f aca="false">(CP60+CP53)*(CP$4&lt;=$E12)+$F142*CP12</f>
        <v>0</v>
      </c>
      <c r="CQ151" s="33" t="n">
        <f aca="false">(CQ60+CQ53)*(CQ$4&lt;=$E12)+$F142*CQ12</f>
        <v>0</v>
      </c>
      <c r="CR151" s="33" t="n">
        <f aca="false">(CR60+CR53)*(CR$4&lt;=$E12)+$F142*CR12</f>
        <v>0</v>
      </c>
      <c r="CS151" s="33" t="n">
        <f aca="false">(CS60+CS53)*(CS$4&lt;=$E12)+$F142*CS12</f>
        <v>0</v>
      </c>
      <c r="CT151" s="33" t="n">
        <f aca="false">(CT60+CT53)*(CT$4&lt;=$E12)+$F142*CT12</f>
        <v>0</v>
      </c>
      <c r="CU151" s="33" t="n">
        <f aca="false">(CU60+CU53)*(CU$4&lt;=$E12)+$F142*CU12</f>
        <v>0</v>
      </c>
      <c r="CV151" s="33" t="n">
        <f aca="false">(CV60+CV53)*(CV$4&lt;=$E12)+$F142*CV12</f>
        <v>0</v>
      </c>
      <c r="CW151" s="33" t="n">
        <f aca="false">(CW60+CW53)*(CW$4&lt;=$E12)+$F142*CW12</f>
        <v>0</v>
      </c>
      <c r="CX151" s="33" t="n">
        <f aca="false">(CX60+CX53)*(CX$4&lt;=$E12)+$F142*CX12</f>
        <v>0</v>
      </c>
      <c r="CY151" s="33" t="n">
        <f aca="false">(CY60+CY53)*(CY$4&lt;=$E12)+$F142*CY12</f>
        <v>0</v>
      </c>
      <c r="CZ151" s="33" t="n">
        <f aca="false">(CZ60+CZ53)*(CZ$4&lt;=$E12)+$F142*CZ12</f>
        <v>0</v>
      </c>
      <c r="DA151" s="33" t="n">
        <f aca="false">(DA60+DA53)*(DA$4&lt;=$E12)+$F142*DA12</f>
        <v>0</v>
      </c>
      <c r="DB151" s="33" t="n">
        <f aca="false">(DB60+DB53)*(DB$4&lt;=$E12)+$F142*DB12</f>
        <v>0</v>
      </c>
      <c r="DC151" s="33" t="n">
        <f aca="false">(DC60+DC53)*(DC$4&lt;=$E12)+$F142*DC12</f>
        <v>0</v>
      </c>
      <c r="DD151" s="33" t="n">
        <f aca="false">(DD60+DD53)*(DD$4&lt;=$E12)+$F142*DD12</f>
        <v>0</v>
      </c>
      <c r="DE151" s="33" t="n">
        <f aca="false">(DE60+DE53)*(DE$4&lt;=$E12)+$F142*DE12</f>
        <v>0</v>
      </c>
      <c r="DF151" s="33" t="n">
        <f aca="false">(DF60+DF53)*(DF$4&lt;=$E12)+$F142*DF12</f>
        <v>0</v>
      </c>
      <c r="DG151" s="33" t="n">
        <f aca="false">(DG60+DG53)*(DG$4&lt;=$E12)+$F142*DG12</f>
        <v>0</v>
      </c>
      <c r="DH151" s="33" t="n">
        <f aca="false">(DH60+DH53)*(DH$4&lt;=$E12)+$F142*DH12</f>
        <v>0</v>
      </c>
      <c r="DI151" s="33" t="n">
        <f aca="false">(DI60+DI53)*(DI$4&lt;=$E12)+$F142*DI12</f>
        <v>0</v>
      </c>
      <c r="DJ151" s="33" t="n">
        <f aca="false">(DJ60+DJ53)*(DJ$4&lt;=$E12)+$F142*DJ12</f>
        <v>0</v>
      </c>
      <c r="DK151" s="33" t="n">
        <f aca="false">(DK60+DK53)*(DK$4&lt;=$E12)+$F142*DK12</f>
        <v>0</v>
      </c>
      <c r="DL151" s="33" t="n">
        <f aca="false">(DL60+DL53)*(DL$4&lt;=$E12)+$F142*DL12</f>
        <v>0</v>
      </c>
      <c r="DM151" s="33" t="n">
        <f aca="false">(DM60+DM53)*(DM$4&lt;=$E12)+$F142*DM12</f>
        <v>0</v>
      </c>
      <c r="DN151" s="33" t="n">
        <f aca="false">(DN60+DN53)*(DN$4&lt;=$E12)+$F142*DN12</f>
        <v>0</v>
      </c>
      <c r="DO151" s="33" t="n">
        <f aca="false">(DO60+DO53)*(DO$4&lt;=$E12)+$F142*DO12</f>
        <v>0</v>
      </c>
      <c r="DP151" s="33" t="n">
        <f aca="false">(DP60+DP53)*(DP$4&lt;=$E12)+$F142*DP12</f>
        <v>0</v>
      </c>
      <c r="DQ151" s="33" t="n">
        <f aca="false">(DQ60+DQ53)*(DQ$4&lt;=$E12)+$F142*DQ12</f>
        <v>0</v>
      </c>
      <c r="DR151" s="33" t="n">
        <f aca="false">(DR60+DR53)*(DR$4&lt;=$E12)+$F142*DR12</f>
        <v>0</v>
      </c>
      <c r="DS151" s="33" t="n">
        <f aca="false">(DS60+DS53)*(DS$4&lt;=$E12)+$F142*DS12</f>
        <v>0</v>
      </c>
      <c r="DT151" s="33" t="n">
        <f aca="false">(DT60+DT53)*(DT$4&lt;=$E12)+$F142*DT12</f>
        <v>0</v>
      </c>
      <c r="DU151" s="33" t="n">
        <f aca="false">(DU60+DU53)*(DU$4&lt;=$E12)+$F142*DU12</f>
        <v>0</v>
      </c>
      <c r="DV151" s="33" t="n">
        <f aca="false">(DV60+DV53)*(DV$4&lt;=$E12)+$F142*DV12</f>
        <v>0</v>
      </c>
      <c r="DW151" s="33" t="n">
        <f aca="false">(DW60+DW53)*(DW$4&lt;=$E12)+$F142*DW12</f>
        <v>0</v>
      </c>
      <c r="DX151" s="33" t="n">
        <f aca="false">(DX60+DX53)*(DX$4&lt;=$E12)+$F142*DX12</f>
        <v>0</v>
      </c>
      <c r="DY151" s="33" t="n">
        <f aca="false">(DY60+DY53)*(DY$4&lt;=$E12)+$F142*DY12</f>
        <v>0</v>
      </c>
      <c r="DZ151" s="33" t="n">
        <f aca="false">(DZ60+DZ53)*(DZ$4&lt;=$E12)+$F142*DZ12</f>
        <v>0</v>
      </c>
      <c r="EA151" s="33" t="n">
        <f aca="false">(EA60+EA53)*(EA$4&lt;=$E12)+$F142*EA12</f>
        <v>0</v>
      </c>
      <c r="EB151" s="33" t="n">
        <f aca="false">(EB60+EB53)*(EB$4&lt;=$E12)+$F142*EB12</f>
        <v>0</v>
      </c>
      <c r="EC151" s="33" t="n">
        <f aca="false">(EC60+EC53)*(EC$4&lt;=$E12)+$F142*EC12</f>
        <v>0</v>
      </c>
      <c r="ED151" s="33" t="n">
        <f aca="false">(ED60+ED53)*(ED$4&lt;=$E12)+$F142*ED12</f>
        <v>0</v>
      </c>
      <c r="EE151" s="33" t="n">
        <f aca="false">(EE60+EE53)*(EE$4&lt;=$E12)+$F142*EE12</f>
        <v>0</v>
      </c>
      <c r="EF151" s="33" t="n">
        <f aca="false">(EF60+EF53)*(EF$4&lt;=$E12)+$F142*EF12</f>
        <v>0</v>
      </c>
      <c r="EG151" s="33" t="n">
        <f aca="false">(EG60+EG53)*(EG$4&lt;=$E12)+$F142*EG12</f>
        <v>0</v>
      </c>
      <c r="EH151" s="33" t="n">
        <f aca="false">(EH60+EH53)*(EH$4&lt;=$E12)+$F142*EH12</f>
        <v>0</v>
      </c>
      <c r="EI151" s="33" t="n">
        <f aca="false">(EI60+EI53)*(EI$4&lt;=$E12)+$F142*EI12</f>
        <v>0</v>
      </c>
      <c r="EJ151" s="33" t="n">
        <f aca="false">(EJ60+EJ53)*(EJ$4&lt;=$E12)+$F142*EJ12</f>
        <v>0</v>
      </c>
      <c r="EK151" s="33" t="n">
        <f aca="false">(EK60+EK53)*(EK$4&lt;=$E12)+$F142*EK12</f>
        <v>0</v>
      </c>
      <c r="EL151" s="33" t="n">
        <f aca="false">(EL60+EL53)*(EL$4&lt;=$E12)+$F142*EL12</f>
        <v>0</v>
      </c>
      <c r="EM151" s="33" t="n">
        <f aca="false">(EM60+EM53)*(EM$4&lt;=$E12)+$F142*EM12</f>
        <v>0</v>
      </c>
      <c r="EN151" s="33" t="n">
        <f aca="false">(EN60+EN53)*(EN$4&lt;=$E12)+$F142*EN12</f>
        <v>0</v>
      </c>
      <c r="EO151" s="33" t="n">
        <f aca="false">(EO60+EO53)*(EO$4&lt;=$E12)+$F142*EO12</f>
        <v>0</v>
      </c>
      <c r="EP151" s="33" t="n">
        <f aca="false">(EP60+EP53)*(EP$4&lt;=$E12)+$F142*EP12</f>
        <v>0</v>
      </c>
      <c r="EQ151" s="33" t="n">
        <f aca="false">(EQ60+EQ53)*(EQ$4&lt;=$E12)+$F142*EQ12</f>
        <v>0</v>
      </c>
      <c r="ER151" s="33" t="n">
        <f aca="false">(ER60+ER53)*(ER$4&lt;=$E12)+$F142*ER12</f>
        <v>0</v>
      </c>
      <c r="ES151" s="33" t="n">
        <f aca="false">(ES60+ES53)*(ES$4&lt;=$E12)+$F142*ES12</f>
        <v>0</v>
      </c>
      <c r="ET151" s="33" t="n">
        <f aca="false">(ET60+ET53)*(ET$4&lt;=$E12)+$F142*ET12</f>
        <v>0</v>
      </c>
    </row>
    <row r="152" customFormat="false" ht="15" hidden="false" customHeight="false" outlineLevel="0" collapsed="false">
      <c r="C152" s="30" t="s">
        <v>589</v>
      </c>
      <c r="D152" s="11" t="s">
        <v>247</v>
      </c>
      <c r="I152" s="35" t="n">
        <f aca="false">SUM(J152:ET152)</f>
        <v>6546.75873853232</v>
      </c>
      <c r="J152" s="35" t="n">
        <f aca="false">J151+$E151*J12</f>
        <v>-400</v>
      </c>
      <c r="K152" s="35" t="n">
        <f aca="false">K151+$E151*K12</f>
        <v>-1437.78053818728</v>
      </c>
      <c r="L152" s="35" t="n">
        <f aca="false">L151+$E151*L12</f>
        <v>-691.910911990993</v>
      </c>
      <c r="M152" s="35" t="n">
        <f aca="false">M151+$E151*M12</f>
        <v>-148.451634452993</v>
      </c>
      <c r="N152" s="35" t="n">
        <f aca="false">N151+$E151*N12</f>
        <v>-149.601261024582</v>
      </c>
      <c r="O152" s="35" t="n">
        <f aca="false">O151+$E151*O12</f>
        <v>-290.127288421843</v>
      </c>
      <c r="P152" s="35" t="n">
        <f aca="false">P151+$E151*P12</f>
        <v>-1394.65781281475</v>
      </c>
      <c r="Q152" s="35" t="n">
        <f aca="false">Q151+$E151*Q12</f>
        <v>-109.225607055733</v>
      </c>
      <c r="R152" s="35" t="n">
        <f aca="false">R151+$E151*R12</f>
        <v>-269.857154566657</v>
      </c>
      <c r="S152" s="35" t="n">
        <f aca="false">S151+$E151*S12</f>
        <v>-422.991783283459</v>
      </c>
      <c r="T152" s="35" t="n">
        <f aca="false">T151+$E151*T12</f>
        <v>-20587.5113339088</v>
      </c>
      <c r="U152" s="35" t="n">
        <f aca="false">U151+$E151*U12</f>
        <v>-104.616018014637</v>
      </c>
      <c r="V152" s="35" t="n">
        <f aca="false">V151+$E151*V12</f>
        <v>-105.765644586226</v>
      </c>
      <c r="W152" s="35" t="n">
        <f aca="false">W151+$E151*W12</f>
        <v>32659.2557268403</v>
      </c>
      <c r="X152" s="35" t="n">
        <f aca="false">X151+$E151*X12</f>
        <v>0</v>
      </c>
      <c r="Y152" s="35" t="n">
        <f aca="false">Y151+$E151*Y12</f>
        <v>0</v>
      </c>
      <c r="Z152" s="35" t="n">
        <f aca="false">Z151+$E151*Z12</f>
        <v>0</v>
      </c>
      <c r="AA152" s="35" t="n">
        <f aca="false">AA151+$E151*AA12</f>
        <v>0</v>
      </c>
      <c r="AB152" s="35" t="n">
        <f aca="false">AB151+$E151*AB12</f>
        <v>0</v>
      </c>
      <c r="AC152" s="35" t="n">
        <f aca="false">AC151+$E151*AC12</f>
        <v>0</v>
      </c>
      <c r="AD152" s="35" t="n">
        <f aca="false">AD151+$E151*AD12</f>
        <v>0</v>
      </c>
      <c r="AE152" s="35" t="n">
        <f aca="false">AE151+$E151*AE12</f>
        <v>0</v>
      </c>
      <c r="AF152" s="35" t="n">
        <f aca="false">AF151+$E151*AF12</f>
        <v>0</v>
      </c>
      <c r="AG152" s="35" t="n">
        <f aca="false">AG151+$E151*AG12</f>
        <v>0</v>
      </c>
      <c r="AH152" s="35" t="n">
        <f aca="false">AH151+$E151*AH12</f>
        <v>0</v>
      </c>
      <c r="AI152" s="35" t="n">
        <f aca="false">AI151+$E151*AI12</f>
        <v>0</v>
      </c>
      <c r="AJ152" s="35" t="n">
        <f aca="false">AJ151+$E151*AJ12</f>
        <v>0</v>
      </c>
      <c r="AK152" s="35" t="n">
        <f aca="false">AK151+$E151*AK12</f>
        <v>0</v>
      </c>
      <c r="AL152" s="35" t="n">
        <f aca="false">AL151+$E151*AL12</f>
        <v>0</v>
      </c>
      <c r="AM152" s="35" t="n">
        <f aca="false">AM151+$E151*AM12</f>
        <v>0</v>
      </c>
      <c r="AN152" s="35" t="n">
        <f aca="false">AN151+$E151*AN12</f>
        <v>0</v>
      </c>
      <c r="AO152" s="35" t="n">
        <f aca="false">AO151+$E151*AO12</f>
        <v>0</v>
      </c>
      <c r="AP152" s="35" t="n">
        <f aca="false">AP151+$E151*AP12</f>
        <v>0</v>
      </c>
      <c r="AQ152" s="35" t="n">
        <f aca="false">AQ151+$E151*AQ12</f>
        <v>0</v>
      </c>
      <c r="AR152" s="35" t="n">
        <f aca="false">AR151+$E151*AR12</f>
        <v>0</v>
      </c>
      <c r="AS152" s="35" t="n">
        <f aca="false">AS151+$E151*AS12</f>
        <v>0</v>
      </c>
      <c r="AT152" s="35" t="n">
        <f aca="false">AT151+$E151*AT12</f>
        <v>0</v>
      </c>
      <c r="AU152" s="35" t="n">
        <f aca="false">AU151+$E151*AU12</f>
        <v>0</v>
      </c>
      <c r="AV152" s="35" t="n">
        <f aca="false">AV151+$E151*AV12</f>
        <v>0</v>
      </c>
      <c r="AW152" s="35" t="n">
        <f aca="false">AW151+$E151*AW12</f>
        <v>0</v>
      </c>
      <c r="AX152" s="35" t="n">
        <f aca="false">AX151+$E151*AX12</f>
        <v>0</v>
      </c>
      <c r="AY152" s="35" t="n">
        <f aca="false">AY151+$E151*AY12</f>
        <v>0</v>
      </c>
      <c r="AZ152" s="35" t="n">
        <f aca="false">AZ151+$E151*AZ12</f>
        <v>0</v>
      </c>
      <c r="BA152" s="35" t="n">
        <f aca="false">BA151+$E151*BA12</f>
        <v>0</v>
      </c>
      <c r="BB152" s="35" t="n">
        <f aca="false">BB151+$E151*BB12</f>
        <v>0</v>
      </c>
      <c r="BC152" s="35" t="n">
        <f aca="false">BC151+$E151*BC12</f>
        <v>0</v>
      </c>
      <c r="BD152" s="35" t="n">
        <f aca="false">BD151+$E151*BD12</f>
        <v>0</v>
      </c>
      <c r="BE152" s="35" t="n">
        <f aca="false">BE151+$E151*BE12</f>
        <v>0</v>
      </c>
      <c r="BF152" s="35" t="n">
        <f aca="false">BF151+$E151*BF12</f>
        <v>0</v>
      </c>
      <c r="BG152" s="35" t="n">
        <f aca="false">BG151+$E151*BG12</f>
        <v>0</v>
      </c>
      <c r="BH152" s="35" t="n">
        <f aca="false">BH151+$E151*BH12</f>
        <v>0</v>
      </c>
      <c r="BI152" s="35" t="n">
        <f aca="false">BI151+$E151*BI12</f>
        <v>0</v>
      </c>
      <c r="BJ152" s="35" t="n">
        <f aca="false">BJ151+$E151*BJ12</f>
        <v>0</v>
      </c>
      <c r="BK152" s="35" t="n">
        <f aca="false">BK151+$E151*BK12</f>
        <v>0</v>
      </c>
      <c r="BL152" s="35" t="n">
        <f aca="false">BL151+$E151*BL12</f>
        <v>0</v>
      </c>
      <c r="BM152" s="35" t="n">
        <f aca="false">BM151+$E151*BM12</f>
        <v>0</v>
      </c>
      <c r="BN152" s="35" t="n">
        <f aca="false">BN151+$E151*BN12</f>
        <v>0</v>
      </c>
      <c r="BO152" s="35" t="n">
        <f aca="false">BO151+$E151*BO12</f>
        <v>0</v>
      </c>
      <c r="BP152" s="35" t="n">
        <f aca="false">BP151+$E151*BP12</f>
        <v>0</v>
      </c>
      <c r="BQ152" s="35" t="n">
        <f aca="false">BQ151+$E151*BQ12</f>
        <v>0</v>
      </c>
      <c r="BR152" s="35" t="n">
        <f aca="false">BR151+$E151*BR12</f>
        <v>0</v>
      </c>
      <c r="BS152" s="35" t="n">
        <f aca="false">BS151+$E151*BS12</f>
        <v>0</v>
      </c>
      <c r="BT152" s="35" t="n">
        <f aca="false">BT151+$E151*BT12</f>
        <v>0</v>
      </c>
      <c r="BU152" s="35" t="n">
        <f aca="false">BU151+$E151*BU12</f>
        <v>0</v>
      </c>
      <c r="BV152" s="35" t="n">
        <f aca="false">BV151+$E151*BV12</f>
        <v>0</v>
      </c>
      <c r="BW152" s="35" t="n">
        <f aca="false">BW151+$E151*BW12</f>
        <v>0</v>
      </c>
      <c r="BX152" s="35" t="n">
        <f aca="false">BX151+$E151*BX12</f>
        <v>0</v>
      </c>
      <c r="BY152" s="35" t="n">
        <f aca="false">BY151+$E151*BY12</f>
        <v>0</v>
      </c>
      <c r="BZ152" s="35" t="n">
        <f aca="false">BZ151+$E151*BZ12</f>
        <v>0</v>
      </c>
      <c r="CA152" s="35" t="n">
        <f aca="false">CA151+$E151*CA12</f>
        <v>0</v>
      </c>
      <c r="CB152" s="35" t="n">
        <f aca="false">CB151+$E151*CB12</f>
        <v>0</v>
      </c>
      <c r="CC152" s="35" t="n">
        <f aca="false">CC151+$E151*CC12</f>
        <v>0</v>
      </c>
      <c r="CD152" s="35" t="n">
        <f aca="false">CD151+$E151*CD12</f>
        <v>0</v>
      </c>
      <c r="CE152" s="35" t="n">
        <f aca="false">CE151+$E151*CE12</f>
        <v>0</v>
      </c>
      <c r="CF152" s="35" t="n">
        <f aca="false">CF151+$E151*CF12</f>
        <v>0</v>
      </c>
      <c r="CG152" s="35" t="n">
        <f aca="false">CG151+$E151*CG12</f>
        <v>0</v>
      </c>
      <c r="CH152" s="35" t="n">
        <f aca="false">CH151+$E151*CH12</f>
        <v>0</v>
      </c>
      <c r="CI152" s="35" t="n">
        <f aca="false">CI151+$E151*CI12</f>
        <v>0</v>
      </c>
      <c r="CJ152" s="35" t="n">
        <f aca="false">CJ151+$E151*CJ12</f>
        <v>0</v>
      </c>
      <c r="CK152" s="35" t="n">
        <f aca="false">CK151+$E151*CK12</f>
        <v>0</v>
      </c>
      <c r="CL152" s="35" t="n">
        <f aca="false">CL151+$E151*CL12</f>
        <v>0</v>
      </c>
      <c r="CM152" s="35" t="n">
        <f aca="false">CM151+$E151*CM12</f>
        <v>0</v>
      </c>
      <c r="CN152" s="35" t="n">
        <f aca="false">CN151+$E151*CN12</f>
        <v>0</v>
      </c>
      <c r="CO152" s="35" t="n">
        <f aca="false">CO151+$E151*CO12</f>
        <v>0</v>
      </c>
      <c r="CP152" s="35" t="n">
        <f aca="false">CP151+$E151*CP12</f>
        <v>0</v>
      </c>
      <c r="CQ152" s="35" t="n">
        <f aca="false">CQ151+$E151*CQ12</f>
        <v>0</v>
      </c>
      <c r="CR152" s="35" t="n">
        <f aca="false">CR151+$E151*CR12</f>
        <v>0</v>
      </c>
      <c r="CS152" s="35" t="n">
        <f aca="false">CS151+$E151*CS12</f>
        <v>0</v>
      </c>
      <c r="CT152" s="35" t="n">
        <f aca="false">CT151+$E151*CT12</f>
        <v>0</v>
      </c>
      <c r="CU152" s="35" t="n">
        <f aca="false">CU151+$E151*CU12</f>
        <v>0</v>
      </c>
      <c r="CV152" s="35" t="n">
        <f aca="false">CV151+$E151*CV12</f>
        <v>0</v>
      </c>
      <c r="CW152" s="35" t="n">
        <f aca="false">CW151+$E151*CW12</f>
        <v>0</v>
      </c>
      <c r="CX152" s="35" t="n">
        <f aca="false">CX151+$E151*CX12</f>
        <v>0</v>
      </c>
      <c r="CY152" s="35" t="n">
        <f aca="false">CY151+$E151*CY12</f>
        <v>0</v>
      </c>
      <c r="CZ152" s="35" t="n">
        <f aca="false">CZ151+$E151*CZ12</f>
        <v>0</v>
      </c>
      <c r="DA152" s="35" t="n">
        <f aca="false">DA151+$E151*DA12</f>
        <v>0</v>
      </c>
      <c r="DB152" s="35" t="n">
        <f aca="false">DB151+$E151*DB12</f>
        <v>0</v>
      </c>
      <c r="DC152" s="35" t="n">
        <f aca="false">DC151+$E151*DC12</f>
        <v>0</v>
      </c>
      <c r="DD152" s="35" t="n">
        <f aca="false">DD151+$E151*DD12</f>
        <v>0</v>
      </c>
      <c r="DE152" s="35" t="n">
        <f aca="false">DE151+$E151*DE12</f>
        <v>0</v>
      </c>
      <c r="DF152" s="35" t="n">
        <f aca="false">DF151+$E151*DF12</f>
        <v>0</v>
      </c>
      <c r="DG152" s="35" t="n">
        <f aca="false">DG151+$E151*DG12</f>
        <v>0</v>
      </c>
      <c r="DH152" s="35" t="n">
        <f aca="false">DH151+$E151*DH12</f>
        <v>0</v>
      </c>
      <c r="DI152" s="35" t="n">
        <f aca="false">DI151+$E151*DI12</f>
        <v>0</v>
      </c>
      <c r="DJ152" s="35" t="n">
        <f aca="false">DJ151+$E151*DJ12</f>
        <v>0</v>
      </c>
      <c r="DK152" s="35" t="n">
        <f aca="false">DK151+$E151*DK12</f>
        <v>0</v>
      </c>
      <c r="DL152" s="35" t="n">
        <f aca="false">DL151+$E151*DL12</f>
        <v>0</v>
      </c>
      <c r="DM152" s="35" t="n">
        <f aca="false">DM151+$E151*DM12</f>
        <v>0</v>
      </c>
      <c r="DN152" s="35" t="n">
        <f aca="false">DN151+$E151*DN12</f>
        <v>0</v>
      </c>
      <c r="DO152" s="35" t="n">
        <f aca="false">DO151+$E151*DO12</f>
        <v>0</v>
      </c>
      <c r="DP152" s="35" t="n">
        <f aca="false">DP151+$E151*DP12</f>
        <v>0</v>
      </c>
      <c r="DQ152" s="35" t="n">
        <f aca="false">DQ151+$E151*DQ12</f>
        <v>0</v>
      </c>
      <c r="DR152" s="35" t="n">
        <f aca="false">DR151+$E151*DR12</f>
        <v>0</v>
      </c>
      <c r="DS152" s="35" t="n">
        <f aca="false">DS151+$E151*DS12</f>
        <v>0</v>
      </c>
      <c r="DT152" s="35" t="n">
        <f aca="false">DT151+$E151*DT12</f>
        <v>0</v>
      </c>
      <c r="DU152" s="35" t="n">
        <f aca="false">DU151+$E151*DU12</f>
        <v>0</v>
      </c>
      <c r="DV152" s="35" t="n">
        <f aca="false">DV151+$E151*DV12</f>
        <v>0</v>
      </c>
      <c r="DW152" s="35" t="n">
        <f aca="false">DW151+$E151*DW12</f>
        <v>0</v>
      </c>
      <c r="DX152" s="35" t="n">
        <f aca="false">DX151+$E151*DX12</f>
        <v>0</v>
      </c>
      <c r="DY152" s="35" t="n">
        <f aca="false">DY151+$E151*DY12</f>
        <v>0</v>
      </c>
      <c r="DZ152" s="35" t="n">
        <f aca="false">DZ151+$E151*DZ12</f>
        <v>0</v>
      </c>
      <c r="EA152" s="35" t="n">
        <f aca="false">EA151+$E151*EA12</f>
        <v>0</v>
      </c>
      <c r="EB152" s="35" t="n">
        <f aca="false">EB151+$E151*EB12</f>
        <v>0</v>
      </c>
      <c r="EC152" s="35" t="n">
        <f aca="false">EC151+$E151*EC12</f>
        <v>0</v>
      </c>
      <c r="ED152" s="35" t="n">
        <f aca="false">ED151+$E151*ED12</f>
        <v>0</v>
      </c>
      <c r="EE152" s="35" t="n">
        <f aca="false">EE151+$E151*EE12</f>
        <v>0</v>
      </c>
      <c r="EF152" s="35" t="n">
        <f aca="false">EF151+$E151*EF12</f>
        <v>0</v>
      </c>
      <c r="EG152" s="35" t="n">
        <f aca="false">EG151+$E151*EG12</f>
        <v>0</v>
      </c>
      <c r="EH152" s="35" t="n">
        <f aca="false">EH151+$E151*EH12</f>
        <v>0</v>
      </c>
      <c r="EI152" s="35" t="n">
        <f aca="false">EI151+$E151*EI12</f>
        <v>0</v>
      </c>
      <c r="EJ152" s="35" t="n">
        <f aca="false">EJ151+$E151*EJ12</f>
        <v>0</v>
      </c>
      <c r="EK152" s="35" t="n">
        <f aca="false">EK151+$E151*EK12</f>
        <v>0</v>
      </c>
      <c r="EL152" s="35" t="n">
        <f aca="false">EL151+$E151*EL12</f>
        <v>0</v>
      </c>
      <c r="EM152" s="35" t="n">
        <f aca="false">EM151+$E151*EM12</f>
        <v>0</v>
      </c>
      <c r="EN152" s="35" t="n">
        <f aca="false">EN151+$E151*EN12</f>
        <v>0</v>
      </c>
      <c r="EO152" s="35" t="n">
        <f aca="false">EO151+$E151*EO12</f>
        <v>0</v>
      </c>
      <c r="EP152" s="35" t="n">
        <f aca="false">EP151+$E151*EP12</f>
        <v>0</v>
      </c>
      <c r="EQ152" s="35" t="n">
        <f aca="false">EQ151+$E151*EQ12</f>
        <v>0</v>
      </c>
      <c r="ER152" s="35" t="n">
        <f aca="false">ER151+$E151*ER12</f>
        <v>0</v>
      </c>
      <c r="ES152" s="35" t="n">
        <f aca="false">ES151+$E151*ES12</f>
        <v>0</v>
      </c>
      <c r="ET152" s="35" t="n">
        <f aca="false">ET151+$E151*ET12</f>
        <v>0</v>
      </c>
    </row>
    <row r="153" customFormat="false" ht="15" hidden="false" customHeight="false" outlineLevel="0" collapsed="false">
      <c r="C153" s="0" t="s">
        <v>167</v>
      </c>
      <c r="D153" s="11" t="s">
        <v>247</v>
      </c>
      <c r="E153" s="33" t="n">
        <f aca="false">$E59+$I46+$E151</f>
        <v>-1806.77268158454</v>
      </c>
    </row>
    <row r="154" customFormat="false" ht="15" hidden="false" customHeight="false" outlineLevel="0" collapsed="false">
      <c r="C154" s="30" t="s">
        <v>75</v>
      </c>
      <c r="D154" s="11" t="s">
        <v>35</v>
      </c>
      <c r="E154" s="57" t="n">
        <f aca="false">IFERROR(XIRR($J152:$ET152,$J$4:$ET$4),"n/a")</f>
        <v>0.221510760619134</v>
      </c>
    </row>
    <row r="155" customFormat="false" ht="15" hidden="false" customHeight="false" outlineLevel="0" collapsed="false">
      <c r="C155" s="30" t="s">
        <v>590</v>
      </c>
      <c r="D155" s="11" t="s">
        <v>13</v>
      </c>
      <c r="E155" s="58" t="n">
        <f aca="false">($F142+$E151)/($F142-$I151)</f>
        <v>1.24970223352323</v>
      </c>
    </row>
    <row r="156" customFormat="false" ht="15" hidden="false" customHeight="false" outlineLevel="0" collapsed="false">
      <c r="C156" s="30" t="s">
        <v>169</v>
      </c>
      <c r="D156" s="11" t="s">
        <v>247</v>
      </c>
      <c r="E156" s="35" t="n">
        <f aca="false">XNPV(In_Discount_Rate,$J152:$ET152,$J$4:$ET$4)</f>
        <v>3328.54248477583</v>
      </c>
    </row>
    <row r="158" customFormat="false" ht="15" hidden="false" customHeight="false" outlineLevel="0" collapsed="false">
      <c r="A158" s="9" t="s">
        <v>13</v>
      </c>
      <c r="B158" s="9"/>
      <c r="C158" s="9" t="s">
        <v>170</v>
      </c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</row>
    <row r="159" customFormat="false" ht="15" hidden="false" customHeight="false" outlineLevel="0" collapsed="false">
      <c r="C159" s="0" t="s">
        <v>591</v>
      </c>
      <c r="D159" s="11" t="s">
        <v>247</v>
      </c>
      <c r="I159" s="33" t="n">
        <f aca="false">SUM(J159:ET159)</f>
        <v>-69999.7210564962</v>
      </c>
      <c r="J159" s="33" t="n">
        <f aca="false">(J60+J105+J98+J119)*(J$4&lt;=In_COD)</f>
        <v>-400</v>
      </c>
      <c r="K159" s="33" t="n">
        <f aca="false">(K60+K105+K98+K119)*(K$4&lt;=In_COD)</f>
        <v>-1437.78053818728</v>
      </c>
      <c r="L159" s="33" t="n">
        <f aca="false">(L60+L105+L98+L119)*(L$4&lt;=In_COD)</f>
        <v>-691.910911990993</v>
      </c>
      <c r="M159" s="33" t="n">
        <f aca="false">(M60+M105+M98+M119)*(M$4&lt;=In_COD)</f>
        <v>-148.451634452993</v>
      </c>
      <c r="N159" s="33" t="n">
        <f aca="false">(N60+N105+N98+N119)*(N$4&lt;=In_COD)</f>
        <v>-149.601261024582</v>
      </c>
      <c r="O159" s="33" t="n">
        <f aca="false">(O60+O105+O98+O119)*(O$4&lt;=In_COD)</f>
        <v>-290.127288421843</v>
      </c>
      <c r="P159" s="33" t="n">
        <f aca="false">(P60+P105+P98+P119)*(P$4&lt;=In_COD)</f>
        <v>-1394.65781281475</v>
      </c>
      <c r="Q159" s="33" t="n">
        <f aca="false">(Q60+Q105+Q98+Q119)*(Q$4&lt;=In_COD)</f>
        <v>-109.225607055733</v>
      </c>
      <c r="R159" s="33" t="n">
        <f aca="false">(R60+R105+R98+R119)*(R$4&lt;=In_COD)</f>
        <v>-269.857154566657</v>
      </c>
      <c r="S159" s="33" t="n">
        <f aca="false">(S60+S105+S98+S119)*(S$4&lt;=In_COD)</f>
        <v>-422.991783283459</v>
      </c>
      <c r="T159" s="33" t="n">
        <f aca="false">(T60+T105+T98+T119)*(T$4&lt;=In_COD)</f>
        <v>-20587.5113339088</v>
      </c>
      <c r="U159" s="33" t="n">
        <f aca="false">(U60+U105+U98+U119)*(U$4&lt;=In_COD)</f>
        <v>-104.616018014637</v>
      </c>
      <c r="V159" s="33" t="n">
        <f aca="false">(V60+V105+V98+V119)*(V$4&lt;=In_COD)</f>
        <v>-105.765644586226</v>
      </c>
      <c r="W159" s="33" t="n">
        <f aca="false">(W60+W105+W98+W119)*(W$4&lt;=In_COD)</f>
        <v>-6367.1847682608</v>
      </c>
      <c r="X159" s="33" t="n">
        <f aca="false">(X60+X105+X98+X119)*(X$4&lt;=In_COD)</f>
        <v>-4661.61083132373</v>
      </c>
      <c r="Y159" s="33" t="n">
        <f aca="false">(Y60+Y105+Y98+Y119)*(Y$4&lt;=In_COD)</f>
        <v>-4688.46029001015</v>
      </c>
      <c r="Z159" s="33" t="n">
        <f aca="false">(Z60+Z105+Z98+Z119)*(Z$4&lt;=In_COD)</f>
        <v>-4714.48125405884</v>
      </c>
      <c r="AA159" s="33" t="n">
        <f aca="false">(AA60+AA105+AA98+AA119)*(AA$4&lt;=In_COD)</f>
        <v>-4688.7004503316</v>
      </c>
      <c r="AB159" s="33" t="n">
        <f aca="false">(AB60+AB105+AB98+AB119)*(AB$4&lt;=In_COD)</f>
        <v>-4563.44624851397</v>
      </c>
      <c r="AC159" s="33" t="n">
        <f aca="false">(AC60+AC105+AC98+AC119)*(AC$4&lt;=In_COD)</f>
        <v>-4589.20498961362</v>
      </c>
      <c r="AD159" s="33" t="n">
        <f aca="false">(AD60+AD105+AD98+AD119)*(AD$4&lt;=In_COD)</f>
        <v>-9614.13523607553</v>
      </c>
      <c r="AE159" s="33" t="n">
        <f aca="false">(AE60+AE105+AE98+AE119)*(AE$4&lt;=In_COD)</f>
        <v>0</v>
      </c>
      <c r="AF159" s="33" t="n">
        <f aca="false">(AF60+AF105+AF98+AF119)*(AF$4&lt;=In_COD)</f>
        <v>0</v>
      </c>
      <c r="AG159" s="33" t="n">
        <f aca="false">(AG60+AG105+AG98+AG119)*(AG$4&lt;=In_COD)</f>
        <v>0</v>
      </c>
      <c r="AH159" s="33" t="n">
        <f aca="false">(AH60+AH105+AH98+AH119)*(AH$4&lt;=In_COD)</f>
        <v>0</v>
      </c>
      <c r="AI159" s="33" t="n">
        <f aca="false">(AI60+AI105+AI98+AI119)*(AI$4&lt;=In_COD)</f>
        <v>0</v>
      </c>
      <c r="AJ159" s="33" t="n">
        <f aca="false">(AJ60+AJ105+AJ98+AJ119)*(AJ$4&lt;=In_COD)</f>
        <v>0</v>
      </c>
      <c r="AK159" s="33" t="n">
        <f aca="false">(AK60+AK105+AK98+AK119)*(AK$4&lt;=In_COD)</f>
        <v>0</v>
      </c>
      <c r="AL159" s="33" t="n">
        <f aca="false">(AL60+AL105+AL98+AL119)*(AL$4&lt;=In_COD)</f>
        <v>0</v>
      </c>
      <c r="AM159" s="33" t="n">
        <f aca="false">(AM60+AM105+AM98+AM119)*(AM$4&lt;=In_COD)</f>
        <v>0</v>
      </c>
      <c r="AN159" s="33" t="n">
        <f aca="false">(AN60+AN105+AN98+AN119)*(AN$4&lt;=In_COD)</f>
        <v>0</v>
      </c>
      <c r="AO159" s="33" t="n">
        <f aca="false">(AO60+AO105+AO98+AO119)*(AO$4&lt;=In_COD)</f>
        <v>0</v>
      </c>
      <c r="AP159" s="33" t="n">
        <f aca="false">(AP60+AP105+AP98+AP119)*(AP$4&lt;=In_COD)</f>
        <v>0</v>
      </c>
      <c r="AQ159" s="33" t="n">
        <f aca="false">(AQ60+AQ105+AQ98+AQ119)*(AQ$4&lt;=In_COD)</f>
        <v>0</v>
      </c>
      <c r="AR159" s="33" t="n">
        <f aca="false">(AR60+AR105+AR98+AR119)*(AR$4&lt;=In_COD)</f>
        <v>0</v>
      </c>
      <c r="AS159" s="33" t="n">
        <f aca="false">(AS60+AS105+AS98+AS119)*(AS$4&lt;=In_COD)</f>
        <v>0</v>
      </c>
      <c r="AT159" s="33" t="n">
        <f aca="false">(AT60+AT105+AT98+AT119)*(AT$4&lt;=In_COD)</f>
        <v>0</v>
      </c>
      <c r="AU159" s="33" t="n">
        <f aca="false">(AU60+AU105+AU98+AU119)*(AU$4&lt;=In_COD)</f>
        <v>0</v>
      </c>
      <c r="AV159" s="33" t="n">
        <f aca="false">(AV60+AV105+AV98+AV119)*(AV$4&lt;=In_COD)</f>
        <v>0</v>
      </c>
      <c r="AW159" s="33" t="n">
        <f aca="false">(AW60+AW105+AW98+AW119)*(AW$4&lt;=In_COD)</f>
        <v>0</v>
      </c>
      <c r="AX159" s="33" t="n">
        <f aca="false">(AX60+AX105+AX98+AX119)*(AX$4&lt;=In_COD)</f>
        <v>0</v>
      </c>
      <c r="AY159" s="33" t="n">
        <f aca="false">(AY60+AY105+AY98+AY119)*(AY$4&lt;=In_COD)</f>
        <v>0</v>
      </c>
      <c r="AZ159" s="33" t="n">
        <f aca="false">(AZ60+AZ105+AZ98+AZ119)*(AZ$4&lt;=In_COD)</f>
        <v>0</v>
      </c>
      <c r="BA159" s="33" t="n">
        <f aca="false">(BA60+BA105+BA98+BA119)*(BA$4&lt;=In_COD)</f>
        <v>0</v>
      </c>
      <c r="BB159" s="33" t="n">
        <f aca="false">(BB60+BB105+BB98+BB119)*(BB$4&lt;=In_COD)</f>
        <v>0</v>
      </c>
      <c r="BC159" s="33" t="n">
        <f aca="false">(BC60+BC105+BC98+BC119)*(BC$4&lt;=In_COD)</f>
        <v>0</v>
      </c>
      <c r="BD159" s="33" t="n">
        <f aca="false">(BD60+BD105+BD98+BD119)*(BD$4&lt;=In_COD)</f>
        <v>0</v>
      </c>
      <c r="BE159" s="33" t="n">
        <f aca="false">(BE60+BE105+BE98+BE119)*(BE$4&lt;=In_COD)</f>
        <v>0</v>
      </c>
      <c r="BF159" s="33" t="n">
        <f aca="false">(BF60+BF105+BF98+BF119)*(BF$4&lt;=In_COD)</f>
        <v>0</v>
      </c>
      <c r="BG159" s="33" t="n">
        <f aca="false">(BG60+BG105+BG98+BG119)*(BG$4&lt;=In_COD)</f>
        <v>0</v>
      </c>
      <c r="BH159" s="33" t="n">
        <f aca="false">(BH60+BH105+BH98+BH119)*(BH$4&lt;=In_COD)</f>
        <v>0</v>
      </c>
      <c r="BI159" s="33" t="n">
        <f aca="false">(BI60+BI105+BI98+BI119)*(BI$4&lt;=In_COD)</f>
        <v>0</v>
      </c>
      <c r="BJ159" s="33" t="n">
        <f aca="false">(BJ60+BJ105+BJ98+BJ119)*(BJ$4&lt;=In_COD)</f>
        <v>0</v>
      </c>
      <c r="BK159" s="33" t="n">
        <f aca="false">(BK60+BK105+BK98+BK119)*(BK$4&lt;=In_COD)</f>
        <v>0</v>
      </c>
      <c r="BL159" s="33" t="n">
        <f aca="false">(BL60+BL105+BL98+BL119)*(BL$4&lt;=In_COD)</f>
        <v>0</v>
      </c>
      <c r="BM159" s="33" t="n">
        <f aca="false">(BM60+BM105+BM98+BM119)*(BM$4&lt;=In_COD)</f>
        <v>0</v>
      </c>
      <c r="BN159" s="33" t="n">
        <f aca="false">(BN60+BN105+BN98+BN119)*(BN$4&lt;=In_COD)</f>
        <v>0</v>
      </c>
      <c r="BO159" s="33" t="n">
        <f aca="false">(BO60+BO105+BO98+BO119)*(BO$4&lt;=In_COD)</f>
        <v>0</v>
      </c>
      <c r="BP159" s="33" t="n">
        <f aca="false">(BP60+BP105+BP98+BP119)*(BP$4&lt;=In_COD)</f>
        <v>0</v>
      </c>
      <c r="BQ159" s="33" t="n">
        <f aca="false">(BQ60+BQ105+BQ98+BQ119)*(BQ$4&lt;=In_COD)</f>
        <v>0</v>
      </c>
      <c r="BR159" s="33" t="n">
        <f aca="false">(BR60+BR105+BR98+BR119)*(BR$4&lt;=In_COD)</f>
        <v>0</v>
      </c>
      <c r="BS159" s="33" t="n">
        <f aca="false">(BS60+BS105+BS98+BS119)*(BS$4&lt;=In_COD)</f>
        <v>0</v>
      </c>
      <c r="BT159" s="33" t="n">
        <f aca="false">(BT60+BT105+BT98+BT119)*(BT$4&lt;=In_COD)</f>
        <v>0</v>
      </c>
      <c r="BU159" s="33" t="n">
        <f aca="false">(BU60+BU105+BU98+BU119)*(BU$4&lt;=In_COD)</f>
        <v>0</v>
      </c>
      <c r="BV159" s="33" t="n">
        <f aca="false">(BV60+BV105+BV98+BV119)*(BV$4&lt;=In_COD)</f>
        <v>0</v>
      </c>
      <c r="BW159" s="33" t="n">
        <f aca="false">(BW60+BW105+BW98+BW119)*(BW$4&lt;=In_COD)</f>
        <v>0</v>
      </c>
      <c r="BX159" s="33" t="n">
        <f aca="false">(BX60+BX105+BX98+BX119)*(BX$4&lt;=In_COD)</f>
        <v>0</v>
      </c>
      <c r="BY159" s="33" t="n">
        <f aca="false">(BY60+BY105+BY98+BY119)*(BY$4&lt;=In_COD)</f>
        <v>0</v>
      </c>
      <c r="BZ159" s="33" t="n">
        <f aca="false">(BZ60+BZ105+BZ98+BZ119)*(BZ$4&lt;=In_COD)</f>
        <v>0</v>
      </c>
      <c r="CA159" s="33" t="n">
        <f aca="false">(CA60+CA105+CA98+CA119)*(CA$4&lt;=In_COD)</f>
        <v>0</v>
      </c>
      <c r="CB159" s="33" t="n">
        <f aca="false">(CB60+CB105+CB98+CB119)*(CB$4&lt;=In_COD)</f>
        <v>0</v>
      </c>
      <c r="CC159" s="33" t="n">
        <f aca="false">(CC60+CC105+CC98+CC119)*(CC$4&lt;=In_COD)</f>
        <v>0</v>
      </c>
      <c r="CD159" s="33" t="n">
        <f aca="false">(CD60+CD105+CD98+CD119)*(CD$4&lt;=In_COD)</f>
        <v>0</v>
      </c>
      <c r="CE159" s="33" t="n">
        <f aca="false">(CE60+CE105+CE98+CE119)*(CE$4&lt;=In_COD)</f>
        <v>0</v>
      </c>
      <c r="CF159" s="33" t="n">
        <f aca="false">(CF60+CF105+CF98+CF119)*(CF$4&lt;=In_COD)</f>
        <v>0</v>
      </c>
      <c r="CG159" s="33" t="n">
        <f aca="false">(CG60+CG105+CG98+CG119)*(CG$4&lt;=In_COD)</f>
        <v>0</v>
      </c>
      <c r="CH159" s="33" t="n">
        <f aca="false">(CH60+CH105+CH98+CH119)*(CH$4&lt;=In_COD)</f>
        <v>0</v>
      </c>
      <c r="CI159" s="33" t="n">
        <f aca="false">(CI60+CI105+CI98+CI119)*(CI$4&lt;=In_COD)</f>
        <v>0</v>
      </c>
      <c r="CJ159" s="33" t="n">
        <f aca="false">(CJ60+CJ105+CJ98+CJ119)*(CJ$4&lt;=In_COD)</f>
        <v>0</v>
      </c>
      <c r="CK159" s="33" t="n">
        <f aca="false">(CK60+CK105+CK98+CK119)*(CK$4&lt;=In_COD)</f>
        <v>0</v>
      </c>
      <c r="CL159" s="33" t="n">
        <f aca="false">(CL60+CL105+CL98+CL119)*(CL$4&lt;=In_COD)</f>
        <v>0</v>
      </c>
      <c r="CM159" s="33" t="n">
        <f aca="false">(CM60+CM105+CM98+CM119)*(CM$4&lt;=In_COD)</f>
        <v>0</v>
      </c>
      <c r="CN159" s="33" t="n">
        <f aca="false">(CN60+CN105+CN98+CN119)*(CN$4&lt;=In_COD)</f>
        <v>0</v>
      </c>
      <c r="CO159" s="33" t="n">
        <f aca="false">(CO60+CO105+CO98+CO119)*(CO$4&lt;=In_COD)</f>
        <v>0</v>
      </c>
      <c r="CP159" s="33" t="n">
        <f aca="false">(CP60+CP105+CP98+CP119)*(CP$4&lt;=In_COD)</f>
        <v>0</v>
      </c>
      <c r="CQ159" s="33" t="n">
        <f aca="false">(CQ60+CQ105+CQ98+CQ119)*(CQ$4&lt;=In_COD)</f>
        <v>0</v>
      </c>
      <c r="CR159" s="33" t="n">
        <f aca="false">(CR60+CR105+CR98+CR119)*(CR$4&lt;=In_COD)</f>
        <v>0</v>
      </c>
      <c r="CS159" s="33" t="n">
        <f aca="false">(CS60+CS105+CS98+CS119)*(CS$4&lt;=In_COD)</f>
        <v>0</v>
      </c>
      <c r="CT159" s="33" t="n">
        <f aca="false">(CT60+CT105+CT98+CT119)*(CT$4&lt;=In_COD)</f>
        <v>0</v>
      </c>
      <c r="CU159" s="33" t="n">
        <f aca="false">(CU60+CU105+CU98+CU119)*(CU$4&lt;=In_COD)</f>
        <v>0</v>
      </c>
      <c r="CV159" s="33" t="n">
        <f aca="false">(CV60+CV105+CV98+CV119)*(CV$4&lt;=In_COD)</f>
        <v>0</v>
      </c>
      <c r="CW159" s="33" t="n">
        <f aca="false">(CW60+CW105+CW98+CW119)*(CW$4&lt;=In_COD)</f>
        <v>0</v>
      </c>
      <c r="CX159" s="33" t="n">
        <f aca="false">(CX60+CX105+CX98+CX119)*(CX$4&lt;=In_COD)</f>
        <v>0</v>
      </c>
      <c r="CY159" s="33" t="n">
        <f aca="false">(CY60+CY105+CY98+CY119)*(CY$4&lt;=In_COD)</f>
        <v>0</v>
      </c>
      <c r="CZ159" s="33" t="n">
        <f aca="false">(CZ60+CZ105+CZ98+CZ119)*(CZ$4&lt;=In_COD)</f>
        <v>0</v>
      </c>
      <c r="DA159" s="33" t="n">
        <f aca="false">(DA60+DA105+DA98+DA119)*(DA$4&lt;=In_COD)</f>
        <v>0</v>
      </c>
      <c r="DB159" s="33" t="n">
        <f aca="false">(DB60+DB105+DB98+DB119)*(DB$4&lt;=In_COD)</f>
        <v>0</v>
      </c>
      <c r="DC159" s="33" t="n">
        <f aca="false">(DC60+DC105+DC98+DC119)*(DC$4&lt;=In_COD)</f>
        <v>0</v>
      </c>
      <c r="DD159" s="33" t="n">
        <f aca="false">(DD60+DD105+DD98+DD119)*(DD$4&lt;=In_COD)</f>
        <v>0</v>
      </c>
      <c r="DE159" s="33" t="n">
        <f aca="false">(DE60+DE105+DE98+DE119)*(DE$4&lt;=In_COD)</f>
        <v>0</v>
      </c>
      <c r="DF159" s="33" t="n">
        <f aca="false">(DF60+DF105+DF98+DF119)*(DF$4&lt;=In_COD)</f>
        <v>0</v>
      </c>
      <c r="DG159" s="33" t="n">
        <f aca="false">(DG60+DG105+DG98+DG119)*(DG$4&lt;=In_COD)</f>
        <v>0</v>
      </c>
      <c r="DH159" s="33" t="n">
        <f aca="false">(DH60+DH105+DH98+DH119)*(DH$4&lt;=In_COD)</f>
        <v>0</v>
      </c>
      <c r="DI159" s="33" t="n">
        <f aca="false">(DI60+DI105+DI98+DI119)*(DI$4&lt;=In_COD)</f>
        <v>0</v>
      </c>
      <c r="DJ159" s="33" t="n">
        <f aca="false">(DJ60+DJ105+DJ98+DJ119)*(DJ$4&lt;=In_COD)</f>
        <v>0</v>
      </c>
      <c r="DK159" s="33" t="n">
        <f aca="false">(DK60+DK105+DK98+DK119)*(DK$4&lt;=In_COD)</f>
        <v>0</v>
      </c>
      <c r="DL159" s="33" t="n">
        <f aca="false">(DL60+DL105+DL98+DL119)*(DL$4&lt;=In_COD)</f>
        <v>0</v>
      </c>
      <c r="DM159" s="33" t="n">
        <f aca="false">(DM60+DM105+DM98+DM119)*(DM$4&lt;=In_COD)</f>
        <v>0</v>
      </c>
      <c r="DN159" s="33" t="n">
        <f aca="false">(DN60+DN105+DN98+DN119)*(DN$4&lt;=In_COD)</f>
        <v>0</v>
      </c>
      <c r="DO159" s="33" t="n">
        <f aca="false">(DO60+DO105+DO98+DO119)*(DO$4&lt;=In_COD)</f>
        <v>0</v>
      </c>
      <c r="DP159" s="33" t="n">
        <f aca="false">(DP60+DP105+DP98+DP119)*(DP$4&lt;=In_COD)</f>
        <v>0</v>
      </c>
      <c r="DQ159" s="33" t="n">
        <f aca="false">(DQ60+DQ105+DQ98+DQ119)*(DQ$4&lt;=In_COD)</f>
        <v>0</v>
      </c>
      <c r="DR159" s="33" t="n">
        <f aca="false">(DR60+DR105+DR98+DR119)*(DR$4&lt;=In_COD)</f>
        <v>0</v>
      </c>
      <c r="DS159" s="33" t="n">
        <f aca="false">(DS60+DS105+DS98+DS119)*(DS$4&lt;=In_COD)</f>
        <v>0</v>
      </c>
      <c r="DT159" s="33" t="n">
        <f aca="false">(DT60+DT105+DT98+DT119)*(DT$4&lt;=In_COD)</f>
        <v>0</v>
      </c>
      <c r="DU159" s="33" t="n">
        <f aca="false">(DU60+DU105+DU98+DU119)*(DU$4&lt;=In_COD)</f>
        <v>0</v>
      </c>
      <c r="DV159" s="33" t="n">
        <f aca="false">(DV60+DV105+DV98+DV119)*(DV$4&lt;=In_COD)</f>
        <v>0</v>
      </c>
      <c r="DW159" s="33" t="n">
        <f aca="false">(DW60+DW105+DW98+DW119)*(DW$4&lt;=In_COD)</f>
        <v>0</v>
      </c>
      <c r="DX159" s="33" t="n">
        <f aca="false">(DX60+DX105+DX98+DX119)*(DX$4&lt;=In_COD)</f>
        <v>0</v>
      </c>
      <c r="DY159" s="33" t="n">
        <f aca="false">(DY60+DY105+DY98+DY119)*(DY$4&lt;=In_COD)</f>
        <v>0</v>
      </c>
      <c r="DZ159" s="33" t="n">
        <f aca="false">(DZ60+DZ105+DZ98+DZ119)*(DZ$4&lt;=In_COD)</f>
        <v>0</v>
      </c>
      <c r="EA159" s="33" t="n">
        <f aca="false">(EA60+EA105+EA98+EA119)*(EA$4&lt;=In_COD)</f>
        <v>0</v>
      </c>
      <c r="EB159" s="33" t="n">
        <f aca="false">(EB60+EB105+EB98+EB119)*(EB$4&lt;=In_COD)</f>
        <v>0</v>
      </c>
      <c r="EC159" s="33" t="n">
        <f aca="false">(EC60+EC105+EC98+EC119)*(EC$4&lt;=In_COD)</f>
        <v>0</v>
      </c>
      <c r="ED159" s="33" t="n">
        <f aca="false">(ED60+ED105+ED98+ED119)*(ED$4&lt;=In_COD)</f>
        <v>0</v>
      </c>
      <c r="EE159" s="33" t="n">
        <f aca="false">(EE60+EE105+EE98+EE119)*(EE$4&lt;=In_COD)</f>
        <v>0</v>
      </c>
      <c r="EF159" s="33" t="n">
        <f aca="false">(EF60+EF105+EF98+EF119)*(EF$4&lt;=In_COD)</f>
        <v>0</v>
      </c>
      <c r="EG159" s="33" t="n">
        <f aca="false">(EG60+EG105+EG98+EG119)*(EG$4&lt;=In_COD)</f>
        <v>0</v>
      </c>
      <c r="EH159" s="33" t="n">
        <f aca="false">(EH60+EH105+EH98+EH119)*(EH$4&lt;=In_COD)</f>
        <v>0</v>
      </c>
      <c r="EI159" s="33" t="n">
        <f aca="false">(EI60+EI105+EI98+EI119)*(EI$4&lt;=In_COD)</f>
        <v>0</v>
      </c>
      <c r="EJ159" s="33" t="n">
        <f aca="false">(EJ60+EJ105+EJ98+EJ119)*(EJ$4&lt;=In_COD)</f>
        <v>0</v>
      </c>
      <c r="EK159" s="33" t="n">
        <f aca="false">(EK60+EK105+EK98+EK119)*(EK$4&lt;=In_COD)</f>
        <v>0</v>
      </c>
      <c r="EL159" s="33" t="n">
        <f aca="false">(EL60+EL105+EL98+EL119)*(EL$4&lt;=In_COD)</f>
        <v>0</v>
      </c>
      <c r="EM159" s="33" t="n">
        <f aca="false">(EM60+EM105+EM98+EM119)*(EM$4&lt;=In_COD)</f>
        <v>0</v>
      </c>
      <c r="EN159" s="33" t="n">
        <f aca="false">(EN60+EN105+EN98+EN119)*(EN$4&lt;=In_COD)</f>
        <v>0</v>
      </c>
      <c r="EO159" s="33" t="n">
        <f aca="false">(EO60+EO105+EO98+EO119)*(EO$4&lt;=In_COD)</f>
        <v>0</v>
      </c>
      <c r="EP159" s="33" t="n">
        <f aca="false">(EP60+EP105+EP98+EP119)*(EP$4&lt;=In_COD)</f>
        <v>0</v>
      </c>
      <c r="EQ159" s="33" t="n">
        <f aca="false">(EQ60+EQ105+EQ98+EQ119)*(EQ$4&lt;=In_COD)</f>
        <v>0</v>
      </c>
      <c r="ER159" s="33" t="n">
        <f aca="false">(ER60+ER105+ER98+ER119)*(ER$4&lt;=In_COD)</f>
        <v>0</v>
      </c>
      <c r="ES159" s="33" t="n">
        <f aca="false">(ES60+ES105+ES98+ES119)*(ES$4&lt;=In_COD)</f>
        <v>0</v>
      </c>
      <c r="ET159" s="33" t="n">
        <f aca="false">(ET60+ET105+ET98+ET119)*(ET$4&lt;=In_COD)</f>
        <v>0</v>
      </c>
    </row>
    <row r="160" customFormat="false" ht="15" hidden="false" customHeight="false" outlineLevel="0" collapsed="false">
      <c r="C160" s="0" t="s">
        <v>592</v>
      </c>
      <c r="D160" s="11" t="s">
        <v>247</v>
      </c>
      <c r="E160" s="33" t="n">
        <f aca="false">SUMPRODUCT($J160:$ET160,$J21:$ET21)</f>
        <v>-2474.54304721128</v>
      </c>
      <c r="I160" s="33" t="n">
        <f aca="false">SUM(J160:ET160)</f>
        <v>-6307.65794259604</v>
      </c>
      <c r="J160" s="33" t="n">
        <f aca="false">-($E31-In_Ref_Community)*J111*(1-In_CIT)/Thousand</f>
        <v>-0</v>
      </c>
      <c r="K160" s="33" t="n">
        <f aca="false">-($E31-In_Ref_Community)*K111*(1-In_CIT)/Thousand</f>
        <v>-0</v>
      </c>
      <c r="L160" s="33" t="n">
        <f aca="false">-($E31-In_Ref_Community)*L111*(1-In_CIT)/Thousand</f>
        <v>-0</v>
      </c>
      <c r="M160" s="33" t="n">
        <f aca="false">-($E31-In_Ref_Community)*M111*(1-In_CIT)/Thousand</f>
        <v>-0</v>
      </c>
      <c r="N160" s="33" t="n">
        <f aca="false">-($E31-In_Ref_Community)*N111*(1-In_CIT)/Thousand</f>
        <v>-0</v>
      </c>
      <c r="O160" s="33" t="n">
        <f aca="false">-($E31-In_Ref_Community)*O111*(1-In_CIT)/Thousand</f>
        <v>-0</v>
      </c>
      <c r="P160" s="33" t="n">
        <f aca="false">-($E31-In_Ref_Community)*P111*(1-In_CIT)/Thousand</f>
        <v>-0</v>
      </c>
      <c r="Q160" s="33" t="n">
        <f aca="false">-($E31-In_Ref_Community)*Q111*(1-In_CIT)/Thousand</f>
        <v>-0</v>
      </c>
      <c r="R160" s="33" t="n">
        <f aca="false">-($E31-In_Ref_Community)*R111*(1-In_CIT)/Thousand</f>
        <v>-0</v>
      </c>
      <c r="S160" s="33" t="n">
        <f aca="false">-($E31-In_Ref_Community)*S111*(1-In_CIT)/Thousand</f>
        <v>-0</v>
      </c>
      <c r="T160" s="33" t="n">
        <f aca="false">-($E31-In_Ref_Community)*T111*(1-In_CIT)/Thousand</f>
        <v>-0</v>
      </c>
      <c r="U160" s="33" t="n">
        <f aca="false">-($E31-In_Ref_Community)*U111*(1-In_CIT)/Thousand</f>
        <v>-0</v>
      </c>
      <c r="V160" s="33" t="n">
        <f aca="false">-($E31-In_Ref_Community)*V111*(1-In_CIT)/Thousand</f>
        <v>-0</v>
      </c>
      <c r="W160" s="33" t="n">
        <f aca="false">-($E31-In_Ref_Community)*W111*(1-In_CIT)/Thousand</f>
        <v>-0</v>
      </c>
      <c r="X160" s="33" t="n">
        <f aca="false">-($E31-In_Ref_Community)*X111*(1-In_CIT)/Thousand</f>
        <v>-0</v>
      </c>
      <c r="Y160" s="33" t="n">
        <f aca="false">-($E31-In_Ref_Community)*Y111*(1-In_CIT)/Thousand</f>
        <v>-0</v>
      </c>
      <c r="Z160" s="33" t="n">
        <f aca="false">-($E31-In_Ref_Community)*Z111*(1-In_CIT)/Thousand</f>
        <v>-0</v>
      </c>
      <c r="AA160" s="33" t="n">
        <f aca="false">-($E31-In_Ref_Community)*AA111*(1-In_CIT)/Thousand</f>
        <v>-0</v>
      </c>
      <c r="AB160" s="33" t="n">
        <f aca="false">-($E31-In_Ref_Community)*AB111*(1-In_CIT)/Thousand</f>
        <v>-0</v>
      </c>
      <c r="AC160" s="33" t="n">
        <f aca="false">-($E31-In_Ref_Community)*AC111*(1-In_CIT)/Thousand</f>
        <v>-0</v>
      </c>
      <c r="AD160" s="33" t="n">
        <f aca="false">-($E31-In_Ref_Community)*AD111*(1-In_CIT)/Thousand</f>
        <v>-0</v>
      </c>
      <c r="AE160" s="33" t="n">
        <f aca="false">-($E31-In_Ref_Community)*AE111*(1-In_CIT)/Thousand</f>
        <v>-55.2964865753425</v>
      </c>
      <c r="AF160" s="33" t="n">
        <f aca="false">-($E31-In_Ref_Community)*AF111*(1-In_CIT)/Thousand</f>
        <v>-54.6954378082192</v>
      </c>
      <c r="AG160" s="33" t="n">
        <f aca="false">-($E31-In_Ref_Community)*AG111*(1-In_CIT)/Thousand</f>
        <v>-54.6954378082192</v>
      </c>
      <c r="AH160" s="33" t="n">
        <f aca="false">-($E31-In_Ref_Community)*AH111*(1-In_CIT)/Thousand</f>
        <v>-55.2964865753425</v>
      </c>
      <c r="AI160" s="33" t="n">
        <f aca="false">-($E31-In_Ref_Community)*AI111*(1-In_CIT)/Thousand</f>
        <v>-55.1305971156164</v>
      </c>
      <c r="AJ160" s="33" t="n">
        <f aca="false">-($E31-In_Ref_Community)*AJ111*(1-In_CIT)/Thousand</f>
        <v>-53.9321058739726</v>
      </c>
      <c r="AK160" s="33" t="n">
        <f aca="false">-($E31-In_Ref_Community)*AK111*(1-In_CIT)/Thousand</f>
        <v>-54.5313514947945</v>
      </c>
      <c r="AL160" s="33" t="n">
        <f aca="false">-($E31-In_Ref_Community)*AL111*(1-In_CIT)/Thousand</f>
        <v>-55.1305971156164</v>
      </c>
      <c r="AM160" s="33" t="n">
        <f aca="false">-($E31-In_Ref_Community)*AM111*(1-In_CIT)/Thousand</f>
        <v>-54.9652053242696</v>
      </c>
      <c r="AN160" s="33" t="n">
        <f aca="false">-($E31-In_Ref_Community)*AN111*(1-In_CIT)/Thousand</f>
        <v>-53.7703095563507</v>
      </c>
      <c r="AO160" s="33" t="n">
        <f aca="false">-($E31-In_Ref_Community)*AO111*(1-In_CIT)/Thousand</f>
        <v>-54.3677574403101</v>
      </c>
      <c r="AP160" s="33" t="n">
        <f aca="false">-($E31-In_Ref_Community)*AP111*(1-In_CIT)/Thousand</f>
        <v>-54.9652053242696</v>
      </c>
      <c r="AQ160" s="33" t="n">
        <f aca="false">-($E31-In_Ref_Community)*AQ111*(1-In_CIT)/Thousand</f>
        <v>-54.8003097082968</v>
      </c>
      <c r="AR160" s="33" t="n">
        <f aca="false">-($E31-In_Ref_Community)*AR111*(1-In_CIT)/Thousand</f>
        <v>-53.6089986276816</v>
      </c>
      <c r="AS160" s="33" t="n">
        <f aca="false">-($E31-In_Ref_Community)*AS111*(1-In_CIT)/Thousand</f>
        <v>-54.2046541679892</v>
      </c>
      <c r="AT160" s="33" t="n">
        <f aca="false">-($E31-In_Ref_Community)*AT111*(1-In_CIT)/Thousand</f>
        <v>-54.8003097082968</v>
      </c>
      <c r="AU160" s="33" t="n">
        <f aca="false">-($E31-In_Ref_Community)*AU111*(1-In_CIT)/Thousand</f>
        <v>-54.6359087791719</v>
      </c>
      <c r="AV160" s="33" t="n">
        <f aca="false">-($E31-In_Ref_Community)*AV111*(1-In_CIT)/Thousand</f>
        <v>-54.0420402054852</v>
      </c>
      <c r="AW160" s="33" t="n">
        <f aca="false">-($E31-In_Ref_Community)*AW111*(1-In_CIT)/Thousand</f>
        <v>-54.0420402054852</v>
      </c>
      <c r="AX160" s="33" t="n">
        <f aca="false">-($E31-In_Ref_Community)*AX111*(1-In_CIT)/Thousand</f>
        <v>-54.6359087791719</v>
      </c>
      <c r="AY160" s="33" t="n">
        <f aca="false">-($E31-In_Ref_Community)*AY111*(1-In_CIT)/Thousand</f>
        <v>-54.4720010528344</v>
      </c>
      <c r="AZ160" s="33" t="n">
        <f aca="false">-($E31-In_Ref_Community)*AZ111*(1-In_CIT)/Thousand</f>
        <v>-53.2878271169032</v>
      </c>
      <c r="BA160" s="33" t="n">
        <f aca="false">-($E31-In_Ref_Community)*BA111*(1-In_CIT)/Thousand</f>
        <v>-53.8799140848688</v>
      </c>
      <c r="BB160" s="33" t="n">
        <f aca="false">-($E31-In_Ref_Community)*BB111*(1-In_CIT)/Thousand</f>
        <v>-54.4720010528344</v>
      </c>
      <c r="BC160" s="33" t="n">
        <f aca="false">-($E31-In_Ref_Community)*BC111*(1-In_CIT)/Thousand</f>
        <v>-54.3085850496759</v>
      </c>
      <c r="BD160" s="33" t="n">
        <f aca="false">-($E31-In_Ref_Community)*BD111*(1-In_CIT)/Thousand</f>
        <v>-53.1279636355525</v>
      </c>
      <c r="BE160" s="33" t="n">
        <f aca="false">-($E31-In_Ref_Community)*BE111*(1-In_CIT)/Thousand</f>
        <v>-53.7182743426142</v>
      </c>
      <c r="BF160" s="33" t="n">
        <f aca="false">-($E31-In_Ref_Community)*BF111*(1-In_CIT)/Thousand</f>
        <v>-54.3085850496759</v>
      </c>
      <c r="BG160" s="33" t="n">
        <f aca="false">-($E31-In_Ref_Community)*BG111*(1-In_CIT)/Thousand</f>
        <v>-54.1456592945269</v>
      </c>
      <c r="BH160" s="33" t="n">
        <f aca="false">-($E31-In_Ref_Community)*BH111*(1-In_CIT)/Thousand</f>
        <v>-52.9685797446458</v>
      </c>
      <c r="BI160" s="33" t="n">
        <f aca="false">-($E31-In_Ref_Community)*BI111*(1-In_CIT)/Thousand</f>
        <v>-53.5571195195863</v>
      </c>
      <c r="BJ160" s="33" t="n">
        <f aca="false">-($E31-In_Ref_Community)*BJ111*(1-In_CIT)/Thousand</f>
        <v>-54.1456592945269</v>
      </c>
      <c r="BK160" s="33" t="n">
        <f aca="false">-($E31-In_Ref_Community)*BK111*(1-In_CIT)/Thousand</f>
        <v>-53.9832223166433</v>
      </c>
      <c r="BL160" s="33" t="n">
        <f aca="false">-($E31-In_Ref_Community)*BL111*(1-In_CIT)/Thousand</f>
        <v>-53.3964481610276</v>
      </c>
      <c r="BM160" s="33" t="n">
        <f aca="false">-($E31-In_Ref_Community)*BM111*(1-In_CIT)/Thousand</f>
        <v>-53.3964481610276</v>
      </c>
      <c r="BN160" s="33" t="n">
        <f aca="false">-($E31-In_Ref_Community)*BN111*(1-In_CIT)/Thousand</f>
        <v>-53.9832223166433</v>
      </c>
      <c r="BO160" s="33" t="n">
        <f aca="false">-($E31-In_Ref_Community)*BO111*(1-In_CIT)/Thousand</f>
        <v>-53.8212726496933</v>
      </c>
      <c r="BP160" s="33" t="n">
        <f aca="false">-($E31-In_Ref_Community)*BP111*(1-In_CIT)/Thousand</f>
        <v>-52.6512449833957</v>
      </c>
      <c r="BQ160" s="33" t="n">
        <f aca="false">-($E31-In_Ref_Community)*BQ111*(1-In_CIT)/Thousand</f>
        <v>-53.2362588165445</v>
      </c>
      <c r="BR160" s="33" t="n">
        <f aca="false">-($E31-In_Ref_Community)*BR111*(1-In_CIT)/Thousand</f>
        <v>-53.8212726496933</v>
      </c>
      <c r="BS160" s="33" t="n">
        <f aca="false">-($E31-In_Ref_Community)*BS111*(1-In_CIT)/Thousand</f>
        <v>-53.6598088317443</v>
      </c>
      <c r="BT160" s="33" t="n">
        <f aca="false">-($E31-In_Ref_Community)*BT111*(1-In_CIT)/Thousand</f>
        <v>-52.4932912484455</v>
      </c>
      <c r="BU160" s="33" t="n">
        <f aca="false">-($E31-In_Ref_Community)*BU111*(1-In_CIT)/Thousand</f>
        <v>-53.0765500400949</v>
      </c>
      <c r="BV160" s="33" t="n">
        <f aca="false">-($E31-In_Ref_Community)*BV111*(1-In_CIT)/Thousand</f>
        <v>-53.6598088317443</v>
      </c>
      <c r="BW160" s="33" t="n">
        <f aca="false">-($E31-In_Ref_Community)*BW111*(1-In_CIT)/Thousand</f>
        <v>-53.498829405249</v>
      </c>
      <c r="BX160" s="33" t="n">
        <f aca="false">-($E31-In_Ref_Community)*BX111*(1-In_CIT)/Thousand</f>
        <v>-52.3358113747001</v>
      </c>
      <c r="BY160" s="33" t="n">
        <f aca="false">-($E31-In_Ref_Community)*BY111*(1-In_CIT)/Thousand</f>
        <v>-52.9173203899746</v>
      </c>
      <c r="BZ160" s="33" t="n">
        <f aca="false">-($E31-In_Ref_Community)*BZ111*(1-In_CIT)/Thousand</f>
        <v>-53.498829405249</v>
      </c>
      <c r="CA160" s="33" t="n">
        <f aca="false">-($E31-In_Ref_Community)*CA111*(1-In_CIT)/Thousand</f>
        <v>-53.3383329170333</v>
      </c>
      <c r="CB160" s="33" t="n">
        <f aca="false">-($E31-In_Ref_Community)*CB111*(1-In_CIT)/Thousand</f>
        <v>-52.7585684288047</v>
      </c>
      <c r="CC160" s="33" t="n">
        <f aca="false">-($E31-In_Ref_Community)*CC111*(1-In_CIT)/Thousand</f>
        <v>-52.7585684288047</v>
      </c>
      <c r="CD160" s="33" t="n">
        <f aca="false">-($E31-In_Ref_Community)*CD111*(1-In_CIT)/Thousand</f>
        <v>-53.3383329170333</v>
      </c>
      <c r="CE160" s="33" t="n">
        <f aca="false">-($E31-In_Ref_Community)*CE111*(1-In_CIT)/Thousand</f>
        <v>-53.1783179182822</v>
      </c>
      <c r="CF160" s="33" t="n">
        <f aca="false">-($E31-In_Ref_Community)*CF111*(1-In_CIT)/Thousand</f>
        <v>-52.0222675287543</v>
      </c>
      <c r="CG160" s="33" t="n">
        <f aca="false">-($E31-In_Ref_Community)*CG111*(1-In_CIT)/Thousand</f>
        <v>-52.6002927235182</v>
      </c>
      <c r="CH160" s="33" t="n">
        <f aca="false">-($E31-In_Ref_Community)*CH111*(1-In_CIT)/Thousand</f>
        <v>-53.1783179182822</v>
      </c>
      <c r="CI160" s="33" t="n">
        <f aca="false">-($E31-In_Ref_Community)*CI111*(1-In_CIT)/Thousand</f>
        <v>-53.0187829645273</v>
      </c>
      <c r="CJ160" s="33" t="n">
        <f aca="false">-($E31-In_Ref_Community)*CJ111*(1-In_CIT)/Thousand</f>
        <v>-51.866200726168</v>
      </c>
      <c r="CK160" s="33" t="n">
        <f aca="false">-($E31-In_Ref_Community)*CK111*(1-In_CIT)/Thousand</f>
        <v>-52.4424918453477</v>
      </c>
      <c r="CL160" s="33" t="n">
        <f aca="false">-($E31-In_Ref_Community)*CL111*(1-In_CIT)/Thousand</f>
        <v>-53.0187829645273</v>
      </c>
      <c r="CM160" s="33" t="n">
        <f aca="false">-($E31-In_Ref_Community)*CM111*(1-In_CIT)/Thousand</f>
        <v>-52.8597266156338</v>
      </c>
      <c r="CN160" s="33" t="n">
        <f aca="false">-($E31-In_Ref_Community)*CN111*(1-In_CIT)/Thousand</f>
        <v>-51.7106021239895</v>
      </c>
      <c r="CO160" s="33" t="n">
        <f aca="false">-($E31-In_Ref_Community)*CO111*(1-In_CIT)/Thousand</f>
        <v>-52.2851643698116</v>
      </c>
      <c r="CP160" s="33" t="n">
        <f aca="false">-($E31-In_Ref_Community)*CP111*(1-In_CIT)/Thousand</f>
        <v>-52.8597266156338</v>
      </c>
      <c r="CQ160" s="33" t="n">
        <f aca="false">-($E31-In_Ref_Community)*CQ111*(1-In_CIT)/Thousand</f>
        <v>-52.7011474357869</v>
      </c>
      <c r="CR160" s="33" t="n">
        <f aca="false">-($E31-In_Ref_Community)*CR111*(1-In_CIT)/Thousand</f>
        <v>-52.1283088767022</v>
      </c>
      <c r="CS160" s="33" t="n">
        <f aca="false">-($E31-In_Ref_Community)*CS111*(1-In_CIT)/Thousand</f>
        <v>-52.1283088767022</v>
      </c>
      <c r="CT160" s="33" t="n">
        <f aca="false">-($E31-In_Ref_Community)*CT111*(1-In_CIT)/Thousand</f>
        <v>-52.7011474357869</v>
      </c>
      <c r="CU160" s="33" t="n">
        <f aca="false">-($E31-In_Ref_Community)*CU111*(1-In_CIT)/Thousand</f>
        <v>-52.5430439934795</v>
      </c>
      <c r="CV160" s="33" t="n">
        <f aca="false">-($E31-In_Ref_Community)*CV111*(1-In_CIT)/Thousand</f>
        <v>-51.4008039066647</v>
      </c>
      <c r="CW160" s="33" t="n">
        <f aca="false">-($E31-In_Ref_Community)*CW111*(1-In_CIT)/Thousand</f>
        <v>-51.9719239500721</v>
      </c>
      <c r="CX160" s="33" t="n">
        <f aca="false">-($E31-In_Ref_Community)*CX111*(1-In_CIT)/Thousand</f>
        <v>-52.5430439934795</v>
      </c>
      <c r="CY160" s="33" t="n">
        <f aca="false">-($E31-In_Ref_Community)*CY111*(1-In_CIT)/Thousand</f>
        <v>-52.3854148614991</v>
      </c>
      <c r="CZ160" s="33" t="n">
        <f aca="false">-($E31-In_Ref_Community)*CZ111*(1-In_CIT)/Thousand</f>
        <v>-51.2466014949447</v>
      </c>
      <c r="DA160" s="33" t="n">
        <f aca="false">-($E31-In_Ref_Community)*DA111*(1-In_CIT)/Thousand</f>
        <v>-51.8160081782219</v>
      </c>
      <c r="DB160" s="33" t="n">
        <f aca="false">-($E31-In_Ref_Community)*DB111*(1-In_CIT)/Thousand</f>
        <v>-52.3854148614991</v>
      </c>
      <c r="DC160" s="33" t="n">
        <f aca="false">-($E31-In_Ref_Community)*DC111*(1-In_CIT)/Thousand</f>
        <v>-52.2282586169146</v>
      </c>
      <c r="DD160" s="33" t="n">
        <f aca="false">-($E31-In_Ref_Community)*DD111*(1-In_CIT)/Thousand</f>
        <v>-51.0928616904599</v>
      </c>
      <c r="DE160" s="33" t="n">
        <f aca="false">-($E31-In_Ref_Community)*DE111*(1-In_CIT)/Thousand</f>
        <v>-51.6605601536872</v>
      </c>
      <c r="DF160" s="33" t="n">
        <f aca="false">-($E31-In_Ref_Community)*DF111*(1-In_CIT)/Thousand</f>
        <v>-52.2282586169146</v>
      </c>
      <c r="DG160" s="33" t="n">
        <f aca="false">-($E31-In_Ref_Community)*DG111*(1-In_CIT)/Thousand</f>
        <v>-52.0715738410638</v>
      </c>
      <c r="DH160" s="33" t="n">
        <f aca="false">-($E31-In_Ref_Community)*DH111*(1-In_CIT)/Thousand</f>
        <v>-51.5055784732262</v>
      </c>
      <c r="DI160" s="33" t="n">
        <f aca="false">-($E31-In_Ref_Community)*DI111*(1-In_CIT)/Thousand</f>
        <v>-51.5055784732262</v>
      </c>
      <c r="DJ160" s="33" t="n">
        <f aca="false">-($E31-In_Ref_Community)*DJ111*(1-In_CIT)/Thousand</f>
        <v>-52.0715738410638</v>
      </c>
      <c r="DK160" s="33" t="n">
        <f aca="false">-($E31-In_Ref_Community)*DK111*(1-In_CIT)/Thousand</f>
        <v>-51.9153591195406</v>
      </c>
      <c r="DL160" s="33" t="n">
        <f aca="false">-($E31-In_Ref_Community)*DL111*(1-In_CIT)/Thousand</f>
        <v>-50.7867643560723</v>
      </c>
      <c r="DM160" s="33" t="n">
        <f aca="false">-($E31-In_Ref_Community)*DM111*(1-In_CIT)/Thousand</f>
        <v>-51.3510617378065</v>
      </c>
      <c r="DN160" s="33" t="n">
        <f aca="false">-($E31-In_Ref_Community)*DN111*(1-In_CIT)/Thousand</f>
        <v>-51.9153591195406</v>
      </c>
      <c r="DO160" s="33" t="n">
        <f aca="false">-($E31-In_Ref_Community)*DO111*(1-In_CIT)/Thousand</f>
        <v>-51.759613042182</v>
      </c>
      <c r="DP160" s="33" t="n">
        <f aca="false">-($E31-In_Ref_Community)*DP111*(1-In_CIT)/Thousand</f>
        <v>-50.6344040630041</v>
      </c>
      <c r="DQ160" s="33" t="n">
        <f aca="false">-($E31-In_Ref_Community)*DQ111*(1-In_CIT)/Thousand</f>
        <v>-51.1970085525931</v>
      </c>
      <c r="DR160" s="33" t="n">
        <f aca="false">-($E31-In_Ref_Community)*DR111*(1-In_CIT)/Thousand</f>
        <v>-51.759613042182</v>
      </c>
      <c r="DS160" s="33" t="n">
        <f aca="false">-($E31-In_Ref_Community)*DS111*(1-In_CIT)/Thousand</f>
        <v>-51.6043342030555</v>
      </c>
      <c r="DT160" s="33" t="n">
        <f aca="false">-($E31-In_Ref_Community)*DT111*(1-In_CIT)/Thousand</f>
        <v>-50.4825008508151</v>
      </c>
      <c r="DU160" s="33" t="n">
        <f aca="false">-($E31-In_Ref_Community)*DU111*(1-In_CIT)/Thousand</f>
        <v>-51.0434175269353</v>
      </c>
      <c r="DV160" s="33" t="n">
        <f aca="false">-($E31-In_Ref_Community)*DV111*(1-In_CIT)/Thousand</f>
        <v>-51.6043342030555</v>
      </c>
      <c r="DW160" s="33" t="n">
        <f aca="false">-($E31-In_Ref_Community)*DW111*(1-In_CIT)/Thousand</f>
        <v>-51.4495212004463</v>
      </c>
      <c r="DX160" s="33" t="n">
        <f aca="false">-($E31-In_Ref_Community)*DX111*(1-In_CIT)/Thousand</f>
        <v>-50.8902872743545</v>
      </c>
      <c r="DY160" s="33" t="n">
        <f aca="false">-($E31-In_Ref_Community)*DY111*(1-In_CIT)/Thousand</f>
        <v>-50.8902872743545</v>
      </c>
      <c r="DZ160" s="33" t="n">
        <f aca="false">-($E31-In_Ref_Community)*DZ111*(1-In_CIT)/Thousand</f>
        <v>-51.4495212004463</v>
      </c>
      <c r="EA160" s="33" t="n">
        <f aca="false">-($E31-In_Ref_Community)*EA111*(1-In_CIT)/Thousand</f>
        <v>-51.2951726368449</v>
      </c>
      <c r="EB160" s="33" t="n">
        <f aca="false">-($E31-In_Ref_Community)*EB111*(1-In_CIT)/Thousand</f>
        <v>-50.1800601882179</v>
      </c>
      <c r="EC160" s="33" t="n">
        <f aca="false">-($E31-In_Ref_Community)*EC111*(1-In_CIT)/Thousand</f>
        <v>-50.7376164125314</v>
      </c>
      <c r="ED160" s="33" t="n">
        <f aca="false">-($E31-In_Ref_Community)*ED111*(1-In_CIT)/Thousand</f>
        <v>-51.2951726368449</v>
      </c>
      <c r="EE160" s="33" t="n">
        <f aca="false">-($E31-In_Ref_Community)*EE111*(1-In_CIT)/Thousand</f>
        <v>-51.1412871189344</v>
      </c>
      <c r="EF160" s="33" t="n">
        <f aca="false">-($E31-In_Ref_Community)*EF111*(1-In_CIT)/Thousand</f>
        <v>-50.0295200076532</v>
      </c>
      <c r="EG160" s="33" t="n">
        <f aca="false">-($E31-In_Ref_Community)*EG111*(1-In_CIT)/Thousand</f>
        <v>-50.5854035632938</v>
      </c>
      <c r="EH160" s="33" t="n">
        <f aca="false">-($E31-In_Ref_Community)*EH111*(1-In_CIT)/Thousand</f>
        <v>-51.1412871189344</v>
      </c>
      <c r="EI160" s="33" t="n">
        <f aca="false">-($E31-In_Ref_Community)*EI111*(1-In_CIT)/Thousand</f>
        <v>-50.9878632575776</v>
      </c>
      <c r="EJ160" s="33" t="n">
        <f aca="false">-($E31-In_Ref_Community)*EJ111*(1-In_CIT)/Thousand</f>
        <v>-49.8794314476303</v>
      </c>
      <c r="EK160" s="33" t="n">
        <f aca="false">-($E31-In_Ref_Community)*EK111*(1-In_CIT)/Thousand</f>
        <v>-50.4336473526039</v>
      </c>
      <c r="EL160" s="33" t="n">
        <f aca="false">-($E31-In_Ref_Community)*EL111*(1-In_CIT)/Thousand</f>
        <v>-50.9878632575776</v>
      </c>
      <c r="EM160" s="33" t="n">
        <f aca="false">-($E31-In_Ref_Community)*EM111*(1-In_CIT)/Thousand</f>
        <v>-50.8348996678049</v>
      </c>
      <c r="EN160" s="33" t="n">
        <f aca="false">-($E31-In_Ref_Community)*EN111*(1-In_CIT)/Thousand</f>
        <v>-50.2823464105461</v>
      </c>
      <c r="EO160" s="33" t="n">
        <f aca="false">-($E31-In_Ref_Community)*EO111*(1-In_CIT)/Thousand</f>
        <v>-50.2823464105461</v>
      </c>
      <c r="EP160" s="33" t="n">
        <f aca="false">-($E31-In_Ref_Community)*EP111*(1-In_CIT)/Thousand</f>
        <v>-50.8348996678049</v>
      </c>
      <c r="EQ160" s="33" t="n">
        <f aca="false">-($E31-In_Ref_Community)*EQ111*(1-In_CIT)/Thousand</f>
        <v>-50.6823949688015</v>
      </c>
      <c r="ER160" s="33" t="n">
        <f aca="false">-($E31-In_Ref_Community)*ER111*(1-In_CIT)/Thousand</f>
        <v>-49.5806037738275</v>
      </c>
      <c r="ES160" s="33" t="n">
        <f aca="false">-($E31-In_Ref_Community)*ES111*(1-In_CIT)/Thousand</f>
        <v>-50.1314993713145</v>
      </c>
      <c r="ET160" s="33" t="n">
        <f aca="false">-($E31-In_Ref_Community)*ET111*(1-In_CIT)/Thousand</f>
        <v>-50.6823949688015</v>
      </c>
    </row>
    <row r="161" customFormat="false" ht="15" hidden="false" customHeight="false" outlineLevel="0" collapsed="false">
      <c r="C161" s="0" t="s">
        <v>593</v>
      </c>
      <c r="D161" s="11" t="s">
        <v>247</v>
      </c>
      <c r="E161" s="33" t="n">
        <f aca="false">IF(In_CN_Turbine=1,In_COD_Price_CN,In_COD_Price)*$F24*(1-$E27)</f>
        <v>245000</v>
      </c>
      <c r="F161" s="33" t="n">
        <f aca="false">In_Pass_Through*($E160+SUMPRODUCT($J87:$ET87,$J21:$ET21))</f>
        <v>-3839.08122210466</v>
      </c>
    </row>
    <row r="162" customFormat="false" ht="15" hidden="false" customHeight="false" outlineLevel="0" collapsed="false">
      <c r="A162" s="55"/>
      <c r="B162" s="55"/>
      <c r="C162" s="55" t="s">
        <v>594</v>
      </c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55"/>
      <c r="CO162" s="55"/>
      <c r="CP162" s="55"/>
      <c r="CQ162" s="55"/>
      <c r="CR162" s="55"/>
      <c r="CS162" s="55"/>
      <c r="CT162" s="55"/>
      <c r="CU162" s="55"/>
      <c r="CV162" s="55"/>
      <c r="CW162" s="55"/>
      <c r="CX162" s="55"/>
      <c r="CY162" s="55"/>
      <c r="CZ162" s="55"/>
      <c r="DA162" s="55"/>
      <c r="DB162" s="55"/>
      <c r="DC162" s="55"/>
      <c r="DD162" s="55"/>
      <c r="DE162" s="55"/>
      <c r="DF162" s="55"/>
      <c r="DG162" s="55"/>
      <c r="DH162" s="55"/>
      <c r="DI162" s="55"/>
      <c r="DJ162" s="55"/>
      <c r="DK162" s="55"/>
      <c r="DL162" s="55"/>
      <c r="DM162" s="55"/>
      <c r="DN162" s="55"/>
      <c r="DO162" s="55"/>
      <c r="DP162" s="55"/>
      <c r="DQ162" s="55"/>
      <c r="DR162" s="55"/>
      <c r="DS162" s="55"/>
      <c r="DT162" s="55"/>
      <c r="DU162" s="55"/>
      <c r="DV162" s="55"/>
      <c r="DW162" s="55"/>
      <c r="DX162" s="55"/>
      <c r="DY162" s="55"/>
      <c r="DZ162" s="55"/>
      <c r="EA162" s="55"/>
      <c r="EB162" s="55"/>
      <c r="EC162" s="55"/>
      <c r="ED162" s="55"/>
      <c r="EE162" s="55"/>
      <c r="EF162" s="55"/>
      <c r="EG162" s="55"/>
      <c r="EH162" s="55"/>
      <c r="EI162" s="55"/>
      <c r="EJ162" s="55"/>
      <c r="EK162" s="55"/>
      <c r="EL162" s="55"/>
      <c r="EM162" s="55"/>
      <c r="EN162" s="55"/>
      <c r="EO162" s="55"/>
      <c r="EP162" s="55"/>
      <c r="EQ162" s="55"/>
      <c r="ER162" s="55"/>
      <c r="ES162" s="55"/>
      <c r="ET162" s="55"/>
    </row>
    <row r="163" customFormat="false" ht="15" hidden="false" customHeight="false" outlineLevel="0" collapsed="false">
      <c r="C163" s="0" t="s">
        <v>595</v>
      </c>
      <c r="D163" s="11" t="s">
        <v>247</v>
      </c>
      <c r="E163" s="33" t="n">
        <f aca="false">$I98+$I99</f>
        <v>94220.5039225694</v>
      </c>
      <c r="F163" s="33" t="n">
        <f aca="false">MAX(0,$E161+$F161-$E163)</f>
        <v>146940.414855326</v>
      </c>
    </row>
    <row r="164" customFormat="false" ht="15" hidden="false" customHeight="false" outlineLevel="0" collapsed="false">
      <c r="C164" s="0" t="s">
        <v>572</v>
      </c>
      <c r="D164" s="11" t="s">
        <v>247</v>
      </c>
      <c r="E164" s="22" t="n">
        <f aca="false">In_Sale_Costs</f>
        <v>500</v>
      </c>
      <c r="F164" s="33" t="n">
        <f aca="false">MIN($E164,$F163)</f>
        <v>500</v>
      </c>
    </row>
    <row r="165" customFormat="false" ht="15" hidden="false" customHeight="false" outlineLevel="0" collapsed="false">
      <c r="C165" s="0" t="s">
        <v>596</v>
      </c>
      <c r="D165" s="11" t="s">
        <v>247</v>
      </c>
      <c r="E165" s="33" t="n">
        <f aca="false">-$I159+$I46+$I54+$I56+$I47+$F59</f>
        <v>64890.7053120239</v>
      </c>
      <c r="F165" s="33" t="n">
        <f aca="false">MIN($E165,$F163-SUM($F164:$F164))</f>
        <v>64890.7053120239</v>
      </c>
    </row>
    <row r="166" customFormat="false" ht="15" hidden="false" customHeight="false" outlineLevel="0" collapsed="false">
      <c r="C166" s="0" t="s">
        <v>597</v>
      </c>
      <c r="D166" s="11" t="s">
        <v>247</v>
      </c>
      <c r="E166" s="33" t="n">
        <f aca="false">$F68+$F73+$F79</f>
        <v>11746.2079961624</v>
      </c>
      <c r="F166" s="33" t="n">
        <f aca="false">MIN($E166,$F163-SUM($F164:$F165))</f>
        <v>11746.2079961624</v>
      </c>
    </row>
    <row r="167" customFormat="false" ht="15" hidden="false" customHeight="false" outlineLevel="0" collapsed="false">
      <c r="C167" s="0" t="s">
        <v>578</v>
      </c>
      <c r="D167" s="11" t="s">
        <v>247</v>
      </c>
      <c r="E167" s="33" t="n">
        <f aca="false">MIN(In_DSA_Cap,In_DSA_Rate*YEARFRAC(In_Signing_Date,In_COD,0))*$E24</f>
        <v>1510</v>
      </c>
      <c r="F167" s="33" t="n">
        <f aca="false">MIN($E167,$F163-SUM($F164:$F166))</f>
        <v>1510</v>
      </c>
    </row>
    <row r="168" customFormat="false" ht="15" hidden="false" customHeight="false" outlineLevel="0" collapsed="false">
      <c r="C168" s="30" t="s">
        <v>161</v>
      </c>
      <c r="D168" s="11" t="s">
        <v>247</v>
      </c>
      <c r="F168" s="35" t="n">
        <f aca="false">MAX(0,$F163-SUM($E164:$E167))</f>
        <v>68293.5015471397</v>
      </c>
    </row>
    <row r="169" customFormat="false" ht="15" hidden="false" customHeight="false" outlineLevel="0" collapsed="false">
      <c r="C169" s="30" t="s">
        <v>174</v>
      </c>
      <c r="D169" s="11" t="s">
        <v>247</v>
      </c>
      <c r="F169" s="35" t="n">
        <f aca="false">$F165+$F166+In_FEP_Share*$F168</f>
        <v>124442.364391184</v>
      </c>
    </row>
    <row r="170" customFormat="false" ht="15" hidden="false" customHeight="false" outlineLevel="0" collapsed="false">
      <c r="C170" s="30" t="s">
        <v>598</v>
      </c>
      <c r="D170" s="11" t="s">
        <v>247</v>
      </c>
      <c r="I170" s="35" t="n">
        <f aca="false">SUM(J170:ET170)</f>
        <v>54442.6433346878</v>
      </c>
      <c r="J170" s="35" t="n">
        <f aca="false">J159+$F169*J14</f>
        <v>-400</v>
      </c>
      <c r="K170" s="35" t="n">
        <f aca="false">K159+$F169*K14</f>
        <v>-1437.78053818728</v>
      </c>
      <c r="L170" s="35" t="n">
        <f aca="false">L159+$F169*L14</f>
        <v>-691.910911990993</v>
      </c>
      <c r="M170" s="35" t="n">
        <f aca="false">M159+$F169*M14</f>
        <v>-148.451634452993</v>
      </c>
      <c r="N170" s="35" t="n">
        <f aca="false">N159+$F169*N14</f>
        <v>-149.601261024582</v>
      </c>
      <c r="O170" s="35" t="n">
        <f aca="false">O159+$F169*O14</f>
        <v>-290.127288421843</v>
      </c>
      <c r="P170" s="35" t="n">
        <f aca="false">P159+$F169*P14</f>
        <v>-1394.65781281475</v>
      </c>
      <c r="Q170" s="35" t="n">
        <f aca="false">Q159+$F169*Q14</f>
        <v>-109.225607055733</v>
      </c>
      <c r="R170" s="35" t="n">
        <f aca="false">R159+$F169*R14</f>
        <v>-269.857154566657</v>
      </c>
      <c r="S170" s="35" t="n">
        <f aca="false">S159+$F169*S14</f>
        <v>-422.991783283459</v>
      </c>
      <c r="T170" s="35" t="n">
        <f aca="false">T159+$F169*T14</f>
        <v>-20587.5113339088</v>
      </c>
      <c r="U170" s="35" t="n">
        <f aca="false">U159+$F169*U14</f>
        <v>-104.616018014637</v>
      </c>
      <c r="V170" s="35" t="n">
        <f aca="false">V159+$F169*V14</f>
        <v>-105.765644586226</v>
      </c>
      <c r="W170" s="35" t="n">
        <f aca="false">W159+$F169*W14</f>
        <v>-6367.1847682608</v>
      </c>
      <c r="X170" s="35" t="n">
        <f aca="false">X159+$F169*X14</f>
        <v>-4661.61083132373</v>
      </c>
      <c r="Y170" s="35" t="n">
        <f aca="false">Y159+$F169*Y14</f>
        <v>-4688.46029001015</v>
      </c>
      <c r="Z170" s="35" t="n">
        <f aca="false">Z159+$F169*Z14</f>
        <v>-4714.48125405884</v>
      </c>
      <c r="AA170" s="35" t="n">
        <f aca="false">AA159+$F169*AA14</f>
        <v>-4688.7004503316</v>
      </c>
      <c r="AB170" s="35" t="n">
        <f aca="false">AB159+$F169*AB14</f>
        <v>-4563.44624851397</v>
      </c>
      <c r="AC170" s="35" t="n">
        <f aca="false">AC159+$F169*AC14</f>
        <v>-4589.20498961362</v>
      </c>
      <c r="AD170" s="35" t="n">
        <f aca="false">AD159+$F169*AD14</f>
        <v>114828.229155109</v>
      </c>
      <c r="AE170" s="35" t="n">
        <f aca="false">AE159+$F169*AE14</f>
        <v>0</v>
      </c>
      <c r="AF170" s="35" t="n">
        <f aca="false">AF159+$F169*AF14</f>
        <v>0</v>
      </c>
      <c r="AG170" s="35" t="n">
        <f aca="false">AG159+$F169*AG14</f>
        <v>0</v>
      </c>
      <c r="AH170" s="35" t="n">
        <f aca="false">AH159+$F169*AH14</f>
        <v>0</v>
      </c>
      <c r="AI170" s="35" t="n">
        <f aca="false">AI159+$F169*AI14</f>
        <v>0</v>
      </c>
      <c r="AJ170" s="35" t="n">
        <f aca="false">AJ159+$F169*AJ14</f>
        <v>0</v>
      </c>
      <c r="AK170" s="35" t="n">
        <f aca="false">AK159+$F169*AK14</f>
        <v>0</v>
      </c>
      <c r="AL170" s="35" t="n">
        <f aca="false">AL159+$F169*AL14</f>
        <v>0</v>
      </c>
      <c r="AM170" s="35" t="n">
        <f aca="false">AM159+$F169*AM14</f>
        <v>0</v>
      </c>
      <c r="AN170" s="35" t="n">
        <f aca="false">AN159+$F169*AN14</f>
        <v>0</v>
      </c>
      <c r="AO170" s="35" t="n">
        <f aca="false">AO159+$F169*AO14</f>
        <v>0</v>
      </c>
      <c r="AP170" s="35" t="n">
        <f aca="false">AP159+$F169*AP14</f>
        <v>0</v>
      </c>
      <c r="AQ170" s="35" t="n">
        <f aca="false">AQ159+$F169*AQ14</f>
        <v>0</v>
      </c>
      <c r="AR170" s="35" t="n">
        <f aca="false">AR159+$F169*AR14</f>
        <v>0</v>
      </c>
      <c r="AS170" s="35" t="n">
        <f aca="false">AS159+$F169*AS14</f>
        <v>0</v>
      </c>
      <c r="AT170" s="35" t="n">
        <f aca="false">AT159+$F169*AT14</f>
        <v>0</v>
      </c>
      <c r="AU170" s="35" t="n">
        <f aca="false">AU159+$F169*AU14</f>
        <v>0</v>
      </c>
      <c r="AV170" s="35" t="n">
        <f aca="false">AV159+$F169*AV14</f>
        <v>0</v>
      </c>
      <c r="AW170" s="35" t="n">
        <f aca="false">AW159+$F169*AW14</f>
        <v>0</v>
      </c>
      <c r="AX170" s="35" t="n">
        <f aca="false">AX159+$F169*AX14</f>
        <v>0</v>
      </c>
      <c r="AY170" s="35" t="n">
        <f aca="false">AY159+$F169*AY14</f>
        <v>0</v>
      </c>
      <c r="AZ170" s="35" t="n">
        <f aca="false">AZ159+$F169*AZ14</f>
        <v>0</v>
      </c>
      <c r="BA170" s="35" t="n">
        <f aca="false">BA159+$F169*BA14</f>
        <v>0</v>
      </c>
      <c r="BB170" s="35" t="n">
        <f aca="false">BB159+$F169*BB14</f>
        <v>0</v>
      </c>
      <c r="BC170" s="35" t="n">
        <f aca="false">BC159+$F169*BC14</f>
        <v>0</v>
      </c>
      <c r="BD170" s="35" t="n">
        <f aca="false">BD159+$F169*BD14</f>
        <v>0</v>
      </c>
      <c r="BE170" s="35" t="n">
        <f aca="false">BE159+$F169*BE14</f>
        <v>0</v>
      </c>
      <c r="BF170" s="35" t="n">
        <f aca="false">BF159+$F169*BF14</f>
        <v>0</v>
      </c>
      <c r="BG170" s="35" t="n">
        <f aca="false">BG159+$F169*BG14</f>
        <v>0</v>
      </c>
      <c r="BH170" s="35" t="n">
        <f aca="false">BH159+$F169*BH14</f>
        <v>0</v>
      </c>
      <c r="BI170" s="35" t="n">
        <f aca="false">BI159+$F169*BI14</f>
        <v>0</v>
      </c>
      <c r="BJ170" s="35" t="n">
        <f aca="false">BJ159+$F169*BJ14</f>
        <v>0</v>
      </c>
      <c r="BK170" s="35" t="n">
        <f aca="false">BK159+$F169*BK14</f>
        <v>0</v>
      </c>
      <c r="BL170" s="35" t="n">
        <f aca="false">BL159+$F169*BL14</f>
        <v>0</v>
      </c>
      <c r="BM170" s="35" t="n">
        <f aca="false">BM159+$F169*BM14</f>
        <v>0</v>
      </c>
      <c r="BN170" s="35" t="n">
        <f aca="false">BN159+$F169*BN14</f>
        <v>0</v>
      </c>
      <c r="BO170" s="35" t="n">
        <f aca="false">BO159+$F169*BO14</f>
        <v>0</v>
      </c>
      <c r="BP170" s="35" t="n">
        <f aca="false">BP159+$F169*BP14</f>
        <v>0</v>
      </c>
      <c r="BQ170" s="35" t="n">
        <f aca="false">BQ159+$F169*BQ14</f>
        <v>0</v>
      </c>
      <c r="BR170" s="35" t="n">
        <f aca="false">BR159+$F169*BR14</f>
        <v>0</v>
      </c>
      <c r="BS170" s="35" t="n">
        <f aca="false">BS159+$F169*BS14</f>
        <v>0</v>
      </c>
      <c r="BT170" s="35" t="n">
        <f aca="false">BT159+$F169*BT14</f>
        <v>0</v>
      </c>
      <c r="BU170" s="35" t="n">
        <f aca="false">BU159+$F169*BU14</f>
        <v>0</v>
      </c>
      <c r="BV170" s="35" t="n">
        <f aca="false">BV159+$F169*BV14</f>
        <v>0</v>
      </c>
      <c r="BW170" s="35" t="n">
        <f aca="false">BW159+$F169*BW14</f>
        <v>0</v>
      </c>
      <c r="BX170" s="35" t="n">
        <f aca="false">BX159+$F169*BX14</f>
        <v>0</v>
      </c>
      <c r="BY170" s="35" t="n">
        <f aca="false">BY159+$F169*BY14</f>
        <v>0</v>
      </c>
      <c r="BZ170" s="35" t="n">
        <f aca="false">BZ159+$F169*BZ14</f>
        <v>0</v>
      </c>
      <c r="CA170" s="35" t="n">
        <f aca="false">CA159+$F169*CA14</f>
        <v>0</v>
      </c>
      <c r="CB170" s="35" t="n">
        <f aca="false">CB159+$F169*CB14</f>
        <v>0</v>
      </c>
      <c r="CC170" s="35" t="n">
        <f aca="false">CC159+$F169*CC14</f>
        <v>0</v>
      </c>
      <c r="CD170" s="35" t="n">
        <f aca="false">CD159+$F169*CD14</f>
        <v>0</v>
      </c>
      <c r="CE170" s="35" t="n">
        <f aca="false">CE159+$F169*CE14</f>
        <v>0</v>
      </c>
      <c r="CF170" s="35" t="n">
        <f aca="false">CF159+$F169*CF14</f>
        <v>0</v>
      </c>
      <c r="CG170" s="35" t="n">
        <f aca="false">CG159+$F169*CG14</f>
        <v>0</v>
      </c>
      <c r="CH170" s="35" t="n">
        <f aca="false">CH159+$F169*CH14</f>
        <v>0</v>
      </c>
      <c r="CI170" s="35" t="n">
        <f aca="false">CI159+$F169*CI14</f>
        <v>0</v>
      </c>
      <c r="CJ170" s="35" t="n">
        <f aca="false">CJ159+$F169*CJ14</f>
        <v>0</v>
      </c>
      <c r="CK170" s="35" t="n">
        <f aca="false">CK159+$F169*CK14</f>
        <v>0</v>
      </c>
      <c r="CL170" s="35" t="n">
        <f aca="false">CL159+$F169*CL14</f>
        <v>0</v>
      </c>
      <c r="CM170" s="35" t="n">
        <f aca="false">CM159+$F169*CM14</f>
        <v>0</v>
      </c>
      <c r="CN170" s="35" t="n">
        <f aca="false">CN159+$F169*CN14</f>
        <v>0</v>
      </c>
      <c r="CO170" s="35" t="n">
        <f aca="false">CO159+$F169*CO14</f>
        <v>0</v>
      </c>
      <c r="CP170" s="35" t="n">
        <f aca="false">CP159+$F169*CP14</f>
        <v>0</v>
      </c>
      <c r="CQ170" s="35" t="n">
        <f aca="false">CQ159+$F169*CQ14</f>
        <v>0</v>
      </c>
      <c r="CR170" s="35" t="n">
        <f aca="false">CR159+$F169*CR14</f>
        <v>0</v>
      </c>
      <c r="CS170" s="35" t="n">
        <f aca="false">CS159+$F169*CS14</f>
        <v>0</v>
      </c>
      <c r="CT170" s="35" t="n">
        <f aca="false">CT159+$F169*CT14</f>
        <v>0</v>
      </c>
      <c r="CU170" s="35" t="n">
        <f aca="false">CU159+$F169*CU14</f>
        <v>0</v>
      </c>
      <c r="CV170" s="35" t="n">
        <f aca="false">CV159+$F169*CV14</f>
        <v>0</v>
      </c>
      <c r="CW170" s="35" t="n">
        <f aca="false">CW159+$F169*CW14</f>
        <v>0</v>
      </c>
      <c r="CX170" s="35" t="n">
        <f aca="false">CX159+$F169*CX14</f>
        <v>0</v>
      </c>
      <c r="CY170" s="35" t="n">
        <f aca="false">CY159+$F169*CY14</f>
        <v>0</v>
      </c>
      <c r="CZ170" s="35" t="n">
        <f aca="false">CZ159+$F169*CZ14</f>
        <v>0</v>
      </c>
      <c r="DA170" s="35" t="n">
        <f aca="false">DA159+$F169*DA14</f>
        <v>0</v>
      </c>
      <c r="DB170" s="35" t="n">
        <f aca="false">DB159+$F169*DB14</f>
        <v>0</v>
      </c>
      <c r="DC170" s="35" t="n">
        <f aca="false">DC159+$F169*DC14</f>
        <v>0</v>
      </c>
      <c r="DD170" s="35" t="n">
        <f aca="false">DD159+$F169*DD14</f>
        <v>0</v>
      </c>
      <c r="DE170" s="35" t="n">
        <f aca="false">DE159+$F169*DE14</f>
        <v>0</v>
      </c>
      <c r="DF170" s="35" t="n">
        <f aca="false">DF159+$F169*DF14</f>
        <v>0</v>
      </c>
      <c r="DG170" s="35" t="n">
        <f aca="false">DG159+$F169*DG14</f>
        <v>0</v>
      </c>
      <c r="DH170" s="35" t="n">
        <f aca="false">DH159+$F169*DH14</f>
        <v>0</v>
      </c>
      <c r="DI170" s="35" t="n">
        <f aca="false">DI159+$F169*DI14</f>
        <v>0</v>
      </c>
      <c r="DJ170" s="35" t="n">
        <f aca="false">DJ159+$F169*DJ14</f>
        <v>0</v>
      </c>
      <c r="DK170" s="35" t="n">
        <f aca="false">DK159+$F169*DK14</f>
        <v>0</v>
      </c>
      <c r="DL170" s="35" t="n">
        <f aca="false">DL159+$F169*DL14</f>
        <v>0</v>
      </c>
      <c r="DM170" s="35" t="n">
        <f aca="false">DM159+$F169*DM14</f>
        <v>0</v>
      </c>
      <c r="DN170" s="35" t="n">
        <f aca="false">DN159+$F169*DN14</f>
        <v>0</v>
      </c>
      <c r="DO170" s="35" t="n">
        <f aca="false">DO159+$F169*DO14</f>
        <v>0</v>
      </c>
      <c r="DP170" s="35" t="n">
        <f aca="false">DP159+$F169*DP14</f>
        <v>0</v>
      </c>
      <c r="DQ170" s="35" t="n">
        <f aca="false">DQ159+$F169*DQ14</f>
        <v>0</v>
      </c>
      <c r="DR170" s="35" t="n">
        <f aca="false">DR159+$F169*DR14</f>
        <v>0</v>
      </c>
      <c r="DS170" s="35" t="n">
        <f aca="false">DS159+$F169*DS14</f>
        <v>0</v>
      </c>
      <c r="DT170" s="35" t="n">
        <f aca="false">DT159+$F169*DT14</f>
        <v>0</v>
      </c>
      <c r="DU170" s="35" t="n">
        <f aca="false">DU159+$F169*DU14</f>
        <v>0</v>
      </c>
      <c r="DV170" s="35" t="n">
        <f aca="false">DV159+$F169*DV14</f>
        <v>0</v>
      </c>
      <c r="DW170" s="35" t="n">
        <f aca="false">DW159+$F169*DW14</f>
        <v>0</v>
      </c>
      <c r="DX170" s="35" t="n">
        <f aca="false">DX159+$F169*DX14</f>
        <v>0</v>
      </c>
      <c r="DY170" s="35" t="n">
        <f aca="false">DY159+$F169*DY14</f>
        <v>0</v>
      </c>
      <c r="DZ170" s="35" t="n">
        <f aca="false">DZ159+$F169*DZ14</f>
        <v>0</v>
      </c>
      <c r="EA170" s="35" t="n">
        <f aca="false">EA159+$F169*EA14</f>
        <v>0</v>
      </c>
      <c r="EB170" s="35" t="n">
        <f aca="false">EB159+$F169*EB14</f>
        <v>0</v>
      </c>
      <c r="EC170" s="35" t="n">
        <f aca="false">EC159+$F169*EC14</f>
        <v>0</v>
      </c>
      <c r="ED170" s="35" t="n">
        <f aca="false">ED159+$F169*ED14</f>
        <v>0</v>
      </c>
      <c r="EE170" s="35" t="n">
        <f aca="false">EE159+$F169*EE14</f>
        <v>0</v>
      </c>
      <c r="EF170" s="35" t="n">
        <f aca="false">EF159+$F169*EF14</f>
        <v>0</v>
      </c>
      <c r="EG170" s="35" t="n">
        <f aca="false">EG159+$F169*EG14</f>
        <v>0</v>
      </c>
      <c r="EH170" s="35" t="n">
        <f aca="false">EH159+$F169*EH14</f>
        <v>0</v>
      </c>
      <c r="EI170" s="35" t="n">
        <f aca="false">EI159+$F169*EI14</f>
        <v>0</v>
      </c>
      <c r="EJ170" s="35" t="n">
        <f aca="false">EJ159+$F169*EJ14</f>
        <v>0</v>
      </c>
      <c r="EK170" s="35" t="n">
        <f aca="false">EK159+$F169*EK14</f>
        <v>0</v>
      </c>
      <c r="EL170" s="35" t="n">
        <f aca="false">EL159+$F169*EL14</f>
        <v>0</v>
      </c>
      <c r="EM170" s="35" t="n">
        <f aca="false">EM159+$F169*EM14</f>
        <v>0</v>
      </c>
      <c r="EN170" s="35" t="n">
        <f aca="false">EN159+$F169*EN14</f>
        <v>0</v>
      </c>
      <c r="EO170" s="35" t="n">
        <f aca="false">EO159+$F169*EO14</f>
        <v>0</v>
      </c>
      <c r="EP170" s="35" t="n">
        <f aca="false">EP159+$F169*EP14</f>
        <v>0</v>
      </c>
      <c r="EQ170" s="35" t="n">
        <f aca="false">EQ159+$F169*EQ14</f>
        <v>0</v>
      </c>
      <c r="ER170" s="35" t="n">
        <f aca="false">ER159+$F169*ER14</f>
        <v>0</v>
      </c>
      <c r="ES170" s="35" t="n">
        <f aca="false">ES159+$F169*ES14</f>
        <v>0</v>
      </c>
      <c r="ET170" s="35" t="n">
        <f aca="false">ET159+$F169*ET14</f>
        <v>0</v>
      </c>
    </row>
    <row r="171" customFormat="false" ht="15" hidden="false" customHeight="false" outlineLevel="0" collapsed="false">
      <c r="C171" s="30" t="s">
        <v>77</v>
      </c>
      <c r="D171" s="11" t="s">
        <v>35</v>
      </c>
      <c r="E171" s="57" t="n">
        <f aca="false">XIRR($J170:$ET170,$J$4:$ET$4)</f>
        <v>0.378454368531697</v>
      </c>
    </row>
    <row r="172" customFormat="false" ht="15" hidden="false" customHeight="false" outlineLevel="0" collapsed="false">
      <c r="C172" s="30" t="s">
        <v>599</v>
      </c>
      <c r="D172" s="11" t="s">
        <v>13</v>
      </c>
      <c r="E172" s="58" t="n">
        <f aca="false">$F169/-$I159</f>
        <v>1.77775514692048</v>
      </c>
    </row>
    <row r="173" customFormat="false" ht="15" hidden="false" customHeight="false" outlineLevel="0" collapsed="false">
      <c r="C173" s="30" t="s">
        <v>79</v>
      </c>
      <c r="D173" s="11" t="s">
        <v>247</v>
      </c>
      <c r="E173" s="35" t="n">
        <f aca="false">XNPV(In_Discount_Rate,$J170:$ET170,$J$4:$ET$4)</f>
        <v>30754.8631039482</v>
      </c>
    </row>
    <row r="174" customFormat="false" ht="15" hidden="false" customHeight="false" outlineLevel="0" collapsed="false">
      <c r="A174" s="55"/>
      <c r="B174" s="55"/>
      <c r="C174" s="55" t="s">
        <v>600</v>
      </c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55"/>
      <c r="BK174" s="55"/>
      <c r="BL174" s="55"/>
      <c r="BM174" s="55"/>
      <c r="BN174" s="55"/>
      <c r="BO174" s="55"/>
      <c r="BP174" s="55"/>
      <c r="BQ174" s="55"/>
      <c r="BR174" s="55"/>
      <c r="BS174" s="55"/>
      <c r="BT174" s="55"/>
      <c r="BU174" s="55"/>
      <c r="BV174" s="55"/>
      <c r="BW174" s="55"/>
      <c r="BX174" s="5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55"/>
      <c r="CO174" s="55"/>
      <c r="CP174" s="55"/>
      <c r="CQ174" s="55"/>
      <c r="CR174" s="55"/>
      <c r="CS174" s="55"/>
      <c r="CT174" s="55"/>
      <c r="CU174" s="55"/>
      <c r="CV174" s="55"/>
      <c r="CW174" s="55"/>
      <c r="CX174" s="55"/>
      <c r="CY174" s="55"/>
      <c r="CZ174" s="55"/>
      <c r="DA174" s="55"/>
      <c r="DB174" s="55"/>
      <c r="DC174" s="55"/>
      <c r="DD174" s="55"/>
      <c r="DE174" s="55"/>
      <c r="DF174" s="55"/>
      <c r="DG174" s="55"/>
      <c r="DH174" s="55"/>
      <c r="DI174" s="55"/>
      <c r="DJ174" s="55"/>
      <c r="DK174" s="55"/>
      <c r="DL174" s="55"/>
      <c r="DM174" s="55"/>
      <c r="DN174" s="55"/>
      <c r="DO174" s="55"/>
      <c r="DP174" s="55"/>
      <c r="DQ174" s="55"/>
      <c r="DR174" s="55"/>
      <c r="DS174" s="55"/>
      <c r="DT174" s="55"/>
      <c r="DU174" s="55"/>
      <c r="DV174" s="55"/>
      <c r="DW174" s="55"/>
      <c r="DX174" s="55"/>
      <c r="DY174" s="55"/>
      <c r="DZ174" s="55"/>
      <c r="EA174" s="55"/>
      <c r="EB174" s="55"/>
      <c r="EC174" s="55"/>
      <c r="ED174" s="55"/>
      <c r="EE174" s="55"/>
      <c r="EF174" s="55"/>
      <c r="EG174" s="55"/>
      <c r="EH174" s="55"/>
      <c r="EI174" s="55"/>
      <c r="EJ174" s="55"/>
      <c r="EK174" s="55"/>
      <c r="EL174" s="55"/>
      <c r="EM174" s="55"/>
      <c r="EN174" s="55"/>
      <c r="EO174" s="55"/>
      <c r="EP174" s="55"/>
      <c r="EQ174" s="55"/>
      <c r="ER174" s="55"/>
      <c r="ES174" s="55"/>
      <c r="ET174" s="55"/>
    </row>
    <row r="175" customFormat="false" ht="15" hidden="false" customHeight="false" outlineLevel="0" collapsed="false">
      <c r="C175" s="0" t="s">
        <v>601</v>
      </c>
      <c r="D175" s="11" t="s">
        <v>247</v>
      </c>
      <c r="E175" s="33" t="n">
        <f aca="false">$E92*$F24</f>
        <v>60000</v>
      </c>
      <c r="F175" s="33" t="n">
        <f aca="false">In_Installation*$F24</f>
        <v>8000</v>
      </c>
    </row>
    <row r="176" customFormat="false" ht="15" hidden="false" customHeight="false" outlineLevel="0" collapsed="false">
      <c r="C176" s="0" t="s">
        <v>602</v>
      </c>
      <c r="D176" s="11" t="s">
        <v>247</v>
      </c>
      <c r="E176" s="33" t="n">
        <f aca="false">In_Foundations*$F24</f>
        <v>9000</v>
      </c>
      <c r="F176" s="33" t="n">
        <f aca="false">In_BoP*$F24</f>
        <v>13000</v>
      </c>
    </row>
    <row r="177" customFormat="false" ht="15" hidden="false" customHeight="false" outlineLevel="0" collapsed="false">
      <c r="C177" s="0" t="s">
        <v>603</v>
      </c>
      <c r="D177" s="11" t="s">
        <v>247</v>
      </c>
      <c r="E177" s="33" t="n">
        <f aca="false">In_Owner*$F24</f>
        <v>4000</v>
      </c>
      <c r="F177" s="33" t="n">
        <f aca="false">In_Easements*$F24-SUMIF($J$4:$ET$4,"&lt;="&amp;In_COD,$J119:$ET119)</f>
        <v>2118.49126824379</v>
      </c>
    </row>
    <row r="178" customFormat="false" ht="15" hidden="false" customHeight="false" outlineLevel="0" collapsed="false">
      <c r="C178" s="0" t="s">
        <v>604</v>
      </c>
      <c r="D178" s="11" t="s">
        <v>247</v>
      </c>
      <c r="E178" s="33" t="n">
        <f aca="false">In_Capex_Contingency*(($E92+$F92)*$F24+$E93)</f>
        <v>5375</v>
      </c>
      <c r="F178" s="33" t="n">
        <f aca="false">$E93</f>
        <v>12000</v>
      </c>
    </row>
    <row r="179" customFormat="false" ht="15" hidden="false" customHeight="false" outlineLevel="0" collapsed="false">
      <c r="C179" s="0" t="s">
        <v>605</v>
      </c>
      <c r="D179" s="11" t="s">
        <v>247</v>
      </c>
      <c r="E179" s="33" t="n">
        <f aca="false">In_BESS_Capex*$F25</f>
        <v>12240</v>
      </c>
      <c r="F179" s="33" t="n">
        <f aca="false">-$I53</f>
        <v>20179.3874082192</v>
      </c>
    </row>
    <row r="180" customFormat="false" ht="15" hidden="false" customHeight="false" outlineLevel="0" collapsed="false">
      <c r="C180" s="0" t="s">
        <v>606</v>
      </c>
      <c r="D180" s="11" t="s">
        <v>247</v>
      </c>
      <c r="E180" s="33" t="n">
        <f aca="false">-$I95</f>
        <v>5000</v>
      </c>
      <c r="F180" s="33" t="n">
        <f aca="false">-($I57+$I46+$I47+$I50)</f>
        <v>4760.72040238188</v>
      </c>
    </row>
    <row r="181" customFormat="false" ht="15" hidden="false" customHeight="false" outlineLevel="0" collapsed="false">
      <c r="C181" s="0" t="s">
        <v>118</v>
      </c>
      <c r="D181" s="11" t="s">
        <v>247</v>
      </c>
      <c r="E181" s="33" t="n">
        <f aca="false">$I99-$I103-$I104-$F59</f>
        <v>8546.62590022075</v>
      </c>
    </row>
    <row r="182" customFormat="false" ht="15" hidden="false" customHeight="false" outlineLevel="0" collapsed="false">
      <c r="C182" s="30" t="s">
        <v>607</v>
      </c>
      <c r="D182" s="11" t="s">
        <v>247</v>
      </c>
      <c r="E182" s="35" t="n">
        <f aca="false">SUM($E175:$F181)</f>
        <v>164220.224979066</v>
      </c>
      <c r="F182" s="35" t="n">
        <f aca="false">$I98+$I99-$I159</f>
        <v>164220.224979066</v>
      </c>
    </row>
    <row r="183" customFormat="false" ht="15" hidden="false" customHeight="false" outlineLevel="0" collapsed="false">
      <c r="C183" s="0" t="s">
        <v>608</v>
      </c>
      <c r="D183" s="11" t="s">
        <v>247</v>
      </c>
      <c r="E183" s="33" t="n">
        <f aca="false">-($I94+$I98)-SUMIF($J$4:$ET$4,"&lt;="&amp;In_COD,$J119:$ET119)</f>
        <v>35556.8588233123</v>
      </c>
      <c r="F183" s="33" t="n">
        <f aca="false">-($I103+$I104)</f>
        <v>2491.1378476157</v>
      </c>
    </row>
    <row r="184" customFormat="false" ht="15" hidden="false" customHeight="false" outlineLevel="0" collapsed="false">
      <c r="A184" s="55"/>
      <c r="B184" s="55"/>
      <c r="C184" s="55" t="s">
        <v>609</v>
      </c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  <c r="AX184" s="55"/>
      <c r="AY184" s="55"/>
      <c r="AZ184" s="55"/>
      <c r="BA184" s="55"/>
      <c r="BB184" s="55"/>
      <c r="BC184" s="55"/>
      <c r="BD184" s="55"/>
      <c r="BE184" s="55"/>
      <c r="BF184" s="55"/>
      <c r="BG184" s="55"/>
      <c r="BH184" s="55"/>
      <c r="BI184" s="55"/>
      <c r="BJ184" s="55"/>
      <c r="BK184" s="55"/>
      <c r="BL184" s="55"/>
      <c r="BM184" s="55"/>
      <c r="BN184" s="55"/>
      <c r="BO184" s="55"/>
      <c r="BP184" s="55"/>
      <c r="BQ184" s="55"/>
      <c r="BR184" s="55"/>
      <c r="BS184" s="55"/>
      <c r="BT184" s="55"/>
      <c r="BU184" s="55"/>
      <c r="BV184" s="55"/>
      <c r="BW184" s="55"/>
      <c r="BX184" s="55"/>
      <c r="BY184" s="55"/>
      <c r="BZ184" s="55"/>
      <c r="CA184" s="55"/>
      <c r="CB184" s="55"/>
      <c r="CC184" s="55"/>
      <c r="CD184" s="55"/>
      <c r="CE184" s="55"/>
      <c r="CF184" s="55"/>
      <c r="CG184" s="55"/>
      <c r="CH184" s="55"/>
      <c r="CI184" s="55"/>
      <c r="CJ184" s="55"/>
      <c r="CK184" s="55"/>
      <c r="CL184" s="55"/>
      <c r="CM184" s="55"/>
      <c r="CN184" s="55"/>
      <c r="CO184" s="55"/>
      <c r="CP184" s="55"/>
      <c r="CQ184" s="55"/>
      <c r="CR184" s="55"/>
      <c r="CS184" s="55"/>
      <c r="CT184" s="55"/>
      <c r="CU184" s="55"/>
      <c r="CV184" s="55"/>
      <c r="CW184" s="55"/>
      <c r="CX184" s="55"/>
      <c r="CY184" s="55"/>
      <c r="CZ184" s="55"/>
      <c r="DA184" s="55"/>
      <c r="DB184" s="55"/>
      <c r="DC184" s="55"/>
      <c r="DD184" s="55"/>
      <c r="DE184" s="55"/>
      <c r="DF184" s="55"/>
      <c r="DG184" s="55"/>
      <c r="DH184" s="55"/>
      <c r="DI184" s="55"/>
      <c r="DJ184" s="55"/>
      <c r="DK184" s="55"/>
      <c r="DL184" s="55"/>
      <c r="DM184" s="55"/>
      <c r="DN184" s="55"/>
      <c r="DO184" s="55"/>
      <c r="DP184" s="55"/>
      <c r="DQ184" s="55"/>
      <c r="DR184" s="55"/>
      <c r="DS184" s="55"/>
      <c r="DT184" s="55"/>
      <c r="DU184" s="55"/>
      <c r="DV184" s="55"/>
      <c r="DW184" s="55"/>
      <c r="DX184" s="55"/>
      <c r="DY184" s="55"/>
      <c r="DZ184" s="55"/>
      <c r="EA184" s="55"/>
      <c r="EB184" s="55"/>
      <c r="EC184" s="55"/>
      <c r="ED184" s="55"/>
      <c r="EE184" s="55"/>
      <c r="EF184" s="55"/>
      <c r="EG184" s="55"/>
      <c r="EH184" s="55"/>
      <c r="EI184" s="55"/>
      <c r="EJ184" s="55"/>
      <c r="EK184" s="55"/>
      <c r="EL184" s="55"/>
      <c r="EM184" s="55"/>
      <c r="EN184" s="55"/>
      <c r="EO184" s="55"/>
      <c r="EP184" s="55"/>
      <c r="EQ184" s="55"/>
      <c r="ER184" s="55"/>
      <c r="ES184" s="55"/>
      <c r="ET184" s="55"/>
    </row>
    <row r="185" customFormat="false" ht="15" hidden="false" customHeight="false" outlineLevel="0" collapsed="false">
      <c r="C185" s="0" t="s">
        <v>142</v>
      </c>
      <c r="D185" s="11" t="s">
        <v>247</v>
      </c>
      <c r="E185" s="33" t="n">
        <f aca="false">$E49-$I47-$I50</f>
        <v>8234.65753424658</v>
      </c>
    </row>
    <row r="186" customFormat="false" ht="15" hidden="false" customHeight="false" outlineLevel="0" collapsed="false">
      <c r="C186" s="30" t="s">
        <v>610</v>
      </c>
      <c r="D186" s="11" t="s">
        <v>247</v>
      </c>
      <c r="E186" s="35" t="n">
        <f aca="false">$E182+$E49</f>
        <v>171213.786622901</v>
      </c>
    </row>
    <row r="187" customFormat="false" ht="15" hidden="false" customHeight="false" outlineLevel="0" collapsed="false">
      <c r="C187" s="0" t="s">
        <v>611</v>
      </c>
      <c r="D187" s="11" t="s">
        <v>247</v>
      </c>
      <c r="E187" s="33" t="n">
        <f aca="false">-$I87</f>
        <v>1418.21917808219</v>
      </c>
      <c r="F187" s="33" t="n">
        <f aca="false">$F86</f>
        <v>6993.56164383562</v>
      </c>
    </row>
    <row r="189" customFormat="false" ht="15" hidden="false" customHeight="false" outlineLevel="0" collapsed="false">
      <c r="A189" s="9" t="s">
        <v>13</v>
      </c>
      <c r="B189" s="9"/>
      <c r="C189" s="9" t="s">
        <v>177</v>
      </c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</row>
    <row r="190" customFormat="false" ht="15" hidden="false" customHeight="false" outlineLevel="0" collapsed="false">
      <c r="C190" s="30" t="s">
        <v>612</v>
      </c>
      <c r="D190" s="11" t="s">
        <v>247</v>
      </c>
      <c r="I190" s="35" t="n">
        <f aca="false">SUM(J190:ET190)</f>
        <v>287506.93004095</v>
      </c>
      <c r="J190" s="35" t="n">
        <f aca="false">J60+J105+J98+J119+J102+J100+J128+J87-$F143*J12</f>
        <v>-400</v>
      </c>
      <c r="K190" s="35" t="n">
        <f aca="false">K60+K105+K98+K119+K102+K100+K128+K87-$F143*K12</f>
        <v>-1437.78053818728</v>
      </c>
      <c r="L190" s="35" t="n">
        <f aca="false">L60+L105+L98+L119+L102+L100+L128+L87-$F143*L12</f>
        <v>-691.910911990993</v>
      </c>
      <c r="M190" s="35" t="n">
        <f aca="false">M60+M105+M98+M119+M102+M100+M128+M87-$F143*M12</f>
        <v>-148.451634452993</v>
      </c>
      <c r="N190" s="35" t="n">
        <f aca="false">N60+N105+N98+N119+N102+N100+N128+N87-$F143*N12</f>
        <v>-149.601261024582</v>
      </c>
      <c r="O190" s="35" t="n">
        <f aca="false">O60+O105+O98+O119+O102+O100+O128+O87-$F143*O12</f>
        <v>-290.127288421843</v>
      </c>
      <c r="P190" s="35" t="n">
        <f aca="false">P60+P105+P98+P119+P102+P100+P128+P87-$F143*P12</f>
        <v>-1394.65781281475</v>
      </c>
      <c r="Q190" s="35" t="n">
        <f aca="false">Q60+Q105+Q98+Q119+Q102+Q100+Q128+Q87-$F143*Q12</f>
        <v>-109.225607055733</v>
      </c>
      <c r="R190" s="35" t="n">
        <f aca="false">R60+R105+R98+R119+R102+R100+R128+R87-$F143*R12</f>
        <v>-269.857154566657</v>
      </c>
      <c r="S190" s="35" t="n">
        <f aca="false">S60+S105+S98+S119+S102+S100+S128+S87-$F143*S12</f>
        <v>-422.991783283459</v>
      </c>
      <c r="T190" s="35" t="n">
        <f aca="false">T60+T105+T98+T119+T102+T100+T128+T87-$F143*T12</f>
        <v>-20587.5113339088</v>
      </c>
      <c r="U190" s="35" t="n">
        <f aca="false">U60+U105+U98+U119+U102+U100+U128+U87-$F143*U12</f>
        <v>-104.616018014637</v>
      </c>
      <c r="V190" s="35" t="n">
        <f aca="false">V60+V105+V98+V119+V102+V100+V128+V87-$F143*V12</f>
        <v>-105.765644586226</v>
      </c>
      <c r="W190" s="35" t="n">
        <f aca="false">W60+W105+W98+W119+W102+W100+W128+W87-$F143*W12</f>
        <v>-9816.25417863877</v>
      </c>
      <c r="X190" s="35" t="n">
        <f aca="false">X60+X105+X98+X119+X102+X100+X128+X87-$F143*X12</f>
        <v>-4661.61083132373</v>
      </c>
      <c r="Y190" s="35" t="n">
        <f aca="false">Y60+Y105+Y98+Y119+Y102+Y100+Y128+Y87-$F143*Y12</f>
        <v>-4688.46029001015</v>
      </c>
      <c r="Z190" s="35" t="n">
        <f aca="false">Z60+Z105+Z98+Z119+Z102+Z100+Z128+Z87-$F143*Z12</f>
        <v>-4714.48125405884</v>
      </c>
      <c r="AA190" s="35" t="n">
        <f aca="false">AA60+AA105+AA98+AA119+AA102+AA100+AA128+AA87-$F143*AA12</f>
        <v>-4688.7004503316</v>
      </c>
      <c r="AB190" s="35" t="n">
        <f aca="false">AB60+AB105+AB98+AB119+AB102+AB100+AB128+AB87-$F143*AB12</f>
        <v>-4563.44624851397</v>
      </c>
      <c r="AC190" s="35" t="n">
        <f aca="false">AC60+AC105+AC98+AC119+AC102+AC100+AC128+AC87-$F143*AC12</f>
        <v>-4589.20498961362</v>
      </c>
      <c r="AD190" s="35" t="n">
        <f aca="false">AD60+AD105+AD98+AD119+AD102+AD100+AD128+AD87-$F143*AD12</f>
        <v>-9614.13523607553</v>
      </c>
      <c r="AE190" s="35" t="n">
        <f aca="false">AE60+AE105+AE98+AE119+AE102+AE100+AE128+AE87-$F143*AE12</f>
        <v>1037.68917836884</v>
      </c>
      <c r="AF190" s="35" t="n">
        <f aca="false">AF60+AF105+AF98+AF119+AF102+AF100+AF128+AF87-$F143*AF12</f>
        <v>-396.777138633818</v>
      </c>
      <c r="AG190" s="35" t="n">
        <f aca="false">AG60+AG105+AG98+AG119+AG102+AG100+AG128+AG87-$F143*AG12</f>
        <v>1021.44203944837</v>
      </c>
      <c r="AH190" s="35" t="n">
        <f aca="false">AH60+AH105+AH98+AH119+AH102+AH100+AH128+AH87-$F143*AH12</f>
        <v>1065.71779487514</v>
      </c>
      <c r="AI190" s="35" t="n">
        <f aca="false">AI60+AI105+AI98+AI119+AI102+AI100+AI128+AI87-$F143*AI12</f>
        <v>1051.0237613614</v>
      </c>
      <c r="AJ190" s="35" t="n">
        <f aca="false">AJ60+AJ105+AJ98+AJ119+AJ102+AJ100+AJ128+AJ87-$F143*AJ12</f>
        <v>967.855456140572</v>
      </c>
      <c r="AK190" s="35" t="n">
        <f aca="false">AK60+AK105+AK98+AK119+AK102+AK100+AK128+AK87-$F143*AK12</f>
        <v>1033.4830359105</v>
      </c>
      <c r="AL190" s="35" t="n">
        <f aca="false">AL60+AL105+AL98+AL119+AL102+AL100+AL128+AL87-$F143*AL12</f>
        <v>1074.64840725743</v>
      </c>
      <c r="AM190" s="35" t="n">
        <f aca="false">AM60+AM105+AM98+AM119+AM102+AM100+AM128+AM87-$F143*AM12</f>
        <v>1058.946365332</v>
      </c>
      <c r="AN190" s="35" t="n">
        <f aca="false">AN60+AN105+AN98+AN119+AN102+AN100+AN128+AN87-$F143*AN12</f>
        <v>994.711877093503</v>
      </c>
      <c r="AO190" s="35" t="n">
        <f aca="false">AO60+AO105+AO98+AO119+AO102+AO100+AO128+AO87-$F143*AO12</f>
        <v>1035.91913713534</v>
      </c>
      <c r="AP190" s="35" t="n">
        <f aca="false">AP60+AP105+AP98+AP119+AP102+AP100+AP128+AP87-$F143*AP12</f>
        <v>1077.09762027179</v>
      </c>
      <c r="AQ190" s="35" t="n">
        <f aca="false">AQ60+AQ105+AQ98+AQ119+AQ102+AQ100+AQ128+AQ87-$F143*AQ12</f>
        <v>1061.19607751072</v>
      </c>
      <c r="AR190" s="35" t="n">
        <f aca="false">AR60+AR105+AR98+AR119+AR102+AR100+AR128+AR87-$F143*AR12</f>
        <v>996.359693051562</v>
      </c>
      <c r="AS190" s="35" t="n">
        <f aca="false">AS60+AS105+AS98+AS119+AS102+AS100+AS128+AS87-$F143*AS12</f>
        <v>1037.57223061168</v>
      </c>
      <c r="AT190" s="35" t="n">
        <f aca="false">AT60+AT105+AT98+AT119+AT102+AT100+AT128+AT87-$F143*AT12</f>
        <v>1078.75452521727</v>
      </c>
      <c r="AU190" s="35" t="n">
        <f aca="false">AU60+AU105+AU98+AU119+AU102+AU100+AU128+AU87-$F143*AU12</f>
        <v>1062.64737402308</v>
      </c>
      <c r="AV190" s="35" t="n">
        <f aca="false">AV60+AV105+AV98+AV119+AV102+AV100+AV128+AV87-$F143*AV12</f>
        <v>1040.94968109009</v>
      </c>
      <c r="AW190" s="35" t="n">
        <f aca="false">AW60+AW105+AW98+AW119+AW102+AW100+AW128+AW87-$F143*AW12</f>
        <v>1038.40698572612</v>
      </c>
      <c r="AX190" s="35" t="n">
        <f aca="false">AX60+AX105+AX98+AX119+AX102+AX100+AX128+AX87-$F143*AX12</f>
        <v>1079.58336778219</v>
      </c>
      <c r="AY190" s="35" t="n">
        <f aca="false">AY60+AY105+AY98+AY119+AY102+AY100+AY128+AY87-$F143*AY12</f>
        <v>1063.26420819321</v>
      </c>
      <c r="AZ190" s="35" t="n">
        <f aca="false">AZ60+AZ105+AZ98+AZ119+AZ102+AZ100+AZ128+AZ87-$F143*AZ12</f>
        <v>997.192853302776</v>
      </c>
      <c r="BA190" s="35" t="n">
        <f aca="false">BA60+BA105+BA98+BA119+BA102+BA100+BA128+BA87-$F143*BA12</f>
        <v>1038.38655959095</v>
      </c>
      <c r="BB190" s="35" t="n">
        <f aca="false">BB60+BB105+BB98+BB119+BB102+BB100+BB128+BB87-$F143*BB12</f>
        <v>1079.54686295618</v>
      </c>
      <c r="BC190" s="35" t="n">
        <f aca="false">BC60+BC105+BC98+BC119+BC102+BC100+BC128+BC87-$F143*BC12</f>
        <v>1063.00898769499</v>
      </c>
      <c r="BD190" s="35" t="n">
        <f aca="false">BD60+BD105+BD98+BD119+BD102+BD100+BD128+BD87-$F143*BD12</f>
        <v>996.303826447978</v>
      </c>
      <c r="BE190" s="35" t="n">
        <f aca="false">BE60+BE105+BE98+BE119+BE102+BE100+BE128+BE87-$F143*BE12</f>
        <v>1037.47252823187</v>
      </c>
      <c r="BF190" s="35" t="n">
        <f aca="false">BF60+BF105+BF98+BF119+BF102+BF100+BF128+BF87-$F143*BF12</f>
        <v>1078.60612536964</v>
      </c>
      <c r="BG190" s="35" t="n">
        <f aca="false">BG60+BG105+BG98+BG119+BG102+BG100+BG128+BG87-$F143*BG12</f>
        <v>1061.84250412526</v>
      </c>
      <c r="BH190" s="35" t="n">
        <f aca="false">BH60+BH105+BH98+BH119+BH102+BH100+BH128+BH87-$F143*BH12</f>
        <v>994.492139597744</v>
      </c>
      <c r="BI190" s="35" t="n">
        <f aca="false">BI60+BI105+BI98+BI119+BI102+BI100+BI128+BI87-$F143*BI12</f>
        <v>1035.62481447865</v>
      </c>
      <c r="BJ190" s="35" t="n">
        <f aca="false">BJ60+BJ105+BJ98+BJ119+BJ102+BJ100+BJ128+BJ87-$F143*BJ12</f>
        <v>1076.72059629541</v>
      </c>
      <c r="BK190" s="35" t="n">
        <f aca="false">BK60+BK105+BK98+BK119+BK102+BK100+BK128+BK87-$F143*BK12</f>
        <v>1059.72385919996</v>
      </c>
      <c r="BL190" s="35" t="n">
        <f aca="false">BL60+BL105+BL98+BL119+BL102+BL100+BL128+BL87-$F143*BL12</f>
        <v>1035.90341989363</v>
      </c>
      <c r="BM190" s="35" t="n">
        <f aca="false">BM60+BM105+BM98+BM119+BM102+BM100+BM128+BM87-$F143*BM12</f>
        <v>1032.80161239613</v>
      </c>
      <c r="BN190" s="35" t="n">
        <f aca="false">BN60+BN105+BN98+BN119+BN102+BN100+BN128+BN87-$F143*BN12</f>
        <v>1073.84796714762</v>
      </c>
      <c r="BO190" s="35" t="n">
        <f aca="false">BO60+BO105+BO98+BO119+BO102+BO100+BO128+BO87-$F143*BO12</f>
        <v>1056.61038740647</v>
      </c>
      <c r="BP190" s="35" t="n">
        <f aca="false">BP60+BP105+BP98+BP119+BP102+BP100+BP128+BP87-$F143*BP12</f>
        <v>987.933768987489</v>
      </c>
      <c r="BQ190" s="35" t="n">
        <f aca="false">BQ60+BQ105+BQ98+BQ119+BQ102+BQ100+BQ128+BQ87-$F143*BQ12</f>
        <v>1028.95930808444</v>
      </c>
      <c r="BR190" s="35" t="n">
        <f aca="false">BR60+BR105+BR98+BR119+BR102+BR100+BR128+BR87-$F143*BR12</f>
        <v>1069.94409930481</v>
      </c>
      <c r="BS190" s="35" t="n">
        <f aca="false">BS60+BS105+BS98+BS119+BS102+BS100+BS128+BS87-$F143*BS12</f>
        <v>4060.1092793242</v>
      </c>
      <c r="BT190" s="35" t="n">
        <f aca="false">BT60+BT105+BT98+BT119+BT102+BT100+BT128+BT87-$F143*BT12</f>
        <v>3994.13434202624</v>
      </c>
      <c r="BU190" s="35" t="n">
        <f aca="false">BU60+BU105+BU98+BU119+BU102+BU100+BU128+BU87-$F143*BU12</f>
        <v>4038.5136124932</v>
      </c>
      <c r="BV190" s="35" t="n">
        <f aca="false">BV60+BV105+BV98+BV119+BV102+BV100+BV128+BV87-$F143*BV12</f>
        <v>4082.89288296016</v>
      </c>
      <c r="BW190" s="35" t="n">
        <f aca="false">BW60+BW105+BW98+BW119+BW102+BW100+BW128+BW87-$F143*BW12</f>
        <v>4068.66100375111</v>
      </c>
      <c r="BX190" s="35" t="n">
        <f aca="false">BX60+BX105+BX98+BX119+BX102+BX100+BX128+BX87-$F143*BX12</f>
        <v>4002.16336676262</v>
      </c>
      <c r="BY190" s="35" t="n">
        <f aca="false">BY60+BY105+BY98+BY119+BY102+BY100+BY128+BY87-$F143*BY12</f>
        <v>4046.63184861554</v>
      </c>
      <c r="BZ190" s="35" t="n">
        <f aca="false">BZ60+BZ105+BZ98+BZ119+BZ102+BZ100+BZ128+BZ87-$F143*BZ12</f>
        <v>4091.10033046846</v>
      </c>
      <c r="CA190" s="35" t="n">
        <f aca="false">CA60+CA105+CA98+CA119+CA102+CA100+CA128+CA87-$F143*CA12</f>
        <v>4076.78102375911</v>
      </c>
      <c r="CB190" s="35" t="n">
        <f aca="false">CB60+CB105+CB98+CB119+CB102+CB100+CB128+CB87-$F143*CB12</f>
        <v>4054.30866905455</v>
      </c>
      <c r="CC190" s="35" t="n">
        <f aca="false">CC60+CC105+CC98+CC119+CC102+CC100+CC128+CC87-$F143*CC12</f>
        <v>4054.30866905455</v>
      </c>
      <c r="CD190" s="35" t="n">
        <f aca="false">CD60+CD105+CD98+CD119+CD102+CD100+CD128+CD87-$F143*CD12</f>
        <v>4098.86151157164</v>
      </c>
      <c r="CE190" s="35" t="n">
        <f aca="false">CE60+CE105+CE98+CE119+CE102+CE100+CE128+CE87-$F143*CE12</f>
        <v>4084.45454603226</v>
      </c>
      <c r="CF190" s="35" t="n">
        <f aca="false">CF60+CF105+CF98+CF119+CF102+CF100+CF128+CF87-$F143*CF12</f>
        <v>4016.89686178095</v>
      </c>
      <c r="CG190" s="35" t="n">
        <f aca="false">CG60+CG105+CG98+CG119+CG102+CG100+CG128+CG87-$F143*CG12</f>
        <v>4061.52904913407</v>
      </c>
      <c r="CH190" s="35" t="n">
        <f aca="false">CH60+CH105+CH98+CH119+CH102+CH100+CH128+CH87-$F143*CH12</f>
        <v>4106.16123648719</v>
      </c>
      <c r="CI190" s="35" t="n">
        <f aca="false">CI60+CI105+CI98+CI119+CI102+CI100+CI128+CI87-$F143*CI12</f>
        <v>4091.66638710419</v>
      </c>
      <c r="CJ190" s="35" t="n">
        <f aca="false">CJ60+CJ105+CJ98+CJ119+CJ102+CJ100+CJ128+CJ87-$F143*CJ12</f>
        <v>4023.57122153205</v>
      </c>
      <c r="CK190" s="35" t="n">
        <f aca="false">CK60+CK105+CK98+CK119+CK102+CK100+CK128+CK87-$F143*CK12</f>
        <v>4068.27756843796</v>
      </c>
      <c r="CL190" s="35" t="n">
        <f aca="false">CL60+CL105+CL98+CL119+CL102+CL100+CL128+CL87-$F143*CL12</f>
        <v>4112.98391534387</v>
      </c>
      <c r="CM190" s="35" t="n">
        <f aca="false">CM60+CM105+CM98+CM119+CM102+CM100+CM128+CM87-$F143*CM12</f>
        <v>4098.4009636387</v>
      </c>
      <c r="CN190" s="35" t="n">
        <f aca="false">CN60+CN105+CN98+CN119+CN102+CN100+CN128+CN87-$F143*CN12</f>
        <v>4029.76325369152</v>
      </c>
      <c r="CO190" s="35" t="n">
        <f aca="false">CO60+CO105+CO98+CO119+CO102+CO100+CO128+CO87-$F143*CO12</f>
        <v>4074.53840095476</v>
      </c>
      <c r="CP190" s="35" t="n">
        <f aca="false">CP60+CP105+CP98+CP119+CP102+CP100+CP128+CP87-$F143*CP12</f>
        <v>4119.313548218</v>
      </c>
      <c r="CQ190" s="35" t="n">
        <f aca="false">CQ60+CQ105+CQ98+CQ119+CQ102+CQ100+CQ128+CQ87-$F143*CQ12</f>
        <v>4104.64228247146</v>
      </c>
      <c r="CR190" s="35" t="n">
        <f aca="false">CR60+CR105+CR98+CR119+CR102+CR100+CR128+CR87-$F143*CR12</f>
        <v>4080.29530498012</v>
      </c>
      <c r="CS190" s="35" t="n">
        <f aca="false">CS60+CS105+CS98+CS119+CS102+CS100+CS128+CS87-$F143*CS12</f>
        <v>4080.29530498012</v>
      </c>
      <c r="CT190" s="35" t="n">
        <f aca="false">CT60+CT105+CT98+CT119+CT102+CT100+CT128+CT87-$F143*CT12</f>
        <v>4125.13371492496</v>
      </c>
      <c r="CU190" s="35" t="n">
        <f aca="false">CU60+CU105+CU98+CU119+CU102+CU100+CU128+CU87-$F143*CU12</f>
        <v>4110.37393040698</v>
      </c>
      <c r="CV190" s="35" t="n">
        <f aca="false">CV60+CV105+CV98+CV119+CV102+CV100+CV128+CV87-$F143*CV12</f>
        <v>4040.63566098232</v>
      </c>
      <c r="CW190" s="35" t="n">
        <f aca="false">CW60+CW105+CW98+CW119+CW102+CW100+CW128+CW87-$F143*CW12</f>
        <v>4085.53161277101</v>
      </c>
      <c r="CX190" s="35" t="n">
        <f aca="false">CX60+CX105+CX98+CX119+CX102+CX100+CX128+CX87-$F143*CX12</f>
        <v>4130.4275645597</v>
      </c>
      <c r="CY190" s="35" t="n">
        <f aca="false">CY60+CY105+CY98+CY119+CY102+CY100+CY128+CY87-$F143*CY12</f>
        <v>4115.57906376473</v>
      </c>
      <c r="CZ190" s="35" t="n">
        <f aca="false">CZ60+CZ105+CZ98+CZ119+CZ102+CZ100+CZ128+CZ87-$F143*CZ12</f>
        <v>4045.28263511113</v>
      </c>
      <c r="DA190" s="35" t="n">
        <f aca="false">DA60+DA105+DA98+DA119+DA102+DA100+DA128+DA87-$F143*DA12</f>
        <v>4090.2302199457</v>
      </c>
      <c r="DB190" s="35" t="n">
        <f aca="false">DB60+DB105+DB98+DB119+DB102+DB100+DB128+DB87-$F143*DB12</f>
        <v>4135.17780478027</v>
      </c>
      <c r="DC190" s="35" t="n">
        <f aca="false">DC60+DC105+DC98+DC119+DC102+DC100+DC128+DC87-$F143*DC12</f>
        <v>4120.24039766833</v>
      </c>
      <c r="DD190" s="35" t="n">
        <f aca="false">DD60+DD105+DD98+DD119+DD102+DD100+DD128+DD87-$F143*DD12</f>
        <v>4049.38045841856</v>
      </c>
      <c r="DE190" s="35" t="n">
        <f aca="false">DE60+DE105+DE98+DE119+DE102+DE100+DE128+DE87-$F143*DE12</f>
        <v>4094.37357462321</v>
      </c>
      <c r="DF190" s="35" t="n">
        <f aca="false">DF60+DF105+DF98+DF119+DF102+DF100+DF128+DF87-$F143*DF12</f>
        <v>4139.36669082786</v>
      </c>
      <c r="DG190" s="35" t="n">
        <f aca="false">DG60+DG105+DG98+DG119+DG102+DG100+DG128+DG87-$F143*DG12</f>
        <v>3948.00494486583</v>
      </c>
      <c r="DH190" s="35" t="n">
        <f aca="false">DH60+DH105+DH98+DH119+DH102+DH100+DH128+DH87-$F143*DH12</f>
        <v>3923.5251035924</v>
      </c>
      <c r="DI190" s="35" t="n">
        <f aca="false">DI60+DI105+DI98+DI119+DI102+DI100+DI128+DI87-$F143*DI12</f>
        <v>3923.5251035924</v>
      </c>
      <c r="DJ190" s="35" t="n">
        <f aca="false">DJ60+DJ105+DJ98+DJ119+DJ102+DJ100+DJ128+DJ87-$F143*DJ12</f>
        <v>3966.64076407144</v>
      </c>
      <c r="DK190" s="35" t="n">
        <f aca="false">DK60+DK105+DK98+DK119+DK102+DK100+DK128+DK87-$F143*DK12</f>
        <v>3951.52500530895</v>
      </c>
      <c r="DL190" s="35" t="n">
        <f aca="false">DL60+DL105+DL98+DL119+DL102+DL100+DL128+DL87-$F143*DL12</f>
        <v>3883.35506214572</v>
      </c>
      <c r="DM190" s="35" t="n">
        <f aca="false">DM60+DM105+DM98+DM119+DM102+DM100+DM128+DM87-$F143*DM12</f>
        <v>3926.50345172512</v>
      </c>
      <c r="DN190" s="35" t="n">
        <f aca="false">DN60+DN105+DN98+DN119+DN102+DN100+DN128+DN87-$F143*DN12</f>
        <v>3969.65184130451</v>
      </c>
      <c r="DO190" s="35" t="n">
        <f aca="false">DO60+DO105+DO98+DO119+DO102+DO100+DO128+DO87-$F143*DO12</f>
        <v>3954.44665339857</v>
      </c>
      <c r="DP190" s="35" t="n">
        <f aca="false">DP60+DP105+DP98+DP119+DP102+DP100+DP128+DP87-$F143*DP12</f>
        <v>3885.69668644693</v>
      </c>
      <c r="DQ190" s="35" t="n">
        <f aca="false">DQ60+DQ105+DQ98+DQ119+DQ102+DQ100+DQ128+DQ87-$F143*DQ12</f>
        <v>3928.87109407412</v>
      </c>
      <c r="DR190" s="35" t="n">
        <f aca="false">DR60+DR105+DR98+DR119+DR102+DR100+DR128+DR87-$F143*DR12</f>
        <v>3972.04550170131</v>
      </c>
      <c r="DS190" s="35" t="n">
        <f aca="false">DS60+DS105+DS98+DS119+DS102+DS100+DS128+DS87-$F143*DS12</f>
        <v>3956.75072700462</v>
      </c>
      <c r="DT190" s="35" t="n">
        <f aca="false">DT60+DT105+DT98+DT119+DT102+DT100+DT128+DT87-$F143*DT12</f>
        <v>3887.415073898</v>
      </c>
      <c r="DU190" s="35" t="n">
        <f aca="false">DU60+DU105+DU98+DU119+DU102+DU100+DU128+DU87-$F143*DU12</f>
        <v>3930.60857471908</v>
      </c>
      <c r="DV190" s="35" t="n">
        <f aca="false">DV60+DV105+DV98+DV119+DV102+DV100+DV128+DV87-$F143*DV12</f>
        <v>3973.80207554017</v>
      </c>
      <c r="DW190" s="35" t="n">
        <f aca="false">DW60+DW105+DW98+DW119+DW102+DW100+DW128+DW87-$F143*DW12</f>
        <v>3958.41756516718</v>
      </c>
      <c r="DX190" s="35" t="n">
        <f aca="false">DX60+DX105+DX98+DX119+DX102+DX100+DX128+DX87-$F143*DX12</f>
        <v>3931.695931801</v>
      </c>
      <c r="DY190" s="35" t="n">
        <f aca="false">DY60+DY105+DY98+DY119+DY102+DY100+DY128+DY87-$F143*DY12</f>
        <v>3931.695931801</v>
      </c>
      <c r="DZ190" s="35" t="n">
        <f aca="false">DZ60+DZ105+DZ98+DZ119+DZ102+DZ100+DZ128+DZ87-$F143*DZ12</f>
        <v>3974.90138160101</v>
      </c>
      <c r="EA190" s="35" t="n">
        <f aca="false">EA60+EA105+EA98+EA119+EA102+EA100+EA128+EA87-$F143*EA12</f>
        <v>3959.42699570617</v>
      </c>
      <c r="EB190" s="35" t="n">
        <f aca="false">EB60+EB105+EB98+EB119+EB102+EB100+EB128+EB87-$F143*EB12</f>
        <v>3888.90265545373</v>
      </c>
      <c r="EC190" s="35" t="n">
        <f aca="false">EC60+EC105+EC98+EC119+EC102+EC100+EC128+EC87-$F143*EC12</f>
        <v>3932.11268495877</v>
      </c>
      <c r="ED190" s="35" t="n">
        <f aca="false">ED60+ED105+ED98+ED119+ED102+ED100+ED128+ED87-$F143*ED12</f>
        <v>3975.32271446381</v>
      </c>
      <c r="EE190" s="35" t="n">
        <f aca="false">EE60+EE105+EE98+EE119+EE102+EE100+EE128+EE87-$F143*EE12</f>
        <v>3959.75832252664</v>
      </c>
      <c r="EF190" s="35" t="n">
        <f aca="false">EF60+EF105+EF98+EF119+EF102+EF100+EF128+EF87-$F143*EF12</f>
        <v>3888.63081341921</v>
      </c>
      <c r="EG190" s="35" t="n">
        <f aca="false">EG60+EG105+EG98+EG119+EG102+EG100+EG128+EG87-$F143*EG12</f>
        <v>3931.8378224572</v>
      </c>
      <c r="EH190" s="35" t="n">
        <f aca="false">EH60+EH105+EH98+EH119+EH102+EH100+EH128+EH87-$F143*EH12</f>
        <v>3975.04483149519</v>
      </c>
      <c r="EI190" s="35" t="n">
        <f aca="false">EI60+EI105+EI98+EI119+EI102+EI100+EI128+EI87-$F143*EI12</f>
        <v>3959.39031261208</v>
      </c>
      <c r="EJ190" s="35" t="n">
        <f aca="false">EJ60+EJ105+EJ98+EJ119+EJ102+EJ100+EJ128+EJ87-$F143*EJ12</f>
        <v>3887.65363648219</v>
      </c>
      <c r="EK190" s="35" t="n">
        <f aca="false">EK60+EK105+EK98+EK119+EK102+EK100+EK128+EK87-$F143*EK12</f>
        <v>3930.84978799866</v>
      </c>
      <c r="EL190" s="35" t="n">
        <f aca="false">EL60+EL105+EL98+EL119+EL102+EL100+EL128+EL87-$F143*EL12</f>
        <v>3974.04593951513</v>
      </c>
      <c r="EM190" s="35" t="n">
        <f aca="false">EM60+EM105+EM98+EM119+EM102+EM100+EM128+EM87-$F143*EM12</f>
        <v>3958.30118269824</v>
      </c>
      <c r="EN190" s="35" t="n">
        <f aca="false">EN60+EN105+EN98+EN119+EN102+EN100+EN128+EN87-$F143*EN12</f>
        <v>3929.12646721084</v>
      </c>
      <c r="EO190" s="35" t="n">
        <f aca="false">EO60+EO105+EO98+EO119+EO102+EO100+EO128+EO87-$F143*EO12</f>
        <v>3929.12646721084</v>
      </c>
      <c r="EP190" s="35" t="n">
        <f aca="false">EP60+EP105+EP98+EP119+EP102+EP100+EP128+EP87-$F143*EP12</f>
        <v>3972.30368113624</v>
      </c>
      <c r="EQ190" s="35" t="n">
        <f aca="false">EQ60+EQ105+EQ98+EQ119+EQ102+EQ100+EQ128+EQ87-$F143*EQ12</f>
        <v>3956.46858561953</v>
      </c>
      <c r="ER190" s="35" t="n">
        <f aca="false">ER60+ER105+ER98+ER119+ER102+ER100+ER128+ER87-$F143*ER12</f>
        <v>3883.49522683763</v>
      </c>
      <c r="ES190" s="35" t="n">
        <f aca="false">ES60+ES105+ES98+ES119+ES102+ES100+ES128+ES87-$F143*ES12</f>
        <v>3926.6451738025</v>
      </c>
      <c r="ET190" s="35" t="n">
        <f aca="false">ET60+ET105+ET98+ET119+ET102+ET100+ET128+ET87-$F143*ET12</f>
        <v>3969.79512076736</v>
      </c>
    </row>
    <row r="191" customFormat="false" ht="15" hidden="false" customHeight="false" outlineLevel="0" collapsed="false">
      <c r="C191" s="30" t="s">
        <v>81</v>
      </c>
      <c r="D191" s="11" t="s">
        <v>35</v>
      </c>
      <c r="E191" s="57" t="n">
        <f aca="false">XIRR($J190:$ET190,$J$4:$ET$4)</f>
        <v>0.0949073005175575</v>
      </c>
    </row>
    <row r="192" customFormat="false" ht="15" hidden="false" customHeight="false" outlineLevel="0" collapsed="false">
      <c r="C192" s="30" t="s">
        <v>178</v>
      </c>
      <c r="D192" s="11" t="s">
        <v>13</v>
      </c>
      <c r="E192" s="58" t="n">
        <f aca="false">SUMIF($J190:$ET190,"&gt;0")/-SUMIF($J190:$ET190,"&lt;0")</f>
        <v>4.89335391904422</v>
      </c>
    </row>
    <row r="193" customFormat="false" ht="15" hidden="false" customHeight="false" outlineLevel="0" collapsed="false">
      <c r="C193" s="30" t="s">
        <v>82</v>
      </c>
      <c r="D193" s="11" t="s">
        <v>247</v>
      </c>
      <c r="E193" s="35" t="n">
        <f aca="false">XNPV(In_Discount_Rate,$J190:$ET190,$J$4:$ET$4)</f>
        <v>13363.1648488628</v>
      </c>
    </row>
    <row r="194" customFormat="false" ht="15" hidden="false" customHeight="false" outlineLevel="0" collapsed="false">
      <c r="C194" s="0" t="s">
        <v>613</v>
      </c>
      <c r="D194" s="11" t="s">
        <v>13</v>
      </c>
      <c r="E194" s="50" t="n">
        <f aca="false">MIN($J194:$ET194)</f>
        <v>1.32847346238474</v>
      </c>
      <c r="J194" s="50" t="str">
        <f aca="false">IF(J102+J100&lt;0,(J119+J128)/-(J102+J100),"")</f>
        <v/>
      </c>
      <c r="K194" s="50" t="str">
        <f aca="false">IF(K102+K100&lt;0,(K119+K128)/-(K102+K100),"")</f>
        <v/>
      </c>
      <c r="L194" s="50" t="str">
        <f aca="false">IF(L102+L100&lt;0,(L119+L128)/-(L102+L100),"")</f>
        <v/>
      </c>
      <c r="M194" s="50" t="str">
        <f aca="false">IF(M102+M100&lt;0,(M119+M128)/-(M102+M100),"")</f>
        <v/>
      </c>
      <c r="N194" s="50" t="str">
        <f aca="false">IF(N102+N100&lt;0,(N119+N128)/-(N102+N100),"")</f>
        <v/>
      </c>
      <c r="O194" s="50" t="str">
        <f aca="false">IF(O102+O100&lt;0,(O119+O128)/-(O102+O100),"")</f>
        <v/>
      </c>
      <c r="P194" s="50" t="str">
        <f aca="false">IF(P102+P100&lt;0,(P119+P128)/-(P102+P100),"")</f>
        <v/>
      </c>
      <c r="Q194" s="50" t="str">
        <f aca="false">IF(Q102+Q100&lt;0,(Q119+Q128)/-(Q102+Q100),"")</f>
        <v/>
      </c>
      <c r="R194" s="50" t="str">
        <f aca="false">IF(R102+R100&lt;0,(R119+R128)/-(R102+R100),"")</f>
        <v/>
      </c>
      <c r="S194" s="50" t="str">
        <f aca="false">IF(S102+S100&lt;0,(S119+S128)/-(S102+S100),"")</f>
        <v/>
      </c>
      <c r="T194" s="50" t="str">
        <f aca="false">IF(T102+T100&lt;0,(T119+T128)/-(T102+T100),"")</f>
        <v/>
      </c>
      <c r="U194" s="50" t="str">
        <f aca="false">IF(U102+U100&lt;0,(U119+U128)/-(U102+U100),"")</f>
        <v/>
      </c>
      <c r="V194" s="50" t="str">
        <f aca="false">IF(V102+V100&lt;0,(V119+V128)/-(V102+V100),"")</f>
        <v/>
      </c>
      <c r="W194" s="50" t="str">
        <f aca="false">IF(W102+W100&lt;0,(W119+W128)/-(W102+W100),"")</f>
        <v/>
      </c>
      <c r="X194" s="50" t="str">
        <f aca="false">IF(X102+X100&lt;0,(X119+X128)/-(X102+X100),"")</f>
        <v/>
      </c>
      <c r="Y194" s="50" t="str">
        <f aca="false">IF(Y102+Y100&lt;0,(Y119+Y128)/-(Y102+Y100),"")</f>
        <v/>
      </c>
      <c r="Z194" s="50" t="str">
        <f aca="false">IF(Z102+Z100&lt;0,(Z119+Z128)/-(Z102+Z100),"")</f>
        <v/>
      </c>
      <c r="AA194" s="50" t="str">
        <f aca="false">IF(AA102+AA100&lt;0,(AA119+AA128)/-(AA102+AA100),"")</f>
        <v/>
      </c>
      <c r="AB194" s="50" t="str">
        <f aca="false">IF(AB102+AB100&lt;0,(AB119+AB128)/-(AB102+AB100),"")</f>
        <v/>
      </c>
      <c r="AC194" s="50" t="str">
        <f aca="false">IF(AC102+AC100&lt;0,(AC119+AC128)/-(AC102+AC100),"")</f>
        <v/>
      </c>
      <c r="AD194" s="50" t="str">
        <f aca="false">IF(AD102+AD100&lt;0,(AD119+AD128)/-(AD102+AD100),"")</f>
        <v/>
      </c>
      <c r="AE194" s="50" t="n">
        <f aca="false">IF(AE102+AE100&lt;0,(AE119+AE128)/-(AE102+AE100),"")</f>
        <v>1.38018192774351</v>
      </c>
      <c r="AF194" s="50" t="n">
        <f aca="false">IF(AF102+AF100&lt;0,(AF119+AF128)/-(AF102+AF100),"")</f>
        <v>1.37439775882971</v>
      </c>
      <c r="AG194" s="50" t="n">
        <f aca="false">IF(AG102+AG100&lt;0,(AG119+AG128)/-(AG102+AG100),"")</f>
        <v>1.37439775882971</v>
      </c>
      <c r="AH194" s="50" t="n">
        <f aca="false">IF(AH102+AH100&lt;0,(AH119+AH128)/-(AH102+AH100),"")</f>
        <v>1.38950103090477</v>
      </c>
      <c r="AI194" s="50" t="n">
        <f aca="false">IF(AI102+AI100&lt;0,(AI119+AI128)/-(AI102+AI100),"")</f>
        <v>1.38461548066226</v>
      </c>
      <c r="AJ194" s="50" t="n">
        <f aca="false">IF(AJ102+AJ100&lt;0,(AJ119+AJ128)/-(AJ102+AJ100),"")</f>
        <v>1.35619877328909</v>
      </c>
      <c r="AK194" s="50" t="n">
        <f aca="false">IF(AK102+AK100&lt;0,(AK119+AK128)/-(AK102+AK100),"")</f>
        <v>1.34361792437698</v>
      </c>
      <c r="AL194" s="50" t="n">
        <f aca="false">IF(AL102+AL100&lt;0,(AL119+AL128)/-(AL102+AL100),"")</f>
        <v>1.35730480550317</v>
      </c>
      <c r="AM194" s="50" t="n">
        <f aca="false">IF(AM102+AM100&lt;0,(AM119+AM128)/-(AM102+AM100),"")</f>
        <v>1.35208410727454</v>
      </c>
      <c r="AN194" s="50" t="n">
        <f aca="false">IF(AN102+AN100&lt;0,(AN119+AN128)/-(AN102+AN100),"")</f>
        <v>1.33072708373861</v>
      </c>
      <c r="AO194" s="50" t="n">
        <f aca="false">IF(AO102+AO100&lt;0,(AO119+AO128)/-(AO102+AO100),"")</f>
        <v>1.34442789224038</v>
      </c>
      <c r="AP194" s="50" t="n">
        <f aca="false">IF(AP102+AP100&lt;0,(AP119+AP128)/-(AP102+AP100),"")</f>
        <v>1.35811913284393</v>
      </c>
      <c r="AQ194" s="50" t="n">
        <f aca="false">IF(AQ102+AQ100&lt;0,(AQ119+AQ128)/-(AQ102+AQ100),"")</f>
        <v>1.35283210351874</v>
      </c>
      <c r="AR194" s="50" t="n">
        <f aca="false">IF(AR102+AR100&lt;0,(AR119+AR128)/-(AR102+AR100),"")</f>
        <v>1.33127495833315</v>
      </c>
      <c r="AS194" s="50" t="n">
        <f aca="false">IF(AS102+AS100&lt;0,(AS119+AS128)/-(AS102+AS100),"")</f>
        <v>1.34497752153221</v>
      </c>
      <c r="AT194" s="50" t="n">
        <f aca="false">IF(AT102+AT100&lt;0,(AT119+AT128)/-(AT102+AT100),"")</f>
        <v>1.35867002939324</v>
      </c>
      <c r="AU194" s="50" t="n">
        <f aca="false">IF(AU102+AU100&lt;0,(AU119+AU128)/-(AU102+AU100),"")</f>
        <v>1.35331463828506</v>
      </c>
      <c r="AV194" s="50" t="n">
        <f aca="false">IF(AV102+AV100&lt;0,(AV119+AV128)/-(AV102+AV100),"")</f>
        <v>1.34610047419108</v>
      </c>
      <c r="AW194" s="50" t="n">
        <f aca="false">IF(AW102+AW100&lt;0,(AW119+AW128)/-(AW102+AW100),"")</f>
        <v>1.34525506534262</v>
      </c>
      <c r="AX194" s="50" t="n">
        <f aca="false">IF(AX102+AX100&lt;0,(AX119+AX128)/-(AX102+AX100),"")</f>
        <v>1.35894560736782</v>
      </c>
      <c r="AY194" s="50" t="n">
        <f aca="false">IF(AY102+AY100&lt;0,(AY119+AY128)/-(AY102+AY100),"")</f>
        <v>1.35351972658343</v>
      </c>
      <c r="AZ194" s="50" t="n">
        <f aca="false">IF(AZ102+AZ100&lt;0,(AZ119+AZ128)/-(AZ102+AZ100),"")</f>
        <v>1.33155197187498</v>
      </c>
      <c r="BA194" s="50" t="n">
        <f aca="false">IF(BA102+BA100&lt;0,(BA119+BA128)/-(BA102+BA100),"")</f>
        <v>1.3452482739528</v>
      </c>
      <c r="BB194" s="50" t="n">
        <f aca="false">IF(BB102+BB100&lt;0,(BB119+BB128)/-(BB102+BB100),"")</f>
        <v>1.35893347004954</v>
      </c>
      <c r="BC194" s="50" t="n">
        <f aca="false">IF(BC102+BC100&lt;0,(BC119+BC128)/-(BC102+BC100),"")</f>
        <v>1.35343486951775</v>
      </c>
      <c r="BD194" s="50" t="n">
        <f aca="false">IF(BD102+BD100&lt;0,(BD119+BD128)/-(BD102+BD100),"")</f>
        <v>1.33125638350831</v>
      </c>
      <c r="BE194" s="50" t="n">
        <f aca="false">IF(BE102+BE100&lt;0,(BE119+BE128)/-(BE102+BE100),"")</f>
        <v>1.34494437195585</v>
      </c>
      <c r="BF194" s="50" t="n">
        <f aca="false">IF(BF102+BF100&lt;0,(BF119+BF128)/-(BF102+BF100),"")</f>
        <v>1.35862068862436</v>
      </c>
      <c r="BG194" s="50" t="n">
        <f aca="false">IF(BG102+BG100&lt;0,(BG119+BG128)/-(BG102+BG100),"")</f>
        <v>1.35304703087006</v>
      </c>
      <c r="BH194" s="50" t="n">
        <f aca="false">IF(BH102+BH100&lt;0,(BH119+BH128)/-(BH102+BH100),"")</f>
        <v>1.33065402424989</v>
      </c>
      <c r="BI194" s="50" t="n">
        <f aca="false">IF(BI102+BI100&lt;0,(BI119+BI128)/-(BI102+BI100),"")</f>
        <v>1.34433003428154</v>
      </c>
      <c r="BJ194" s="50" t="n">
        <f aca="false">IF(BJ102+BJ100&lt;0,(BJ119+BJ128)/-(BJ102+BJ100),"")</f>
        <v>1.35799377791143</v>
      </c>
      <c r="BK194" s="50" t="n">
        <f aca="false">IF(BK102+BK100&lt;0,(BK119+BK128)/-(BK102+BK100),"")</f>
        <v>1.35234261256185</v>
      </c>
      <c r="BL194" s="50" t="n">
        <f aca="false">IF(BL102+BL100&lt;0,(BL119+BL128)/-(BL102+BL100),"")</f>
        <v>1.34442266648845</v>
      </c>
      <c r="BM194" s="50" t="n">
        <f aca="false">IF(BM102+BM100&lt;0,(BM119+BM128)/-(BM102+BM100),"")</f>
        <v>1.34339136107068</v>
      </c>
      <c r="BN194" s="50" t="n">
        <f aca="false">IF(BN102+BN100&lt;0,(BN119+BN128)/-(BN102+BN100),"")</f>
        <v>1.3570386709276</v>
      </c>
      <c r="BO194" s="50" t="n">
        <f aca="false">IF(BO102+BO100&lt;0,(BO119+BO128)/-(BO102+BO100),"")</f>
        <v>1.35130742893705</v>
      </c>
      <c r="BP194" s="50" t="n">
        <f aca="false">IF(BP102+BP100&lt;0,(BP119+BP128)/-(BP102+BP100),"")</f>
        <v>1.32847346238474</v>
      </c>
      <c r="BQ194" s="50" t="n">
        <f aca="false">IF(BQ102+BQ100&lt;0,(BQ119+BQ128)/-(BQ102+BQ100),"")</f>
        <v>1.34211385134238</v>
      </c>
      <c r="BR194" s="50" t="n">
        <f aca="false">IF(BR102+BR100&lt;0,(BR119+BR128)/-(BR102+BR100),"")</f>
        <v>1.35574069222977</v>
      </c>
      <c r="BS194" s="50" t="str">
        <f aca="false">IF(BS102+BS100&lt;0,(BS119+BS128)/-(BS102+BS100),"")</f>
        <v/>
      </c>
      <c r="BT194" s="50" t="str">
        <f aca="false">IF(BT102+BT100&lt;0,(BT119+BT128)/-(BT102+BT100),"")</f>
        <v/>
      </c>
      <c r="BU194" s="50" t="str">
        <f aca="false">IF(BU102+BU100&lt;0,(BU119+BU128)/-(BU102+BU100),"")</f>
        <v/>
      </c>
      <c r="BV194" s="50" t="str">
        <f aca="false">IF(BV102+BV100&lt;0,(BV119+BV128)/-(BV102+BV100),"")</f>
        <v/>
      </c>
      <c r="BW194" s="50" t="str">
        <f aca="false">IF(BW102+BW100&lt;0,(BW119+BW128)/-(BW102+BW100),"")</f>
        <v/>
      </c>
      <c r="BX194" s="50" t="str">
        <f aca="false">IF(BX102+BX100&lt;0,(BX119+BX128)/-(BX102+BX100),"")</f>
        <v/>
      </c>
      <c r="BY194" s="50" t="str">
        <f aca="false">IF(BY102+BY100&lt;0,(BY119+BY128)/-(BY102+BY100),"")</f>
        <v/>
      </c>
      <c r="BZ194" s="50" t="str">
        <f aca="false">IF(BZ102+BZ100&lt;0,(BZ119+BZ128)/-(BZ102+BZ100),"")</f>
        <v/>
      </c>
      <c r="CA194" s="50" t="str">
        <f aca="false">IF(CA102+CA100&lt;0,(CA119+CA128)/-(CA102+CA100),"")</f>
        <v/>
      </c>
      <c r="CB194" s="50" t="str">
        <f aca="false">IF(CB102+CB100&lt;0,(CB119+CB128)/-(CB102+CB100),"")</f>
        <v/>
      </c>
      <c r="CC194" s="50" t="str">
        <f aca="false">IF(CC102+CC100&lt;0,(CC119+CC128)/-(CC102+CC100),"")</f>
        <v/>
      </c>
      <c r="CD194" s="50" t="str">
        <f aca="false">IF(CD102+CD100&lt;0,(CD119+CD128)/-(CD102+CD100),"")</f>
        <v/>
      </c>
      <c r="CE194" s="50" t="str">
        <f aca="false">IF(CE102+CE100&lt;0,(CE119+CE128)/-(CE102+CE100),"")</f>
        <v/>
      </c>
      <c r="CF194" s="50" t="str">
        <f aca="false">IF(CF102+CF100&lt;0,(CF119+CF128)/-(CF102+CF100),"")</f>
        <v/>
      </c>
      <c r="CG194" s="50" t="str">
        <f aca="false">IF(CG102+CG100&lt;0,(CG119+CG128)/-(CG102+CG100),"")</f>
        <v/>
      </c>
      <c r="CH194" s="50" t="str">
        <f aca="false">IF(CH102+CH100&lt;0,(CH119+CH128)/-(CH102+CH100),"")</f>
        <v/>
      </c>
      <c r="CI194" s="50" t="str">
        <f aca="false">IF(CI102+CI100&lt;0,(CI119+CI128)/-(CI102+CI100),"")</f>
        <v/>
      </c>
      <c r="CJ194" s="50" t="str">
        <f aca="false">IF(CJ102+CJ100&lt;0,(CJ119+CJ128)/-(CJ102+CJ100),"")</f>
        <v/>
      </c>
      <c r="CK194" s="50" t="str">
        <f aca="false">IF(CK102+CK100&lt;0,(CK119+CK128)/-(CK102+CK100),"")</f>
        <v/>
      </c>
      <c r="CL194" s="50" t="str">
        <f aca="false">IF(CL102+CL100&lt;0,(CL119+CL128)/-(CL102+CL100),"")</f>
        <v/>
      </c>
      <c r="CM194" s="50" t="str">
        <f aca="false">IF(CM102+CM100&lt;0,(CM119+CM128)/-(CM102+CM100),"")</f>
        <v/>
      </c>
      <c r="CN194" s="50" t="str">
        <f aca="false">IF(CN102+CN100&lt;0,(CN119+CN128)/-(CN102+CN100),"")</f>
        <v/>
      </c>
      <c r="CO194" s="50" t="str">
        <f aca="false">IF(CO102+CO100&lt;0,(CO119+CO128)/-(CO102+CO100),"")</f>
        <v/>
      </c>
      <c r="CP194" s="50" t="str">
        <f aca="false">IF(CP102+CP100&lt;0,(CP119+CP128)/-(CP102+CP100),"")</f>
        <v/>
      </c>
      <c r="CQ194" s="50" t="str">
        <f aca="false">IF(CQ102+CQ100&lt;0,(CQ119+CQ128)/-(CQ102+CQ100),"")</f>
        <v/>
      </c>
      <c r="CR194" s="50" t="str">
        <f aca="false">IF(CR102+CR100&lt;0,(CR119+CR128)/-(CR102+CR100),"")</f>
        <v/>
      </c>
      <c r="CS194" s="50" t="str">
        <f aca="false">IF(CS102+CS100&lt;0,(CS119+CS128)/-(CS102+CS100),"")</f>
        <v/>
      </c>
      <c r="CT194" s="50" t="str">
        <f aca="false">IF(CT102+CT100&lt;0,(CT119+CT128)/-(CT102+CT100),"")</f>
        <v/>
      </c>
      <c r="CU194" s="50" t="str">
        <f aca="false">IF(CU102+CU100&lt;0,(CU119+CU128)/-(CU102+CU100),"")</f>
        <v/>
      </c>
      <c r="CV194" s="50" t="str">
        <f aca="false">IF(CV102+CV100&lt;0,(CV119+CV128)/-(CV102+CV100),"")</f>
        <v/>
      </c>
      <c r="CW194" s="50" t="str">
        <f aca="false">IF(CW102+CW100&lt;0,(CW119+CW128)/-(CW102+CW100),"")</f>
        <v/>
      </c>
      <c r="CX194" s="50" t="str">
        <f aca="false">IF(CX102+CX100&lt;0,(CX119+CX128)/-(CX102+CX100),"")</f>
        <v/>
      </c>
      <c r="CY194" s="50" t="str">
        <f aca="false">IF(CY102+CY100&lt;0,(CY119+CY128)/-(CY102+CY100),"")</f>
        <v/>
      </c>
      <c r="CZ194" s="50" t="str">
        <f aca="false">IF(CZ102+CZ100&lt;0,(CZ119+CZ128)/-(CZ102+CZ100),"")</f>
        <v/>
      </c>
      <c r="DA194" s="50" t="str">
        <f aca="false">IF(DA102+DA100&lt;0,(DA119+DA128)/-(DA102+DA100),"")</f>
        <v/>
      </c>
      <c r="DB194" s="50" t="str">
        <f aca="false">IF(DB102+DB100&lt;0,(DB119+DB128)/-(DB102+DB100),"")</f>
        <v/>
      </c>
      <c r="DC194" s="50" t="str">
        <f aca="false">IF(DC102+DC100&lt;0,(DC119+DC128)/-(DC102+DC100),"")</f>
        <v/>
      </c>
      <c r="DD194" s="50" t="str">
        <f aca="false">IF(DD102+DD100&lt;0,(DD119+DD128)/-(DD102+DD100),"")</f>
        <v/>
      </c>
      <c r="DE194" s="50" t="str">
        <f aca="false">IF(DE102+DE100&lt;0,(DE119+DE128)/-(DE102+DE100),"")</f>
        <v/>
      </c>
      <c r="DF194" s="50" t="str">
        <f aca="false">IF(DF102+DF100&lt;0,(DF119+DF128)/-(DF102+DF100),"")</f>
        <v/>
      </c>
      <c r="DG194" s="50" t="str">
        <f aca="false">IF(DG102+DG100&lt;0,(DG119+DG128)/-(DG102+DG100),"")</f>
        <v/>
      </c>
      <c r="DH194" s="50" t="str">
        <f aca="false">IF(DH102+DH100&lt;0,(DH119+DH128)/-(DH102+DH100),"")</f>
        <v/>
      </c>
      <c r="DI194" s="50" t="str">
        <f aca="false">IF(DI102+DI100&lt;0,(DI119+DI128)/-(DI102+DI100),"")</f>
        <v/>
      </c>
      <c r="DJ194" s="50" t="str">
        <f aca="false">IF(DJ102+DJ100&lt;0,(DJ119+DJ128)/-(DJ102+DJ100),"")</f>
        <v/>
      </c>
      <c r="DK194" s="50" t="str">
        <f aca="false">IF(DK102+DK100&lt;0,(DK119+DK128)/-(DK102+DK100),"")</f>
        <v/>
      </c>
      <c r="DL194" s="50" t="str">
        <f aca="false">IF(DL102+DL100&lt;0,(DL119+DL128)/-(DL102+DL100),"")</f>
        <v/>
      </c>
      <c r="DM194" s="50" t="str">
        <f aca="false">IF(DM102+DM100&lt;0,(DM119+DM128)/-(DM102+DM100),"")</f>
        <v/>
      </c>
      <c r="DN194" s="50" t="str">
        <f aca="false">IF(DN102+DN100&lt;0,(DN119+DN128)/-(DN102+DN100),"")</f>
        <v/>
      </c>
      <c r="DO194" s="50" t="str">
        <f aca="false">IF(DO102+DO100&lt;0,(DO119+DO128)/-(DO102+DO100),"")</f>
        <v/>
      </c>
      <c r="DP194" s="50" t="str">
        <f aca="false">IF(DP102+DP100&lt;0,(DP119+DP128)/-(DP102+DP100),"")</f>
        <v/>
      </c>
      <c r="DQ194" s="50" t="str">
        <f aca="false">IF(DQ102+DQ100&lt;0,(DQ119+DQ128)/-(DQ102+DQ100),"")</f>
        <v/>
      </c>
      <c r="DR194" s="50" t="str">
        <f aca="false">IF(DR102+DR100&lt;0,(DR119+DR128)/-(DR102+DR100),"")</f>
        <v/>
      </c>
      <c r="DS194" s="50" t="str">
        <f aca="false">IF(DS102+DS100&lt;0,(DS119+DS128)/-(DS102+DS100),"")</f>
        <v/>
      </c>
      <c r="DT194" s="50" t="str">
        <f aca="false">IF(DT102+DT100&lt;0,(DT119+DT128)/-(DT102+DT100),"")</f>
        <v/>
      </c>
      <c r="DU194" s="50" t="str">
        <f aca="false">IF(DU102+DU100&lt;0,(DU119+DU128)/-(DU102+DU100),"")</f>
        <v/>
      </c>
      <c r="DV194" s="50" t="str">
        <f aca="false">IF(DV102+DV100&lt;0,(DV119+DV128)/-(DV102+DV100),"")</f>
        <v/>
      </c>
      <c r="DW194" s="50" t="str">
        <f aca="false">IF(DW102+DW100&lt;0,(DW119+DW128)/-(DW102+DW100),"")</f>
        <v/>
      </c>
      <c r="DX194" s="50" t="str">
        <f aca="false">IF(DX102+DX100&lt;0,(DX119+DX128)/-(DX102+DX100),"")</f>
        <v/>
      </c>
      <c r="DY194" s="50" t="str">
        <f aca="false">IF(DY102+DY100&lt;0,(DY119+DY128)/-(DY102+DY100),"")</f>
        <v/>
      </c>
      <c r="DZ194" s="50" t="str">
        <f aca="false">IF(DZ102+DZ100&lt;0,(DZ119+DZ128)/-(DZ102+DZ100),"")</f>
        <v/>
      </c>
      <c r="EA194" s="50" t="str">
        <f aca="false">IF(EA102+EA100&lt;0,(EA119+EA128)/-(EA102+EA100),"")</f>
        <v/>
      </c>
      <c r="EB194" s="50" t="str">
        <f aca="false">IF(EB102+EB100&lt;0,(EB119+EB128)/-(EB102+EB100),"")</f>
        <v/>
      </c>
      <c r="EC194" s="50" t="str">
        <f aca="false">IF(EC102+EC100&lt;0,(EC119+EC128)/-(EC102+EC100),"")</f>
        <v/>
      </c>
      <c r="ED194" s="50" t="str">
        <f aca="false">IF(ED102+ED100&lt;0,(ED119+ED128)/-(ED102+ED100),"")</f>
        <v/>
      </c>
      <c r="EE194" s="50" t="str">
        <f aca="false">IF(EE102+EE100&lt;0,(EE119+EE128)/-(EE102+EE100),"")</f>
        <v/>
      </c>
      <c r="EF194" s="50" t="str">
        <f aca="false">IF(EF102+EF100&lt;0,(EF119+EF128)/-(EF102+EF100),"")</f>
        <v/>
      </c>
      <c r="EG194" s="50" t="str">
        <f aca="false">IF(EG102+EG100&lt;0,(EG119+EG128)/-(EG102+EG100),"")</f>
        <v/>
      </c>
      <c r="EH194" s="50" t="str">
        <f aca="false">IF(EH102+EH100&lt;0,(EH119+EH128)/-(EH102+EH100),"")</f>
        <v/>
      </c>
      <c r="EI194" s="50" t="str">
        <f aca="false">IF(EI102+EI100&lt;0,(EI119+EI128)/-(EI102+EI100),"")</f>
        <v/>
      </c>
      <c r="EJ194" s="50" t="str">
        <f aca="false">IF(EJ102+EJ100&lt;0,(EJ119+EJ128)/-(EJ102+EJ100),"")</f>
        <v/>
      </c>
      <c r="EK194" s="50" t="str">
        <f aca="false">IF(EK102+EK100&lt;0,(EK119+EK128)/-(EK102+EK100),"")</f>
        <v/>
      </c>
      <c r="EL194" s="50" t="str">
        <f aca="false">IF(EL102+EL100&lt;0,(EL119+EL128)/-(EL102+EL100),"")</f>
        <v/>
      </c>
      <c r="EM194" s="50" t="str">
        <f aca="false">IF(EM102+EM100&lt;0,(EM119+EM128)/-(EM102+EM100),"")</f>
        <v/>
      </c>
      <c r="EN194" s="50" t="str">
        <f aca="false">IF(EN102+EN100&lt;0,(EN119+EN128)/-(EN102+EN100),"")</f>
        <v/>
      </c>
      <c r="EO194" s="50" t="str">
        <f aca="false">IF(EO102+EO100&lt;0,(EO119+EO128)/-(EO102+EO100),"")</f>
        <v/>
      </c>
      <c r="EP194" s="50" t="str">
        <f aca="false">IF(EP102+EP100&lt;0,(EP119+EP128)/-(EP102+EP100),"")</f>
        <v/>
      </c>
      <c r="EQ194" s="50" t="str">
        <f aca="false">IF(EQ102+EQ100&lt;0,(EQ119+EQ128)/-(EQ102+EQ100),"")</f>
        <v/>
      </c>
      <c r="ER194" s="50" t="str">
        <f aca="false">IF(ER102+ER100&lt;0,(ER119+ER128)/-(ER102+ER100),"")</f>
        <v/>
      </c>
      <c r="ES194" s="50" t="str">
        <f aca="false">IF(ES102+ES100&lt;0,(ES119+ES128)/-(ES102+ES100),"")</f>
        <v/>
      </c>
      <c r="ET194" s="50" t="str">
        <f aca="false">IF(ET102+ET100&lt;0,(ET119+ET128)/-(ET102+ET100),"")</f>
        <v/>
      </c>
    </row>
    <row r="196" customFormat="false" ht="15" hidden="false" customHeight="false" outlineLevel="0" collapsed="false">
      <c r="C196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5" t="n">
        <v>2</v>
      </c>
      <c r="C1" s="13" t="s">
        <v>469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470</v>
      </c>
      <c r="D3" s="11" t="s">
        <v>62</v>
      </c>
      <c r="J3" s="44" t="n">
        <f aca="false">I$4+1</f>
        <v>46204</v>
      </c>
      <c r="K3" s="44" t="n">
        <f aca="false">J$4+1</f>
        <v>46296</v>
      </c>
      <c r="L3" s="44" t="n">
        <f aca="false">K$4+1</f>
        <v>46388</v>
      </c>
      <c r="M3" s="44" t="n">
        <f aca="false">L$4+1</f>
        <v>46478</v>
      </c>
      <c r="N3" s="44" t="n">
        <f aca="false">M$4+1</f>
        <v>46569</v>
      </c>
      <c r="O3" s="44" t="n">
        <f aca="false">N$4+1</f>
        <v>46661</v>
      </c>
      <c r="P3" s="44" t="n">
        <f aca="false">O$4+1</f>
        <v>46753</v>
      </c>
      <c r="Q3" s="44" t="n">
        <f aca="false">P$4+1</f>
        <v>46844</v>
      </c>
      <c r="R3" s="44" t="n">
        <f aca="false">Q$4+1</f>
        <v>46935</v>
      </c>
      <c r="S3" s="44" t="n">
        <f aca="false">R$4+1</f>
        <v>47027</v>
      </c>
      <c r="T3" s="44" t="n">
        <f aca="false">S$4+1</f>
        <v>47119</v>
      </c>
      <c r="U3" s="44" t="n">
        <f aca="false">T$4+1</f>
        <v>47209</v>
      </c>
      <c r="V3" s="44" t="n">
        <f aca="false">U$4+1</f>
        <v>47300</v>
      </c>
      <c r="W3" s="44" t="n">
        <f aca="false">V$4+1</f>
        <v>47392</v>
      </c>
      <c r="X3" s="44" t="n">
        <f aca="false">W$4+1</f>
        <v>47484</v>
      </c>
      <c r="Y3" s="44" t="n">
        <f aca="false">X$4+1</f>
        <v>47574</v>
      </c>
      <c r="Z3" s="44" t="n">
        <f aca="false">Y$4+1</f>
        <v>47665</v>
      </c>
      <c r="AA3" s="44" t="n">
        <f aca="false">Z$4+1</f>
        <v>47757</v>
      </c>
      <c r="AB3" s="44" t="n">
        <f aca="false">AA$4+1</f>
        <v>47849</v>
      </c>
      <c r="AC3" s="44" t="n">
        <f aca="false">AB$4+1</f>
        <v>47939</v>
      </c>
      <c r="AD3" s="44" t="n">
        <f aca="false">AC$4+1</f>
        <v>48030</v>
      </c>
      <c r="AE3" s="44" t="n">
        <f aca="false">AD$4+1</f>
        <v>48122</v>
      </c>
      <c r="AF3" s="44" t="n">
        <f aca="false">AE$4+1</f>
        <v>48214</v>
      </c>
      <c r="AG3" s="44" t="n">
        <f aca="false">AF$4+1</f>
        <v>48305</v>
      </c>
      <c r="AH3" s="44" t="n">
        <f aca="false">AG$4+1</f>
        <v>48396</v>
      </c>
      <c r="AI3" s="44" t="n">
        <f aca="false">AH$4+1</f>
        <v>48488</v>
      </c>
      <c r="AJ3" s="44" t="n">
        <f aca="false">AI$4+1</f>
        <v>48580</v>
      </c>
      <c r="AK3" s="44" t="n">
        <f aca="false">AJ$4+1</f>
        <v>48670</v>
      </c>
      <c r="AL3" s="44" t="n">
        <f aca="false">AK$4+1</f>
        <v>48761</v>
      </c>
      <c r="AM3" s="44" t="n">
        <f aca="false">AL$4+1</f>
        <v>48853</v>
      </c>
      <c r="AN3" s="44" t="n">
        <f aca="false">AM$4+1</f>
        <v>48945</v>
      </c>
      <c r="AO3" s="44" t="n">
        <f aca="false">AN$4+1</f>
        <v>49035</v>
      </c>
      <c r="AP3" s="44" t="n">
        <f aca="false">AO$4+1</f>
        <v>49126</v>
      </c>
      <c r="AQ3" s="44" t="n">
        <f aca="false">AP$4+1</f>
        <v>49218</v>
      </c>
      <c r="AR3" s="44" t="n">
        <f aca="false">AQ$4+1</f>
        <v>49310</v>
      </c>
      <c r="AS3" s="44" t="n">
        <f aca="false">AR$4+1</f>
        <v>49400</v>
      </c>
      <c r="AT3" s="44" t="n">
        <f aca="false">AS$4+1</f>
        <v>49491</v>
      </c>
      <c r="AU3" s="44" t="n">
        <f aca="false">AT$4+1</f>
        <v>49583</v>
      </c>
      <c r="AV3" s="44" t="n">
        <f aca="false">AU$4+1</f>
        <v>49675</v>
      </c>
      <c r="AW3" s="44" t="n">
        <f aca="false">AV$4+1</f>
        <v>49766</v>
      </c>
      <c r="AX3" s="44" t="n">
        <f aca="false">AW$4+1</f>
        <v>49857</v>
      </c>
      <c r="AY3" s="44" t="n">
        <f aca="false">AX$4+1</f>
        <v>49949</v>
      </c>
      <c r="AZ3" s="44" t="n">
        <f aca="false">AY$4+1</f>
        <v>50041</v>
      </c>
      <c r="BA3" s="44" t="n">
        <f aca="false">AZ$4+1</f>
        <v>50131</v>
      </c>
      <c r="BB3" s="44" t="n">
        <f aca="false">BA$4+1</f>
        <v>50222</v>
      </c>
      <c r="BC3" s="44" t="n">
        <f aca="false">BB$4+1</f>
        <v>50314</v>
      </c>
      <c r="BD3" s="44" t="n">
        <f aca="false">BC$4+1</f>
        <v>50406</v>
      </c>
      <c r="BE3" s="44" t="n">
        <f aca="false">BD$4+1</f>
        <v>50496</v>
      </c>
      <c r="BF3" s="44" t="n">
        <f aca="false">BE$4+1</f>
        <v>50587</v>
      </c>
      <c r="BG3" s="44" t="n">
        <f aca="false">BF$4+1</f>
        <v>50679</v>
      </c>
      <c r="BH3" s="44" t="n">
        <f aca="false">BG$4+1</f>
        <v>50771</v>
      </c>
      <c r="BI3" s="44" t="n">
        <f aca="false">BH$4+1</f>
        <v>50861</v>
      </c>
      <c r="BJ3" s="44" t="n">
        <f aca="false">BI$4+1</f>
        <v>50952</v>
      </c>
      <c r="BK3" s="44" t="n">
        <f aca="false">BJ$4+1</f>
        <v>51044</v>
      </c>
      <c r="BL3" s="44" t="n">
        <f aca="false">BK$4+1</f>
        <v>51136</v>
      </c>
      <c r="BM3" s="44" t="n">
        <f aca="false">BL$4+1</f>
        <v>51227</v>
      </c>
      <c r="BN3" s="44" t="n">
        <f aca="false">BM$4+1</f>
        <v>51318</v>
      </c>
      <c r="BO3" s="44" t="n">
        <f aca="false">BN$4+1</f>
        <v>51410</v>
      </c>
      <c r="BP3" s="44" t="n">
        <f aca="false">BO$4+1</f>
        <v>51502</v>
      </c>
      <c r="BQ3" s="44" t="n">
        <f aca="false">BP$4+1</f>
        <v>51592</v>
      </c>
      <c r="BR3" s="44" t="n">
        <f aca="false">BQ$4+1</f>
        <v>51683</v>
      </c>
      <c r="BS3" s="44" t="n">
        <f aca="false">BR$4+1</f>
        <v>51775</v>
      </c>
      <c r="BT3" s="44" t="n">
        <f aca="false">BS$4+1</f>
        <v>51867</v>
      </c>
      <c r="BU3" s="44" t="n">
        <f aca="false">BT$4+1</f>
        <v>51957</v>
      </c>
      <c r="BV3" s="44" t="n">
        <f aca="false">BU$4+1</f>
        <v>52048</v>
      </c>
      <c r="BW3" s="44" t="n">
        <f aca="false">BV$4+1</f>
        <v>52140</v>
      </c>
      <c r="BX3" s="44" t="n">
        <f aca="false">BW$4+1</f>
        <v>52232</v>
      </c>
      <c r="BY3" s="44" t="n">
        <f aca="false">BX$4+1</f>
        <v>52322</v>
      </c>
      <c r="BZ3" s="44" t="n">
        <f aca="false">BY$4+1</f>
        <v>52413</v>
      </c>
      <c r="CA3" s="44" t="n">
        <f aca="false">BZ$4+1</f>
        <v>52505</v>
      </c>
      <c r="CB3" s="44" t="n">
        <f aca="false">CA$4+1</f>
        <v>52597</v>
      </c>
      <c r="CC3" s="44" t="n">
        <f aca="false">CB$4+1</f>
        <v>52688</v>
      </c>
      <c r="CD3" s="44" t="n">
        <f aca="false">CC$4+1</f>
        <v>52779</v>
      </c>
      <c r="CE3" s="44" t="n">
        <f aca="false">CD$4+1</f>
        <v>52871</v>
      </c>
      <c r="CF3" s="44" t="n">
        <f aca="false">CE$4+1</f>
        <v>52963</v>
      </c>
      <c r="CG3" s="44" t="n">
        <f aca="false">CF$4+1</f>
        <v>53053</v>
      </c>
      <c r="CH3" s="44" t="n">
        <f aca="false">CG$4+1</f>
        <v>53144</v>
      </c>
      <c r="CI3" s="44" t="n">
        <f aca="false">CH$4+1</f>
        <v>53236</v>
      </c>
      <c r="CJ3" s="44" t="n">
        <f aca="false">CI$4+1</f>
        <v>53328</v>
      </c>
      <c r="CK3" s="44" t="n">
        <f aca="false">CJ$4+1</f>
        <v>53418</v>
      </c>
      <c r="CL3" s="44" t="n">
        <f aca="false">CK$4+1</f>
        <v>53509</v>
      </c>
      <c r="CM3" s="44" t="n">
        <f aca="false">CL$4+1</f>
        <v>53601</v>
      </c>
      <c r="CN3" s="44" t="n">
        <f aca="false">CM$4+1</f>
        <v>53693</v>
      </c>
      <c r="CO3" s="44" t="n">
        <f aca="false">CN$4+1</f>
        <v>53783</v>
      </c>
      <c r="CP3" s="44" t="n">
        <f aca="false">CO$4+1</f>
        <v>53874</v>
      </c>
      <c r="CQ3" s="44" t="n">
        <f aca="false">CP$4+1</f>
        <v>53966</v>
      </c>
      <c r="CR3" s="44" t="n">
        <f aca="false">CQ$4+1</f>
        <v>54058</v>
      </c>
      <c r="CS3" s="44" t="n">
        <f aca="false">CR$4+1</f>
        <v>54149</v>
      </c>
      <c r="CT3" s="44" t="n">
        <f aca="false">CS$4+1</f>
        <v>54240</v>
      </c>
      <c r="CU3" s="44" t="n">
        <f aca="false">CT$4+1</f>
        <v>54332</v>
      </c>
      <c r="CV3" s="44" t="n">
        <f aca="false">CU$4+1</f>
        <v>54424</v>
      </c>
      <c r="CW3" s="44" t="n">
        <f aca="false">CV$4+1</f>
        <v>54514</v>
      </c>
      <c r="CX3" s="44" t="n">
        <f aca="false">CW$4+1</f>
        <v>54605</v>
      </c>
      <c r="CY3" s="44" t="n">
        <f aca="false">CX$4+1</f>
        <v>54697</v>
      </c>
      <c r="CZ3" s="44" t="n">
        <f aca="false">CY$4+1</f>
        <v>54789</v>
      </c>
      <c r="DA3" s="44" t="n">
        <f aca="false">CZ$4+1</f>
        <v>54879</v>
      </c>
      <c r="DB3" s="44" t="n">
        <f aca="false">DA$4+1</f>
        <v>54970</v>
      </c>
      <c r="DC3" s="44" t="n">
        <f aca="false">DB$4+1</f>
        <v>55062</v>
      </c>
      <c r="DD3" s="44" t="n">
        <f aca="false">DC$4+1</f>
        <v>55154</v>
      </c>
      <c r="DE3" s="44" t="n">
        <f aca="false">DD$4+1</f>
        <v>55244</v>
      </c>
      <c r="DF3" s="44" t="n">
        <f aca="false">DE$4+1</f>
        <v>55335</v>
      </c>
      <c r="DG3" s="44" t="n">
        <f aca="false">DF$4+1</f>
        <v>55427</v>
      </c>
      <c r="DH3" s="44" t="n">
        <f aca="false">DG$4+1</f>
        <v>55519</v>
      </c>
      <c r="DI3" s="44" t="n">
        <f aca="false">DH$4+1</f>
        <v>55610</v>
      </c>
      <c r="DJ3" s="44" t="n">
        <f aca="false">DI$4+1</f>
        <v>55701</v>
      </c>
      <c r="DK3" s="44" t="n">
        <f aca="false">DJ$4+1</f>
        <v>55793</v>
      </c>
      <c r="DL3" s="44" t="n">
        <f aca="false">DK$4+1</f>
        <v>55885</v>
      </c>
      <c r="DM3" s="44" t="n">
        <f aca="false">DL$4+1</f>
        <v>55975</v>
      </c>
      <c r="DN3" s="44" t="n">
        <f aca="false">DM$4+1</f>
        <v>56066</v>
      </c>
      <c r="DO3" s="44" t="n">
        <f aca="false">DN$4+1</f>
        <v>56158</v>
      </c>
      <c r="DP3" s="44" t="n">
        <f aca="false">DO$4+1</f>
        <v>56250</v>
      </c>
      <c r="DQ3" s="44" t="n">
        <f aca="false">DP$4+1</f>
        <v>56340</v>
      </c>
      <c r="DR3" s="44" t="n">
        <f aca="false">DQ$4+1</f>
        <v>56431</v>
      </c>
      <c r="DS3" s="44" t="n">
        <f aca="false">DR$4+1</f>
        <v>56523</v>
      </c>
      <c r="DT3" s="44" t="n">
        <f aca="false">DS$4+1</f>
        <v>56615</v>
      </c>
      <c r="DU3" s="44" t="n">
        <f aca="false">DT$4+1</f>
        <v>56705</v>
      </c>
      <c r="DV3" s="44" t="n">
        <f aca="false">DU$4+1</f>
        <v>56796</v>
      </c>
      <c r="DW3" s="44" t="n">
        <f aca="false">DV$4+1</f>
        <v>56888</v>
      </c>
      <c r="DX3" s="44" t="n">
        <f aca="false">DW$4+1</f>
        <v>56980</v>
      </c>
      <c r="DY3" s="44" t="n">
        <f aca="false">DX$4+1</f>
        <v>57071</v>
      </c>
      <c r="DZ3" s="44" t="n">
        <f aca="false">DY$4+1</f>
        <v>57162</v>
      </c>
      <c r="EA3" s="44" t="n">
        <f aca="false">DZ$4+1</f>
        <v>57254</v>
      </c>
      <c r="EB3" s="44" t="n">
        <f aca="false">EA$4+1</f>
        <v>57346</v>
      </c>
      <c r="EC3" s="44" t="n">
        <f aca="false">EB$4+1</f>
        <v>57436</v>
      </c>
      <c r="ED3" s="44" t="n">
        <f aca="false">EC$4+1</f>
        <v>57527</v>
      </c>
      <c r="EE3" s="44" t="n">
        <f aca="false">ED$4+1</f>
        <v>57619</v>
      </c>
      <c r="EF3" s="44" t="n">
        <f aca="false">EE$4+1</f>
        <v>57711</v>
      </c>
      <c r="EG3" s="44" t="n">
        <f aca="false">EF$4+1</f>
        <v>57801</v>
      </c>
      <c r="EH3" s="44" t="n">
        <f aca="false">EG$4+1</f>
        <v>57892</v>
      </c>
      <c r="EI3" s="44" t="n">
        <f aca="false">EH$4+1</f>
        <v>57984</v>
      </c>
      <c r="EJ3" s="44" t="n">
        <f aca="false">EI$4+1</f>
        <v>58076</v>
      </c>
      <c r="EK3" s="44" t="n">
        <f aca="false">EJ$4+1</f>
        <v>58166</v>
      </c>
      <c r="EL3" s="44" t="n">
        <f aca="false">EK$4+1</f>
        <v>58257</v>
      </c>
      <c r="EM3" s="44" t="n">
        <f aca="false">EL$4+1</f>
        <v>58349</v>
      </c>
      <c r="EN3" s="44" t="n">
        <f aca="false">EM$4+1</f>
        <v>58441</v>
      </c>
      <c r="EO3" s="44" t="n">
        <f aca="false">EN$4+1</f>
        <v>58532</v>
      </c>
      <c r="EP3" s="44" t="n">
        <f aca="false">EO$4+1</f>
        <v>58623</v>
      </c>
      <c r="EQ3" s="44" t="n">
        <f aca="false">EP$4+1</f>
        <v>58715</v>
      </c>
      <c r="ER3" s="44" t="n">
        <f aca="false">EQ$4+1</f>
        <v>58807</v>
      </c>
      <c r="ES3" s="44" t="n">
        <f aca="false">ER$4+1</f>
        <v>58897</v>
      </c>
      <c r="ET3" s="44" t="n">
        <f aca="false">ES$4+1</f>
        <v>58988</v>
      </c>
    </row>
    <row r="4" customFormat="false" ht="15" hidden="false" customHeight="false" outlineLevel="0" collapsed="false">
      <c r="C4" s="0" t="s">
        <v>471</v>
      </c>
      <c r="D4" s="11" t="s">
        <v>62</v>
      </c>
      <c r="I4" s="44" t="n">
        <f aca="false">In_Model_Start-1</f>
        <v>46203</v>
      </c>
      <c r="J4" s="51" t="n">
        <f aca="false">EOMONTH(J$3,Months_Per_Period-1)</f>
        <v>46295</v>
      </c>
      <c r="K4" s="51" t="n">
        <f aca="false">EOMONTH(K$3,Months_Per_Period-1)</f>
        <v>46387</v>
      </c>
      <c r="L4" s="51" t="n">
        <f aca="false">EOMONTH(L$3,Months_Per_Period-1)</f>
        <v>46477</v>
      </c>
      <c r="M4" s="51" t="n">
        <f aca="false">EOMONTH(M$3,Months_Per_Period-1)</f>
        <v>46568</v>
      </c>
      <c r="N4" s="51" t="n">
        <f aca="false">EOMONTH(N$3,Months_Per_Period-1)</f>
        <v>46660</v>
      </c>
      <c r="O4" s="51" t="n">
        <f aca="false">EOMONTH(O$3,Months_Per_Period-1)</f>
        <v>46752</v>
      </c>
      <c r="P4" s="51" t="n">
        <f aca="false">EOMONTH(P$3,Months_Per_Period-1)</f>
        <v>46843</v>
      </c>
      <c r="Q4" s="51" t="n">
        <f aca="false">EOMONTH(Q$3,Months_Per_Period-1)</f>
        <v>46934</v>
      </c>
      <c r="R4" s="51" t="n">
        <f aca="false">EOMONTH(R$3,Months_Per_Period-1)</f>
        <v>47026</v>
      </c>
      <c r="S4" s="51" t="n">
        <f aca="false">EOMONTH(S$3,Months_Per_Period-1)</f>
        <v>47118</v>
      </c>
      <c r="T4" s="51" t="n">
        <f aca="false">EOMONTH(T$3,Months_Per_Period-1)</f>
        <v>47208</v>
      </c>
      <c r="U4" s="51" t="n">
        <f aca="false">EOMONTH(U$3,Months_Per_Period-1)</f>
        <v>47299</v>
      </c>
      <c r="V4" s="51" t="n">
        <f aca="false">EOMONTH(V$3,Months_Per_Period-1)</f>
        <v>47391</v>
      </c>
      <c r="W4" s="51" t="n">
        <f aca="false">EOMONTH(W$3,Months_Per_Period-1)</f>
        <v>47483</v>
      </c>
      <c r="X4" s="51" t="n">
        <f aca="false">EOMONTH(X$3,Months_Per_Period-1)</f>
        <v>47573</v>
      </c>
      <c r="Y4" s="51" t="n">
        <f aca="false">EOMONTH(Y$3,Months_Per_Period-1)</f>
        <v>47664</v>
      </c>
      <c r="Z4" s="51" t="n">
        <f aca="false">EOMONTH(Z$3,Months_Per_Period-1)</f>
        <v>47756</v>
      </c>
      <c r="AA4" s="51" t="n">
        <f aca="false">EOMONTH(AA$3,Months_Per_Period-1)</f>
        <v>47848</v>
      </c>
      <c r="AB4" s="51" t="n">
        <f aca="false">EOMONTH(AB$3,Months_Per_Period-1)</f>
        <v>47938</v>
      </c>
      <c r="AC4" s="51" t="n">
        <f aca="false">EOMONTH(AC$3,Months_Per_Period-1)</f>
        <v>48029</v>
      </c>
      <c r="AD4" s="51" t="n">
        <f aca="false">EOMONTH(AD$3,Months_Per_Period-1)</f>
        <v>48121</v>
      </c>
      <c r="AE4" s="51" t="n">
        <f aca="false">EOMONTH(AE$3,Months_Per_Period-1)</f>
        <v>48213</v>
      </c>
      <c r="AF4" s="51" t="n">
        <f aca="false">EOMONTH(AF$3,Months_Per_Period-1)</f>
        <v>48304</v>
      </c>
      <c r="AG4" s="51" t="n">
        <f aca="false">EOMONTH(AG$3,Months_Per_Period-1)</f>
        <v>48395</v>
      </c>
      <c r="AH4" s="51" t="n">
        <f aca="false">EOMONTH(AH$3,Months_Per_Period-1)</f>
        <v>48487</v>
      </c>
      <c r="AI4" s="51" t="n">
        <f aca="false">EOMONTH(AI$3,Months_Per_Period-1)</f>
        <v>48579</v>
      </c>
      <c r="AJ4" s="51" t="n">
        <f aca="false">EOMONTH(AJ$3,Months_Per_Period-1)</f>
        <v>48669</v>
      </c>
      <c r="AK4" s="51" t="n">
        <f aca="false">EOMONTH(AK$3,Months_Per_Period-1)</f>
        <v>48760</v>
      </c>
      <c r="AL4" s="51" t="n">
        <f aca="false">EOMONTH(AL$3,Months_Per_Period-1)</f>
        <v>48852</v>
      </c>
      <c r="AM4" s="51" t="n">
        <f aca="false">EOMONTH(AM$3,Months_Per_Period-1)</f>
        <v>48944</v>
      </c>
      <c r="AN4" s="51" t="n">
        <f aca="false">EOMONTH(AN$3,Months_Per_Period-1)</f>
        <v>49034</v>
      </c>
      <c r="AO4" s="51" t="n">
        <f aca="false">EOMONTH(AO$3,Months_Per_Period-1)</f>
        <v>49125</v>
      </c>
      <c r="AP4" s="51" t="n">
        <f aca="false">EOMONTH(AP$3,Months_Per_Period-1)</f>
        <v>49217</v>
      </c>
      <c r="AQ4" s="51" t="n">
        <f aca="false">EOMONTH(AQ$3,Months_Per_Period-1)</f>
        <v>49309</v>
      </c>
      <c r="AR4" s="51" t="n">
        <f aca="false">EOMONTH(AR$3,Months_Per_Period-1)</f>
        <v>49399</v>
      </c>
      <c r="AS4" s="51" t="n">
        <f aca="false">EOMONTH(AS$3,Months_Per_Period-1)</f>
        <v>49490</v>
      </c>
      <c r="AT4" s="51" t="n">
        <f aca="false">EOMONTH(AT$3,Months_Per_Period-1)</f>
        <v>49582</v>
      </c>
      <c r="AU4" s="51" t="n">
        <f aca="false">EOMONTH(AU$3,Months_Per_Period-1)</f>
        <v>49674</v>
      </c>
      <c r="AV4" s="51" t="n">
        <f aca="false">EOMONTH(AV$3,Months_Per_Period-1)</f>
        <v>49765</v>
      </c>
      <c r="AW4" s="51" t="n">
        <f aca="false">EOMONTH(AW$3,Months_Per_Period-1)</f>
        <v>49856</v>
      </c>
      <c r="AX4" s="51" t="n">
        <f aca="false">EOMONTH(AX$3,Months_Per_Period-1)</f>
        <v>49948</v>
      </c>
      <c r="AY4" s="51" t="n">
        <f aca="false">EOMONTH(AY$3,Months_Per_Period-1)</f>
        <v>50040</v>
      </c>
      <c r="AZ4" s="51" t="n">
        <f aca="false">EOMONTH(AZ$3,Months_Per_Period-1)</f>
        <v>50130</v>
      </c>
      <c r="BA4" s="51" t="n">
        <f aca="false">EOMONTH(BA$3,Months_Per_Period-1)</f>
        <v>50221</v>
      </c>
      <c r="BB4" s="51" t="n">
        <f aca="false">EOMONTH(BB$3,Months_Per_Period-1)</f>
        <v>50313</v>
      </c>
      <c r="BC4" s="51" t="n">
        <f aca="false">EOMONTH(BC$3,Months_Per_Period-1)</f>
        <v>50405</v>
      </c>
      <c r="BD4" s="51" t="n">
        <f aca="false">EOMONTH(BD$3,Months_Per_Period-1)</f>
        <v>50495</v>
      </c>
      <c r="BE4" s="51" t="n">
        <f aca="false">EOMONTH(BE$3,Months_Per_Period-1)</f>
        <v>50586</v>
      </c>
      <c r="BF4" s="51" t="n">
        <f aca="false">EOMONTH(BF$3,Months_Per_Period-1)</f>
        <v>50678</v>
      </c>
      <c r="BG4" s="51" t="n">
        <f aca="false">EOMONTH(BG$3,Months_Per_Period-1)</f>
        <v>50770</v>
      </c>
      <c r="BH4" s="51" t="n">
        <f aca="false">EOMONTH(BH$3,Months_Per_Period-1)</f>
        <v>50860</v>
      </c>
      <c r="BI4" s="51" t="n">
        <f aca="false">EOMONTH(BI$3,Months_Per_Period-1)</f>
        <v>50951</v>
      </c>
      <c r="BJ4" s="51" t="n">
        <f aca="false">EOMONTH(BJ$3,Months_Per_Period-1)</f>
        <v>51043</v>
      </c>
      <c r="BK4" s="51" t="n">
        <f aca="false">EOMONTH(BK$3,Months_Per_Period-1)</f>
        <v>51135</v>
      </c>
      <c r="BL4" s="51" t="n">
        <f aca="false">EOMONTH(BL$3,Months_Per_Period-1)</f>
        <v>51226</v>
      </c>
      <c r="BM4" s="51" t="n">
        <f aca="false">EOMONTH(BM$3,Months_Per_Period-1)</f>
        <v>51317</v>
      </c>
      <c r="BN4" s="51" t="n">
        <f aca="false">EOMONTH(BN$3,Months_Per_Period-1)</f>
        <v>51409</v>
      </c>
      <c r="BO4" s="51" t="n">
        <f aca="false">EOMONTH(BO$3,Months_Per_Period-1)</f>
        <v>51501</v>
      </c>
      <c r="BP4" s="51" t="n">
        <f aca="false">EOMONTH(BP$3,Months_Per_Period-1)</f>
        <v>51591</v>
      </c>
      <c r="BQ4" s="51" t="n">
        <f aca="false">EOMONTH(BQ$3,Months_Per_Period-1)</f>
        <v>51682</v>
      </c>
      <c r="BR4" s="51" t="n">
        <f aca="false">EOMONTH(BR$3,Months_Per_Period-1)</f>
        <v>51774</v>
      </c>
      <c r="BS4" s="51" t="n">
        <f aca="false">EOMONTH(BS$3,Months_Per_Period-1)</f>
        <v>51866</v>
      </c>
      <c r="BT4" s="51" t="n">
        <f aca="false">EOMONTH(BT$3,Months_Per_Period-1)</f>
        <v>51956</v>
      </c>
      <c r="BU4" s="51" t="n">
        <f aca="false">EOMONTH(BU$3,Months_Per_Period-1)</f>
        <v>52047</v>
      </c>
      <c r="BV4" s="51" t="n">
        <f aca="false">EOMONTH(BV$3,Months_Per_Period-1)</f>
        <v>52139</v>
      </c>
      <c r="BW4" s="51" t="n">
        <f aca="false">EOMONTH(BW$3,Months_Per_Period-1)</f>
        <v>52231</v>
      </c>
      <c r="BX4" s="51" t="n">
        <f aca="false">EOMONTH(BX$3,Months_Per_Period-1)</f>
        <v>52321</v>
      </c>
      <c r="BY4" s="51" t="n">
        <f aca="false">EOMONTH(BY$3,Months_Per_Period-1)</f>
        <v>52412</v>
      </c>
      <c r="BZ4" s="51" t="n">
        <f aca="false">EOMONTH(BZ$3,Months_Per_Period-1)</f>
        <v>52504</v>
      </c>
      <c r="CA4" s="51" t="n">
        <f aca="false">EOMONTH(CA$3,Months_Per_Period-1)</f>
        <v>52596</v>
      </c>
      <c r="CB4" s="51" t="n">
        <f aca="false">EOMONTH(CB$3,Months_Per_Period-1)</f>
        <v>52687</v>
      </c>
      <c r="CC4" s="51" t="n">
        <f aca="false">EOMONTH(CC$3,Months_Per_Period-1)</f>
        <v>52778</v>
      </c>
      <c r="CD4" s="51" t="n">
        <f aca="false">EOMONTH(CD$3,Months_Per_Period-1)</f>
        <v>52870</v>
      </c>
      <c r="CE4" s="51" t="n">
        <f aca="false">EOMONTH(CE$3,Months_Per_Period-1)</f>
        <v>52962</v>
      </c>
      <c r="CF4" s="51" t="n">
        <f aca="false">EOMONTH(CF$3,Months_Per_Period-1)</f>
        <v>53052</v>
      </c>
      <c r="CG4" s="51" t="n">
        <f aca="false">EOMONTH(CG$3,Months_Per_Period-1)</f>
        <v>53143</v>
      </c>
      <c r="CH4" s="51" t="n">
        <f aca="false">EOMONTH(CH$3,Months_Per_Period-1)</f>
        <v>53235</v>
      </c>
      <c r="CI4" s="51" t="n">
        <f aca="false">EOMONTH(CI$3,Months_Per_Period-1)</f>
        <v>53327</v>
      </c>
      <c r="CJ4" s="51" t="n">
        <f aca="false">EOMONTH(CJ$3,Months_Per_Period-1)</f>
        <v>53417</v>
      </c>
      <c r="CK4" s="51" t="n">
        <f aca="false">EOMONTH(CK$3,Months_Per_Period-1)</f>
        <v>53508</v>
      </c>
      <c r="CL4" s="51" t="n">
        <f aca="false">EOMONTH(CL$3,Months_Per_Period-1)</f>
        <v>53600</v>
      </c>
      <c r="CM4" s="51" t="n">
        <f aca="false">EOMONTH(CM$3,Months_Per_Period-1)</f>
        <v>53692</v>
      </c>
      <c r="CN4" s="51" t="n">
        <f aca="false">EOMONTH(CN$3,Months_Per_Period-1)</f>
        <v>53782</v>
      </c>
      <c r="CO4" s="51" t="n">
        <f aca="false">EOMONTH(CO$3,Months_Per_Period-1)</f>
        <v>53873</v>
      </c>
      <c r="CP4" s="51" t="n">
        <f aca="false">EOMONTH(CP$3,Months_Per_Period-1)</f>
        <v>53965</v>
      </c>
      <c r="CQ4" s="51" t="n">
        <f aca="false">EOMONTH(CQ$3,Months_Per_Period-1)</f>
        <v>54057</v>
      </c>
      <c r="CR4" s="51" t="n">
        <f aca="false">EOMONTH(CR$3,Months_Per_Period-1)</f>
        <v>54148</v>
      </c>
      <c r="CS4" s="51" t="n">
        <f aca="false">EOMONTH(CS$3,Months_Per_Period-1)</f>
        <v>54239</v>
      </c>
      <c r="CT4" s="51" t="n">
        <f aca="false">EOMONTH(CT$3,Months_Per_Period-1)</f>
        <v>54331</v>
      </c>
      <c r="CU4" s="51" t="n">
        <f aca="false">EOMONTH(CU$3,Months_Per_Period-1)</f>
        <v>54423</v>
      </c>
      <c r="CV4" s="51" t="n">
        <f aca="false">EOMONTH(CV$3,Months_Per_Period-1)</f>
        <v>54513</v>
      </c>
      <c r="CW4" s="51" t="n">
        <f aca="false">EOMONTH(CW$3,Months_Per_Period-1)</f>
        <v>54604</v>
      </c>
      <c r="CX4" s="51" t="n">
        <f aca="false">EOMONTH(CX$3,Months_Per_Period-1)</f>
        <v>54696</v>
      </c>
      <c r="CY4" s="51" t="n">
        <f aca="false">EOMONTH(CY$3,Months_Per_Period-1)</f>
        <v>54788</v>
      </c>
      <c r="CZ4" s="51" t="n">
        <f aca="false">EOMONTH(CZ$3,Months_Per_Period-1)</f>
        <v>54878</v>
      </c>
      <c r="DA4" s="51" t="n">
        <f aca="false">EOMONTH(DA$3,Months_Per_Period-1)</f>
        <v>54969</v>
      </c>
      <c r="DB4" s="51" t="n">
        <f aca="false">EOMONTH(DB$3,Months_Per_Period-1)</f>
        <v>55061</v>
      </c>
      <c r="DC4" s="51" t="n">
        <f aca="false">EOMONTH(DC$3,Months_Per_Period-1)</f>
        <v>55153</v>
      </c>
      <c r="DD4" s="51" t="n">
        <f aca="false">EOMONTH(DD$3,Months_Per_Period-1)</f>
        <v>55243</v>
      </c>
      <c r="DE4" s="51" t="n">
        <f aca="false">EOMONTH(DE$3,Months_Per_Period-1)</f>
        <v>55334</v>
      </c>
      <c r="DF4" s="51" t="n">
        <f aca="false">EOMONTH(DF$3,Months_Per_Period-1)</f>
        <v>55426</v>
      </c>
      <c r="DG4" s="51" t="n">
        <f aca="false">EOMONTH(DG$3,Months_Per_Period-1)</f>
        <v>55518</v>
      </c>
      <c r="DH4" s="51" t="n">
        <f aca="false">EOMONTH(DH$3,Months_Per_Period-1)</f>
        <v>55609</v>
      </c>
      <c r="DI4" s="51" t="n">
        <f aca="false">EOMONTH(DI$3,Months_Per_Period-1)</f>
        <v>55700</v>
      </c>
      <c r="DJ4" s="51" t="n">
        <f aca="false">EOMONTH(DJ$3,Months_Per_Period-1)</f>
        <v>55792</v>
      </c>
      <c r="DK4" s="51" t="n">
        <f aca="false">EOMONTH(DK$3,Months_Per_Period-1)</f>
        <v>55884</v>
      </c>
      <c r="DL4" s="51" t="n">
        <f aca="false">EOMONTH(DL$3,Months_Per_Period-1)</f>
        <v>55974</v>
      </c>
      <c r="DM4" s="51" t="n">
        <f aca="false">EOMONTH(DM$3,Months_Per_Period-1)</f>
        <v>56065</v>
      </c>
      <c r="DN4" s="51" t="n">
        <f aca="false">EOMONTH(DN$3,Months_Per_Period-1)</f>
        <v>56157</v>
      </c>
      <c r="DO4" s="51" t="n">
        <f aca="false">EOMONTH(DO$3,Months_Per_Period-1)</f>
        <v>56249</v>
      </c>
      <c r="DP4" s="51" t="n">
        <f aca="false">EOMONTH(DP$3,Months_Per_Period-1)</f>
        <v>56339</v>
      </c>
      <c r="DQ4" s="51" t="n">
        <f aca="false">EOMONTH(DQ$3,Months_Per_Period-1)</f>
        <v>56430</v>
      </c>
      <c r="DR4" s="51" t="n">
        <f aca="false">EOMONTH(DR$3,Months_Per_Period-1)</f>
        <v>56522</v>
      </c>
      <c r="DS4" s="51" t="n">
        <f aca="false">EOMONTH(DS$3,Months_Per_Period-1)</f>
        <v>56614</v>
      </c>
      <c r="DT4" s="51" t="n">
        <f aca="false">EOMONTH(DT$3,Months_Per_Period-1)</f>
        <v>56704</v>
      </c>
      <c r="DU4" s="51" t="n">
        <f aca="false">EOMONTH(DU$3,Months_Per_Period-1)</f>
        <v>56795</v>
      </c>
      <c r="DV4" s="51" t="n">
        <f aca="false">EOMONTH(DV$3,Months_Per_Period-1)</f>
        <v>56887</v>
      </c>
      <c r="DW4" s="51" t="n">
        <f aca="false">EOMONTH(DW$3,Months_Per_Period-1)</f>
        <v>56979</v>
      </c>
      <c r="DX4" s="51" t="n">
        <f aca="false">EOMONTH(DX$3,Months_Per_Period-1)</f>
        <v>57070</v>
      </c>
      <c r="DY4" s="51" t="n">
        <f aca="false">EOMONTH(DY$3,Months_Per_Period-1)</f>
        <v>57161</v>
      </c>
      <c r="DZ4" s="51" t="n">
        <f aca="false">EOMONTH(DZ$3,Months_Per_Period-1)</f>
        <v>57253</v>
      </c>
      <c r="EA4" s="51" t="n">
        <f aca="false">EOMONTH(EA$3,Months_Per_Period-1)</f>
        <v>57345</v>
      </c>
      <c r="EB4" s="51" t="n">
        <f aca="false">EOMONTH(EB$3,Months_Per_Period-1)</f>
        <v>57435</v>
      </c>
      <c r="EC4" s="51" t="n">
        <f aca="false">EOMONTH(EC$3,Months_Per_Period-1)</f>
        <v>57526</v>
      </c>
      <c r="ED4" s="51" t="n">
        <f aca="false">EOMONTH(ED$3,Months_Per_Period-1)</f>
        <v>57618</v>
      </c>
      <c r="EE4" s="51" t="n">
        <f aca="false">EOMONTH(EE$3,Months_Per_Period-1)</f>
        <v>57710</v>
      </c>
      <c r="EF4" s="51" t="n">
        <f aca="false">EOMONTH(EF$3,Months_Per_Period-1)</f>
        <v>57800</v>
      </c>
      <c r="EG4" s="51" t="n">
        <f aca="false">EOMONTH(EG$3,Months_Per_Period-1)</f>
        <v>57891</v>
      </c>
      <c r="EH4" s="51" t="n">
        <f aca="false">EOMONTH(EH$3,Months_Per_Period-1)</f>
        <v>57983</v>
      </c>
      <c r="EI4" s="51" t="n">
        <f aca="false">EOMONTH(EI$3,Months_Per_Period-1)</f>
        <v>58075</v>
      </c>
      <c r="EJ4" s="51" t="n">
        <f aca="false">EOMONTH(EJ$3,Months_Per_Period-1)</f>
        <v>58165</v>
      </c>
      <c r="EK4" s="51" t="n">
        <f aca="false">EOMONTH(EK$3,Months_Per_Period-1)</f>
        <v>58256</v>
      </c>
      <c r="EL4" s="51" t="n">
        <f aca="false">EOMONTH(EL$3,Months_Per_Period-1)</f>
        <v>58348</v>
      </c>
      <c r="EM4" s="51" t="n">
        <f aca="false">EOMONTH(EM$3,Months_Per_Period-1)</f>
        <v>58440</v>
      </c>
      <c r="EN4" s="51" t="n">
        <f aca="false">EOMONTH(EN$3,Months_Per_Period-1)</f>
        <v>58531</v>
      </c>
      <c r="EO4" s="51" t="n">
        <f aca="false">EOMONTH(EO$3,Months_Per_Period-1)</f>
        <v>58622</v>
      </c>
      <c r="EP4" s="51" t="n">
        <f aca="false">EOMONTH(EP$3,Months_Per_Period-1)</f>
        <v>58714</v>
      </c>
      <c r="EQ4" s="51" t="n">
        <f aca="false">EOMONTH(EQ$3,Months_Per_Period-1)</f>
        <v>58806</v>
      </c>
      <c r="ER4" s="51" t="n">
        <f aca="false">EOMONTH(ER$3,Months_Per_Period-1)</f>
        <v>58896</v>
      </c>
      <c r="ES4" s="51" t="n">
        <f aca="false">EOMONTH(ES$3,Months_Per_Period-1)</f>
        <v>58987</v>
      </c>
      <c r="ET4" s="51" t="n">
        <f aca="false">EOMONTH(ET$3,Months_Per_Period-1)</f>
        <v>59079</v>
      </c>
    </row>
    <row r="5" customFormat="false" ht="15" hidden="false" customHeight="false" outlineLevel="0" collapsed="false">
      <c r="C5" s="0" t="s">
        <v>472</v>
      </c>
      <c r="D5" s="11" t="s">
        <v>209</v>
      </c>
      <c r="J5" s="42" t="n">
        <f aca="false">J$4-J$3+1</f>
        <v>92</v>
      </c>
      <c r="K5" s="42" t="n">
        <f aca="false">K$4-K$3+1</f>
        <v>92</v>
      </c>
      <c r="L5" s="42" t="n">
        <f aca="false">L$4-L$3+1</f>
        <v>90</v>
      </c>
      <c r="M5" s="42" t="n">
        <f aca="false">M$4-M$3+1</f>
        <v>91</v>
      </c>
      <c r="N5" s="42" t="n">
        <f aca="false">N$4-N$3+1</f>
        <v>92</v>
      </c>
      <c r="O5" s="42" t="n">
        <f aca="false">O$4-O$3+1</f>
        <v>92</v>
      </c>
      <c r="P5" s="42" t="n">
        <f aca="false">P$4-P$3+1</f>
        <v>91</v>
      </c>
      <c r="Q5" s="42" t="n">
        <f aca="false">Q$4-Q$3+1</f>
        <v>91</v>
      </c>
      <c r="R5" s="42" t="n">
        <f aca="false">R$4-R$3+1</f>
        <v>92</v>
      </c>
      <c r="S5" s="42" t="n">
        <f aca="false">S$4-S$3+1</f>
        <v>92</v>
      </c>
      <c r="T5" s="42" t="n">
        <f aca="false">T$4-T$3+1</f>
        <v>90</v>
      </c>
      <c r="U5" s="42" t="n">
        <f aca="false">U$4-U$3+1</f>
        <v>91</v>
      </c>
      <c r="V5" s="42" t="n">
        <f aca="false">V$4-V$3+1</f>
        <v>92</v>
      </c>
      <c r="W5" s="42" t="n">
        <f aca="false">W$4-W$3+1</f>
        <v>92</v>
      </c>
      <c r="X5" s="42" t="n">
        <f aca="false">X$4-X$3+1</f>
        <v>90</v>
      </c>
      <c r="Y5" s="42" t="n">
        <f aca="false">Y$4-Y$3+1</f>
        <v>91</v>
      </c>
      <c r="Z5" s="42" t="n">
        <f aca="false">Z$4-Z$3+1</f>
        <v>92</v>
      </c>
      <c r="AA5" s="42" t="n">
        <f aca="false">AA$4-AA$3+1</f>
        <v>92</v>
      </c>
      <c r="AB5" s="42" t="n">
        <f aca="false">AB$4-AB$3+1</f>
        <v>90</v>
      </c>
      <c r="AC5" s="42" t="n">
        <f aca="false">AC$4-AC$3+1</f>
        <v>91</v>
      </c>
      <c r="AD5" s="42" t="n">
        <f aca="false">AD$4-AD$3+1</f>
        <v>92</v>
      </c>
      <c r="AE5" s="42" t="n">
        <f aca="false">AE$4-AE$3+1</f>
        <v>92</v>
      </c>
      <c r="AF5" s="42" t="n">
        <f aca="false">AF$4-AF$3+1</f>
        <v>91</v>
      </c>
      <c r="AG5" s="42" t="n">
        <f aca="false">AG$4-AG$3+1</f>
        <v>91</v>
      </c>
      <c r="AH5" s="42" t="n">
        <f aca="false">AH$4-AH$3+1</f>
        <v>92</v>
      </c>
      <c r="AI5" s="42" t="n">
        <f aca="false">AI$4-AI$3+1</f>
        <v>92</v>
      </c>
      <c r="AJ5" s="42" t="n">
        <f aca="false">AJ$4-AJ$3+1</f>
        <v>90</v>
      </c>
      <c r="AK5" s="42" t="n">
        <f aca="false">AK$4-AK$3+1</f>
        <v>91</v>
      </c>
      <c r="AL5" s="42" t="n">
        <f aca="false">AL$4-AL$3+1</f>
        <v>92</v>
      </c>
      <c r="AM5" s="42" t="n">
        <f aca="false">AM$4-AM$3+1</f>
        <v>92</v>
      </c>
      <c r="AN5" s="42" t="n">
        <f aca="false">AN$4-AN$3+1</f>
        <v>90</v>
      </c>
      <c r="AO5" s="42" t="n">
        <f aca="false">AO$4-AO$3+1</f>
        <v>91</v>
      </c>
      <c r="AP5" s="42" t="n">
        <f aca="false">AP$4-AP$3+1</f>
        <v>92</v>
      </c>
      <c r="AQ5" s="42" t="n">
        <f aca="false">AQ$4-AQ$3+1</f>
        <v>92</v>
      </c>
      <c r="AR5" s="42" t="n">
        <f aca="false">AR$4-AR$3+1</f>
        <v>90</v>
      </c>
      <c r="AS5" s="42" t="n">
        <f aca="false">AS$4-AS$3+1</f>
        <v>91</v>
      </c>
      <c r="AT5" s="42" t="n">
        <f aca="false">AT$4-AT$3+1</f>
        <v>92</v>
      </c>
      <c r="AU5" s="42" t="n">
        <f aca="false">AU$4-AU$3+1</f>
        <v>92</v>
      </c>
      <c r="AV5" s="42" t="n">
        <f aca="false">AV$4-AV$3+1</f>
        <v>91</v>
      </c>
      <c r="AW5" s="42" t="n">
        <f aca="false">AW$4-AW$3+1</f>
        <v>91</v>
      </c>
      <c r="AX5" s="42" t="n">
        <f aca="false">AX$4-AX$3+1</f>
        <v>92</v>
      </c>
      <c r="AY5" s="42" t="n">
        <f aca="false">AY$4-AY$3+1</f>
        <v>92</v>
      </c>
      <c r="AZ5" s="42" t="n">
        <f aca="false">AZ$4-AZ$3+1</f>
        <v>90</v>
      </c>
      <c r="BA5" s="42" t="n">
        <f aca="false">BA$4-BA$3+1</f>
        <v>91</v>
      </c>
      <c r="BB5" s="42" t="n">
        <f aca="false">BB$4-BB$3+1</f>
        <v>92</v>
      </c>
      <c r="BC5" s="42" t="n">
        <f aca="false">BC$4-BC$3+1</f>
        <v>92</v>
      </c>
      <c r="BD5" s="42" t="n">
        <f aca="false">BD$4-BD$3+1</f>
        <v>90</v>
      </c>
      <c r="BE5" s="42" t="n">
        <f aca="false">BE$4-BE$3+1</f>
        <v>91</v>
      </c>
      <c r="BF5" s="42" t="n">
        <f aca="false">BF$4-BF$3+1</f>
        <v>92</v>
      </c>
      <c r="BG5" s="42" t="n">
        <f aca="false">BG$4-BG$3+1</f>
        <v>92</v>
      </c>
      <c r="BH5" s="42" t="n">
        <f aca="false">BH$4-BH$3+1</f>
        <v>90</v>
      </c>
      <c r="BI5" s="42" t="n">
        <f aca="false">BI$4-BI$3+1</f>
        <v>91</v>
      </c>
      <c r="BJ5" s="42" t="n">
        <f aca="false">BJ$4-BJ$3+1</f>
        <v>92</v>
      </c>
      <c r="BK5" s="42" t="n">
        <f aca="false">BK$4-BK$3+1</f>
        <v>92</v>
      </c>
      <c r="BL5" s="42" t="n">
        <f aca="false">BL$4-BL$3+1</f>
        <v>91</v>
      </c>
      <c r="BM5" s="42" t="n">
        <f aca="false">BM$4-BM$3+1</f>
        <v>91</v>
      </c>
      <c r="BN5" s="42" t="n">
        <f aca="false">BN$4-BN$3+1</f>
        <v>92</v>
      </c>
      <c r="BO5" s="42" t="n">
        <f aca="false">BO$4-BO$3+1</f>
        <v>92</v>
      </c>
      <c r="BP5" s="42" t="n">
        <f aca="false">BP$4-BP$3+1</f>
        <v>90</v>
      </c>
      <c r="BQ5" s="42" t="n">
        <f aca="false">BQ$4-BQ$3+1</f>
        <v>91</v>
      </c>
      <c r="BR5" s="42" t="n">
        <f aca="false">BR$4-BR$3+1</f>
        <v>92</v>
      </c>
      <c r="BS5" s="42" t="n">
        <f aca="false">BS$4-BS$3+1</f>
        <v>92</v>
      </c>
      <c r="BT5" s="42" t="n">
        <f aca="false">BT$4-BT$3+1</f>
        <v>90</v>
      </c>
      <c r="BU5" s="42" t="n">
        <f aca="false">BU$4-BU$3+1</f>
        <v>91</v>
      </c>
      <c r="BV5" s="42" t="n">
        <f aca="false">BV$4-BV$3+1</f>
        <v>92</v>
      </c>
      <c r="BW5" s="42" t="n">
        <f aca="false">BW$4-BW$3+1</f>
        <v>92</v>
      </c>
      <c r="BX5" s="42" t="n">
        <f aca="false">BX$4-BX$3+1</f>
        <v>90</v>
      </c>
      <c r="BY5" s="42" t="n">
        <f aca="false">BY$4-BY$3+1</f>
        <v>91</v>
      </c>
      <c r="BZ5" s="42" t="n">
        <f aca="false">BZ$4-BZ$3+1</f>
        <v>92</v>
      </c>
      <c r="CA5" s="42" t="n">
        <f aca="false">CA$4-CA$3+1</f>
        <v>92</v>
      </c>
      <c r="CB5" s="42" t="n">
        <f aca="false">CB$4-CB$3+1</f>
        <v>91</v>
      </c>
      <c r="CC5" s="42" t="n">
        <f aca="false">CC$4-CC$3+1</f>
        <v>91</v>
      </c>
      <c r="CD5" s="42" t="n">
        <f aca="false">CD$4-CD$3+1</f>
        <v>92</v>
      </c>
      <c r="CE5" s="42" t="n">
        <f aca="false">CE$4-CE$3+1</f>
        <v>92</v>
      </c>
      <c r="CF5" s="42" t="n">
        <f aca="false">CF$4-CF$3+1</f>
        <v>90</v>
      </c>
      <c r="CG5" s="42" t="n">
        <f aca="false">CG$4-CG$3+1</f>
        <v>91</v>
      </c>
      <c r="CH5" s="42" t="n">
        <f aca="false">CH$4-CH$3+1</f>
        <v>92</v>
      </c>
      <c r="CI5" s="42" t="n">
        <f aca="false">CI$4-CI$3+1</f>
        <v>92</v>
      </c>
      <c r="CJ5" s="42" t="n">
        <f aca="false">CJ$4-CJ$3+1</f>
        <v>90</v>
      </c>
      <c r="CK5" s="42" t="n">
        <f aca="false">CK$4-CK$3+1</f>
        <v>91</v>
      </c>
      <c r="CL5" s="42" t="n">
        <f aca="false">CL$4-CL$3+1</f>
        <v>92</v>
      </c>
      <c r="CM5" s="42" t="n">
        <f aca="false">CM$4-CM$3+1</f>
        <v>92</v>
      </c>
      <c r="CN5" s="42" t="n">
        <f aca="false">CN$4-CN$3+1</f>
        <v>90</v>
      </c>
      <c r="CO5" s="42" t="n">
        <f aca="false">CO$4-CO$3+1</f>
        <v>91</v>
      </c>
      <c r="CP5" s="42" t="n">
        <f aca="false">CP$4-CP$3+1</f>
        <v>92</v>
      </c>
      <c r="CQ5" s="42" t="n">
        <f aca="false">CQ$4-CQ$3+1</f>
        <v>92</v>
      </c>
      <c r="CR5" s="42" t="n">
        <f aca="false">CR$4-CR$3+1</f>
        <v>91</v>
      </c>
      <c r="CS5" s="42" t="n">
        <f aca="false">CS$4-CS$3+1</f>
        <v>91</v>
      </c>
      <c r="CT5" s="42" t="n">
        <f aca="false">CT$4-CT$3+1</f>
        <v>92</v>
      </c>
      <c r="CU5" s="42" t="n">
        <f aca="false">CU$4-CU$3+1</f>
        <v>92</v>
      </c>
      <c r="CV5" s="42" t="n">
        <f aca="false">CV$4-CV$3+1</f>
        <v>90</v>
      </c>
      <c r="CW5" s="42" t="n">
        <f aca="false">CW$4-CW$3+1</f>
        <v>91</v>
      </c>
      <c r="CX5" s="42" t="n">
        <f aca="false">CX$4-CX$3+1</f>
        <v>92</v>
      </c>
      <c r="CY5" s="42" t="n">
        <f aca="false">CY$4-CY$3+1</f>
        <v>92</v>
      </c>
      <c r="CZ5" s="42" t="n">
        <f aca="false">CZ$4-CZ$3+1</f>
        <v>90</v>
      </c>
      <c r="DA5" s="42" t="n">
        <f aca="false">DA$4-DA$3+1</f>
        <v>91</v>
      </c>
      <c r="DB5" s="42" t="n">
        <f aca="false">DB$4-DB$3+1</f>
        <v>92</v>
      </c>
      <c r="DC5" s="42" t="n">
        <f aca="false">DC$4-DC$3+1</f>
        <v>92</v>
      </c>
      <c r="DD5" s="42" t="n">
        <f aca="false">DD$4-DD$3+1</f>
        <v>90</v>
      </c>
      <c r="DE5" s="42" t="n">
        <f aca="false">DE$4-DE$3+1</f>
        <v>91</v>
      </c>
      <c r="DF5" s="42" t="n">
        <f aca="false">DF$4-DF$3+1</f>
        <v>92</v>
      </c>
      <c r="DG5" s="42" t="n">
        <f aca="false">DG$4-DG$3+1</f>
        <v>92</v>
      </c>
      <c r="DH5" s="42" t="n">
        <f aca="false">DH$4-DH$3+1</f>
        <v>91</v>
      </c>
      <c r="DI5" s="42" t="n">
        <f aca="false">DI$4-DI$3+1</f>
        <v>91</v>
      </c>
      <c r="DJ5" s="42" t="n">
        <f aca="false">DJ$4-DJ$3+1</f>
        <v>92</v>
      </c>
      <c r="DK5" s="42" t="n">
        <f aca="false">DK$4-DK$3+1</f>
        <v>92</v>
      </c>
      <c r="DL5" s="42" t="n">
        <f aca="false">DL$4-DL$3+1</f>
        <v>90</v>
      </c>
      <c r="DM5" s="42" t="n">
        <f aca="false">DM$4-DM$3+1</f>
        <v>91</v>
      </c>
      <c r="DN5" s="42" t="n">
        <f aca="false">DN$4-DN$3+1</f>
        <v>92</v>
      </c>
      <c r="DO5" s="42" t="n">
        <f aca="false">DO$4-DO$3+1</f>
        <v>92</v>
      </c>
      <c r="DP5" s="42" t="n">
        <f aca="false">DP$4-DP$3+1</f>
        <v>90</v>
      </c>
      <c r="DQ5" s="42" t="n">
        <f aca="false">DQ$4-DQ$3+1</f>
        <v>91</v>
      </c>
      <c r="DR5" s="42" t="n">
        <f aca="false">DR$4-DR$3+1</f>
        <v>92</v>
      </c>
      <c r="DS5" s="42" t="n">
        <f aca="false">DS$4-DS$3+1</f>
        <v>92</v>
      </c>
      <c r="DT5" s="42" t="n">
        <f aca="false">DT$4-DT$3+1</f>
        <v>90</v>
      </c>
      <c r="DU5" s="42" t="n">
        <f aca="false">DU$4-DU$3+1</f>
        <v>91</v>
      </c>
      <c r="DV5" s="42" t="n">
        <f aca="false">DV$4-DV$3+1</f>
        <v>92</v>
      </c>
      <c r="DW5" s="42" t="n">
        <f aca="false">DW$4-DW$3+1</f>
        <v>92</v>
      </c>
      <c r="DX5" s="42" t="n">
        <f aca="false">DX$4-DX$3+1</f>
        <v>91</v>
      </c>
      <c r="DY5" s="42" t="n">
        <f aca="false">DY$4-DY$3+1</f>
        <v>91</v>
      </c>
      <c r="DZ5" s="42" t="n">
        <f aca="false">DZ$4-DZ$3+1</f>
        <v>92</v>
      </c>
      <c r="EA5" s="42" t="n">
        <f aca="false">EA$4-EA$3+1</f>
        <v>92</v>
      </c>
      <c r="EB5" s="42" t="n">
        <f aca="false">EB$4-EB$3+1</f>
        <v>90</v>
      </c>
      <c r="EC5" s="42" t="n">
        <f aca="false">EC$4-EC$3+1</f>
        <v>91</v>
      </c>
      <c r="ED5" s="42" t="n">
        <f aca="false">ED$4-ED$3+1</f>
        <v>92</v>
      </c>
      <c r="EE5" s="42" t="n">
        <f aca="false">EE$4-EE$3+1</f>
        <v>92</v>
      </c>
      <c r="EF5" s="42" t="n">
        <f aca="false">EF$4-EF$3+1</f>
        <v>90</v>
      </c>
      <c r="EG5" s="42" t="n">
        <f aca="false">EG$4-EG$3+1</f>
        <v>91</v>
      </c>
      <c r="EH5" s="42" t="n">
        <f aca="false">EH$4-EH$3+1</f>
        <v>92</v>
      </c>
      <c r="EI5" s="42" t="n">
        <f aca="false">EI$4-EI$3+1</f>
        <v>92</v>
      </c>
      <c r="EJ5" s="42" t="n">
        <f aca="false">EJ$4-EJ$3+1</f>
        <v>90</v>
      </c>
      <c r="EK5" s="42" t="n">
        <f aca="false">EK$4-EK$3+1</f>
        <v>91</v>
      </c>
      <c r="EL5" s="42" t="n">
        <f aca="false">EL$4-EL$3+1</f>
        <v>92</v>
      </c>
      <c r="EM5" s="42" t="n">
        <f aca="false">EM$4-EM$3+1</f>
        <v>92</v>
      </c>
      <c r="EN5" s="42" t="n">
        <f aca="false">EN$4-EN$3+1</f>
        <v>91</v>
      </c>
      <c r="EO5" s="42" t="n">
        <f aca="false">EO$4-EO$3+1</f>
        <v>91</v>
      </c>
      <c r="EP5" s="42" t="n">
        <f aca="false">EP$4-EP$3+1</f>
        <v>92</v>
      </c>
      <c r="EQ5" s="42" t="n">
        <f aca="false">EQ$4-EQ$3+1</f>
        <v>92</v>
      </c>
      <c r="ER5" s="42" t="n">
        <f aca="false">ER$4-ER$3+1</f>
        <v>90</v>
      </c>
      <c r="ES5" s="42" t="n">
        <f aca="false">ES$4-ES$3+1</f>
        <v>91</v>
      </c>
      <c r="ET5" s="42" t="n">
        <f aca="false">ET$4-ET$3+1</f>
        <v>92</v>
      </c>
    </row>
    <row r="6" customFormat="false" ht="15" hidden="false" customHeight="false" outlineLevel="0" collapsed="false">
      <c r="C6" s="0" t="s">
        <v>473</v>
      </c>
      <c r="D6" s="11" t="s">
        <v>474</v>
      </c>
      <c r="J6" s="52" t="n">
        <f aca="false">J$5/Days_In_Year</f>
        <v>0.252054794520548</v>
      </c>
      <c r="K6" s="52" t="n">
        <f aca="false">K$5/Days_In_Year</f>
        <v>0.252054794520548</v>
      </c>
      <c r="L6" s="52" t="n">
        <f aca="false">L$5/Days_In_Year</f>
        <v>0.246575342465753</v>
      </c>
      <c r="M6" s="52" t="n">
        <f aca="false">M$5/Days_In_Year</f>
        <v>0.249315068493151</v>
      </c>
      <c r="N6" s="52" t="n">
        <f aca="false">N$5/Days_In_Year</f>
        <v>0.252054794520548</v>
      </c>
      <c r="O6" s="52" t="n">
        <f aca="false">O$5/Days_In_Year</f>
        <v>0.252054794520548</v>
      </c>
      <c r="P6" s="52" t="n">
        <f aca="false">P$5/Days_In_Year</f>
        <v>0.249315068493151</v>
      </c>
      <c r="Q6" s="52" t="n">
        <f aca="false">Q$5/Days_In_Year</f>
        <v>0.249315068493151</v>
      </c>
      <c r="R6" s="52" t="n">
        <f aca="false">R$5/Days_In_Year</f>
        <v>0.252054794520548</v>
      </c>
      <c r="S6" s="52" t="n">
        <f aca="false">S$5/Days_In_Year</f>
        <v>0.252054794520548</v>
      </c>
      <c r="T6" s="52" t="n">
        <f aca="false">T$5/Days_In_Year</f>
        <v>0.246575342465753</v>
      </c>
      <c r="U6" s="52" t="n">
        <f aca="false">U$5/Days_In_Year</f>
        <v>0.249315068493151</v>
      </c>
      <c r="V6" s="52" t="n">
        <f aca="false">V$5/Days_In_Year</f>
        <v>0.252054794520548</v>
      </c>
      <c r="W6" s="52" t="n">
        <f aca="false">W$5/Days_In_Year</f>
        <v>0.252054794520548</v>
      </c>
      <c r="X6" s="52" t="n">
        <f aca="false">X$5/Days_In_Year</f>
        <v>0.246575342465753</v>
      </c>
      <c r="Y6" s="52" t="n">
        <f aca="false">Y$5/Days_In_Year</f>
        <v>0.249315068493151</v>
      </c>
      <c r="Z6" s="52" t="n">
        <f aca="false">Z$5/Days_In_Year</f>
        <v>0.252054794520548</v>
      </c>
      <c r="AA6" s="52" t="n">
        <f aca="false">AA$5/Days_In_Year</f>
        <v>0.252054794520548</v>
      </c>
      <c r="AB6" s="52" t="n">
        <f aca="false">AB$5/Days_In_Year</f>
        <v>0.246575342465753</v>
      </c>
      <c r="AC6" s="52" t="n">
        <f aca="false">AC$5/Days_In_Year</f>
        <v>0.249315068493151</v>
      </c>
      <c r="AD6" s="52" t="n">
        <f aca="false">AD$5/Days_In_Year</f>
        <v>0.252054794520548</v>
      </c>
      <c r="AE6" s="52" t="n">
        <f aca="false">AE$5/Days_In_Year</f>
        <v>0.252054794520548</v>
      </c>
      <c r="AF6" s="52" t="n">
        <f aca="false">AF$5/Days_In_Year</f>
        <v>0.249315068493151</v>
      </c>
      <c r="AG6" s="52" t="n">
        <f aca="false">AG$5/Days_In_Year</f>
        <v>0.249315068493151</v>
      </c>
      <c r="AH6" s="52" t="n">
        <f aca="false">AH$5/Days_In_Year</f>
        <v>0.252054794520548</v>
      </c>
      <c r="AI6" s="52" t="n">
        <f aca="false">AI$5/Days_In_Year</f>
        <v>0.252054794520548</v>
      </c>
      <c r="AJ6" s="52" t="n">
        <f aca="false">AJ$5/Days_In_Year</f>
        <v>0.246575342465753</v>
      </c>
      <c r="AK6" s="52" t="n">
        <f aca="false">AK$5/Days_In_Year</f>
        <v>0.249315068493151</v>
      </c>
      <c r="AL6" s="52" t="n">
        <f aca="false">AL$5/Days_In_Year</f>
        <v>0.252054794520548</v>
      </c>
      <c r="AM6" s="52" t="n">
        <f aca="false">AM$5/Days_In_Year</f>
        <v>0.252054794520548</v>
      </c>
      <c r="AN6" s="52" t="n">
        <f aca="false">AN$5/Days_In_Year</f>
        <v>0.246575342465753</v>
      </c>
      <c r="AO6" s="52" t="n">
        <f aca="false">AO$5/Days_In_Year</f>
        <v>0.249315068493151</v>
      </c>
      <c r="AP6" s="52" t="n">
        <f aca="false">AP$5/Days_In_Year</f>
        <v>0.252054794520548</v>
      </c>
      <c r="AQ6" s="52" t="n">
        <f aca="false">AQ$5/Days_In_Year</f>
        <v>0.252054794520548</v>
      </c>
      <c r="AR6" s="52" t="n">
        <f aca="false">AR$5/Days_In_Year</f>
        <v>0.246575342465753</v>
      </c>
      <c r="AS6" s="52" t="n">
        <f aca="false">AS$5/Days_In_Year</f>
        <v>0.249315068493151</v>
      </c>
      <c r="AT6" s="52" t="n">
        <f aca="false">AT$5/Days_In_Year</f>
        <v>0.252054794520548</v>
      </c>
      <c r="AU6" s="52" t="n">
        <f aca="false">AU$5/Days_In_Year</f>
        <v>0.252054794520548</v>
      </c>
      <c r="AV6" s="52" t="n">
        <f aca="false">AV$5/Days_In_Year</f>
        <v>0.249315068493151</v>
      </c>
      <c r="AW6" s="52" t="n">
        <f aca="false">AW$5/Days_In_Year</f>
        <v>0.249315068493151</v>
      </c>
      <c r="AX6" s="52" t="n">
        <f aca="false">AX$5/Days_In_Year</f>
        <v>0.252054794520548</v>
      </c>
      <c r="AY6" s="52" t="n">
        <f aca="false">AY$5/Days_In_Year</f>
        <v>0.252054794520548</v>
      </c>
      <c r="AZ6" s="52" t="n">
        <f aca="false">AZ$5/Days_In_Year</f>
        <v>0.246575342465753</v>
      </c>
      <c r="BA6" s="52" t="n">
        <f aca="false">BA$5/Days_In_Year</f>
        <v>0.249315068493151</v>
      </c>
      <c r="BB6" s="52" t="n">
        <f aca="false">BB$5/Days_In_Year</f>
        <v>0.252054794520548</v>
      </c>
      <c r="BC6" s="52" t="n">
        <f aca="false">BC$5/Days_In_Year</f>
        <v>0.252054794520548</v>
      </c>
      <c r="BD6" s="52" t="n">
        <f aca="false">BD$5/Days_In_Year</f>
        <v>0.246575342465753</v>
      </c>
      <c r="BE6" s="52" t="n">
        <f aca="false">BE$5/Days_In_Year</f>
        <v>0.249315068493151</v>
      </c>
      <c r="BF6" s="52" t="n">
        <f aca="false">BF$5/Days_In_Year</f>
        <v>0.252054794520548</v>
      </c>
      <c r="BG6" s="52" t="n">
        <f aca="false">BG$5/Days_In_Year</f>
        <v>0.252054794520548</v>
      </c>
      <c r="BH6" s="52" t="n">
        <f aca="false">BH$5/Days_In_Year</f>
        <v>0.246575342465753</v>
      </c>
      <c r="BI6" s="52" t="n">
        <f aca="false">BI$5/Days_In_Year</f>
        <v>0.249315068493151</v>
      </c>
      <c r="BJ6" s="52" t="n">
        <f aca="false">BJ$5/Days_In_Year</f>
        <v>0.252054794520548</v>
      </c>
      <c r="BK6" s="52" t="n">
        <f aca="false">BK$5/Days_In_Year</f>
        <v>0.252054794520548</v>
      </c>
      <c r="BL6" s="52" t="n">
        <f aca="false">BL$5/Days_In_Year</f>
        <v>0.249315068493151</v>
      </c>
      <c r="BM6" s="52" t="n">
        <f aca="false">BM$5/Days_In_Year</f>
        <v>0.249315068493151</v>
      </c>
      <c r="BN6" s="52" t="n">
        <f aca="false">BN$5/Days_In_Year</f>
        <v>0.252054794520548</v>
      </c>
      <c r="BO6" s="52" t="n">
        <f aca="false">BO$5/Days_In_Year</f>
        <v>0.252054794520548</v>
      </c>
      <c r="BP6" s="52" t="n">
        <f aca="false">BP$5/Days_In_Year</f>
        <v>0.246575342465753</v>
      </c>
      <c r="BQ6" s="52" t="n">
        <f aca="false">BQ$5/Days_In_Year</f>
        <v>0.249315068493151</v>
      </c>
      <c r="BR6" s="52" t="n">
        <f aca="false">BR$5/Days_In_Year</f>
        <v>0.252054794520548</v>
      </c>
      <c r="BS6" s="52" t="n">
        <f aca="false">BS$5/Days_In_Year</f>
        <v>0.252054794520548</v>
      </c>
      <c r="BT6" s="52" t="n">
        <f aca="false">BT$5/Days_In_Year</f>
        <v>0.246575342465753</v>
      </c>
      <c r="BU6" s="52" t="n">
        <f aca="false">BU$5/Days_In_Year</f>
        <v>0.249315068493151</v>
      </c>
      <c r="BV6" s="52" t="n">
        <f aca="false">BV$5/Days_In_Year</f>
        <v>0.252054794520548</v>
      </c>
      <c r="BW6" s="52" t="n">
        <f aca="false">BW$5/Days_In_Year</f>
        <v>0.252054794520548</v>
      </c>
      <c r="BX6" s="52" t="n">
        <f aca="false">BX$5/Days_In_Year</f>
        <v>0.246575342465753</v>
      </c>
      <c r="BY6" s="52" t="n">
        <f aca="false">BY$5/Days_In_Year</f>
        <v>0.249315068493151</v>
      </c>
      <c r="BZ6" s="52" t="n">
        <f aca="false">BZ$5/Days_In_Year</f>
        <v>0.252054794520548</v>
      </c>
      <c r="CA6" s="52" t="n">
        <f aca="false">CA$5/Days_In_Year</f>
        <v>0.252054794520548</v>
      </c>
      <c r="CB6" s="52" t="n">
        <f aca="false">CB$5/Days_In_Year</f>
        <v>0.249315068493151</v>
      </c>
      <c r="CC6" s="52" t="n">
        <f aca="false">CC$5/Days_In_Year</f>
        <v>0.249315068493151</v>
      </c>
      <c r="CD6" s="52" t="n">
        <f aca="false">CD$5/Days_In_Year</f>
        <v>0.252054794520548</v>
      </c>
      <c r="CE6" s="52" t="n">
        <f aca="false">CE$5/Days_In_Year</f>
        <v>0.252054794520548</v>
      </c>
      <c r="CF6" s="52" t="n">
        <f aca="false">CF$5/Days_In_Year</f>
        <v>0.246575342465753</v>
      </c>
      <c r="CG6" s="52" t="n">
        <f aca="false">CG$5/Days_In_Year</f>
        <v>0.249315068493151</v>
      </c>
      <c r="CH6" s="52" t="n">
        <f aca="false">CH$5/Days_In_Year</f>
        <v>0.252054794520548</v>
      </c>
      <c r="CI6" s="52" t="n">
        <f aca="false">CI$5/Days_In_Year</f>
        <v>0.252054794520548</v>
      </c>
      <c r="CJ6" s="52" t="n">
        <f aca="false">CJ$5/Days_In_Year</f>
        <v>0.246575342465753</v>
      </c>
      <c r="CK6" s="52" t="n">
        <f aca="false">CK$5/Days_In_Year</f>
        <v>0.249315068493151</v>
      </c>
      <c r="CL6" s="52" t="n">
        <f aca="false">CL$5/Days_In_Year</f>
        <v>0.252054794520548</v>
      </c>
      <c r="CM6" s="52" t="n">
        <f aca="false">CM$5/Days_In_Year</f>
        <v>0.252054794520548</v>
      </c>
      <c r="CN6" s="52" t="n">
        <f aca="false">CN$5/Days_In_Year</f>
        <v>0.246575342465753</v>
      </c>
      <c r="CO6" s="52" t="n">
        <f aca="false">CO$5/Days_In_Year</f>
        <v>0.249315068493151</v>
      </c>
      <c r="CP6" s="52" t="n">
        <f aca="false">CP$5/Days_In_Year</f>
        <v>0.252054794520548</v>
      </c>
      <c r="CQ6" s="52" t="n">
        <f aca="false">CQ$5/Days_In_Year</f>
        <v>0.252054794520548</v>
      </c>
      <c r="CR6" s="52" t="n">
        <f aca="false">CR$5/Days_In_Year</f>
        <v>0.249315068493151</v>
      </c>
      <c r="CS6" s="52" t="n">
        <f aca="false">CS$5/Days_In_Year</f>
        <v>0.249315068493151</v>
      </c>
      <c r="CT6" s="52" t="n">
        <f aca="false">CT$5/Days_In_Year</f>
        <v>0.252054794520548</v>
      </c>
      <c r="CU6" s="52" t="n">
        <f aca="false">CU$5/Days_In_Year</f>
        <v>0.252054794520548</v>
      </c>
      <c r="CV6" s="52" t="n">
        <f aca="false">CV$5/Days_In_Year</f>
        <v>0.246575342465753</v>
      </c>
      <c r="CW6" s="52" t="n">
        <f aca="false">CW$5/Days_In_Year</f>
        <v>0.249315068493151</v>
      </c>
      <c r="CX6" s="52" t="n">
        <f aca="false">CX$5/Days_In_Year</f>
        <v>0.252054794520548</v>
      </c>
      <c r="CY6" s="52" t="n">
        <f aca="false">CY$5/Days_In_Year</f>
        <v>0.252054794520548</v>
      </c>
      <c r="CZ6" s="52" t="n">
        <f aca="false">CZ$5/Days_In_Year</f>
        <v>0.246575342465753</v>
      </c>
      <c r="DA6" s="52" t="n">
        <f aca="false">DA$5/Days_In_Year</f>
        <v>0.249315068493151</v>
      </c>
      <c r="DB6" s="52" t="n">
        <f aca="false">DB$5/Days_In_Year</f>
        <v>0.252054794520548</v>
      </c>
      <c r="DC6" s="52" t="n">
        <f aca="false">DC$5/Days_In_Year</f>
        <v>0.252054794520548</v>
      </c>
      <c r="DD6" s="52" t="n">
        <f aca="false">DD$5/Days_In_Year</f>
        <v>0.246575342465753</v>
      </c>
      <c r="DE6" s="52" t="n">
        <f aca="false">DE$5/Days_In_Year</f>
        <v>0.249315068493151</v>
      </c>
      <c r="DF6" s="52" t="n">
        <f aca="false">DF$5/Days_In_Year</f>
        <v>0.252054794520548</v>
      </c>
      <c r="DG6" s="52" t="n">
        <f aca="false">DG$5/Days_In_Year</f>
        <v>0.252054794520548</v>
      </c>
      <c r="DH6" s="52" t="n">
        <f aca="false">DH$5/Days_In_Year</f>
        <v>0.249315068493151</v>
      </c>
      <c r="DI6" s="52" t="n">
        <f aca="false">DI$5/Days_In_Year</f>
        <v>0.249315068493151</v>
      </c>
      <c r="DJ6" s="52" t="n">
        <f aca="false">DJ$5/Days_In_Year</f>
        <v>0.252054794520548</v>
      </c>
      <c r="DK6" s="52" t="n">
        <f aca="false">DK$5/Days_In_Year</f>
        <v>0.252054794520548</v>
      </c>
      <c r="DL6" s="52" t="n">
        <f aca="false">DL$5/Days_In_Year</f>
        <v>0.246575342465753</v>
      </c>
      <c r="DM6" s="52" t="n">
        <f aca="false">DM$5/Days_In_Year</f>
        <v>0.249315068493151</v>
      </c>
      <c r="DN6" s="52" t="n">
        <f aca="false">DN$5/Days_In_Year</f>
        <v>0.252054794520548</v>
      </c>
      <c r="DO6" s="52" t="n">
        <f aca="false">DO$5/Days_In_Year</f>
        <v>0.252054794520548</v>
      </c>
      <c r="DP6" s="52" t="n">
        <f aca="false">DP$5/Days_In_Year</f>
        <v>0.246575342465753</v>
      </c>
      <c r="DQ6" s="52" t="n">
        <f aca="false">DQ$5/Days_In_Year</f>
        <v>0.249315068493151</v>
      </c>
      <c r="DR6" s="52" t="n">
        <f aca="false">DR$5/Days_In_Year</f>
        <v>0.252054794520548</v>
      </c>
      <c r="DS6" s="52" t="n">
        <f aca="false">DS$5/Days_In_Year</f>
        <v>0.252054794520548</v>
      </c>
      <c r="DT6" s="52" t="n">
        <f aca="false">DT$5/Days_In_Year</f>
        <v>0.246575342465753</v>
      </c>
      <c r="DU6" s="52" t="n">
        <f aca="false">DU$5/Days_In_Year</f>
        <v>0.249315068493151</v>
      </c>
      <c r="DV6" s="52" t="n">
        <f aca="false">DV$5/Days_In_Year</f>
        <v>0.252054794520548</v>
      </c>
      <c r="DW6" s="52" t="n">
        <f aca="false">DW$5/Days_In_Year</f>
        <v>0.252054794520548</v>
      </c>
      <c r="DX6" s="52" t="n">
        <f aca="false">DX$5/Days_In_Year</f>
        <v>0.249315068493151</v>
      </c>
      <c r="DY6" s="52" t="n">
        <f aca="false">DY$5/Days_In_Year</f>
        <v>0.249315068493151</v>
      </c>
      <c r="DZ6" s="52" t="n">
        <f aca="false">DZ$5/Days_In_Year</f>
        <v>0.252054794520548</v>
      </c>
      <c r="EA6" s="52" t="n">
        <f aca="false">EA$5/Days_In_Year</f>
        <v>0.252054794520548</v>
      </c>
      <c r="EB6" s="52" t="n">
        <f aca="false">EB$5/Days_In_Year</f>
        <v>0.246575342465753</v>
      </c>
      <c r="EC6" s="52" t="n">
        <f aca="false">EC$5/Days_In_Year</f>
        <v>0.249315068493151</v>
      </c>
      <c r="ED6" s="52" t="n">
        <f aca="false">ED$5/Days_In_Year</f>
        <v>0.252054794520548</v>
      </c>
      <c r="EE6" s="52" t="n">
        <f aca="false">EE$5/Days_In_Year</f>
        <v>0.252054794520548</v>
      </c>
      <c r="EF6" s="52" t="n">
        <f aca="false">EF$5/Days_In_Year</f>
        <v>0.246575342465753</v>
      </c>
      <c r="EG6" s="52" t="n">
        <f aca="false">EG$5/Days_In_Year</f>
        <v>0.249315068493151</v>
      </c>
      <c r="EH6" s="52" t="n">
        <f aca="false">EH$5/Days_In_Year</f>
        <v>0.252054794520548</v>
      </c>
      <c r="EI6" s="52" t="n">
        <f aca="false">EI$5/Days_In_Year</f>
        <v>0.252054794520548</v>
      </c>
      <c r="EJ6" s="52" t="n">
        <f aca="false">EJ$5/Days_In_Year</f>
        <v>0.246575342465753</v>
      </c>
      <c r="EK6" s="52" t="n">
        <f aca="false">EK$5/Days_In_Year</f>
        <v>0.249315068493151</v>
      </c>
      <c r="EL6" s="52" t="n">
        <f aca="false">EL$5/Days_In_Year</f>
        <v>0.252054794520548</v>
      </c>
      <c r="EM6" s="52" t="n">
        <f aca="false">EM$5/Days_In_Year</f>
        <v>0.252054794520548</v>
      </c>
      <c r="EN6" s="52" t="n">
        <f aca="false">EN$5/Days_In_Year</f>
        <v>0.249315068493151</v>
      </c>
      <c r="EO6" s="52" t="n">
        <f aca="false">EO$5/Days_In_Year</f>
        <v>0.249315068493151</v>
      </c>
      <c r="EP6" s="52" t="n">
        <f aca="false">EP$5/Days_In_Year</f>
        <v>0.252054794520548</v>
      </c>
      <c r="EQ6" s="52" t="n">
        <f aca="false">EQ$5/Days_In_Year</f>
        <v>0.252054794520548</v>
      </c>
      <c r="ER6" s="52" t="n">
        <f aca="false">ER$5/Days_In_Year</f>
        <v>0.246575342465753</v>
      </c>
      <c r="ES6" s="52" t="n">
        <f aca="false">ES$5/Days_In_Year</f>
        <v>0.249315068493151</v>
      </c>
      <c r="ET6" s="52" t="n">
        <f aca="false">ET$5/Days_In_Year</f>
        <v>0.252054794520548</v>
      </c>
    </row>
    <row r="7" customFormat="false" ht="15" hidden="false" customHeight="false" outlineLevel="0" collapsed="false">
      <c r="C7" s="0" t="s">
        <v>475</v>
      </c>
      <c r="D7" s="11" t="s">
        <v>476</v>
      </c>
      <c r="J7" s="42" t="n">
        <f aca="false">YEAR(J$4)</f>
        <v>2026</v>
      </c>
      <c r="K7" s="42" t="n">
        <f aca="false">YEAR(K$4)</f>
        <v>2026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2027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2028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2029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2030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2031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2032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2033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2034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2035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2036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2037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2038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2039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2040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2041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2042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2043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2044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2045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2046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2047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2048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2049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2050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2051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2052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2053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2054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2055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2056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2057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2058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2059</v>
      </c>
      <c r="EN7" s="42" t="n">
        <f aca="false">YEAR(EN$4)</f>
        <v>2060</v>
      </c>
      <c r="EO7" s="42" t="n">
        <f aca="false">YEAR(EO$4)</f>
        <v>2060</v>
      </c>
      <c r="EP7" s="42" t="n">
        <f aca="false">YEAR(EP$4)</f>
        <v>2060</v>
      </c>
      <c r="EQ7" s="42" t="n">
        <f aca="false">YEAR(EQ$4)</f>
        <v>2060</v>
      </c>
      <c r="ER7" s="42" t="n">
        <f aca="false">YEAR(ER$4)</f>
        <v>2061</v>
      </c>
      <c r="ES7" s="42" t="n">
        <f aca="false">YEAR(ES$4)</f>
        <v>2061</v>
      </c>
      <c r="ET7" s="42" t="n">
        <f aca="false">YEAR(ET$4)</f>
        <v>2061</v>
      </c>
    </row>
    <row r="8" customFormat="false" ht="15" hidden="false" customHeight="false" outlineLevel="0" collapsed="false">
      <c r="C8" s="0" t="s">
        <v>477</v>
      </c>
      <c r="D8" s="11" t="s">
        <v>205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  <c r="EP8" s="42" t="n">
        <f aca="false">EO$8+1</f>
        <v>137</v>
      </c>
      <c r="EQ8" s="42" t="n">
        <f aca="false">EP$8+1</f>
        <v>138</v>
      </c>
      <c r="ER8" s="42" t="n">
        <f aca="false">EQ$8+1</f>
        <v>139</v>
      </c>
      <c r="ES8" s="42" t="n">
        <f aca="false">ER$8+1</f>
        <v>140</v>
      </c>
      <c r="ET8" s="42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478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479</v>
      </c>
      <c r="D12" s="11" t="s">
        <v>41</v>
      </c>
      <c r="E12" s="44" t="n">
        <f aca="false">INDEX(Dash_Exit_Date,1,$A$1)</f>
        <v>47483</v>
      </c>
      <c r="I12" s="46" t="n">
        <f aca="false">SUM(J12:ET12)</f>
        <v>1</v>
      </c>
      <c r="J12" s="46" t="n">
        <f aca="false">N(AND(J$3&lt;=$E12,J$4&gt;=$E12))</f>
        <v>0</v>
      </c>
      <c r="K12" s="46" t="n">
        <f aca="false">N(AND(K$3&lt;=$E12,K$4&gt;=$E12))</f>
        <v>0</v>
      </c>
      <c r="L12" s="46" t="n">
        <f aca="false">N(AND(L$3&lt;=$E12,L$4&gt;=$E12))</f>
        <v>0</v>
      </c>
      <c r="M12" s="46" t="n">
        <f aca="false">N(AND(M$3&lt;=$E12,M$4&gt;=$E12))</f>
        <v>0</v>
      </c>
      <c r="N12" s="46" t="n">
        <f aca="false">N(AND(N$3&lt;=$E12,N$4&gt;=$E12))</f>
        <v>0</v>
      </c>
      <c r="O12" s="46" t="n">
        <f aca="false">N(AND(O$3&lt;=$E12,O$4&gt;=$E12))</f>
        <v>0</v>
      </c>
      <c r="P12" s="46" t="n">
        <f aca="false">N(AND(P$3&lt;=$E12,P$4&gt;=$E12))</f>
        <v>0</v>
      </c>
      <c r="Q12" s="46" t="n">
        <f aca="false">N(AND(Q$3&lt;=$E12,Q$4&gt;=$E12))</f>
        <v>0</v>
      </c>
      <c r="R12" s="46" t="n">
        <f aca="false">N(AND(R$3&lt;=$E12,R$4&gt;=$E12))</f>
        <v>0</v>
      </c>
      <c r="S12" s="46" t="n">
        <f aca="false">N(AND(S$3&lt;=$E12,S$4&gt;=$E12))</f>
        <v>0</v>
      </c>
      <c r="T12" s="46" t="n">
        <f aca="false">N(AND(T$3&lt;=$E12,T$4&gt;=$E12))</f>
        <v>0</v>
      </c>
      <c r="U12" s="46" t="n">
        <f aca="false">N(AND(U$3&lt;=$E12,U$4&gt;=$E12))</f>
        <v>0</v>
      </c>
      <c r="V12" s="46" t="n">
        <f aca="false">N(AND(V$3&lt;=$E12,V$4&gt;=$E12))</f>
        <v>0</v>
      </c>
      <c r="W12" s="46" t="n">
        <f aca="false">N(AND(W$3&lt;=$E12,W$4&gt;=$E12))</f>
        <v>1</v>
      </c>
      <c r="X12" s="46" t="n">
        <f aca="false">N(AND(X$3&lt;=$E12,X$4&gt;=$E12))</f>
        <v>0</v>
      </c>
      <c r="Y12" s="46" t="n">
        <f aca="false">N(AND(Y$3&lt;=$E12,Y$4&gt;=$E12))</f>
        <v>0</v>
      </c>
      <c r="Z12" s="46" t="n">
        <f aca="false">N(AND(Z$3&lt;=$E12,Z$4&gt;=$E12))</f>
        <v>0</v>
      </c>
      <c r="AA12" s="46" t="n">
        <f aca="false">N(AND(AA$3&lt;=$E12,AA$4&gt;=$E12))</f>
        <v>0</v>
      </c>
      <c r="AB12" s="46" t="n">
        <f aca="false">N(AND(AB$3&lt;=$E12,AB$4&gt;=$E12))</f>
        <v>0</v>
      </c>
      <c r="AC12" s="46" t="n">
        <f aca="false">N(AND(AC$3&lt;=$E12,AC$4&gt;=$E12))</f>
        <v>0</v>
      </c>
      <c r="AD12" s="46" t="n">
        <f aca="false">N(AND(AD$3&lt;=$E12,AD$4&gt;=$E12))</f>
        <v>0</v>
      </c>
      <c r="AE12" s="46" t="n">
        <f aca="false">N(AND(AE$3&lt;=$E12,AE$4&gt;=$E12))</f>
        <v>0</v>
      </c>
      <c r="AF12" s="46" t="n">
        <f aca="false">N(AND(AF$3&lt;=$E12,AF$4&gt;=$E12))</f>
        <v>0</v>
      </c>
      <c r="AG12" s="46" t="n">
        <f aca="false">N(AND(AG$3&lt;=$E12,AG$4&gt;=$E12))</f>
        <v>0</v>
      </c>
      <c r="AH12" s="46" t="n">
        <f aca="false">N(AND(AH$3&lt;=$E12,AH$4&gt;=$E12))</f>
        <v>0</v>
      </c>
      <c r="AI12" s="46" t="n">
        <f aca="false">N(AND(AI$3&lt;=$E12,AI$4&gt;=$E12))</f>
        <v>0</v>
      </c>
      <c r="AJ12" s="46" t="n">
        <f aca="false">N(AND(AJ$3&lt;=$E12,AJ$4&gt;=$E12))</f>
        <v>0</v>
      </c>
      <c r="AK12" s="46" t="n">
        <f aca="false">N(AND(AK$3&lt;=$E12,AK$4&gt;=$E12))</f>
        <v>0</v>
      </c>
      <c r="AL12" s="46" t="n">
        <f aca="false">N(AND(AL$3&lt;=$E12,AL$4&gt;=$E12))</f>
        <v>0</v>
      </c>
      <c r="AM12" s="46" t="n">
        <f aca="false">N(AND(AM$3&lt;=$E12,AM$4&gt;=$E12))</f>
        <v>0</v>
      </c>
      <c r="AN12" s="46" t="n">
        <f aca="false">N(AND(AN$3&lt;=$E12,AN$4&gt;=$E12))</f>
        <v>0</v>
      </c>
      <c r="AO12" s="46" t="n">
        <f aca="false">N(AND(AO$3&lt;=$E12,AO$4&gt;=$E12))</f>
        <v>0</v>
      </c>
      <c r="AP12" s="46" t="n">
        <f aca="false">N(AND(AP$3&lt;=$E12,AP$4&gt;=$E12))</f>
        <v>0</v>
      </c>
      <c r="AQ12" s="46" t="n">
        <f aca="false">N(AND(AQ$3&lt;=$E12,AQ$4&gt;=$E12))</f>
        <v>0</v>
      </c>
      <c r="AR12" s="46" t="n">
        <f aca="false">N(AND(AR$3&lt;=$E12,AR$4&gt;=$E12))</f>
        <v>0</v>
      </c>
      <c r="AS12" s="46" t="n">
        <f aca="false">N(AND(AS$3&lt;=$E12,AS$4&gt;=$E12))</f>
        <v>0</v>
      </c>
      <c r="AT12" s="46" t="n">
        <f aca="false">N(AND(AT$3&lt;=$E12,AT$4&gt;=$E12))</f>
        <v>0</v>
      </c>
      <c r="AU12" s="46" t="n">
        <f aca="false">N(AND(AU$3&lt;=$E12,AU$4&gt;=$E12))</f>
        <v>0</v>
      </c>
      <c r="AV12" s="46" t="n">
        <f aca="false">N(AND(AV$3&lt;=$E12,AV$4&gt;=$E12))</f>
        <v>0</v>
      </c>
      <c r="AW12" s="46" t="n">
        <f aca="false">N(AND(AW$3&lt;=$E12,AW$4&gt;=$E12))</f>
        <v>0</v>
      </c>
      <c r="AX12" s="46" t="n">
        <f aca="false">N(AND(AX$3&lt;=$E12,AX$4&gt;=$E12))</f>
        <v>0</v>
      </c>
      <c r="AY12" s="46" t="n">
        <f aca="false">N(AND(AY$3&lt;=$E12,AY$4&gt;=$E12))</f>
        <v>0</v>
      </c>
      <c r="AZ12" s="46" t="n">
        <f aca="false">N(AND(AZ$3&lt;=$E12,AZ$4&gt;=$E12))</f>
        <v>0</v>
      </c>
      <c r="BA12" s="46" t="n">
        <f aca="false">N(AND(BA$3&lt;=$E12,BA$4&gt;=$E12))</f>
        <v>0</v>
      </c>
      <c r="BB12" s="46" t="n">
        <f aca="false">N(AND(BB$3&lt;=$E12,BB$4&gt;=$E12))</f>
        <v>0</v>
      </c>
      <c r="BC12" s="46" t="n">
        <f aca="false">N(AND(BC$3&lt;=$E12,BC$4&gt;=$E12))</f>
        <v>0</v>
      </c>
      <c r="BD12" s="46" t="n">
        <f aca="false">N(AND(BD$3&lt;=$E12,BD$4&gt;=$E12))</f>
        <v>0</v>
      </c>
      <c r="BE12" s="46" t="n">
        <f aca="false">N(AND(BE$3&lt;=$E12,BE$4&gt;=$E12))</f>
        <v>0</v>
      </c>
      <c r="BF12" s="46" t="n">
        <f aca="false">N(AND(BF$3&lt;=$E12,BF$4&gt;=$E12))</f>
        <v>0</v>
      </c>
      <c r="BG12" s="46" t="n">
        <f aca="false">N(AND(BG$3&lt;=$E12,BG$4&gt;=$E12))</f>
        <v>0</v>
      </c>
      <c r="BH12" s="46" t="n">
        <f aca="false">N(AND(BH$3&lt;=$E12,BH$4&gt;=$E12))</f>
        <v>0</v>
      </c>
      <c r="BI12" s="46" t="n">
        <f aca="false">N(AND(BI$3&lt;=$E12,BI$4&gt;=$E12))</f>
        <v>0</v>
      </c>
      <c r="BJ12" s="46" t="n">
        <f aca="false">N(AND(BJ$3&lt;=$E12,BJ$4&gt;=$E12))</f>
        <v>0</v>
      </c>
      <c r="BK12" s="46" t="n">
        <f aca="false">N(AND(BK$3&lt;=$E12,BK$4&gt;=$E12))</f>
        <v>0</v>
      </c>
      <c r="BL12" s="46" t="n">
        <f aca="false">N(AND(BL$3&lt;=$E12,BL$4&gt;=$E12))</f>
        <v>0</v>
      </c>
      <c r="BM12" s="46" t="n">
        <f aca="false">N(AND(BM$3&lt;=$E12,BM$4&gt;=$E12))</f>
        <v>0</v>
      </c>
      <c r="BN12" s="46" t="n">
        <f aca="false">N(AND(BN$3&lt;=$E12,BN$4&gt;=$E12))</f>
        <v>0</v>
      </c>
      <c r="BO12" s="46" t="n">
        <f aca="false">N(AND(BO$3&lt;=$E12,BO$4&gt;=$E12))</f>
        <v>0</v>
      </c>
      <c r="BP12" s="46" t="n">
        <f aca="false">N(AND(BP$3&lt;=$E12,BP$4&gt;=$E12))</f>
        <v>0</v>
      </c>
      <c r="BQ12" s="46" t="n">
        <f aca="false">N(AND(BQ$3&lt;=$E12,BQ$4&gt;=$E12))</f>
        <v>0</v>
      </c>
      <c r="BR12" s="46" t="n">
        <f aca="false">N(AND(BR$3&lt;=$E12,BR$4&gt;=$E12))</f>
        <v>0</v>
      </c>
      <c r="BS12" s="46" t="n">
        <f aca="false">N(AND(BS$3&lt;=$E12,BS$4&gt;=$E12))</f>
        <v>0</v>
      </c>
      <c r="BT12" s="46" t="n">
        <f aca="false">N(AND(BT$3&lt;=$E12,BT$4&gt;=$E12))</f>
        <v>0</v>
      </c>
      <c r="BU12" s="46" t="n">
        <f aca="false">N(AND(BU$3&lt;=$E12,BU$4&gt;=$E12))</f>
        <v>0</v>
      </c>
      <c r="BV12" s="46" t="n">
        <f aca="false">N(AND(BV$3&lt;=$E12,BV$4&gt;=$E12))</f>
        <v>0</v>
      </c>
      <c r="BW12" s="46" t="n">
        <f aca="false">N(AND(BW$3&lt;=$E12,BW$4&gt;=$E12))</f>
        <v>0</v>
      </c>
      <c r="BX12" s="46" t="n">
        <f aca="false">N(AND(BX$3&lt;=$E12,BX$4&gt;=$E12))</f>
        <v>0</v>
      </c>
      <c r="BY12" s="46" t="n">
        <f aca="false">N(AND(BY$3&lt;=$E12,BY$4&gt;=$E12))</f>
        <v>0</v>
      </c>
      <c r="BZ12" s="46" t="n">
        <f aca="false">N(AND(BZ$3&lt;=$E12,BZ$4&gt;=$E12))</f>
        <v>0</v>
      </c>
      <c r="CA12" s="46" t="n">
        <f aca="false">N(AND(CA$3&lt;=$E12,CA$4&gt;=$E12))</f>
        <v>0</v>
      </c>
      <c r="CB12" s="46" t="n">
        <f aca="false">N(AND(CB$3&lt;=$E12,CB$4&gt;=$E12))</f>
        <v>0</v>
      </c>
      <c r="CC12" s="46" t="n">
        <f aca="false">N(AND(CC$3&lt;=$E12,CC$4&gt;=$E12))</f>
        <v>0</v>
      </c>
      <c r="CD12" s="46" t="n">
        <f aca="false">N(AND(CD$3&lt;=$E12,CD$4&gt;=$E12))</f>
        <v>0</v>
      </c>
      <c r="CE12" s="46" t="n">
        <f aca="false">N(AND(CE$3&lt;=$E12,CE$4&gt;=$E12))</f>
        <v>0</v>
      </c>
      <c r="CF12" s="46" t="n">
        <f aca="false">N(AND(CF$3&lt;=$E12,CF$4&gt;=$E12))</f>
        <v>0</v>
      </c>
      <c r="CG12" s="46" t="n">
        <f aca="false">N(AND(CG$3&lt;=$E12,CG$4&gt;=$E12))</f>
        <v>0</v>
      </c>
      <c r="CH12" s="46" t="n">
        <f aca="false">N(AND(CH$3&lt;=$E12,CH$4&gt;=$E12))</f>
        <v>0</v>
      </c>
      <c r="CI12" s="46" t="n">
        <f aca="false">N(AND(CI$3&lt;=$E12,CI$4&gt;=$E12))</f>
        <v>0</v>
      </c>
      <c r="CJ12" s="46" t="n">
        <f aca="false">N(AND(CJ$3&lt;=$E12,CJ$4&gt;=$E12))</f>
        <v>0</v>
      </c>
      <c r="CK12" s="46" t="n">
        <f aca="false">N(AND(CK$3&lt;=$E12,CK$4&gt;=$E12))</f>
        <v>0</v>
      </c>
      <c r="CL12" s="46" t="n">
        <f aca="false">N(AND(CL$3&lt;=$E12,CL$4&gt;=$E12))</f>
        <v>0</v>
      </c>
      <c r="CM12" s="46" t="n">
        <f aca="false">N(AND(CM$3&lt;=$E12,CM$4&gt;=$E12))</f>
        <v>0</v>
      </c>
      <c r="CN12" s="46" t="n">
        <f aca="false">N(AND(CN$3&lt;=$E12,CN$4&gt;=$E12))</f>
        <v>0</v>
      </c>
      <c r="CO12" s="46" t="n">
        <f aca="false">N(AND(CO$3&lt;=$E12,CO$4&gt;=$E12))</f>
        <v>0</v>
      </c>
      <c r="CP12" s="46" t="n">
        <f aca="false">N(AND(CP$3&lt;=$E12,CP$4&gt;=$E12))</f>
        <v>0</v>
      </c>
      <c r="CQ12" s="46" t="n">
        <f aca="false">N(AND(CQ$3&lt;=$E12,CQ$4&gt;=$E12))</f>
        <v>0</v>
      </c>
      <c r="CR12" s="46" t="n">
        <f aca="false">N(AND(CR$3&lt;=$E12,CR$4&gt;=$E12))</f>
        <v>0</v>
      </c>
      <c r="CS12" s="46" t="n">
        <f aca="false">N(AND(CS$3&lt;=$E12,CS$4&gt;=$E12))</f>
        <v>0</v>
      </c>
      <c r="CT12" s="46" t="n">
        <f aca="false">N(AND(CT$3&lt;=$E12,CT$4&gt;=$E12))</f>
        <v>0</v>
      </c>
      <c r="CU12" s="46" t="n">
        <f aca="false">N(AND(CU$3&lt;=$E12,CU$4&gt;=$E12))</f>
        <v>0</v>
      </c>
      <c r="CV12" s="46" t="n">
        <f aca="false">N(AND(CV$3&lt;=$E12,CV$4&gt;=$E12))</f>
        <v>0</v>
      </c>
      <c r="CW12" s="46" t="n">
        <f aca="false">N(AND(CW$3&lt;=$E12,CW$4&gt;=$E12))</f>
        <v>0</v>
      </c>
      <c r="CX12" s="46" t="n">
        <f aca="false">N(AND(CX$3&lt;=$E12,CX$4&gt;=$E12))</f>
        <v>0</v>
      </c>
      <c r="CY12" s="46" t="n">
        <f aca="false">N(AND(CY$3&lt;=$E12,CY$4&gt;=$E12))</f>
        <v>0</v>
      </c>
      <c r="CZ12" s="46" t="n">
        <f aca="false">N(AND(CZ$3&lt;=$E12,CZ$4&gt;=$E12))</f>
        <v>0</v>
      </c>
      <c r="DA12" s="46" t="n">
        <f aca="false">N(AND(DA$3&lt;=$E12,DA$4&gt;=$E12))</f>
        <v>0</v>
      </c>
      <c r="DB12" s="46" t="n">
        <f aca="false">N(AND(DB$3&lt;=$E12,DB$4&gt;=$E12))</f>
        <v>0</v>
      </c>
      <c r="DC12" s="46" t="n">
        <f aca="false">N(AND(DC$3&lt;=$E12,DC$4&gt;=$E12))</f>
        <v>0</v>
      </c>
      <c r="DD12" s="46" t="n">
        <f aca="false">N(AND(DD$3&lt;=$E12,DD$4&gt;=$E12))</f>
        <v>0</v>
      </c>
      <c r="DE12" s="46" t="n">
        <f aca="false">N(AND(DE$3&lt;=$E12,DE$4&gt;=$E12))</f>
        <v>0</v>
      </c>
      <c r="DF12" s="46" t="n">
        <f aca="false">N(AND(DF$3&lt;=$E12,DF$4&gt;=$E12))</f>
        <v>0</v>
      </c>
      <c r="DG12" s="46" t="n">
        <f aca="false">N(AND(DG$3&lt;=$E12,DG$4&gt;=$E12))</f>
        <v>0</v>
      </c>
      <c r="DH12" s="46" t="n">
        <f aca="false">N(AND(DH$3&lt;=$E12,DH$4&gt;=$E12))</f>
        <v>0</v>
      </c>
      <c r="DI12" s="46" t="n">
        <f aca="false">N(AND(DI$3&lt;=$E12,DI$4&gt;=$E12))</f>
        <v>0</v>
      </c>
      <c r="DJ12" s="46" t="n">
        <f aca="false">N(AND(DJ$3&lt;=$E12,DJ$4&gt;=$E12))</f>
        <v>0</v>
      </c>
      <c r="DK12" s="46" t="n">
        <f aca="false">N(AND(DK$3&lt;=$E12,DK$4&gt;=$E12))</f>
        <v>0</v>
      </c>
      <c r="DL12" s="46" t="n">
        <f aca="false">N(AND(DL$3&lt;=$E12,DL$4&gt;=$E12))</f>
        <v>0</v>
      </c>
      <c r="DM12" s="46" t="n">
        <f aca="false">N(AND(DM$3&lt;=$E12,DM$4&gt;=$E12))</f>
        <v>0</v>
      </c>
      <c r="DN12" s="46" t="n">
        <f aca="false">N(AND(DN$3&lt;=$E12,DN$4&gt;=$E12))</f>
        <v>0</v>
      </c>
      <c r="DO12" s="46" t="n">
        <f aca="false">N(AND(DO$3&lt;=$E12,DO$4&gt;=$E12))</f>
        <v>0</v>
      </c>
      <c r="DP12" s="46" t="n">
        <f aca="false">N(AND(DP$3&lt;=$E12,DP$4&gt;=$E12))</f>
        <v>0</v>
      </c>
      <c r="DQ12" s="46" t="n">
        <f aca="false">N(AND(DQ$3&lt;=$E12,DQ$4&gt;=$E12))</f>
        <v>0</v>
      </c>
      <c r="DR12" s="46" t="n">
        <f aca="false">N(AND(DR$3&lt;=$E12,DR$4&gt;=$E12))</f>
        <v>0</v>
      </c>
      <c r="DS12" s="46" t="n">
        <f aca="false">N(AND(DS$3&lt;=$E12,DS$4&gt;=$E12))</f>
        <v>0</v>
      </c>
      <c r="DT12" s="46" t="n">
        <f aca="false">N(AND(DT$3&lt;=$E12,DT$4&gt;=$E12))</f>
        <v>0</v>
      </c>
      <c r="DU12" s="46" t="n">
        <f aca="false">N(AND(DU$3&lt;=$E12,DU$4&gt;=$E12))</f>
        <v>0</v>
      </c>
      <c r="DV12" s="46" t="n">
        <f aca="false">N(AND(DV$3&lt;=$E12,DV$4&gt;=$E12))</f>
        <v>0</v>
      </c>
      <c r="DW12" s="46" t="n">
        <f aca="false">N(AND(DW$3&lt;=$E12,DW$4&gt;=$E12))</f>
        <v>0</v>
      </c>
      <c r="DX12" s="46" t="n">
        <f aca="false">N(AND(DX$3&lt;=$E12,DX$4&gt;=$E12))</f>
        <v>0</v>
      </c>
      <c r="DY12" s="46" t="n">
        <f aca="false">N(AND(DY$3&lt;=$E12,DY$4&gt;=$E12))</f>
        <v>0</v>
      </c>
      <c r="DZ12" s="46" t="n">
        <f aca="false">N(AND(DZ$3&lt;=$E12,DZ$4&gt;=$E12))</f>
        <v>0</v>
      </c>
      <c r="EA12" s="46" t="n">
        <f aca="false">N(AND(EA$3&lt;=$E12,EA$4&gt;=$E12))</f>
        <v>0</v>
      </c>
      <c r="EB12" s="46" t="n">
        <f aca="false">N(AND(EB$3&lt;=$E12,EB$4&gt;=$E12))</f>
        <v>0</v>
      </c>
      <c r="EC12" s="46" t="n">
        <f aca="false">N(AND(EC$3&lt;=$E12,EC$4&gt;=$E12))</f>
        <v>0</v>
      </c>
      <c r="ED12" s="46" t="n">
        <f aca="false">N(AND(ED$3&lt;=$E12,ED$4&gt;=$E12))</f>
        <v>0</v>
      </c>
      <c r="EE12" s="46" t="n">
        <f aca="false">N(AND(EE$3&lt;=$E12,EE$4&gt;=$E12))</f>
        <v>0</v>
      </c>
      <c r="EF12" s="46" t="n">
        <f aca="false">N(AND(EF$3&lt;=$E12,EF$4&gt;=$E12))</f>
        <v>0</v>
      </c>
      <c r="EG12" s="46" t="n">
        <f aca="false">N(AND(EG$3&lt;=$E12,EG$4&gt;=$E12))</f>
        <v>0</v>
      </c>
      <c r="EH12" s="46" t="n">
        <f aca="false">N(AND(EH$3&lt;=$E12,EH$4&gt;=$E12))</f>
        <v>0</v>
      </c>
      <c r="EI12" s="46" t="n">
        <f aca="false">N(AND(EI$3&lt;=$E12,EI$4&gt;=$E12))</f>
        <v>0</v>
      </c>
      <c r="EJ12" s="46" t="n">
        <f aca="false">N(AND(EJ$3&lt;=$E12,EJ$4&gt;=$E12))</f>
        <v>0</v>
      </c>
      <c r="EK12" s="46" t="n">
        <f aca="false">N(AND(EK$3&lt;=$E12,EK$4&gt;=$E12))</f>
        <v>0</v>
      </c>
      <c r="EL12" s="46" t="n">
        <f aca="false">N(AND(EL$3&lt;=$E12,EL$4&gt;=$E12))</f>
        <v>0</v>
      </c>
      <c r="EM12" s="46" t="n">
        <f aca="false">N(AND(EM$3&lt;=$E12,EM$4&gt;=$E12))</f>
        <v>0</v>
      </c>
      <c r="EN12" s="46" t="n">
        <f aca="false">N(AND(EN$3&lt;=$E12,EN$4&gt;=$E12))</f>
        <v>0</v>
      </c>
      <c r="EO12" s="46" t="n">
        <f aca="false">N(AND(EO$3&lt;=$E12,EO$4&gt;=$E12))</f>
        <v>0</v>
      </c>
      <c r="EP12" s="46" t="n">
        <f aca="false">N(AND(EP$3&lt;=$E12,EP$4&gt;=$E12))</f>
        <v>0</v>
      </c>
      <c r="EQ12" s="46" t="n">
        <f aca="false">N(AND(EQ$3&lt;=$E12,EQ$4&gt;=$E12))</f>
        <v>0</v>
      </c>
      <c r="ER12" s="46" t="n">
        <f aca="false">N(AND(ER$3&lt;=$E12,ER$4&gt;=$E12))</f>
        <v>0</v>
      </c>
      <c r="ES12" s="46" t="n">
        <f aca="false">N(AND(ES$3&lt;=$E12,ES$4&gt;=$E12))</f>
        <v>0</v>
      </c>
      <c r="ET12" s="46" t="n">
        <f aca="false">N(AND(ET$3&lt;=$E12,ET$4&gt;=$E12))</f>
        <v>0</v>
      </c>
    </row>
    <row r="13" customFormat="false" ht="15" hidden="false" customHeight="false" outlineLevel="0" collapsed="false">
      <c r="C13" s="0" t="s">
        <v>480</v>
      </c>
      <c r="D13" s="11" t="s">
        <v>474</v>
      </c>
      <c r="E13" s="44" t="n">
        <f aca="false">In_NTP+1</f>
        <v>47392</v>
      </c>
      <c r="F13" s="27" t="n">
        <f aca="false">In_COD</f>
        <v>48121</v>
      </c>
      <c r="I13" s="52" t="n">
        <f aca="false">SUM(J13:ET13)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</v>
      </c>
      <c r="L13" s="52" t="n">
        <f aca="false">MAX(0,MIN($F13,L$4)-MAX($E13,L$3)+1)/($F13-$E13+1)</f>
        <v>0</v>
      </c>
      <c r="M13" s="52" t="n">
        <f aca="false">MAX(0,MIN($F13,M$4)-MAX($E13,M$3)+1)/($F13-$E13+1)</f>
        <v>0</v>
      </c>
      <c r="N13" s="52" t="n">
        <f aca="false">MAX(0,MIN($F13,N$4)-MAX($E13,N$3)+1)/($F13-$E13+1)</f>
        <v>0</v>
      </c>
      <c r="O13" s="52" t="n">
        <f aca="false">MAX(0,MIN($F13,O$4)-MAX($E13,O$3)+1)/($F13-$E13+1)</f>
        <v>0</v>
      </c>
      <c r="P13" s="52" t="n">
        <f aca="false">MAX(0,MIN($F13,P$4)-MAX($E13,P$3)+1)/($F13-$E13+1)</f>
        <v>0</v>
      </c>
      <c r="Q13" s="52" t="n">
        <f aca="false">MAX(0,MIN($F13,Q$4)-MAX($E13,Q$3)+1)/($F13-$E13+1)</f>
        <v>0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0.126027397260274</v>
      </c>
      <c r="X13" s="52" t="n">
        <f aca="false">MAX(0,MIN($F13,X$4)-MAX($E13,X$3)+1)/($F13-$E13+1)</f>
        <v>0.123287671232877</v>
      </c>
      <c r="Y13" s="52" t="n">
        <f aca="false">MAX(0,MIN($F13,Y$4)-MAX($E13,Y$3)+1)/($F13-$E13+1)</f>
        <v>0.124657534246575</v>
      </c>
      <c r="Z13" s="52" t="n">
        <f aca="false">MAX(0,MIN($F13,Z$4)-MAX($E13,Z$3)+1)/($F13-$E13+1)</f>
        <v>0.126027397260274</v>
      </c>
      <c r="AA13" s="52" t="n">
        <f aca="false">MAX(0,MIN($F13,AA$4)-MAX($E13,AA$3)+1)/($F13-$E13+1)</f>
        <v>0.126027397260274</v>
      </c>
      <c r="AB13" s="52" t="n">
        <f aca="false">MAX(0,MIN($F13,AB$4)-MAX($E13,AB$3)+1)/($F13-$E13+1)</f>
        <v>0.123287671232877</v>
      </c>
      <c r="AC13" s="52" t="n">
        <f aca="false">MAX(0,MIN($F13,AC$4)-MAX($E13,AC$3)+1)/($F13-$E13+1)</f>
        <v>0.124657534246575</v>
      </c>
      <c r="AD13" s="52" t="n">
        <f aca="false">MAX(0,MIN($F13,AD$4)-MAX($E13,AD$3)+1)/($F13-$E13+1)</f>
        <v>0.126027397260274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  <c r="EP13" s="52" t="n">
        <f aca="false">MAX(0,MIN($F13,EP$4)-MAX($E13,EP$3)+1)/($F13-$E13+1)</f>
        <v>0</v>
      </c>
      <c r="EQ13" s="52" t="n">
        <f aca="false">MAX(0,MIN($F13,EQ$4)-MAX($E13,EQ$3)+1)/($F13-$E13+1)</f>
        <v>0</v>
      </c>
      <c r="ER13" s="52" t="n">
        <f aca="false">MAX(0,MIN($F13,ER$4)-MAX($E13,ER$3)+1)/($F13-$E13+1)</f>
        <v>0</v>
      </c>
      <c r="ES13" s="52" t="n">
        <f aca="false">MAX(0,MIN($F13,ES$4)-MAX($E13,ES$3)+1)/($F13-$E13+1)</f>
        <v>0</v>
      </c>
      <c r="ET13" s="52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6" t="n">
        <f aca="false">SUM(J14:ET14)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0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1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  <c r="EP14" s="46" t="n">
        <f aca="false">N(AND(EP$3&lt;=$E14,EP$4&gt;=$E14))</f>
        <v>0</v>
      </c>
      <c r="EQ14" s="46" t="n">
        <f aca="false">N(AND(EQ$3&lt;=$E14,EQ$4&gt;=$E14))</f>
        <v>0</v>
      </c>
      <c r="ER14" s="46" t="n">
        <f aca="false">N(AND(ER$3&lt;=$E14,ER$4&gt;=$E14))</f>
        <v>0</v>
      </c>
      <c r="ES14" s="46" t="n">
        <f aca="false">N(AND(ES$3&lt;=$E14,ES$4&gt;=$E14))</f>
        <v>0</v>
      </c>
      <c r="ET14" s="46" t="n">
        <f aca="false">N(AND(ET$3&lt;=$E14,ET$4&gt;=$E14))</f>
        <v>0</v>
      </c>
    </row>
    <row r="15" customFormat="false" ht="15" hidden="false" customHeight="false" outlineLevel="0" collapsed="false">
      <c r="C15" s="0" t="s">
        <v>363</v>
      </c>
      <c r="D15" s="11" t="s">
        <v>41</v>
      </c>
      <c r="E15" s="44" t="n">
        <f aca="false">In_COD+1</f>
        <v>48122</v>
      </c>
      <c r="F15" s="44" t="n">
        <f aca="false">EDATE(In_COD,In_Life*Months_In_Year)</f>
        <v>59079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0</v>
      </c>
      <c r="AA15" s="52" t="n">
        <f aca="false">MAX(0,(MIN($F15,AA$4)-MAX($E15,AA$3)+1)/AA$5)</f>
        <v>0</v>
      </c>
      <c r="AB15" s="52" t="n">
        <f aca="false">MAX(0,(MIN($F15,AB$4)-MAX($E15,AB$3)+1)/AB$5)</f>
        <v>0</v>
      </c>
      <c r="AC15" s="52" t="n">
        <f aca="false">MAX(0,(MIN($F15,AC$4)-MAX($E15,AC$3)+1)/AC$5)</f>
        <v>0</v>
      </c>
      <c r="AD15" s="52" t="n">
        <f aca="false">MAX(0,(MIN($F15,AD$4)-MAX($E15,AD$3)+1)/AD$5)</f>
        <v>0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  <c r="EP15" s="52" t="n">
        <f aca="false">MAX(0,(MIN($F15,EP$4)-MAX($E15,EP$3)+1)/EP$5)</f>
        <v>1</v>
      </c>
      <c r="EQ15" s="52" t="n">
        <f aca="false">MAX(0,(MIN($F15,EQ$4)-MAX($E15,EQ$3)+1)/EQ$5)</f>
        <v>1</v>
      </c>
      <c r="ER15" s="52" t="n">
        <f aca="false">MAX(0,(MIN($F15,ER$4)-MAX($E15,ER$3)+1)/ER$5)</f>
        <v>1</v>
      </c>
      <c r="ES15" s="52" t="n">
        <f aca="false">MAX(0,(MIN($F15,ES$4)-MAX($E15,ES$3)+1)/ES$5)</f>
        <v>1</v>
      </c>
      <c r="ET15" s="52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481</v>
      </c>
      <c r="D16" s="11" t="s">
        <v>41</v>
      </c>
      <c r="E16" s="44" t="n">
        <f aca="false">In_NTP+1</f>
        <v>47392</v>
      </c>
      <c r="F16" s="44" t="n">
        <f aca="false">EDATE(In_COD,In_Life*Months_In_Year)</f>
        <v>59079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0</v>
      </c>
      <c r="S16" s="52" t="n">
        <f aca="false">MAX(0,(MIN($F16,S$4)-MAX($E16,S$3)+1)/S$5)</f>
        <v>0</v>
      </c>
      <c r="T16" s="52" t="n">
        <f aca="false">MAX(0,(MIN($F16,T$4)-MAX($E16,T$3)+1)/T$5)</f>
        <v>0</v>
      </c>
      <c r="U16" s="52" t="n">
        <f aca="false">MAX(0,(MIN($F16,U$4)-MAX($E16,U$3)+1)/U$5)</f>
        <v>0</v>
      </c>
      <c r="V16" s="52" t="n">
        <f aca="false">MAX(0,(MIN($F16,V$4)-MAX($E16,V$3)+1)/V$5)</f>
        <v>0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  <c r="EP16" s="52" t="n">
        <f aca="false">MAX(0,(MIN($F16,EP$4)-MAX($E16,EP$3)+1)/EP$5)</f>
        <v>1</v>
      </c>
      <c r="EQ16" s="52" t="n">
        <f aca="false">MAX(0,(MIN($F16,EQ$4)-MAX($E16,EQ$3)+1)/EQ$5)</f>
        <v>1</v>
      </c>
      <c r="ER16" s="52" t="n">
        <f aca="false">MAX(0,(MIN($F16,ER$4)-MAX($E16,ER$3)+1)/ER$5)</f>
        <v>1</v>
      </c>
      <c r="ES16" s="52" t="n">
        <f aca="false">MAX(0,(MIN($F16,ES$4)-MAX($E16,ES$3)+1)/ES$5)</f>
        <v>1</v>
      </c>
      <c r="ET16" s="52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482</v>
      </c>
      <c r="D17" s="11" t="s">
        <v>41</v>
      </c>
      <c r="E17" s="44" t="n">
        <f aca="false">In_COD+1</f>
        <v>48122</v>
      </c>
      <c r="F17" s="44" t="n">
        <f aca="false">EDATE(In_COD,In_Debt_Tenor*Months_In_Year)</f>
        <v>51774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0</v>
      </c>
      <c r="AA17" s="52" t="n">
        <f aca="false">MAX(0,(MIN($F17,AA$4)-MAX($E17,AA$3)+1)/AA$5)</f>
        <v>0</v>
      </c>
      <c r="AB17" s="52" t="n">
        <f aca="false">MAX(0,(MIN($F17,AB$4)-MAX($E17,AB$3)+1)/AB$5)</f>
        <v>0</v>
      </c>
      <c r="AC17" s="52" t="n">
        <f aca="false">MAX(0,(MIN($F17,AC$4)-MAX($E17,AC$3)+1)/AC$5)</f>
        <v>0</v>
      </c>
      <c r="AD17" s="52" t="n">
        <f aca="false">MAX(0,(MIN($F17,AD$4)-MAX($E17,AD$3)+1)/AD$5)</f>
        <v>0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0</v>
      </c>
      <c r="BT17" s="52" t="n">
        <f aca="false">MAX(0,(MIN($F17,BT$4)-MAX($E17,BT$3)+1)/BT$5)</f>
        <v>0</v>
      </c>
      <c r="BU17" s="52" t="n">
        <f aca="false">MAX(0,(MIN($F17,BU$4)-MAX($E17,BU$3)+1)/BU$5)</f>
        <v>0</v>
      </c>
      <c r="BV17" s="52" t="n">
        <f aca="false">MAX(0,(MIN($F17,BV$4)-MAX($E17,BV$3)+1)/BV$5)</f>
        <v>0</v>
      </c>
      <c r="BW17" s="52" t="n">
        <f aca="false">MAX(0,(MIN($F17,BW$4)-MAX($E17,BW$3)+1)/BW$5)</f>
        <v>0</v>
      </c>
      <c r="BX17" s="52" t="n">
        <f aca="false">MAX(0,(MIN($F17,BX$4)-MAX($E17,BX$3)+1)/BX$5)</f>
        <v>0</v>
      </c>
      <c r="BY17" s="52" t="n">
        <f aca="false">MAX(0,(MIN($F17,BY$4)-MAX($E17,BY$3)+1)/BY$5)</f>
        <v>0</v>
      </c>
      <c r="BZ17" s="52" t="n">
        <f aca="false">MAX(0,(MIN($F17,BZ$4)-MAX($E17,BZ$3)+1)/BZ$5)</f>
        <v>0</v>
      </c>
      <c r="CA17" s="52" t="n">
        <f aca="false">MAX(0,(MIN($F17,CA$4)-MAX($E17,CA$3)+1)/CA$5)</f>
        <v>0</v>
      </c>
      <c r="CB17" s="52" t="n">
        <f aca="false">MAX(0,(MIN($F17,CB$4)-MAX($E17,CB$3)+1)/CB$5)</f>
        <v>0</v>
      </c>
      <c r="CC17" s="52" t="n">
        <f aca="false">MAX(0,(MIN($F17,CC$4)-MAX($E17,CC$3)+1)/CC$5)</f>
        <v>0</v>
      </c>
      <c r="CD17" s="52" t="n">
        <f aca="false">MAX(0,(MIN($F17,CD$4)-MAX($E17,CD$3)+1)/CD$5)</f>
        <v>0</v>
      </c>
      <c r="CE17" s="52" t="n">
        <f aca="false">MAX(0,(MIN($F17,CE$4)-MAX($E17,CE$3)+1)/CE$5)</f>
        <v>0</v>
      </c>
      <c r="CF17" s="52" t="n">
        <f aca="false">MAX(0,(MIN($F17,CF$4)-MAX($E17,CF$3)+1)/CF$5)</f>
        <v>0</v>
      </c>
      <c r="CG17" s="52" t="n">
        <f aca="false">MAX(0,(MIN($F17,CG$4)-MAX($E17,CG$3)+1)/CG$5)</f>
        <v>0</v>
      </c>
      <c r="CH17" s="52" t="n">
        <f aca="false">MAX(0,(MIN($F17,CH$4)-MAX($E17,CH$3)+1)/CH$5)</f>
        <v>0</v>
      </c>
      <c r="CI17" s="52" t="n">
        <f aca="false">MAX(0,(MIN($F17,CI$4)-MAX($E17,CI$3)+1)/CI$5)</f>
        <v>0</v>
      </c>
      <c r="CJ17" s="52" t="n">
        <f aca="false">MAX(0,(MIN($F17,CJ$4)-MAX($E17,CJ$3)+1)/CJ$5)</f>
        <v>0</v>
      </c>
      <c r="CK17" s="52" t="n">
        <f aca="false">MAX(0,(MIN($F17,CK$4)-MAX($E17,CK$3)+1)/CK$5)</f>
        <v>0</v>
      </c>
      <c r="CL17" s="52" t="n">
        <f aca="false">MAX(0,(MIN($F17,CL$4)-MAX($E17,CL$3)+1)/CL$5)</f>
        <v>0</v>
      </c>
      <c r="CM17" s="52" t="n">
        <f aca="false">MAX(0,(MIN($F17,CM$4)-MAX($E17,CM$3)+1)/CM$5)</f>
        <v>0</v>
      </c>
      <c r="CN17" s="52" t="n">
        <f aca="false">MAX(0,(MIN($F17,CN$4)-MAX($E17,CN$3)+1)/CN$5)</f>
        <v>0</v>
      </c>
      <c r="CO17" s="52" t="n">
        <f aca="false">MAX(0,(MIN($F17,CO$4)-MAX($E17,CO$3)+1)/CO$5)</f>
        <v>0</v>
      </c>
      <c r="CP17" s="52" t="n">
        <f aca="false">MAX(0,(MIN($F17,CP$4)-MAX($E17,CP$3)+1)/CP$5)</f>
        <v>0</v>
      </c>
      <c r="CQ17" s="52" t="n">
        <f aca="false">MAX(0,(MIN($F17,CQ$4)-MAX($E17,CQ$3)+1)/CQ$5)</f>
        <v>0</v>
      </c>
      <c r="CR17" s="52" t="n">
        <f aca="false">MAX(0,(MIN($F17,CR$4)-MAX($E17,CR$3)+1)/CR$5)</f>
        <v>0</v>
      </c>
      <c r="CS17" s="52" t="n">
        <f aca="false">MAX(0,(MIN($F17,CS$4)-MAX($E17,CS$3)+1)/CS$5)</f>
        <v>0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  <c r="EP17" s="52" t="n">
        <f aca="false">MAX(0,(MIN($F17,EP$4)-MAX($E17,EP$3)+1)/EP$5)</f>
        <v>0</v>
      </c>
      <c r="EQ17" s="52" t="n">
        <f aca="false">MAX(0,(MIN($F17,EQ$4)-MAX($E17,EQ$3)+1)/EQ$5)</f>
        <v>0</v>
      </c>
      <c r="ER17" s="52" t="n">
        <f aca="false">MAX(0,(MIN($F17,ER$4)-MAX($E17,ER$3)+1)/ER$5)</f>
        <v>0</v>
      </c>
      <c r="ES17" s="52" t="n">
        <f aca="false">MAX(0,(MIN($F17,ES$4)-MAX($E17,ES$3)+1)/ES$5)</f>
        <v>0</v>
      </c>
      <c r="ET17" s="52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483</v>
      </c>
      <c r="D18" s="11" t="s">
        <v>474</v>
      </c>
      <c r="E18" s="44" t="n">
        <f aca="false">In_COD+1</f>
        <v>48122</v>
      </c>
      <c r="F18" s="44" t="n">
        <f aca="false">EDATE(In_COD,In_Dep_Years*Months_In_Year)</f>
        <v>55426</v>
      </c>
      <c r="I18" s="52" t="n">
        <f aca="false">SUM(J18:ET18)</f>
        <v>1</v>
      </c>
      <c r="J18" s="52" t="n">
        <f aca="false">MAX(0,MIN($F18,J$4)-MAX($E18,J$3)+1)/($F18-$E18+1)</f>
        <v>0</v>
      </c>
      <c r="K18" s="52" t="n">
        <f aca="false">MAX(0,MIN($F18,K$4)-MAX($E18,K$3)+1)/($F18-$E18+1)</f>
        <v>0</v>
      </c>
      <c r="L18" s="52" t="n">
        <f aca="false">MAX(0,MIN($F18,L$4)-MAX($E18,L$3)+1)/($F18-$E18+1)</f>
        <v>0</v>
      </c>
      <c r="M18" s="52" t="n">
        <f aca="false">MAX(0,MIN($F18,M$4)-MAX($E18,M$3)+1)/($F18-$E18+1)</f>
        <v>0</v>
      </c>
      <c r="N18" s="52" t="n">
        <f aca="false">MAX(0,MIN($F18,N$4)-MAX($E18,N$3)+1)/($F18-$E18+1)</f>
        <v>0</v>
      </c>
      <c r="O18" s="52" t="n">
        <f aca="false">MAX(0,MIN($F18,O$4)-MAX($E18,O$3)+1)/($F18-$E18+1)</f>
        <v>0</v>
      </c>
      <c r="P18" s="52" t="n">
        <f aca="false">MAX(0,MIN($F18,P$4)-MAX($E18,P$3)+1)/($F18-$E18+1)</f>
        <v>0</v>
      </c>
      <c r="Q18" s="52" t="n">
        <f aca="false">MAX(0,MIN($F18,Q$4)-MAX($E18,Q$3)+1)/($F18-$E18+1)</f>
        <v>0</v>
      </c>
      <c r="R18" s="52" t="n">
        <f aca="false">MAX(0,MIN($F18,R$4)-MAX($E18,R$3)+1)/($F18-$E18+1)</f>
        <v>0</v>
      </c>
      <c r="S18" s="52" t="n">
        <f aca="false">MAX(0,MIN($F18,S$4)-MAX($E18,S$3)+1)/($F18-$E18+1)</f>
        <v>0</v>
      </c>
      <c r="T18" s="52" t="n">
        <f aca="false">MAX(0,MIN($F18,T$4)-MAX($E18,T$3)+1)/($F18-$E18+1)</f>
        <v>0</v>
      </c>
      <c r="U18" s="52" t="n">
        <f aca="false">MAX(0,MIN($F18,U$4)-MAX($E18,U$3)+1)/($F18-$E18+1)</f>
        <v>0</v>
      </c>
      <c r="V18" s="52" t="n">
        <f aca="false">MAX(0,MIN($F18,V$4)-MAX($E18,V$3)+1)/($F18-$E18+1)</f>
        <v>0</v>
      </c>
      <c r="W18" s="52" t="n">
        <f aca="false">MAX(0,MIN($F18,W$4)-MAX($E18,W$3)+1)/($F18-$E18+1)</f>
        <v>0</v>
      </c>
      <c r="X18" s="52" t="n">
        <f aca="false">MAX(0,MIN($F18,X$4)-MAX($E18,X$3)+1)/($F18-$E18+1)</f>
        <v>0</v>
      </c>
      <c r="Y18" s="52" t="n">
        <f aca="false">MAX(0,MIN($F18,Y$4)-MAX($E18,Y$3)+1)/($F18-$E18+1)</f>
        <v>0</v>
      </c>
      <c r="Z18" s="52" t="n">
        <f aca="false">MAX(0,MIN($F18,Z$4)-MAX($E18,Z$3)+1)/($F18-$E18+1)</f>
        <v>0</v>
      </c>
      <c r="AA18" s="52" t="n">
        <f aca="false">MAX(0,MIN($F18,AA$4)-MAX($E18,AA$3)+1)/($F18-$E18+1)</f>
        <v>0</v>
      </c>
      <c r="AB18" s="52" t="n">
        <f aca="false">MAX(0,MIN($F18,AB$4)-MAX($E18,AB$3)+1)/($F18-$E18+1)</f>
        <v>0</v>
      </c>
      <c r="AC18" s="52" t="n">
        <f aca="false">MAX(0,MIN($F18,AC$4)-MAX($E18,AC$3)+1)/($F18-$E18+1)</f>
        <v>0</v>
      </c>
      <c r="AD18" s="52" t="n">
        <f aca="false">MAX(0,MIN($F18,AD$4)-MAX($E18,AD$3)+1)/($F18-$E18+1)</f>
        <v>0</v>
      </c>
      <c r="AE18" s="52" t="n">
        <f aca="false">MAX(0,MIN($F18,AE$4)-MAX($E18,AE$3)+1)/($F18-$E18+1)</f>
        <v>0.0125941136208077</v>
      </c>
      <c r="AF18" s="52" t="n">
        <f aca="false">MAX(0,MIN($F18,AF$4)-MAX($E18,AF$3)+1)/($F18-$E18+1)</f>
        <v>0.0124572210814511</v>
      </c>
      <c r="AG18" s="52" t="n">
        <f aca="false">MAX(0,MIN($F18,AG$4)-MAX($E18,AG$3)+1)/($F18-$E18+1)</f>
        <v>0.0124572210814511</v>
      </c>
      <c r="AH18" s="52" t="n">
        <f aca="false">MAX(0,MIN($F18,AH$4)-MAX($E18,AH$3)+1)/($F18-$E18+1)</f>
        <v>0.0125941136208077</v>
      </c>
      <c r="AI18" s="52" t="n">
        <f aca="false">MAX(0,MIN($F18,AI$4)-MAX($E18,AI$3)+1)/($F18-$E18+1)</f>
        <v>0.0125941136208077</v>
      </c>
      <c r="AJ18" s="52" t="n">
        <f aca="false">MAX(0,MIN($F18,AJ$4)-MAX($E18,AJ$3)+1)/($F18-$E18+1)</f>
        <v>0.0123203285420945</v>
      </c>
      <c r="AK18" s="52" t="n">
        <f aca="false">MAX(0,MIN($F18,AK$4)-MAX($E18,AK$3)+1)/($F18-$E18+1)</f>
        <v>0.0124572210814511</v>
      </c>
      <c r="AL18" s="52" t="n">
        <f aca="false">MAX(0,MIN($F18,AL$4)-MAX($E18,AL$3)+1)/($F18-$E18+1)</f>
        <v>0.0125941136208077</v>
      </c>
      <c r="AM18" s="52" t="n">
        <f aca="false">MAX(0,MIN($F18,AM$4)-MAX($E18,AM$3)+1)/($F18-$E18+1)</f>
        <v>0.0125941136208077</v>
      </c>
      <c r="AN18" s="52" t="n">
        <f aca="false">MAX(0,MIN($F18,AN$4)-MAX($E18,AN$3)+1)/($F18-$E18+1)</f>
        <v>0.0123203285420945</v>
      </c>
      <c r="AO18" s="52" t="n">
        <f aca="false">MAX(0,MIN($F18,AO$4)-MAX($E18,AO$3)+1)/($F18-$E18+1)</f>
        <v>0.0124572210814511</v>
      </c>
      <c r="AP18" s="52" t="n">
        <f aca="false">MAX(0,MIN($F18,AP$4)-MAX($E18,AP$3)+1)/($F18-$E18+1)</f>
        <v>0.0125941136208077</v>
      </c>
      <c r="AQ18" s="52" t="n">
        <f aca="false">MAX(0,MIN($F18,AQ$4)-MAX($E18,AQ$3)+1)/($F18-$E18+1)</f>
        <v>0.0125941136208077</v>
      </c>
      <c r="AR18" s="52" t="n">
        <f aca="false">MAX(0,MIN($F18,AR$4)-MAX($E18,AR$3)+1)/($F18-$E18+1)</f>
        <v>0.0123203285420945</v>
      </c>
      <c r="AS18" s="52" t="n">
        <f aca="false">MAX(0,MIN($F18,AS$4)-MAX($E18,AS$3)+1)/($F18-$E18+1)</f>
        <v>0.0124572210814511</v>
      </c>
      <c r="AT18" s="52" t="n">
        <f aca="false">MAX(0,MIN($F18,AT$4)-MAX($E18,AT$3)+1)/($F18-$E18+1)</f>
        <v>0.0125941136208077</v>
      </c>
      <c r="AU18" s="52" t="n">
        <f aca="false">MAX(0,MIN($F18,AU$4)-MAX($E18,AU$3)+1)/($F18-$E18+1)</f>
        <v>0.0125941136208077</v>
      </c>
      <c r="AV18" s="52" t="n">
        <f aca="false">MAX(0,MIN($F18,AV$4)-MAX($E18,AV$3)+1)/($F18-$E18+1)</f>
        <v>0.0124572210814511</v>
      </c>
      <c r="AW18" s="52" t="n">
        <f aca="false">MAX(0,MIN($F18,AW$4)-MAX($E18,AW$3)+1)/($F18-$E18+1)</f>
        <v>0.0124572210814511</v>
      </c>
      <c r="AX18" s="52" t="n">
        <f aca="false">MAX(0,MIN($F18,AX$4)-MAX($E18,AX$3)+1)/($F18-$E18+1)</f>
        <v>0.0125941136208077</v>
      </c>
      <c r="AY18" s="52" t="n">
        <f aca="false">MAX(0,MIN($F18,AY$4)-MAX($E18,AY$3)+1)/($F18-$E18+1)</f>
        <v>0.0125941136208077</v>
      </c>
      <c r="AZ18" s="52" t="n">
        <f aca="false">MAX(0,MIN($F18,AZ$4)-MAX($E18,AZ$3)+1)/($F18-$E18+1)</f>
        <v>0.0123203285420945</v>
      </c>
      <c r="BA18" s="52" t="n">
        <f aca="false">MAX(0,MIN($F18,BA$4)-MAX($E18,BA$3)+1)/($F18-$E18+1)</f>
        <v>0.0124572210814511</v>
      </c>
      <c r="BB18" s="52" t="n">
        <f aca="false">MAX(0,MIN($F18,BB$4)-MAX($E18,BB$3)+1)/($F18-$E18+1)</f>
        <v>0.0125941136208077</v>
      </c>
      <c r="BC18" s="52" t="n">
        <f aca="false">MAX(0,MIN($F18,BC$4)-MAX($E18,BC$3)+1)/($F18-$E18+1)</f>
        <v>0.0125941136208077</v>
      </c>
      <c r="BD18" s="52" t="n">
        <f aca="false">MAX(0,MIN($F18,BD$4)-MAX($E18,BD$3)+1)/($F18-$E18+1)</f>
        <v>0.0123203285420945</v>
      </c>
      <c r="BE18" s="52" t="n">
        <f aca="false">MAX(0,MIN($F18,BE$4)-MAX($E18,BE$3)+1)/($F18-$E18+1)</f>
        <v>0.0124572210814511</v>
      </c>
      <c r="BF18" s="52" t="n">
        <f aca="false">MAX(0,MIN($F18,BF$4)-MAX($E18,BF$3)+1)/($F18-$E18+1)</f>
        <v>0.0125941136208077</v>
      </c>
      <c r="BG18" s="52" t="n">
        <f aca="false">MAX(0,MIN($F18,BG$4)-MAX($E18,BG$3)+1)/($F18-$E18+1)</f>
        <v>0.0125941136208077</v>
      </c>
      <c r="BH18" s="52" t="n">
        <f aca="false">MAX(0,MIN($F18,BH$4)-MAX($E18,BH$3)+1)/($F18-$E18+1)</f>
        <v>0.0123203285420945</v>
      </c>
      <c r="BI18" s="52" t="n">
        <f aca="false">MAX(0,MIN($F18,BI$4)-MAX($E18,BI$3)+1)/($F18-$E18+1)</f>
        <v>0.0124572210814511</v>
      </c>
      <c r="BJ18" s="52" t="n">
        <f aca="false">MAX(0,MIN($F18,BJ$4)-MAX($E18,BJ$3)+1)/($F18-$E18+1)</f>
        <v>0.0125941136208077</v>
      </c>
      <c r="BK18" s="52" t="n">
        <f aca="false">MAX(0,MIN($F18,BK$4)-MAX($E18,BK$3)+1)/($F18-$E18+1)</f>
        <v>0.0125941136208077</v>
      </c>
      <c r="BL18" s="52" t="n">
        <f aca="false">MAX(0,MIN($F18,BL$4)-MAX($E18,BL$3)+1)/($F18-$E18+1)</f>
        <v>0.0124572210814511</v>
      </c>
      <c r="BM18" s="52" t="n">
        <f aca="false">MAX(0,MIN($F18,BM$4)-MAX($E18,BM$3)+1)/($F18-$E18+1)</f>
        <v>0.0124572210814511</v>
      </c>
      <c r="BN18" s="52" t="n">
        <f aca="false">MAX(0,MIN($F18,BN$4)-MAX($E18,BN$3)+1)/($F18-$E18+1)</f>
        <v>0.0125941136208077</v>
      </c>
      <c r="BO18" s="52" t="n">
        <f aca="false">MAX(0,MIN($F18,BO$4)-MAX($E18,BO$3)+1)/($F18-$E18+1)</f>
        <v>0.0125941136208077</v>
      </c>
      <c r="BP18" s="52" t="n">
        <f aca="false">MAX(0,MIN($F18,BP$4)-MAX($E18,BP$3)+1)/($F18-$E18+1)</f>
        <v>0.0123203285420945</v>
      </c>
      <c r="BQ18" s="52" t="n">
        <f aca="false">MAX(0,MIN($F18,BQ$4)-MAX($E18,BQ$3)+1)/($F18-$E18+1)</f>
        <v>0.0124572210814511</v>
      </c>
      <c r="BR18" s="52" t="n">
        <f aca="false">MAX(0,MIN($F18,BR$4)-MAX($E18,BR$3)+1)/($F18-$E18+1)</f>
        <v>0.0125941136208077</v>
      </c>
      <c r="BS18" s="52" t="n">
        <f aca="false">MAX(0,MIN($F18,BS$4)-MAX($E18,BS$3)+1)/($F18-$E18+1)</f>
        <v>0.0125941136208077</v>
      </c>
      <c r="BT18" s="52" t="n">
        <f aca="false">MAX(0,MIN($F18,BT$4)-MAX($E18,BT$3)+1)/($F18-$E18+1)</f>
        <v>0.0123203285420945</v>
      </c>
      <c r="BU18" s="52" t="n">
        <f aca="false">MAX(0,MIN($F18,BU$4)-MAX($E18,BU$3)+1)/($F18-$E18+1)</f>
        <v>0.0124572210814511</v>
      </c>
      <c r="BV18" s="52" t="n">
        <f aca="false">MAX(0,MIN($F18,BV$4)-MAX($E18,BV$3)+1)/($F18-$E18+1)</f>
        <v>0.0125941136208077</v>
      </c>
      <c r="BW18" s="52" t="n">
        <f aca="false">MAX(0,MIN($F18,BW$4)-MAX($E18,BW$3)+1)/($F18-$E18+1)</f>
        <v>0.0125941136208077</v>
      </c>
      <c r="BX18" s="52" t="n">
        <f aca="false">MAX(0,MIN($F18,BX$4)-MAX($E18,BX$3)+1)/($F18-$E18+1)</f>
        <v>0.0123203285420945</v>
      </c>
      <c r="BY18" s="52" t="n">
        <f aca="false">MAX(0,MIN($F18,BY$4)-MAX($E18,BY$3)+1)/($F18-$E18+1)</f>
        <v>0.0124572210814511</v>
      </c>
      <c r="BZ18" s="52" t="n">
        <f aca="false">MAX(0,MIN($F18,BZ$4)-MAX($E18,BZ$3)+1)/($F18-$E18+1)</f>
        <v>0.0125941136208077</v>
      </c>
      <c r="CA18" s="52" t="n">
        <f aca="false">MAX(0,MIN($F18,CA$4)-MAX($E18,CA$3)+1)/($F18-$E18+1)</f>
        <v>0.0125941136208077</v>
      </c>
      <c r="CB18" s="52" t="n">
        <f aca="false">MAX(0,MIN($F18,CB$4)-MAX($E18,CB$3)+1)/($F18-$E18+1)</f>
        <v>0.0124572210814511</v>
      </c>
      <c r="CC18" s="52" t="n">
        <f aca="false">MAX(0,MIN($F18,CC$4)-MAX($E18,CC$3)+1)/($F18-$E18+1)</f>
        <v>0.0124572210814511</v>
      </c>
      <c r="CD18" s="52" t="n">
        <f aca="false">MAX(0,MIN($F18,CD$4)-MAX($E18,CD$3)+1)/($F18-$E18+1)</f>
        <v>0.0125941136208077</v>
      </c>
      <c r="CE18" s="52" t="n">
        <f aca="false">MAX(0,MIN($F18,CE$4)-MAX($E18,CE$3)+1)/($F18-$E18+1)</f>
        <v>0.0125941136208077</v>
      </c>
      <c r="CF18" s="52" t="n">
        <f aca="false">MAX(0,MIN($F18,CF$4)-MAX($E18,CF$3)+1)/($F18-$E18+1)</f>
        <v>0.0123203285420945</v>
      </c>
      <c r="CG18" s="52" t="n">
        <f aca="false">MAX(0,MIN($F18,CG$4)-MAX($E18,CG$3)+1)/($F18-$E18+1)</f>
        <v>0.0124572210814511</v>
      </c>
      <c r="CH18" s="52" t="n">
        <f aca="false">MAX(0,MIN($F18,CH$4)-MAX($E18,CH$3)+1)/($F18-$E18+1)</f>
        <v>0.0125941136208077</v>
      </c>
      <c r="CI18" s="52" t="n">
        <f aca="false">MAX(0,MIN($F18,CI$4)-MAX($E18,CI$3)+1)/($F18-$E18+1)</f>
        <v>0.0125941136208077</v>
      </c>
      <c r="CJ18" s="52" t="n">
        <f aca="false">MAX(0,MIN($F18,CJ$4)-MAX($E18,CJ$3)+1)/($F18-$E18+1)</f>
        <v>0.0123203285420945</v>
      </c>
      <c r="CK18" s="52" t="n">
        <f aca="false">MAX(0,MIN($F18,CK$4)-MAX($E18,CK$3)+1)/($F18-$E18+1)</f>
        <v>0.0124572210814511</v>
      </c>
      <c r="CL18" s="52" t="n">
        <f aca="false">MAX(0,MIN($F18,CL$4)-MAX($E18,CL$3)+1)/($F18-$E18+1)</f>
        <v>0.0125941136208077</v>
      </c>
      <c r="CM18" s="52" t="n">
        <f aca="false">MAX(0,MIN($F18,CM$4)-MAX($E18,CM$3)+1)/($F18-$E18+1)</f>
        <v>0.0125941136208077</v>
      </c>
      <c r="CN18" s="52" t="n">
        <f aca="false">MAX(0,MIN($F18,CN$4)-MAX($E18,CN$3)+1)/($F18-$E18+1)</f>
        <v>0.0123203285420945</v>
      </c>
      <c r="CO18" s="52" t="n">
        <f aca="false">MAX(0,MIN($F18,CO$4)-MAX($E18,CO$3)+1)/($F18-$E18+1)</f>
        <v>0.0124572210814511</v>
      </c>
      <c r="CP18" s="52" t="n">
        <f aca="false">MAX(0,MIN($F18,CP$4)-MAX($E18,CP$3)+1)/($F18-$E18+1)</f>
        <v>0.0125941136208077</v>
      </c>
      <c r="CQ18" s="52" t="n">
        <f aca="false">MAX(0,MIN($F18,CQ$4)-MAX($E18,CQ$3)+1)/($F18-$E18+1)</f>
        <v>0.0125941136208077</v>
      </c>
      <c r="CR18" s="52" t="n">
        <f aca="false">MAX(0,MIN($F18,CR$4)-MAX($E18,CR$3)+1)/($F18-$E18+1)</f>
        <v>0.0124572210814511</v>
      </c>
      <c r="CS18" s="52" t="n">
        <f aca="false">MAX(0,MIN($F18,CS$4)-MAX($E18,CS$3)+1)/($F18-$E18+1)</f>
        <v>0.0124572210814511</v>
      </c>
      <c r="CT18" s="52" t="n">
        <f aca="false">MAX(0,MIN($F18,CT$4)-MAX($E18,CT$3)+1)/($F18-$E18+1)</f>
        <v>0.0125941136208077</v>
      </c>
      <c r="CU18" s="52" t="n">
        <f aca="false">MAX(0,MIN($F18,CU$4)-MAX($E18,CU$3)+1)/($F18-$E18+1)</f>
        <v>0.0125941136208077</v>
      </c>
      <c r="CV18" s="52" t="n">
        <f aca="false">MAX(0,MIN($F18,CV$4)-MAX($E18,CV$3)+1)/($F18-$E18+1)</f>
        <v>0.0123203285420945</v>
      </c>
      <c r="CW18" s="52" t="n">
        <f aca="false">MAX(0,MIN($F18,CW$4)-MAX($E18,CW$3)+1)/($F18-$E18+1)</f>
        <v>0.0124572210814511</v>
      </c>
      <c r="CX18" s="52" t="n">
        <f aca="false">MAX(0,MIN($F18,CX$4)-MAX($E18,CX$3)+1)/($F18-$E18+1)</f>
        <v>0.0125941136208077</v>
      </c>
      <c r="CY18" s="52" t="n">
        <f aca="false">MAX(0,MIN($F18,CY$4)-MAX($E18,CY$3)+1)/($F18-$E18+1)</f>
        <v>0.0125941136208077</v>
      </c>
      <c r="CZ18" s="52" t="n">
        <f aca="false">MAX(0,MIN($F18,CZ$4)-MAX($E18,CZ$3)+1)/($F18-$E18+1)</f>
        <v>0.0123203285420945</v>
      </c>
      <c r="DA18" s="52" t="n">
        <f aca="false">MAX(0,MIN($F18,DA$4)-MAX($E18,DA$3)+1)/($F18-$E18+1)</f>
        <v>0.0124572210814511</v>
      </c>
      <c r="DB18" s="52" t="n">
        <f aca="false">MAX(0,MIN($F18,DB$4)-MAX($E18,DB$3)+1)/($F18-$E18+1)</f>
        <v>0.0125941136208077</v>
      </c>
      <c r="DC18" s="52" t="n">
        <f aca="false">MAX(0,MIN($F18,DC$4)-MAX($E18,DC$3)+1)/($F18-$E18+1)</f>
        <v>0.0125941136208077</v>
      </c>
      <c r="DD18" s="52" t="n">
        <f aca="false">MAX(0,MIN($F18,DD$4)-MAX($E18,DD$3)+1)/($F18-$E18+1)</f>
        <v>0.0123203285420945</v>
      </c>
      <c r="DE18" s="52" t="n">
        <f aca="false">MAX(0,MIN($F18,DE$4)-MAX($E18,DE$3)+1)/($F18-$E18+1)</f>
        <v>0.0124572210814511</v>
      </c>
      <c r="DF18" s="52" t="n">
        <f aca="false">MAX(0,MIN($F18,DF$4)-MAX($E18,DF$3)+1)/($F18-$E18+1)</f>
        <v>0.0125941136208077</v>
      </c>
      <c r="DG18" s="52" t="n">
        <f aca="false">MAX(0,MIN($F18,DG$4)-MAX($E18,DG$3)+1)/($F18-$E18+1)</f>
        <v>0</v>
      </c>
      <c r="DH18" s="52" t="n">
        <f aca="false">MAX(0,MIN($F18,DH$4)-MAX($E18,DH$3)+1)/($F18-$E18+1)</f>
        <v>0</v>
      </c>
      <c r="DI18" s="52" t="n">
        <f aca="false">MAX(0,MIN($F18,DI$4)-MAX($E18,DI$3)+1)/($F18-$E18+1)</f>
        <v>0</v>
      </c>
      <c r="DJ18" s="52" t="n">
        <f aca="false">MAX(0,MIN($F18,DJ$4)-MAX($E18,DJ$3)+1)/($F18-$E18+1)</f>
        <v>0</v>
      </c>
      <c r="DK18" s="52" t="n">
        <f aca="false">MAX(0,MIN($F18,DK$4)-MAX($E18,DK$3)+1)/($F18-$E18+1)</f>
        <v>0</v>
      </c>
      <c r="DL18" s="52" t="n">
        <f aca="false">MAX(0,MIN($F18,DL$4)-MAX($E18,DL$3)+1)/($F18-$E18+1)</f>
        <v>0</v>
      </c>
      <c r="DM18" s="52" t="n">
        <f aca="false">MAX(0,MIN($F18,DM$4)-MAX($E18,DM$3)+1)/($F18-$E18+1)</f>
        <v>0</v>
      </c>
      <c r="DN18" s="52" t="n">
        <f aca="false">MAX(0,MIN($F18,DN$4)-MAX($E18,DN$3)+1)/($F18-$E18+1)</f>
        <v>0</v>
      </c>
      <c r="DO18" s="52" t="n">
        <f aca="false">MAX(0,MIN($F18,DO$4)-MAX($E18,DO$3)+1)/($F18-$E18+1)</f>
        <v>0</v>
      </c>
      <c r="DP18" s="52" t="n">
        <f aca="false">MAX(0,MIN($F18,DP$4)-MAX($E18,DP$3)+1)/($F18-$E18+1)</f>
        <v>0</v>
      </c>
      <c r="DQ18" s="52" t="n">
        <f aca="false">MAX(0,MIN($F18,DQ$4)-MAX($E18,DQ$3)+1)/($F18-$E18+1)</f>
        <v>0</v>
      </c>
      <c r="DR18" s="52" t="n">
        <f aca="false">MAX(0,MIN($F18,DR$4)-MAX($E18,DR$3)+1)/($F18-$E18+1)</f>
        <v>0</v>
      </c>
      <c r="DS18" s="52" t="n">
        <f aca="false">MAX(0,MIN($F18,DS$4)-MAX($E18,DS$3)+1)/($F18-$E18+1)</f>
        <v>0</v>
      </c>
      <c r="DT18" s="52" t="n">
        <f aca="false">MAX(0,MIN($F18,DT$4)-MAX($E18,DT$3)+1)/($F18-$E18+1)</f>
        <v>0</v>
      </c>
      <c r="DU18" s="52" t="n">
        <f aca="false">MAX(0,MIN($F18,DU$4)-MAX($E18,DU$3)+1)/($F18-$E18+1)</f>
        <v>0</v>
      </c>
      <c r="DV18" s="52" t="n">
        <f aca="false">MAX(0,MIN($F18,DV$4)-MAX($E18,DV$3)+1)/($F18-$E18+1)</f>
        <v>0</v>
      </c>
      <c r="DW18" s="52" t="n">
        <f aca="false">MAX(0,MIN($F18,DW$4)-MAX($E18,DW$3)+1)/($F18-$E18+1)</f>
        <v>0</v>
      </c>
      <c r="DX18" s="52" t="n">
        <f aca="false">MAX(0,MIN($F18,DX$4)-MAX($E18,DX$3)+1)/($F18-$E18+1)</f>
        <v>0</v>
      </c>
      <c r="DY18" s="52" t="n">
        <f aca="false">MAX(0,MIN($F18,DY$4)-MAX($E18,DY$3)+1)/($F18-$E18+1)</f>
        <v>0</v>
      </c>
      <c r="DZ18" s="52" t="n">
        <f aca="false">MAX(0,MIN($F18,DZ$4)-MAX($E18,DZ$3)+1)/($F18-$E18+1)</f>
        <v>0</v>
      </c>
      <c r="EA18" s="52" t="n">
        <f aca="false">MAX(0,MIN($F18,EA$4)-MAX($E18,EA$3)+1)/($F18-$E18+1)</f>
        <v>0</v>
      </c>
      <c r="EB18" s="52" t="n">
        <f aca="false">MAX(0,MIN($F18,EB$4)-MAX($E18,EB$3)+1)/($F18-$E18+1)</f>
        <v>0</v>
      </c>
      <c r="EC18" s="52" t="n">
        <f aca="false">MAX(0,MIN($F18,EC$4)-MAX($E18,EC$3)+1)/($F18-$E18+1)</f>
        <v>0</v>
      </c>
      <c r="ED18" s="52" t="n">
        <f aca="false">MAX(0,MIN($F18,ED$4)-MAX($E18,ED$3)+1)/($F18-$E18+1)</f>
        <v>0</v>
      </c>
      <c r="EE18" s="52" t="n">
        <f aca="false">MAX(0,MIN($F18,EE$4)-MAX($E18,EE$3)+1)/($F18-$E18+1)</f>
        <v>0</v>
      </c>
      <c r="EF18" s="52" t="n">
        <f aca="false">MAX(0,MIN($F18,EF$4)-MAX($E18,EF$3)+1)/($F18-$E18+1)</f>
        <v>0</v>
      </c>
      <c r="EG18" s="52" t="n">
        <f aca="false">MAX(0,MIN($F18,EG$4)-MAX($E18,EG$3)+1)/($F18-$E18+1)</f>
        <v>0</v>
      </c>
      <c r="EH18" s="52" t="n">
        <f aca="false">MAX(0,MIN($F18,EH$4)-MAX($E18,EH$3)+1)/($F18-$E18+1)</f>
        <v>0</v>
      </c>
      <c r="EI18" s="52" t="n">
        <f aca="false">MAX(0,MIN($F18,EI$4)-MAX($E18,EI$3)+1)/($F18-$E18+1)</f>
        <v>0</v>
      </c>
      <c r="EJ18" s="52" t="n">
        <f aca="false">MAX(0,MIN($F18,EJ$4)-MAX($E18,EJ$3)+1)/($F18-$E18+1)</f>
        <v>0</v>
      </c>
      <c r="EK18" s="52" t="n">
        <f aca="false">MAX(0,MIN($F18,EK$4)-MAX($E18,EK$3)+1)/($F18-$E18+1)</f>
        <v>0</v>
      </c>
      <c r="EL18" s="52" t="n">
        <f aca="false">MAX(0,MIN($F18,EL$4)-MAX($E18,EL$3)+1)/($F18-$E18+1)</f>
        <v>0</v>
      </c>
      <c r="EM18" s="52" t="n">
        <f aca="false">MAX(0,MIN($F18,EM$4)-MAX($E18,EM$3)+1)/($F18-$E18+1)</f>
        <v>0</v>
      </c>
      <c r="EN18" s="52" t="n">
        <f aca="false">MAX(0,MIN($F18,EN$4)-MAX($E18,EN$3)+1)/($F18-$E18+1)</f>
        <v>0</v>
      </c>
      <c r="EO18" s="52" t="n">
        <f aca="false">MAX(0,MIN($F18,EO$4)-MAX($E18,EO$3)+1)/($F18-$E18+1)</f>
        <v>0</v>
      </c>
      <c r="EP18" s="52" t="n">
        <f aca="false">MAX(0,MIN($F18,EP$4)-MAX($E18,EP$3)+1)/($F18-$E18+1)</f>
        <v>0</v>
      </c>
      <c r="EQ18" s="52" t="n">
        <f aca="false">MAX(0,MIN($F18,EQ$4)-MAX($E18,EQ$3)+1)/($F18-$E18+1)</f>
        <v>0</v>
      </c>
      <c r="ER18" s="52" t="n">
        <f aca="false">MAX(0,MIN($F18,ER$4)-MAX($E18,ER$3)+1)/($F18-$E18+1)</f>
        <v>0</v>
      </c>
      <c r="ES18" s="52" t="n">
        <f aca="false">MAX(0,MIN($F18,ES$4)-MAX($E18,ES$3)+1)/($F18-$E18+1)</f>
        <v>0</v>
      </c>
      <c r="ET18" s="52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484</v>
      </c>
      <c r="D19" s="11" t="s">
        <v>41</v>
      </c>
      <c r="E19" s="44" t="n">
        <f aca="false">In_Freeze_Start+1</f>
        <v>47300</v>
      </c>
      <c r="F19" s="44" t="n">
        <f aca="false">In_Freeze_Start+In_Freeze_On*(In_Freeze_End-In_Freeze_Start)-1</f>
        <v>47483</v>
      </c>
      <c r="J19" s="52" t="n">
        <f aca="false">MAX(0,(MIN($F19,J$4)-MAX($E19,J$3)+1)/J$5)</f>
        <v>0</v>
      </c>
      <c r="K19" s="52" t="n">
        <f aca="false">MAX(0,(MIN($F19,K$4)-MAX($E19,K$3)+1)/K$5)</f>
        <v>0</v>
      </c>
      <c r="L19" s="52" t="n">
        <f aca="false">MAX(0,(MIN($F19,L$4)-MAX($E19,L$3)+1)/L$5)</f>
        <v>0</v>
      </c>
      <c r="M19" s="52" t="n">
        <f aca="false">MAX(0,(MIN($F19,M$4)-MAX($E19,M$3)+1)/M$5)</f>
        <v>0</v>
      </c>
      <c r="N19" s="52" t="n">
        <f aca="false">MAX(0,(MIN($F19,N$4)-MAX($E19,N$3)+1)/N$5)</f>
        <v>0</v>
      </c>
      <c r="O19" s="52" t="n">
        <f aca="false">MAX(0,(MIN($F19,O$4)-MAX($E19,O$3)+1)/O$5)</f>
        <v>0</v>
      </c>
      <c r="P19" s="52" t="n">
        <f aca="false">MAX(0,(MIN($F19,P$4)-MAX($E19,P$3)+1)/P$5)</f>
        <v>0</v>
      </c>
      <c r="Q19" s="52" t="n">
        <f aca="false">MAX(0,(MIN($F19,Q$4)-MAX($E19,Q$3)+1)/Q$5)</f>
        <v>0</v>
      </c>
      <c r="R19" s="52" t="n">
        <f aca="false">MAX(0,(MIN($F19,R$4)-MAX($E19,R$3)+1)/R$5)</f>
        <v>0</v>
      </c>
      <c r="S19" s="52" t="n">
        <f aca="false">MAX(0,(MIN($F19,S$4)-MAX($E19,S$3)+1)/S$5)</f>
        <v>0</v>
      </c>
      <c r="T19" s="52" t="n">
        <f aca="false">MAX(0,(MIN($F19,T$4)-MAX($E19,T$3)+1)/T$5)</f>
        <v>0</v>
      </c>
      <c r="U19" s="52" t="n">
        <f aca="false">MAX(0,(MIN($F19,U$4)-MAX($E19,U$3)+1)/U$5)</f>
        <v>0</v>
      </c>
      <c r="V19" s="52" t="n">
        <f aca="false">MAX(0,(MIN($F19,V$4)-MAX($E19,V$3)+1)/V$5)</f>
        <v>1</v>
      </c>
      <c r="W19" s="52" t="n">
        <f aca="false">MAX(0,(MIN($F19,W$4)-MAX($E19,W$3)+1)/W$5)</f>
        <v>1</v>
      </c>
      <c r="X19" s="52" t="n">
        <f aca="false">MAX(0,(MIN($F19,X$4)-MAX($E19,X$3)+1)/X$5)</f>
        <v>0</v>
      </c>
      <c r="Y19" s="52" t="n">
        <f aca="false">MAX(0,(MIN($F19,Y$4)-MAX($E19,Y$3)+1)/Y$5)</f>
        <v>0</v>
      </c>
      <c r="Z19" s="52" t="n">
        <f aca="false">MAX(0,(MIN($F19,Z$4)-MAX($E19,Z$3)+1)/Z$5)</f>
        <v>0</v>
      </c>
      <c r="AA19" s="52" t="n">
        <f aca="false">MAX(0,(MIN($F19,AA$4)-MAX($E19,AA$3)+1)/AA$5)</f>
        <v>0</v>
      </c>
      <c r="AB19" s="52" t="n">
        <f aca="false">MAX(0,(MIN($F19,AB$4)-MAX($E19,AB$3)+1)/AB$5)</f>
        <v>0</v>
      </c>
      <c r="AC19" s="52" t="n">
        <f aca="false">MAX(0,(MIN($F19,AC$4)-MAX($E19,AC$3)+1)/AC$5)</f>
        <v>0</v>
      </c>
      <c r="AD19" s="52" t="n">
        <f aca="false">MAX(0,(MIN($F19,AD$4)-MAX($E19,AD$3)+1)/AD$5)</f>
        <v>0</v>
      </c>
      <c r="AE19" s="52" t="n">
        <f aca="false">MAX(0,(MIN($F19,AE$4)-MAX($E19,AE$3)+1)/AE$5)</f>
        <v>0</v>
      </c>
      <c r="AF19" s="52" t="n">
        <f aca="false">MAX(0,(MIN($F19,AF$4)-MAX($E19,AF$3)+1)/AF$5)</f>
        <v>0</v>
      </c>
      <c r="AG19" s="52" t="n">
        <f aca="false">MAX(0,(MIN($F19,AG$4)-MAX($E19,AG$3)+1)/AG$5)</f>
        <v>0</v>
      </c>
      <c r="AH19" s="52" t="n">
        <f aca="false">MAX(0,(MIN($F19,AH$4)-MAX($E19,AH$3)+1)/AH$5)</f>
        <v>0</v>
      </c>
      <c r="AI19" s="52" t="n">
        <f aca="false">MAX(0,(MIN($F19,AI$4)-MAX($E19,AI$3)+1)/AI$5)</f>
        <v>0</v>
      </c>
      <c r="AJ19" s="52" t="n">
        <f aca="false">MAX(0,(MIN($F19,AJ$4)-MAX($E19,AJ$3)+1)/AJ$5)</f>
        <v>0</v>
      </c>
      <c r="AK19" s="52" t="n">
        <f aca="false">MAX(0,(MIN($F19,AK$4)-MAX($E19,AK$3)+1)/AK$5)</f>
        <v>0</v>
      </c>
      <c r="AL19" s="52" t="n">
        <f aca="false">MAX(0,(MIN($F19,AL$4)-MAX($E19,AL$3)+1)/AL$5)</f>
        <v>0</v>
      </c>
      <c r="AM19" s="52" t="n">
        <f aca="false">MAX(0,(MIN($F19,AM$4)-MAX($E19,AM$3)+1)/AM$5)</f>
        <v>0</v>
      </c>
      <c r="AN19" s="52" t="n">
        <f aca="false">MAX(0,(MIN($F19,AN$4)-MAX($E19,AN$3)+1)/AN$5)</f>
        <v>0</v>
      </c>
      <c r="AO19" s="52" t="n">
        <f aca="false">MAX(0,(MIN($F19,AO$4)-MAX($E19,AO$3)+1)/AO$5)</f>
        <v>0</v>
      </c>
      <c r="AP19" s="52" t="n">
        <f aca="false">MAX(0,(MIN($F19,AP$4)-MAX($E19,AP$3)+1)/AP$5)</f>
        <v>0</v>
      </c>
      <c r="AQ19" s="52" t="n">
        <f aca="false">MAX(0,(MIN($F19,AQ$4)-MAX($E19,AQ$3)+1)/AQ$5)</f>
        <v>0</v>
      </c>
      <c r="AR19" s="52" t="n">
        <f aca="false">MAX(0,(MIN($F19,AR$4)-MAX($E19,AR$3)+1)/AR$5)</f>
        <v>0</v>
      </c>
      <c r="AS19" s="52" t="n">
        <f aca="false">MAX(0,(MIN($F19,AS$4)-MAX($E19,AS$3)+1)/AS$5)</f>
        <v>0</v>
      </c>
      <c r="AT19" s="52" t="n">
        <f aca="false">MAX(0,(MIN($F19,AT$4)-MAX($E19,AT$3)+1)/AT$5)</f>
        <v>0</v>
      </c>
      <c r="AU19" s="52" t="n">
        <f aca="false">MAX(0,(MIN($F19,AU$4)-MAX($E19,AU$3)+1)/AU$5)</f>
        <v>0</v>
      </c>
      <c r="AV19" s="52" t="n">
        <f aca="false">MAX(0,(MIN($F19,AV$4)-MAX($E19,AV$3)+1)/AV$5)</f>
        <v>0</v>
      </c>
      <c r="AW19" s="52" t="n">
        <f aca="false">MAX(0,(MIN($F19,AW$4)-MAX($E19,AW$3)+1)/AW$5)</f>
        <v>0</v>
      </c>
      <c r="AX19" s="52" t="n">
        <f aca="false">MAX(0,(MIN($F19,AX$4)-MAX($E19,AX$3)+1)/AX$5)</f>
        <v>0</v>
      </c>
      <c r="AY19" s="52" t="n">
        <f aca="false">MAX(0,(MIN($F19,AY$4)-MAX($E19,AY$3)+1)/AY$5)</f>
        <v>0</v>
      </c>
      <c r="AZ19" s="52" t="n">
        <f aca="false">MAX(0,(MIN($F19,AZ$4)-MAX($E19,AZ$3)+1)/AZ$5)</f>
        <v>0</v>
      </c>
      <c r="BA19" s="52" t="n">
        <f aca="false">MAX(0,(MIN($F19,BA$4)-MAX($E19,BA$3)+1)/BA$5)</f>
        <v>0</v>
      </c>
      <c r="BB19" s="52" t="n">
        <f aca="false">MAX(0,(MIN($F19,BB$4)-MAX($E19,BB$3)+1)/BB$5)</f>
        <v>0</v>
      </c>
      <c r="BC19" s="52" t="n">
        <f aca="false">MAX(0,(MIN($F19,BC$4)-MAX($E19,BC$3)+1)/BC$5)</f>
        <v>0</v>
      </c>
      <c r="BD19" s="52" t="n">
        <f aca="false">MAX(0,(MIN($F19,BD$4)-MAX($E19,BD$3)+1)/BD$5)</f>
        <v>0</v>
      </c>
      <c r="BE19" s="52" t="n">
        <f aca="false">MAX(0,(MIN($F19,BE$4)-MAX($E19,BE$3)+1)/BE$5)</f>
        <v>0</v>
      </c>
      <c r="BF19" s="52" t="n">
        <f aca="false">MAX(0,(MIN($F19,BF$4)-MAX($E19,BF$3)+1)/BF$5)</f>
        <v>0</v>
      </c>
      <c r="BG19" s="52" t="n">
        <f aca="false">MAX(0,(MIN($F19,BG$4)-MAX($E19,BG$3)+1)/BG$5)</f>
        <v>0</v>
      </c>
      <c r="BH19" s="52" t="n">
        <f aca="false">MAX(0,(MIN($F19,BH$4)-MAX($E19,BH$3)+1)/BH$5)</f>
        <v>0</v>
      </c>
      <c r="BI19" s="52" t="n">
        <f aca="false">MAX(0,(MIN($F19,BI$4)-MAX($E19,BI$3)+1)/BI$5)</f>
        <v>0</v>
      </c>
      <c r="BJ19" s="52" t="n">
        <f aca="false">MAX(0,(MIN($F19,BJ$4)-MAX($E19,BJ$3)+1)/BJ$5)</f>
        <v>0</v>
      </c>
      <c r="BK19" s="52" t="n">
        <f aca="false">MAX(0,(MIN($F19,BK$4)-MAX($E19,BK$3)+1)/BK$5)</f>
        <v>0</v>
      </c>
      <c r="BL19" s="52" t="n">
        <f aca="false">MAX(0,(MIN($F19,BL$4)-MAX($E19,BL$3)+1)/BL$5)</f>
        <v>0</v>
      </c>
      <c r="BM19" s="52" t="n">
        <f aca="false">MAX(0,(MIN($F19,BM$4)-MAX($E19,BM$3)+1)/BM$5)</f>
        <v>0</v>
      </c>
      <c r="BN19" s="52" t="n">
        <f aca="false">MAX(0,(MIN($F19,BN$4)-MAX($E19,BN$3)+1)/BN$5)</f>
        <v>0</v>
      </c>
      <c r="BO19" s="52" t="n">
        <f aca="false">MAX(0,(MIN($F19,BO$4)-MAX($E19,BO$3)+1)/BO$5)</f>
        <v>0</v>
      </c>
      <c r="BP19" s="52" t="n">
        <f aca="false">MAX(0,(MIN($F19,BP$4)-MAX($E19,BP$3)+1)/BP$5)</f>
        <v>0</v>
      </c>
      <c r="BQ19" s="52" t="n">
        <f aca="false">MAX(0,(MIN($F19,BQ$4)-MAX($E19,BQ$3)+1)/BQ$5)</f>
        <v>0</v>
      </c>
      <c r="BR19" s="52" t="n">
        <f aca="false">MAX(0,(MIN($F19,BR$4)-MAX($E19,BR$3)+1)/BR$5)</f>
        <v>0</v>
      </c>
      <c r="BS19" s="52" t="n">
        <f aca="false">MAX(0,(MIN($F19,BS$4)-MAX($E19,BS$3)+1)/BS$5)</f>
        <v>0</v>
      </c>
      <c r="BT19" s="52" t="n">
        <f aca="false">MAX(0,(MIN($F19,BT$4)-MAX($E19,BT$3)+1)/BT$5)</f>
        <v>0</v>
      </c>
      <c r="BU19" s="52" t="n">
        <f aca="false">MAX(0,(MIN($F19,BU$4)-MAX($E19,BU$3)+1)/BU$5)</f>
        <v>0</v>
      </c>
      <c r="BV19" s="52" t="n">
        <f aca="false">MAX(0,(MIN($F19,BV$4)-MAX($E19,BV$3)+1)/BV$5)</f>
        <v>0</v>
      </c>
      <c r="BW19" s="52" t="n">
        <f aca="false">MAX(0,(MIN($F19,BW$4)-MAX($E19,BW$3)+1)/BW$5)</f>
        <v>0</v>
      </c>
      <c r="BX19" s="52" t="n">
        <f aca="false">MAX(0,(MIN($F19,BX$4)-MAX($E19,BX$3)+1)/BX$5)</f>
        <v>0</v>
      </c>
      <c r="BY19" s="52" t="n">
        <f aca="false">MAX(0,(MIN($F19,BY$4)-MAX($E19,BY$3)+1)/BY$5)</f>
        <v>0</v>
      </c>
      <c r="BZ19" s="52" t="n">
        <f aca="false">MAX(0,(MIN($F19,BZ$4)-MAX($E19,BZ$3)+1)/BZ$5)</f>
        <v>0</v>
      </c>
      <c r="CA19" s="52" t="n">
        <f aca="false">MAX(0,(MIN($F19,CA$4)-MAX($E19,CA$3)+1)/CA$5)</f>
        <v>0</v>
      </c>
      <c r="CB19" s="52" t="n">
        <f aca="false">MAX(0,(MIN($F19,CB$4)-MAX($E19,CB$3)+1)/CB$5)</f>
        <v>0</v>
      </c>
      <c r="CC19" s="52" t="n">
        <f aca="false">MAX(0,(MIN($F19,CC$4)-MAX($E19,CC$3)+1)/CC$5)</f>
        <v>0</v>
      </c>
      <c r="CD19" s="52" t="n">
        <f aca="false">MAX(0,(MIN($F19,CD$4)-MAX($E19,CD$3)+1)/CD$5)</f>
        <v>0</v>
      </c>
      <c r="CE19" s="52" t="n">
        <f aca="false">MAX(0,(MIN($F19,CE$4)-MAX($E19,CE$3)+1)/CE$5)</f>
        <v>0</v>
      </c>
      <c r="CF19" s="52" t="n">
        <f aca="false">MAX(0,(MIN($F19,CF$4)-MAX($E19,CF$3)+1)/CF$5)</f>
        <v>0</v>
      </c>
      <c r="CG19" s="52" t="n">
        <f aca="false">MAX(0,(MIN($F19,CG$4)-MAX($E19,CG$3)+1)/CG$5)</f>
        <v>0</v>
      </c>
      <c r="CH19" s="52" t="n">
        <f aca="false">MAX(0,(MIN($F19,CH$4)-MAX($E19,CH$3)+1)/CH$5)</f>
        <v>0</v>
      </c>
      <c r="CI19" s="52" t="n">
        <f aca="false">MAX(0,(MIN($F19,CI$4)-MAX($E19,CI$3)+1)/CI$5)</f>
        <v>0</v>
      </c>
      <c r="CJ19" s="52" t="n">
        <f aca="false">MAX(0,(MIN($F19,CJ$4)-MAX($E19,CJ$3)+1)/CJ$5)</f>
        <v>0</v>
      </c>
      <c r="CK19" s="52" t="n">
        <f aca="false">MAX(0,(MIN($F19,CK$4)-MAX($E19,CK$3)+1)/CK$5)</f>
        <v>0</v>
      </c>
      <c r="CL19" s="52" t="n">
        <f aca="false">MAX(0,(MIN($F19,CL$4)-MAX($E19,CL$3)+1)/CL$5)</f>
        <v>0</v>
      </c>
      <c r="CM19" s="52" t="n">
        <f aca="false">MAX(0,(MIN($F19,CM$4)-MAX($E19,CM$3)+1)/CM$5)</f>
        <v>0</v>
      </c>
      <c r="CN19" s="52" t="n">
        <f aca="false">MAX(0,(MIN($F19,CN$4)-MAX($E19,CN$3)+1)/CN$5)</f>
        <v>0</v>
      </c>
      <c r="CO19" s="52" t="n">
        <f aca="false">MAX(0,(MIN($F19,CO$4)-MAX($E19,CO$3)+1)/CO$5)</f>
        <v>0</v>
      </c>
      <c r="CP19" s="52" t="n">
        <f aca="false">MAX(0,(MIN($F19,CP$4)-MAX($E19,CP$3)+1)/CP$5)</f>
        <v>0</v>
      </c>
      <c r="CQ19" s="52" t="n">
        <f aca="false">MAX(0,(MIN($F19,CQ$4)-MAX($E19,CQ$3)+1)/CQ$5)</f>
        <v>0</v>
      </c>
      <c r="CR19" s="52" t="n">
        <f aca="false">MAX(0,(MIN($F19,CR$4)-MAX($E19,CR$3)+1)/CR$5)</f>
        <v>0</v>
      </c>
      <c r="CS19" s="52" t="n">
        <f aca="false">MAX(0,(MIN($F19,CS$4)-MAX($E19,CS$3)+1)/CS$5)</f>
        <v>0</v>
      </c>
      <c r="CT19" s="52" t="n">
        <f aca="false">MAX(0,(MIN($F19,CT$4)-MAX($E19,CT$3)+1)/CT$5)</f>
        <v>0</v>
      </c>
      <c r="CU19" s="52" t="n">
        <f aca="false">MAX(0,(MIN($F19,CU$4)-MAX($E19,CU$3)+1)/CU$5)</f>
        <v>0</v>
      </c>
      <c r="CV19" s="52" t="n">
        <f aca="false">MAX(0,(MIN($F19,CV$4)-MAX($E19,CV$3)+1)/CV$5)</f>
        <v>0</v>
      </c>
      <c r="CW19" s="52" t="n">
        <f aca="false">MAX(0,(MIN($F19,CW$4)-MAX($E19,CW$3)+1)/CW$5)</f>
        <v>0</v>
      </c>
      <c r="CX19" s="52" t="n">
        <f aca="false">MAX(0,(MIN($F19,CX$4)-MAX($E19,CX$3)+1)/CX$5)</f>
        <v>0</v>
      </c>
      <c r="CY19" s="52" t="n">
        <f aca="false">MAX(0,(MIN($F19,CY$4)-MAX($E19,CY$3)+1)/CY$5)</f>
        <v>0</v>
      </c>
      <c r="CZ19" s="52" t="n">
        <f aca="false">MAX(0,(MIN($F19,CZ$4)-MAX($E19,CZ$3)+1)/CZ$5)</f>
        <v>0</v>
      </c>
      <c r="DA19" s="52" t="n">
        <f aca="false">MAX(0,(MIN($F19,DA$4)-MAX($E19,DA$3)+1)/DA$5)</f>
        <v>0</v>
      </c>
      <c r="DB19" s="52" t="n">
        <f aca="false">MAX(0,(MIN($F19,DB$4)-MAX($E19,DB$3)+1)/DB$5)</f>
        <v>0</v>
      </c>
      <c r="DC19" s="52" t="n">
        <f aca="false">MAX(0,(MIN($F19,DC$4)-MAX($E19,DC$3)+1)/DC$5)</f>
        <v>0</v>
      </c>
      <c r="DD19" s="52" t="n">
        <f aca="false">MAX(0,(MIN($F19,DD$4)-MAX($E19,DD$3)+1)/DD$5)</f>
        <v>0</v>
      </c>
      <c r="DE19" s="52" t="n">
        <f aca="false">MAX(0,(MIN($F19,DE$4)-MAX($E19,DE$3)+1)/DE$5)</f>
        <v>0</v>
      </c>
      <c r="DF19" s="52" t="n">
        <f aca="false">MAX(0,(MIN($F19,DF$4)-MAX($E19,DF$3)+1)/DF$5)</f>
        <v>0</v>
      </c>
      <c r="DG19" s="52" t="n">
        <f aca="false">MAX(0,(MIN($F19,DG$4)-MAX($E19,DG$3)+1)/DG$5)</f>
        <v>0</v>
      </c>
      <c r="DH19" s="52" t="n">
        <f aca="false">MAX(0,(MIN($F19,DH$4)-MAX($E19,DH$3)+1)/DH$5)</f>
        <v>0</v>
      </c>
      <c r="DI19" s="52" t="n">
        <f aca="false">MAX(0,(MIN($F19,DI$4)-MAX($E19,DI$3)+1)/DI$5)</f>
        <v>0</v>
      </c>
      <c r="DJ19" s="52" t="n">
        <f aca="false">MAX(0,(MIN($F19,DJ$4)-MAX($E19,DJ$3)+1)/DJ$5)</f>
        <v>0</v>
      </c>
      <c r="DK19" s="52" t="n">
        <f aca="false">MAX(0,(MIN($F19,DK$4)-MAX($E19,DK$3)+1)/DK$5)</f>
        <v>0</v>
      </c>
      <c r="DL19" s="52" t="n">
        <f aca="false">MAX(0,(MIN($F19,DL$4)-MAX($E19,DL$3)+1)/DL$5)</f>
        <v>0</v>
      </c>
      <c r="DM19" s="52" t="n">
        <f aca="false">MAX(0,(MIN($F19,DM$4)-MAX($E19,DM$3)+1)/DM$5)</f>
        <v>0</v>
      </c>
      <c r="DN19" s="52" t="n">
        <f aca="false">MAX(0,(MIN($F19,DN$4)-MAX($E19,DN$3)+1)/DN$5)</f>
        <v>0</v>
      </c>
      <c r="DO19" s="52" t="n">
        <f aca="false">MAX(0,(MIN($F19,DO$4)-MAX($E19,DO$3)+1)/DO$5)</f>
        <v>0</v>
      </c>
      <c r="DP19" s="52" t="n">
        <f aca="false">MAX(0,(MIN($F19,DP$4)-MAX($E19,DP$3)+1)/DP$5)</f>
        <v>0</v>
      </c>
      <c r="DQ19" s="52" t="n">
        <f aca="false">MAX(0,(MIN($F19,DQ$4)-MAX($E19,DQ$3)+1)/DQ$5)</f>
        <v>0</v>
      </c>
      <c r="DR19" s="52" t="n">
        <f aca="false">MAX(0,(MIN($F19,DR$4)-MAX($E19,DR$3)+1)/DR$5)</f>
        <v>0</v>
      </c>
      <c r="DS19" s="52" t="n">
        <f aca="false">MAX(0,(MIN($F19,DS$4)-MAX($E19,DS$3)+1)/DS$5)</f>
        <v>0</v>
      </c>
      <c r="DT19" s="52" t="n">
        <f aca="false">MAX(0,(MIN($F19,DT$4)-MAX($E19,DT$3)+1)/DT$5)</f>
        <v>0</v>
      </c>
      <c r="DU19" s="52" t="n">
        <f aca="false">MAX(0,(MIN($F19,DU$4)-MAX($E19,DU$3)+1)/DU$5)</f>
        <v>0</v>
      </c>
      <c r="DV19" s="52" t="n">
        <f aca="false">MAX(0,(MIN($F19,DV$4)-MAX($E19,DV$3)+1)/DV$5)</f>
        <v>0</v>
      </c>
      <c r="DW19" s="52" t="n">
        <f aca="false">MAX(0,(MIN($F19,DW$4)-MAX($E19,DW$3)+1)/DW$5)</f>
        <v>0</v>
      </c>
      <c r="DX19" s="52" t="n">
        <f aca="false">MAX(0,(MIN($F19,DX$4)-MAX($E19,DX$3)+1)/DX$5)</f>
        <v>0</v>
      </c>
      <c r="DY19" s="52" t="n">
        <f aca="false">MAX(0,(MIN($F19,DY$4)-MAX($E19,DY$3)+1)/DY$5)</f>
        <v>0</v>
      </c>
      <c r="DZ19" s="52" t="n">
        <f aca="false">MAX(0,(MIN($F19,DZ$4)-MAX($E19,DZ$3)+1)/DZ$5)</f>
        <v>0</v>
      </c>
      <c r="EA19" s="52" t="n">
        <f aca="false">MAX(0,(MIN($F19,EA$4)-MAX($E19,EA$3)+1)/EA$5)</f>
        <v>0</v>
      </c>
      <c r="EB19" s="52" t="n">
        <f aca="false">MAX(0,(MIN($F19,EB$4)-MAX($E19,EB$3)+1)/EB$5)</f>
        <v>0</v>
      </c>
      <c r="EC19" s="52" t="n">
        <f aca="false">MAX(0,(MIN($F19,EC$4)-MAX($E19,EC$3)+1)/EC$5)</f>
        <v>0</v>
      </c>
      <c r="ED19" s="52" t="n">
        <f aca="false">MAX(0,(MIN($F19,ED$4)-MAX($E19,ED$3)+1)/ED$5)</f>
        <v>0</v>
      </c>
      <c r="EE19" s="52" t="n">
        <f aca="false">MAX(0,(MIN($F19,EE$4)-MAX($E19,EE$3)+1)/EE$5)</f>
        <v>0</v>
      </c>
      <c r="EF19" s="52" t="n">
        <f aca="false">MAX(0,(MIN($F19,EF$4)-MAX($E19,EF$3)+1)/EF$5)</f>
        <v>0</v>
      </c>
      <c r="EG19" s="52" t="n">
        <f aca="false">MAX(0,(MIN($F19,EG$4)-MAX($E19,EG$3)+1)/EG$5)</f>
        <v>0</v>
      </c>
      <c r="EH19" s="52" t="n">
        <f aca="false">MAX(0,(MIN($F19,EH$4)-MAX($E19,EH$3)+1)/EH$5)</f>
        <v>0</v>
      </c>
      <c r="EI19" s="52" t="n">
        <f aca="false">MAX(0,(MIN($F19,EI$4)-MAX($E19,EI$3)+1)/EI$5)</f>
        <v>0</v>
      </c>
      <c r="EJ19" s="52" t="n">
        <f aca="false">MAX(0,(MIN($F19,EJ$4)-MAX($E19,EJ$3)+1)/EJ$5)</f>
        <v>0</v>
      </c>
      <c r="EK19" s="52" t="n">
        <f aca="false">MAX(0,(MIN($F19,EK$4)-MAX($E19,EK$3)+1)/EK$5)</f>
        <v>0</v>
      </c>
      <c r="EL19" s="52" t="n">
        <f aca="false">MAX(0,(MIN($F19,EL$4)-MAX($E19,EL$3)+1)/EL$5)</f>
        <v>0</v>
      </c>
      <c r="EM19" s="52" t="n">
        <f aca="false">MAX(0,(MIN($F19,EM$4)-MAX($E19,EM$3)+1)/EM$5)</f>
        <v>0</v>
      </c>
      <c r="EN19" s="52" t="n">
        <f aca="false">MAX(0,(MIN($F19,EN$4)-MAX($E19,EN$3)+1)/EN$5)</f>
        <v>0</v>
      </c>
      <c r="EO19" s="52" t="n">
        <f aca="false">MAX(0,(MIN($F19,EO$4)-MAX($E19,EO$3)+1)/EO$5)</f>
        <v>0</v>
      </c>
      <c r="EP19" s="52" t="n">
        <f aca="false">MAX(0,(MIN($F19,EP$4)-MAX($E19,EP$3)+1)/EP$5)</f>
        <v>0</v>
      </c>
      <c r="EQ19" s="52" t="n">
        <f aca="false">MAX(0,(MIN($F19,EQ$4)-MAX($E19,EQ$3)+1)/EQ$5)</f>
        <v>0</v>
      </c>
      <c r="ER19" s="52" t="n">
        <f aca="false">MAX(0,(MIN($F19,ER$4)-MAX($E19,ER$3)+1)/ER$5)</f>
        <v>0</v>
      </c>
      <c r="ES19" s="52" t="n">
        <f aca="false">MAX(0,(MIN($F19,ES$4)-MAX($E19,ES$3)+1)/ES$5)</f>
        <v>0</v>
      </c>
      <c r="ET19" s="52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485</v>
      </c>
      <c r="D20" s="11" t="s">
        <v>41</v>
      </c>
      <c r="J20" s="46" t="n">
        <f aca="false">N(MONTH(J$4)=Months_In_Year)</f>
        <v>0</v>
      </c>
      <c r="K20" s="46" t="n">
        <f aca="false">N(MONTH(K$4)=Months_In_Year)</f>
        <v>1</v>
      </c>
      <c r="L20" s="46" t="n">
        <f aca="false">N(MONTH(L$4)=Months_In_Year)</f>
        <v>0</v>
      </c>
      <c r="M20" s="46" t="n">
        <f aca="false">N(MONTH(M$4)=Months_In_Year)</f>
        <v>0</v>
      </c>
      <c r="N20" s="46" t="n">
        <f aca="false">N(MONTH(N$4)=Months_In_Year)</f>
        <v>0</v>
      </c>
      <c r="O20" s="46" t="n">
        <f aca="false">N(MONTH(O$4)=Months_In_Year)</f>
        <v>1</v>
      </c>
      <c r="P20" s="46" t="n">
        <f aca="false">N(MONTH(P$4)=Months_In_Year)</f>
        <v>0</v>
      </c>
      <c r="Q20" s="46" t="n">
        <f aca="false">N(MONTH(Q$4)=Months_In_Year)</f>
        <v>0</v>
      </c>
      <c r="R20" s="46" t="n">
        <f aca="false">N(MONTH(R$4)=Months_In_Year)</f>
        <v>0</v>
      </c>
      <c r="S20" s="46" t="n">
        <f aca="false">N(MONTH(S$4)=Months_In_Year)</f>
        <v>1</v>
      </c>
      <c r="T20" s="46" t="n">
        <f aca="false">N(MONTH(T$4)=Months_In_Year)</f>
        <v>0</v>
      </c>
      <c r="U20" s="46" t="n">
        <f aca="false">N(MONTH(U$4)=Months_In_Year)</f>
        <v>0</v>
      </c>
      <c r="V20" s="46" t="n">
        <f aca="false">N(MONTH(V$4)=Months_In_Year)</f>
        <v>0</v>
      </c>
      <c r="W20" s="46" t="n">
        <f aca="false">N(MONTH(W$4)=Months_In_Year)</f>
        <v>1</v>
      </c>
      <c r="X20" s="46" t="n">
        <f aca="false">N(MONTH(X$4)=Months_In_Year)</f>
        <v>0</v>
      </c>
      <c r="Y20" s="46" t="n">
        <f aca="false">N(MONTH(Y$4)=Months_In_Year)</f>
        <v>0</v>
      </c>
      <c r="Z20" s="46" t="n">
        <f aca="false">N(MONTH(Z$4)=Months_In_Year)</f>
        <v>0</v>
      </c>
      <c r="AA20" s="46" t="n">
        <f aca="false">N(MONTH(AA$4)=Months_In_Year)</f>
        <v>1</v>
      </c>
      <c r="AB20" s="46" t="n">
        <f aca="false">N(MONTH(AB$4)=Months_In_Year)</f>
        <v>0</v>
      </c>
      <c r="AC20" s="46" t="n">
        <f aca="false">N(MONTH(AC$4)=Months_In_Year)</f>
        <v>0</v>
      </c>
      <c r="AD20" s="46" t="n">
        <f aca="false">N(MONTH(AD$4)=Months_In_Year)</f>
        <v>0</v>
      </c>
      <c r="AE20" s="46" t="n">
        <f aca="false">N(MONTH(AE$4)=Months_In_Year)</f>
        <v>1</v>
      </c>
      <c r="AF20" s="46" t="n">
        <f aca="false">N(MONTH(AF$4)=Months_In_Year)</f>
        <v>0</v>
      </c>
      <c r="AG20" s="46" t="n">
        <f aca="false">N(MONTH(AG$4)=Months_In_Year)</f>
        <v>0</v>
      </c>
      <c r="AH20" s="46" t="n">
        <f aca="false">N(MONTH(AH$4)=Months_In_Year)</f>
        <v>0</v>
      </c>
      <c r="AI20" s="46" t="n">
        <f aca="false">N(MONTH(AI$4)=Months_In_Year)</f>
        <v>1</v>
      </c>
      <c r="AJ20" s="46" t="n">
        <f aca="false">N(MONTH(AJ$4)=Months_In_Year)</f>
        <v>0</v>
      </c>
      <c r="AK20" s="46" t="n">
        <f aca="false">N(MONTH(AK$4)=Months_In_Year)</f>
        <v>0</v>
      </c>
      <c r="AL20" s="46" t="n">
        <f aca="false">N(MONTH(AL$4)=Months_In_Year)</f>
        <v>0</v>
      </c>
      <c r="AM20" s="46" t="n">
        <f aca="false">N(MONTH(AM$4)=Months_In_Year)</f>
        <v>1</v>
      </c>
      <c r="AN20" s="46" t="n">
        <f aca="false">N(MONTH(AN$4)=Months_In_Year)</f>
        <v>0</v>
      </c>
      <c r="AO20" s="46" t="n">
        <f aca="false">N(MONTH(AO$4)=Months_In_Year)</f>
        <v>0</v>
      </c>
      <c r="AP20" s="46" t="n">
        <f aca="false">N(MONTH(AP$4)=Months_In_Year)</f>
        <v>0</v>
      </c>
      <c r="AQ20" s="46" t="n">
        <f aca="false">N(MONTH(AQ$4)=Months_In_Year)</f>
        <v>1</v>
      </c>
      <c r="AR20" s="46" t="n">
        <f aca="false">N(MONTH(AR$4)=Months_In_Year)</f>
        <v>0</v>
      </c>
      <c r="AS20" s="46" t="n">
        <f aca="false">N(MONTH(AS$4)=Months_In_Year)</f>
        <v>0</v>
      </c>
      <c r="AT20" s="46" t="n">
        <f aca="false">N(MONTH(AT$4)=Months_In_Year)</f>
        <v>0</v>
      </c>
      <c r="AU20" s="46" t="n">
        <f aca="false">N(MONTH(AU$4)=Months_In_Year)</f>
        <v>1</v>
      </c>
      <c r="AV20" s="46" t="n">
        <f aca="false">N(MONTH(AV$4)=Months_In_Year)</f>
        <v>0</v>
      </c>
      <c r="AW20" s="46" t="n">
        <f aca="false">N(MONTH(AW$4)=Months_In_Year)</f>
        <v>0</v>
      </c>
      <c r="AX20" s="46" t="n">
        <f aca="false">N(MONTH(AX$4)=Months_In_Year)</f>
        <v>0</v>
      </c>
      <c r="AY20" s="46" t="n">
        <f aca="false">N(MONTH(AY$4)=Months_In_Year)</f>
        <v>1</v>
      </c>
      <c r="AZ20" s="46" t="n">
        <f aca="false">N(MONTH(AZ$4)=Months_In_Year)</f>
        <v>0</v>
      </c>
      <c r="BA20" s="46" t="n">
        <f aca="false">N(MONTH(BA$4)=Months_In_Year)</f>
        <v>0</v>
      </c>
      <c r="BB20" s="46" t="n">
        <f aca="false">N(MONTH(BB$4)=Months_In_Year)</f>
        <v>0</v>
      </c>
      <c r="BC20" s="46" t="n">
        <f aca="false">N(MONTH(BC$4)=Months_In_Year)</f>
        <v>1</v>
      </c>
      <c r="BD20" s="46" t="n">
        <f aca="false">N(MONTH(BD$4)=Months_In_Year)</f>
        <v>0</v>
      </c>
      <c r="BE20" s="46" t="n">
        <f aca="false">N(MONTH(BE$4)=Months_In_Year)</f>
        <v>0</v>
      </c>
      <c r="BF20" s="46" t="n">
        <f aca="false">N(MONTH(BF$4)=Months_In_Year)</f>
        <v>0</v>
      </c>
      <c r="BG20" s="46" t="n">
        <f aca="false">N(MONTH(BG$4)=Months_In_Year)</f>
        <v>1</v>
      </c>
      <c r="BH20" s="46" t="n">
        <f aca="false">N(MONTH(BH$4)=Months_In_Year)</f>
        <v>0</v>
      </c>
      <c r="BI20" s="46" t="n">
        <f aca="false">N(MONTH(BI$4)=Months_In_Year)</f>
        <v>0</v>
      </c>
      <c r="BJ20" s="46" t="n">
        <f aca="false">N(MONTH(BJ$4)=Months_In_Year)</f>
        <v>0</v>
      </c>
      <c r="BK20" s="46" t="n">
        <f aca="false">N(MONTH(BK$4)=Months_In_Year)</f>
        <v>1</v>
      </c>
      <c r="BL20" s="46" t="n">
        <f aca="false">N(MONTH(BL$4)=Months_In_Year)</f>
        <v>0</v>
      </c>
      <c r="BM20" s="46" t="n">
        <f aca="false">N(MONTH(BM$4)=Months_In_Year)</f>
        <v>0</v>
      </c>
      <c r="BN20" s="46" t="n">
        <f aca="false">N(MONTH(BN$4)=Months_In_Year)</f>
        <v>0</v>
      </c>
      <c r="BO20" s="46" t="n">
        <f aca="false">N(MONTH(BO$4)=Months_In_Year)</f>
        <v>1</v>
      </c>
      <c r="BP20" s="46" t="n">
        <f aca="false">N(MONTH(BP$4)=Months_In_Year)</f>
        <v>0</v>
      </c>
      <c r="BQ20" s="46" t="n">
        <f aca="false">N(MONTH(BQ$4)=Months_In_Year)</f>
        <v>0</v>
      </c>
      <c r="BR20" s="46" t="n">
        <f aca="false">N(MONTH(BR$4)=Months_In_Year)</f>
        <v>0</v>
      </c>
      <c r="BS20" s="46" t="n">
        <f aca="false">N(MONTH(BS$4)=Months_In_Year)</f>
        <v>1</v>
      </c>
      <c r="BT20" s="46" t="n">
        <f aca="false">N(MONTH(BT$4)=Months_In_Year)</f>
        <v>0</v>
      </c>
      <c r="BU20" s="46" t="n">
        <f aca="false">N(MONTH(BU$4)=Months_In_Year)</f>
        <v>0</v>
      </c>
      <c r="BV20" s="46" t="n">
        <f aca="false">N(MONTH(BV$4)=Months_In_Year)</f>
        <v>0</v>
      </c>
      <c r="BW20" s="46" t="n">
        <f aca="false">N(MONTH(BW$4)=Months_In_Year)</f>
        <v>1</v>
      </c>
      <c r="BX20" s="46" t="n">
        <f aca="false">N(MONTH(BX$4)=Months_In_Year)</f>
        <v>0</v>
      </c>
      <c r="BY20" s="46" t="n">
        <f aca="false">N(MONTH(BY$4)=Months_In_Year)</f>
        <v>0</v>
      </c>
      <c r="BZ20" s="46" t="n">
        <f aca="false">N(MONTH(BZ$4)=Months_In_Year)</f>
        <v>0</v>
      </c>
      <c r="CA20" s="46" t="n">
        <f aca="false">N(MONTH(CA$4)=Months_In_Year)</f>
        <v>1</v>
      </c>
      <c r="CB20" s="46" t="n">
        <f aca="false">N(MONTH(CB$4)=Months_In_Year)</f>
        <v>0</v>
      </c>
      <c r="CC20" s="46" t="n">
        <f aca="false">N(MONTH(CC$4)=Months_In_Year)</f>
        <v>0</v>
      </c>
      <c r="CD20" s="46" t="n">
        <f aca="false">N(MONTH(CD$4)=Months_In_Year)</f>
        <v>0</v>
      </c>
      <c r="CE20" s="46" t="n">
        <f aca="false">N(MONTH(CE$4)=Months_In_Year)</f>
        <v>1</v>
      </c>
      <c r="CF20" s="46" t="n">
        <f aca="false">N(MONTH(CF$4)=Months_In_Year)</f>
        <v>0</v>
      </c>
      <c r="CG20" s="46" t="n">
        <f aca="false">N(MONTH(CG$4)=Months_In_Year)</f>
        <v>0</v>
      </c>
      <c r="CH20" s="46" t="n">
        <f aca="false">N(MONTH(CH$4)=Months_In_Year)</f>
        <v>0</v>
      </c>
      <c r="CI20" s="46" t="n">
        <f aca="false">N(MONTH(CI$4)=Months_In_Year)</f>
        <v>1</v>
      </c>
      <c r="CJ20" s="46" t="n">
        <f aca="false">N(MONTH(CJ$4)=Months_In_Year)</f>
        <v>0</v>
      </c>
      <c r="CK20" s="46" t="n">
        <f aca="false">N(MONTH(CK$4)=Months_In_Year)</f>
        <v>0</v>
      </c>
      <c r="CL20" s="46" t="n">
        <f aca="false">N(MONTH(CL$4)=Months_In_Year)</f>
        <v>0</v>
      </c>
      <c r="CM20" s="46" t="n">
        <f aca="false">N(MONTH(CM$4)=Months_In_Year)</f>
        <v>1</v>
      </c>
      <c r="CN20" s="46" t="n">
        <f aca="false">N(MONTH(CN$4)=Months_In_Year)</f>
        <v>0</v>
      </c>
      <c r="CO20" s="46" t="n">
        <f aca="false">N(MONTH(CO$4)=Months_In_Year)</f>
        <v>0</v>
      </c>
      <c r="CP20" s="46" t="n">
        <f aca="false">N(MONTH(CP$4)=Months_In_Year)</f>
        <v>0</v>
      </c>
      <c r="CQ20" s="46" t="n">
        <f aca="false">N(MONTH(CQ$4)=Months_In_Year)</f>
        <v>1</v>
      </c>
      <c r="CR20" s="46" t="n">
        <f aca="false">N(MONTH(CR$4)=Months_In_Year)</f>
        <v>0</v>
      </c>
      <c r="CS20" s="46" t="n">
        <f aca="false">N(MONTH(CS$4)=Months_In_Year)</f>
        <v>0</v>
      </c>
      <c r="CT20" s="46" t="n">
        <f aca="false">N(MONTH(CT$4)=Months_In_Year)</f>
        <v>0</v>
      </c>
      <c r="CU20" s="46" t="n">
        <f aca="false">N(MONTH(CU$4)=Months_In_Year)</f>
        <v>1</v>
      </c>
      <c r="CV20" s="46" t="n">
        <f aca="false">N(MONTH(CV$4)=Months_In_Year)</f>
        <v>0</v>
      </c>
      <c r="CW20" s="46" t="n">
        <f aca="false">N(MONTH(CW$4)=Months_In_Year)</f>
        <v>0</v>
      </c>
      <c r="CX20" s="46" t="n">
        <f aca="false">N(MONTH(CX$4)=Months_In_Year)</f>
        <v>0</v>
      </c>
      <c r="CY20" s="46" t="n">
        <f aca="false">N(MONTH(CY$4)=Months_In_Year)</f>
        <v>1</v>
      </c>
      <c r="CZ20" s="46" t="n">
        <f aca="false">N(MONTH(CZ$4)=Months_In_Year)</f>
        <v>0</v>
      </c>
      <c r="DA20" s="46" t="n">
        <f aca="false">N(MONTH(DA$4)=Months_In_Year)</f>
        <v>0</v>
      </c>
      <c r="DB20" s="46" t="n">
        <f aca="false">N(MONTH(DB$4)=Months_In_Year)</f>
        <v>0</v>
      </c>
      <c r="DC20" s="46" t="n">
        <f aca="false">N(MONTH(DC$4)=Months_In_Year)</f>
        <v>1</v>
      </c>
      <c r="DD20" s="46" t="n">
        <f aca="false">N(MONTH(DD$4)=Months_In_Year)</f>
        <v>0</v>
      </c>
      <c r="DE20" s="46" t="n">
        <f aca="false">N(MONTH(DE$4)=Months_In_Year)</f>
        <v>0</v>
      </c>
      <c r="DF20" s="46" t="n">
        <f aca="false">N(MONTH(DF$4)=Months_In_Year)</f>
        <v>0</v>
      </c>
      <c r="DG20" s="46" t="n">
        <f aca="false">N(MONTH(DG$4)=Months_In_Year)</f>
        <v>1</v>
      </c>
      <c r="DH20" s="46" t="n">
        <f aca="false">N(MONTH(DH$4)=Months_In_Year)</f>
        <v>0</v>
      </c>
      <c r="DI20" s="46" t="n">
        <f aca="false">N(MONTH(DI$4)=Months_In_Year)</f>
        <v>0</v>
      </c>
      <c r="DJ20" s="46" t="n">
        <f aca="false">N(MONTH(DJ$4)=Months_In_Year)</f>
        <v>0</v>
      </c>
      <c r="DK20" s="46" t="n">
        <f aca="false">N(MONTH(DK$4)=Months_In_Year)</f>
        <v>1</v>
      </c>
      <c r="DL20" s="46" t="n">
        <f aca="false">N(MONTH(DL$4)=Months_In_Year)</f>
        <v>0</v>
      </c>
      <c r="DM20" s="46" t="n">
        <f aca="false">N(MONTH(DM$4)=Months_In_Year)</f>
        <v>0</v>
      </c>
      <c r="DN20" s="46" t="n">
        <f aca="false">N(MONTH(DN$4)=Months_In_Year)</f>
        <v>0</v>
      </c>
      <c r="DO20" s="46" t="n">
        <f aca="false">N(MONTH(DO$4)=Months_In_Year)</f>
        <v>1</v>
      </c>
      <c r="DP20" s="46" t="n">
        <f aca="false">N(MONTH(DP$4)=Months_In_Year)</f>
        <v>0</v>
      </c>
      <c r="DQ20" s="46" t="n">
        <f aca="false">N(MONTH(DQ$4)=Months_In_Year)</f>
        <v>0</v>
      </c>
      <c r="DR20" s="46" t="n">
        <f aca="false">N(MONTH(DR$4)=Months_In_Year)</f>
        <v>0</v>
      </c>
      <c r="DS20" s="46" t="n">
        <f aca="false">N(MONTH(DS$4)=Months_In_Year)</f>
        <v>1</v>
      </c>
      <c r="DT20" s="46" t="n">
        <f aca="false">N(MONTH(DT$4)=Months_In_Year)</f>
        <v>0</v>
      </c>
      <c r="DU20" s="46" t="n">
        <f aca="false">N(MONTH(DU$4)=Months_In_Year)</f>
        <v>0</v>
      </c>
      <c r="DV20" s="46" t="n">
        <f aca="false">N(MONTH(DV$4)=Months_In_Year)</f>
        <v>0</v>
      </c>
      <c r="DW20" s="46" t="n">
        <f aca="false">N(MONTH(DW$4)=Months_In_Year)</f>
        <v>1</v>
      </c>
      <c r="DX20" s="46" t="n">
        <f aca="false">N(MONTH(DX$4)=Months_In_Year)</f>
        <v>0</v>
      </c>
      <c r="DY20" s="46" t="n">
        <f aca="false">N(MONTH(DY$4)=Months_In_Year)</f>
        <v>0</v>
      </c>
      <c r="DZ20" s="46" t="n">
        <f aca="false">N(MONTH(DZ$4)=Months_In_Year)</f>
        <v>0</v>
      </c>
      <c r="EA20" s="46" t="n">
        <f aca="false">N(MONTH(EA$4)=Months_In_Year)</f>
        <v>1</v>
      </c>
      <c r="EB20" s="46" t="n">
        <f aca="false">N(MONTH(EB$4)=Months_In_Year)</f>
        <v>0</v>
      </c>
      <c r="EC20" s="46" t="n">
        <f aca="false">N(MONTH(EC$4)=Months_In_Year)</f>
        <v>0</v>
      </c>
      <c r="ED20" s="46" t="n">
        <f aca="false">N(MONTH(ED$4)=Months_In_Year)</f>
        <v>0</v>
      </c>
      <c r="EE20" s="46" t="n">
        <f aca="false">N(MONTH(EE$4)=Months_In_Year)</f>
        <v>1</v>
      </c>
      <c r="EF20" s="46" t="n">
        <f aca="false">N(MONTH(EF$4)=Months_In_Year)</f>
        <v>0</v>
      </c>
      <c r="EG20" s="46" t="n">
        <f aca="false">N(MONTH(EG$4)=Months_In_Year)</f>
        <v>0</v>
      </c>
      <c r="EH20" s="46" t="n">
        <f aca="false">N(MONTH(EH$4)=Months_In_Year)</f>
        <v>0</v>
      </c>
      <c r="EI20" s="46" t="n">
        <f aca="false">N(MONTH(EI$4)=Months_In_Year)</f>
        <v>1</v>
      </c>
      <c r="EJ20" s="46" t="n">
        <f aca="false">N(MONTH(EJ$4)=Months_In_Year)</f>
        <v>0</v>
      </c>
      <c r="EK20" s="46" t="n">
        <f aca="false">N(MONTH(EK$4)=Months_In_Year)</f>
        <v>0</v>
      </c>
      <c r="EL20" s="46" t="n">
        <f aca="false">N(MONTH(EL$4)=Months_In_Year)</f>
        <v>0</v>
      </c>
      <c r="EM20" s="46" t="n">
        <f aca="false">N(MONTH(EM$4)=Months_In_Year)</f>
        <v>1</v>
      </c>
      <c r="EN20" s="46" t="n">
        <f aca="false">N(MONTH(EN$4)=Months_In_Year)</f>
        <v>0</v>
      </c>
      <c r="EO20" s="46" t="n">
        <f aca="false">N(MONTH(EO$4)=Months_In_Year)</f>
        <v>0</v>
      </c>
      <c r="EP20" s="46" t="n">
        <f aca="false">N(MONTH(EP$4)=Months_In_Year)</f>
        <v>0</v>
      </c>
      <c r="EQ20" s="46" t="n">
        <f aca="false">N(MONTH(EQ$4)=Months_In_Year)</f>
        <v>1</v>
      </c>
      <c r="ER20" s="46" t="n">
        <f aca="false">N(MONTH(ER$4)=Months_In_Year)</f>
        <v>0</v>
      </c>
      <c r="ES20" s="46" t="n">
        <f aca="false">N(MONTH(ES$4)=Months_In_Year)</f>
        <v>0</v>
      </c>
      <c r="ET20" s="46" t="n">
        <f aca="false">N(MONTH(ET$4)=Months_In_Year)</f>
        <v>0</v>
      </c>
    </row>
    <row r="21" customFormat="false" ht="15" hidden="false" customHeight="false" outlineLevel="0" collapsed="false">
      <c r="C21" s="0" t="s">
        <v>486</v>
      </c>
      <c r="D21" s="11" t="s">
        <v>474</v>
      </c>
      <c r="J21" s="52" t="n">
        <f aca="false">1/(1+In_Buyer_Rate)^(MAX(0,J$4-In_COD)/Days_In_Year)</f>
        <v>1</v>
      </c>
      <c r="K21" s="52" t="n">
        <f aca="false">1/(1+In_Buyer_Rate)^(MAX(0,K$4-In_COD)/Days_In_Year)</f>
        <v>1</v>
      </c>
      <c r="L21" s="52" t="n">
        <f aca="false">1/(1+In_Buyer_Rate)^(MAX(0,L$4-In_COD)/Days_In_Year)</f>
        <v>1</v>
      </c>
      <c r="M21" s="52" t="n">
        <f aca="false">1/(1+In_Buyer_Rate)^(MAX(0,M$4-In_COD)/Days_In_Year)</f>
        <v>1</v>
      </c>
      <c r="N21" s="52" t="n">
        <f aca="false">1/(1+In_Buyer_Rate)^(MAX(0,N$4-In_COD)/Days_In_Year)</f>
        <v>1</v>
      </c>
      <c r="O21" s="52" t="n">
        <f aca="false">1/(1+In_Buyer_Rate)^(MAX(0,O$4-In_COD)/Days_In_Year)</f>
        <v>1</v>
      </c>
      <c r="P21" s="52" t="n">
        <f aca="false">1/(1+In_Buyer_Rate)^(MAX(0,P$4-In_COD)/Days_In_Year)</f>
        <v>1</v>
      </c>
      <c r="Q21" s="52" t="n">
        <f aca="false">1/(1+In_Buyer_Rate)^(MAX(0,Q$4-In_COD)/Days_In_Year)</f>
        <v>1</v>
      </c>
      <c r="R21" s="52" t="n">
        <f aca="false">1/(1+In_Buyer_Rate)^(MAX(0,R$4-In_COD)/Days_In_Year)</f>
        <v>1</v>
      </c>
      <c r="S21" s="52" t="n">
        <f aca="false">1/(1+In_Buyer_Rate)^(MAX(0,S$4-In_COD)/Days_In_Year)</f>
        <v>1</v>
      </c>
      <c r="T21" s="52" t="n">
        <f aca="false">1/(1+In_Buyer_Rate)^(MAX(0,T$4-In_COD)/Days_In_Year)</f>
        <v>1</v>
      </c>
      <c r="U21" s="52" t="n">
        <f aca="false">1/(1+In_Buyer_Rate)^(MAX(0,U$4-In_COD)/Days_In_Year)</f>
        <v>1</v>
      </c>
      <c r="V21" s="52" t="n">
        <f aca="false">1/(1+In_Buyer_Rate)^(MAX(0,V$4-In_COD)/Days_In_Year)</f>
        <v>1</v>
      </c>
      <c r="W21" s="52" t="n">
        <f aca="false">1/(1+In_Buyer_Rate)^(MAX(0,W$4-In_COD)/Days_In_Year)</f>
        <v>1</v>
      </c>
      <c r="X21" s="52" t="n">
        <f aca="false">1/(1+In_Buyer_Rate)^(MAX(0,X$4-In_COD)/Days_In_Year)</f>
        <v>1</v>
      </c>
      <c r="Y21" s="52" t="n">
        <f aca="false">1/(1+In_Buyer_Rate)^(MAX(0,Y$4-In_COD)/Days_In_Year)</f>
        <v>1</v>
      </c>
      <c r="Z21" s="52" t="n">
        <f aca="false">1/(1+In_Buyer_Rate)^(MAX(0,Z$4-In_COD)/Days_In_Year)</f>
        <v>1</v>
      </c>
      <c r="AA21" s="52" t="n">
        <f aca="false">1/(1+In_Buyer_Rate)^(MAX(0,AA$4-In_COD)/Days_In_Year)</f>
        <v>1</v>
      </c>
      <c r="AB21" s="52" t="n">
        <f aca="false">1/(1+In_Buyer_Rate)^(MAX(0,AB$4-In_COD)/Days_In_Year)</f>
        <v>1</v>
      </c>
      <c r="AC21" s="52" t="n">
        <f aca="false">1/(1+In_Buyer_Rate)^(MAX(0,AC$4-In_COD)/Days_In_Year)</f>
        <v>1</v>
      </c>
      <c r="AD21" s="52" t="n">
        <f aca="false">1/(1+In_Buyer_Rate)^(MAX(0,AD$4-In_COD)/Days_In_Year)</f>
        <v>1</v>
      </c>
      <c r="AE21" s="52" t="n">
        <f aca="false">1/(1+In_Buyer_Rate)^(MAX(0,AE$4-In_COD)/Days_In_Year)</f>
        <v>0.980788538821203</v>
      </c>
      <c r="AF21" s="52" t="n">
        <f aca="false">1/(1+In_Buyer_Rate)^(MAX(0,AF$4-In_COD)/Days_In_Year)</f>
        <v>0.962149007700345</v>
      </c>
      <c r="AG21" s="52" t="n">
        <f aca="false">1/(1+In_Buyer_Rate)^(MAX(0,AG$4-In_COD)/Days_In_Year)</f>
        <v>0.943863714120663</v>
      </c>
      <c r="AH21" s="52" t="n">
        <f aca="false">1/(1+In_Buyer_Rate)^(MAX(0,AH$4-In_COD)/Days_In_Year)</f>
        <v>0.925730713018759</v>
      </c>
      <c r="AI21" s="52" t="n">
        <f aca="false">1/(1+In_Buyer_Rate)^(MAX(0,AI$4-In_COD)/Days_In_Year)</f>
        <v>0.907946073363579</v>
      </c>
      <c r="AJ21" s="52" t="n">
        <f aca="false">1/(1+In_Buyer_Rate)^(MAX(0,AJ$4-In_COD)/Days_In_Year)</f>
        <v>0.890878710833653</v>
      </c>
      <c r="AK21" s="52" t="n">
        <f aca="false">1/(1+In_Buyer_Rate)^(MAX(0,AK$4-In_COD)/Days_In_Year)</f>
        <v>0.873947883445058</v>
      </c>
      <c r="AL21" s="52" t="n">
        <f aca="false">1/(1+In_Buyer_Rate)^(MAX(0,AL$4-In_COD)/Days_In_Year)</f>
        <v>0.857158067609962</v>
      </c>
      <c r="AM21" s="52" t="n">
        <f aca="false">1/(1+In_Buyer_Rate)^(MAX(0,AM$4-In_COD)/Days_In_Year)</f>
        <v>0.840690808669981</v>
      </c>
      <c r="AN21" s="52" t="n">
        <f aca="false">1/(1+In_Buyer_Rate)^(MAX(0,AN$4-In_COD)/Days_In_Year)</f>
        <v>0.824887695216345</v>
      </c>
      <c r="AO21" s="52" t="n">
        <f aca="false">1/(1+In_Buyer_Rate)^(MAX(0,AO$4-In_COD)/Days_In_Year)</f>
        <v>0.809211003189869</v>
      </c>
      <c r="AP21" s="52" t="n">
        <f aca="false">1/(1+In_Buyer_Rate)^(MAX(0,AP$4-In_COD)/Days_In_Year)</f>
        <v>0.793664877416631</v>
      </c>
      <c r="AQ21" s="52" t="n">
        <f aca="false">1/(1+In_Buyer_Rate)^(MAX(0,AQ$4-In_COD)/Days_In_Year)</f>
        <v>0.778417415435167</v>
      </c>
      <c r="AR21" s="52" t="n">
        <f aca="false">1/(1+In_Buyer_Rate)^(MAX(0,AR$4-In_COD)/Days_In_Year)</f>
        <v>0.763784902978097</v>
      </c>
      <c r="AS21" s="52" t="n">
        <f aca="false">1/(1+In_Buyer_Rate)^(MAX(0,AS$4-In_COD)/Days_In_Year)</f>
        <v>0.749269447398027</v>
      </c>
      <c r="AT21" s="52" t="n">
        <f aca="false">1/(1+In_Buyer_Rate)^(MAX(0,AT$4-In_COD)/Days_In_Year)</f>
        <v>0.734874886496881</v>
      </c>
      <c r="AU21" s="52" t="n">
        <f aca="false">1/(1+In_Buyer_Rate)^(MAX(0,AU$4-In_COD)/Days_In_Year)</f>
        <v>0.720756866143673</v>
      </c>
      <c r="AV21" s="52" t="n">
        <f aca="false">1/(1+In_Buyer_Rate)^(MAX(0,AV$4-In_COD)/Days_In_Year)</f>
        <v>0.707059142826878</v>
      </c>
      <c r="AW21" s="52" t="n">
        <f aca="false">1/(1+In_Buyer_Rate)^(MAX(0,AW$4-In_COD)/Days_In_Year)</f>
        <v>0.693621739782947</v>
      </c>
      <c r="AX21" s="52" t="n">
        <f aca="false">1/(1+In_Buyer_Rate)^(MAX(0,AX$4-In_COD)/Days_In_Year)</f>
        <v>0.680296252656337</v>
      </c>
      <c r="AY21" s="52" t="n">
        <f aca="false">1/(1+In_Buyer_Rate)^(MAX(0,AY$4-In_COD)/Days_In_Year)</f>
        <v>0.667226767608349</v>
      </c>
      <c r="AZ21" s="52" t="n">
        <f aca="false">1/(1+In_Buyer_Rate)^(MAX(0,AZ$4-In_COD)/Days_In_Year)</f>
        <v>0.654684391506368</v>
      </c>
      <c r="BA21" s="52" t="n">
        <f aca="false">1/(1+In_Buyer_Rate)^(MAX(0,BA$4-In_COD)/Days_In_Year)</f>
        <v>0.642242351650877</v>
      </c>
      <c r="BB21" s="52" t="n">
        <f aca="false">1/(1+In_Buyer_Rate)^(MAX(0,BB$4-In_COD)/Days_In_Year)</f>
        <v>0.629903937644757</v>
      </c>
      <c r="BC21" s="52" t="n">
        <f aca="false">1/(1+In_Buyer_Rate)^(MAX(0,BC$4-In_COD)/Days_In_Year)</f>
        <v>0.617802562600323</v>
      </c>
      <c r="BD21" s="52" t="n">
        <f aca="false">1/(1+In_Buyer_Rate)^(MAX(0,BD$4-In_COD)/Days_In_Year)</f>
        <v>0.606189251394785</v>
      </c>
      <c r="BE21" s="52" t="n">
        <f aca="false">1/(1+In_Buyer_Rate)^(MAX(0,BE$4-In_COD)/Days_In_Year)</f>
        <v>0.594668844121182</v>
      </c>
      <c r="BF21" s="52" t="n">
        <f aca="false">1/(1+In_Buyer_Rate)^(MAX(0,BF$4-In_COD)/Days_In_Year)</f>
        <v>0.583244386708108</v>
      </c>
      <c r="BG21" s="52" t="n">
        <f aca="false">1/(1+In_Buyer_Rate)^(MAX(0,BG$4-In_COD)/Days_In_Year)</f>
        <v>0.572039409815114</v>
      </c>
      <c r="BH21" s="52" t="n">
        <f aca="false">1/(1+In_Buyer_Rate)^(MAX(0,BH$4-In_COD)/Days_In_Year)</f>
        <v>0.561286343884061</v>
      </c>
      <c r="BI21" s="52" t="n">
        <f aca="false">1/(1+In_Buyer_Rate)^(MAX(0,BI$4-In_COD)/Days_In_Year)</f>
        <v>0.550619300112206</v>
      </c>
      <c r="BJ21" s="52" t="n">
        <f aca="false">1/(1+In_Buyer_Rate)^(MAX(0,BJ$4-In_COD)/Days_In_Year)</f>
        <v>0.540041098803804</v>
      </c>
      <c r="BK21" s="52" t="n">
        <f aca="false">1/(1+In_Buyer_Rate)^(MAX(0,BK$4-In_COD)/Days_In_Year)</f>
        <v>0.529666120199179</v>
      </c>
      <c r="BL21" s="52" t="n">
        <f aca="false">1/(1+In_Buyer_Rate)^(MAX(0,BL$4-In_COD)/Days_In_Year)</f>
        <v>0.519600007331484</v>
      </c>
      <c r="BM21" s="52" t="n">
        <f aca="false">1/(1+In_Buyer_Rate)^(MAX(0,BM$4-In_COD)/Days_In_Year)</f>
        <v>0.509725197294762</v>
      </c>
      <c r="BN21" s="52" t="n">
        <f aca="false">1/(1+In_Buyer_Rate)^(MAX(0,BN$4-In_COD)/Days_In_Year)</f>
        <v>0.499932631455079</v>
      </c>
      <c r="BO21" s="52" t="n">
        <f aca="false">1/(1+In_Buyer_Rate)^(MAX(0,BO$4-In_COD)/Days_In_Year)</f>
        <v>0.490328195113866</v>
      </c>
      <c r="BP21" s="52" t="n">
        <f aca="false">1/(1+In_Buyer_Rate)^(MAX(0,BP$4-In_COD)/Days_In_Year)</f>
        <v>0.481111117899522</v>
      </c>
      <c r="BQ21" s="52" t="n">
        <f aca="false">1/(1+In_Buyer_Rate)^(MAX(0,BQ$4-In_COD)/Days_In_Year)</f>
        <v>0.471967775272928</v>
      </c>
      <c r="BR21" s="52" t="n">
        <f aca="false">1/(1+In_Buyer_Rate)^(MAX(0,BR$4-In_COD)/Days_In_Year)</f>
        <v>0.462900584680629</v>
      </c>
      <c r="BS21" s="52" t="n">
        <f aca="false">1/(1+In_Buyer_Rate)^(MAX(0,BS$4-In_COD)/Days_In_Year)</f>
        <v>0.454007588068395</v>
      </c>
      <c r="BT21" s="52" t="n">
        <f aca="false">1/(1+In_Buyer_Rate)^(MAX(0,BT$4-In_COD)/Days_In_Year)</f>
        <v>0.445473257314372</v>
      </c>
      <c r="BU21" s="52" t="n">
        <f aca="false">1/(1+In_Buyer_Rate)^(MAX(0,BU$4-In_COD)/Days_In_Year)</f>
        <v>0.437007199326785</v>
      </c>
      <c r="BV21" s="52" t="n">
        <f aca="false">1/(1+In_Buyer_Rate)^(MAX(0,BV$4-In_COD)/Days_In_Year)</f>
        <v>0.428611652482064</v>
      </c>
      <c r="BW21" s="52" t="n">
        <f aca="false">1/(1+In_Buyer_Rate)^(MAX(0,BW$4-In_COD)/Days_In_Year)</f>
        <v>0.420377396359624</v>
      </c>
      <c r="BX21" s="52" t="n">
        <f aca="false">1/(1+In_Buyer_Rate)^(MAX(0,BX$4-In_COD)/Days_In_Year)</f>
        <v>0.412475238254048</v>
      </c>
      <c r="BY21" s="52" t="n">
        <f aca="false">1/(1+In_Buyer_Rate)^(MAX(0,BY$4-In_COD)/Days_In_Year)</f>
        <v>0.404636295672949</v>
      </c>
      <c r="BZ21" s="52" t="n">
        <f aca="false">1/(1+In_Buyer_Rate)^(MAX(0,BZ$4-In_COD)/Days_In_Year)</f>
        <v>0.396862641187096</v>
      </c>
      <c r="CA21" s="52" t="n">
        <f aca="false">1/(1+In_Buyer_Rate)^(MAX(0,CA$4-In_COD)/Days_In_Year)</f>
        <v>0.389238329962615</v>
      </c>
      <c r="CB21" s="52" t="n">
        <f aca="false">1/(1+In_Buyer_Rate)^(MAX(0,CB$4-In_COD)/Days_In_Year)</f>
        <v>0.381840996411503</v>
      </c>
      <c r="CC21" s="52" t="n">
        <f aca="false">1/(1+In_Buyer_Rate)^(MAX(0,CC$4-In_COD)/Days_In_Year)</f>
        <v>0.374584246506588</v>
      </c>
      <c r="CD21" s="52" t="n">
        <f aca="false">1/(1+In_Buyer_Rate)^(MAX(0,CD$4-In_COD)/Days_In_Year)</f>
        <v>0.367387935796638</v>
      </c>
      <c r="CE21" s="52" t="n">
        <f aca="false">1/(1+In_Buyer_Rate)^(MAX(0,CE$4-In_COD)/Days_In_Year)</f>
        <v>0.360329876730523</v>
      </c>
      <c r="CF21" s="52" t="n">
        <f aca="false">1/(1+In_Buyer_Rate)^(MAX(0,CF$4-In_COD)/Days_In_Year)</f>
        <v>0.353556478158799</v>
      </c>
      <c r="CG21" s="52" t="n">
        <f aca="false">1/(1+In_Buyer_Rate)^(MAX(0,CG$4-In_COD)/Days_In_Year)</f>
        <v>0.346837265283878</v>
      </c>
      <c r="CH21" s="52" t="n">
        <f aca="false">1/(1+In_Buyer_Rate)^(MAX(0,CH$4-In_COD)/Days_In_Year)</f>
        <v>0.340174014626517</v>
      </c>
      <c r="CI21" s="52" t="n">
        <f aca="false">1/(1+In_Buyer_Rate)^(MAX(0,CI$4-In_COD)/Days_In_Year)</f>
        <v>0.333638774750484</v>
      </c>
      <c r="CJ21" s="52" t="n">
        <f aca="false">1/(1+In_Buyer_Rate)^(MAX(0,CJ$4-In_COD)/Days_In_Year)</f>
        <v>0.327367109406295</v>
      </c>
      <c r="CK21" s="52" t="n">
        <f aca="false">1/(1+In_Buyer_Rate)^(MAX(0,CK$4-In_COD)/Days_In_Year)</f>
        <v>0.321145616003591</v>
      </c>
      <c r="CL21" s="52" t="n">
        <f aca="false">1/(1+In_Buyer_Rate)^(MAX(0,CL$4-In_COD)/Days_In_Year)</f>
        <v>0.314975939468997</v>
      </c>
      <c r="CM21" s="52" t="n">
        <f aca="false">1/(1+In_Buyer_Rate)^(MAX(0,CM$4-In_COD)/Days_In_Year)</f>
        <v>0.308924791435633</v>
      </c>
      <c r="CN21" s="52" t="n">
        <f aca="false">1/(1+In_Buyer_Rate)^(MAX(0,CN$4-In_COD)/Days_In_Year)</f>
        <v>0.303117693894718</v>
      </c>
      <c r="CO21" s="52" t="n">
        <f aca="false">1/(1+In_Buyer_Rate)^(MAX(0,CO$4-In_COD)/Days_In_Year)</f>
        <v>0.297357051855177</v>
      </c>
      <c r="CP21" s="52" t="n">
        <f aca="false">1/(1+In_Buyer_Rate)^(MAX(0,CP$4-In_COD)/Days_In_Year)</f>
        <v>0.291644388397219</v>
      </c>
      <c r="CQ21" s="52" t="n">
        <f aca="false">1/(1+In_Buyer_Rate)^(MAX(0,CQ$4-In_COD)/Days_In_Year)</f>
        <v>0.286041473551512</v>
      </c>
      <c r="CR21" s="52" t="n">
        <f aca="false">1/(1+In_Buyer_Rate)^(MAX(0,CR$4-In_COD)/Days_In_Year)</f>
        <v>0.280605358897759</v>
      </c>
      <c r="CS21" s="52" t="n">
        <f aca="false">1/(1+In_Buyer_Rate)^(MAX(0,CS$4-In_COD)/Days_In_Year)</f>
        <v>0.275272555635049</v>
      </c>
      <c r="CT21" s="52" t="n">
        <f aca="false">1/(1+In_Buyer_Rate)^(MAX(0,CT$4-In_COD)/Days_In_Year)</f>
        <v>0.269984167618878</v>
      </c>
      <c r="CU21" s="52" t="n">
        <f aca="false">1/(1+In_Buyer_Rate)^(MAX(0,CU$4-In_COD)/Days_In_Year)</f>
        <v>0.264797377263778</v>
      </c>
      <c r="CV21" s="52" t="n">
        <f aca="false">1/(1+In_Buyer_Rate)^(MAX(0,CV$4-In_COD)/Days_In_Year)</f>
        <v>0.259819776757184</v>
      </c>
      <c r="CW21" s="52" t="n">
        <f aca="false">1/(1+In_Buyer_Rate)^(MAX(0,CW$4-In_COD)/Days_In_Year)</f>
        <v>0.254881995958379</v>
      </c>
      <c r="CX21" s="52" t="n">
        <f aca="false">1/(1+In_Buyer_Rate)^(MAX(0,CX$4-In_COD)/Days_In_Year)</f>
        <v>0.24998534038785</v>
      </c>
      <c r="CY21" s="52" t="n">
        <f aca="false">1/(1+In_Buyer_Rate)^(MAX(0,CY$4-In_COD)/Days_In_Year)</f>
        <v>0.24518275672572</v>
      </c>
      <c r="CZ21" s="52" t="n">
        <f aca="false">1/(1+In_Buyer_Rate)^(MAX(0,CZ$4-In_COD)/Days_In_Year)</f>
        <v>0.240573867367763</v>
      </c>
      <c r="DA21" s="52" t="n">
        <f aca="false">1/(1+In_Buyer_Rate)^(MAX(0,DA$4-In_COD)/Days_In_Year)</f>
        <v>0.23600184810961</v>
      </c>
      <c r="DB21" s="52" t="n">
        <f aca="false">1/(1+In_Buyer_Rate)^(MAX(0,DB$4-In_COD)/Days_In_Year)</f>
        <v>0.231467907766528</v>
      </c>
      <c r="DC21" s="52" t="n">
        <f aca="false">1/(1+In_Buyer_Rate)^(MAX(0,DC$4-In_COD)/Days_In_Year)</f>
        <v>0.227021071042334</v>
      </c>
      <c r="DD21" s="52" t="n">
        <f aca="false">1/(1+In_Buyer_Rate)^(MAX(0,DD$4-In_COD)/Days_In_Year)</f>
        <v>0.222753580896077</v>
      </c>
      <c r="DE21" s="52" t="n">
        <f aca="false">1/(1+In_Buyer_Rate)^(MAX(0,DE$4-In_COD)/Days_In_Year)</f>
        <v>0.21852022973112</v>
      </c>
      <c r="DF21" s="52" t="n">
        <f aca="false">1/(1+In_Buyer_Rate)^(MAX(0,DF$4-In_COD)/Days_In_Year)</f>
        <v>0.214322136820859</v>
      </c>
      <c r="DG21" s="52" t="n">
        <f aca="false">1/(1+In_Buyer_Rate)^(MAX(0,DG$4-In_COD)/Days_In_Year)</f>
        <v>0.210204695409568</v>
      </c>
      <c r="DH21" s="52" t="n">
        <f aca="false">1/(1+In_Buyer_Rate)^(MAX(0,DH$4-In_COD)/Days_In_Year)</f>
        <v>0.206209831270407</v>
      </c>
      <c r="DI21" s="52" t="n">
        <f aca="false">1/(1+In_Buyer_Rate)^(MAX(0,DI$4-In_COD)/Days_In_Year)</f>
        <v>0.202290888078013</v>
      </c>
      <c r="DJ21" s="52" t="n">
        <f aca="false">1/(1+In_Buyer_Rate)^(MAX(0,DJ$4-In_COD)/Days_In_Year)</f>
        <v>0.198404584534878</v>
      </c>
      <c r="DK21" s="52" t="n">
        <f aca="false">1/(1+In_Buyer_Rate)^(MAX(0,DK$4-In_COD)/Days_In_Year)</f>
        <v>0.194592942561391</v>
      </c>
      <c r="DL21" s="52" t="n">
        <f aca="false">1/(1+In_Buyer_Rate)^(MAX(0,DL$4-In_COD)/Days_In_Year)</f>
        <v>0.190935028954081</v>
      </c>
      <c r="DM21" s="52" t="n">
        <f aca="false">1/(1+In_Buyer_Rate)^(MAX(0,DM$4-In_COD)/Days_In_Year)</f>
        <v>0.187306377850012</v>
      </c>
      <c r="DN21" s="52" t="n">
        <f aca="false">1/(1+In_Buyer_Rate)^(MAX(0,DN$4-In_COD)/Days_In_Year)</f>
        <v>0.183707948643405</v>
      </c>
      <c r="DO21" s="52" t="n">
        <f aca="false">1/(1+In_Buyer_Rate)^(MAX(0,DO$4-In_COD)/Days_In_Year)</f>
        <v>0.180178650519806</v>
      </c>
      <c r="DP21" s="52" t="n">
        <f aca="false">1/(1+In_Buyer_Rate)^(MAX(0,DP$4-In_COD)/Days_In_Year)</f>
        <v>0.176791693476001</v>
      </c>
      <c r="DQ21" s="52" t="n">
        <f aca="false">1/(1+In_Buyer_Rate)^(MAX(0,DQ$4-In_COD)/Days_In_Year)</f>
        <v>0.173431831342604</v>
      </c>
      <c r="DR21" s="52" t="n">
        <f aca="false">1/(1+In_Buyer_Rate)^(MAX(0,DR$4-In_COD)/Days_In_Year)</f>
        <v>0.170099952447597</v>
      </c>
      <c r="DS21" s="52" t="n">
        <f aca="false">1/(1+In_Buyer_Rate)^(MAX(0,DS$4-In_COD)/Days_In_Year)</f>
        <v>0.166832083814635</v>
      </c>
      <c r="DT21" s="52" t="n">
        <f aca="false">1/(1+In_Buyer_Rate)^(MAX(0,DT$4-In_COD)/Days_In_Year)</f>
        <v>0.163696012477778</v>
      </c>
      <c r="DU21" s="52" t="n">
        <f aca="false">1/(1+In_Buyer_Rate)^(MAX(0,DU$4-In_COD)/Days_In_Year)</f>
        <v>0.160585029020929</v>
      </c>
      <c r="DV21" s="52" t="n">
        <f aca="false">1/(1+In_Buyer_Rate)^(MAX(0,DV$4-In_COD)/Days_In_Year)</f>
        <v>0.157499955969998</v>
      </c>
      <c r="DW21" s="52" t="n">
        <f aca="false">1/(1+In_Buyer_Rate)^(MAX(0,DW$4-In_COD)/Days_In_Year)</f>
        <v>0.154474151680218</v>
      </c>
      <c r="DX21" s="52" t="n">
        <f aca="false">1/(1+In_Buyer_Rate)^(MAX(0,DX$4-In_COD)/Days_In_Year)</f>
        <v>0.151538426349381</v>
      </c>
      <c r="DY21" s="52" t="n">
        <f aca="false">1/(1+In_Buyer_Rate)^(MAX(0,DY$4-In_COD)/Days_In_Year)</f>
        <v>0.148658493415683</v>
      </c>
      <c r="DZ21" s="52" t="n">
        <f aca="false">1/(1+In_Buyer_Rate)^(MAX(0,DZ$4-In_COD)/Days_In_Year)</f>
        <v>0.145802546540529</v>
      </c>
      <c r="EA21" s="52" t="n">
        <f aca="false">1/(1+In_Buyer_Rate)^(MAX(0,EA$4-In_COD)/Days_In_Year)</f>
        <v>0.143001466577896</v>
      </c>
      <c r="EB21" s="52" t="n">
        <f aca="false">1/(1+In_Buyer_Rate)^(MAX(0,EB$4-In_COD)/Days_In_Year)</f>
        <v>0.140313357730909</v>
      </c>
      <c r="EC21" s="52" t="n">
        <f aca="false">1/(1+In_Buyer_Rate)^(MAX(0,EC$4-In_COD)/Days_In_Year)</f>
        <v>0.137646753162669</v>
      </c>
      <c r="ED21" s="52" t="n">
        <f aca="false">1/(1+In_Buyer_Rate)^(MAX(0,ED$4-In_COD)/Days_In_Year)</f>
        <v>0.135002357907897</v>
      </c>
      <c r="EE21" s="52" t="n">
        <f aca="false">1/(1+In_Buyer_Rate)^(MAX(0,EE$4-In_COD)/Days_In_Year)</f>
        <v>0.132408765349904</v>
      </c>
      <c r="EF21" s="52" t="n">
        <f aca="false">1/(1+In_Buyer_Rate)^(MAX(0,EF$4-In_COD)/Days_In_Year)</f>
        <v>0.129919775676767</v>
      </c>
      <c r="EG21" s="52" t="n">
        <f aca="false">1/(1+In_Buyer_Rate)^(MAX(0,EG$4-In_COD)/Days_In_Year)</f>
        <v>0.127450697372842</v>
      </c>
      <c r="EH21" s="52" t="n">
        <f aca="false">1/(1+In_Buyer_Rate)^(MAX(0,EH$4-In_COD)/Days_In_Year)</f>
        <v>0.125002183248053</v>
      </c>
      <c r="EI21" s="52" t="n">
        <f aca="false">1/(1+In_Buyer_Rate)^(MAX(0,EI$4-In_COD)/Days_In_Year)</f>
        <v>0.122600708657318</v>
      </c>
      <c r="EJ21" s="52" t="n">
        <f aca="false">1/(1+In_Buyer_Rate)^(MAX(0,EJ$4-In_COD)/Days_In_Year)</f>
        <v>0.120296088589599</v>
      </c>
      <c r="EK21" s="52" t="n">
        <f aca="false">1/(1+In_Buyer_Rate)^(MAX(0,EK$4-In_COD)/Days_In_Year)</f>
        <v>0.118009904974854</v>
      </c>
      <c r="EL21" s="52" t="n">
        <f aca="false">1/(1+In_Buyer_Rate)^(MAX(0,EL$4-In_COD)/Days_In_Year)</f>
        <v>0.115742762266716</v>
      </c>
      <c r="EM21" s="52" t="n">
        <f aca="false">1/(1+In_Buyer_Rate)^(MAX(0,EM$4-In_COD)/Days_In_Year)</f>
        <v>0.113519174682702</v>
      </c>
      <c r="EN21" s="52" t="n">
        <f aca="false">1/(1+In_Buyer_Rate)^(MAX(0,EN$4-In_COD)/Days_In_Year)</f>
        <v>0.111361783863418</v>
      </c>
      <c r="EO21" s="52" t="n">
        <f aca="false">1/(1+In_Buyer_Rate)^(MAX(0,EO$4-In_COD)/Days_In_Year)</f>
        <v>0.109245393475647</v>
      </c>
      <c r="EP21" s="52" t="n">
        <f aca="false">1/(1+In_Buyer_Rate)^(MAX(0,EP$4-In_COD)/Days_In_Year)</f>
        <v>0.107146629839927</v>
      </c>
      <c r="EQ21" s="52" t="n">
        <f aca="false">1/(1+In_Buyer_Rate)^(MAX(0,EQ$4-In_COD)/Days_In_Year)</f>
        <v>0.105088186520319</v>
      </c>
      <c r="ER21" s="52" t="n">
        <f aca="false">1/(1+In_Buyer_Rate)^(MAX(0,ER$4-In_COD)/Days_In_Year)</f>
        <v>0.103112762836498</v>
      </c>
      <c r="ES21" s="52" t="n">
        <f aca="false">1/(1+In_Buyer_Rate)^(MAX(0,ES$4-In_COD)/Days_In_Year)</f>
        <v>0.101153142107081</v>
      </c>
      <c r="ET21" s="52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487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488</v>
      </c>
      <c r="D24" s="11" t="s">
        <v>122</v>
      </c>
      <c r="E24" s="32" t="n">
        <f aca="false">In_MVA*(1+INDEX(Dash_Overbuild,1,$A$1))</f>
        <v>151</v>
      </c>
      <c r="F24" s="32" t="n">
        <f aca="false">In_MVA+($E24-In_MVA)*In_Overbuild_Built</f>
        <v>100</v>
      </c>
    </row>
    <row r="25" customFormat="false" ht="15" hidden="false" customHeight="false" outlineLevel="0" collapsed="false">
      <c r="C25" s="0" t="s">
        <v>489</v>
      </c>
      <c r="D25" s="11" t="s">
        <v>122</v>
      </c>
      <c r="E25" s="32" t="n">
        <f aca="false">INDEX(Dash_BESS,1,$A$1)*In_MVA</f>
        <v>51</v>
      </c>
      <c r="F25" s="32" t="n">
        <f aca="false">$E25*In_BESS_Built</f>
        <v>51</v>
      </c>
    </row>
    <row r="26" customFormat="false" ht="15" hidden="false" customHeight="false" outlineLevel="0" collapsed="false">
      <c r="C26" s="0" t="s">
        <v>490</v>
      </c>
      <c r="D26" s="11" t="s">
        <v>491</v>
      </c>
      <c r="E26" s="32" t="n">
        <f aca="false">$E25*INDEX(Dash_BESS_Hours,1,$A$1)</f>
        <v>204</v>
      </c>
    </row>
    <row r="27" customFormat="false" ht="15" hidden="false" customHeight="false" outlineLevel="0" collapsed="false">
      <c r="C27" s="0" t="s">
        <v>492</v>
      </c>
      <c r="D27" s="11" t="s">
        <v>35</v>
      </c>
      <c r="E27" s="53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493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494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495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496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497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498</v>
      </c>
      <c r="D34" s="11" t="s">
        <v>41</v>
      </c>
      <c r="E34" s="46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499</v>
      </c>
      <c r="D35" s="11" t="s">
        <v>13</v>
      </c>
      <c r="E35" s="50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500</v>
      </c>
      <c r="D36" s="11" t="s">
        <v>41</v>
      </c>
      <c r="E36" s="46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501</v>
      </c>
      <c r="D37" s="11" t="s">
        <v>41</v>
      </c>
      <c r="E37" s="46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502</v>
      </c>
      <c r="D38" s="11" t="s">
        <v>41</v>
      </c>
      <c r="E38" s="46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503</v>
      </c>
      <c r="D39" s="11" t="s">
        <v>41</v>
      </c>
      <c r="E39" s="46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504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505</v>
      </c>
      <c r="D42" s="11" t="s">
        <v>205</v>
      </c>
      <c r="E42" s="42" t="n">
        <f aca="false">N(In_MVA&gt;In_Group_Cap)+N($E24&lt;In_MVA)+N($E25&gt;$E24)+N($E26&lt;$E25*In_Min_Hours)</f>
        <v>0</v>
      </c>
      <c r="F42" s="42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506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507</v>
      </c>
      <c r="D45" s="11" t="s">
        <v>281</v>
      </c>
      <c r="E45" s="33" t="n">
        <f aca="false">$E24*In_Bench_Wind+$E26*In_Bench_BESS</f>
        <v>102106</v>
      </c>
    </row>
    <row r="46" customFormat="false" ht="15" hidden="false" customHeight="false" outlineLevel="0" collapsed="false">
      <c r="C46" s="0" t="s">
        <v>89</v>
      </c>
      <c r="D46" s="11" t="s">
        <v>247</v>
      </c>
      <c r="E46" s="33" t="n">
        <f aca="false">In_Signing_Fee+In_DD</f>
        <v>400</v>
      </c>
      <c r="F46" s="27" t="n">
        <f aca="false">In_Invest_Date</f>
        <v>46234</v>
      </c>
      <c r="I46" s="33" t="n">
        <f aca="false">SUM(J46:ET46)</f>
        <v>-400</v>
      </c>
      <c r="J46" s="33" t="n">
        <f aca="false">-$E46*N(AND(J$3&lt;=$F46,J$4&gt;=$F46))</f>
        <v>-400</v>
      </c>
      <c r="K46" s="33" t="n">
        <f aca="false">-$E46*N(AND(K$3&lt;=$F46,K$4&gt;=$F46))</f>
        <v>-0</v>
      </c>
      <c r="L46" s="33" t="n">
        <f aca="false">-$E46*N(AND(L$3&lt;=$F46,L$4&gt;=$F46))</f>
        <v>-0</v>
      </c>
      <c r="M46" s="33" t="n">
        <f aca="false">-$E46*N(AND(M$3&lt;=$F46,M$4&gt;=$F46))</f>
        <v>-0</v>
      </c>
      <c r="N46" s="33" t="n">
        <f aca="false">-$E46*N(AND(N$3&lt;=$F46,N$4&gt;=$F46))</f>
        <v>-0</v>
      </c>
      <c r="O46" s="33" t="n">
        <f aca="false">-$E46*N(AND(O$3&lt;=$F46,O$4&gt;=$F46))</f>
        <v>-0</v>
      </c>
      <c r="P46" s="33" t="n">
        <f aca="false">-$E46*N(AND(P$3&lt;=$F46,P$4&gt;=$F46))</f>
        <v>-0</v>
      </c>
      <c r="Q46" s="33" t="n">
        <f aca="false">-$E46*N(AND(Q$3&lt;=$F46,Q$4&gt;=$F46))</f>
        <v>-0</v>
      </c>
      <c r="R46" s="33" t="n">
        <f aca="false">-$E46*N(AND(R$3&lt;=$F46,R$4&gt;=$F46))</f>
        <v>-0</v>
      </c>
      <c r="S46" s="33" t="n">
        <f aca="false">-$E46*N(AND(S$3&lt;=$F46,S$4&gt;=$F46))</f>
        <v>-0</v>
      </c>
      <c r="T46" s="33" t="n">
        <f aca="false">-$E46*N(AND(T$3&lt;=$F46,T$4&gt;=$F46))</f>
        <v>-0</v>
      </c>
      <c r="U46" s="33" t="n">
        <f aca="false">-$E46*N(AND(U$3&lt;=$F46,U$4&gt;=$F46))</f>
        <v>-0</v>
      </c>
      <c r="V46" s="33" t="n">
        <f aca="false">-$E46*N(AND(V$3&lt;=$F46,V$4&gt;=$F46))</f>
        <v>-0</v>
      </c>
      <c r="W46" s="33" t="n">
        <f aca="false">-$E46*N(AND(W$3&lt;=$F46,W$4&gt;=$F46))</f>
        <v>-0</v>
      </c>
      <c r="X46" s="33" t="n">
        <f aca="false">-$E46*N(AND(X$3&lt;=$F46,X$4&gt;=$F46))</f>
        <v>-0</v>
      </c>
      <c r="Y46" s="33" t="n">
        <f aca="false">-$E46*N(AND(Y$3&lt;=$F46,Y$4&gt;=$F46))</f>
        <v>-0</v>
      </c>
      <c r="Z46" s="33" t="n">
        <f aca="false">-$E46*N(AND(Z$3&lt;=$F46,Z$4&gt;=$F46))</f>
        <v>-0</v>
      </c>
      <c r="AA46" s="33" t="n">
        <f aca="false">-$E46*N(AND(AA$3&lt;=$F46,AA$4&gt;=$F46))</f>
        <v>-0</v>
      </c>
      <c r="AB46" s="33" t="n">
        <f aca="false">-$E46*N(AND(AB$3&lt;=$F46,AB$4&gt;=$F46))</f>
        <v>-0</v>
      </c>
      <c r="AC46" s="33" t="n">
        <f aca="false">-$E46*N(AND(AC$3&lt;=$F46,AC$4&gt;=$F46))</f>
        <v>-0</v>
      </c>
      <c r="AD46" s="33" t="n">
        <f aca="false">-$E46*N(AND(AD$3&lt;=$F46,AD$4&gt;=$F46))</f>
        <v>-0</v>
      </c>
      <c r="AE46" s="33" t="n">
        <f aca="false">-$E46*N(AND(AE$3&lt;=$F46,AE$4&gt;=$F46))</f>
        <v>-0</v>
      </c>
      <c r="AF46" s="33" t="n">
        <f aca="false">-$E46*N(AND(AF$3&lt;=$F46,AF$4&gt;=$F46))</f>
        <v>-0</v>
      </c>
      <c r="AG46" s="33" t="n">
        <f aca="false">-$E46*N(AND(AG$3&lt;=$F46,AG$4&gt;=$F46))</f>
        <v>-0</v>
      </c>
      <c r="AH46" s="33" t="n">
        <f aca="false">-$E46*N(AND(AH$3&lt;=$F46,AH$4&gt;=$F46))</f>
        <v>-0</v>
      </c>
      <c r="AI46" s="33" t="n">
        <f aca="false">-$E46*N(AND(AI$3&lt;=$F46,AI$4&gt;=$F46))</f>
        <v>-0</v>
      </c>
      <c r="AJ46" s="33" t="n">
        <f aca="false">-$E46*N(AND(AJ$3&lt;=$F46,AJ$4&gt;=$F46))</f>
        <v>-0</v>
      </c>
      <c r="AK46" s="33" t="n">
        <f aca="false">-$E46*N(AND(AK$3&lt;=$F46,AK$4&gt;=$F46))</f>
        <v>-0</v>
      </c>
      <c r="AL46" s="33" t="n">
        <f aca="false">-$E46*N(AND(AL$3&lt;=$F46,AL$4&gt;=$F46))</f>
        <v>-0</v>
      </c>
      <c r="AM46" s="33" t="n">
        <f aca="false">-$E46*N(AND(AM$3&lt;=$F46,AM$4&gt;=$F46))</f>
        <v>-0</v>
      </c>
      <c r="AN46" s="33" t="n">
        <f aca="false">-$E46*N(AND(AN$3&lt;=$F46,AN$4&gt;=$F46))</f>
        <v>-0</v>
      </c>
      <c r="AO46" s="33" t="n">
        <f aca="false">-$E46*N(AND(AO$3&lt;=$F46,AO$4&gt;=$F46))</f>
        <v>-0</v>
      </c>
      <c r="AP46" s="33" t="n">
        <f aca="false">-$E46*N(AND(AP$3&lt;=$F46,AP$4&gt;=$F46))</f>
        <v>-0</v>
      </c>
      <c r="AQ46" s="33" t="n">
        <f aca="false">-$E46*N(AND(AQ$3&lt;=$F46,AQ$4&gt;=$F46))</f>
        <v>-0</v>
      </c>
      <c r="AR46" s="33" t="n">
        <f aca="false">-$E46*N(AND(AR$3&lt;=$F46,AR$4&gt;=$F46))</f>
        <v>-0</v>
      </c>
      <c r="AS46" s="33" t="n">
        <f aca="false">-$E46*N(AND(AS$3&lt;=$F46,AS$4&gt;=$F46))</f>
        <v>-0</v>
      </c>
      <c r="AT46" s="33" t="n">
        <f aca="false">-$E46*N(AND(AT$3&lt;=$F46,AT$4&gt;=$F46))</f>
        <v>-0</v>
      </c>
      <c r="AU46" s="33" t="n">
        <f aca="false">-$E46*N(AND(AU$3&lt;=$F46,AU$4&gt;=$F46))</f>
        <v>-0</v>
      </c>
      <c r="AV46" s="33" t="n">
        <f aca="false">-$E46*N(AND(AV$3&lt;=$F46,AV$4&gt;=$F46))</f>
        <v>-0</v>
      </c>
      <c r="AW46" s="33" t="n">
        <f aca="false">-$E46*N(AND(AW$3&lt;=$F46,AW$4&gt;=$F46))</f>
        <v>-0</v>
      </c>
      <c r="AX46" s="33" t="n">
        <f aca="false">-$E46*N(AND(AX$3&lt;=$F46,AX$4&gt;=$F46))</f>
        <v>-0</v>
      </c>
      <c r="AY46" s="33" t="n">
        <f aca="false">-$E46*N(AND(AY$3&lt;=$F46,AY$4&gt;=$F46))</f>
        <v>-0</v>
      </c>
      <c r="AZ46" s="33" t="n">
        <f aca="false">-$E46*N(AND(AZ$3&lt;=$F46,AZ$4&gt;=$F46))</f>
        <v>-0</v>
      </c>
      <c r="BA46" s="33" t="n">
        <f aca="false">-$E46*N(AND(BA$3&lt;=$F46,BA$4&gt;=$F46))</f>
        <v>-0</v>
      </c>
      <c r="BB46" s="33" t="n">
        <f aca="false">-$E46*N(AND(BB$3&lt;=$F46,BB$4&gt;=$F46))</f>
        <v>-0</v>
      </c>
      <c r="BC46" s="33" t="n">
        <f aca="false">-$E46*N(AND(BC$3&lt;=$F46,BC$4&gt;=$F46))</f>
        <v>-0</v>
      </c>
      <c r="BD46" s="33" t="n">
        <f aca="false">-$E46*N(AND(BD$3&lt;=$F46,BD$4&gt;=$F46))</f>
        <v>-0</v>
      </c>
      <c r="BE46" s="33" t="n">
        <f aca="false">-$E46*N(AND(BE$3&lt;=$F46,BE$4&gt;=$F46))</f>
        <v>-0</v>
      </c>
      <c r="BF46" s="33" t="n">
        <f aca="false">-$E46*N(AND(BF$3&lt;=$F46,BF$4&gt;=$F46))</f>
        <v>-0</v>
      </c>
      <c r="BG46" s="33" t="n">
        <f aca="false">-$E46*N(AND(BG$3&lt;=$F46,BG$4&gt;=$F46))</f>
        <v>-0</v>
      </c>
      <c r="BH46" s="33" t="n">
        <f aca="false">-$E46*N(AND(BH$3&lt;=$F46,BH$4&gt;=$F46))</f>
        <v>-0</v>
      </c>
      <c r="BI46" s="33" t="n">
        <f aca="false">-$E46*N(AND(BI$3&lt;=$F46,BI$4&gt;=$F46))</f>
        <v>-0</v>
      </c>
      <c r="BJ46" s="33" t="n">
        <f aca="false">-$E46*N(AND(BJ$3&lt;=$F46,BJ$4&gt;=$F46))</f>
        <v>-0</v>
      </c>
      <c r="BK46" s="33" t="n">
        <f aca="false">-$E46*N(AND(BK$3&lt;=$F46,BK$4&gt;=$F46))</f>
        <v>-0</v>
      </c>
      <c r="BL46" s="33" t="n">
        <f aca="false">-$E46*N(AND(BL$3&lt;=$F46,BL$4&gt;=$F46))</f>
        <v>-0</v>
      </c>
      <c r="BM46" s="33" t="n">
        <f aca="false">-$E46*N(AND(BM$3&lt;=$F46,BM$4&gt;=$F46))</f>
        <v>-0</v>
      </c>
      <c r="BN46" s="33" t="n">
        <f aca="false">-$E46*N(AND(BN$3&lt;=$F46,BN$4&gt;=$F46))</f>
        <v>-0</v>
      </c>
      <c r="BO46" s="33" t="n">
        <f aca="false">-$E46*N(AND(BO$3&lt;=$F46,BO$4&gt;=$F46))</f>
        <v>-0</v>
      </c>
      <c r="BP46" s="33" t="n">
        <f aca="false">-$E46*N(AND(BP$3&lt;=$F46,BP$4&gt;=$F46))</f>
        <v>-0</v>
      </c>
      <c r="BQ46" s="33" t="n">
        <f aca="false">-$E46*N(AND(BQ$3&lt;=$F46,BQ$4&gt;=$F46))</f>
        <v>-0</v>
      </c>
      <c r="BR46" s="33" t="n">
        <f aca="false">-$E46*N(AND(BR$3&lt;=$F46,BR$4&gt;=$F46))</f>
        <v>-0</v>
      </c>
      <c r="BS46" s="33" t="n">
        <f aca="false">-$E46*N(AND(BS$3&lt;=$F46,BS$4&gt;=$F46))</f>
        <v>-0</v>
      </c>
      <c r="BT46" s="33" t="n">
        <f aca="false">-$E46*N(AND(BT$3&lt;=$F46,BT$4&gt;=$F46))</f>
        <v>-0</v>
      </c>
      <c r="BU46" s="33" t="n">
        <f aca="false">-$E46*N(AND(BU$3&lt;=$F46,BU$4&gt;=$F46))</f>
        <v>-0</v>
      </c>
      <c r="BV46" s="33" t="n">
        <f aca="false">-$E46*N(AND(BV$3&lt;=$F46,BV$4&gt;=$F46))</f>
        <v>-0</v>
      </c>
      <c r="BW46" s="33" t="n">
        <f aca="false">-$E46*N(AND(BW$3&lt;=$F46,BW$4&gt;=$F46))</f>
        <v>-0</v>
      </c>
      <c r="BX46" s="33" t="n">
        <f aca="false">-$E46*N(AND(BX$3&lt;=$F46,BX$4&gt;=$F46))</f>
        <v>-0</v>
      </c>
      <c r="BY46" s="33" t="n">
        <f aca="false">-$E46*N(AND(BY$3&lt;=$F46,BY$4&gt;=$F46))</f>
        <v>-0</v>
      </c>
      <c r="BZ46" s="33" t="n">
        <f aca="false">-$E46*N(AND(BZ$3&lt;=$F46,BZ$4&gt;=$F46))</f>
        <v>-0</v>
      </c>
      <c r="CA46" s="33" t="n">
        <f aca="false">-$E46*N(AND(CA$3&lt;=$F46,CA$4&gt;=$F46))</f>
        <v>-0</v>
      </c>
      <c r="CB46" s="33" t="n">
        <f aca="false">-$E46*N(AND(CB$3&lt;=$F46,CB$4&gt;=$F46))</f>
        <v>-0</v>
      </c>
      <c r="CC46" s="33" t="n">
        <f aca="false">-$E46*N(AND(CC$3&lt;=$F46,CC$4&gt;=$F46))</f>
        <v>-0</v>
      </c>
      <c r="CD46" s="33" t="n">
        <f aca="false">-$E46*N(AND(CD$3&lt;=$F46,CD$4&gt;=$F46))</f>
        <v>-0</v>
      </c>
      <c r="CE46" s="33" t="n">
        <f aca="false">-$E46*N(AND(CE$3&lt;=$F46,CE$4&gt;=$F46))</f>
        <v>-0</v>
      </c>
      <c r="CF46" s="33" t="n">
        <f aca="false">-$E46*N(AND(CF$3&lt;=$F46,CF$4&gt;=$F46))</f>
        <v>-0</v>
      </c>
      <c r="CG46" s="33" t="n">
        <f aca="false">-$E46*N(AND(CG$3&lt;=$F46,CG$4&gt;=$F46))</f>
        <v>-0</v>
      </c>
      <c r="CH46" s="33" t="n">
        <f aca="false">-$E46*N(AND(CH$3&lt;=$F46,CH$4&gt;=$F46))</f>
        <v>-0</v>
      </c>
      <c r="CI46" s="33" t="n">
        <f aca="false">-$E46*N(AND(CI$3&lt;=$F46,CI$4&gt;=$F46))</f>
        <v>-0</v>
      </c>
      <c r="CJ46" s="33" t="n">
        <f aca="false">-$E46*N(AND(CJ$3&lt;=$F46,CJ$4&gt;=$F46))</f>
        <v>-0</v>
      </c>
      <c r="CK46" s="33" t="n">
        <f aca="false">-$E46*N(AND(CK$3&lt;=$F46,CK$4&gt;=$F46))</f>
        <v>-0</v>
      </c>
      <c r="CL46" s="33" t="n">
        <f aca="false">-$E46*N(AND(CL$3&lt;=$F46,CL$4&gt;=$F46))</f>
        <v>-0</v>
      </c>
      <c r="CM46" s="33" t="n">
        <f aca="false">-$E46*N(AND(CM$3&lt;=$F46,CM$4&gt;=$F46))</f>
        <v>-0</v>
      </c>
      <c r="CN46" s="33" t="n">
        <f aca="false">-$E46*N(AND(CN$3&lt;=$F46,CN$4&gt;=$F46))</f>
        <v>-0</v>
      </c>
      <c r="CO46" s="33" t="n">
        <f aca="false">-$E46*N(AND(CO$3&lt;=$F46,CO$4&gt;=$F46))</f>
        <v>-0</v>
      </c>
      <c r="CP46" s="33" t="n">
        <f aca="false">-$E46*N(AND(CP$3&lt;=$F46,CP$4&gt;=$F46))</f>
        <v>-0</v>
      </c>
      <c r="CQ46" s="33" t="n">
        <f aca="false">-$E46*N(AND(CQ$3&lt;=$F46,CQ$4&gt;=$F46))</f>
        <v>-0</v>
      </c>
      <c r="CR46" s="33" t="n">
        <f aca="false">-$E46*N(AND(CR$3&lt;=$F46,CR$4&gt;=$F46))</f>
        <v>-0</v>
      </c>
      <c r="CS46" s="33" t="n">
        <f aca="false">-$E46*N(AND(CS$3&lt;=$F46,CS$4&gt;=$F46))</f>
        <v>-0</v>
      </c>
      <c r="CT46" s="33" t="n">
        <f aca="false">-$E46*N(AND(CT$3&lt;=$F46,CT$4&gt;=$F46))</f>
        <v>-0</v>
      </c>
      <c r="CU46" s="33" t="n">
        <f aca="false">-$E46*N(AND(CU$3&lt;=$F46,CU$4&gt;=$F46))</f>
        <v>-0</v>
      </c>
      <c r="CV46" s="33" t="n">
        <f aca="false">-$E46*N(AND(CV$3&lt;=$F46,CV$4&gt;=$F46))</f>
        <v>-0</v>
      </c>
      <c r="CW46" s="33" t="n">
        <f aca="false">-$E46*N(AND(CW$3&lt;=$F46,CW$4&gt;=$F46))</f>
        <v>-0</v>
      </c>
      <c r="CX46" s="33" t="n">
        <f aca="false">-$E46*N(AND(CX$3&lt;=$F46,CX$4&gt;=$F46))</f>
        <v>-0</v>
      </c>
      <c r="CY46" s="33" t="n">
        <f aca="false">-$E46*N(AND(CY$3&lt;=$F46,CY$4&gt;=$F46))</f>
        <v>-0</v>
      </c>
      <c r="CZ46" s="33" t="n">
        <f aca="false">-$E46*N(AND(CZ$3&lt;=$F46,CZ$4&gt;=$F46))</f>
        <v>-0</v>
      </c>
      <c r="DA46" s="33" t="n">
        <f aca="false">-$E46*N(AND(DA$3&lt;=$F46,DA$4&gt;=$F46))</f>
        <v>-0</v>
      </c>
      <c r="DB46" s="33" t="n">
        <f aca="false">-$E46*N(AND(DB$3&lt;=$F46,DB$4&gt;=$F46))</f>
        <v>-0</v>
      </c>
      <c r="DC46" s="33" t="n">
        <f aca="false">-$E46*N(AND(DC$3&lt;=$F46,DC$4&gt;=$F46))</f>
        <v>-0</v>
      </c>
      <c r="DD46" s="33" t="n">
        <f aca="false">-$E46*N(AND(DD$3&lt;=$F46,DD$4&gt;=$F46))</f>
        <v>-0</v>
      </c>
      <c r="DE46" s="33" t="n">
        <f aca="false">-$E46*N(AND(DE$3&lt;=$F46,DE$4&gt;=$F46))</f>
        <v>-0</v>
      </c>
      <c r="DF46" s="33" t="n">
        <f aca="false">-$E46*N(AND(DF$3&lt;=$F46,DF$4&gt;=$F46))</f>
        <v>-0</v>
      </c>
      <c r="DG46" s="33" t="n">
        <f aca="false">-$E46*N(AND(DG$3&lt;=$F46,DG$4&gt;=$F46))</f>
        <v>-0</v>
      </c>
      <c r="DH46" s="33" t="n">
        <f aca="false">-$E46*N(AND(DH$3&lt;=$F46,DH$4&gt;=$F46))</f>
        <v>-0</v>
      </c>
      <c r="DI46" s="33" t="n">
        <f aca="false">-$E46*N(AND(DI$3&lt;=$F46,DI$4&gt;=$F46))</f>
        <v>-0</v>
      </c>
      <c r="DJ46" s="33" t="n">
        <f aca="false">-$E46*N(AND(DJ$3&lt;=$F46,DJ$4&gt;=$F46))</f>
        <v>-0</v>
      </c>
      <c r="DK46" s="33" t="n">
        <f aca="false">-$E46*N(AND(DK$3&lt;=$F46,DK$4&gt;=$F46))</f>
        <v>-0</v>
      </c>
      <c r="DL46" s="33" t="n">
        <f aca="false">-$E46*N(AND(DL$3&lt;=$F46,DL$4&gt;=$F46))</f>
        <v>-0</v>
      </c>
      <c r="DM46" s="33" t="n">
        <f aca="false">-$E46*N(AND(DM$3&lt;=$F46,DM$4&gt;=$F46))</f>
        <v>-0</v>
      </c>
      <c r="DN46" s="33" t="n">
        <f aca="false">-$E46*N(AND(DN$3&lt;=$F46,DN$4&gt;=$F46))</f>
        <v>-0</v>
      </c>
      <c r="DO46" s="33" t="n">
        <f aca="false">-$E46*N(AND(DO$3&lt;=$F46,DO$4&gt;=$F46))</f>
        <v>-0</v>
      </c>
      <c r="DP46" s="33" t="n">
        <f aca="false">-$E46*N(AND(DP$3&lt;=$F46,DP$4&gt;=$F46))</f>
        <v>-0</v>
      </c>
      <c r="DQ46" s="33" t="n">
        <f aca="false">-$E46*N(AND(DQ$3&lt;=$F46,DQ$4&gt;=$F46))</f>
        <v>-0</v>
      </c>
      <c r="DR46" s="33" t="n">
        <f aca="false">-$E46*N(AND(DR$3&lt;=$F46,DR$4&gt;=$F46))</f>
        <v>-0</v>
      </c>
      <c r="DS46" s="33" t="n">
        <f aca="false">-$E46*N(AND(DS$3&lt;=$F46,DS$4&gt;=$F46))</f>
        <v>-0</v>
      </c>
      <c r="DT46" s="33" t="n">
        <f aca="false">-$E46*N(AND(DT$3&lt;=$F46,DT$4&gt;=$F46))</f>
        <v>-0</v>
      </c>
      <c r="DU46" s="33" t="n">
        <f aca="false">-$E46*N(AND(DU$3&lt;=$F46,DU$4&gt;=$F46))</f>
        <v>-0</v>
      </c>
      <c r="DV46" s="33" t="n">
        <f aca="false">-$E46*N(AND(DV$3&lt;=$F46,DV$4&gt;=$F46))</f>
        <v>-0</v>
      </c>
      <c r="DW46" s="33" t="n">
        <f aca="false">-$E46*N(AND(DW$3&lt;=$F46,DW$4&gt;=$F46))</f>
        <v>-0</v>
      </c>
      <c r="DX46" s="33" t="n">
        <f aca="false">-$E46*N(AND(DX$3&lt;=$F46,DX$4&gt;=$F46))</f>
        <v>-0</v>
      </c>
      <c r="DY46" s="33" t="n">
        <f aca="false">-$E46*N(AND(DY$3&lt;=$F46,DY$4&gt;=$F46))</f>
        <v>-0</v>
      </c>
      <c r="DZ46" s="33" t="n">
        <f aca="false">-$E46*N(AND(DZ$3&lt;=$F46,DZ$4&gt;=$F46))</f>
        <v>-0</v>
      </c>
      <c r="EA46" s="33" t="n">
        <f aca="false">-$E46*N(AND(EA$3&lt;=$F46,EA$4&gt;=$F46))</f>
        <v>-0</v>
      </c>
      <c r="EB46" s="33" t="n">
        <f aca="false">-$E46*N(AND(EB$3&lt;=$F46,EB$4&gt;=$F46))</f>
        <v>-0</v>
      </c>
      <c r="EC46" s="33" t="n">
        <f aca="false">-$E46*N(AND(EC$3&lt;=$F46,EC$4&gt;=$F46))</f>
        <v>-0</v>
      </c>
      <c r="ED46" s="33" t="n">
        <f aca="false">-$E46*N(AND(ED$3&lt;=$F46,ED$4&gt;=$F46))</f>
        <v>-0</v>
      </c>
      <c r="EE46" s="33" t="n">
        <f aca="false">-$E46*N(AND(EE$3&lt;=$F46,EE$4&gt;=$F46))</f>
        <v>-0</v>
      </c>
      <c r="EF46" s="33" t="n">
        <f aca="false">-$E46*N(AND(EF$3&lt;=$F46,EF$4&gt;=$F46))</f>
        <v>-0</v>
      </c>
      <c r="EG46" s="33" t="n">
        <f aca="false">-$E46*N(AND(EG$3&lt;=$F46,EG$4&gt;=$F46))</f>
        <v>-0</v>
      </c>
      <c r="EH46" s="33" t="n">
        <f aca="false">-$E46*N(AND(EH$3&lt;=$F46,EH$4&gt;=$F46))</f>
        <v>-0</v>
      </c>
      <c r="EI46" s="33" t="n">
        <f aca="false">-$E46*N(AND(EI$3&lt;=$F46,EI$4&gt;=$F46))</f>
        <v>-0</v>
      </c>
      <c r="EJ46" s="33" t="n">
        <f aca="false">-$E46*N(AND(EJ$3&lt;=$F46,EJ$4&gt;=$F46))</f>
        <v>-0</v>
      </c>
      <c r="EK46" s="33" t="n">
        <f aca="false">-$E46*N(AND(EK$3&lt;=$F46,EK$4&gt;=$F46))</f>
        <v>-0</v>
      </c>
      <c r="EL46" s="33" t="n">
        <f aca="false">-$E46*N(AND(EL$3&lt;=$F46,EL$4&gt;=$F46))</f>
        <v>-0</v>
      </c>
      <c r="EM46" s="33" t="n">
        <f aca="false">-$E46*N(AND(EM$3&lt;=$F46,EM$4&gt;=$F46))</f>
        <v>-0</v>
      </c>
      <c r="EN46" s="33" t="n">
        <f aca="false">-$E46*N(AND(EN$3&lt;=$F46,EN$4&gt;=$F46))</f>
        <v>-0</v>
      </c>
      <c r="EO46" s="33" t="n">
        <f aca="false">-$E46*N(AND(EO$3&lt;=$F46,EO$4&gt;=$F46))</f>
        <v>-0</v>
      </c>
      <c r="EP46" s="33" t="n">
        <f aca="false">-$E46*N(AND(EP$3&lt;=$F46,EP$4&gt;=$F46))</f>
        <v>-0</v>
      </c>
      <c r="EQ46" s="33" t="n">
        <f aca="false">-$E46*N(AND(EQ$3&lt;=$F46,EQ$4&gt;=$F46))</f>
        <v>-0</v>
      </c>
      <c r="ER46" s="33" t="n">
        <f aca="false">-$E46*N(AND(ER$3&lt;=$F46,ER$4&gt;=$F46))</f>
        <v>-0</v>
      </c>
      <c r="ES46" s="33" t="n">
        <f aca="false">-$E46*N(AND(ES$3&lt;=$F46,ES$4&gt;=$F46))</f>
        <v>-0</v>
      </c>
      <c r="ET46" s="33" t="n">
        <f aca="false">-$E46*N(AND(ET$3&lt;=$F46,ET$4&gt;=$F46))</f>
        <v>-0</v>
      </c>
    </row>
    <row r="47" customFormat="false" ht="15" hidden="false" customHeight="false" outlineLevel="0" collapsed="false">
      <c r="C47" s="0" t="s">
        <v>508</v>
      </c>
      <c r="D47" s="11" t="s">
        <v>247</v>
      </c>
      <c r="E47" s="33" t="n">
        <f aca="false">In_Part_Fee*Thousand/In_FX</f>
        <v>8.21917808219178</v>
      </c>
      <c r="F47" s="27" t="n">
        <f aca="false">In_Bid_Date</f>
        <v>46325</v>
      </c>
      <c r="I47" s="33" t="n">
        <f aca="false">SUM(J47:ET47)</f>
        <v>-8.21917808219178</v>
      </c>
      <c r="J47" s="33" t="n">
        <f aca="false">-$E47*N(AND(J$3&lt;=$F47,J$4&gt;=$F47))</f>
        <v>-0</v>
      </c>
      <c r="K47" s="33" t="n">
        <f aca="false">-$E47*N(AND(K$3&lt;=$F47,K$4&gt;=$F47))</f>
        <v>-8.21917808219178</v>
      </c>
      <c r="L47" s="33" t="n">
        <f aca="false">-$E47*N(AND(L$3&lt;=$F47,L$4&gt;=$F47))</f>
        <v>-0</v>
      </c>
      <c r="M47" s="33" t="n">
        <f aca="false">-$E47*N(AND(M$3&lt;=$F47,M$4&gt;=$F47))</f>
        <v>-0</v>
      </c>
      <c r="N47" s="33" t="n">
        <f aca="false">-$E47*N(AND(N$3&lt;=$F47,N$4&gt;=$F47))</f>
        <v>-0</v>
      </c>
      <c r="O47" s="33" t="n">
        <f aca="false">-$E47*N(AND(O$3&lt;=$F47,O$4&gt;=$F47))</f>
        <v>-0</v>
      </c>
      <c r="P47" s="33" t="n">
        <f aca="false">-$E47*N(AND(P$3&lt;=$F47,P$4&gt;=$F47))</f>
        <v>-0</v>
      </c>
      <c r="Q47" s="33" t="n">
        <f aca="false">-$E47*N(AND(Q$3&lt;=$F47,Q$4&gt;=$F47))</f>
        <v>-0</v>
      </c>
      <c r="R47" s="33" t="n">
        <f aca="false">-$E47*N(AND(R$3&lt;=$F47,R$4&gt;=$F47))</f>
        <v>-0</v>
      </c>
      <c r="S47" s="33" t="n">
        <f aca="false">-$E47*N(AND(S$3&lt;=$F47,S$4&gt;=$F47))</f>
        <v>-0</v>
      </c>
      <c r="T47" s="33" t="n">
        <f aca="false">-$E47*N(AND(T$3&lt;=$F47,T$4&gt;=$F47))</f>
        <v>-0</v>
      </c>
      <c r="U47" s="33" t="n">
        <f aca="false">-$E47*N(AND(U$3&lt;=$F47,U$4&gt;=$F47))</f>
        <v>-0</v>
      </c>
      <c r="V47" s="33" t="n">
        <f aca="false">-$E47*N(AND(V$3&lt;=$F47,V$4&gt;=$F47))</f>
        <v>-0</v>
      </c>
      <c r="W47" s="33" t="n">
        <f aca="false">-$E47*N(AND(W$3&lt;=$F47,W$4&gt;=$F47))</f>
        <v>-0</v>
      </c>
      <c r="X47" s="33" t="n">
        <f aca="false">-$E47*N(AND(X$3&lt;=$F47,X$4&gt;=$F47))</f>
        <v>-0</v>
      </c>
      <c r="Y47" s="33" t="n">
        <f aca="false">-$E47*N(AND(Y$3&lt;=$F47,Y$4&gt;=$F47))</f>
        <v>-0</v>
      </c>
      <c r="Z47" s="33" t="n">
        <f aca="false">-$E47*N(AND(Z$3&lt;=$F47,Z$4&gt;=$F47))</f>
        <v>-0</v>
      </c>
      <c r="AA47" s="33" t="n">
        <f aca="false">-$E47*N(AND(AA$3&lt;=$F47,AA$4&gt;=$F47))</f>
        <v>-0</v>
      </c>
      <c r="AB47" s="33" t="n">
        <f aca="false">-$E47*N(AND(AB$3&lt;=$F47,AB$4&gt;=$F47))</f>
        <v>-0</v>
      </c>
      <c r="AC47" s="33" t="n">
        <f aca="false">-$E47*N(AND(AC$3&lt;=$F47,AC$4&gt;=$F47))</f>
        <v>-0</v>
      </c>
      <c r="AD47" s="33" t="n">
        <f aca="false">-$E47*N(AND(AD$3&lt;=$F47,AD$4&gt;=$F47))</f>
        <v>-0</v>
      </c>
      <c r="AE47" s="33" t="n">
        <f aca="false">-$E47*N(AND(AE$3&lt;=$F47,AE$4&gt;=$F47))</f>
        <v>-0</v>
      </c>
      <c r="AF47" s="33" t="n">
        <f aca="false">-$E47*N(AND(AF$3&lt;=$F47,AF$4&gt;=$F47))</f>
        <v>-0</v>
      </c>
      <c r="AG47" s="33" t="n">
        <f aca="false">-$E47*N(AND(AG$3&lt;=$F47,AG$4&gt;=$F47))</f>
        <v>-0</v>
      </c>
      <c r="AH47" s="33" t="n">
        <f aca="false">-$E47*N(AND(AH$3&lt;=$F47,AH$4&gt;=$F47))</f>
        <v>-0</v>
      </c>
      <c r="AI47" s="33" t="n">
        <f aca="false">-$E47*N(AND(AI$3&lt;=$F47,AI$4&gt;=$F47))</f>
        <v>-0</v>
      </c>
      <c r="AJ47" s="33" t="n">
        <f aca="false">-$E47*N(AND(AJ$3&lt;=$F47,AJ$4&gt;=$F47))</f>
        <v>-0</v>
      </c>
      <c r="AK47" s="33" t="n">
        <f aca="false">-$E47*N(AND(AK$3&lt;=$F47,AK$4&gt;=$F47))</f>
        <v>-0</v>
      </c>
      <c r="AL47" s="33" t="n">
        <f aca="false">-$E47*N(AND(AL$3&lt;=$F47,AL$4&gt;=$F47))</f>
        <v>-0</v>
      </c>
      <c r="AM47" s="33" t="n">
        <f aca="false">-$E47*N(AND(AM$3&lt;=$F47,AM$4&gt;=$F47))</f>
        <v>-0</v>
      </c>
      <c r="AN47" s="33" t="n">
        <f aca="false">-$E47*N(AND(AN$3&lt;=$F47,AN$4&gt;=$F47))</f>
        <v>-0</v>
      </c>
      <c r="AO47" s="33" t="n">
        <f aca="false">-$E47*N(AND(AO$3&lt;=$F47,AO$4&gt;=$F47))</f>
        <v>-0</v>
      </c>
      <c r="AP47" s="33" t="n">
        <f aca="false">-$E47*N(AND(AP$3&lt;=$F47,AP$4&gt;=$F47))</f>
        <v>-0</v>
      </c>
      <c r="AQ47" s="33" t="n">
        <f aca="false">-$E47*N(AND(AQ$3&lt;=$F47,AQ$4&gt;=$F47))</f>
        <v>-0</v>
      </c>
      <c r="AR47" s="33" t="n">
        <f aca="false">-$E47*N(AND(AR$3&lt;=$F47,AR$4&gt;=$F47))</f>
        <v>-0</v>
      </c>
      <c r="AS47" s="33" t="n">
        <f aca="false">-$E47*N(AND(AS$3&lt;=$F47,AS$4&gt;=$F47))</f>
        <v>-0</v>
      </c>
      <c r="AT47" s="33" t="n">
        <f aca="false">-$E47*N(AND(AT$3&lt;=$F47,AT$4&gt;=$F47))</f>
        <v>-0</v>
      </c>
      <c r="AU47" s="33" t="n">
        <f aca="false">-$E47*N(AND(AU$3&lt;=$F47,AU$4&gt;=$F47))</f>
        <v>-0</v>
      </c>
      <c r="AV47" s="33" t="n">
        <f aca="false">-$E47*N(AND(AV$3&lt;=$F47,AV$4&gt;=$F47))</f>
        <v>-0</v>
      </c>
      <c r="AW47" s="33" t="n">
        <f aca="false">-$E47*N(AND(AW$3&lt;=$F47,AW$4&gt;=$F47))</f>
        <v>-0</v>
      </c>
      <c r="AX47" s="33" t="n">
        <f aca="false">-$E47*N(AND(AX$3&lt;=$F47,AX$4&gt;=$F47))</f>
        <v>-0</v>
      </c>
      <c r="AY47" s="33" t="n">
        <f aca="false">-$E47*N(AND(AY$3&lt;=$F47,AY$4&gt;=$F47))</f>
        <v>-0</v>
      </c>
      <c r="AZ47" s="33" t="n">
        <f aca="false">-$E47*N(AND(AZ$3&lt;=$F47,AZ$4&gt;=$F47))</f>
        <v>-0</v>
      </c>
      <c r="BA47" s="33" t="n">
        <f aca="false">-$E47*N(AND(BA$3&lt;=$F47,BA$4&gt;=$F47))</f>
        <v>-0</v>
      </c>
      <c r="BB47" s="33" t="n">
        <f aca="false">-$E47*N(AND(BB$3&lt;=$F47,BB$4&gt;=$F47))</f>
        <v>-0</v>
      </c>
      <c r="BC47" s="33" t="n">
        <f aca="false">-$E47*N(AND(BC$3&lt;=$F47,BC$4&gt;=$F47))</f>
        <v>-0</v>
      </c>
      <c r="BD47" s="33" t="n">
        <f aca="false">-$E47*N(AND(BD$3&lt;=$F47,BD$4&gt;=$F47))</f>
        <v>-0</v>
      </c>
      <c r="BE47" s="33" t="n">
        <f aca="false">-$E47*N(AND(BE$3&lt;=$F47,BE$4&gt;=$F47))</f>
        <v>-0</v>
      </c>
      <c r="BF47" s="33" t="n">
        <f aca="false">-$E47*N(AND(BF$3&lt;=$F47,BF$4&gt;=$F47))</f>
        <v>-0</v>
      </c>
      <c r="BG47" s="33" t="n">
        <f aca="false">-$E47*N(AND(BG$3&lt;=$F47,BG$4&gt;=$F47))</f>
        <v>-0</v>
      </c>
      <c r="BH47" s="33" t="n">
        <f aca="false">-$E47*N(AND(BH$3&lt;=$F47,BH$4&gt;=$F47))</f>
        <v>-0</v>
      </c>
      <c r="BI47" s="33" t="n">
        <f aca="false">-$E47*N(AND(BI$3&lt;=$F47,BI$4&gt;=$F47))</f>
        <v>-0</v>
      </c>
      <c r="BJ47" s="33" t="n">
        <f aca="false">-$E47*N(AND(BJ$3&lt;=$F47,BJ$4&gt;=$F47))</f>
        <v>-0</v>
      </c>
      <c r="BK47" s="33" t="n">
        <f aca="false">-$E47*N(AND(BK$3&lt;=$F47,BK$4&gt;=$F47))</f>
        <v>-0</v>
      </c>
      <c r="BL47" s="33" t="n">
        <f aca="false">-$E47*N(AND(BL$3&lt;=$F47,BL$4&gt;=$F47))</f>
        <v>-0</v>
      </c>
      <c r="BM47" s="33" t="n">
        <f aca="false">-$E47*N(AND(BM$3&lt;=$F47,BM$4&gt;=$F47))</f>
        <v>-0</v>
      </c>
      <c r="BN47" s="33" t="n">
        <f aca="false">-$E47*N(AND(BN$3&lt;=$F47,BN$4&gt;=$F47))</f>
        <v>-0</v>
      </c>
      <c r="BO47" s="33" t="n">
        <f aca="false">-$E47*N(AND(BO$3&lt;=$F47,BO$4&gt;=$F47))</f>
        <v>-0</v>
      </c>
      <c r="BP47" s="33" t="n">
        <f aca="false">-$E47*N(AND(BP$3&lt;=$F47,BP$4&gt;=$F47))</f>
        <v>-0</v>
      </c>
      <c r="BQ47" s="33" t="n">
        <f aca="false">-$E47*N(AND(BQ$3&lt;=$F47,BQ$4&gt;=$F47))</f>
        <v>-0</v>
      </c>
      <c r="BR47" s="33" t="n">
        <f aca="false">-$E47*N(AND(BR$3&lt;=$F47,BR$4&gt;=$F47))</f>
        <v>-0</v>
      </c>
      <c r="BS47" s="33" t="n">
        <f aca="false">-$E47*N(AND(BS$3&lt;=$F47,BS$4&gt;=$F47))</f>
        <v>-0</v>
      </c>
      <c r="BT47" s="33" t="n">
        <f aca="false">-$E47*N(AND(BT$3&lt;=$F47,BT$4&gt;=$F47))</f>
        <v>-0</v>
      </c>
      <c r="BU47" s="33" t="n">
        <f aca="false">-$E47*N(AND(BU$3&lt;=$F47,BU$4&gt;=$F47))</f>
        <v>-0</v>
      </c>
      <c r="BV47" s="33" t="n">
        <f aca="false">-$E47*N(AND(BV$3&lt;=$F47,BV$4&gt;=$F47))</f>
        <v>-0</v>
      </c>
      <c r="BW47" s="33" t="n">
        <f aca="false">-$E47*N(AND(BW$3&lt;=$F47,BW$4&gt;=$F47))</f>
        <v>-0</v>
      </c>
      <c r="BX47" s="33" t="n">
        <f aca="false">-$E47*N(AND(BX$3&lt;=$F47,BX$4&gt;=$F47))</f>
        <v>-0</v>
      </c>
      <c r="BY47" s="33" t="n">
        <f aca="false">-$E47*N(AND(BY$3&lt;=$F47,BY$4&gt;=$F47))</f>
        <v>-0</v>
      </c>
      <c r="BZ47" s="33" t="n">
        <f aca="false">-$E47*N(AND(BZ$3&lt;=$F47,BZ$4&gt;=$F47))</f>
        <v>-0</v>
      </c>
      <c r="CA47" s="33" t="n">
        <f aca="false">-$E47*N(AND(CA$3&lt;=$F47,CA$4&gt;=$F47))</f>
        <v>-0</v>
      </c>
      <c r="CB47" s="33" t="n">
        <f aca="false">-$E47*N(AND(CB$3&lt;=$F47,CB$4&gt;=$F47))</f>
        <v>-0</v>
      </c>
      <c r="CC47" s="33" t="n">
        <f aca="false">-$E47*N(AND(CC$3&lt;=$F47,CC$4&gt;=$F47))</f>
        <v>-0</v>
      </c>
      <c r="CD47" s="33" t="n">
        <f aca="false">-$E47*N(AND(CD$3&lt;=$F47,CD$4&gt;=$F47))</f>
        <v>-0</v>
      </c>
      <c r="CE47" s="33" t="n">
        <f aca="false">-$E47*N(AND(CE$3&lt;=$F47,CE$4&gt;=$F47))</f>
        <v>-0</v>
      </c>
      <c r="CF47" s="33" t="n">
        <f aca="false">-$E47*N(AND(CF$3&lt;=$F47,CF$4&gt;=$F47))</f>
        <v>-0</v>
      </c>
      <c r="CG47" s="33" t="n">
        <f aca="false">-$E47*N(AND(CG$3&lt;=$F47,CG$4&gt;=$F47))</f>
        <v>-0</v>
      </c>
      <c r="CH47" s="33" t="n">
        <f aca="false">-$E47*N(AND(CH$3&lt;=$F47,CH$4&gt;=$F47))</f>
        <v>-0</v>
      </c>
      <c r="CI47" s="33" t="n">
        <f aca="false">-$E47*N(AND(CI$3&lt;=$F47,CI$4&gt;=$F47))</f>
        <v>-0</v>
      </c>
      <c r="CJ47" s="33" t="n">
        <f aca="false">-$E47*N(AND(CJ$3&lt;=$F47,CJ$4&gt;=$F47))</f>
        <v>-0</v>
      </c>
      <c r="CK47" s="33" t="n">
        <f aca="false">-$E47*N(AND(CK$3&lt;=$F47,CK$4&gt;=$F47))</f>
        <v>-0</v>
      </c>
      <c r="CL47" s="33" t="n">
        <f aca="false">-$E47*N(AND(CL$3&lt;=$F47,CL$4&gt;=$F47))</f>
        <v>-0</v>
      </c>
      <c r="CM47" s="33" t="n">
        <f aca="false">-$E47*N(AND(CM$3&lt;=$F47,CM$4&gt;=$F47))</f>
        <v>-0</v>
      </c>
      <c r="CN47" s="33" t="n">
        <f aca="false">-$E47*N(AND(CN$3&lt;=$F47,CN$4&gt;=$F47))</f>
        <v>-0</v>
      </c>
      <c r="CO47" s="33" t="n">
        <f aca="false">-$E47*N(AND(CO$3&lt;=$F47,CO$4&gt;=$F47))</f>
        <v>-0</v>
      </c>
      <c r="CP47" s="33" t="n">
        <f aca="false">-$E47*N(AND(CP$3&lt;=$F47,CP$4&gt;=$F47))</f>
        <v>-0</v>
      </c>
      <c r="CQ47" s="33" t="n">
        <f aca="false">-$E47*N(AND(CQ$3&lt;=$F47,CQ$4&gt;=$F47))</f>
        <v>-0</v>
      </c>
      <c r="CR47" s="33" t="n">
        <f aca="false">-$E47*N(AND(CR$3&lt;=$F47,CR$4&gt;=$F47))</f>
        <v>-0</v>
      </c>
      <c r="CS47" s="33" t="n">
        <f aca="false">-$E47*N(AND(CS$3&lt;=$F47,CS$4&gt;=$F47))</f>
        <v>-0</v>
      </c>
      <c r="CT47" s="33" t="n">
        <f aca="false">-$E47*N(AND(CT$3&lt;=$F47,CT$4&gt;=$F47))</f>
        <v>-0</v>
      </c>
      <c r="CU47" s="33" t="n">
        <f aca="false">-$E47*N(AND(CU$3&lt;=$F47,CU$4&gt;=$F47))</f>
        <v>-0</v>
      </c>
      <c r="CV47" s="33" t="n">
        <f aca="false">-$E47*N(AND(CV$3&lt;=$F47,CV$4&gt;=$F47))</f>
        <v>-0</v>
      </c>
      <c r="CW47" s="33" t="n">
        <f aca="false">-$E47*N(AND(CW$3&lt;=$F47,CW$4&gt;=$F47))</f>
        <v>-0</v>
      </c>
      <c r="CX47" s="33" t="n">
        <f aca="false">-$E47*N(AND(CX$3&lt;=$F47,CX$4&gt;=$F47))</f>
        <v>-0</v>
      </c>
      <c r="CY47" s="33" t="n">
        <f aca="false">-$E47*N(AND(CY$3&lt;=$F47,CY$4&gt;=$F47))</f>
        <v>-0</v>
      </c>
      <c r="CZ47" s="33" t="n">
        <f aca="false">-$E47*N(AND(CZ$3&lt;=$F47,CZ$4&gt;=$F47))</f>
        <v>-0</v>
      </c>
      <c r="DA47" s="33" t="n">
        <f aca="false">-$E47*N(AND(DA$3&lt;=$F47,DA$4&gt;=$F47))</f>
        <v>-0</v>
      </c>
      <c r="DB47" s="33" t="n">
        <f aca="false">-$E47*N(AND(DB$3&lt;=$F47,DB$4&gt;=$F47))</f>
        <v>-0</v>
      </c>
      <c r="DC47" s="33" t="n">
        <f aca="false">-$E47*N(AND(DC$3&lt;=$F47,DC$4&gt;=$F47))</f>
        <v>-0</v>
      </c>
      <c r="DD47" s="33" t="n">
        <f aca="false">-$E47*N(AND(DD$3&lt;=$F47,DD$4&gt;=$F47))</f>
        <v>-0</v>
      </c>
      <c r="DE47" s="33" t="n">
        <f aca="false">-$E47*N(AND(DE$3&lt;=$F47,DE$4&gt;=$F47))</f>
        <v>-0</v>
      </c>
      <c r="DF47" s="33" t="n">
        <f aca="false">-$E47*N(AND(DF$3&lt;=$F47,DF$4&gt;=$F47))</f>
        <v>-0</v>
      </c>
      <c r="DG47" s="33" t="n">
        <f aca="false">-$E47*N(AND(DG$3&lt;=$F47,DG$4&gt;=$F47))</f>
        <v>-0</v>
      </c>
      <c r="DH47" s="33" t="n">
        <f aca="false">-$E47*N(AND(DH$3&lt;=$F47,DH$4&gt;=$F47))</f>
        <v>-0</v>
      </c>
      <c r="DI47" s="33" t="n">
        <f aca="false">-$E47*N(AND(DI$3&lt;=$F47,DI$4&gt;=$F47))</f>
        <v>-0</v>
      </c>
      <c r="DJ47" s="33" t="n">
        <f aca="false">-$E47*N(AND(DJ$3&lt;=$F47,DJ$4&gt;=$F47))</f>
        <v>-0</v>
      </c>
      <c r="DK47" s="33" t="n">
        <f aca="false">-$E47*N(AND(DK$3&lt;=$F47,DK$4&gt;=$F47))</f>
        <v>-0</v>
      </c>
      <c r="DL47" s="33" t="n">
        <f aca="false">-$E47*N(AND(DL$3&lt;=$F47,DL$4&gt;=$F47))</f>
        <v>-0</v>
      </c>
      <c r="DM47" s="33" t="n">
        <f aca="false">-$E47*N(AND(DM$3&lt;=$F47,DM$4&gt;=$F47))</f>
        <v>-0</v>
      </c>
      <c r="DN47" s="33" t="n">
        <f aca="false">-$E47*N(AND(DN$3&lt;=$F47,DN$4&gt;=$F47))</f>
        <v>-0</v>
      </c>
      <c r="DO47" s="33" t="n">
        <f aca="false">-$E47*N(AND(DO$3&lt;=$F47,DO$4&gt;=$F47))</f>
        <v>-0</v>
      </c>
      <c r="DP47" s="33" t="n">
        <f aca="false">-$E47*N(AND(DP$3&lt;=$F47,DP$4&gt;=$F47))</f>
        <v>-0</v>
      </c>
      <c r="DQ47" s="33" t="n">
        <f aca="false">-$E47*N(AND(DQ$3&lt;=$F47,DQ$4&gt;=$F47))</f>
        <v>-0</v>
      </c>
      <c r="DR47" s="33" t="n">
        <f aca="false">-$E47*N(AND(DR$3&lt;=$F47,DR$4&gt;=$F47))</f>
        <v>-0</v>
      </c>
      <c r="DS47" s="33" t="n">
        <f aca="false">-$E47*N(AND(DS$3&lt;=$F47,DS$4&gt;=$F47))</f>
        <v>-0</v>
      </c>
      <c r="DT47" s="33" t="n">
        <f aca="false">-$E47*N(AND(DT$3&lt;=$F47,DT$4&gt;=$F47))</f>
        <v>-0</v>
      </c>
      <c r="DU47" s="33" t="n">
        <f aca="false">-$E47*N(AND(DU$3&lt;=$F47,DU$4&gt;=$F47))</f>
        <v>-0</v>
      </c>
      <c r="DV47" s="33" t="n">
        <f aca="false">-$E47*N(AND(DV$3&lt;=$F47,DV$4&gt;=$F47))</f>
        <v>-0</v>
      </c>
      <c r="DW47" s="33" t="n">
        <f aca="false">-$E47*N(AND(DW$3&lt;=$F47,DW$4&gt;=$F47))</f>
        <v>-0</v>
      </c>
      <c r="DX47" s="33" t="n">
        <f aca="false">-$E47*N(AND(DX$3&lt;=$F47,DX$4&gt;=$F47))</f>
        <v>-0</v>
      </c>
      <c r="DY47" s="33" t="n">
        <f aca="false">-$E47*N(AND(DY$3&lt;=$F47,DY$4&gt;=$F47))</f>
        <v>-0</v>
      </c>
      <c r="DZ47" s="33" t="n">
        <f aca="false">-$E47*N(AND(DZ$3&lt;=$F47,DZ$4&gt;=$F47))</f>
        <v>-0</v>
      </c>
      <c r="EA47" s="33" t="n">
        <f aca="false">-$E47*N(AND(EA$3&lt;=$F47,EA$4&gt;=$F47))</f>
        <v>-0</v>
      </c>
      <c r="EB47" s="33" t="n">
        <f aca="false">-$E47*N(AND(EB$3&lt;=$F47,EB$4&gt;=$F47))</f>
        <v>-0</v>
      </c>
      <c r="EC47" s="33" t="n">
        <f aca="false">-$E47*N(AND(EC$3&lt;=$F47,EC$4&gt;=$F47))</f>
        <v>-0</v>
      </c>
      <c r="ED47" s="33" t="n">
        <f aca="false">-$E47*N(AND(ED$3&lt;=$F47,ED$4&gt;=$F47))</f>
        <v>-0</v>
      </c>
      <c r="EE47" s="33" t="n">
        <f aca="false">-$E47*N(AND(EE$3&lt;=$F47,EE$4&gt;=$F47))</f>
        <v>-0</v>
      </c>
      <c r="EF47" s="33" t="n">
        <f aca="false">-$E47*N(AND(EF$3&lt;=$F47,EF$4&gt;=$F47))</f>
        <v>-0</v>
      </c>
      <c r="EG47" s="33" t="n">
        <f aca="false">-$E47*N(AND(EG$3&lt;=$F47,EG$4&gt;=$F47))</f>
        <v>-0</v>
      </c>
      <c r="EH47" s="33" t="n">
        <f aca="false">-$E47*N(AND(EH$3&lt;=$F47,EH$4&gt;=$F47))</f>
        <v>-0</v>
      </c>
      <c r="EI47" s="33" t="n">
        <f aca="false">-$E47*N(AND(EI$3&lt;=$F47,EI$4&gt;=$F47))</f>
        <v>-0</v>
      </c>
      <c r="EJ47" s="33" t="n">
        <f aca="false">-$E47*N(AND(EJ$3&lt;=$F47,EJ$4&gt;=$F47))</f>
        <v>-0</v>
      </c>
      <c r="EK47" s="33" t="n">
        <f aca="false">-$E47*N(AND(EK$3&lt;=$F47,EK$4&gt;=$F47))</f>
        <v>-0</v>
      </c>
      <c r="EL47" s="33" t="n">
        <f aca="false">-$E47*N(AND(EL$3&lt;=$F47,EL$4&gt;=$F47))</f>
        <v>-0</v>
      </c>
      <c r="EM47" s="33" t="n">
        <f aca="false">-$E47*N(AND(EM$3&lt;=$F47,EM$4&gt;=$F47))</f>
        <v>-0</v>
      </c>
      <c r="EN47" s="33" t="n">
        <f aca="false">-$E47*N(AND(EN$3&lt;=$F47,EN$4&gt;=$F47))</f>
        <v>-0</v>
      </c>
      <c r="EO47" s="33" t="n">
        <f aca="false">-$E47*N(AND(EO$3&lt;=$F47,EO$4&gt;=$F47))</f>
        <v>-0</v>
      </c>
      <c r="EP47" s="33" t="n">
        <f aca="false">-$E47*N(AND(EP$3&lt;=$F47,EP$4&gt;=$F47))</f>
        <v>-0</v>
      </c>
      <c r="EQ47" s="33" t="n">
        <f aca="false">-$E47*N(AND(EQ$3&lt;=$F47,EQ$4&gt;=$F47))</f>
        <v>-0</v>
      </c>
      <c r="ER47" s="33" t="n">
        <f aca="false">-$E47*N(AND(ER$3&lt;=$F47,ER$4&gt;=$F47))</f>
        <v>-0</v>
      </c>
      <c r="ES47" s="33" t="n">
        <f aca="false">-$E47*N(AND(ES$3&lt;=$F47,ES$4&gt;=$F47))</f>
        <v>-0</v>
      </c>
      <c r="ET47" s="33" t="n">
        <f aca="false">-$E47*N(AND(ET$3&lt;=$F47,ET$4&gt;=$F47))</f>
        <v>-0</v>
      </c>
    </row>
    <row r="48" customFormat="false" ht="15" hidden="false" customHeight="false" outlineLevel="0" collapsed="false">
      <c r="C48" s="0" t="s">
        <v>509</v>
      </c>
      <c r="D48" s="11" t="s">
        <v>247</v>
      </c>
      <c r="E48" s="33" t="n">
        <f aca="false">In_Bid_Rate*$E45*Thousand/In_FX</f>
        <v>1398.71232876712</v>
      </c>
      <c r="F48" s="27" t="n">
        <f aca="false">In_Bid_Date</f>
        <v>46325</v>
      </c>
      <c r="J48" s="33" t="n">
        <f aca="false">$E48*MAX(0,(MIN(In_Award_Date+In_PB_Days-1,J$4)-MAX($F48,J$3)+1)/J$5)</f>
        <v>0</v>
      </c>
      <c r="K48" s="33" t="n">
        <f aca="false">$E48*MAX(0,(MIN(In_Award_Date+In_PB_Days-1,K$4)-MAX($F48,K$3)+1)/K$5)</f>
        <v>897.000297796307</v>
      </c>
      <c r="L48" s="33" t="n">
        <f aca="false">$E48*MAX(0,(MIN(In_Award_Date+In_PB_Days-1,L$4)-MAX($F48,L$3)+1)/L$5)</f>
        <v>0</v>
      </c>
      <c r="M48" s="33" t="n">
        <f aca="false">$E48*MAX(0,(MIN(In_Award_Date+In_PB_Days-1,M$4)-MAX($F48,M$3)+1)/M$5)</f>
        <v>0</v>
      </c>
      <c r="N48" s="33" t="n">
        <f aca="false">$E48*MAX(0,(MIN(In_Award_Date+In_PB_Days-1,N$4)-MAX($F48,N$3)+1)/N$5)</f>
        <v>0</v>
      </c>
      <c r="O48" s="33" t="n">
        <f aca="false">$E48*MAX(0,(MIN(In_Award_Date+In_PB_Days-1,O$4)-MAX($F48,O$3)+1)/O$5)</f>
        <v>0</v>
      </c>
      <c r="P48" s="33" t="n">
        <f aca="false">$E48*MAX(0,(MIN(In_Award_Date+In_PB_Days-1,P$4)-MAX($F48,P$3)+1)/P$5)</f>
        <v>0</v>
      </c>
      <c r="Q48" s="33" t="n">
        <f aca="false">$E48*MAX(0,(MIN(In_Award_Date+In_PB_Days-1,Q$4)-MAX($F48,Q$3)+1)/Q$5)</f>
        <v>0</v>
      </c>
      <c r="R48" s="33" t="n">
        <f aca="false">$E48*MAX(0,(MIN(In_Award_Date+In_PB_Days-1,R$4)-MAX($F48,R$3)+1)/R$5)</f>
        <v>0</v>
      </c>
      <c r="S48" s="33" t="n">
        <f aca="false">$E48*MAX(0,(MIN(In_Award_Date+In_PB_Days-1,S$4)-MAX($F48,S$3)+1)/S$5)</f>
        <v>0</v>
      </c>
      <c r="T48" s="33" t="n">
        <f aca="false">$E48*MAX(0,(MIN(In_Award_Date+In_PB_Days-1,T$4)-MAX($F48,T$3)+1)/T$5)</f>
        <v>0</v>
      </c>
      <c r="U48" s="33" t="n">
        <f aca="false">$E48*MAX(0,(MIN(In_Award_Date+In_PB_Days-1,U$4)-MAX($F48,U$3)+1)/U$5)</f>
        <v>0</v>
      </c>
      <c r="V48" s="33" t="n">
        <f aca="false">$E48*MAX(0,(MIN(In_Award_Date+In_PB_Days-1,V$4)-MAX($F48,V$3)+1)/V$5)</f>
        <v>0</v>
      </c>
      <c r="W48" s="33" t="n">
        <f aca="false">$E48*MAX(0,(MIN(In_Award_Date+In_PB_Days-1,W$4)-MAX($F48,W$3)+1)/W$5)</f>
        <v>0</v>
      </c>
      <c r="X48" s="33" t="n">
        <f aca="false">$E48*MAX(0,(MIN(In_Award_Date+In_PB_Days-1,X$4)-MAX($F48,X$3)+1)/X$5)</f>
        <v>0</v>
      </c>
      <c r="Y48" s="33" t="n">
        <f aca="false">$E48*MAX(0,(MIN(In_Award_Date+In_PB_Days-1,Y$4)-MAX($F48,Y$3)+1)/Y$5)</f>
        <v>0</v>
      </c>
      <c r="Z48" s="33" t="n">
        <f aca="false">$E48*MAX(0,(MIN(In_Award_Date+In_PB_Days-1,Z$4)-MAX($F48,Z$3)+1)/Z$5)</f>
        <v>0</v>
      </c>
      <c r="AA48" s="33" t="n">
        <f aca="false">$E48*MAX(0,(MIN(In_Award_Date+In_PB_Days-1,AA$4)-MAX($F48,AA$3)+1)/AA$5)</f>
        <v>0</v>
      </c>
      <c r="AB48" s="33" t="n">
        <f aca="false">$E48*MAX(0,(MIN(In_Award_Date+In_PB_Days-1,AB$4)-MAX($F48,AB$3)+1)/AB$5)</f>
        <v>0</v>
      </c>
      <c r="AC48" s="33" t="n">
        <f aca="false">$E48*MAX(0,(MIN(In_Award_Date+In_PB_Days-1,AC$4)-MAX($F48,AC$3)+1)/AC$5)</f>
        <v>0</v>
      </c>
      <c r="AD48" s="33" t="n">
        <f aca="false">$E48*MAX(0,(MIN(In_Award_Date+In_PB_Days-1,AD$4)-MAX($F48,AD$3)+1)/AD$5)</f>
        <v>0</v>
      </c>
      <c r="AE48" s="33" t="n">
        <f aca="false">$E48*MAX(0,(MIN(In_Award_Date+In_PB_Days-1,AE$4)-MAX($F48,AE$3)+1)/AE$5)</f>
        <v>0</v>
      </c>
      <c r="AF48" s="33" t="n">
        <f aca="false">$E48*MAX(0,(MIN(In_Award_Date+In_PB_Days-1,AF$4)-MAX($F48,AF$3)+1)/AF$5)</f>
        <v>0</v>
      </c>
      <c r="AG48" s="33" t="n">
        <f aca="false">$E48*MAX(0,(MIN(In_Award_Date+In_PB_Days-1,AG$4)-MAX($F48,AG$3)+1)/AG$5)</f>
        <v>0</v>
      </c>
      <c r="AH48" s="33" t="n">
        <f aca="false">$E48*MAX(0,(MIN(In_Award_Date+In_PB_Days-1,AH$4)-MAX($F48,AH$3)+1)/AH$5)</f>
        <v>0</v>
      </c>
      <c r="AI48" s="33" t="n">
        <f aca="false">$E48*MAX(0,(MIN(In_Award_Date+In_PB_Days-1,AI$4)-MAX($F48,AI$3)+1)/AI$5)</f>
        <v>0</v>
      </c>
      <c r="AJ48" s="33" t="n">
        <f aca="false">$E48*MAX(0,(MIN(In_Award_Date+In_PB_Days-1,AJ$4)-MAX($F48,AJ$3)+1)/AJ$5)</f>
        <v>0</v>
      </c>
      <c r="AK48" s="33" t="n">
        <f aca="false">$E48*MAX(0,(MIN(In_Award_Date+In_PB_Days-1,AK$4)-MAX($F48,AK$3)+1)/AK$5)</f>
        <v>0</v>
      </c>
      <c r="AL48" s="33" t="n">
        <f aca="false">$E48*MAX(0,(MIN(In_Award_Date+In_PB_Days-1,AL$4)-MAX($F48,AL$3)+1)/AL$5)</f>
        <v>0</v>
      </c>
      <c r="AM48" s="33" t="n">
        <f aca="false">$E48*MAX(0,(MIN(In_Award_Date+In_PB_Days-1,AM$4)-MAX($F48,AM$3)+1)/AM$5)</f>
        <v>0</v>
      </c>
      <c r="AN48" s="33" t="n">
        <f aca="false">$E48*MAX(0,(MIN(In_Award_Date+In_PB_Days-1,AN$4)-MAX($F48,AN$3)+1)/AN$5)</f>
        <v>0</v>
      </c>
      <c r="AO48" s="33" t="n">
        <f aca="false">$E48*MAX(0,(MIN(In_Award_Date+In_PB_Days-1,AO$4)-MAX($F48,AO$3)+1)/AO$5)</f>
        <v>0</v>
      </c>
      <c r="AP48" s="33" t="n">
        <f aca="false">$E48*MAX(0,(MIN(In_Award_Date+In_PB_Days-1,AP$4)-MAX($F48,AP$3)+1)/AP$5)</f>
        <v>0</v>
      </c>
      <c r="AQ48" s="33" t="n">
        <f aca="false">$E48*MAX(0,(MIN(In_Award_Date+In_PB_Days-1,AQ$4)-MAX($F48,AQ$3)+1)/AQ$5)</f>
        <v>0</v>
      </c>
      <c r="AR48" s="33" t="n">
        <f aca="false">$E48*MAX(0,(MIN(In_Award_Date+In_PB_Days-1,AR$4)-MAX($F48,AR$3)+1)/AR$5)</f>
        <v>0</v>
      </c>
      <c r="AS48" s="33" t="n">
        <f aca="false">$E48*MAX(0,(MIN(In_Award_Date+In_PB_Days-1,AS$4)-MAX($F48,AS$3)+1)/AS$5)</f>
        <v>0</v>
      </c>
      <c r="AT48" s="33" t="n">
        <f aca="false">$E48*MAX(0,(MIN(In_Award_Date+In_PB_Days-1,AT$4)-MAX($F48,AT$3)+1)/AT$5)</f>
        <v>0</v>
      </c>
      <c r="AU48" s="33" t="n">
        <f aca="false">$E48*MAX(0,(MIN(In_Award_Date+In_PB_Days-1,AU$4)-MAX($F48,AU$3)+1)/AU$5)</f>
        <v>0</v>
      </c>
      <c r="AV48" s="33" t="n">
        <f aca="false">$E48*MAX(0,(MIN(In_Award_Date+In_PB_Days-1,AV$4)-MAX($F48,AV$3)+1)/AV$5)</f>
        <v>0</v>
      </c>
      <c r="AW48" s="33" t="n">
        <f aca="false">$E48*MAX(0,(MIN(In_Award_Date+In_PB_Days-1,AW$4)-MAX($F48,AW$3)+1)/AW$5)</f>
        <v>0</v>
      </c>
      <c r="AX48" s="33" t="n">
        <f aca="false">$E48*MAX(0,(MIN(In_Award_Date+In_PB_Days-1,AX$4)-MAX($F48,AX$3)+1)/AX$5)</f>
        <v>0</v>
      </c>
      <c r="AY48" s="33" t="n">
        <f aca="false">$E48*MAX(0,(MIN(In_Award_Date+In_PB_Days-1,AY$4)-MAX($F48,AY$3)+1)/AY$5)</f>
        <v>0</v>
      </c>
      <c r="AZ48" s="33" t="n">
        <f aca="false">$E48*MAX(0,(MIN(In_Award_Date+In_PB_Days-1,AZ$4)-MAX($F48,AZ$3)+1)/AZ$5)</f>
        <v>0</v>
      </c>
      <c r="BA48" s="33" t="n">
        <f aca="false">$E48*MAX(0,(MIN(In_Award_Date+In_PB_Days-1,BA$4)-MAX($F48,BA$3)+1)/BA$5)</f>
        <v>0</v>
      </c>
      <c r="BB48" s="33" t="n">
        <f aca="false">$E48*MAX(0,(MIN(In_Award_Date+In_PB_Days-1,BB$4)-MAX($F48,BB$3)+1)/BB$5)</f>
        <v>0</v>
      </c>
      <c r="BC48" s="33" t="n">
        <f aca="false">$E48*MAX(0,(MIN(In_Award_Date+In_PB_Days-1,BC$4)-MAX($F48,BC$3)+1)/BC$5)</f>
        <v>0</v>
      </c>
      <c r="BD48" s="33" t="n">
        <f aca="false">$E48*MAX(0,(MIN(In_Award_Date+In_PB_Days-1,BD$4)-MAX($F48,BD$3)+1)/BD$5)</f>
        <v>0</v>
      </c>
      <c r="BE48" s="33" t="n">
        <f aca="false">$E48*MAX(0,(MIN(In_Award_Date+In_PB_Days-1,BE$4)-MAX($F48,BE$3)+1)/BE$5)</f>
        <v>0</v>
      </c>
      <c r="BF48" s="33" t="n">
        <f aca="false">$E48*MAX(0,(MIN(In_Award_Date+In_PB_Days-1,BF$4)-MAX($F48,BF$3)+1)/BF$5)</f>
        <v>0</v>
      </c>
      <c r="BG48" s="33" t="n">
        <f aca="false">$E48*MAX(0,(MIN(In_Award_Date+In_PB_Days-1,BG$4)-MAX($F48,BG$3)+1)/BG$5)</f>
        <v>0</v>
      </c>
      <c r="BH48" s="33" t="n">
        <f aca="false">$E48*MAX(0,(MIN(In_Award_Date+In_PB_Days-1,BH$4)-MAX($F48,BH$3)+1)/BH$5)</f>
        <v>0</v>
      </c>
      <c r="BI48" s="33" t="n">
        <f aca="false">$E48*MAX(0,(MIN(In_Award_Date+In_PB_Days-1,BI$4)-MAX($F48,BI$3)+1)/BI$5)</f>
        <v>0</v>
      </c>
      <c r="BJ48" s="33" t="n">
        <f aca="false">$E48*MAX(0,(MIN(In_Award_Date+In_PB_Days-1,BJ$4)-MAX($F48,BJ$3)+1)/BJ$5)</f>
        <v>0</v>
      </c>
      <c r="BK48" s="33" t="n">
        <f aca="false">$E48*MAX(0,(MIN(In_Award_Date+In_PB_Days-1,BK$4)-MAX($F48,BK$3)+1)/BK$5)</f>
        <v>0</v>
      </c>
      <c r="BL48" s="33" t="n">
        <f aca="false">$E48*MAX(0,(MIN(In_Award_Date+In_PB_Days-1,BL$4)-MAX($F48,BL$3)+1)/BL$5)</f>
        <v>0</v>
      </c>
      <c r="BM48" s="33" t="n">
        <f aca="false">$E48*MAX(0,(MIN(In_Award_Date+In_PB_Days-1,BM$4)-MAX($F48,BM$3)+1)/BM$5)</f>
        <v>0</v>
      </c>
      <c r="BN48" s="33" t="n">
        <f aca="false">$E48*MAX(0,(MIN(In_Award_Date+In_PB_Days-1,BN$4)-MAX($F48,BN$3)+1)/BN$5)</f>
        <v>0</v>
      </c>
      <c r="BO48" s="33" t="n">
        <f aca="false">$E48*MAX(0,(MIN(In_Award_Date+In_PB_Days-1,BO$4)-MAX($F48,BO$3)+1)/BO$5)</f>
        <v>0</v>
      </c>
      <c r="BP48" s="33" t="n">
        <f aca="false">$E48*MAX(0,(MIN(In_Award_Date+In_PB_Days-1,BP$4)-MAX($F48,BP$3)+1)/BP$5)</f>
        <v>0</v>
      </c>
      <c r="BQ48" s="33" t="n">
        <f aca="false">$E48*MAX(0,(MIN(In_Award_Date+In_PB_Days-1,BQ$4)-MAX($F48,BQ$3)+1)/BQ$5)</f>
        <v>0</v>
      </c>
      <c r="BR48" s="33" t="n">
        <f aca="false">$E48*MAX(0,(MIN(In_Award_Date+In_PB_Days-1,BR$4)-MAX($F48,BR$3)+1)/BR$5)</f>
        <v>0</v>
      </c>
      <c r="BS48" s="33" t="n">
        <f aca="false">$E48*MAX(0,(MIN(In_Award_Date+In_PB_Days-1,BS$4)-MAX($F48,BS$3)+1)/BS$5)</f>
        <v>0</v>
      </c>
      <c r="BT48" s="33" t="n">
        <f aca="false">$E48*MAX(0,(MIN(In_Award_Date+In_PB_Days-1,BT$4)-MAX($F48,BT$3)+1)/BT$5)</f>
        <v>0</v>
      </c>
      <c r="BU48" s="33" t="n">
        <f aca="false">$E48*MAX(0,(MIN(In_Award_Date+In_PB_Days-1,BU$4)-MAX($F48,BU$3)+1)/BU$5)</f>
        <v>0</v>
      </c>
      <c r="BV48" s="33" t="n">
        <f aca="false">$E48*MAX(0,(MIN(In_Award_Date+In_PB_Days-1,BV$4)-MAX($F48,BV$3)+1)/BV$5)</f>
        <v>0</v>
      </c>
      <c r="BW48" s="33" t="n">
        <f aca="false">$E48*MAX(0,(MIN(In_Award_Date+In_PB_Days-1,BW$4)-MAX($F48,BW$3)+1)/BW$5)</f>
        <v>0</v>
      </c>
      <c r="BX48" s="33" t="n">
        <f aca="false">$E48*MAX(0,(MIN(In_Award_Date+In_PB_Days-1,BX$4)-MAX($F48,BX$3)+1)/BX$5)</f>
        <v>0</v>
      </c>
      <c r="BY48" s="33" t="n">
        <f aca="false">$E48*MAX(0,(MIN(In_Award_Date+In_PB_Days-1,BY$4)-MAX($F48,BY$3)+1)/BY$5)</f>
        <v>0</v>
      </c>
      <c r="BZ48" s="33" t="n">
        <f aca="false">$E48*MAX(0,(MIN(In_Award_Date+In_PB_Days-1,BZ$4)-MAX($F48,BZ$3)+1)/BZ$5)</f>
        <v>0</v>
      </c>
      <c r="CA48" s="33" t="n">
        <f aca="false">$E48*MAX(0,(MIN(In_Award_Date+In_PB_Days-1,CA$4)-MAX($F48,CA$3)+1)/CA$5)</f>
        <v>0</v>
      </c>
      <c r="CB48" s="33" t="n">
        <f aca="false">$E48*MAX(0,(MIN(In_Award_Date+In_PB_Days-1,CB$4)-MAX($F48,CB$3)+1)/CB$5)</f>
        <v>0</v>
      </c>
      <c r="CC48" s="33" t="n">
        <f aca="false">$E48*MAX(0,(MIN(In_Award_Date+In_PB_Days-1,CC$4)-MAX($F48,CC$3)+1)/CC$5)</f>
        <v>0</v>
      </c>
      <c r="CD48" s="33" t="n">
        <f aca="false">$E48*MAX(0,(MIN(In_Award_Date+In_PB_Days-1,CD$4)-MAX($F48,CD$3)+1)/CD$5)</f>
        <v>0</v>
      </c>
      <c r="CE48" s="33" t="n">
        <f aca="false">$E48*MAX(0,(MIN(In_Award_Date+In_PB_Days-1,CE$4)-MAX($F48,CE$3)+1)/CE$5)</f>
        <v>0</v>
      </c>
      <c r="CF48" s="33" t="n">
        <f aca="false">$E48*MAX(0,(MIN(In_Award_Date+In_PB_Days-1,CF$4)-MAX($F48,CF$3)+1)/CF$5)</f>
        <v>0</v>
      </c>
      <c r="CG48" s="33" t="n">
        <f aca="false">$E48*MAX(0,(MIN(In_Award_Date+In_PB_Days-1,CG$4)-MAX($F48,CG$3)+1)/CG$5)</f>
        <v>0</v>
      </c>
      <c r="CH48" s="33" t="n">
        <f aca="false">$E48*MAX(0,(MIN(In_Award_Date+In_PB_Days-1,CH$4)-MAX($F48,CH$3)+1)/CH$5)</f>
        <v>0</v>
      </c>
      <c r="CI48" s="33" t="n">
        <f aca="false">$E48*MAX(0,(MIN(In_Award_Date+In_PB_Days-1,CI$4)-MAX($F48,CI$3)+1)/CI$5)</f>
        <v>0</v>
      </c>
      <c r="CJ48" s="33" t="n">
        <f aca="false">$E48*MAX(0,(MIN(In_Award_Date+In_PB_Days-1,CJ$4)-MAX($F48,CJ$3)+1)/CJ$5)</f>
        <v>0</v>
      </c>
      <c r="CK48" s="33" t="n">
        <f aca="false">$E48*MAX(0,(MIN(In_Award_Date+In_PB_Days-1,CK$4)-MAX($F48,CK$3)+1)/CK$5)</f>
        <v>0</v>
      </c>
      <c r="CL48" s="33" t="n">
        <f aca="false">$E48*MAX(0,(MIN(In_Award_Date+In_PB_Days-1,CL$4)-MAX($F48,CL$3)+1)/CL$5)</f>
        <v>0</v>
      </c>
      <c r="CM48" s="33" t="n">
        <f aca="false">$E48*MAX(0,(MIN(In_Award_Date+In_PB_Days-1,CM$4)-MAX($F48,CM$3)+1)/CM$5)</f>
        <v>0</v>
      </c>
      <c r="CN48" s="33" t="n">
        <f aca="false">$E48*MAX(0,(MIN(In_Award_Date+In_PB_Days-1,CN$4)-MAX($F48,CN$3)+1)/CN$5)</f>
        <v>0</v>
      </c>
      <c r="CO48" s="33" t="n">
        <f aca="false">$E48*MAX(0,(MIN(In_Award_Date+In_PB_Days-1,CO$4)-MAX($F48,CO$3)+1)/CO$5)</f>
        <v>0</v>
      </c>
      <c r="CP48" s="33" t="n">
        <f aca="false">$E48*MAX(0,(MIN(In_Award_Date+In_PB_Days-1,CP$4)-MAX($F48,CP$3)+1)/CP$5)</f>
        <v>0</v>
      </c>
      <c r="CQ48" s="33" t="n">
        <f aca="false">$E48*MAX(0,(MIN(In_Award_Date+In_PB_Days-1,CQ$4)-MAX($F48,CQ$3)+1)/CQ$5)</f>
        <v>0</v>
      </c>
      <c r="CR48" s="33" t="n">
        <f aca="false">$E48*MAX(0,(MIN(In_Award_Date+In_PB_Days-1,CR$4)-MAX($F48,CR$3)+1)/CR$5)</f>
        <v>0</v>
      </c>
      <c r="CS48" s="33" t="n">
        <f aca="false">$E48*MAX(0,(MIN(In_Award_Date+In_PB_Days-1,CS$4)-MAX($F48,CS$3)+1)/CS$5)</f>
        <v>0</v>
      </c>
      <c r="CT48" s="33" t="n">
        <f aca="false">$E48*MAX(0,(MIN(In_Award_Date+In_PB_Days-1,CT$4)-MAX($F48,CT$3)+1)/CT$5)</f>
        <v>0</v>
      </c>
      <c r="CU48" s="33" t="n">
        <f aca="false">$E48*MAX(0,(MIN(In_Award_Date+In_PB_Days-1,CU$4)-MAX($F48,CU$3)+1)/CU$5)</f>
        <v>0</v>
      </c>
      <c r="CV48" s="33" t="n">
        <f aca="false">$E48*MAX(0,(MIN(In_Award_Date+In_PB_Days-1,CV$4)-MAX($F48,CV$3)+1)/CV$5)</f>
        <v>0</v>
      </c>
      <c r="CW48" s="33" t="n">
        <f aca="false">$E48*MAX(0,(MIN(In_Award_Date+In_PB_Days-1,CW$4)-MAX($F48,CW$3)+1)/CW$5)</f>
        <v>0</v>
      </c>
      <c r="CX48" s="33" t="n">
        <f aca="false">$E48*MAX(0,(MIN(In_Award_Date+In_PB_Days-1,CX$4)-MAX($F48,CX$3)+1)/CX$5)</f>
        <v>0</v>
      </c>
      <c r="CY48" s="33" t="n">
        <f aca="false">$E48*MAX(0,(MIN(In_Award_Date+In_PB_Days-1,CY$4)-MAX($F48,CY$3)+1)/CY$5)</f>
        <v>0</v>
      </c>
      <c r="CZ48" s="33" t="n">
        <f aca="false">$E48*MAX(0,(MIN(In_Award_Date+In_PB_Days-1,CZ$4)-MAX($F48,CZ$3)+1)/CZ$5)</f>
        <v>0</v>
      </c>
      <c r="DA48" s="33" t="n">
        <f aca="false">$E48*MAX(0,(MIN(In_Award_Date+In_PB_Days-1,DA$4)-MAX($F48,DA$3)+1)/DA$5)</f>
        <v>0</v>
      </c>
      <c r="DB48" s="33" t="n">
        <f aca="false">$E48*MAX(0,(MIN(In_Award_Date+In_PB_Days-1,DB$4)-MAX($F48,DB$3)+1)/DB$5)</f>
        <v>0</v>
      </c>
      <c r="DC48" s="33" t="n">
        <f aca="false">$E48*MAX(0,(MIN(In_Award_Date+In_PB_Days-1,DC$4)-MAX($F48,DC$3)+1)/DC$5)</f>
        <v>0</v>
      </c>
      <c r="DD48" s="33" t="n">
        <f aca="false">$E48*MAX(0,(MIN(In_Award_Date+In_PB_Days-1,DD$4)-MAX($F48,DD$3)+1)/DD$5)</f>
        <v>0</v>
      </c>
      <c r="DE48" s="33" t="n">
        <f aca="false">$E48*MAX(0,(MIN(In_Award_Date+In_PB_Days-1,DE$4)-MAX($F48,DE$3)+1)/DE$5)</f>
        <v>0</v>
      </c>
      <c r="DF48" s="33" t="n">
        <f aca="false">$E48*MAX(0,(MIN(In_Award_Date+In_PB_Days-1,DF$4)-MAX($F48,DF$3)+1)/DF$5)</f>
        <v>0</v>
      </c>
      <c r="DG48" s="33" t="n">
        <f aca="false">$E48*MAX(0,(MIN(In_Award_Date+In_PB_Days-1,DG$4)-MAX($F48,DG$3)+1)/DG$5)</f>
        <v>0</v>
      </c>
      <c r="DH48" s="33" t="n">
        <f aca="false">$E48*MAX(0,(MIN(In_Award_Date+In_PB_Days-1,DH$4)-MAX($F48,DH$3)+1)/DH$5)</f>
        <v>0</v>
      </c>
      <c r="DI48" s="33" t="n">
        <f aca="false">$E48*MAX(0,(MIN(In_Award_Date+In_PB_Days-1,DI$4)-MAX($F48,DI$3)+1)/DI$5)</f>
        <v>0</v>
      </c>
      <c r="DJ48" s="33" t="n">
        <f aca="false">$E48*MAX(0,(MIN(In_Award_Date+In_PB_Days-1,DJ$4)-MAX($F48,DJ$3)+1)/DJ$5)</f>
        <v>0</v>
      </c>
      <c r="DK48" s="33" t="n">
        <f aca="false">$E48*MAX(0,(MIN(In_Award_Date+In_PB_Days-1,DK$4)-MAX($F48,DK$3)+1)/DK$5)</f>
        <v>0</v>
      </c>
      <c r="DL48" s="33" t="n">
        <f aca="false">$E48*MAX(0,(MIN(In_Award_Date+In_PB_Days-1,DL$4)-MAX($F48,DL$3)+1)/DL$5)</f>
        <v>0</v>
      </c>
      <c r="DM48" s="33" t="n">
        <f aca="false">$E48*MAX(0,(MIN(In_Award_Date+In_PB_Days-1,DM$4)-MAX($F48,DM$3)+1)/DM$5)</f>
        <v>0</v>
      </c>
      <c r="DN48" s="33" t="n">
        <f aca="false">$E48*MAX(0,(MIN(In_Award_Date+In_PB_Days-1,DN$4)-MAX($F48,DN$3)+1)/DN$5)</f>
        <v>0</v>
      </c>
      <c r="DO48" s="33" t="n">
        <f aca="false">$E48*MAX(0,(MIN(In_Award_Date+In_PB_Days-1,DO$4)-MAX($F48,DO$3)+1)/DO$5)</f>
        <v>0</v>
      </c>
      <c r="DP48" s="33" t="n">
        <f aca="false">$E48*MAX(0,(MIN(In_Award_Date+In_PB_Days-1,DP$4)-MAX($F48,DP$3)+1)/DP$5)</f>
        <v>0</v>
      </c>
      <c r="DQ48" s="33" t="n">
        <f aca="false">$E48*MAX(0,(MIN(In_Award_Date+In_PB_Days-1,DQ$4)-MAX($F48,DQ$3)+1)/DQ$5)</f>
        <v>0</v>
      </c>
      <c r="DR48" s="33" t="n">
        <f aca="false">$E48*MAX(0,(MIN(In_Award_Date+In_PB_Days-1,DR$4)-MAX($F48,DR$3)+1)/DR$5)</f>
        <v>0</v>
      </c>
      <c r="DS48" s="33" t="n">
        <f aca="false">$E48*MAX(0,(MIN(In_Award_Date+In_PB_Days-1,DS$4)-MAX($F48,DS$3)+1)/DS$5)</f>
        <v>0</v>
      </c>
      <c r="DT48" s="33" t="n">
        <f aca="false">$E48*MAX(0,(MIN(In_Award_Date+In_PB_Days-1,DT$4)-MAX($F48,DT$3)+1)/DT$5)</f>
        <v>0</v>
      </c>
      <c r="DU48" s="33" t="n">
        <f aca="false">$E48*MAX(0,(MIN(In_Award_Date+In_PB_Days-1,DU$4)-MAX($F48,DU$3)+1)/DU$5)</f>
        <v>0</v>
      </c>
      <c r="DV48" s="33" t="n">
        <f aca="false">$E48*MAX(0,(MIN(In_Award_Date+In_PB_Days-1,DV$4)-MAX($F48,DV$3)+1)/DV$5)</f>
        <v>0</v>
      </c>
      <c r="DW48" s="33" t="n">
        <f aca="false">$E48*MAX(0,(MIN(In_Award_Date+In_PB_Days-1,DW$4)-MAX($F48,DW$3)+1)/DW$5)</f>
        <v>0</v>
      </c>
      <c r="DX48" s="33" t="n">
        <f aca="false">$E48*MAX(0,(MIN(In_Award_Date+In_PB_Days-1,DX$4)-MAX($F48,DX$3)+1)/DX$5)</f>
        <v>0</v>
      </c>
      <c r="DY48" s="33" t="n">
        <f aca="false">$E48*MAX(0,(MIN(In_Award_Date+In_PB_Days-1,DY$4)-MAX($F48,DY$3)+1)/DY$5)</f>
        <v>0</v>
      </c>
      <c r="DZ48" s="33" t="n">
        <f aca="false">$E48*MAX(0,(MIN(In_Award_Date+In_PB_Days-1,DZ$4)-MAX($F48,DZ$3)+1)/DZ$5)</f>
        <v>0</v>
      </c>
      <c r="EA48" s="33" t="n">
        <f aca="false">$E48*MAX(0,(MIN(In_Award_Date+In_PB_Days-1,EA$4)-MAX($F48,EA$3)+1)/EA$5)</f>
        <v>0</v>
      </c>
      <c r="EB48" s="33" t="n">
        <f aca="false">$E48*MAX(0,(MIN(In_Award_Date+In_PB_Days-1,EB$4)-MAX($F48,EB$3)+1)/EB$5)</f>
        <v>0</v>
      </c>
      <c r="EC48" s="33" t="n">
        <f aca="false">$E48*MAX(0,(MIN(In_Award_Date+In_PB_Days-1,EC$4)-MAX($F48,EC$3)+1)/EC$5)</f>
        <v>0</v>
      </c>
      <c r="ED48" s="33" t="n">
        <f aca="false">$E48*MAX(0,(MIN(In_Award_Date+In_PB_Days-1,ED$4)-MAX($F48,ED$3)+1)/ED$5)</f>
        <v>0</v>
      </c>
      <c r="EE48" s="33" t="n">
        <f aca="false">$E48*MAX(0,(MIN(In_Award_Date+In_PB_Days-1,EE$4)-MAX($F48,EE$3)+1)/EE$5)</f>
        <v>0</v>
      </c>
      <c r="EF48" s="33" t="n">
        <f aca="false">$E48*MAX(0,(MIN(In_Award_Date+In_PB_Days-1,EF$4)-MAX($F48,EF$3)+1)/EF$5)</f>
        <v>0</v>
      </c>
      <c r="EG48" s="33" t="n">
        <f aca="false">$E48*MAX(0,(MIN(In_Award_Date+In_PB_Days-1,EG$4)-MAX($F48,EG$3)+1)/EG$5)</f>
        <v>0</v>
      </c>
      <c r="EH48" s="33" t="n">
        <f aca="false">$E48*MAX(0,(MIN(In_Award_Date+In_PB_Days-1,EH$4)-MAX($F48,EH$3)+1)/EH$5)</f>
        <v>0</v>
      </c>
      <c r="EI48" s="33" t="n">
        <f aca="false">$E48*MAX(0,(MIN(In_Award_Date+In_PB_Days-1,EI$4)-MAX($F48,EI$3)+1)/EI$5)</f>
        <v>0</v>
      </c>
      <c r="EJ48" s="33" t="n">
        <f aca="false">$E48*MAX(0,(MIN(In_Award_Date+In_PB_Days-1,EJ$4)-MAX($F48,EJ$3)+1)/EJ$5)</f>
        <v>0</v>
      </c>
      <c r="EK48" s="33" t="n">
        <f aca="false">$E48*MAX(0,(MIN(In_Award_Date+In_PB_Days-1,EK$4)-MAX($F48,EK$3)+1)/EK$5)</f>
        <v>0</v>
      </c>
      <c r="EL48" s="33" t="n">
        <f aca="false">$E48*MAX(0,(MIN(In_Award_Date+In_PB_Days-1,EL$4)-MAX($F48,EL$3)+1)/EL$5)</f>
        <v>0</v>
      </c>
      <c r="EM48" s="33" t="n">
        <f aca="false">$E48*MAX(0,(MIN(In_Award_Date+In_PB_Days-1,EM$4)-MAX($F48,EM$3)+1)/EM$5)</f>
        <v>0</v>
      </c>
      <c r="EN48" s="33" t="n">
        <f aca="false">$E48*MAX(0,(MIN(In_Award_Date+In_PB_Days-1,EN$4)-MAX($F48,EN$3)+1)/EN$5)</f>
        <v>0</v>
      </c>
      <c r="EO48" s="33" t="n">
        <f aca="false">$E48*MAX(0,(MIN(In_Award_Date+In_PB_Days-1,EO$4)-MAX($F48,EO$3)+1)/EO$5)</f>
        <v>0</v>
      </c>
      <c r="EP48" s="33" t="n">
        <f aca="false">$E48*MAX(0,(MIN(In_Award_Date+In_PB_Days-1,EP$4)-MAX($F48,EP$3)+1)/EP$5)</f>
        <v>0</v>
      </c>
      <c r="EQ48" s="33" t="n">
        <f aca="false">$E48*MAX(0,(MIN(In_Award_Date+In_PB_Days-1,EQ$4)-MAX($F48,EQ$3)+1)/EQ$5)</f>
        <v>0</v>
      </c>
      <c r="ER48" s="33" t="n">
        <f aca="false">$E48*MAX(0,(MIN(In_Award_Date+In_PB_Days-1,ER$4)-MAX($F48,ER$3)+1)/ER$5)</f>
        <v>0</v>
      </c>
      <c r="ES48" s="33" t="n">
        <f aca="false">$E48*MAX(0,(MIN(In_Award_Date+In_PB_Days-1,ES$4)-MAX($F48,ES$3)+1)/ES$5)</f>
        <v>0</v>
      </c>
      <c r="ET48" s="3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510</v>
      </c>
      <c r="D49" s="11" t="s">
        <v>247</v>
      </c>
      <c r="E49" s="33" t="n">
        <f aca="false">In_PB_Rate*$E35*$E45*Thousand/In_FX</f>
        <v>6993.56164383562</v>
      </c>
      <c r="F49" s="44" t="n">
        <f aca="false">In_Award_Date+In_PB_Days</f>
        <v>46384</v>
      </c>
      <c r="J49" s="33" t="n">
        <f aca="false">$E49*MAX(0,(MIN(In_PB_Release,J$4)-MAX($F49,J$3)+1)/J$5)</f>
        <v>0</v>
      </c>
      <c r="K49" s="33" t="n">
        <f aca="false">$E49*MAX(0,(MIN(In_PB_Release,K$4)-MAX($F49,K$3)+1)/K$5)</f>
        <v>304.06789755807</v>
      </c>
      <c r="L49" s="33" t="n">
        <f aca="false">$E49*MAX(0,(MIN(In_PB_Release,L$4)-MAX($F49,L$3)+1)/L$5)</f>
        <v>6993.56164383562</v>
      </c>
      <c r="M49" s="33" t="n">
        <f aca="false">$E49*MAX(0,(MIN(In_PB_Release,M$4)-MAX($F49,M$3)+1)/M$5)</f>
        <v>6993.56164383562</v>
      </c>
      <c r="N49" s="33" t="n">
        <f aca="false">$E49*MAX(0,(MIN(In_PB_Release,N$4)-MAX($F49,N$3)+1)/N$5)</f>
        <v>6993.56164383562</v>
      </c>
      <c r="O49" s="33" t="n">
        <f aca="false">$E49*MAX(0,(MIN(In_PB_Release,O$4)-MAX($F49,O$3)+1)/O$5)</f>
        <v>6993.56164383562</v>
      </c>
      <c r="P49" s="33" t="n">
        <f aca="false">$E49*MAX(0,(MIN(In_PB_Release,P$4)-MAX($F49,P$3)+1)/P$5)</f>
        <v>6993.56164383562</v>
      </c>
      <c r="Q49" s="33" t="n">
        <f aca="false">$E49*MAX(0,(MIN(In_PB_Release,Q$4)-MAX($F49,Q$3)+1)/Q$5)</f>
        <v>6993.56164383562</v>
      </c>
      <c r="R49" s="33" t="n">
        <f aca="false">$E49*MAX(0,(MIN(In_PB_Release,R$4)-MAX($F49,R$3)+1)/R$5)</f>
        <v>6993.56164383562</v>
      </c>
      <c r="S49" s="33" t="n">
        <f aca="false">$E49*MAX(0,(MIN(In_PB_Release,S$4)-MAX($F49,S$3)+1)/S$5)</f>
        <v>6993.56164383562</v>
      </c>
      <c r="T49" s="33" t="n">
        <f aca="false">$E49*MAX(0,(MIN(In_PB_Release,T$4)-MAX($F49,T$3)+1)/T$5)</f>
        <v>6993.56164383562</v>
      </c>
      <c r="U49" s="33" t="n">
        <f aca="false">$E49*MAX(0,(MIN(In_PB_Release,U$4)-MAX($F49,U$3)+1)/U$5)</f>
        <v>6993.56164383562</v>
      </c>
      <c r="V49" s="33" t="n">
        <f aca="false">$E49*MAX(0,(MIN(In_PB_Release,V$4)-MAX($F49,V$3)+1)/V$5)</f>
        <v>6993.56164383562</v>
      </c>
      <c r="W49" s="33" t="n">
        <f aca="false">$E49*MAX(0,(MIN(In_PB_Release,W$4)-MAX($F49,W$3)+1)/W$5)</f>
        <v>6993.56164383562</v>
      </c>
      <c r="X49" s="33" t="n">
        <f aca="false">$E49*MAX(0,(MIN(In_PB_Release,X$4)-MAX($F49,X$3)+1)/X$5)</f>
        <v>6993.56164383562</v>
      </c>
      <c r="Y49" s="33" t="n">
        <f aca="false">$E49*MAX(0,(MIN(In_PB_Release,Y$4)-MAX($F49,Y$3)+1)/Y$5)</f>
        <v>6993.56164383562</v>
      </c>
      <c r="Z49" s="33" t="n">
        <f aca="false">$E49*MAX(0,(MIN(In_PB_Release,Z$4)-MAX($F49,Z$3)+1)/Z$5)</f>
        <v>6993.56164383562</v>
      </c>
      <c r="AA49" s="33" t="n">
        <f aca="false">$E49*MAX(0,(MIN(In_PB_Release,AA$4)-MAX($F49,AA$3)+1)/AA$5)</f>
        <v>6993.56164383562</v>
      </c>
      <c r="AB49" s="33" t="n">
        <f aca="false">$E49*MAX(0,(MIN(In_PB_Release,AB$4)-MAX($F49,AB$3)+1)/AB$5)</f>
        <v>6993.56164383562</v>
      </c>
      <c r="AC49" s="33" t="n">
        <f aca="false">$E49*MAX(0,(MIN(In_PB_Release,AC$4)-MAX($F49,AC$3)+1)/AC$5)</f>
        <v>6993.56164383562</v>
      </c>
      <c r="AD49" s="33" t="n">
        <f aca="false">$E49*MAX(0,(MIN(In_PB_Release,AD$4)-MAX($F49,AD$3)+1)/AD$5)</f>
        <v>6993.56164383562</v>
      </c>
      <c r="AE49" s="33" t="n">
        <f aca="false">$E49*MAX(0,(MIN(In_PB_Release,AE$4)-MAX($F49,AE$3)+1)/AE$5)</f>
        <v>6993.56164383562</v>
      </c>
      <c r="AF49" s="33" t="n">
        <f aca="false">$E49*MAX(0,(MIN(In_PB_Release,AF$4)-MAX($F49,AF$3)+1)/AF$5)</f>
        <v>6993.56164383562</v>
      </c>
      <c r="AG49" s="33" t="n">
        <f aca="false">$E49*MAX(0,(MIN(In_PB_Release,AG$4)-MAX($F49,AG$3)+1)/AG$5)</f>
        <v>6993.56164383562</v>
      </c>
      <c r="AH49" s="33" t="n">
        <f aca="false">$E49*MAX(0,(MIN(In_PB_Release,AH$4)-MAX($F49,AH$3)+1)/AH$5)</f>
        <v>6993.56164383562</v>
      </c>
      <c r="AI49" s="33" t="n">
        <f aca="false">$E49*MAX(0,(MIN(In_PB_Release,AI$4)-MAX($F49,AI$3)+1)/AI$5)</f>
        <v>6993.56164383562</v>
      </c>
      <c r="AJ49" s="33" t="n">
        <f aca="false">$E49*MAX(0,(MIN(In_PB_Release,AJ$4)-MAX($F49,AJ$3)+1)/AJ$5)</f>
        <v>6993.56164383562</v>
      </c>
      <c r="AK49" s="33" t="n">
        <f aca="false">$E49*MAX(0,(MIN(In_PB_Release,AK$4)-MAX($F49,AK$3)+1)/AK$5)</f>
        <v>0</v>
      </c>
      <c r="AL49" s="33" t="n">
        <f aca="false">$E49*MAX(0,(MIN(In_PB_Release,AL$4)-MAX($F49,AL$3)+1)/AL$5)</f>
        <v>0</v>
      </c>
      <c r="AM49" s="33" t="n">
        <f aca="false">$E49*MAX(0,(MIN(In_PB_Release,AM$4)-MAX($F49,AM$3)+1)/AM$5)</f>
        <v>0</v>
      </c>
      <c r="AN49" s="33" t="n">
        <f aca="false">$E49*MAX(0,(MIN(In_PB_Release,AN$4)-MAX($F49,AN$3)+1)/AN$5)</f>
        <v>0</v>
      </c>
      <c r="AO49" s="33" t="n">
        <f aca="false">$E49*MAX(0,(MIN(In_PB_Release,AO$4)-MAX($F49,AO$3)+1)/AO$5)</f>
        <v>0</v>
      </c>
      <c r="AP49" s="33" t="n">
        <f aca="false">$E49*MAX(0,(MIN(In_PB_Release,AP$4)-MAX($F49,AP$3)+1)/AP$5)</f>
        <v>0</v>
      </c>
      <c r="AQ49" s="33" t="n">
        <f aca="false">$E49*MAX(0,(MIN(In_PB_Release,AQ$4)-MAX($F49,AQ$3)+1)/AQ$5)</f>
        <v>0</v>
      </c>
      <c r="AR49" s="33" t="n">
        <f aca="false">$E49*MAX(0,(MIN(In_PB_Release,AR$4)-MAX($F49,AR$3)+1)/AR$5)</f>
        <v>0</v>
      </c>
      <c r="AS49" s="33" t="n">
        <f aca="false">$E49*MAX(0,(MIN(In_PB_Release,AS$4)-MAX($F49,AS$3)+1)/AS$5)</f>
        <v>0</v>
      </c>
      <c r="AT49" s="33" t="n">
        <f aca="false">$E49*MAX(0,(MIN(In_PB_Release,AT$4)-MAX($F49,AT$3)+1)/AT$5)</f>
        <v>0</v>
      </c>
      <c r="AU49" s="33" t="n">
        <f aca="false">$E49*MAX(0,(MIN(In_PB_Release,AU$4)-MAX($F49,AU$3)+1)/AU$5)</f>
        <v>0</v>
      </c>
      <c r="AV49" s="33" t="n">
        <f aca="false">$E49*MAX(0,(MIN(In_PB_Release,AV$4)-MAX($F49,AV$3)+1)/AV$5)</f>
        <v>0</v>
      </c>
      <c r="AW49" s="33" t="n">
        <f aca="false">$E49*MAX(0,(MIN(In_PB_Release,AW$4)-MAX($F49,AW$3)+1)/AW$5)</f>
        <v>0</v>
      </c>
      <c r="AX49" s="33" t="n">
        <f aca="false">$E49*MAX(0,(MIN(In_PB_Release,AX$4)-MAX($F49,AX$3)+1)/AX$5)</f>
        <v>0</v>
      </c>
      <c r="AY49" s="33" t="n">
        <f aca="false">$E49*MAX(0,(MIN(In_PB_Release,AY$4)-MAX($F49,AY$3)+1)/AY$5)</f>
        <v>0</v>
      </c>
      <c r="AZ49" s="33" t="n">
        <f aca="false">$E49*MAX(0,(MIN(In_PB_Release,AZ$4)-MAX($F49,AZ$3)+1)/AZ$5)</f>
        <v>0</v>
      </c>
      <c r="BA49" s="33" t="n">
        <f aca="false">$E49*MAX(0,(MIN(In_PB_Release,BA$4)-MAX($F49,BA$3)+1)/BA$5)</f>
        <v>0</v>
      </c>
      <c r="BB49" s="33" t="n">
        <f aca="false">$E49*MAX(0,(MIN(In_PB_Release,BB$4)-MAX($F49,BB$3)+1)/BB$5)</f>
        <v>0</v>
      </c>
      <c r="BC49" s="33" t="n">
        <f aca="false">$E49*MAX(0,(MIN(In_PB_Release,BC$4)-MAX($F49,BC$3)+1)/BC$5)</f>
        <v>0</v>
      </c>
      <c r="BD49" s="33" t="n">
        <f aca="false">$E49*MAX(0,(MIN(In_PB_Release,BD$4)-MAX($F49,BD$3)+1)/BD$5)</f>
        <v>0</v>
      </c>
      <c r="BE49" s="33" t="n">
        <f aca="false">$E49*MAX(0,(MIN(In_PB_Release,BE$4)-MAX($F49,BE$3)+1)/BE$5)</f>
        <v>0</v>
      </c>
      <c r="BF49" s="33" t="n">
        <f aca="false">$E49*MAX(0,(MIN(In_PB_Release,BF$4)-MAX($F49,BF$3)+1)/BF$5)</f>
        <v>0</v>
      </c>
      <c r="BG49" s="33" t="n">
        <f aca="false">$E49*MAX(0,(MIN(In_PB_Release,BG$4)-MAX($F49,BG$3)+1)/BG$5)</f>
        <v>0</v>
      </c>
      <c r="BH49" s="33" t="n">
        <f aca="false">$E49*MAX(0,(MIN(In_PB_Release,BH$4)-MAX($F49,BH$3)+1)/BH$5)</f>
        <v>0</v>
      </c>
      <c r="BI49" s="33" t="n">
        <f aca="false">$E49*MAX(0,(MIN(In_PB_Release,BI$4)-MAX($F49,BI$3)+1)/BI$5)</f>
        <v>0</v>
      </c>
      <c r="BJ49" s="33" t="n">
        <f aca="false">$E49*MAX(0,(MIN(In_PB_Release,BJ$4)-MAX($F49,BJ$3)+1)/BJ$5)</f>
        <v>0</v>
      </c>
      <c r="BK49" s="33" t="n">
        <f aca="false">$E49*MAX(0,(MIN(In_PB_Release,BK$4)-MAX($F49,BK$3)+1)/BK$5)</f>
        <v>0</v>
      </c>
      <c r="BL49" s="33" t="n">
        <f aca="false">$E49*MAX(0,(MIN(In_PB_Release,BL$4)-MAX($F49,BL$3)+1)/BL$5)</f>
        <v>0</v>
      </c>
      <c r="BM49" s="33" t="n">
        <f aca="false">$E49*MAX(0,(MIN(In_PB_Release,BM$4)-MAX($F49,BM$3)+1)/BM$5)</f>
        <v>0</v>
      </c>
      <c r="BN49" s="33" t="n">
        <f aca="false">$E49*MAX(0,(MIN(In_PB_Release,BN$4)-MAX($F49,BN$3)+1)/BN$5)</f>
        <v>0</v>
      </c>
      <c r="BO49" s="33" t="n">
        <f aca="false">$E49*MAX(0,(MIN(In_PB_Release,BO$4)-MAX($F49,BO$3)+1)/BO$5)</f>
        <v>0</v>
      </c>
      <c r="BP49" s="33" t="n">
        <f aca="false">$E49*MAX(0,(MIN(In_PB_Release,BP$4)-MAX($F49,BP$3)+1)/BP$5)</f>
        <v>0</v>
      </c>
      <c r="BQ49" s="33" t="n">
        <f aca="false">$E49*MAX(0,(MIN(In_PB_Release,BQ$4)-MAX($F49,BQ$3)+1)/BQ$5)</f>
        <v>0</v>
      </c>
      <c r="BR49" s="33" t="n">
        <f aca="false">$E49*MAX(0,(MIN(In_PB_Release,BR$4)-MAX($F49,BR$3)+1)/BR$5)</f>
        <v>0</v>
      </c>
      <c r="BS49" s="33" t="n">
        <f aca="false">$E49*MAX(0,(MIN(In_PB_Release,BS$4)-MAX($F49,BS$3)+1)/BS$5)</f>
        <v>0</v>
      </c>
      <c r="BT49" s="33" t="n">
        <f aca="false">$E49*MAX(0,(MIN(In_PB_Release,BT$4)-MAX($F49,BT$3)+1)/BT$5)</f>
        <v>0</v>
      </c>
      <c r="BU49" s="33" t="n">
        <f aca="false">$E49*MAX(0,(MIN(In_PB_Release,BU$4)-MAX($F49,BU$3)+1)/BU$5)</f>
        <v>0</v>
      </c>
      <c r="BV49" s="33" t="n">
        <f aca="false">$E49*MAX(0,(MIN(In_PB_Release,BV$4)-MAX($F49,BV$3)+1)/BV$5)</f>
        <v>0</v>
      </c>
      <c r="BW49" s="33" t="n">
        <f aca="false">$E49*MAX(0,(MIN(In_PB_Release,BW$4)-MAX($F49,BW$3)+1)/BW$5)</f>
        <v>0</v>
      </c>
      <c r="BX49" s="33" t="n">
        <f aca="false">$E49*MAX(0,(MIN(In_PB_Release,BX$4)-MAX($F49,BX$3)+1)/BX$5)</f>
        <v>0</v>
      </c>
      <c r="BY49" s="33" t="n">
        <f aca="false">$E49*MAX(0,(MIN(In_PB_Release,BY$4)-MAX($F49,BY$3)+1)/BY$5)</f>
        <v>0</v>
      </c>
      <c r="BZ49" s="33" t="n">
        <f aca="false">$E49*MAX(0,(MIN(In_PB_Release,BZ$4)-MAX($F49,BZ$3)+1)/BZ$5)</f>
        <v>0</v>
      </c>
      <c r="CA49" s="33" t="n">
        <f aca="false">$E49*MAX(0,(MIN(In_PB_Release,CA$4)-MAX($F49,CA$3)+1)/CA$5)</f>
        <v>0</v>
      </c>
      <c r="CB49" s="33" t="n">
        <f aca="false">$E49*MAX(0,(MIN(In_PB_Release,CB$4)-MAX($F49,CB$3)+1)/CB$5)</f>
        <v>0</v>
      </c>
      <c r="CC49" s="33" t="n">
        <f aca="false">$E49*MAX(0,(MIN(In_PB_Release,CC$4)-MAX($F49,CC$3)+1)/CC$5)</f>
        <v>0</v>
      </c>
      <c r="CD49" s="33" t="n">
        <f aca="false">$E49*MAX(0,(MIN(In_PB_Release,CD$4)-MAX($F49,CD$3)+1)/CD$5)</f>
        <v>0</v>
      </c>
      <c r="CE49" s="33" t="n">
        <f aca="false">$E49*MAX(0,(MIN(In_PB_Release,CE$4)-MAX($F49,CE$3)+1)/CE$5)</f>
        <v>0</v>
      </c>
      <c r="CF49" s="33" t="n">
        <f aca="false">$E49*MAX(0,(MIN(In_PB_Release,CF$4)-MAX($F49,CF$3)+1)/CF$5)</f>
        <v>0</v>
      </c>
      <c r="CG49" s="33" t="n">
        <f aca="false">$E49*MAX(0,(MIN(In_PB_Release,CG$4)-MAX($F49,CG$3)+1)/CG$5)</f>
        <v>0</v>
      </c>
      <c r="CH49" s="33" t="n">
        <f aca="false">$E49*MAX(0,(MIN(In_PB_Release,CH$4)-MAX($F49,CH$3)+1)/CH$5)</f>
        <v>0</v>
      </c>
      <c r="CI49" s="33" t="n">
        <f aca="false">$E49*MAX(0,(MIN(In_PB_Release,CI$4)-MAX($F49,CI$3)+1)/CI$5)</f>
        <v>0</v>
      </c>
      <c r="CJ49" s="33" t="n">
        <f aca="false">$E49*MAX(0,(MIN(In_PB_Release,CJ$4)-MAX($F49,CJ$3)+1)/CJ$5)</f>
        <v>0</v>
      </c>
      <c r="CK49" s="33" t="n">
        <f aca="false">$E49*MAX(0,(MIN(In_PB_Release,CK$4)-MAX($F49,CK$3)+1)/CK$5)</f>
        <v>0</v>
      </c>
      <c r="CL49" s="33" t="n">
        <f aca="false">$E49*MAX(0,(MIN(In_PB_Release,CL$4)-MAX($F49,CL$3)+1)/CL$5)</f>
        <v>0</v>
      </c>
      <c r="CM49" s="33" t="n">
        <f aca="false">$E49*MAX(0,(MIN(In_PB_Release,CM$4)-MAX($F49,CM$3)+1)/CM$5)</f>
        <v>0</v>
      </c>
      <c r="CN49" s="33" t="n">
        <f aca="false">$E49*MAX(0,(MIN(In_PB_Release,CN$4)-MAX($F49,CN$3)+1)/CN$5)</f>
        <v>0</v>
      </c>
      <c r="CO49" s="33" t="n">
        <f aca="false">$E49*MAX(0,(MIN(In_PB_Release,CO$4)-MAX($F49,CO$3)+1)/CO$5)</f>
        <v>0</v>
      </c>
      <c r="CP49" s="33" t="n">
        <f aca="false">$E49*MAX(0,(MIN(In_PB_Release,CP$4)-MAX($F49,CP$3)+1)/CP$5)</f>
        <v>0</v>
      </c>
      <c r="CQ49" s="33" t="n">
        <f aca="false">$E49*MAX(0,(MIN(In_PB_Release,CQ$4)-MAX($F49,CQ$3)+1)/CQ$5)</f>
        <v>0</v>
      </c>
      <c r="CR49" s="33" t="n">
        <f aca="false">$E49*MAX(0,(MIN(In_PB_Release,CR$4)-MAX($F49,CR$3)+1)/CR$5)</f>
        <v>0</v>
      </c>
      <c r="CS49" s="33" t="n">
        <f aca="false">$E49*MAX(0,(MIN(In_PB_Release,CS$4)-MAX($F49,CS$3)+1)/CS$5)</f>
        <v>0</v>
      </c>
      <c r="CT49" s="33" t="n">
        <f aca="false">$E49*MAX(0,(MIN(In_PB_Release,CT$4)-MAX($F49,CT$3)+1)/CT$5)</f>
        <v>0</v>
      </c>
      <c r="CU49" s="33" t="n">
        <f aca="false">$E49*MAX(0,(MIN(In_PB_Release,CU$4)-MAX($F49,CU$3)+1)/CU$5)</f>
        <v>0</v>
      </c>
      <c r="CV49" s="33" t="n">
        <f aca="false">$E49*MAX(0,(MIN(In_PB_Release,CV$4)-MAX($F49,CV$3)+1)/CV$5)</f>
        <v>0</v>
      </c>
      <c r="CW49" s="33" t="n">
        <f aca="false">$E49*MAX(0,(MIN(In_PB_Release,CW$4)-MAX($F49,CW$3)+1)/CW$5)</f>
        <v>0</v>
      </c>
      <c r="CX49" s="33" t="n">
        <f aca="false">$E49*MAX(0,(MIN(In_PB_Release,CX$4)-MAX($F49,CX$3)+1)/CX$5)</f>
        <v>0</v>
      </c>
      <c r="CY49" s="33" t="n">
        <f aca="false">$E49*MAX(0,(MIN(In_PB_Release,CY$4)-MAX($F49,CY$3)+1)/CY$5)</f>
        <v>0</v>
      </c>
      <c r="CZ49" s="33" t="n">
        <f aca="false">$E49*MAX(0,(MIN(In_PB_Release,CZ$4)-MAX($F49,CZ$3)+1)/CZ$5)</f>
        <v>0</v>
      </c>
      <c r="DA49" s="33" t="n">
        <f aca="false">$E49*MAX(0,(MIN(In_PB_Release,DA$4)-MAX($F49,DA$3)+1)/DA$5)</f>
        <v>0</v>
      </c>
      <c r="DB49" s="33" t="n">
        <f aca="false">$E49*MAX(0,(MIN(In_PB_Release,DB$4)-MAX($F49,DB$3)+1)/DB$5)</f>
        <v>0</v>
      </c>
      <c r="DC49" s="33" t="n">
        <f aca="false">$E49*MAX(0,(MIN(In_PB_Release,DC$4)-MAX($F49,DC$3)+1)/DC$5)</f>
        <v>0</v>
      </c>
      <c r="DD49" s="33" t="n">
        <f aca="false">$E49*MAX(0,(MIN(In_PB_Release,DD$4)-MAX($F49,DD$3)+1)/DD$5)</f>
        <v>0</v>
      </c>
      <c r="DE49" s="33" t="n">
        <f aca="false">$E49*MAX(0,(MIN(In_PB_Release,DE$4)-MAX($F49,DE$3)+1)/DE$5)</f>
        <v>0</v>
      </c>
      <c r="DF49" s="33" t="n">
        <f aca="false">$E49*MAX(0,(MIN(In_PB_Release,DF$4)-MAX($F49,DF$3)+1)/DF$5)</f>
        <v>0</v>
      </c>
      <c r="DG49" s="33" t="n">
        <f aca="false">$E49*MAX(0,(MIN(In_PB_Release,DG$4)-MAX($F49,DG$3)+1)/DG$5)</f>
        <v>0</v>
      </c>
      <c r="DH49" s="33" t="n">
        <f aca="false">$E49*MAX(0,(MIN(In_PB_Release,DH$4)-MAX($F49,DH$3)+1)/DH$5)</f>
        <v>0</v>
      </c>
      <c r="DI49" s="33" t="n">
        <f aca="false">$E49*MAX(0,(MIN(In_PB_Release,DI$4)-MAX($F49,DI$3)+1)/DI$5)</f>
        <v>0</v>
      </c>
      <c r="DJ49" s="33" t="n">
        <f aca="false">$E49*MAX(0,(MIN(In_PB_Release,DJ$4)-MAX($F49,DJ$3)+1)/DJ$5)</f>
        <v>0</v>
      </c>
      <c r="DK49" s="33" t="n">
        <f aca="false">$E49*MAX(0,(MIN(In_PB_Release,DK$4)-MAX($F49,DK$3)+1)/DK$5)</f>
        <v>0</v>
      </c>
      <c r="DL49" s="33" t="n">
        <f aca="false">$E49*MAX(0,(MIN(In_PB_Release,DL$4)-MAX($F49,DL$3)+1)/DL$5)</f>
        <v>0</v>
      </c>
      <c r="DM49" s="33" t="n">
        <f aca="false">$E49*MAX(0,(MIN(In_PB_Release,DM$4)-MAX($F49,DM$3)+1)/DM$5)</f>
        <v>0</v>
      </c>
      <c r="DN49" s="33" t="n">
        <f aca="false">$E49*MAX(0,(MIN(In_PB_Release,DN$4)-MAX($F49,DN$3)+1)/DN$5)</f>
        <v>0</v>
      </c>
      <c r="DO49" s="33" t="n">
        <f aca="false">$E49*MAX(0,(MIN(In_PB_Release,DO$4)-MAX($F49,DO$3)+1)/DO$5)</f>
        <v>0</v>
      </c>
      <c r="DP49" s="33" t="n">
        <f aca="false">$E49*MAX(0,(MIN(In_PB_Release,DP$4)-MAX($F49,DP$3)+1)/DP$5)</f>
        <v>0</v>
      </c>
      <c r="DQ49" s="33" t="n">
        <f aca="false">$E49*MAX(0,(MIN(In_PB_Release,DQ$4)-MAX($F49,DQ$3)+1)/DQ$5)</f>
        <v>0</v>
      </c>
      <c r="DR49" s="33" t="n">
        <f aca="false">$E49*MAX(0,(MIN(In_PB_Release,DR$4)-MAX($F49,DR$3)+1)/DR$5)</f>
        <v>0</v>
      </c>
      <c r="DS49" s="33" t="n">
        <f aca="false">$E49*MAX(0,(MIN(In_PB_Release,DS$4)-MAX($F49,DS$3)+1)/DS$5)</f>
        <v>0</v>
      </c>
      <c r="DT49" s="33" t="n">
        <f aca="false">$E49*MAX(0,(MIN(In_PB_Release,DT$4)-MAX($F49,DT$3)+1)/DT$5)</f>
        <v>0</v>
      </c>
      <c r="DU49" s="33" t="n">
        <f aca="false">$E49*MAX(0,(MIN(In_PB_Release,DU$4)-MAX($F49,DU$3)+1)/DU$5)</f>
        <v>0</v>
      </c>
      <c r="DV49" s="33" t="n">
        <f aca="false">$E49*MAX(0,(MIN(In_PB_Release,DV$4)-MAX($F49,DV$3)+1)/DV$5)</f>
        <v>0</v>
      </c>
      <c r="DW49" s="33" t="n">
        <f aca="false">$E49*MAX(0,(MIN(In_PB_Release,DW$4)-MAX($F49,DW$3)+1)/DW$5)</f>
        <v>0</v>
      </c>
      <c r="DX49" s="33" t="n">
        <f aca="false">$E49*MAX(0,(MIN(In_PB_Release,DX$4)-MAX($F49,DX$3)+1)/DX$5)</f>
        <v>0</v>
      </c>
      <c r="DY49" s="33" t="n">
        <f aca="false">$E49*MAX(0,(MIN(In_PB_Release,DY$4)-MAX($F49,DY$3)+1)/DY$5)</f>
        <v>0</v>
      </c>
      <c r="DZ49" s="33" t="n">
        <f aca="false">$E49*MAX(0,(MIN(In_PB_Release,DZ$4)-MAX($F49,DZ$3)+1)/DZ$5)</f>
        <v>0</v>
      </c>
      <c r="EA49" s="33" t="n">
        <f aca="false">$E49*MAX(0,(MIN(In_PB_Release,EA$4)-MAX($F49,EA$3)+1)/EA$5)</f>
        <v>0</v>
      </c>
      <c r="EB49" s="33" t="n">
        <f aca="false">$E49*MAX(0,(MIN(In_PB_Release,EB$4)-MAX($F49,EB$3)+1)/EB$5)</f>
        <v>0</v>
      </c>
      <c r="EC49" s="33" t="n">
        <f aca="false">$E49*MAX(0,(MIN(In_PB_Release,EC$4)-MAX($F49,EC$3)+1)/EC$5)</f>
        <v>0</v>
      </c>
      <c r="ED49" s="33" t="n">
        <f aca="false">$E49*MAX(0,(MIN(In_PB_Release,ED$4)-MAX($F49,ED$3)+1)/ED$5)</f>
        <v>0</v>
      </c>
      <c r="EE49" s="33" t="n">
        <f aca="false">$E49*MAX(0,(MIN(In_PB_Release,EE$4)-MAX($F49,EE$3)+1)/EE$5)</f>
        <v>0</v>
      </c>
      <c r="EF49" s="33" t="n">
        <f aca="false">$E49*MAX(0,(MIN(In_PB_Release,EF$4)-MAX($F49,EF$3)+1)/EF$5)</f>
        <v>0</v>
      </c>
      <c r="EG49" s="33" t="n">
        <f aca="false">$E49*MAX(0,(MIN(In_PB_Release,EG$4)-MAX($F49,EG$3)+1)/EG$5)</f>
        <v>0</v>
      </c>
      <c r="EH49" s="33" t="n">
        <f aca="false">$E49*MAX(0,(MIN(In_PB_Release,EH$4)-MAX($F49,EH$3)+1)/EH$5)</f>
        <v>0</v>
      </c>
      <c r="EI49" s="33" t="n">
        <f aca="false">$E49*MAX(0,(MIN(In_PB_Release,EI$4)-MAX($F49,EI$3)+1)/EI$5)</f>
        <v>0</v>
      </c>
      <c r="EJ49" s="33" t="n">
        <f aca="false">$E49*MAX(0,(MIN(In_PB_Release,EJ$4)-MAX($F49,EJ$3)+1)/EJ$5)</f>
        <v>0</v>
      </c>
      <c r="EK49" s="33" t="n">
        <f aca="false">$E49*MAX(0,(MIN(In_PB_Release,EK$4)-MAX($F49,EK$3)+1)/EK$5)</f>
        <v>0</v>
      </c>
      <c r="EL49" s="33" t="n">
        <f aca="false">$E49*MAX(0,(MIN(In_PB_Release,EL$4)-MAX($F49,EL$3)+1)/EL$5)</f>
        <v>0</v>
      </c>
      <c r="EM49" s="33" t="n">
        <f aca="false">$E49*MAX(0,(MIN(In_PB_Release,EM$4)-MAX($F49,EM$3)+1)/EM$5)</f>
        <v>0</v>
      </c>
      <c r="EN49" s="33" t="n">
        <f aca="false">$E49*MAX(0,(MIN(In_PB_Release,EN$4)-MAX($F49,EN$3)+1)/EN$5)</f>
        <v>0</v>
      </c>
      <c r="EO49" s="33" t="n">
        <f aca="false">$E49*MAX(0,(MIN(In_PB_Release,EO$4)-MAX($F49,EO$3)+1)/EO$5)</f>
        <v>0</v>
      </c>
      <c r="EP49" s="33" t="n">
        <f aca="false">$E49*MAX(0,(MIN(In_PB_Release,EP$4)-MAX($F49,EP$3)+1)/EP$5)</f>
        <v>0</v>
      </c>
      <c r="EQ49" s="33" t="n">
        <f aca="false">$E49*MAX(0,(MIN(In_PB_Release,EQ$4)-MAX($F49,EQ$3)+1)/EQ$5)</f>
        <v>0</v>
      </c>
      <c r="ER49" s="33" t="n">
        <f aca="false">$E49*MAX(0,(MIN(In_PB_Release,ER$4)-MAX($F49,ER$3)+1)/ER$5)</f>
        <v>0</v>
      </c>
      <c r="ES49" s="33" t="n">
        <f aca="false">$E49*MAX(0,(MIN(In_PB_Release,ES$4)-MAX($F49,ES$3)+1)/ES$5)</f>
        <v>0</v>
      </c>
      <c r="ET49" s="3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511</v>
      </c>
      <c r="D50" s="11" t="s">
        <v>247</v>
      </c>
      <c r="E50" s="33" t="n">
        <f aca="false">In_TSO_Security*In_MVA*Thousand/In_FX</f>
        <v>1232.87671232877</v>
      </c>
      <c r="F50" s="27" t="n">
        <f aca="false">In_TSO_Date</f>
        <v>46386</v>
      </c>
      <c r="I50" s="33" t="n">
        <f aca="false">SUM(J50:ET50)</f>
        <v>-1232.87671232877</v>
      </c>
      <c r="J50" s="33" t="n">
        <f aca="false">-$E50*N(AND(J$3&lt;=$F50,J$4&gt;=$F50))</f>
        <v>-0</v>
      </c>
      <c r="K50" s="33" t="n">
        <f aca="false">-$E50*N(AND(K$3&lt;=$F50,K$4&gt;=$F50))</f>
        <v>-1232.87671232877</v>
      </c>
      <c r="L50" s="33" t="n">
        <f aca="false">-$E50*N(AND(L$3&lt;=$F50,L$4&gt;=$F50))</f>
        <v>-0</v>
      </c>
      <c r="M50" s="33" t="n">
        <f aca="false">-$E50*N(AND(M$3&lt;=$F50,M$4&gt;=$F50))</f>
        <v>-0</v>
      </c>
      <c r="N50" s="33" t="n">
        <f aca="false">-$E50*N(AND(N$3&lt;=$F50,N$4&gt;=$F50))</f>
        <v>-0</v>
      </c>
      <c r="O50" s="33" t="n">
        <f aca="false">-$E50*N(AND(O$3&lt;=$F50,O$4&gt;=$F50))</f>
        <v>-0</v>
      </c>
      <c r="P50" s="33" t="n">
        <f aca="false">-$E50*N(AND(P$3&lt;=$F50,P$4&gt;=$F50))</f>
        <v>-0</v>
      </c>
      <c r="Q50" s="33" t="n">
        <f aca="false">-$E50*N(AND(Q$3&lt;=$F50,Q$4&gt;=$F50))</f>
        <v>-0</v>
      </c>
      <c r="R50" s="33" t="n">
        <f aca="false">-$E50*N(AND(R$3&lt;=$F50,R$4&gt;=$F50))</f>
        <v>-0</v>
      </c>
      <c r="S50" s="33" t="n">
        <f aca="false">-$E50*N(AND(S$3&lt;=$F50,S$4&gt;=$F50))</f>
        <v>-0</v>
      </c>
      <c r="T50" s="33" t="n">
        <f aca="false">-$E50*N(AND(T$3&lt;=$F50,T$4&gt;=$F50))</f>
        <v>-0</v>
      </c>
      <c r="U50" s="33" t="n">
        <f aca="false">-$E50*N(AND(U$3&lt;=$F50,U$4&gt;=$F50))</f>
        <v>-0</v>
      </c>
      <c r="V50" s="33" t="n">
        <f aca="false">-$E50*N(AND(V$3&lt;=$F50,V$4&gt;=$F50))</f>
        <v>-0</v>
      </c>
      <c r="W50" s="33" t="n">
        <f aca="false">-$E50*N(AND(W$3&lt;=$F50,W$4&gt;=$F50))</f>
        <v>-0</v>
      </c>
      <c r="X50" s="33" t="n">
        <f aca="false">-$E50*N(AND(X$3&lt;=$F50,X$4&gt;=$F50))</f>
        <v>-0</v>
      </c>
      <c r="Y50" s="33" t="n">
        <f aca="false">-$E50*N(AND(Y$3&lt;=$F50,Y$4&gt;=$F50))</f>
        <v>-0</v>
      </c>
      <c r="Z50" s="33" t="n">
        <f aca="false">-$E50*N(AND(Z$3&lt;=$F50,Z$4&gt;=$F50))</f>
        <v>-0</v>
      </c>
      <c r="AA50" s="33" t="n">
        <f aca="false">-$E50*N(AND(AA$3&lt;=$F50,AA$4&gt;=$F50))</f>
        <v>-0</v>
      </c>
      <c r="AB50" s="33" t="n">
        <f aca="false">-$E50*N(AND(AB$3&lt;=$F50,AB$4&gt;=$F50))</f>
        <v>-0</v>
      </c>
      <c r="AC50" s="33" t="n">
        <f aca="false">-$E50*N(AND(AC$3&lt;=$F50,AC$4&gt;=$F50))</f>
        <v>-0</v>
      </c>
      <c r="AD50" s="33" t="n">
        <f aca="false">-$E50*N(AND(AD$3&lt;=$F50,AD$4&gt;=$F50))</f>
        <v>-0</v>
      </c>
      <c r="AE50" s="33" t="n">
        <f aca="false">-$E50*N(AND(AE$3&lt;=$F50,AE$4&gt;=$F50))</f>
        <v>-0</v>
      </c>
      <c r="AF50" s="33" t="n">
        <f aca="false">-$E50*N(AND(AF$3&lt;=$F50,AF$4&gt;=$F50))</f>
        <v>-0</v>
      </c>
      <c r="AG50" s="33" t="n">
        <f aca="false">-$E50*N(AND(AG$3&lt;=$F50,AG$4&gt;=$F50))</f>
        <v>-0</v>
      </c>
      <c r="AH50" s="33" t="n">
        <f aca="false">-$E50*N(AND(AH$3&lt;=$F50,AH$4&gt;=$F50))</f>
        <v>-0</v>
      </c>
      <c r="AI50" s="33" t="n">
        <f aca="false">-$E50*N(AND(AI$3&lt;=$F50,AI$4&gt;=$F50))</f>
        <v>-0</v>
      </c>
      <c r="AJ50" s="33" t="n">
        <f aca="false">-$E50*N(AND(AJ$3&lt;=$F50,AJ$4&gt;=$F50))</f>
        <v>-0</v>
      </c>
      <c r="AK50" s="33" t="n">
        <f aca="false">-$E50*N(AND(AK$3&lt;=$F50,AK$4&gt;=$F50))</f>
        <v>-0</v>
      </c>
      <c r="AL50" s="33" t="n">
        <f aca="false">-$E50*N(AND(AL$3&lt;=$F50,AL$4&gt;=$F50))</f>
        <v>-0</v>
      </c>
      <c r="AM50" s="33" t="n">
        <f aca="false">-$E50*N(AND(AM$3&lt;=$F50,AM$4&gt;=$F50))</f>
        <v>-0</v>
      </c>
      <c r="AN50" s="33" t="n">
        <f aca="false">-$E50*N(AND(AN$3&lt;=$F50,AN$4&gt;=$F50))</f>
        <v>-0</v>
      </c>
      <c r="AO50" s="33" t="n">
        <f aca="false">-$E50*N(AND(AO$3&lt;=$F50,AO$4&gt;=$F50))</f>
        <v>-0</v>
      </c>
      <c r="AP50" s="33" t="n">
        <f aca="false">-$E50*N(AND(AP$3&lt;=$F50,AP$4&gt;=$F50))</f>
        <v>-0</v>
      </c>
      <c r="AQ50" s="33" t="n">
        <f aca="false">-$E50*N(AND(AQ$3&lt;=$F50,AQ$4&gt;=$F50))</f>
        <v>-0</v>
      </c>
      <c r="AR50" s="33" t="n">
        <f aca="false">-$E50*N(AND(AR$3&lt;=$F50,AR$4&gt;=$F50))</f>
        <v>-0</v>
      </c>
      <c r="AS50" s="33" t="n">
        <f aca="false">-$E50*N(AND(AS$3&lt;=$F50,AS$4&gt;=$F50))</f>
        <v>-0</v>
      </c>
      <c r="AT50" s="33" t="n">
        <f aca="false">-$E50*N(AND(AT$3&lt;=$F50,AT$4&gt;=$F50))</f>
        <v>-0</v>
      </c>
      <c r="AU50" s="33" t="n">
        <f aca="false">-$E50*N(AND(AU$3&lt;=$F50,AU$4&gt;=$F50))</f>
        <v>-0</v>
      </c>
      <c r="AV50" s="33" t="n">
        <f aca="false">-$E50*N(AND(AV$3&lt;=$F50,AV$4&gt;=$F50))</f>
        <v>-0</v>
      </c>
      <c r="AW50" s="33" t="n">
        <f aca="false">-$E50*N(AND(AW$3&lt;=$F50,AW$4&gt;=$F50))</f>
        <v>-0</v>
      </c>
      <c r="AX50" s="33" t="n">
        <f aca="false">-$E50*N(AND(AX$3&lt;=$F50,AX$4&gt;=$F50))</f>
        <v>-0</v>
      </c>
      <c r="AY50" s="33" t="n">
        <f aca="false">-$E50*N(AND(AY$3&lt;=$F50,AY$4&gt;=$F50))</f>
        <v>-0</v>
      </c>
      <c r="AZ50" s="33" t="n">
        <f aca="false">-$E50*N(AND(AZ$3&lt;=$F50,AZ$4&gt;=$F50))</f>
        <v>-0</v>
      </c>
      <c r="BA50" s="33" t="n">
        <f aca="false">-$E50*N(AND(BA$3&lt;=$F50,BA$4&gt;=$F50))</f>
        <v>-0</v>
      </c>
      <c r="BB50" s="33" t="n">
        <f aca="false">-$E50*N(AND(BB$3&lt;=$F50,BB$4&gt;=$F50))</f>
        <v>-0</v>
      </c>
      <c r="BC50" s="33" t="n">
        <f aca="false">-$E50*N(AND(BC$3&lt;=$F50,BC$4&gt;=$F50))</f>
        <v>-0</v>
      </c>
      <c r="BD50" s="33" t="n">
        <f aca="false">-$E50*N(AND(BD$3&lt;=$F50,BD$4&gt;=$F50))</f>
        <v>-0</v>
      </c>
      <c r="BE50" s="33" t="n">
        <f aca="false">-$E50*N(AND(BE$3&lt;=$F50,BE$4&gt;=$F50))</f>
        <v>-0</v>
      </c>
      <c r="BF50" s="33" t="n">
        <f aca="false">-$E50*N(AND(BF$3&lt;=$F50,BF$4&gt;=$F50))</f>
        <v>-0</v>
      </c>
      <c r="BG50" s="33" t="n">
        <f aca="false">-$E50*N(AND(BG$3&lt;=$F50,BG$4&gt;=$F50))</f>
        <v>-0</v>
      </c>
      <c r="BH50" s="33" t="n">
        <f aca="false">-$E50*N(AND(BH$3&lt;=$F50,BH$4&gt;=$F50))</f>
        <v>-0</v>
      </c>
      <c r="BI50" s="33" t="n">
        <f aca="false">-$E50*N(AND(BI$3&lt;=$F50,BI$4&gt;=$F50))</f>
        <v>-0</v>
      </c>
      <c r="BJ50" s="33" t="n">
        <f aca="false">-$E50*N(AND(BJ$3&lt;=$F50,BJ$4&gt;=$F50))</f>
        <v>-0</v>
      </c>
      <c r="BK50" s="33" t="n">
        <f aca="false">-$E50*N(AND(BK$3&lt;=$F50,BK$4&gt;=$F50))</f>
        <v>-0</v>
      </c>
      <c r="BL50" s="33" t="n">
        <f aca="false">-$E50*N(AND(BL$3&lt;=$F50,BL$4&gt;=$F50))</f>
        <v>-0</v>
      </c>
      <c r="BM50" s="33" t="n">
        <f aca="false">-$E50*N(AND(BM$3&lt;=$F50,BM$4&gt;=$F50))</f>
        <v>-0</v>
      </c>
      <c r="BN50" s="33" t="n">
        <f aca="false">-$E50*N(AND(BN$3&lt;=$F50,BN$4&gt;=$F50))</f>
        <v>-0</v>
      </c>
      <c r="BO50" s="33" t="n">
        <f aca="false">-$E50*N(AND(BO$3&lt;=$F50,BO$4&gt;=$F50))</f>
        <v>-0</v>
      </c>
      <c r="BP50" s="33" t="n">
        <f aca="false">-$E50*N(AND(BP$3&lt;=$F50,BP$4&gt;=$F50))</f>
        <v>-0</v>
      </c>
      <c r="BQ50" s="33" t="n">
        <f aca="false">-$E50*N(AND(BQ$3&lt;=$F50,BQ$4&gt;=$F50))</f>
        <v>-0</v>
      </c>
      <c r="BR50" s="33" t="n">
        <f aca="false">-$E50*N(AND(BR$3&lt;=$F50,BR$4&gt;=$F50))</f>
        <v>-0</v>
      </c>
      <c r="BS50" s="33" t="n">
        <f aca="false">-$E50*N(AND(BS$3&lt;=$F50,BS$4&gt;=$F50))</f>
        <v>-0</v>
      </c>
      <c r="BT50" s="33" t="n">
        <f aca="false">-$E50*N(AND(BT$3&lt;=$F50,BT$4&gt;=$F50))</f>
        <v>-0</v>
      </c>
      <c r="BU50" s="33" t="n">
        <f aca="false">-$E50*N(AND(BU$3&lt;=$F50,BU$4&gt;=$F50))</f>
        <v>-0</v>
      </c>
      <c r="BV50" s="33" t="n">
        <f aca="false">-$E50*N(AND(BV$3&lt;=$F50,BV$4&gt;=$F50))</f>
        <v>-0</v>
      </c>
      <c r="BW50" s="33" t="n">
        <f aca="false">-$E50*N(AND(BW$3&lt;=$F50,BW$4&gt;=$F50))</f>
        <v>-0</v>
      </c>
      <c r="BX50" s="33" t="n">
        <f aca="false">-$E50*N(AND(BX$3&lt;=$F50,BX$4&gt;=$F50))</f>
        <v>-0</v>
      </c>
      <c r="BY50" s="33" t="n">
        <f aca="false">-$E50*N(AND(BY$3&lt;=$F50,BY$4&gt;=$F50))</f>
        <v>-0</v>
      </c>
      <c r="BZ50" s="33" t="n">
        <f aca="false">-$E50*N(AND(BZ$3&lt;=$F50,BZ$4&gt;=$F50))</f>
        <v>-0</v>
      </c>
      <c r="CA50" s="33" t="n">
        <f aca="false">-$E50*N(AND(CA$3&lt;=$F50,CA$4&gt;=$F50))</f>
        <v>-0</v>
      </c>
      <c r="CB50" s="33" t="n">
        <f aca="false">-$E50*N(AND(CB$3&lt;=$F50,CB$4&gt;=$F50))</f>
        <v>-0</v>
      </c>
      <c r="CC50" s="33" t="n">
        <f aca="false">-$E50*N(AND(CC$3&lt;=$F50,CC$4&gt;=$F50))</f>
        <v>-0</v>
      </c>
      <c r="CD50" s="33" t="n">
        <f aca="false">-$E50*N(AND(CD$3&lt;=$F50,CD$4&gt;=$F50))</f>
        <v>-0</v>
      </c>
      <c r="CE50" s="33" t="n">
        <f aca="false">-$E50*N(AND(CE$3&lt;=$F50,CE$4&gt;=$F50))</f>
        <v>-0</v>
      </c>
      <c r="CF50" s="33" t="n">
        <f aca="false">-$E50*N(AND(CF$3&lt;=$F50,CF$4&gt;=$F50))</f>
        <v>-0</v>
      </c>
      <c r="CG50" s="33" t="n">
        <f aca="false">-$E50*N(AND(CG$3&lt;=$F50,CG$4&gt;=$F50))</f>
        <v>-0</v>
      </c>
      <c r="CH50" s="33" t="n">
        <f aca="false">-$E50*N(AND(CH$3&lt;=$F50,CH$4&gt;=$F50))</f>
        <v>-0</v>
      </c>
      <c r="CI50" s="33" t="n">
        <f aca="false">-$E50*N(AND(CI$3&lt;=$F50,CI$4&gt;=$F50))</f>
        <v>-0</v>
      </c>
      <c r="CJ50" s="33" t="n">
        <f aca="false">-$E50*N(AND(CJ$3&lt;=$F50,CJ$4&gt;=$F50))</f>
        <v>-0</v>
      </c>
      <c r="CK50" s="33" t="n">
        <f aca="false">-$E50*N(AND(CK$3&lt;=$F50,CK$4&gt;=$F50))</f>
        <v>-0</v>
      </c>
      <c r="CL50" s="33" t="n">
        <f aca="false">-$E50*N(AND(CL$3&lt;=$F50,CL$4&gt;=$F50))</f>
        <v>-0</v>
      </c>
      <c r="CM50" s="33" t="n">
        <f aca="false">-$E50*N(AND(CM$3&lt;=$F50,CM$4&gt;=$F50))</f>
        <v>-0</v>
      </c>
      <c r="CN50" s="33" t="n">
        <f aca="false">-$E50*N(AND(CN$3&lt;=$F50,CN$4&gt;=$F50))</f>
        <v>-0</v>
      </c>
      <c r="CO50" s="33" t="n">
        <f aca="false">-$E50*N(AND(CO$3&lt;=$F50,CO$4&gt;=$F50))</f>
        <v>-0</v>
      </c>
      <c r="CP50" s="33" t="n">
        <f aca="false">-$E50*N(AND(CP$3&lt;=$F50,CP$4&gt;=$F50))</f>
        <v>-0</v>
      </c>
      <c r="CQ50" s="33" t="n">
        <f aca="false">-$E50*N(AND(CQ$3&lt;=$F50,CQ$4&gt;=$F50))</f>
        <v>-0</v>
      </c>
      <c r="CR50" s="33" t="n">
        <f aca="false">-$E50*N(AND(CR$3&lt;=$F50,CR$4&gt;=$F50))</f>
        <v>-0</v>
      </c>
      <c r="CS50" s="33" t="n">
        <f aca="false">-$E50*N(AND(CS$3&lt;=$F50,CS$4&gt;=$F50))</f>
        <v>-0</v>
      </c>
      <c r="CT50" s="33" t="n">
        <f aca="false">-$E50*N(AND(CT$3&lt;=$F50,CT$4&gt;=$F50))</f>
        <v>-0</v>
      </c>
      <c r="CU50" s="33" t="n">
        <f aca="false">-$E50*N(AND(CU$3&lt;=$F50,CU$4&gt;=$F50))</f>
        <v>-0</v>
      </c>
      <c r="CV50" s="33" t="n">
        <f aca="false">-$E50*N(AND(CV$3&lt;=$F50,CV$4&gt;=$F50))</f>
        <v>-0</v>
      </c>
      <c r="CW50" s="33" t="n">
        <f aca="false">-$E50*N(AND(CW$3&lt;=$F50,CW$4&gt;=$F50))</f>
        <v>-0</v>
      </c>
      <c r="CX50" s="33" t="n">
        <f aca="false">-$E50*N(AND(CX$3&lt;=$F50,CX$4&gt;=$F50))</f>
        <v>-0</v>
      </c>
      <c r="CY50" s="33" t="n">
        <f aca="false">-$E50*N(AND(CY$3&lt;=$F50,CY$4&gt;=$F50))</f>
        <v>-0</v>
      </c>
      <c r="CZ50" s="33" t="n">
        <f aca="false">-$E50*N(AND(CZ$3&lt;=$F50,CZ$4&gt;=$F50))</f>
        <v>-0</v>
      </c>
      <c r="DA50" s="33" t="n">
        <f aca="false">-$E50*N(AND(DA$3&lt;=$F50,DA$4&gt;=$F50))</f>
        <v>-0</v>
      </c>
      <c r="DB50" s="33" t="n">
        <f aca="false">-$E50*N(AND(DB$3&lt;=$F50,DB$4&gt;=$F50))</f>
        <v>-0</v>
      </c>
      <c r="DC50" s="33" t="n">
        <f aca="false">-$E50*N(AND(DC$3&lt;=$F50,DC$4&gt;=$F50))</f>
        <v>-0</v>
      </c>
      <c r="DD50" s="33" t="n">
        <f aca="false">-$E50*N(AND(DD$3&lt;=$F50,DD$4&gt;=$F50))</f>
        <v>-0</v>
      </c>
      <c r="DE50" s="33" t="n">
        <f aca="false">-$E50*N(AND(DE$3&lt;=$F50,DE$4&gt;=$F50))</f>
        <v>-0</v>
      </c>
      <c r="DF50" s="33" t="n">
        <f aca="false">-$E50*N(AND(DF$3&lt;=$F50,DF$4&gt;=$F50))</f>
        <v>-0</v>
      </c>
      <c r="DG50" s="33" t="n">
        <f aca="false">-$E50*N(AND(DG$3&lt;=$F50,DG$4&gt;=$F50))</f>
        <v>-0</v>
      </c>
      <c r="DH50" s="33" t="n">
        <f aca="false">-$E50*N(AND(DH$3&lt;=$F50,DH$4&gt;=$F50))</f>
        <v>-0</v>
      </c>
      <c r="DI50" s="33" t="n">
        <f aca="false">-$E50*N(AND(DI$3&lt;=$F50,DI$4&gt;=$F50))</f>
        <v>-0</v>
      </c>
      <c r="DJ50" s="33" t="n">
        <f aca="false">-$E50*N(AND(DJ$3&lt;=$F50,DJ$4&gt;=$F50))</f>
        <v>-0</v>
      </c>
      <c r="DK50" s="33" t="n">
        <f aca="false">-$E50*N(AND(DK$3&lt;=$F50,DK$4&gt;=$F50))</f>
        <v>-0</v>
      </c>
      <c r="DL50" s="33" t="n">
        <f aca="false">-$E50*N(AND(DL$3&lt;=$F50,DL$4&gt;=$F50))</f>
        <v>-0</v>
      </c>
      <c r="DM50" s="33" t="n">
        <f aca="false">-$E50*N(AND(DM$3&lt;=$F50,DM$4&gt;=$F50))</f>
        <v>-0</v>
      </c>
      <c r="DN50" s="33" t="n">
        <f aca="false">-$E50*N(AND(DN$3&lt;=$F50,DN$4&gt;=$F50))</f>
        <v>-0</v>
      </c>
      <c r="DO50" s="33" t="n">
        <f aca="false">-$E50*N(AND(DO$3&lt;=$F50,DO$4&gt;=$F50))</f>
        <v>-0</v>
      </c>
      <c r="DP50" s="33" t="n">
        <f aca="false">-$E50*N(AND(DP$3&lt;=$F50,DP$4&gt;=$F50))</f>
        <v>-0</v>
      </c>
      <c r="DQ50" s="33" t="n">
        <f aca="false">-$E50*N(AND(DQ$3&lt;=$F50,DQ$4&gt;=$F50))</f>
        <v>-0</v>
      </c>
      <c r="DR50" s="33" t="n">
        <f aca="false">-$E50*N(AND(DR$3&lt;=$F50,DR$4&gt;=$F50))</f>
        <v>-0</v>
      </c>
      <c r="DS50" s="33" t="n">
        <f aca="false">-$E50*N(AND(DS$3&lt;=$F50,DS$4&gt;=$F50))</f>
        <v>-0</v>
      </c>
      <c r="DT50" s="33" t="n">
        <f aca="false">-$E50*N(AND(DT$3&lt;=$F50,DT$4&gt;=$F50))</f>
        <v>-0</v>
      </c>
      <c r="DU50" s="33" t="n">
        <f aca="false">-$E50*N(AND(DU$3&lt;=$F50,DU$4&gt;=$F50))</f>
        <v>-0</v>
      </c>
      <c r="DV50" s="33" t="n">
        <f aca="false">-$E50*N(AND(DV$3&lt;=$F50,DV$4&gt;=$F50))</f>
        <v>-0</v>
      </c>
      <c r="DW50" s="33" t="n">
        <f aca="false">-$E50*N(AND(DW$3&lt;=$F50,DW$4&gt;=$F50))</f>
        <v>-0</v>
      </c>
      <c r="DX50" s="33" t="n">
        <f aca="false">-$E50*N(AND(DX$3&lt;=$F50,DX$4&gt;=$F50))</f>
        <v>-0</v>
      </c>
      <c r="DY50" s="33" t="n">
        <f aca="false">-$E50*N(AND(DY$3&lt;=$F50,DY$4&gt;=$F50))</f>
        <v>-0</v>
      </c>
      <c r="DZ50" s="33" t="n">
        <f aca="false">-$E50*N(AND(DZ$3&lt;=$F50,DZ$4&gt;=$F50))</f>
        <v>-0</v>
      </c>
      <c r="EA50" s="33" t="n">
        <f aca="false">-$E50*N(AND(EA$3&lt;=$F50,EA$4&gt;=$F50))</f>
        <v>-0</v>
      </c>
      <c r="EB50" s="33" t="n">
        <f aca="false">-$E50*N(AND(EB$3&lt;=$F50,EB$4&gt;=$F50))</f>
        <v>-0</v>
      </c>
      <c r="EC50" s="33" t="n">
        <f aca="false">-$E50*N(AND(EC$3&lt;=$F50,EC$4&gt;=$F50))</f>
        <v>-0</v>
      </c>
      <c r="ED50" s="33" t="n">
        <f aca="false">-$E50*N(AND(ED$3&lt;=$F50,ED$4&gt;=$F50))</f>
        <v>-0</v>
      </c>
      <c r="EE50" s="33" t="n">
        <f aca="false">-$E50*N(AND(EE$3&lt;=$F50,EE$4&gt;=$F50))</f>
        <v>-0</v>
      </c>
      <c r="EF50" s="33" t="n">
        <f aca="false">-$E50*N(AND(EF$3&lt;=$F50,EF$4&gt;=$F50))</f>
        <v>-0</v>
      </c>
      <c r="EG50" s="33" t="n">
        <f aca="false">-$E50*N(AND(EG$3&lt;=$F50,EG$4&gt;=$F50))</f>
        <v>-0</v>
      </c>
      <c r="EH50" s="33" t="n">
        <f aca="false">-$E50*N(AND(EH$3&lt;=$F50,EH$4&gt;=$F50))</f>
        <v>-0</v>
      </c>
      <c r="EI50" s="33" t="n">
        <f aca="false">-$E50*N(AND(EI$3&lt;=$F50,EI$4&gt;=$F50))</f>
        <v>-0</v>
      </c>
      <c r="EJ50" s="33" t="n">
        <f aca="false">-$E50*N(AND(EJ$3&lt;=$F50,EJ$4&gt;=$F50))</f>
        <v>-0</v>
      </c>
      <c r="EK50" s="33" t="n">
        <f aca="false">-$E50*N(AND(EK$3&lt;=$F50,EK$4&gt;=$F50))</f>
        <v>-0</v>
      </c>
      <c r="EL50" s="33" t="n">
        <f aca="false">-$E50*N(AND(EL$3&lt;=$F50,EL$4&gt;=$F50))</f>
        <v>-0</v>
      </c>
      <c r="EM50" s="33" t="n">
        <f aca="false">-$E50*N(AND(EM$3&lt;=$F50,EM$4&gt;=$F50))</f>
        <v>-0</v>
      </c>
      <c r="EN50" s="33" t="n">
        <f aca="false">-$E50*N(AND(EN$3&lt;=$F50,EN$4&gt;=$F50))</f>
        <v>-0</v>
      </c>
      <c r="EO50" s="33" t="n">
        <f aca="false">-$E50*N(AND(EO$3&lt;=$F50,EO$4&gt;=$F50))</f>
        <v>-0</v>
      </c>
      <c r="EP50" s="33" t="n">
        <f aca="false">-$E50*N(AND(EP$3&lt;=$F50,EP$4&gt;=$F50))</f>
        <v>-0</v>
      </c>
      <c r="EQ50" s="33" t="n">
        <f aca="false">-$E50*N(AND(EQ$3&lt;=$F50,EQ$4&gt;=$F50))</f>
        <v>-0</v>
      </c>
      <c r="ER50" s="33" t="n">
        <f aca="false">-$E50*N(AND(ER$3&lt;=$F50,ER$4&gt;=$F50))</f>
        <v>-0</v>
      </c>
      <c r="ES50" s="33" t="n">
        <f aca="false">-$E50*N(AND(ES$3&lt;=$F50,ES$4&gt;=$F50))</f>
        <v>-0</v>
      </c>
      <c r="ET50" s="33" t="n">
        <f aca="false">-$E50*N(AND(ET$3&lt;=$F50,ET$4&gt;=$F50))</f>
        <v>-0</v>
      </c>
    </row>
    <row r="51" customFormat="false" ht="15" hidden="false" customHeight="false" outlineLevel="0" collapsed="false">
      <c r="C51" s="0" t="s">
        <v>512</v>
      </c>
      <c r="D51" s="11" t="s">
        <v>247</v>
      </c>
      <c r="E51" s="33" t="n">
        <f aca="false">In_Direct_Fee*Thousand/In_FX</f>
        <v>1392.72823013699</v>
      </c>
      <c r="F51" s="27" t="n">
        <f aca="false">In_HCSSZ_Date</f>
        <v>47126</v>
      </c>
      <c r="I51" s="33" t="n">
        <f aca="false">SUM(J51:ET51)</f>
        <v>-1392.72823013699</v>
      </c>
      <c r="J51" s="33" t="n">
        <f aca="false">-$E51*N(AND(J$3&lt;=$F51,J$4&gt;=$F51))</f>
        <v>-0</v>
      </c>
      <c r="K51" s="33" t="n">
        <f aca="false">-$E51*N(AND(K$3&lt;=$F51,K$4&gt;=$F51))</f>
        <v>-0</v>
      </c>
      <c r="L51" s="33" t="n">
        <f aca="false">-$E51*N(AND(L$3&lt;=$F51,L$4&gt;=$F51))</f>
        <v>-0</v>
      </c>
      <c r="M51" s="33" t="n">
        <f aca="false">-$E51*N(AND(M$3&lt;=$F51,M$4&gt;=$F51))</f>
        <v>-0</v>
      </c>
      <c r="N51" s="33" t="n">
        <f aca="false">-$E51*N(AND(N$3&lt;=$F51,N$4&gt;=$F51))</f>
        <v>-0</v>
      </c>
      <c r="O51" s="33" t="n">
        <f aca="false">-$E51*N(AND(O$3&lt;=$F51,O$4&gt;=$F51))</f>
        <v>-0</v>
      </c>
      <c r="P51" s="33" t="n">
        <f aca="false">-$E51*N(AND(P$3&lt;=$F51,P$4&gt;=$F51))</f>
        <v>-0</v>
      </c>
      <c r="Q51" s="33" t="n">
        <f aca="false">-$E51*N(AND(Q$3&lt;=$F51,Q$4&gt;=$F51))</f>
        <v>-0</v>
      </c>
      <c r="R51" s="33" t="n">
        <f aca="false">-$E51*N(AND(R$3&lt;=$F51,R$4&gt;=$F51))</f>
        <v>-0</v>
      </c>
      <c r="S51" s="33" t="n">
        <f aca="false">-$E51*N(AND(S$3&lt;=$F51,S$4&gt;=$F51))</f>
        <v>-0</v>
      </c>
      <c r="T51" s="33" t="n">
        <f aca="false">-$E51*N(AND(T$3&lt;=$F51,T$4&gt;=$F51))</f>
        <v>-1392.72823013699</v>
      </c>
      <c r="U51" s="33" t="n">
        <f aca="false">-$E51*N(AND(U$3&lt;=$F51,U$4&gt;=$F51))</f>
        <v>-0</v>
      </c>
      <c r="V51" s="33" t="n">
        <f aca="false">-$E51*N(AND(V$3&lt;=$F51,V$4&gt;=$F51))</f>
        <v>-0</v>
      </c>
      <c r="W51" s="33" t="n">
        <f aca="false">-$E51*N(AND(W$3&lt;=$F51,W$4&gt;=$F51))</f>
        <v>-0</v>
      </c>
      <c r="X51" s="33" t="n">
        <f aca="false">-$E51*N(AND(X$3&lt;=$F51,X$4&gt;=$F51))</f>
        <v>-0</v>
      </c>
      <c r="Y51" s="33" t="n">
        <f aca="false">-$E51*N(AND(Y$3&lt;=$F51,Y$4&gt;=$F51))</f>
        <v>-0</v>
      </c>
      <c r="Z51" s="33" t="n">
        <f aca="false">-$E51*N(AND(Z$3&lt;=$F51,Z$4&gt;=$F51))</f>
        <v>-0</v>
      </c>
      <c r="AA51" s="33" t="n">
        <f aca="false">-$E51*N(AND(AA$3&lt;=$F51,AA$4&gt;=$F51))</f>
        <v>-0</v>
      </c>
      <c r="AB51" s="33" t="n">
        <f aca="false">-$E51*N(AND(AB$3&lt;=$F51,AB$4&gt;=$F51))</f>
        <v>-0</v>
      </c>
      <c r="AC51" s="33" t="n">
        <f aca="false">-$E51*N(AND(AC$3&lt;=$F51,AC$4&gt;=$F51))</f>
        <v>-0</v>
      </c>
      <c r="AD51" s="33" t="n">
        <f aca="false">-$E51*N(AND(AD$3&lt;=$F51,AD$4&gt;=$F51))</f>
        <v>-0</v>
      </c>
      <c r="AE51" s="33" t="n">
        <f aca="false">-$E51*N(AND(AE$3&lt;=$F51,AE$4&gt;=$F51))</f>
        <v>-0</v>
      </c>
      <c r="AF51" s="33" t="n">
        <f aca="false">-$E51*N(AND(AF$3&lt;=$F51,AF$4&gt;=$F51))</f>
        <v>-0</v>
      </c>
      <c r="AG51" s="33" t="n">
        <f aca="false">-$E51*N(AND(AG$3&lt;=$F51,AG$4&gt;=$F51))</f>
        <v>-0</v>
      </c>
      <c r="AH51" s="33" t="n">
        <f aca="false">-$E51*N(AND(AH$3&lt;=$F51,AH$4&gt;=$F51))</f>
        <v>-0</v>
      </c>
      <c r="AI51" s="33" t="n">
        <f aca="false">-$E51*N(AND(AI$3&lt;=$F51,AI$4&gt;=$F51))</f>
        <v>-0</v>
      </c>
      <c r="AJ51" s="33" t="n">
        <f aca="false">-$E51*N(AND(AJ$3&lt;=$F51,AJ$4&gt;=$F51))</f>
        <v>-0</v>
      </c>
      <c r="AK51" s="33" t="n">
        <f aca="false">-$E51*N(AND(AK$3&lt;=$F51,AK$4&gt;=$F51))</f>
        <v>-0</v>
      </c>
      <c r="AL51" s="33" t="n">
        <f aca="false">-$E51*N(AND(AL$3&lt;=$F51,AL$4&gt;=$F51))</f>
        <v>-0</v>
      </c>
      <c r="AM51" s="33" t="n">
        <f aca="false">-$E51*N(AND(AM$3&lt;=$F51,AM$4&gt;=$F51))</f>
        <v>-0</v>
      </c>
      <c r="AN51" s="33" t="n">
        <f aca="false">-$E51*N(AND(AN$3&lt;=$F51,AN$4&gt;=$F51))</f>
        <v>-0</v>
      </c>
      <c r="AO51" s="33" t="n">
        <f aca="false">-$E51*N(AND(AO$3&lt;=$F51,AO$4&gt;=$F51))</f>
        <v>-0</v>
      </c>
      <c r="AP51" s="33" t="n">
        <f aca="false">-$E51*N(AND(AP$3&lt;=$F51,AP$4&gt;=$F51))</f>
        <v>-0</v>
      </c>
      <c r="AQ51" s="33" t="n">
        <f aca="false">-$E51*N(AND(AQ$3&lt;=$F51,AQ$4&gt;=$F51))</f>
        <v>-0</v>
      </c>
      <c r="AR51" s="33" t="n">
        <f aca="false">-$E51*N(AND(AR$3&lt;=$F51,AR$4&gt;=$F51))</f>
        <v>-0</v>
      </c>
      <c r="AS51" s="33" t="n">
        <f aca="false">-$E51*N(AND(AS$3&lt;=$F51,AS$4&gt;=$F51))</f>
        <v>-0</v>
      </c>
      <c r="AT51" s="33" t="n">
        <f aca="false">-$E51*N(AND(AT$3&lt;=$F51,AT$4&gt;=$F51))</f>
        <v>-0</v>
      </c>
      <c r="AU51" s="33" t="n">
        <f aca="false">-$E51*N(AND(AU$3&lt;=$F51,AU$4&gt;=$F51))</f>
        <v>-0</v>
      </c>
      <c r="AV51" s="33" t="n">
        <f aca="false">-$E51*N(AND(AV$3&lt;=$F51,AV$4&gt;=$F51))</f>
        <v>-0</v>
      </c>
      <c r="AW51" s="33" t="n">
        <f aca="false">-$E51*N(AND(AW$3&lt;=$F51,AW$4&gt;=$F51))</f>
        <v>-0</v>
      </c>
      <c r="AX51" s="33" t="n">
        <f aca="false">-$E51*N(AND(AX$3&lt;=$F51,AX$4&gt;=$F51))</f>
        <v>-0</v>
      </c>
      <c r="AY51" s="33" t="n">
        <f aca="false">-$E51*N(AND(AY$3&lt;=$F51,AY$4&gt;=$F51))</f>
        <v>-0</v>
      </c>
      <c r="AZ51" s="33" t="n">
        <f aca="false">-$E51*N(AND(AZ$3&lt;=$F51,AZ$4&gt;=$F51))</f>
        <v>-0</v>
      </c>
      <c r="BA51" s="33" t="n">
        <f aca="false">-$E51*N(AND(BA$3&lt;=$F51,BA$4&gt;=$F51))</f>
        <v>-0</v>
      </c>
      <c r="BB51" s="33" t="n">
        <f aca="false">-$E51*N(AND(BB$3&lt;=$F51,BB$4&gt;=$F51))</f>
        <v>-0</v>
      </c>
      <c r="BC51" s="33" t="n">
        <f aca="false">-$E51*N(AND(BC$3&lt;=$F51,BC$4&gt;=$F51))</f>
        <v>-0</v>
      </c>
      <c r="BD51" s="33" t="n">
        <f aca="false">-$E51*N(AND(BD$3&lt;=$F51,BD$4&gt;=$F51))</f>
        <v>-0</v>
      </c>
      <c r="BE51" s="33" t="n">
        <f aca="false">-$E51*N(AND(BE$3&lt;=$F51,BE$4&gt;=$F51))</f>
        <v>-0</v>
      </c>
      <c r="BF51" s="33" t="n">
        <f aca="false">-$E51*N(AND(BF$3&lt;=$F51,BF$4&gt;=$F51))</f>
        <v>-0</v>
      </c>
      <c r="BG51" s="33" t="n">
        <f aca="false">-$E51*N(AND(BG$3&lt;=$F51,BG$4&gt;=$F51))</f>
        <v>-0</v>
      </c>
      <c r="BH51" s="33" t="n">
        <f aca="false">-$E51*N(AND(BH$3&lt;=$F51,BH$4&gt;=$F51))</f>
        <v>-0</v>
      </c>
      <c r="BI51" s="33" t="n">
        <f aca="false">-$E51*N(AND(BI$3&lt;=$F51,BI$4&gt;=$F51))</f>
        <v>-0</v>
      </c>
      <c r="BJ51" s="33" t="n">
        <f aca="false">-$E51*N(AND(BJ$3&lt;=$F51,BJ$4&gt;=$F51))</f>
        <v>-0</v>
      </c>
      <c r="BK51" s="33" t="n">
        <f aca="false">-$E51*N(AND(BK$3&lt;=$F51,BK$4&gt;=$F51))</f>
        <v>-0</v>
      </c>
      <c r="BL51" s="33" t="n">
        <f aca="false">-$E51*N(AND(BL$3&lt;=$F51,BL$4&gt;=$F51))</f>
        <v>-0</v>
      </c>
      <c r="BM51" s="33" t="n">
        <f aca="false">-$E51*N(AND(BM$3&lt;=$F51,BM$4&gt;=$F51))</f>
        <v>-0</v>
      </c>
      <c r="BN51" s="33" t="n">
        <f aca="false">-$E51*N(AND(BN$3&lt;=$F51,BN$4&gt;=$F51))</f>
        <v>-0</v>
      </c>
      <c r="BO51" s="33" t="n">
        <f aca="false">-$E51*N(AND(BO$3&lt;=$F51,BO$4&gt;=$F51))</f>
        <v>-0</v>
      </c>
      <c r="BP51" s="33" t="n">
        <f aca="false">-$E51*N(AND(BP$3&lt;=$F51,BP$4&gt;=$F51))</f>
        <v>-0</v>
      </c>
      <c r="BQ51" s="33" t="n">
        <f aca="false">-$E51*N(AND(BQ$3&lt;=$F51,BQ$4&gt;=$F51))</f>
        <v>-0</v>
      </c>
      <c r="BR51" s="33" t="n">
        <f aca="false">-$E51*N(AND(BR$3&lt;=$F51,BR$4&gt;=$F51))</f>
        <v>-0</v>
      </c>
      <c r="BS51" s="33" t="n">
        <f aca="false">-$E51*N(AND(BS$3&lt;=$F51,BS$4&gt;=$F51))</f>
        <v>-0</v>
      </c>
      <c r="BT51" s="33" t="n">
        <f aca="false">-$E51*N(AND(BT$3&lt;=$F51,BT$4&gt;=$F51))</f>
        <v>-0</v>
      </c>
      <c r="BU51" s="33" t="n">
        <f aca="false">-$E51*N(AND(BU$3&lt;=$F51,BU$4&gt;=$F51))</f>
        <v>-0</v>
      </c>
      <c r="BV51" s="33" t="n">
        <f aca="false">-$E51*N(AND(BV$3&lt;=$F51,BV$4&gt;=$F51))</f>
        <v>-0</v>
      </c>
      <c r="BW51" s="33" t="n">
        <f aca="false">-$E51*N(AND(BW$3&lt;=$F51,BW$4&gt;=$F51))</f>
        <v>-0</v>
      </c>
      <c r="BX51" s="33" t="n">
        <f aca="false">-$E51*N(AND(BX$3&lt;=$F51,BX$4&gt;=$F51))</f>
        <v>-0</v>
      </c>
      <c r="BY51" s="33" t="n">
        <f aca="false">-$E51*N(AND(BY$3&lt;=$F51,BY$4&gt;=$F51))</f>
        <v>-0</v>
      </c>
      <c r="BZ51" s="33" t="n">
        <f aca="false">-$E51*N(AND(BZ$3&lt;=$F51,BZ$4&gt;=$F51))</f>
        <v>-0</v>
      </c>
      <c r="CA51" s="33" t="n">
        <f aca="false">-$E51*N(AND(CA$3&lt;=$F51,CA$4&gt;=$F51))</f>
        <v>-0</v>
      </c>
      <c r="CB51" s="33" t="n">
        <f aca="false">-$E51*N(AND(CB$3&lt;=$F51,CB$4&gt;=$F51))</f>
        <v>-0</v>
      </c>
      <c r="CC51" s="33" t="n">
        <f aca="false">-$E51*N(AND(CC$3&lt;=$F51,CC$4&gt;=$F51))</f>
        <v>-0</v>
      </c>
      <c r="CD51" s="33" t="n">
        <f aca="false">-$E51*N(AND(CD$3&lt;=$F51,CD$4&gt;=$F51))</f>
        <v>-0</v>
      </c>
      <c r="CE51" s="33" t="n">
        <f aca="false">-$E51*N(AND(CE$3&lt;=$F51,CE$4&gt;=$F51))</f>
        <v>-0</v>
      </c>
      <c r="CF51" s="33" t="n">
        <f aca="false">-$E51*N(AND(CF$3&lt;=$F51,CF$4&gt;=$F51))</f>
        <v>-0</v>
      </c>
      <c r="CG51" s="33" t="n">
        <f aca="false">-$E51*N(AND(CG$3&lt;=$F51,CG$4&gt;=$F51))</f>
        <v>-0</v>
      </c>
      <c r="CH51" s="33" t="n">
        <f aca="false">-$E51*N(AND(CH$3&lt;=$F51,CH$4&gt;=$F51))</f>
        <v>-0</v>
      </c>
      <c r="CI51" s="33" t="n">
        <f aca="false">-$E51*N(AND(CI$3&lt;=$F51,CI$4&gt;=$F51))</f>
        <v>-0</v>
      </c>
      <c r="CJ51" s="33" t="n">
        <f aca="false">-$E51*N(AND(CJ$3&lt;=$F51,CJ$4&gt;=$F51))</f>
        <v>-0</v>
      </c>
      <c r="CK51" s="33" t="n">
        <f aca="false">-$E51*N(AND(CK$3&lt;=$F51,CK$4&gt;=$F51))</f>
        <v>-0</v>
      </c>
      <c r="CL51" s="33" t="n">
        <f aca="false">-$E51*N(AND(CL$3&lt;=$F51,CL$4&gt;=$F51))</f>
        <v>-0</v>
      </c>
      <c r="CM51" s="33" t="n">
        <f aca="false">-$E51*N(AND(CM$3&lt;=$F51,CM$4&gt;=$F51))</f>
        <v>-0</v>
      </c>
      <c r="CN51" s="33" t="n">
        <f aca="false">-$E51*N(AND(CN$3&lt;=$F51,CN$4&gt;=$F51))</f>
        <v>-0</v>
      </c>
      <c r="CO51" s="33" t="n">
        <f aca="false">-$E51*N(AND(CO$3&lt;=$F51,CO$4&gt;=$F51))</f>
        <v>-0</v>
      </c>
      <c r="CP51" s="33" t="n">
        <f aca="false">-$E51*N(AND(CP$3&lt;=$F51,CP$4&gt;=$F51))</f>
        <v>-0</v>
      </c>
      <c r="CQ51" s="33" t="n">
        <f aca="false">-$E51*N(AND(CQ$3&lt;=$F51,CQ$4&gt;=$F51))</f>
        <v>-0</v>
      </c>
      <c r="CR51" s="33" t="n">
        <f aca="false">-$E51*N(AND(CR$3&lt;=$F51,CR$4&gt;=$F51))</f>
        <v>-0</v>
      </c>
      <c r="CS51" s="33" t="n">
        <f aca="false">-$E51*N(AND(CS$3&lt;=$F51,CS$4&gt;=$F51))</f>
        <v>-0</v>
      </c>
      <c r="CT51" s="33" t="n">
        <f aca="false">-$E51*N(AND(CT$3&lt;=$F51,CT$4&gt;=$F51))</f>
        <v>-0</v>
      </c>
      <c r="CU51" s="33" t="n">
        <f aca="false">-$E51*N(AND(CU$3&lt;=$F51,CU$4&gt;=$F51))</f>
        <v>-0</v>
      </c>
      <c r="CV51" s="33" t="n">
        <f aca="false">-$E51*N(AND(CV$3&lt;=$F51,CV$4&gt;=$F51))</f>
        <v>-0</v>
      </c>
      <c r="CW51" s="33" t="n">
        <f aca="false">-$E51*N(AND(CW$3&lt;=$F51,CW$4&gt;=$F51))</f>
        <v>-0</v>
      </c>
      <c r="CX51" s="33" t="n">
        <f aca="false">-$E51*N(AND(CX$3&lt;=$F51,CX$4&gt;=$F51))</f>
        <v>-0</v>
      </c>
      <c r="CY51" s="33" t="n">
        <f aca="false">-$E51*N(AND(CY$3&lt;=$F51,CY$4&gt;=$F51))</f>
        <v>-0</v>
      </c>
      <c r="CZ51" s="33" t="n">
        <f aca="false">-$E51*N(AND(CZ$3&lt;=$F51,CZ$4&gt;=$F51))</f>
        <v>-0</v>
      </c>
      <c r="DA51" s="33" t="n">
        <f aca="false">-$E51*N(AND(DA$3&lt;=$F51,DA$4&gt;=$F51))</f>
        <v>-0</v>
      </c>
      <c r="DB51" s="33" t="n">
        <f aca="false">-$E51*N(AND(DB$3&lt;=$F51,DB$4&gt;=$F51))</f>
        <v>-0</v>
      </c>
      <c r="DC51" s="33" t="n">
        <f aca="false">-$E51*N(AND(DC$3&lt;=$F51,DC$4&gt;=$F51))</f>
        <v>-0</v>
      </c>
      <c r="DD51" s="33" t="n">
        <f aca="false">-$E51*N(AND(DD$3&lt;=$F51,DD$4&gt;=$F51))</f>
        <v>-0</v>
      </c>
      <c r="DE51" s="33" t="n">
        <f aca="false">-$E51*N(AND(DE$3&lt;=$F51,DE$4&gt;=$F51))</f>
        <v>-0</v>
      </c>
      <c r="DF51" s="33" t="n">
        <f aca="false">-$E51*N(AND(DF$3&lt;=$F51,DF$4&gt;=$F51))</f>
        <v>-0</v>
      </c>
      <c r="DG51" s="33" t="n">
        <f aca="false">-$E51*N(AND(DG$3&lt;=$F51,DG$4&gt;=$F51))</f>
        <v>-0</v>
      </c>
      <c r="DH51" s="33" t="n">
        <f aca="false">-$E51*N(AND(DH$3&lt;=$F51,DH$4&gt;=$F51))</f>
        <v>-0</v>
      </c>
      <c r="DI51" s="33" t="n">
        <f aca="false">-$E51*N(AND(DI$3&lt;=$F51,DI$4&gt;=$F51))</f>
        <v>-0</v>
      </c>
      <c r="DJ51" s="33" t="n">
        <f aca="false">-$E51*N(AND(DJ$3&lt;=$F51,DJ$4&gt;=$F51))</f>
        <v>-0</v>
      </c>
      <c r="DK51" s="33" t="n">
        <f aca="false">-$E51*N(AND(DK$3&lt;=$F51,DK$4&gt;=$F51))</f>
        <v>-0</v>
      </c>
      <c r="DL51" s="33" t="n">
        <f aca="false">-$E51*N(AND(DL$3&lt;=$F51,DL$4&gt;=$F51))</f>
        <v>-0</v>
      </c>
      <c r="DM51" s="33" t="n">
        <f aca="false">-$E51*N(AND(DM$3&lt;=$F51,DM$4&gt;=$F51))</f>
        <v>-0</v>
      </c>
      <c r="DN51" s="33" t="n">
        <f aca="false">-$E51*N(AND(DN$3&lt;=$F51,DN$4&gt;=$F51))</f>
        <v>-0</v>
      </c>
      <c r="DO51" s="33" t="n">
        <f aca="false">-$E51*N(AND(DO$3&lt;=$F51,DO$4&gt;=$F51))</f>
        <v>-0</v>
      </c>
      <c r="DP51" s="33" t="n">
        <f aca="false">-$E51*N(AND(DP$3&lt;=$F51,DP$4&gt;=$F51))</f>
        <v>-0</v>
      </c>
      <c r="DQ51" s="33" t="n">
        <f aca="false">-$E51*N(AND(DQ$3&lt;=$F51,DQ$4&gt;=$F51))</f>
        <v>-0</v>
      </c>
      <c r="DR51" s="33" t="n">
        <f aca="false">-$E51*N(AND(DR$3&lt;=$F51,DR$4&gt;=$F51))</f>
        <v>-0</v>
      </c>
      <c r="DS51" s="33" t="n">
        <f aca="false">-$E51*N(AND(DS$3&lt;=$F51,DS$4&gt;=$F51))</f>
        <v>-0</v>
      </c>
      <c r="DT51" s="33" t="n">
        <f aca="false">-$E51*N(AND(DT$3&lt;=$F51,DT$4&gt;=$F51))</f>
        <v>-0</v>
      </c>
      <c r="DU51" s="33" t="n">
        <f aca="false">-$E51*N(AND(DU$3&lt;=$F51,DU$4&gt;=$F51))</f>
        <v>-0</v>
      </c>
      <c r="DV51" s="33" t="n">
        <f aca="false">-$E51*N(AND(DV$3&lt;=$F51,DV$4&gt;=$F51))</f>
        <v>-0</v>
      </c>
      <c r="DW51" s="33" t="n">
        <f aca="false">-$E51*N(AND(DW$3&lt;=$F51,DW$4&gt;=$F51))</f>
        <v>-0</v>
      </c>
      <c r="DX51" s="33" t="n">
        <f aca="false">-$E51*N(AND(DX$3&lt;=$F51,DX$4&gt;=$F51))</f>
        <v>-0</v>
      </c>
      <c r="DY51" s="33" t="n">
        <f aca="false">-$E51*N(AND(DY$3&lt;=$F51,DY$4&gt;=$F51))</f>
        <v>-0</v>
      </c>
      <c r="DZ51" s="33" t="n">
        <f aca="false">-$E51*N(AND(DZ$3&lt;=$F51,DZ$4&gt;=$F51))</f>
        <v>-0</v>
      </c>
      <c r="EA51" s="33" t="n">
        <f aca="false">-$E51*N(AND(EA$3&lt;=$F51,EA$4&gt;=$F51))</f>
        <v>-0</v>
      </c>
      <c r="EB51" s="33" t="n">
        <f aca="false">-$E51*N(AND(EB$3&lt;=$F51,EB$4&gt;=$F51))</f>
        <v>-0</v>
      </c>
      <c r="EC51" s="33" t="n">
        <f aca="false">-$E51*N(AND(EC$3&lt;=$F51,EC$4&gt;=$F51))</f>
        <v>-0</v>
      </c>
      <c r="ED51" s="33" t="n">
        <f aca="false">-$E51*N(AND(ED$3&lt;=$F51,ED$4&gt;=$F51))</f>
        <v>-0</v>
      </c>
      <c r="EE51" s="33" t="n">
        <f aca="false">-$E51*N(AND(EE$3&lt;=$F51,EE$4&gt;=$F51))</f>
        <v>-0</v>
      </c>
      <c r="EF51" s="33" t="n">
        <f aca="false">-$E51*N(AND(EF$3&lt;=$F51,EF$4&gt;=$F51))</f>
        <v>-0</v>
      </c>
      <c r="EG51" s="33" t="n">
        <f aca="false">-$E51*N(AND(EG$3&lt;=$F51,EG$4&gt;=$F51))</f>
        <v>-0</v>
      </c>
      <c r="EH51" s="33" t="n">
        <f aca="false">-$E51*N(AND(EH$3&lt;=$F51,EH$4&gt;=$F51))</f>
        <v>-0</v>
      </c>
      <c r="EI51" s="33" t="n">
        <f aca="false">-$E51*N(AND(EI$3&lt;=$F51,EI$4&gt;=$F51))</f>
        <v>-0</v>
      </c>
      <c r="EJ51" s="33" t="n">
        <f aca="false">-$E51*N(AND(EJ$3&lt;=$F51,EJ$4&gt;=$F51))</f>
        <v>-0</v>
      </c>
      <c r="EK51" s="33" t="n">
        <f aca="false">-$E51*N(AND(EK$3&lt;=$F51,EK$4&gt;=$F51))</f>
        <v>-0</v>
      </c>
      <c r="EL51" s="33" t="n">
        <f aca="false">-$E51*N(AND(EL$3&lt;=$F51,EL$4&gt;=$F51))</f>
        <v>-0</v>
      </c>
      <c r="EM51" s="33" t="n">
        <f aca="false">-$E51*N(AND(EM$3&lt;=$F51,EM$4&gt;=$F51))</f>
        <v>-0</v>
      </c>
      <c r="EN51" s="33" t="n">
        <f aca="false">-$E51*N(AND(EN$3&lt;=$F51,EN$4&gt;=$F51))</f>
        <v>-0</v>
      </c>
      <c r="EO51" s="33" t="n">
        <f aca="false">-$E51*N(AND(EO$3&lt;=$F51,EO$4&gt;=$F51))</f>
        <v>-0</v>
      </c>
      <c r="EP51" s="33" t="n">
        <f aca="false">-$E51*N(AND(EP$3&lt;=$F51,EP$4&gt;=$F51))</f>
        <v>-0</v>
      </c>
      <c r="EQ51" s="33" t="n">
        <f aca="false">-$E51*N(AND(EQ$3&lt;=$F51,EQ$4&gt;=$F51))</f>
        <v>-0</v>
      </c>
      <c r="ER51" s="33" t="n">
        <f aca="false">-$E51*N(AND(ER$3&lt;=$F51,ER$4&gt;=$F51))</f>
        <v>-0</v>
      </c>
      <c r="ES51" s="33" t="n">
        <f aca="false">-$E51*N(AND(ES$3&lt;=$F51,ES$4&gt;=$F51))</f>
        <v>-0</v>
      </c>
      <c r="ET51" s="33" t="n">
        <f aca="false">-$E51*N(AND(ET$3&lt;=$F51,ET$4&gt;=$F51))</f>
        <v>-0</v>
      </c>
    </row>
    <row r="52" customFormat="false" ht="15" hidden="false" customHeight="false" outlineLevel="0" collapsed="false">
      <c r="C52" s="0" t="s">
        <v>513</v>
      </c>
      <c r="D52" s="11" t="s">
        <v>247</v>
      </c>
      <c r="E52" s="33" t="n">
        <f aca="false">(In_Indirect_Fee-In_TSO_Security)*In_MVA*Thousand/In_FX</f>
        <v>18786.6591780822</v>
      </c>
      <c r="F52" s="27" t="n">
        <f aca="false">In_HCSSZ_Date</f>
        <v>47126</v>
      </c>
      <c r="I52" s="33" t="n">
        <f aca="false">SUM(J52:ET52)</f>
        <v>-18786.6591780822</v>
      </c>
      <c r="J52" s="33" t="n">
        <f aca="false">-$E52*N(AND(J$3&lt;=$F52,J$4&gt;=$F52))</f>
        <v>-0</v>
      </c>
      <c r="K52" s="33" t="n">
        <f aca="false">-$E52*N(AND(K$3&lt;=$F52,K$4&gt;=$F52))</f>
        <v>-0</v>
      </c>
      <c r="L52" s="33" t="n">
        <f aca="false">-$E52*N(AND(L$3&lt;=$F52,L$4&gt;=$F52))</f>
        <v>-0</v>
      </c>
      <c r="M52" s="33" t="n">
        <f aca="false">-$E52*N(AND(M$3&lt;=$F52,M$4&gt;=$F52))</f>
        <v>-0</v>
      </c>
      <c r="N52" s="33" t="n">
        <f aca="false">-$E52*N(AND(N$3&lt;=$F52,N$4&gt;=$F52))</f>
        <v>-0</v>
      </c>
      <c r="O52" s="33" t="n">
        <f aca="false">-$E52*N(AND(O$3&lt;=$F52,O$4&gt;=$F52))</f>
        <v>-0</v>
      </c>
      <c r="P52" s="33" t="n">
        <f aca="false">-$E52*N(AND(P$3&lt;=$F52,P$4&gt;=$F52))</f>
        <v>-0</v>
      </c>
      <c r="Q52" s="33" t="n">
        <f aca="false">-$E52*N(AND(Q$3&lt;=$F52,Q$4&gt;=$F52))</f>
        <v>-0</v>
      </c>
      <c r="R52" s="33" t="n">
        <f aca="false">-$E52*N(AND(R$3&lt;=$F52,R$4&gt;=$F52))</f>
        <v>-0</v>
      </c>
      <c r="S52" s="33" t="n">
        <f aca="false">-$E52*N(AND(S$3&lt;=$F52,S$4&gt;=$F52))</f>
        <v>-0</v>
      </c>
      <c r="T52" s="33" t="n">
        <f aca="false">-$E52*N(AND(T$3&lt;=$F52,T$4&gt;=$F52))</f>
        <v>-18786.6591780822</v>
      </c>
      <c r="U52" s="33" t="n">
        <f aca="false">-$E52*N(AND(U$3&lt;=$F52,U$4&gt;=$F52))</f>
        <v>-0</v>
      </c>
      <c r="V52" s="33" t="n">
        <f aca="false">-$E52*N(AND(V$3&lt;=$F52,V$4&gt;=$F52))</f>
        <v>-0</v>
      </c>
      <c r="W52" s="33" t="n">
        <f aca="false">-$E52*N(AND(W$3&lt;=$F52,W$4&gt;=$F52))</f>
        <v>-0</v>
      </c>
      <c r="X52" s="33" t="n">
        <f aca="false">-$E52*N(AND(X$3&lt;=$F52,X$4&gt;=$F52))</f>
        <v>-0</v>
      </c>
      <c r="Y52" s="33" t="n">
        <f aca="false">-$E52*N(AND(Y$3&lt;=$F52,Y$4&gt;=$F52))</f>
        <v>-0</v>
      </c>
      <c r="Z52" s="33" t="n">
        <f aca="false">-$E52*N(AND(Z$3&lt;=$F52,Z$4&gt;=$F52))</f>
        <v>-0</v>
      </c>
      <c r="AA52" s="33" t="n">
        <f aca="false">-$E52*N(AND(AA$3&lt;=$F52,AA$4&gt;=$F52))</f>
        <v>-0</v>
      </c>
      <c r="AB52" s="33" t="n">
        <f aca="false">-$E52*N(AND(AB$3&lt;=$F52,AB$4&gt;=$F52))</f>
        <v>-0</v>
      </c>
      <c r="AC52" s="33" t="n">
        <f aca="false">-$E52*N(AND(AC$3&lt;=$F52,AC$4&gt;=$F52))</f>
        <v>-0</v>
      </c>
      <c r="AD52" s="33" t="n">
        <f aca="false">-$E52*N(AND(AD$3&lt;=$F52,AD$4&gt;=$F52))</f>
        <v>-0</v>
      </c>
      <c r="AE52" s="33" t="n">
        <f aca="false">-$E52*N(AND(AE$3&lt;=$F52,AE$4&gt;=$F52))</f>
        <v>-0</v>
      </c>
      <c r="AF52" s="33" t="n">
        <f aca="false">-$E52*N(AND(AF$3&lt;=$F52,AF$4&gt;=$F52))</f>
        <v>-0</v>
      </c>
      <c r="AG52" s="33" t="n">
        <f aca="false">-$E52*N(AND(AG$3&lt;=$F52,AG$4&gt;=$F52))</f>
        <v>-0</v>
      </c>
      <c r="AH52" s="33" t="n">
        <f aca="false">-$E52*N(AND(AH$3&lt;=$F52,AH$4&gt;=$F52))</f>
        <v>-0</v>
      </c>
      <c r="AI52" s="33" t="n">
        <f aca="false">-$E52*N(AND(AI$3&lt;=$F52,AI$4&gt;=$F52))</f>
        <v>-0</v>
      </c>
      <c r="AJ52" s="33" t="n">
        <f aca="false">-$E52*N(AND(AJ$3&lt;=$F52,AJ$4&gt;=$F52))</f>
        <v>-0</v>
      </c>
      <c r="AK52" s="33" t="n">
        <f aca="false">-$E52*N(AND(AK$3&lt;=$F52,AK$4&gt;=$F52))</f>
        <v>-0</v>
      </c>
      <c r="AL52" s="33" t="n">
        <f aca="false">-$E52*N(AND(AL$3&lt;=$F52,AL$4&gt;=$F52))</f>
        <v>-0</v>
      </c>
      <c r="AM52" s="33" t="n">
        <f aca="false">-$E52*N(AND(AM$3&lt;=$F52,AM$4&gt;=$F52))</f>
        <v>-0</v>
      </c>
      <c r="AN52" s="33" t="n">
        <f aca="false">-$E52*N(AND(AN$3&lt;=$F52,AN$4&gt;=$F52))</f>
        <v>-0</v>
      </c>
      <c r="AO52" s="33" t="n">
        <f aca="false">-$E52*N(AND(AO$3&lt;=$F52,AO$4&gt;=$F52))</f>
        <v>-0</v>
      </c>
      <c r="AP52" s="33" t="n">
        <f aca="false">-$E52*N(AND(AP$3&lt;=$F52,AP$4&gt;=$F52))</f>
        <v>-0</v>
      </c>
      <c r="AQ52" s="33" t="n">
        <f aca="false">-$E52*N(AND(AQ$3&lt;=$F52,AQ$4&gt;=$F52))</f>
        <v>-0</v>
      </c>
      <c r="AR52" s="33" t="n">
        <f aca="false">-$E52*N(AND(AR$3&lt;=$F52,AR$4&gt;=$F52))</f>
        <v>-0</v>
      </c>
      <c r="AS52" s="33" t="n">
        <f aca="false">-$E52*N(AND(AS$3&lt;=$F52,AS$4&gt;=$F52))</f>
        <v>-0</v>
      </c>
      <c r="AT52" s="33" t="n">
        <f aca="false">-$E52*N(AND(AT$3&lt;=$F52,AT$4&gt;=$F52))</f>
        <v>-0</v>
      </c>
      <c r="AU52" s="33" t="n">
        <f aca="false">-$E52*N(AND(AU$3&lt;=$F52,AU$4&gt;=$F52))</f>
        <v>-0</v>
      </c>
      <c r="AV52" s="33" t="n">
        <f aca="false">-$E52*N(AND(AV$3&lt;=$F52,AV$4&gt;=$F52))</f>
        <v>-0</v>
      </c>
      <c r="AW52" s="33" t="n">
        <f aca="false">-$E52*N(AND(AW$3&lt;=$F52,AW$4&gt;=$F52))</f>
        <v>-0</v>
      </c>
      <c r="AX52" s="33" t="n">
        <f aca="false">-$E52*N(AND(AX$3&lt;=$F52,AX$4&gt;=$F52))</f>
        <v>-0</v>
      </c>
      <c r="AY52" s="33" t="n">
        <f aca="false">-$E52*N(AND(AY$3&lt;=$F52,AY$4&gt;=$F52))</f>
        <v>-0</v>
      </c>
      <c r="AZ52" s="33" t="n">
        <f aca="false">-$E52*N(AND(AZ$3&lt;=$F52,AZ$4&gt;=$F52))</f>
        <v>-0</v>
      </c>
      <c r="BA52" s="33" t="n">
        <f aca="false">-$E52*N(AND(BA$3&lt;=$F52,BA$4&gt;=$F52))</f>
        <v>-0</v>
      </c>
      <c r="BB52" s="33" t="n">
        <f aca="false">-$E52*N(AND(BB$3&lt;=$F52,BB$4&gt;=$F52))</f>
        <v>-0</v>
      </c>
      <c r="BC52" s="33" t="n">
        <f aca="false">-$E52*N(AND(BC$3&lt;=$F52,BC$4&gt;=$F52))</f>
        <v>-0</v>
      </c>
      <c r="BD52" s="33" t="n">
        <f aca="false">-$E52*N(AND(BD$3&lt;=$F52,BD$4&gt;=$F52))</f>
        <v>-0</v>
      </c>
      <c r="BE52" s="33" t="n">
        <f aca="false">-$E52*N(AND(BE$3&lt;=$F52,BE$4&gt;=$F52))</f>
        <v>-0</v>
      </c>
      <c r="BF52" s="33" t="n">
        <f aca="false">-$E52*N(AND(BF$3&lt;=$F52,BF$4&gt;=$F52))</f>
        <v>-0</v>
      </c>
      <c r="BG52" s="33" t="n">
        <f aca="false">-$E52*N(AND(BG$3&lt;=$F52,BG$4&gt;=$F52))</f>
        <v>-0</v>
      </c>
      <c r="BH52" s="33" t="n">
        <f aca="false">-$E52*N(AND(BH$3&lt;=$F52,BH$4&gt;=$F52))</f>
        <v>-0</v>
      </c>
      <c r="BI52" s="33" t="n">
        <f aca="false">-$E52*N(AND(BI$3&lt;=$F52,BI$4&gt;=$F52))</f>
        <v>-0</v>
      </c>
      <c r="BJ52" s="33" t="n">
        <f aca="false">-$E52*N(AND(BJ$3&lt;=$F52,BJ$4&gt;=$F52))</f>
        <v>-0</v>
      </c>
      <c r="BK52" s="33" t="n">
        <f aca="false">-$E52*N(AND(BK$3&lt;=$F52,BK$4&gt;=$F52))</f>
        <v>-0</v>
      </c>
      <c r="BL52" s="33" t="n">
        <f aca="false">-$E52*N(AND(BL$3&lt;=$F52,BL$4&gt;=$F52))</f>
        <v>-0</v>
      </c>
      <c r="BM52" s="33" t="n">
        <f aca="false">-$E52*N(AND(BM$3&lt;=$F52,BM$4&gt;=$F52))</f>
        <v>-0</v>
      </c>
      <c r="BN52" s="33" t="n">
        <f aca="false">-$E52*N(AND(BN$3&lt;=$F52,BN$4&gt;=$F52))</f>
        <v>-0</v>
      </c>
      <c r="BO52" s="33" t="n">
        <f aca="false">-$E52*N(AND(BO$3&lt;=$F52,BO$4&gt;=$F52))</f>
        <v>-0</v>
      </c>
      <c r="BP52" s="33" t="n">
        <f aca="false">-$E52*N(AND(BP$3&lt;=$F52,BP$4&gt;=$F52))</f>
        <v>-0</v>
      </c>
      <c r="BQ52" s="33" t="n">
        <f aca="false">-$E52*N(AND(BQ$3&lt;=$F52,BQ$4&gt;=$F52))</f>
        <v>-0</v>
      </c>
      <c r="BR52" s="33" t="n">
        <f aca="false">-$E52*N(AND(BR$3&lt;=$F52,BR$4&gt;=$F52))</f>
        <v>-0</v>
      </c>
      <c r="BS52" s="33" t="n">
        <f aca="false">-$E52*N(AND(BS$3&lt;=$F52,BS$4&gt;=$F52))</f>
        <v>-0</v>
      </c>
      <c r="BT52" s="33" t="n">
        <f aca="false">-$E52*N(AND(BT$3&lt;=$F52,BT$4&gt;=$F52))</f>
        <v>-0</v>
      </c>
      <c r="BU52" s="33" t="n">
        <f aca="false">-$E52*N(AND(BU$3&lt;=$F52,BU$4&gt;=$F52))</f>
        <v>-0</v>
      </c>
      <c r="BV52" s="33" t="n">
        <f aca="false">-$E52*N(AND(BV$3&lt;=$F52,BV$4&gt;=$F52))</f>
        <v>-0</v>
      </c>
      <c r="BW52" s="33" t="n">
        <f aca="false">-$E52*N(AND(BW$3&lt;=$F52,BW$4&gt;=$F52))</f>
        <v>-0</v>
      </c>
      <c r="BX52" s="33" t="n">
        <f aca="false">-$E52*N(AND(BX$3&lt;=$F52,BX$4&gt;=$F52))</f>
        <v>-0</v>
      </c>
      <c r="BY52" s="33" t="n">
        <f aca="false">-$E52*N(AND(BY$3&lt;=$F52,BY$4&gt;=$F52))</f>
        <v>-0</v>
      </c>
      <c r="BZ52" s="33" t="n">
        <f aca="false">-$E52*N(AND(BZ$3&lt;=$F52,BZ$4&gt;=$F52))</f>
        <v>-0</v>
      </c>
      <c r="CA52" s="33" t="n">
        <f aca="false">-$E52*N(AND(CA$3&lt;=$F52,CA$4&gt;=$F52))</f>
        <v>-0</v>
      </c>
      <c r="CB52" s="33" t="n">
        <f aca="false">-$E52*N(AND(CB$3&lt;=$F52,CB$4&gt;=$F52))</f>
        <v>-0</v>
      </c>
      <c r="CC52" s="33" t="n">
        <f aca="false">-$E52*N(AND(CC$3&lt;=$F52,CC$4&gt;=$F52))</f>
        <v>-0</v>
      </c>
      <c r="CD52" s="33" t="n">
        <f aca="false">-$E52*N(AND(CD$3&lt;=$F52,CD$4&gt;=$F52))</f>
        <v>-0</v>
      </c>
      <c r="CE52" s="33" t="n">
        <f aca="false">-$E52*N(AND(CE$3&lt;=$F52,CE$4&gt;=$F52))</f>
        <v>-0</v>
      </c>
      <c r="CF52" s="33" t="n">
        <f aca="false">-$E52*N(AND(CF$3&lt;=$F52,CF$4&gt;=$F52))</f>
        <v>-0</v>
      </c>
      <c r="CG52" s="33" t="n">
        <f aca="false">-$E52*N(AND(CG$3&lt;=$F52,CG$4&gt;=$F52))</f>
        <v>-0</v>
      </c>
      <c r="CH52" s="33" t="n">
        <f aca="false">-$E52*N(AND(CH$3&lt;=$F52,CH$4&gt;=$F52))</f>
        <v>-0</v>
      </c>
      <c r="CI52" s="33" t="n">
        <f aca="false">-$E52*N(AND(CI$3&lt;=$F52,CI$4&gt;=$F52))</f>
        <v>-0</v>
      </c>
      <c r="CJ52" s="33" t="n">
        <f aca="false">-$E52*N(AND(CJ$3&lt;=$F52,CJ$4&gt;=$F52))</f>
        <v>-0</v>
      </c>
      <c r="CK52" s="33" t="n">
        <f aca="false">-$E52*N(AND(CK$3&lt;=$F52,CK$4&gt;=$F52))</f>
        <v>-0</v>
      </c>
      <c r="CL52" s="33" t="n">
        <f aca="false">-$E52*N(AND(CL$3&lt;=$F52,CL$4&gt;=$F52))</f>
        <v>-0</v>
      </c>
      <c r="CM52" s="33" t="n">
        <f aca="false">-$E52*N(AND(CM$3&lt;=$F52,CM$4&gt;=$F52))</f>
        <v>-0</v>
      </c>
      <c r="CN52" s="33" t="n">
        <f aca="false">-$E52*N(AND(CN$3&lt;=$F52,CN$4&gt;=$F52))</f>
        <v>-0</v>
      </c>
      <c r="CO52" s="33" t="n">
        <f aca="false">-$E52*N(AND(CO$3&lt;=$F52,CO$4&gt;=$F52))</f>
        <v>-0</v>
      </c>
      <c r="CP52" s="33" t="n">
        <f aca="false">-$E52*N(AND(CP$3&lt;=$F52,CP$4&gt;=$F52))</f>
        <v>-0</v>
      </c>
      <c r="CQ52" s="33" t="n">
        <f aca="false">-$E52*N(AND(CQ$3&lt;=$F52,CQ$4&gt;=$F52))</f>
        <v>-0</v>
      </c>
      <c r="CR52" s="33" t="n">
        <f aca="false">-$E52*N(AND(CR$3&lt;=$F52,CR$4&gt;=$F52))</f>
        <v>-0</v>
      </c>
      <c r="CS52" s="33" t="n">
        <f aca="false">-$E52*N(AND(CS$3&lt;=$F52,CS$4&gt;=$F52))</f>
        <v>-0</v>
      </c>
      <c r="CT52" s="33" t="n">
        <f aca="false">-$E52*N(AND(CT$3&lt;=$F52,CT$4&gt;=$F52))</f>
        <v>-0</v>
      </c>
      <c r="CU52" s="33" t="n">
        <f aca="false">-$E52*N(AND(CU$3&lt;=$F52,CU$4&gt;=$F52))</f>
        <v>-0</v>
      </c>
      <c r="CV52" s="33" t="n">
        <f aca="false">-$E52*N(AND(CV$3&lt;=$F52,CV$4&gt;=$F52))</f>
        <v>-0</v>
      </c>
      <c r="CW52" s="33" t="n">
        <f aca="false">-$E52*N(AND(CW$3&lt;=$F52,CW$4&gt;=$F52))</f>
        <v>-0</v>
      </c>
      <c r="CX52" s="33" t="n">
        <f aca="false">-$E52*N(AND(CX$3&lt;=$F52,CX$4&gt;=$F52))</f>
        <v>-0</v>
      </c>
      <c r="CY52" s="33" t="n">
        <f aca="false">-$E52*N(AND(CY$3&lt;=$F52,CY$4&gt;=$F52))</f>
        <v>-0</v>
      </c>
      <c r="CZ52" s="33" t="n">
        <f aca="false">-$E52*N(AND(CZ$3&lt;=$F52,CZ$4&gt;=$F52))</f>
        <v>-0</v>
      </c>
      <c r="DA52" s="33" t="n">
        <f aca="false">-$E52*N(AND(DA$3&lt;=$F52,DA$4&gt;=$F52))</f>
        <v>-0</v>
      </c>
      <c r="DB52" s="33" t="n">
        <f aca="false">-$E52*N(AND(DB$3&lt;=$F52,DB$4&gt;=$F52))</f>
        <v>-0</v>
      </c>
      <c r="DC52" s="33" t="n">
        <f aca="false">-$E52*N(AND(DC$3&lt;=$F52,DC$4&gt;=$F52))</f>
        <v>-0</v>
      </c>
      <c r="DD52" s="33" t="n">
        <f aca="false">-$E52*N(AND(DD$3&lt;=$F52,DD$4&gt;=$F52))</f>
        <v>-0</v>
      </c>
      <c r="DE52" s="33" t="n">
        <f aca="false">-$E52*N(AND(DE$3&lt;=$F52,DE$4&gt;=$F52))</f>
        <v>-0</v>
      </c>
      <c r="DF52" s="33" t="n">
        <f aca="false">-$E52*N(AND(DF$3&lt;=$F52,DF$4&gt;=$F52))</f>
        <v>-0</v>
      </c>
      <c r="DG52" s="33" t="n">
        <f aca="false">-$E52*N(AND(DG$3&lt;=$F52,DG$4&gt;=$F52))</f>
        <v>-0</v>
      </c>
      <c r="DH52" s="33" t="n">
        <f aca="false">-$E52*N(AND(DH$3&lt;=$F52,DH$4&gt;=$F52))</f>
        <v>-0</v>
      </c>
      <c r="DI52" s="33" t="n">
        <f aca="false">-$E52*N(AND(DI$3&lt;=$F52,DI$4&gt;=$F52))</f>
        <v>-0</v>
      </c>
      <c r="DJ52" s="33" t="n">
        <f aca="false">-$E52*N(AND(DJ$3&lt;=$F52,DJ$4&gt;=$F52))</f>
        <v>-0</v>
      </c>
      <c r="DK52" s="33" t="n">
        <f aca="false">-$E52*N(AND(DK$3&lt;=$F52,DK$4&gt;=$F52))</f>
        <v>-0</v>
      </c>
      <c r="DL52" s="33" t="n">
        <f aca="false">-$E52*N(AND(DL$3&lt;=$F52,DL$4&gt;=$F52))</f>
        <v>-0</v>
      </c>
      <c r="DM52" s="33" t="n">
        <f aca="false">-$E52*N(AND(DM$3&lt;=$F52,DM$4&gt;=$F52))</f>
        <v>-0</v>
      </c>
      <c r="DN52" s="33" t="n">
        <f aca="false">-$E52*N(AND(DN$3&lt;=$F52,DN$4&gt;=$F52))</f>
        <v>-0</v>
      </c>
      <c r="DO52" s="33" t="n">
        <f aca="false">-$E52*N(AND(DO$3&lt;=$F52,DO$4&gt;=$F52))</f>
        <v>-0</v>
      </c>
      <c r="DP52" s="33" t="n">
        <f aca="false">-$E52*N(AND(DP$3&lt;=$F52,DP$4&gt;=$F52))</f>
        <v>-0</v>
      </c>
      <c r="DQ52" s="33" t="n">
        <f aca="false">-$E52*N(AND(DQ$3&lt;=$F52,DQ$4&gt;=$F52))</f>
        <v>-0</v>
      </c>
      <c r="DR52" s="33" t="n">
        <f aca="false">-$E52*N(AND(DR$3&lt;=$F52,DR$4&gt;=$F52))</f>
        <v>-0</v>
      </c>
      <c r="DS52" s="33" t="n">
        <f aca="false">-$E52*N(AND(DS$3&lt;=$F52,DS$4&gt;=$F52))</f>
        <v>-0</v>
      </c>
      <c r="DT52" s="33" t="n">
        <f aca="false">-$E52*N(AND(DT$3&lt;=$F52,DT$4&gt;=$F52))</f>
        <v>-0</v>
      </c>
      <c r="DU52" s="33" t="n">
        <f aca="false">-$E52*N(AND(DU$3&lt;=$F52,DU$4&gt;=$F52))</f>
        <v>-0</v>
      </c>
      <c r="DV52" s="33" t="n">
        <f aca="false">-$E52*N(AND(DV$3&lt;=$F52,DV$4&gt;=$F52))</f>
        <v>-0</v>
      </c>
      <c r="DW52" s="33" t="n">
        <f aca="false">-$E52*N(AND(DW$3&lt;=$F52,DW$4&gt;=$F52))</f>
        <v>-0</v>
      </c>
      <c r="DX52" s="33" t="n">
        <f aca="false">-$E52*N(AND(DX$3&lt;=$F52,DX$4&gt;=$F52))</f>
        <v>-0</v>
      </c>
      <c r="DY52" s="33" t="n">
        <f aca="false">-$E52*N(AND(DY$3&lt;=$F52,DY$4&gt;=$F52))</f>
        <v>-0</v>
      </c>
      <c r="DZ52" s="33" t="n">
        <f aca="false">-$E52*N(AND(DZ$3&lt;=$F52,DZ$4&gt;=$F52))</f>
        <v>-0</v>
      </c>
      <c r="EA52" s="33" t="n">
        <f aca="false">-$E52*N(AND(EA$3&lt;=$F52,EA$4&gt;=$F52))</f>
        <v>-0</v>
      </c>
      <c r="EB52" s="33" t="n">
        <f aca="false">-$E52*N(AND(EB$3&lt;=$F52,EB$4&gt;=$F52))</f>
        <v>-0</v>
      </c>
      <c r="EC52" s="33" t="n">
        <f aca="false">-$E52*N(AND(EC$3&lt;=$F52,EC$4&gt;=$F52))</f>
        <v>-0</v>
      </c>
      <c r="ED52" s="33" t="n">
        <f aca="false">-$E52*N(AND(ED$3&lt;=$F52,ED$4&gt;=$F52))</f>
        <v>-0</v>
      </c>
      <c r="EE52" s="33" t="n">
        <f aca="false">-$E52*N(AND(EE$3&lt;=$F52,EE$4&gt;=$F52))</f>
        <v>-0</v>
      </c>
      <c r="EF52" s="33" t="n">
        <f aca="false">-$E52*N(AND(EF$3&lt;=$F52,EF$4&gt;=$F52))</f>
        <v>-0</v>
      </c>
      <c r="EG52" s="33" t="n">
        <f aca="false">-$E52*N(AND(EG$3&lt;=$F52,EG$4&gt;=$F52))</f>
        <v>-0</v>
      </c>
      <c r="EH52" s="33" t="n">
        <f aca="false">-$E52*N(AND(EH$3&lt;=$F52,EH$4&gt;=$F52))</f>
        <v>-0</v>
      </c>
      <c r="EI52" s="33" t="n">
        <f aca="false">-$E52*N(AND(EI$3&lt;=$F52,EI$4&gt;=$F52))</f>
        <v>-0</v>
      </c>
      <c r="EJ52" s="33" t="n">
        <f aca="false">-$E52*N(AND(EJ$3&lt;=$F52,EJ$4&gt;=$F52))</f>
        <v>-0</v>
      </c>
      <c r="EK52" s="33" t="n">
        <f aca="false">-$E52*N(AND(EK$3&lt;=$F52,EK$4&gt;=$F52))</f>
        <v>-0</v>
      </c>
      <c r="EL52" s="33" t="n">
        <f aca="false">-$E52*N(AND(EL$3&lt;=$F52,EL$4&gt;=$F52))</f>
        <v>-0</v>
      </c>
      <c r="EM52" s="33" t="n">
        <f aca="false">-$E52*N(AND(EM$3&lt;=$F52,EM$4&gt;=$F52))</f>
        <v>-0</v>
      </c>
      <c r="EN52" s="33" t="n">
        <f aca="false">-$E52*N(AND(EN$3&lt;=$F52,EN$4&gt;=$F52))</f>
        <v>-0</v>
      </c>
      <c r="EO52" s="33" t="n">
        <f aca="false">-$E52*N(AND(EO$3&lt;=$F52,EO$4&gt;=$F52))</f>
        <v>-0</v>
      </c>
      <c r="EP52" s="33" t="n">
        <f aca="false">-$E52*N(AND(EP$3&lt;=$F52,EP$4&gt;=$F52))</f>
        <v>-0</v>
      </c>
      <c r="EQ52" s="33" t="n">
        <f aca="false">-$E52*N(AND(EQ$3&lt;=$F52,EQ$4&gt;=$F52))</f>
        <v>-0</v>
      </c>
      <c r="ER52" s="33" t="n">
        <f aca="false">-$E52*N(AND(ER$3&lt;=$F52,ER$4&gt;=$F52))</f>
        <v>-0</v>
      </c>
      <c r="ES52" s="33" t="n">
        <f aca="false">-$E52*N(AND(ES$3&lt;=$F52,ES$4&gt;=$F52))</f>
        <v>-0</v>
      </c>
      <c r="ET52" s="33" t="n">
        <f aca="false">-$E52*N(AND(ET$3&lt;=$F52,ET$4&gt;=$F52))</f>
        <v>-0</v>
      </c>
    </row>
    <row r="53" customFormat="false" ht="15" hidden="false" customHeight="false" outlineLevel="0" collapsed="false">
      <c r="C53" s="0" t="s">
        <v>115</v>
      </c>
      <c r="D53" s="11" t="s">
        <v>247</v>
      </c>
      <c r="I53" s="33" t="n">
        <f aca="false">SUM(J53:ET53)</f>
        <v>-20179.3874082192</v>
      </c>
      <c r="J53" s="33" t="n">
        <f aca="false">J51+J52</f>
        <v>-0</v>
      </c>
      <c r="K53" s="33" t="n">
        <f aca="false">K51+K52</f>
        <v>-0</v>
      </c>
      <c r="L53" s="33" t="n">
        <f aca="false">L51+L52</f>
        <v>-0</v>
      </c>
      <c r="M53" s="33" t="n">
        <f aca="false">M51+M52</f>
        <v>-0</v>
      </c>
      <c r="N53" s="33" t="n">
        <f aca="false">N51+N52</f>
        <v>-0</v>
      </c>
      <c r="O53" s="33" t="n">
        <f aca="false">O51+O52</f>
        <v>-0</v>
      </c>
      <c r="P53" s="33" t="n">
        <f aca="false">P51+P52</f>
        <v>-0</v>
      </c>
      <c r="Q53" s="33" t="n">
        <f aca="false">Q51+Q52</f>
        <v>-0</v>
      </c>
      <c r="R53" s="33" t="n">
        <f aca="false">R51+R52</f>
        <v>-0</v>
      </c>
      <c r="S53" s="33" t="n">
        <f aca="false">S51+S52</f>
        <v>-0</v>
      </c>
      <c r="T53" s="33" t="n">
        <f aca="false">T51+T52</f>
        <v>-20179.3874082192</v>
      </c>
      <c r="U53" s="33" t="n">
        <f aca="false">U51+U52</f>
        <v>-0</v>
      </c>
      <c r="V53" s="33" t="n">
        <f aca="false">V51+V52</f>
        <v>-0</v>
      </c>
      <c r="W53" s="33" t="n">
        <f aca="false">W51+W52</f>
        <v>-0</v>
      </c>
      <c r="X53" s="33" t="n">
        <f aca="false">X51+X52</f>
        <v>-0</v>
      </c>
      <c r="Y53" s="33" t="n">
        <f aca="false">Y51+Y52</f>
        <v>-0</v>
      </c>
      <c r="Z53" s="33" t="n">
        <f aca="false">Z51+Z52</f>
        <v>-0</v>
      </c>
      <c r="AA53" s="33" t="n">
        <f aca="false">AA51+AA52</f>
        <v>-0</v>
      </c>
      <c r="AB53" s="33" t="n">
        <f aca="false">AB51+AB52</f>
        <v>-0</v>
      </c>
      <c r="AC53" s="33" t="n">
        <f aca="false">AC51+AC52</f>
        <v>-0</v>
      </c>
      <c r="AD53" s="33" t="n">
        <f aca="false">AD51+AD52</f>
        <v>-0</v>
      </c>
      <c r="AE53" s="33" t="n">
        <f aca="false">AE51+AE52</f>
        <v>-0</v>
      </c>
      <c r="AF53" s="33" t="n">
        <f aca="false">AF51+AF52</f>
        <v>-0</v>
      </c>
      <c r="AG53" s="33" t="n">
        <f aca="false">AG51+AG52</f>
        <v>-0</v>
      </c>
      <c r="AH53" s="33" t="n">
        <f aca="false">AH51+AH52</f>
        <v>-0</v>
      </c>
      <c r="AI53" s="33" t="n">
        <f aca="false">AI51+AI52</f>
        <v>-0</v>
      </c>
      <c r="AJ53" s="33" t="n">
        <f aca="false">AJ51+AJ52</f>
        <v>-0</v>
      </c>
      <c r="AK53" s="33" t="n">
        <f aca="false">AK51+AK52</f>
        <v>-0</v>
      </c>
      <c r="AL53" s="33" t="n">
        <f aca="false">AL51+AL52</f>
        <v>-0</v>
      </c>
      <c r="AM53" s="33" t="n">
        <f aca="false">AM51+AM52</f>
        <v>-0</v>
      </c>
      <c r="AN53" s="33" t="n">
        <f aca="false">AN51+AN52</f>
        <v>-0</v>
      </c>
      <c r="AO53" s="33" t="n">
        <f aca="false">AO51+AO52</f>
        <v>-0</v>
      </c>
      <c r="AP53" s="33" t="n">
        <f aca="false">AP51+AP52</f>
        <v>-0</v>
      </c>
      <c r="AQ53" s="33" t="n">
        <f aca="false">AQ51+AQ52</f>
        <v>-0</v>
      </c>
      <c r="AR53" s="33" t="n">
        <f aca="false">AR51+AR52</f>
        <v>-0</v>
      </c>
      <c r="AS53" s="33" t="n">
        <f aca="false">AS51+AS52</f>
        <v>-0</v>
      </c>
      <c r="AT53" s="33" t="n">
        <f aca="false">AT51+AT52</f>
        <v>-0</v>
      </c>
      <c r="AU53" s="33" t="n">
        <f aca="false">AU51+AU52</f>
        <v>-0</v>
      </c>
      <c r="AV53" s="33" t="n">
        <f aca="false">AV51+AV52</f>
        <v>-0</v>
      </c>
      <c r="AW53" s="33" t="n">
        <f aca="false">AW51+AW52</f>
        <v>-0</v>
      </c>
      <c r="AX53" s="33" t="n">
        <f aca="false">AX51+AX52</f>
        <v>-0</v>
      </c>
      <c r="AY53" s="33" t="n">
        <f aca="false">AY51+AY52</f>
        <v>-0</v>
      </c>
      <c r="AZ53" s="33" t="n">
        <f aca="false">AZ51+AZ52</f>
        <v>-0</v>
      </c>
      <c r="BA53" s="33" t="n">
        <f aca="false">BA51+BA52</f>
        <v>-0</v>
      </c>
      <c r="BB53" s="33" t="n">
        <f aca="false">BB51+BB52</f>
        <v>-0</v>
      </c>
      <c r="BC53" s="33" t="n">
        <f aca="false">BC51+BC52</f>
        <v>-0</v>
      </c>
      <c r="BD53" s="33" t="n">
        <f aca="false">BD51+BD52</f>
        <v>-0</v>
      </c>
      <c r="BE53" s="33" t="n">
        <f aca="false">BE51+BE52</f>
        <v>-0</v>
      </c>
      <c r="BF53" s="33" t="n">
        <f aca="false">BF51+BF52</f>
        <v>-0</v>
      </c>
      <c r="BG53" s="33" t="n">
        <f aca="false">BG51+BG52</f>
        <v>-0</v>
      </c>
      <c r="BH53" s="33" t="n">
        <f aca="false">BH51+BH52</f>
        <v>-0</v>
      </c>
      <c r="BI53" s="33" t="n">
        <f aca="false">BI51+BI52</f>
        <v>-0</v>
      </c>
      <c r="BJ53" s="33" t="n">
        <f aca="false">BJ51+BJ52</f>
        <v>-0</v>
      </c>
      <c r="BK53" s="33" t="n">
        <f aca="false">BK51+BK52</f>
        <v>-0</v>
      </c>
      <c r="BL53" s="33" t="n">
        <f aca="false">BL51+BL52</f>
        <v>-0</v>
      </c>
      <c r="BM53" s="33" t="n">
        <f aca="false">BM51+BM52</f>
        <v>-0</v>
      </c>
      <c r="BN53" s="33" t="n">
        <f aca="false">BN51+BN52</f>
        <v>-0</v>
      </c>
      <c r="BO53" s="33" t="n">
        <f aca="false">BO51+BO52</f>
        <v>-0</v>
      </c>
      <c r="BP53" s="33" t="n">
        <f aca="false">BP51+BP52</f>
        <v>-0</v>
      </c>
      <c r="BQ53" s="33" t="n">
        <f aca="false">BQ51+BQ52</f>
        <v>-0</v>
      </c>
      <c r="BR53" s="33" t="n">
        <f aca="false">BR51+BR52</f>
        <v>-0</v>
      </c>
      <c r="BS53" s="33" t="n">
        <f aca="false">BS51+BS52</f>
        <v>-0</v>
      </c>
      <c r="BT53" s="33" t="n">
        <f aca="false">BT51+BT52</f>
        <v>-0</v>
      </c>
      <c r="BU53" s="33" t="n">
        <f aca="false">BU51+BU52</f>
        <v>-0</v>
      </c>
      <c r="BV53" s="33" t="n">
        <f aca="false">BV51+BV52</f>
        <v>-0</v>
      </c>
      <c r="BW53" s="33" t="n">
        <f aca="false">BW51+BW52</f>
        <v>-0</v>
      </c>
      <c r="BX53" s="33" t="n">
        <f aca="false">BX51+BX52</f>
        <v>-0</v>
      </c>
      <c r="BY53" s="33" t="n">
        <f aca="false">BY51+BY52</f>
        <v>-0</v>
      </c>
      <c r="BZ53" s="33" t="n">
        <f aca="false">BZ51+BZ52</f>
        <v>-0</v>
      </c>
      <c r="CA53" s="33" t="n">
        <f aca="false">CA51+CA52</f>
        <v>-0</v>
      </c>
      <c r="CB53" s="33" t="n">
        <f aca="false">CB51+CB52</f>
        <v>-0</v>
      </c>
      <c r="CC53" s="33" t="n">
        <f aca="false">CC51+CC52</f>
        <v>-0</v>
      </c>
      <c r="CD53" s="33" t="n">
        <f aca="false">CD51+CD52</f>
        <v>-0</v>
      </c>
      <c r="CE53" s="33" t="n">
        <f aca="false">CE51+CE52</f>
        <v>-0</v>
      </c>
      <c r="CF53" s="33" t="n">
        <f aca="false">CF51+CF52</f>
        <v>-0</v>
      </c>
      <c r="CG53" s="33" t="n">
        <f aca="false">CG51+CG52</f>
        <v>-0</v>
      </c>
      <c r="CH53" s="33" t="n">
        <f aca="false">CH51+CH52</f>
        <v>-0</v>
      </c>
      <c r="CI53" s="33" t="n">
        <f aca="false">CI51+CI52</f>
        <v>-0</v>
      </c>
      <c r="CJ53" s="33" t="n">
        <f aca="false">CJ51+CJ52</f>
        <v>-0</v>
      </c>
      <c r="CK53" s="33" t="n">
        <f aca="false">CK51+CK52</f>
        <v>-0</v>
      </c>
      <c r="CL53" s="33" t="n">
        <f aca="false">CL51+CL52</f>
        <v>-0</v>
      </c>
      <c r="CM53" s="33" t="n">
        <f aca="false">CM51+CM52</f>
        <v>-0</v>
      </c>
      <c r="CN53" s="33" t="n">
        <f aca="false">CN51+CN52</f>
        <v>-0</v>
      </c>
      <c r="CO53" s="33" t="n">
        <f aca="false">CO51+CO52</f>
        <v>-0</v>
      </c>
      <c r="CP53" s="33" t="n">
        <f aca="false">CP51+CP52</f>
        <v>-0</v>
      </c>
      <c r="CQ53" s="33" t="n">
        <f aca="false">CQ51+CQ52</f>
        <v>-0</v>
      </c>
      <c r="CR53" s="33" t="n">
        <f aca="false">CR51+CR52</f>
        <v>-0</v>
      </c>
      <c r="CS53" s="33" t="n">
        <f aca="false">CS51+CS52</f>
        <v>-0</v>
      </c>
      <c r="CT53" s="33" t="n">
        <f aca="false">CT51+CT52</f>
        <v>-0</v>
      </c>
      <c r="CU53" s="33" t="n">
        <f aca="false">CU51+CU52</f>
        <v>-0</v>
      </c>
      <c r="CV53" s="33" t="n">
        <f aca="false">CV51+CV52</f>
        <v>-0</v>
      </c>
      <c r="CW53" s="33" t="n">
        <f aca="false">CW51+CW52</f>
        <v>-0</v>
      </c>
      <c r="CX53" s="33" t="n">
        <f aca="false">CX51+CX52</f>
        <v>-0</v>
      </c>
      <c r="CY53" s="33" t="n">
        <f aca="false">CY51+CY52</f>
        <v>-0</v>
      </c>
      <c r="CZ53" s="33" t="n">
        <f aca="false">CZ51+CZ52</f>
        <v>-0</v>
      </c>
      <c r="DA53" s="33" t="n">
        <f aca="false">DA51+DA52</f>
        <v>-0</v>
      </c>
      <c r="DB53" s="33" t="n">
        <f aca="false">DB51+DB52</f>
        <v>-0</v>
      </c>
      <c r="DC53" s="33" t="n">
        <f aca="false">DC51+DC52</f>
        <v>-0</v>
      </c>
      <c r="DD53" s="33" t="n">
        <f aca="false">DD51+DD52</f>
        <v>-0</v>
      </c>
      <c r="DE53" s="33" t="n">
        <f aca="false">DE51+DE52</f>
        <v>-0</v>
      </c>
      <c r="DF53" s="33" t="n">
        <f aca="false">DF51+DF52</f>
        <v>-0</v>
      </c>
      <c r="DG53" s="33" t="n">
        <f aca="false">DG51+DG52</f>
        <v>-0</v>
      </c>
      <c r="DH53" s="33" t="n">
        <f aca="false">DH51+DH52</f>
        <v>-0</v>
      </c>
      <c r="DI53" s="33" t="n">
        <f aca="false">DI51+DI52</f>
        <v>-0</v>
      </c>
      <c r="DJ53" s="33" t="n">
        <f aca="false">DJ51+DJ52</f>
        <v>-0</v>
      </c>
      <c r="DK53" s="33" t="n">
        <f aca="false">DK51+DK52</f>
        <v>-0</v>
      </c>
      <c r="DL53" s="33" t="n">
        <f aca="false">DL51+DL52</f>
        <v>-0</v>
      </c>
      <c r="DM53" s="33" t="n">
        <f aca="false">DM51+DM52</f>
        <v>-0</v>
      </c>
      <c r="DN53" s="33" t="n">
        <f aca="false">DN51+DN52</f>
        <v>-0</v>
      </c>
      <c r="DO53" s="33" t="n">
        <f aca="false">DO51+DO52</f>
        <v>-0</v>
      </c>
      <c r="DP53" s="33" t="n">
        <f aca="false">DP51+DP52</f>
        <v>-0</v>
      </c>
      <c r="DQ53" s="33" t="n">
        <f aca="false">DQ51+DQ52</f>
        <v>-0</v>
      </c>
      <c r="DR53" s="33" t="n">
        <f aca="false">DR51+DR52</f>
        <v>-0</v>
      </c>
      <c r="DS53" s="33" t="n">
        <f aca="false">DS51+DS52</f>
        <v>-0</v>
      </c>
      <c r="DT53" s="33" t="n">
        <f aca="false">DT51+DT52</f>
        <v>-0</v>
      </c>
      <c r="DU53" s="33" t="n">
        <f aca="false">DU51+DU52</f>
        <v>-0</v>
      </c>
      <c r="DV53" s="33" t="n">
        <f aca="false">DV51+DV52</f>
        <v>-0</v>
      </c>
      <c r="DW53" s="33" t="n">
        <f aca="false">DW51+DW52</f>
        <v>-0</v>
      </c>
      <c r="DX53" s="33" t="n">
        <f aca="false">DX51+DX52</f>
        <v>-0</v>
      </c>
      <c r="DY53" s="33" t="n">
        <f aca="false">DY51+DY52</f>
        <v>-0</v>
      </c>
      <c r="DZ53" s="33" t="n">
        <f aca="false">DZ51+DZ52</f>
        <v>-0</v>
      </c>
      <c r="EA53" s="33" t="n">
        <f aca="false">EA51+EA52</f>
        <v>-0</v>
      </c>
      <c r="EB53" s="33" t="n">
        <f aca="false">EB51+EB52</f>
        <v>-0</v>
      </c>
      <c r="EC53" s="33" t="n">
        <f aca="false">EC51+EC52</f>
        <v>-0</v>
      </c>
      <c r="ED53" s="33" t="n">
        <f aca="false">ED51+ED52</f>
        <v>-0</v>
      </c>
      <c r="EE53" s="33" t="n">
        <f aca="false">EE51+EE52</f>
        <v>-0</v>
      </c>
      <c r="EF53" s="33" t="n">
        <f aca="false">EF51+EF52</f>
        <v>-0</v>
      </c>
      <c r="EG53" s="33" t="n">
        <f aca="false">EG51+EG52</f>
        <v>-0</v>
      </c>
      <c r="EH53" s="33" t="n">
        <f aca="false">EH51+EH52</f>
        <v>-0</v>
      </c>
      <c r="EI53" s="33" t="n">
        <f aca="false">EI51+EI52</f>
        <v>-0</v>
      </c>
      <c r="EJ53" s="33" t="n">
        <f aca="false">EJ51+EJ52</f>
        <v>-0</v>
      </c>
      <c r="EK53" s="33" t="n">
        <f aca="false">EK51+EK52</f>
        <v>-0</v>
      </c>
      <c r="EL53" s="33" t="n">
        <f aca="false">EL51+EL52</f>
        <v>-0</v>
      </c>
      <c r="EM53" s="33" t="n">
        <f aca="false">EM51+EM52</f>
        <v>-0</v>
      </c>
      <c r="EN53" s="33" t="n">
        <f aca="false">EN51+EN52</f>
        <v>-0</v>
      </c>
      <c r="EO53" s="33" t="n">
        <f aca="false">EO51+EO52</f>
        <v>-0</v>
      </c>
      <c r="EP53" s="33" t="n">
        <f aca="false">EP51+EP52</f>
        <v>-0</v>
      </c>
      <c r="EQ53" s="33" t="n">
        <f aca="false">EQ51+EQ52</f>
        <v>-0</v>
      </c>
      <c r="ER53" s="33" t="n">
        <f aca="false">ER51+ER52</f>
        <v>-0</v>
      </c>
      <c r="ES53" s="33" t="n">
        <f aca="false">ES51+ES52</f>
        <v>-0</v>
      </c>
      <c r="ET53" s="33" t="n">
        <f aca="false">ET51+ET52</f>
        <v>-0</v>
      </c>
    </row>
    <row r="54" customFormat="false" ht="15" hidden="false" customHeight="false" outlineLevel="0" collapsed="false">
      <c r="C54" s="0" t="s">
        <v>514</v>
      </c>
      <c r="D54" s="11" t="s">
        <v>247</v>
      </c>
      <c r="I54" s="33" t="n">
        <f aca="false">SUM(J54:ET54)</f>
        <v>-2404.83056505452</v>
      </c>
      <c r="J54" s="33" t="n">
        <f aca="false">-SUMIFS(Devex_Keur,Devex_Date,"&gt;="&amp;J$3,Devex_Date,"&lt;="&amp;J$4,Devex_Land,0)</f>
        <v>-0</v>
      </c>
      <c r="K54" s="33" t="n">
        <f aca="false">-SUMIFS(Devex_Keur,Devex_Date,"&gt;="&amp;K$3,Devex_Date,"&lt;="&amp;K$4,Devex_Land,0)</f>
        <v>-178.520547945205</v>
      </c>
      <c r="L54" s="33" t="n">
        <f aca="false">-SUMIFS(Devex_Keur,Devex_Date,"&gt;="&amp;L$3,Devex_Date,"&lt;="&amp;L$4,Devex_Land,0)</f>
        <v>-407.86301369863</v>
      </c>
      <c r="M54" s="33" t="n">
        <f aca="false">-SUMIFS(Devex_Keur,Devex_Date,"&gt;="&amp;M$3,Devex_Date,"&lt;="&amp;M$4,Devex_Land,0)</f>
        <v>-43.8356164383562</v>
      </c>
      <c r="N54" s="33" t="n">
        <f aca="false">-SUMIFS(Devex_Keur,Devex_Date,"&gt;="&amp;N$3,Devex_Date,"&lt;="&amp;N$4,Devex_Land,0)</f>
        <v>-43.8356164383562</v>
      </c>
      <c r="O54" s="33" t="n">
        <f aca="false">-SUMIFS(Devex_Keur,Devex_Date,"&gt;="&amp;O$3,Devex_Date,"&lt;="&amp;O$4,Devex_Land,0)</f>
        <v>-184.361643835616</v>
      </c>
      <c r="P54" s="33" t="n">
        <f aca="false">-SUMIFS(Devex_Keur,Devex_Date,"&gt;="&amp;P$3,Devex_Date,"&lt;="&amp;P$4,Devex_Land,0)</f>
        <v>-1290.04179480011</v>
      </c>
      <c r="Q54" s="33" t="n">
        <f aca="false">-SUMIFS(Devex_Keur,Devex_Date,"&gt;="&amp;Q$3,Devex_Date,"&lt;="&amp;Q$4,Devex_Land,0)</f>
        <v>-4.60958904109589</v>
      </c>
      <c r="R54" s="33" t="n">
        <f aca="false">-SUMIFS(Devex_Keur,Devex_Date,"&gt;="&amp;R$3,Devex_Date,"&lt;="&amp;R$4,Devex_Land,0)</f>
        <v>-164.091509980431</v>
      </c>
      <c r="S54" s="33" t="n">
        <f aca="false">-SUMIFS(Devex_Keur,Devex_Date,"&gt;="&amp;S$3,Devex_Date,"&lt;="&amp;S$4,Devex_Land,0)</f>
        <v>-32.8767123287671</v>
      </c>
      <c r="T54" s="33" t="n">
        <f aca="false">-SUMIFS(Devex_Keur,Devex_Date,"&gt;="&amp;T$3,Devex_Date,"&lt;="&amp;T$4,Devex_Land,0)</f>
        <v>-54.7945205479452</v>
      </c>
      <c r="U54" s="33" t="n">
        <f aca="false">-SUMIFS(Devex_Keur,Devex_Date,"&gt;="&amp;U$3,Devex_Date,"&lt;="&amp;U$4,Devex_Land,0)</f>
        <v>-0</v>
      </c>
      <c r="V54" s="33" t="n">
        <f aca="false">-SUMIFS(Devex_Keur,Devex_Date,"&gt;="&amp;V$3,Devex_Date,"&lt;="&amp;V$4,Devex_Land,0)</f>
        <v>-0</v>
      </c>
      <c r="W54" s="33" t="n">
        <f aca="false">-SUMIFS(Devex_Keur,Devex_Date,"&gt;="&amp;W$3,Devex_Date,"&lt;="&amp;W$4,Devex_Land,0)</f>
        <v>-0</v>
      </c>
      <c r="X54" s="33" t="n">
        <f aca="false">-SUMIFS(Devex_Keur,Devex_Date,"&gt;="&amp;X$3,Devex_Date,"&lt;="&amp;X$4,Devex_Land,0)</f>
        <v>-0</v>
      </c>
      <c r="Y54" s="33" t="n">
        <f aca="false">-SUMIFS(Devex_Keur,Devex_Date,"&gt;="&amp;Y$3,Devex_Date,"&lt;="&amp;Y$4,Devex_Land,0)</f>
        <v>-0</v>
      </c>
      <c r="Z54" s="33" t="n">
        <f aca="false">-SUMIFS(Devex_Keur,Devex_Date,"&gt;="&amp;Z$3,Devex_Date,"&lt;="&amp;Z$4,Devex_Land,0)</f>
        <v>-0</v>
      </c>
      <c r="AA54" s="33" t="n">
        <f aca="false">-SUMIFS(Devex_Keur,Devex_Date,"&gt;="&amp;AA$3,Devex_Date,"&lt;="&amp;AA$4,Devex_Land,0)</f>
        <v>-0</v>
      </c>
      <c r="AB54" s="33" t="n">
        <f aca="false">-SUMIFS(Devex_Keur,Devex_Date,"&gt;="&amp;AB$3,Devex_Date,"&lt;="&amp;AB$4,Devex_Land,0)</f>
        <v>-0</v>
      </c>
      <c r="AC54" s="33" t="n">
        <f aca="false">-SUMIFS(Devex_Keur,Devex_Date,"&gt;="&amp;AC$3,Devex_Date,"&lt;="&amp;AC$4,Devex_Land,0)</f>
        <v>-0</v>
      </c>
      <c r="AD54" s="33" t="n">
        <f aca="false">-SUMIFS(Devex_Keur,Devex_Date,"&gt;="&amp;AD$3,Devex_Date,"&lt;="&amp;AD$4,Devex_Land,0)</f>
        <v>-0</v>
      </c>
      <c r="AE54" s="33" t="n">
        <f aca="false">-SUMIFS(Devex_Keur,Devex_Date,"&gt;="&amp;AE$3,Devex_Date,"&lt;="&amp;AE$4,Devex_Land,0)</f>
        <v>-0</v>
      </c>
      <c r="AF54" s="33" t="n">
        <f aca="false">-SUMIFS(Devex_Keur,Devex_Date,"&gt;="&amp;AF$3,Devex_Date,"&lt;="&amp;AF$4,Devex_Land,0)</f>
        <v>-0</v>
      </c>
      <c r="AG54" s="33" t="n">
        <f aca="false">-SUMIFS(Devex_Keur,Devex_Date,"&gt;="&amp;AG$3,Devex_Date,"&lt;="&amp;AG$4,Devex_Land,0)</f>
        <v>-0</v>
      </c>
      <c r="AH54" s="33" t="n">
        <f aca="false">-SUMIFS(Devex_Keur,Devex_Date,"&gt;="&amp;AH$3,Devex_Date,"&lt;="&amp;AH$4,Devex_Land,0)</f>
        <v>-0</v>
      </c>
      <c r="AI54" s="33" t="n">
        <f aca="false">-SUMIFS(Devex_Keur,Devex_Date,"&gt;="&amp;AI$3,Devex_Date,"&lt;="&amp;AI$4,Devex_Land,0)</f>
        <v>-0</v>
      </c>
      <c r="AJ54" s="33" t="n">
        <f aca="false">-SUMIFS(Devex_Keur,Devex_Date,"&gt;="&amp;AJ$3,Devex_Date,"&lt;="&amp;AJ$4,Devex_Land,0)</f>
        <v>-0</v>
      </c>
      <c r="AK54" s="33" t="n">
        <f aca="false">-SUMIFS(Devex_Keur,Devex_Date,"&gt;="&amp;AK$3,Devex_Date,"&lt;="&amp;AK$4,Devex_Land,0)</f>
        <v>-0</v>
      </c>
      <c r="AL54" s="33" t="n">
        <f aca="false">-SUMIFS(Devex_Keur,Devex_Date,"&gt;="&amp;AL$3,Devex_Date,"&lt;="&amp;AL$4,Devex_Land,0)</f>
        <v>-0</v>
      </c>
      <c r="AM54" s="33" t="n">
        <f aca="false">-SUMIFS(Devex_Keur,Devex_Date,"&gt;="&amp;AM$3,Devex_Date,"&lt;="&amp;AM$4,Devex_Land,0)</f>
        <v>-0</v>
      </c>
      <c r="AN54" s="33" t="n">
        <f aca="false">-SUMIFS(Devex_Keur,Devex_Date,"&gt;="&amp;AN$3,Devex_Date,"&lt;="&amp;AN$4,Devex_Land,0)</f>
        <v>-0</v>
      </c>
      <c r="AO54" s="33" t="n">
        <f aca="false">-SUMIFS(Devex_Keur,Devex_Date,"&gt;="&amp;AO$3,Devex_Date,"&lt;="&amp;AO$4,Devex_Land,0)</f>
        <v>-0</v>
      </c>
      <c r="AP54" s="33" t="n">
        <f aca="false">-SUMIFS(Devex_Keur,Devex_Date,"&gt;="&amp;AP$3,Devex_Date,"&lt;="&amp;AP$4,Devex_Land,0)</f>
        <v>-0</v>
      </c>
      <c r="AQ54" s="33" t="n">
        <f aca="false">-SUMIFS(Devex_Keur,Devex_Date,"&gt;="&amp;AQ$3,Devex_Date,"&lt;="&amp;AQ$4,Devex_Land,0)</f>
        <v>-0</v>
      </c>
      <c r="AR54" s="33" t="n">
        <f aca="false">-SUMIFS(Devex_Keur,Devex_Date,"&gt;="&amp;AR$3,Devex_Date,"&lt;="&amp;AR$4,Devex_Land,0)</f>
        <v>-0</v>
      </c>
      <c r="AS54" s="33" t="n">
        <f aca="false">-SUMIFS(Devex_Keur,Devex_Date,"&gt;="&amp;AS$3,Devex_Date,"&lt;="&amp;AS$4,Devex_Land,0)</f>
        <v>-0</v>
      </c>
      <c r="AT54" s="33" t="n">
        <f aca="false">-SUMIFS(Devex_Keur,Devex_Date,"&gt;="&amp;AT$3,Devex_Date,"&lt;="&amp;AT$4,Devex_Land,0)</f>
        <v>-0</v>
      </c>
      <c r="AU54" s="33" t="n">
        <f aca="false">-SUMIFS(Devex_Keur,Devex_Date,"&gt;="&amp;AU$3,Devex_Date,"&lt;="&amp;AU$4,Devex_Land,0)</f>
        <v>-0</v>
      </c>
      <c r="AV54" s="33" t="n">
        <f aca="false">-SUMIFS(Devex_Keur,Devex_Date,"&gt;="&amp;AV$3,Devex_Date,"&lt;="&amp;AV$4,Devex_Land,0)</f>
        <v>-0</v>
      </c>
      <c r="AW54" s="33" t="n">
        <f aca="false">-SUMIFS(Devex_Keur,Devex_Date,"&gt;="&amp;AW$3,Devex_Date,"&lt;="&amp;AW$4,Devex_Land,0)</f>
        <v>-0</v>
      </c>
      <c r="AX54" s="33" t="n">
        <f aca="false">-SUMIFS(Devex_Keur,Devex_Date,"&gt;="&amp;AX$3,Devex_Date,"&lt;="&amp;AX$4,Devex_Land,0)</f>
        <v>-0</v>
      </c>
      <c r="AY54" s="33" t="n">
        <f aca="false">-SUMIFS(Devex_Keur,Devex_Date,"&gt;="&amp;AY$3,Devex_Date,"&lt;="&amp;AY$4,Devex_Land,0)</f>
        <v>-0</v>
      </c>
      <c r="AZ54" s="33" t="n">
        <f aca="false">-SUMIFS(Devex_Keur,Devex_Date,"&gt;="&amp;AZ$3,Devex_Date,"&lt;="&amp;AZ$4,Devex_Land,0)</f>
        <v>-0</v>
      </c>
      <c r="BA54" s="33" t="n">
        <f aca="false">-SUMIFS(Devex_Keur,Devex_Date,"&gt;="&amp;BA$3,Devex_Date,"&lt;="&amp;BA$4,Devex_Land,0)</f>
        <v>-0</v>
      </c>
      <c r="BB54" s="33" t="n">
        <f aca="false">-SUMIFS(Devex_Keur,Devex_Date,"&gt;="&amp;BB$3,Devex_Date,"&lt;="&amp;BB$4,Devex_Land,0)</f>
        <v>-0</v>
      </c>
      <c r="BC54" s="33" t="n">
        <f aca="false">-SUMIFS(Devex_Keur,Devex_Date,"&gt;="&amp;BC$3,Devex_Date,"&lt;="&amp;BC$4,Devex_Land,0)</f>
        <v>-0</v>
      </c>
      <c r="BD54" s="33" t="n">
        <f aca="false">-SUMIFS(Devex_Keur,Devex_Date,"&gt;="&amp;BD$3,Devex_Date,"&lt;="&amp;BD$4,Devex_Land,0)</f>
        <v>-0</v>
      </c>
      <c r="BE54" s="33" t="n">
        <f aca="false">-SUMIFS(Devex_Keur,Devex_Date,"&gt;="&amp;BE$3,Devex_Date,"&lt;="&amp;BE$4,Devex_Land,0)</f>
        <v>-0</v>
      </c>
      <c r="BF54" s="33" t="n">
        <f aca="false">-SUMIFS(Devex_Keur,Devex_Date,"&gt;="&amp;BF$3,Devex_Date,"&lt;="&amp;BF$4,Devex_Land,0)</f>
        <v>-0</v>
      </c>
      <c r="BG54" s="33" t="n">
        <f aca="false">-SUMIFS(Devex_Keur,Devex_Date,"&gt;="&amp;BG$3,Devex_Date,"&lt;="&amp;BG$4,Devex_Land,0)</f>
        <v>-0</v>
      </c>
      <c r="BH54" s="33" t="n">
        <f aca="false">-SUMIFS(Devex_Keur,Devex_Date,"&gt;="&amp;BH$3,Devex_Date,"&lt;="&amp;BH$4,Devex_Land,0)</f>
        <v>-0</v>
      </c>
      <c r="BI54" s="33" t="n">
        <f aca="false">-SUMIFS(Devex_Keur,Devex_Date,"&gt;="&amp;BI$3,Devex_Date,"&lt;="&amp;BI$4,Devex_Land,0)</f>
        <v>-0</v>
      </c>
      <c r="BJ54" s="33" t="n">
        <f aca="false">-SUMIFS(Devex_Keur,Devex_Date,"&gt;="&amp;BJ$3,Devex_Date,"&lt;="&amp;BJ$4,Devex_Land,0)</f>
        <v>-0</v>
      </c>
      <c r="BK54" s="33" t="n">
        <f aca="false">-SUMIFS(Devex_Keur,Devex_Date,"&gt;="&amp;BK$3,Devex_Date,"&lt;="&amp;BK$4,Devex_Land,0)</f>
        <v>-0</v>
      </c>
      <c r="BL54" s="33" t="n">
        <f aca="false">-SUMIFS(Devex_Keur,Devex_Date,"&gt;="&amp;BL$3,Devex_Date,"&lt;="&amp;BL$4,Devex_Land,0)</f>
        <v>-0</v>
      </c>
      <c r="BM54" s="33" t="n">
        <f aca="false">-SUMIFS(Devex_Keur,Devex_Date,"&gt;="&amp;BM$3,Devex_Date,"&lt;="&amp;BM$4,Devex_Land,0)</f>
        <v>-0</v>
      </c>
      <c r="BN54" s="33" t="n">
        <f aca="false">-SUMIFS(Devex_Keur,Devex_Date,"&gt;="&amp;BN$3,Devex_Date,"&lt;="&amp;BN$4,Devex_Land,0)</f>
        <v>-0</v>
      </c>
      <c r="BO54" s="33" t="n">
        <f aca="false">-SUMIFS(Devex_Keur,Devex_Date,"&gt;="&amp;BO$3,Devex_Date,"&lt;="&amp;BO$4,Devex_Land,0)</f>
        <v>-0</v>
      </c>
      <c r="BP54" s="33" t="n">
        <f aca="false">-SUMIFS(Devex_Keur,Devex_Date,"&gt;="&amp;BP$3,Devex_Date,"&lt;="&amp;BP$4,Devex_Land,0)</f>
        <v>-0</v>
      </c>
      <c r="BQ54" s="33" t="n">
        <f aca="false">-SUMIFS(Devex_Keur,Devex_Date,"&gt;="&amp;BQ$3,Devex_Date,"&lt;="&amp;BQ$4,Devex_Land,0)</f>
        <v>-0</v>
      </c>
      <c r="BR54" s="33" t="n">
        <f aca="false">-SUMIFS(Devex_Keur,Devex_Date,"&gt;="&amp;BR$3,Devex_Date,"&lt;="&amp;BR$4,Devex_Land,0)</f>
        <v>-0</v>
      </c>
      <c r="BS54" s="33" t="n">
        <f aca="false">-SUMIFS(Devex_Keur,Devex_Date,"&gt;="&amp;BS$3,Devex_Date,"&lt;="&amp;BS$4,Devex_Land,0)</f>
        <v>-0</v>
      </c>
      <c r="BT54" s="33" t="n">
        <f aca="false">-SUMIFS(Devex_Keur,Devex_Date,"&gt;="&amp;BT$3,Devex_Date,"&lt;="&amp;BT$4,Devex_Land,0)</f>
        <v>-0</v>
      </c>
      <c r="BU54" s="33" t="n">
        <f aca="false">-SUMIFS(Devex_Keur,Devex_Date,"&gt;="&amp;BU$3,Devex_Date,"&lt;="&amp;BU$4,Devex_Land,0)</f>
        <v>-0</v>
      </c>
      <c r="BV54" s="33" t="n">
        <f aca="false">-SUMIFS(Devex_Keur,Devex_Date,"&gt;="&amp;BV$3,Devex_Date,"&lt;="&amp;BV$4,Devex_Land,0)</f>
        <v>-0</v>
      </c>
      <c r="BW54" s="33" t="n">
        <f aca="false">-SUMIFS(Devex_Keur,Devex_Date,"&gt;="&amp;BW$3,Devex_Date,"&lt;="&amp;BW$4,Devex_Land,0)</f>
        <v>-0</v>
      </c>
      <c r="BX54" s="33" t="n">
        <f aca="false">-SUMIFS(Devex_Keur,Devex_Date,"&gt;="&amp;BX$3,Devex_Date,"&lt;="&amp;BX$4,Devex_Land,0)</f>
        <v>-0</v>
      </c>
      <c r="BY54" s="33" t="n">
        <f aca="false">-SUMIFS(Devex_Keur,Devex_Date,"&gt;="&amp;BY$3,Devex_Date,"&lt;="&amp;BY$4,Devex_Land,0)</f>
        <v>-0</v>
      </c>
      <c r="BZ54" s="33" t="n">
        <f aca="false">-SUMIFS(Devex_Keur,Devex_Date,"&gt;="&amp;BZ$3,Devex_Date,"&lt;="&amp;BZ$4,Devex_Land,0)</f>
        <v>-0</v>
      </c>
      <c r="CA54" s="33" t="n">
        <f aca="false">-SUMIFS(Devex_Keur,Devex_Date,"&gt;="&amp;CA$3,Devex_Date,"&lt;="&amp;CA$4,Devex_Land,0)</f>
        <v>-0</v>
      </c>
      <c r="CB54" s="33" t="n">
        <f aca="false">-SUMIFS(Devex_Keur,Devex_Date,"&gt;="&amp;CB$3,Devex_Date,"&lt;="&amp;CB$4,Devex_Land,0)</f>
        <v>-0</v>
      </c>
      <c r="CC54" s="33" t="n">
        <f aca="false">-SUMIFS(Devex_Keur,Devex_Date,"&gt;="&amp;CC$3,Devex_Date,"&lt;="&amp;CC$4,Devex_Land,0)</f>
        <v>-0</v>
      </c>
      <c r="CD54" s="33" t="n">
        <f aca="false">-SUMIFS(Devex_Keur,Devex_Date,"&gt;="&amp;CD$3,Devex_Date,"&lt;="&amp;CD$4,Devex_Land,0)</f>
        <v>-0</v>
      </c>
      <c r="CE54" s="33" t="n">
        <f aca="false">-SUMIFS(Devex_Keur,Devex_Date,"&gt;="&amp;CE$3,Devex_Date,"&lt;="&amp;CE$4,Devex_Land,0)</f>
        <v>-0</v>
      </c>
      <c r="CF54" s="33" t="n">
        <f aca="false">-SUMIFS(Devex_Keur,Devex_Date,"&gt;="&amp;CF$3,Devex_Date,"&lt;="&amp;CF$4,Devex_Land,0)</f>
        <v>-0</v>
      </c>
      <c r="CG54" s="33" t="n">
        <f aca="false">-SUMIFS(Devex_Keur,Devex_Date,"&gt;="&amp;CG$3,Devex_Date,"&lt;="&amp;CG$4,Devex_Land,0)</f>
        <v>-0</v>
      </c>
      <c r="CH54" s="33" t="n">
        <f aca="false">-SUMIFS(Devex_Keur,Devex_Date,"&gt;="&amp;CH$3,Devex_Date,"&lt;="&amp;CH$4,Devex_Land,0)</f>
        <v>-0</v>
      </c>
      <c r="CI54" s="33" t="n">
        <f aca="false">-SUMIFS(Devex_Keur,Devex_Date,"&gt;="&amp;CI$3,Devex_Date,"&lt;="&amp;CI$4,Devex_Land,0)</f>
        <v>-0</v>
      </c>
      <c r="CJ54" s="33" t="n">
        <f aca="false">-SUMIFS(Devex_Keur,Devex_Date,"&gt;="&amp;CJ$3,Devex_Date,"&lt;="&amp;CJ$4,Devex_Land,0)</f>
        <v>-0</v>
      </c>
      <c r="CK54" s="33" t="n">
        <f aca="false">-SUMIFS(Devex_Keur,Devex_Date,"&gt;="&amp;CK$3,Devex_Date,"&lt;="&amp;CK$4,Devex_Land,0)</f>
        <v>-0</v>
      </c>
      <c r="CL54" s="33" t="n">
        <f aca="false">-SUMIFS(Devex_Keur,Devex_Date,"&gt;="&amp;CL$3,Devex_Date,"&lt;="&amp;CL$4,Devex_Land,0)</f>
        <v>-0</v>
      </c>
      <c r="CM54" s="33" t="n">
        <f aca="false">-SUMIFS(Devex_Keur,Devex_Date,"&gt;="&amp;CM$3,Devex_Date,"&lt;="&amp;CM$4,Devex_Land,0)</f>
        <v>-0</v>
      </c>
      <c r="CN54" s="33" t="n">
        <f aca="false">-SUMIFS(Devex_Keur,Devex_Date,"&gt;="&amp;CN$3,Devex_Date,"&lt;="&amp;CN$4,Devex_Land,0)</f>
        <v>-0</v>
      </c>
      <c r="CO54" s="33" t="n">
        <f aca="false">-SUMIFS(Devex_Keur,Devex_Date,"&gt;="&amp;CO$3,Devex_Date,"&lt;="&amp;CO$4,Devex_Land,0)</f>
        <v>-0</v>
      </c>
      <c r="CP54" s="33" t="n">
        <f aca="false">-SUMIFS(Devex_Keur,Devex_Date,"&gt;="&amp;CP$3,Devex_Date,"&lt;="&amp;CP$4,Devex_Land,0)</f>
        <v>-0</v>
      </c>
      <c r="CQ54" s="33" t="n">
        <f aca="false">-SUMIFS(Devex_Keur,Devex_Date,"&gt;="&amp;CQ$3,Devex_Date,"&lt;="&amp;CQ$4,Devex_Land,0)</f>
        <v>-0</v>
      </c>
      <c r="CR54" s="33" t="n">
        <f aca="false">-SUMIFS(Devex_Keur,Devex_Date,"&gt;="&amp;CR$3,Devex_Date,"&lt;="&amp;CR$4,Devex_Land,0)</f>
        <v>-0</v>
      </c>
      <c r="CS54" s="33" t="n">
        <f aca="false">-SUMIFS(Devex_Keur,Devex_Date,"&gt;="&amp;CS$3,Devex_Date,"&lt;="&amp;CS$4,Devex_Land,0)</f>
        <v>-0</v>
      </c>
      <c r="CT54" s="33" t="n">
        <f aca="false">-SUMIFS(Devex_Keur,Devex_Date,"&gt;="&amp;CT$3,Devex_Date,"&lt;="&amp;CT$4,Devex_Land,0)</f>
        <v>-0</v>
      </c>
      <c r="CU54" s="33" t="n">
        <f aca="false">-SUMIFS(Devex_Keur,Devex_Date,"&gt;="&amp;CU$3,Devex_Date,"&lt;="&amp;CU$4,Devex_Land,0)</f>
        <v>-0</v>
      </c>
      <c r="CV54" s="33" t="n">
        <f aca="false">-SUMIFS(Devex_Keur,Devex_Date,"&gt;="&amp;CV$3,Devex_Date,"&lt;="&amp;CV$4,Devex_Land,0)</f>
        <v>-0</v>
      </c>
      <c r="CW54" s="33" t="n">
        <f aca="false">-SUMIFS(Devex_Keur,Devex_Date,"&gt;="&amp;CW$3,Devex_Date,"&lt;="&amp;CW$4,Devex_Land,0)</f>
        <v>-0</v>
      </c>
      <c r="CX54" s="33" t="n">
        <f aca="false">-SUMIFS(Devex_Keur,Devex_Date,"&gt;="&amp;CX$3,Devex_Date,"&lt;="&amp;CX$4,Devex_Land,0)</f>
        <v>-0</v>
      </c>
      <c r="CY54" s="33" t="n">
        <f aca="false">-SUMIFS(Devex_Keur,Devex_Date,"&gt;="&amp;CY$3,Devex_Date,"&lt;="&amp;CY$4,Devex_Land,0)</f>
        <v>-0</v>
      </c>
      <c r="CZ54" s="33" t="n">
        <f aca="false">-SUMIFS(Devex_Keur,Devex_Date,"&gt;="&amp;CZ$3,Devex_Date,"&lt;="&amp;CZ$4,Devex_Land,0)</f>
        <v>-0</v>
      </c>
      <c r="DA54" s="33" t="n">
        <f aca="false">-SUMIFS(Devex_Keur,Devex_Date,"&gt;="&amp;DA$3,Devex_Date,"&lt;="&amp;DA$4,Devex_Land,0)</f>
        <v>-0</v>
      </c>
      <c r="DB54" s="33" t="n">
        <f aca="false">-SUMIFS(Devex_Keur,Devex_Date,"&gt;="&amp;DB$3,Devex_Date,"&lt;="&amp;DB$4,Devex_Land,0)</f>
        <v>-0</v>
      </c>
      <c r="DC54" s="33" t="n">
        <f aca="false">-SUMIFS(Devex_Keur,Devex_Date,"&gt;="&amp;DC$3,Devex_Date,"&lt;="&amp;DC$4,Devex_Land,0)</f>
        <v>-0</v>
      </c>
      <c r="DD54" s="33" t="n">
        <f aca="false">-SUMIFS(Devex_Keur,Devex_Date,"&gt;="&amp;DD$3,Devex_Date,"&lt;="&amp;DD$4,Devex_Land,0)</f>
        <v>-0</v>
      </c>
      <c r="DE54" s="33" t="n">
        <f aca="false">-SUMIFS(Devex_Keur,Devex_Date,"&gt;="&amp;DE$3,Devex_Date,"&lt;="&amp;DE$4,Devex_Land,0)</f>
        <v>-0</v>
      </c>
      <c r="DF54" s="33" t="n">
        <f aca="false">-SUMIFS(Devex_Keur,Devex_Date,"&gt;="&amp;DF$3,Devex_Date,"&lt;="&amp;DF$4,Devex_Land,0)</f>
        <v>-0</v>
      </c>
      <c r="DG54" s="33" t="n">
        <f aca="false">-SUMIFS(Devex_Keur,Devex_Date,"&gt;="&amp;DG$3,Devex_Date,"&lt;="&amp;DG$4,Devex_Land,0)</f>
        <v>-0</v>
      </c>
      <c r="DH54" s="33" t="n">
        <f aca="false">-SUMIFS(Devex_Keur,Devex_Date,"&gt;="&amp;DH$3,Devex_Date,"&lt;="&amp;DH$4,Devex_Land,0)</f>
        <v>-0</v>
      </c>
      <c r="DI54" s="33" t="n">
        <f aca="false">-SUMIFS(Devex_Keur,Devex_Date,"&gt;="&amp;DI$3,Devex_Date,"&lt;="&amp;DI$4,Devex_Land,0)</f>
        <v>-0</v>
      </c>
      <c r="DJ54" s="33" t="n">
        <f aca="false">-SUMIFS(Devex_Keur,Devex_Date,"&gt;="&amp;DJ$3,Devex_Date,"&lt;="&amp;DJ$4,Devex_Land,0)</f>
        <v>-0</v>
      </c>
      <c r="DK54" s="33" t="n">
        <f aca="false">-SUMIFS(Devex_Keur,Devex_Date,"&gt;="&amp;DK$3,Devex_Date,"&lt;="&amp;DK$4,Devex_Land,0)</f>
        <v>-0</v>
      </c>
      <c r="DL54" s="33" t="n">
        <f aca="false">-SUMIFS(Devex_Keur,Devex_Date,"&gt;="&amp;DL$3,Devex_Date,"&lt;="&amp;DL$4,Devex_Land,0)</f>
        <v>-0</v>
      </c>
      <c r="DM54" s="33" t="n">
        <f aca="false">-SUMIFS(Devex_Keur,Devex_Date,"&gt;="&amp;DM$3,Devex_Date,"&lt;="&amp;DM$4,Devex_Land,0)</f>
        <v>-0</v>
      </c>
      <c r="DN54" s="33" t="n">
        <f aca="false">-SUMIFS(Devex_Keur,Devex_Date,"&gt;="&amp;DN$3,Devex_Date,"&lt;="&amp;DN$4,Devex_Land,0)</f>
        <v>-0</v>
      </c>
      <c r="DO54" s="33" t="n">
        <f aca="false">-SUMIFS(Devex_Keur,Devex_Date,"&gt;="&amp;DO$3,Devex_Date,"&lt;="&amp;DO$4,Devex_Land,0)</f>
        <v>-0</v>
      </c>
      <c r="DP54" s="33" t="n">
        <f aca="false">-SUMIFS(Devex_Keur,Devex_Date,"&gt;="&amp;DP$3,Devex_Date,"&lt;="&amp;DP$4,Devex_Land,0)</f>
        <v>-0</v>
      </c>
      <c r="DQ54" s="33" t="n">
        <f aca="false">-SUMIFS(Devex_Keur,Devex_Date,"&gt;="&amp;DQ$3,Devex_Date,"&lt;="&amp;DQ$4,Devex_Land,0)</f>
        <v>-0</v>
      </c>
      <c r="DR54" s="33" t="n">
        <f aca="false">-SUMIFS(Devex_Keur,Devex_Date,"&gt;="&amp;DR$3,Devex_Date,"&lt;="&amp;DR$4,Devex_Land,0)</f>
        <v>-0</v>
      </c>
      <c r="DS54" s="33" t="n">
        <f aca="false">-SUMIFS(Devex_Keur,Devex_Date,"&gt;="&amp;DS$3,Devex_Date,"&lt;="&amp;DS$4,Devex_Land,0)</f>
        <v>-0</v>
      </c>
      <c r="DT54" s="33" t="n">
        <f aca="false">-SUMIFS(Devex_Keur,Devex_Date,"&gt;="&amp;DT$3,Devex_Date,"&lt;="&amp;DT$4,Devex_Land,0)</f>
        <v>-0</v>
      </c>
      <c r="DU54" s="33" t="n">
        <f aca="false">-SUMIFS(Devex_Keur,Devex_Date,"&gt;="&amp;DU$3,Devex_Date,"&lt;="&amp;DU$4,Devex_Land,0)</f>
        <v>-0</v>
      </c>
      <c r="DV54" s="33" t="n">
        <f aca="false">-SUMIFS(Devex_Keur,Devex_Date,"&gt;="&amp;DV$3,Devex_Date,"&lt;="&amp;DV$4,Devex_Land,0)</f>
        <v>-0</v>
      </c>
      <c r="DW54" s="33" t="n">
        <f aca="false">-SUMIFS(Devex_Keur,Devex_Date,"&gt;="&amp;DW$3,Devex_Date,"&lt;="&amp;DW$4,Devex_Land,0)</f>
        <v>-0</v>
      </c>
      <c r="DX54" s="33" t="n">
        <f aca="false">-SUMIFS(Devex_Keur,Devex_Date,"&gt;="&amp;DX$3,Devex_Date,"&lt;="&amp;DX$4,Devex_Land,0)</f>
        <v>-0</v>
      </c>
      <c r="DY54" s="33" t="n">
        <f aca="false">-SUMIFS(Devex_Keur,Devex_Date,"&gt;="&amp;DY$3,Devex_Date,"&lt;="&amp;DY$4,Devex_Land,0)</f>
        <v>-0</v>
      </c>
      <c r="DZ54" s="33" t="n">
        <f aca="false">-SUMIFS(Devex_Keur,Devex_Date,"&gt;="&amp;DZ$3,Devex_Date,"&lt;="&amp;DZ$4,Devex_Land,0)</f>
        <v>-0</v>
      </c>
      <c r="EA54" s="33" t="n">
        <f aca="false">-SUMIFS(Devex_Keur,Devex_Date,"&gt;="&amp;EA$3,Devex_Date,"&lt;="&amp;EA$4,Devex_Land,0)</f>
        <v>-0</v>
      </c>
      <c r="EB54" s="33" t="n">
        <f aca="false">-SUMIFS(Devex_Keur,Devex_Date,"&gt;="&amp;EB$3,Devex_Date,"&lt;="&amp;EB$4,Devex_Land,0)</f>
        <v>-0</v>
      </c>
      <c r="EC54" s="33" t="n">
        <f aca="false">-SUMIFS(Devex_Keur,Devex_Date,"&gt;="&amp;EC$3,Devex_Date,"&lt;="&amp;EC$4,Devex_Land,0)</f>
        <v>-0</v>
      </c>
      <c r="ED54" s="33" t="n">
        <f aca="false">-SUMIFS(Devex_Keur,Devex_Date,"&gt;="&amp;ED$3,Devex_Date,"&lt;="&amp;ED$4,Devex_Land,0)</f>
        <v>-0</v>
      </c>
      <c r="EE54" s="33" t="n">
        <f aca="false">-SUMIFS(Devex_Keur,Devex_Date,"&gt;="&amp;EE$3,Devex_Date,"&lt;="&amp;EE$4,Devex_Land,0)</f>
        <v>-0</v>
      </c>
      <c r="EF54" s="33" t="n">
        <f aca="false">-SUMIFS(Devex_Keur,Devex_Date,"&gt;="&amp;EF$3,Devex_Date,"&lt;="&amp;EF$4,Devex_Land,0)</f>
        <v>-0</v>
      </c>
      <c r="EG54" s="33" t="n">
        <f aca="false">-SUMIFS(Devex_Keur,Devex_Date,"&gt;="&amp;EG$3,Devex_Date,"&lt;="&amp;EG$4,Devex_Land,0)</f>
        <v>-0</v>
      </c>
      <c r="EH54" s="33" t="n">
        <f aca="false">-SUMIFS(Devex_Keur,Devex_Date,"&gt;="&amp;EH$3,Devex_Date,"&lt;="&amp;EH$4,Devex_Land,0)</f>
        <v>-0</v>
      </c>
      <c r="EI54" s="33" t="n">
        <f aca="false">-SUMIFS(Devex_Keur,Devex_Date,"&gt;="&amp;EI$3,Devex_Date,"&lt;="&amp;EI$4,Devex_Land,0)</f>
        <v>-0</v>
      </c>
      <c r="EJ54" s="33" t="n">
        <f aca="false">-SUMIFS(Devex_Keur,Devex_Date,"&gt;="&amp;EJ$3,Devex_Date,"&lt;="&amp;EJ$4,Devex_Land,0)</f>
        <v>-0</v>
      </c>
      <c r="EK54" s="33" t="n">
        <f aca="false">-SUMIFS(Devex_Keur,Devex_Date,"&gt;="&amp;EK$3,Devex_Date,"&lt;="&amp;EK$4,Devex_Land,0)</f>
        <v>-0</v>
      </c>
      <c r="EL54" s="33" t="n">
        <f aca="false">-SUMIFS(Devex_Keur,Devex_Date,"&gt;="&amp;EL$3,Devex_Date,"&lt;="&amp;EL$4,Devex_Land,0)</f>
        <v>-0</v>
      </c>
      <c r="EM54" s="33" t="n">
        <f aca="false">-SUMIFS(Devex_Keur,Devex_Date,"&gt;="&amp;EM$3,Devex_Date,"&lt;="&amp;EM$4,Devex_Land,0)</f>
        <v>-0</v>
      </c>
      <c r="EN54" s="33" t="n">
        <f aca="false">-SUMIFS(Devex_Keur,Devex_Date,"&gt;="&amp;EN$3,Devex_Date,"&lt;="&amp;EN$4,Devex_Land,0)</f>
        <v>-0</v>
      </c>
      <c r="EO54" s="33" t="n">
        <f aca="false">-SUMIFS(Devex_Keur,Devex_Date,"&gt;="&amp;EO$3,Devex_Date,"&lt;="&amp;EO$4,Devex_Land,0)</f>
        <v>-0</v>
      </c>
      <c r="EP54" s="33" t="n">
        <f aca="false">-SUMIFS(Devex_Keur,Devex_Date,"&gt;="&amp;EP$3,Devex_Date,"&lt;="&amp;EP$4,Devex_Land,0)</f>
        <v>-0</v>
      </c>
      <c r="EQ54" s="33" t="n">
        <f aca="false">-SUMIFS(Devex_Keur,Devex_Date,"&gt;="&amp;EQ$3,Devex_Date,"&lt;="&amp;EQ$4,Devex_Land,0)</f>
        <v>-0</v>
      </c>
      <c r="ER54" s="33" t="n">
        <f aca="false">-SUMIFS(Devex_Keur,Devex_Date,"&gt;="&amp;ER$3,Devex_Date,"&lt;="&amp;ER$4,Devex_Land,0)</f>
        <v>-0</v>
      </c>
      <c r="ES54" s="33" t="n">
        <f aca="false">-SUMIFS(Devex_Keur,Devex_Date,"&gt;="&amp;ES$3,Devex_Date,"&lt;="&amp;ES$4,Devex_Land,0)</f>
        <v>-0</v>
      </c>
      <c r="ET54" s="3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515</v>
      </c>
      <c r="D55" s="11" t="s">
        <v>247</v>
      </c>
      <c r="E55" s="33" t="n">
        <f aca="false">-SUMIF($J$4:$ET$4,"&lt;="&amp;$E12,$J55:$ET55)</f>
        <v>430.444520547945</v>
      </c>
      <c r="I55" s="33" t="n">
        <f aca="false">SUM(J55:ET55)</f>
        <v>-430.444520547945</v>
      </c>
      <c r="J55" s="33" t="n">
        <f aca="false">-SUMIFS(Devex_Keur,Devex_Date,"&gt;="&amp;J$3,Devex_Date,"&lt;="&amp;J$4,Devex_Land,1)</f>
        <v>-0</v>
      </c>
      <c r="K55" s="33" t="n">
        <f aca="false">-SUMIFS(Devex_Keur,Devex_Date,"&gt;="&amp;K$3,Devex_Date,"&lt;="&amp;K$4,Devex_Land,1)</f>
        <v>-0</v>
      </c>
      <c r="L55" s="33" t="n">
        <f aca="false">-SUMIFS(Devex_Keur,Devex_Date,"&gt;="&amp;L$3,Devex_Date,"&lt;="&amp;L$4,Devex_Land,1)</f>
        <v>-180.581506849315</v>
      </c>
      <c r="M55" s="33" t="n">
        <f aca="false">-SUMIFS(Devex_Keur,Devex_Date,"&gt;="&amp;M$3,Devex_Date,"&lt;="&amp;M$4,Devex_Land,1)</f>
        <v>-0</v>
      </c>
      <c r="N55" s="33" t="n">
        <f aca="false">-SUMIFS(Devex_Keur,Devex_Date,"&gt;="&amp;N$3,Devex_Date,"&lt;="&amp;N$4,Devex_Land,1)</f>
        <v>-0</v>
      </c>
      <c r="O55" s="33" t="n">
        <f aca="false">-SUMIFS(Devex_Keur,Devex_Date,"&gt;="&amp;O$3,Devex_Date,"&lt;="&amp;O$4,Devex_Land,1)</f>
        <v>-0</v>
      </c>
      <c r="P55" s="33" t="n">
        <f aca="false">-SUMIFS(Devex_Keur,Devex_Date,"&gt;="&amp;P$3,Devex_Date,"&lt;="&amp;P$4,Devex_Land,1)</f>
        <v>-0</v>
      </c>
      <c r="Q55" s="33" t="n">
        <f aca="false">-SUMIFS(Devex_Keur,Devex_Date,"&gt;="&amp;Q$3,Devex_Date,"&lt;="&amp;Q$4,Devex_Land,1)</f>
        <v>-0</v>
      </c>
      <c r="R55" s="33" t="n">
        <f aca="false">-SUMIFS(Devex_Keur,Devex_Date,"&gt;="&amp;R$3,Devex_Date,"&lt;="&amp;R$4,Devex_Land,1)</f>
        <v>-0</v>
      </c>
      <c r="S55" s="33" t="n">
        <f aca="false">-SUMIFS(Devex_Keur,Devex_Date,"&gt;="&amp;S$3,Devex_Date,"&lt;="&amp;S$4,Devex_Land,1)</f>
        <v>-0</v>
      </c>
      <c r="T55" s="33" t="n">
        <f aca="false">-SUMIFS(Devex_Keur,Devex_Date,"&gt;="&amp;T$3,Devex_Date,"&lt;="&amp;T$4,Devex_Land,1)</f>
        <v>-249.86301369863</v>
      </c>
      <c r="U55" s="33" t="n">
        <f aca="false">-SUMIFS(Devex_Keur,Devex_Date,"&gt;="&amp;U$3,Devex_Date,"&lt;="&amp;U$4,Devex_Land,1)</f>
        <v>-0</v>
      </c>
      <c r="V55" s="33" t="n">
        <f aca="false">-SUMIFS(Devex_Keur,Devex_Date,"&gt;="&amp;V$3,Devex_Date,"&lt;="&amp;V$4,Devex_Land,1)</f>
        <v>-0</v>
      </c>
      <c r="W55" s="33" t="n">
        <f aca="false">-SUMIFS(Devex_Keur,Devex_Date,"&gt;="&amp;W$3,Devex_Date,"&lt;="&amp;W$4,Devex_Land,1)</f>
        <v>-0</v>
      </c>
      <c r="X55" s="33" t="n">
        <f aca="false">-SUMIFS(Devex_Keur,Devex_Date,"&gt;="&amp;X$3,Devex_Date,"&lt;="&amp;X$4,Devex_Land,1)</f>
        <v>-0</v>
      </c>
      <c r="Y55" s="33" t="n">
        <f aca="false">-SUMIFS(Devex_Keur,Devex_Date,"&gt;="&amp;Y$3,Devex_Date,"&lt;="&amp;Y$4,Devex_Land,1)</f>
        <v>-0</v>
      </c>
      <c r="Z55" s="33" t="n">
        <f aca="false">-SUMIFS(Devex_Keur,Devex_Date,"&gt;="&amp;Z$3,Devex_Date,"&lt;="&amp;Z$4,Devex_Land,1)</f>
        <v>-0</v>
      </c>
      <c r="AA55" s="33" t="n">
        <f aca="false">-SUMIFS(Devex_Keur,Devex_Date,"&gt;="&amp;AA$3,Devex_Date,"&lt;="&amp;AA$4,Devex_Land,1)</f>
        <v>-0</v>
      </c>
      <c r="AB55" s="33" t="n">
        <f aca="false">-SUMIFS(Devex_Keur,Devex_Date,"&gt;="&amp;AB$3,Devex_Date,"&lt;="&amp;AB$4,Devex_Land,1)</f>
        <v>-0</v>
      </c>
      <c r="AC55" s="33" t="n">
        <f aca="false">-SUMIFS(Devex_Keur,Devex_Date,"&gt;="&amp;AC$3,Devex_Date,"&lt;="&amp;AC$4,Devex_Land,1)</f>
        <v>-0</v>
      </c>
      <c r="AD55" s="33" t="n">
        <f aca="false">-SUMIFS(Devex_Keur,Devex_Date,"&gt;="&amp;AD$3,Devex_Date,"&lt;="&amp;AD$4,Devex_Land,1)</f>
        <v>-0</v>
      </c>
      <c r="AE55" s="33" t="n">
        <f aca="false">-SUMIFS(Devex_Keur,Devex_Date,"&gt;="&amp;AE$3,Devex_Date,"&lt;="&amp;AE$4,Devex_Land,1)</f>
        <v>-0</v>
      </c>
      <c r="AF55" s="33" t="n">
        <f aca="false">-SUMIFS(Devex_Keur,Devex_Date,"&gt;="&amp;AF$3,Devex_Date,"&lt;="&amp;AF$4,Devex_Land,1)</f>
        <v>-0</v>
      </c>
      <c r="AG55" s="33" t="n">
        <f aca="false">-SUMIFS(Devex_Keur,Devex_Date,"&gt;="&amp;AG$3,Devex_Date,"&lt;="&amp;AG$4,Devex_Land,1)</f>
        <v>-0</v>
      </c>
      <c r="AH55" s="33" t="n">
        <f aca="false">-SUMIFS(Devex_Keur,Devex_Date,"&gt;="&amp;AH$3,Devex_Date,"&lt;="&amp;AH$4,Devex_Land,1)</f>
        <v>-0</v>
      </c>
      <c r="AI55" s="33" t="n">
        <f aca="false">-SUMIFS(Devex_Keur,Devex_Date,"&gt;="&amp;AI$3,Devex_Date,"&lt;="&amp;AI$4,Devex_Land,1)</f>
        <v>-0</v>
      </c>
      <c r="AJ55" s="33" t="n">
        <f aca="false">-SUMIFS(Devex_Keur,Devex_Date,"&gt;="&amp;AJ$3,Devex_Date,"&lt;="&amp;AJ$4,Devex_Land,1)</f>
        <v>-0</v>
      </c>
      <c r="AK55" s="33" t="n">
        <f aca="false">-SUMIFS(Devex_Keur,Devex_Date,"&gt;="&amp;AK$3,Devex_Date,"&lt;="&amp;AK$4,Devex_Land,1)</f>
        <v>-0</v>
      </c>
      <c r="AL55" s="33" t="n">
        <f aca="false">-SUMIFS(Devex_Keur,Devex_Date,"&gt;="&amp;AL$3,Devex_Date,"&lt;="&amp;AL$4,Devex_Land,1)</f>
        <v>-0</v>
      </c>
      <c r="AM55" s="33" t="n">
        <f aca="false">-SUMIFS(Devex_Keur,Devex_Date,"&gt;="&amp;AM$3,Devex_Date,"&lt;="&amp;AM$4,Devex_Land,1)</f>
        <v>-0</v>
      </c>
      <c r="AN55" s="33" t="n">
        <f aca="false">-SUMIFS(Devex_Keur,Devex_Date,"&gt;="&amp;AN$3,Devex_Date,"&lt;="&amp;AN$4,Devex_Land,1)</f>
        <v>-0</v>
      </c>
      <c r="AO55" s="33" t="n">
        <f aca="false">-SUMIFS(Devex_Keur,Devex_Date,"&gt;="&amp;AO$3,Devex_Date,"&lt;="&amp;AO$4,Devex_Land,1)</f>
        <v>-0</v>
      </c>
      <c r="AP55" s="33" t="n">
        <f aca="false">-SUMIFS(Devex_Keur,Devex_Date,"&gt;="&amp;AP$3,Devex_Date,"&lt;="&amp;AP$4,Devex_Land,1)</f>
        <v>-0</v>
      </c>
      <c r="AQ55" s="33" t="n">
        <f aca="false">-SUMIFS(Devex_Keur,Devex_Date,"&gt;="&amp;AQ$3,Devex_Date,"&lt;="&amp;AQ$4,Devex_Land,1)</f>
        <v>-0</v>
      </c>
      <c r="AR55" s="33" t="n">
        <f aca="false">-SUMIFS(Devex_Keur,Devex_Date,"&gt;="&amp;AR$3,Devex_Date,"&lt;="&amp;AR$4,Devex_Land,1)</f>
        <v>-0</v>
      </c>
      <c r="AS55" s="33" t="n">
        <f aca="false">-SUMIFS(Devex_Keur,Devex_Date,"&gt;="&amp;AS$3,Devex_Date,"&lt;="&amp;AS$4,Devex_Land,1)</f>
        <v>-0</v>
      </c>
      <c r="AT55" s="33" t="n">
        <f aca="false">-SUMIFS(Devex_Keur,Devex_Date,"&gt;="&amp;AT$3,Devex_Date,"&lt;="&amp;AT$4,Devex_Land,1)</f>
        <v>-0</v>
      </c>
      <c r="AU55" s="33" t="n">
        <f aca="false">-SUMIFS(Devex_Keur,Devex_Date,"&gt;="&amp;AU$3,Devex_Date,"&lt;="&amp;AU$4,Devex_Land,1)</f>
        <v>-0</v>
      </c>
      <c r="AV55" s="33" t="n">
        <f aca="false">-SUMIFS(Devex_Keur,Devex_Date,"&gt;="&amp;AV$3,Devex_Date,"&lt;="&amp;AV$4,Devex_Land,1)</f>
        <v>-0</v>
      </c>
      <c r="AW55" s="33" t="n">
        <f aca="false">-SUMIFS(Devex_Keur,Devex_Date,"&gt;="&amp;AW$3,Devex_Date,"&lt;="&amp;AW$4,Devex_Land,1)</f>
        <v>-0</v>
      </c>
      <c r="AX55" s="33" t="n">
        <f aca="false">-SUMIFS(Devex_Keur,Devex_Date,"&gt;="&amp;AX$3,Devex_Date,"&lt;="&amp;AX$4,Devex_Land,1)</f>
        <v>-0</v>
      </c>
      <c r="AY55" s="33" t="n">
        <f aca="false">-SUMIFS(Devex_Keur,Devex_Date,"&gt;="&amp;AY$3,Devex_Date,"&lt;="&amp;AY$4,Devex_Land,1)</f>
        <v>-0</v>
      </c>
      <c r="AZ55" s="33" t="n">
        <f aca="false">-SUMIFS(Devex_Keur,Devex_Date,"&gt;="&amp;AZ$3,Devex_Date,"&lt;="&amp;AZ$4,Devex_Land,1)</f>
        <v>-0</v>
      </c>
      <c r="BA55" s="33" t="n">
        <f aca="false">-SUMIFS(Devex_Keur,Devex_Date,"&gt;="&amp;BA$3,Devex_Date,"&lt;="&amp;BA$4,Devex_Land,1)</f>
        <v>-0</v>
      </c>
      <c r="BB55" s="33" t="n">
        <f aca="false">-SUMIFS(Devex_Keur,Devex_Date,"&gt;="&amp;BB$3,Devex_Date,"&lt;="&amp;BB$4,Devex_Land,1)</f>
        <v>-0</v>
      </c>
      <c r="BC55" s="33" t="n">
        <f aca="false">-SUMIFS(Devex_Keur,Devex_Date,"&gt;="&amp;BC$3,Devex_Date,"&lt;="&amp;BC$4,Devex_Land,1)</f>
        <v>-0</v>
      </c>
      <c r="BD55" s="33" t="n">
        <f aca="false">-SUMIFS(Devex_Keur,Devex_Date,"&gt;="&amp;BD$3,Devex_Date,"&lt;="&amp;BD$4,Devex_Land,1)</f>
        <v>-0</v>
      </c>
      <c r="BE55" s="33" t="n">
        <f aca="false">-SUMIFS(Devex_Keur,Devex_Date,"&gt;="&amp;BE$3,Devex_Date,"&lt;="&amp;BE$4,Devex_Land,1)</f>
        <v>-0</v>
      </c>
      <c r="BF55" s="33" t="n">
        <f aca="false">-SUMIFS(Devex_Keur,Devex_Date,"&gt;="&amp;BF$3,Devex_Date,"&lt;="&amp;BF$4,Devex_Land,1)</f>
        <v>-0</v>
      </c>
      <c r="BG55" s="33" t="n">
        <f aca="false">-SUMIFS(Devex_Keur,Devex_Date,"&gt;="&amp;BG$3,Devex_Date,"&lt;="&amp;BG$4,Devex_Land,1)</f>
        <v>-0</v>
      </c>
      <c r="BH55" s="33" t="n">
        <f aca="false">-SUMIFS(Devex_Keur,Devex_Date,"&gt;="&amp;BH$3,Devex_Date,"&lt;="&amp;BH$4,Devex_Land,1)</f>
        <v>-0</v>
      </c>
      <c r="BI55" s="33" t="n">
        <f aca="false">-SUMIFS(Devex_Keur,Devex_Date,"&gt;="&amp;BI$3,Devex_Date,"&lt;="&amp;BI$4,Devex_Land,1)</f>
        <v>-0</v>
      </c>
      <c r="BJ55" s="33" t="n">
        <f aca="false">-SUMIFS(Devex_Keur,Devex_Date,"&gt;="&amp;BJ$3,Devex_Date,"&lt;="&amp;BJ$4,Devex_Land,1)</f>
        <v>-0</v>
      </c>
      <c r="BK55" s="33" t="n">
        <f aca="false">-SUMIFS(Devex_Keur,Devex_Date,"&gt;="&amp;BK$3,Devex_Date,"&lt;="&amp;BK$4,Devex_Land,1)</f>
        <v>-0</v>
      </c>
      <c r="BL55" s="33" t="n">
        <f aca="false">-SUMIFS(Devex_Keur,Devex_Date,"&gt;="&amp;BL$3,Devex_Date,"&lt;="&amp;BL$4,Devex_Land,1)</f>
        <v>-0</v>
      </c>
      <c r="BM55" s="33" t="n">
        <f aca="false">-SUMIFS(Devex_Keur,Devex_Date,"&gt;="&amp;BM$3,Devex_Date,"&lt;="&amp;BM$4,Devex_Land,1)</f>
        <v>-0</v>
      </c>
      <c r="BN55" s="33" t="n">
        <f aca="false">-SUMIFS(Devex_Keur,Devex_Date,"&gt;="&amp;BN$3,Devex_Date,"&lt;="&amp;BN$4,Devex_Land,1)</f>
        <v>-0</v>
      </c>
      <c r="BO55" s="33" t="n">
        <f aca="false">-SUMIFS(Devex_Keur,Devex_Date,"&gt;="&amp;BO$3,Devex_Date,"&lt;="&amp;BO$4,Devex_Land,1)</f>
        <v>-0</v>
      </c>
      <c r="BP55" s="33" t="n">
        <f aca="false">-SUMIFS(Devex_Keur,Devex_Date,"&gt;="&amp;BP$3,Devex_Date,"&lt;="&amp;BP$4,Devex_Land,1)</f>
        <v>-0</v>
      </c>
      <c r="BQ55" s="33" t="n">
        <f aca="false">-SUMIFS(Devex_Keur,Devex_Date,"&gt;="&amp;BQ$3,Devex_Date,"&lt;="&amp;BQ$4,Devex_Land,1)</f>
        <v>-0</v>
      </c>
      <c r="BR55" s="33" t="n">
        <f aca="false">-SUMIFS(Devex_Keur,Devex_Date,"&gt;="&amp;BR$3,Devex_Date,"&lt;="&amp;BR$4,Devex_Land,1)</f>
        <v>-0</v>
      </c>
      <c r="BS55" s="33" t="n">
        <f aca="false">-SUMIFS(Devex_Keur,Devex_Date,"&gt;="&amp;BS$3,Devex_Date,"&lt;="&amp;BS$4,Devex_Land,1)</f>
        <v>-0</v>
      </c>
      <c r="BT55" s="33" t="n">
        <f aca="false">-SUMIFS(Devex_Keur,Devex_Date,"&gt;="&amp;BT$3,Devex_Date,"&lt;="&amp;BT$4,Devex_Land,1)</f>
        <v>-0</v>
      </c>
      <c r="BU55" s="33" t="n">
        <f aca="false">-SUMIFS(Devex_Keur,Devex_Date,"&gt;="&amp;BU$3,Devex_Date,"&lt;="&amp;BU$4,Devex_Land,1)</f>
        <v>-0</v>
      </c>
      <c r="BV55" s="33" t="n">
        <f aca="false">-SUMIFS(Devex_Keur,Devex_Date,"&gt;="&amp;BV$3,Devex_Date,"&lt;="&amp;BV$4,Devex_Land,1)</f>
        <v>-0</v>
      </c>
      <c r="BW55" s="33" t="n">
        <f aca="false">-SUMIFS(Devex_Keur,Devex_Date,"&gt;="&amp;BW$3,Devex_Date,"&lt;="&amp;BW$4,Devex_Land,1)</f>
        <v>-0</v>
      </c>
      <c r="BX55" s="33" t="n">
        <f aca="false">-SUMIFS(Devex_Keur,Devex_Date,"&gt;="&amp;BX$3,Devex_Date,"&lt;="&amp;BX$4,Devex_Land,1)</f>
        <v>-0</v>
      </c>
      <c r="BY55" s="33" t="n">
        <f aca="false">-SUMIFS(Devex_Keur,Devex_Date,"&gt;="&amp;BY$3,Devex_Date,"&lt;="&amp;BY$4,Devex_Land,1)</f>
        <v>-0</v>
      </c>
      <c r="BZ55" s="33" t="n">
        <f aca="false">-SUMIFS(Devex_Keur,Devex_Date,"&gt;="&amp;BZ$3,Devex_Date,"&lt;="&amp;BZ$4,Devex_Land,1)</f>
        <v>-0</v>
      </c>
      <c r="CA55" s="33" t="n">
        <f aca="false">-SUMIFS(Devex_Keur,Devex_Date,"&gt;="&amp;CA$3,Devex_Date,"&lt;="&amp;CA$4,Devex_Land,1)</f>
        <v>-0</v>
      </c>
      <c r="CB55" s="33" t="n">
        <f aca="false">-SUMIFS(Devex_Keur,Devex_Date,"&gt;="&amp;CB$3,Devex_Date,"&lt;="&amp;CB$4,Devex_Land,1)</f>
        <v>-0</v>
      </c>
      <c r="CC55" s="33" t="n">
        <f aca="false">-SUMIFS(Devex_Keur,Devex_Date,"&gt;="&amp;CC$3,Devex_Date,"&lt;="&amp;CC$4,Devex_Land,1)</f>
        <v>-0</v>
      </c>
      <c r="CD55" s="33" t="n">
        <f aca="false">-SUMIFS(Devex_Keur,Devex_Date,"&gt;="&amp;CD$3,Devex_Date,"&lt;="&amp;CD$4,Devex_Land,1)</f>
        <v>-0</v>
      </c>
      <c r="CE55" s="33" t="n">
        <f aca="false">-SUMIFS(Devex_Keur,Devex_Date,"&gt;="&amp;CE$3,Devex_Date,"&lt;="&amp;CE$4,Devex_Land,1)</f>
        <v>-0</v>
      </c>
      <c r="CF55" s="33" t="n">
        <f aca="false">-SUMIFS(Devex_Keur,Devex_Date,"&gt;="&amp;CF$3,Devex_Date,"&lt;="&amp;CF$4,Devex_Land,1)</f>
        <v>-0</v>
      </c>
      <c r="CG55" s="33" t="n">
        <f aca="false">-SUMIFS(Devex_Keur,Devex_Date,"&gt;="&amp;CG$3,Devex_Date,"&lt;="&amp;CG$4,Devex_Land,1)</f>
        <v>-0</v>
      </c>
      <c r="CH55" s="33" t="n">
        <f aca="false">-SUMIFS(Devex_Keur,Devex_Date,"&gt;="&amp;CH$3,Devex_Date,"&lt;="&amp;CH$4,Devex_Land,1)</f>
        <v>-0</v>
      </c>
      <c r="CI55" s="33" t="n">
        <f aca="false">-SUMIFS(Devex_Keur,Devex_Date,"&gt;="&amp;CI$3,Devex_Date,"&lt;="&amp;CI$4,Devex_Land,1)</f>
        <v>-0</v>
      </c>
      <c r="CJ55" s="33" t="n">
        <f aca="false">-SUMIFS(Devex_Keur,Devex_Date,"&gt;="&amp;CJ$3,Devex_Date,"&lt;="&amp;CJ$4,Devex_Land,1)</f>
        <v>-0</v>
      </c>
      <c r="CK55" s="33" t="n">
        <f aca="false">-SUMIFS(Devex_Keur,Devex_Date,"&gt;="&amp;CK$3,Devex_Date,"&lt;="&amp;CK$4,Devex_Land,1)</f>
        <v>-0</v>
      </c>
      <c r="CL55" s="33" t="n">
        <f aca="false">-SUMIFS(Devex_Keur,Devex_Date,"&gt;="&amp;CL$3,Devex_Date,"&lt;="&amp;CL$4,Devex_Land,1)</f>
        <v>-0</v>
      </c>
      <c r="CM55" s="33" t="n">
        <f aca="false">-SUMIFS(Devex_Keur,Devex_Date,"&gt;="&amp;CM$3,Devex_Date,"&lt;="&amp;CM$4,Devex_Land,1)</f>
        <v>-0</v>
      </c>
      <c r="CN55" s="33" t="n">
        <f aca="false">-SUMIFS(Devex_Keur,Devex_Date,"&gt;="&amp;CN$3,Devex_Date,"&lt;="&amp;CN$4,Devex_Land,1)</f>
        <v>-0</v>
      </c>
      <c r="CO55" s="33" t="n">
        <f aca="false">-SUMIFS(Devex_Keur,Devex_Date,"&gt;="&amp;CO$3,Devex_Date,"&lt;="&amp;CO$4,Devex_Land,1)</f>
        <v>-0</v>
      </c>
      <c r="CP55" s="33" t="n">
        <f aca="false">-SUMIFS(Devex_Keur,Devex_Date,"&gt;="&amp;CP$3,Devex_Date,"&lt;="&amp;CP$4,Devex_Land,1)</f>
        <v>-0</v>
      </c>
      <c r="CQ55" s="33" t="n">
        <f aca="false">-SUMIFS(Devex_Keur,Devex_Date,"&gt;="&amp;CQ$3,Devex_Date,"&lt;="&amp;CQ$4,Devex_Land,1)</f>
        <v>-0</v>
      </c>
      <c r="CR55" s="33" t="n">
        <f aca="false">-SUMIFS(Devex_Keur,Devex_Date,"&gt;="&amp;CR$3,Devex_Date,"&lt;="&amp;CR$4,Devex_Land,1)</f>
        <v>-0</v>
      </c>
      <c r="CS55" s="33" t="n">
        <f aca="false">-SUMIFS(Devex_Keur,Devex_Date,"&gt;="&amp;CS$3,Devex_Date,"&lt;="&amp;CS$4,Devex_Land,1)</f>
        <v>-0</v>
      </c>
      <c r="CT55" s="33" t="n">
        <f aca="false">-SUMIFS(Devex_Keur,Devex_Date,"&gt;="&amp;CT$3,Devex_Date,"&lt;="&amp;CT$4,Devex_Land,1)</f>
        <v>-0</v>
      </c>
      <c r="CU55" s="33" t="n">
        <f aca="false">-SUMIFS(Devex_Keur,Devex_Date,"&gt;="&amp;CU$3,Devex_Date,"&lt;="&amp;CU$4,Devex_Land,1)</f>
        <v>-0</v>
      </c>
      <c r="CV55" s="33" t="n">
        <f aca="false">-SUMIFS(Devex_Keur,Devex_Date,"&gt;="&amp;CV$3,Devex_Date,"&lt;="&amp;CV$4,Devex_Land,1)</f>
        <v>-0</v>
      </c>
      <c r="CW55" s="33" t="n">
        <f aca="false">-SUMIFS(Devex_Keur,Devex_Date,"&gt;="&amp;CW$3,Devex_Date,"&lt;="&amp;CW$4,Devex_Land,1)</f>
        <v>-0</v>
      </c>
      <c r="CX55" s="33" t="n">
        <f aca="false">-SUMIFS(Devex_Keur,Devex_Date,"&gt;="&amp;CX$3,Devex_Date,"&lt;="&amp;CX$4,Devex_Land,1)</f>
        <v>-0</v>
      </c>
      <c r="CY55" s="33" t="n">
        <f aca="false">-SUMIFS(Devex_Keur,Devex_Date,"&gt;="&amp;CY$3,Devex_Date,"&lt;="&amp;CY$4,Devex_Land,1)</f>
        <v>-0</v>
      </c>
      <c r="CZ55" s="33" t="n">
        <f aca="false">-SUMIFS(Devex_Keur,Devex_Date,"&gt;="&amp;CZ$3,Devex_Date,"&lt;="&amp;CZ$4,Devex_Land,1)</f>
        <v>-0</v>
      </c>
      <c r="DA55" s="33" t="n">
        <f aca="false">-SUMIFS(Devex_Keur,Devex_Date,"&gt;="&amp;DA$3,Devex_Date,"&lt;="&amp;DA$4,Devex_Land,1)</f>
        <v>-0</v>
      </c>
      <c r="DB55" s="33" t="n">
        <f aca="false">-SUMIFS(Devex_Keur,Devex_Date,"&gt;="&amp;DB$3,Devex_Date,"&lt;="&amp;DB$4,Devex_Land,1)</f>
        <v>-0</v>
      </c>
      <c r="DC55" s="33" t="n">
        <f aca="false">-SUMIFS(Devex_Keur,Devex_Date,"&gt;="&amp;DC$3,Devex_Date,"&lt;="&amp;DC$4,Devex_Land,1)</f>
        <v>-0</v>
      </c>
      <c r="DD55" s="33" t="n">
        <f aca="false">-SUMIFS(Devex_Keur,Devex_Date,"&gt;="&amp;DD$3,Devex_Date,"&lt;="&amp;DD$4,Devex_Land,1)</f>
        <v>-0</v>
      </c>
      <c r="DE55" s="33" t="n">
        <f aca="false">-SUMIFS(Devex_Keur,Devex_Date,"&gt;="&amp;DE$3,Devex_Date,"&lt;="&amp;DE$4,Devex_Land,1)</f>
        <v>-0</v>
      </c>
      <c r="DF55" s="33" t="n">
        <f aca="false">-SUMIFS(Devex_Keur,Devex_Date,"&gt;="&amp;DF$3,Devex_Date,"&lt;="&amp;DF$4,Devex_Land,1)</f>
        <v>-0</v>
      </c>
      <c r="DG55" s="33" t="n">
        <f aca="false">-SUMIFS(Devex_Keur,Devex_Date,"&gt;="&amp;DG$3,Devex_Date,"&lt;="&amp;DG$4,Devex_Land,1)</f>
        <v>-0</v>
      </c>
      <c r="DH55" s="33" t="n">
        <f aca="false">-SUMIFS(Devex_Keur,Devex_Date,"&gt;="&amp;DH$3,Devex_Date,"&lt;="&amp;DH$4,Devex_Land,1)</f>
        <v>-0</v>
      </c>
      <c r="DI55" s="33" t="n">
        <f aca="false">-SUMIFS(Devex_Keur,Devex_Date,"&gt;="&amp;DI$3,Devex_Date,"&lt;="&amp;DI$4,Devex_Land,1)</f>
        <v>-0</v>
      </c>
      <c r="DJ55" s="33" t="n">
        <f aca="false">-SUMIFS(Devex_Keur,Devex_Date,"&gt;="&amp;DJ$3,Devex_Date,"&lt;="&amp;DJ$4,Devex_Land,1)</f>
        <v>-0</v>
      </c>
      <c r="DK55" s="33" t="n">
        <f aca="false">-SUMIFS(Devex_Keur,Devex_Date,"&gt;="&amp;DK$3,Devex_Date,"&lt;="&amp;DK$4,Devex_Land,1)</f>
        <v>-0</v>
      </c>
      <c r="DL55" s="33" t="n">
        <f aca="false">-SUMIFS(Devex_Keur,Devex_Date,"&gt;="&amp;DL$3,Devex_Date,"&lt;="&amp;DL$4,Devex_Land,1)</f>
        <v>-0</v>
      </c>
      <c r="DM55" s="33" t="n">
        <f aca="false">-SUMIFS(Devex_Keur,Devex_Date,"&gt;="&amp;DM$3,Devex_Date,"&lt;="&amp;DM$4,Devex_Land,1)</f>
        <v>-0</v>
      </c>
      <c r="DN55" s="33" t="n">
        <f aca="false">-SUMIFS(Devex_Keur,Devex_Date,"&gt;="&amp;DN$3,Devex_Date,"&lt;="&amp;DN$4,Devex_Land,1)</f>
        <v>-0</v>
      </c>
      <c r="DO55" s="33" t="n">
        <f aca="false">-SUMIFS(Devex_Keur,Devex_Date,"&gt;="&amp;DO$3,Devex_Date,"&lt;="&amp;DO$4,Devex_Land,1)</f>
        <v>-0</v>
      </c>
      <c r="DP55" s="33" t="n">
        <f aca="false">-SUMIFS(Devex_Keur,Devex_Date,"&gt;="&amp;DP$3,Devex_Date,"&lt;="&amp;DP$4,Devex_Land,1)</f>
        <v>-0</v>
      </c>
      <c r="DQ55" s="33" t="n">
        <f aca="false">-SUMIFS(Devex_Keur,Devex_Date,"&gt;="&amp;DQ$3,Devex_Date,"&lt;="&amp;DQ$4,Devex_Land,1)</f>
        <v>-0</v>
      </c>
      <c r="DR55" s="33" t="n">
        <f aca="false">-SUMIFS(Devex_Keur,Devex_Date,"&gt;="&amp;DR$3,Devex_Date,"&lt;="&amp;DR$4,Devex_Land,1)</f>
        <v>-0</v>
      </c>
      <c r="DS55" s="33" t="n">
        <f aca="false">-SUMIFS(Devex_Keur,Devex_Date,"&gt;="&amp;DS$3,Devex_Date,"&lt;="&amp;DS$4,Devex_Land,1)</f>
        <v>-0</v>
      </c>
      <c r="DT55" s="33" t="n">
        <f aca="false">-SUMIFS(Devex_Keur,Devex_Date,"&gt;="&amp;DT$3,Devex_Date,"&lt;="&amp;DT$4,Devex_Land,1)</f>
        <v>-0</v>
      </c>
      <c r="DU55" s="33" t="n">
        <f aca="false">-SUMIFS(Devex_Keur,Devex_Date,"&gt;="&amp;DU$3,Devex_Date,"&lt;="&amp;DU$4,Devex_Land,1)</f>
        <v>-0</v>
      </c>
      <c r="DV55" s="33" t="n">
        <f aca="false">-SUMIFS(Devex_Keur,Devex_Date,"&gt;="&amp;DV$3,Devex_Date,"&lt;="&amp;DV$4,Devex_Land,1)</f>
        <v>-0</v>
      </c>
      <c r="DW55" s="33" t="n">
        <f aca="false">-SUMIFS(Devex_Keur,Devex_Date,"&gt;="&amp;DW$3,Devex_Date,"&lt;="&amp;DW$4,Devex_Land,1)</f>
        <v>-0</v>
      </c>
      <c r="DX55" s="33" t="n">
        <f aca="false">-SUMIFS(Devex_Keur,Devex_Date,"&gt;="&amp;DX$3,Devex_Date,"&lt;="&amp;DX$4,Devex_Land,1)</f>
        <v>-0</v>
      </c>
      <c r="DY55" s="33" t="n">
        <f aca="false">-SUMIFS(Devex_Keur,Devex_Date,"&gt;="&amp;DY$3,Devex_Date,"&lt;="&amp;DY$4,Devex_Land,1)</f>
        <v>-0</v>
      </c>
      <c r="DZ55" s="33" t="n">
        <f aca="false">-SUMIFS(Devex_Keur,Devex_Date,"&gt;="&amp;DZ$3,Devex_Date,"&lt;="&amp;DZ$4,Devex_Land,1)</f>
        <v>-0</v>
      </c>
      <c r="EA55" s="33" t="n">
        <f aca="false">-SUMIFS(Devex_Keur,Devex_Date,"&gt;="&amp;EA$3,Devex_Date,"&lt;="&amp;EA$4,Devex_Land,1)</f>
        <v>-0</v>
      </c>
      <c r="EB55" s="33" t="n">
        <f aca="false">-SUMIFS(Devex_Keur,Devex_Date,"&gt;="&amp;EB$3,Devex_Date,"&lt;="&amp;EB$4,Devex_Land,1)</f>
        <v>-0</v>
      </c>
      <c r="EC55" s="33" t="n">
        <f aca="false">-SUMIFS(Devex_Keur,Devex_Date,"&gt;="&amp;EC$3,Devex_Date,"&lt;="&amp;EC$4,Devex_Land,1)</f>
        <v>-0</v>
      </c>
      <c r="ED55" s="33" t="n">
        <f aca="false">-SUMIFS(Devex_Keur,Devex_Date,"&gt;="&amp;ED$3,Devex_Date,"&lt;="&amp;ED$4,Devex_Land,1)</f>
        <v>-0</v>
      </c>
      <c r="EE55" s="33" t="n">
        <f aca="false">-SUMIFS(Devex_Keur,Devex_Date,"&gt;="&amp;EE$3,Devex_Date,"&lt;="&amp;EE$4,Devex_Land,1)</f>
        <v>-0</v>
      </c>
      <c r="EF55" s="33" t="n">
        <f aca="false">-SUMIFS(Devex_Keur,Devex_Date,"&gt;="&amp;EF$3,Devex_Date,"&lt;="&amp;EF$4,Devex_Land,1)</f>
        <v>-0</v>
      </c>
      <c r="EG55" s="33" t="n">
        <f aca="false">-SUMIFS(Devex_Keur,Devex_Date,"&gt;="&amp;EG$3,Devex_Date,"&lt;="&amp;EG$4,Devex_Land,1)</f>
        <v>-0</v>
      </c>
      <c r="EH55" s="33" t="n">
        <f aca="false">-SUMIFS(Devex_Keur,Devex_Date,"&gt;="&amp;EH$3,Devex_Date,"&lt;="&amp;EH$4,Devex_Land,1)</f>
        <v>-0</v>
      </c>
      <c r="EI55" s="33" t="n">
        <f aca="false">-SUMIFS(Devex_Keur,Devex_Date,"&gt;="&amp;EI$3,Devex_Date,"&lt;="&amp;EI$4,Devex_Land,1)</f>
        <v>-0</v>
      </c>
      <c r="EJ55" s="33" t="n">
        <f aca="false">-SUMIFS(Devex_Keur,Devex_Date,"&gt;="&amp;EJ$3,Devex_Date,"&lt;="&amp;EJ$4,Devex_Land,1)</f>
        <v>-0</v>
      </c>
      <c r="EK55" s="33" t="n">
        <f aca="false">-SUMIFS(Devex_Keur,Devex_Date,"&gt;="&amp;EK$3,Devex_Date,"&lt;="&amp;EK$4,Devex_Land,1)</f>
        <v>-0</v>
      </c>
      <c r="EL55" s="33" t="n">
        <f aca="false">-SUMIFS(Devex_Keur,Devex_Date,"&gt;="&amp;EL$3,Devex_Date,"&lt;="&amp;EL$4,Devex_Land,1)</f>
        <v>-0</v>
      </c>
      <c r="EM55" s="33" t="n">
        <f aca="false">-SUMIFS(Devex_Keur,Devex_Date,"&gt;="&amp;EM$3,Devex_Date,"&lt;="&amp;EM$4,Devex_Land,1)</f>
        <v>-0</v>
      </c>
      <c r="EN55" s="33" t="n">
        <f aca="false">-SUMIFS(Devex_Keur,Devex_Date,"&gt;="&amp;EN$3,Devex_Date,"&lt;="&amp;EN$4,Devex_Land,1)</f>
        <v>-0</v>
      </c>
      <c r="EO55" s="33" t="n">
        <f aca="false">-SUMIFS(Devex_Keur,Devex_Date,"&gt;="&amp;EO$3,Devex_Date,"&lt;="&amp;EO$4,Devex_Land,1)</f>
        <v>-0</v>
      </c>
      <c r="EP55" s="33" t="n">
        <f aca="false">-SUMIFS(Devex_Keur,Devex_Date,"&gt;="&amp;EP$3,Devex_Date,"&lt;="&amp;EP$4,Devex_Land,1)</f>
        <v>-0</v>
      </c>
      <c r="EQ55" s="33" t="n">
        <f aca="false">-SUMIFS(Devex_Keur,Devex_Date,"&gt;="&amp;EQ$3,Devex_Date,"&lt;="&amp;EQ$4,Devex_Land,1)</f>
        <v>-0</v>
      </c>
      <c r="ER55" s="33" t="n">
        <f aca="false">-SUMIFS(Devex_Keur,Devex_Date,"&gt;="&amp;ER$3,Devex_Date,"&lt;="&amp;ER$4,Devex_Land,1)</f>
        <v>-0</v>
      </c>
      <c r="ES55" s="33" t="n">
        <f aca="false">-SUMIFS(Devex_Keur,Devex_Date,"&gt;="&amp;ES$3,Devex_Date,"&lt;="&amp;ES$4,Devex_Land,1)</f>
        <v>-0</v>
      </c>
      <c r="ET55" s="3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516</v>
      </c>
      <c r="D56" s="11" t="s">
        <v>247</v>
      </c>
      <c r="E56" s="33" t="n">
        <f aca="false">In_Devex_Contingency*(SUM(Devex_Keur)+$E47)</f>
        <v>284.349426368465</v>
      </c>
      <c r="F56" s="27" t="n">
        <f aca="false">In_Contingency_Date</f>
        <v>47118</v>
      </c>
      <c r="I56" s="33" t="n">
        <f aca="false">SUM(J56:ET56)</f>
        <v>-284.349426368465</v>
      </c>
      <c r="J56" s="33" t="n">
        <f aca="false">-$E56*N(AND(J$3&lt;=$F56,J$4&gt;=$F56))</f>
        <v>-0</v>
      </c>
      <c r="K56" s="33" t="n">
        <f aca="false">-$E56*N(AND(K$3&lt;=$F56,K$4&gt;=$F56))</f>
        <v>-0</v>
      </c>
      <c r="L56" s="33" t="n">
        <f aca="false">-$E56*N(AND(L$3&lt;=$F56,L$4&gt;=$F56))</f>
        <v>-0</v>
      </c>
      <c r="M56" s="33" t="n">
        <f aca="false">-$E56*N(AND(M$3&lt;=$F56,M$4&gt;=$F56))</f>
        <v>-0</v>
      </c>
      <c r="N56" s="33" t="n">
        <f aca="false">-$E56*N(AND(N$3&lt;=$F56,N$4&gt;=$F56))</f>
        <v>-0</v>
      </c>
      <c r="O56" s="33" t="n">
        <f aca="false">-$E56*N(AND(O$3&lt;=$F56,O$4&gt;=$F56))</f>
        <v>-0</v>
      </c>
      <c r="P56" s="33" t="n">
        <f aca="false">-$E56*N(AND(P$3&lt;=$F56,P$4&gt;=$F56))</f>
        <v>-0</v>
      </c>
      <c r="Q56" s="33" t="n">
        <f aca="false">-$E56*N(AND(Q$3&lt;=$F56,Q$4&gt;=$F56))</f>
        <v>-0</v>
      </c>
      <c r="R56" s="33" t="n">
        <f aca="false">-$E56*N(AND(R$3&lt;=$F56,R$4&gt;=$F56))</f>
        <v>-0</v>
      </c>
      <c r="S56" s="33" t="n">
        <f aca="false">-$E56*N(AND(S$3&lt;=$F56,S$4&gt;=$F56))</f>
        <v>-284.349426368465</v>
      </c>
      <c r="T56" s="33" t="n">
        <f aca="false">-$E56*N(AND(T$3&lt;=$F56,T$4&gt;=$F56))</f>
        <v>-0</v>
      </c>
      <c r="U56" s="33" t="n">
        <f aca="false">-$E56*N(AND(U$3&lt;=$F56,U$4&gt;=$F56))</f>
        <v>-0</v>
      </c>
      <c r="V56" s="33" t="n">
        <f aca="false">-$E56*N(AND(V$3&lt;=$F56,V$4&gt;=$F56))</f>
        <v>-0</v>
      </c>
      <c r="W56" s="33" t="n">
        <f aca="false">-$E56*N(AND(W$3&lt;=$F56,W$4&gt;=$F56))</f>
        <v>-0</v>
      </c>
      <c r="X56" s="33" t="n">
        <f aca="false">-$E56*N(AND(X$3&lt;=$F56,X$4&gt;=$F56))</f>
        <v>-0</v>
      </c>
      <c r="Y56" s="33" t="n">
        <f aca="false">-$E56*N(AND(Y$3&lt;=$F56,Y$4&gt;=$F56))</f>
        <v>-0</v>
      </c>
      <c r="Z56" s="33" t="n">
        <f aca="false">-$E56*N(AND(Z$3&lt;=$F56,Z$4&gt;=$F56))</f>
        <v>-0</v>
      </c>
      <c r="AA56" s="33" t="n">
        <f aca="false">-$E56*N(AND(AA$3&lt;=$F56,AA$4&gt;=$F56))</f>
        <v>-0</v>
      </c>
      <c r="AB56" s="33" t="n">
        <f aca="false">-$E56*N(AND(AB$3&lt;=$F56,AB$4&gt;=$F56))</f>
        <v>-0</v>
      </c>
      <c r="AC56" s="33" t="n">
        <f aca="false">-$E56*N(AND(AC$3&lt;=$F56,AC$4&gt;=$F56))</f>
        <v>-0</v>
      </c>
      <c r="AD56" s="33" t="n">
        <f aca="false">-$E56*N(AND(AD$3&lt;=$F56,AD$4&gt;=$F56))</f>
        <v>-0</v>
      </c>
      <c r="AE56" s="33" t="n">
        <f aca="false">-$E56*N(AND(AE$3&lt;=$F56,AE$4&gt;=$F56))</f>
        <v>-0</v>
      </c>
      <c r="AF56" s="33" t="n">
        <f aca="false">-$E56*N(AND(AF$3&lt;=$F56,AF$4&gt;=$F56))</f>
        <v>-0</v>
      </c>
      <c r="AG56" s="33" t="n">
        <f aca="false">-$E56*N(AND(AG$3&lt;=$F56,AG$4&gt;=$F56))</f>
        <v>-0</v>
      </c>
      <c r="AH56" s="33" t="n">
        <f aca="false">-$E56*N(AND(AH$3&lt;=$F56,AH$4&gt;=$F56))</f>
        <v>-0</v>
      </c>
      <c r="AI56" s="33" t="n">
        <f aca="false">-$E56*N(AND(AI$3&lt;=$F56,AI$4&gt;=$F56))</f>
        <v>-0</v>
      </c>
      <c r="AJ56" s="33" t="n">
        <f aca="false">-$E56*N(AND(AJ$3&lt;=$F56,AJ$4&gt;=$F56))</f>
        <v>-0</v>
      </c>
      <c r="AK56" s="33" t="n">
        <f aca="false">-$E56*N(AND(AK$3&lt;=$F56,AK$4&gt;=$F56))</f>
        <v>-0</v>
      </c>
      <c r="AL56" s="33" t="n">
        <f aca="false">-$E56*N(AND(AL$3&lt;=$F56,AL$4&gt;=$F56))</f>
        <v>-0</v>
      </c>
      <c r="AM56" s="33" t="n">
        <f aca="false">-$E56*N(AND(AM$3&lt;=$F56,AM$4&gt;=$F56))</f>
        <v>-0</v>
      </c>
      <c r="AN56" s="33" t="n">
        <f aca="false">-$E56*N(AND(AN$3&lt;=$F56,AN$4&gt;=$F56))</f>
        <v>-0</v>
      </c>
      <c r="AO56" s="33" t="n">
        <f aca="false">-$E56*N(AND(AO$3&lt;=$F56,AO$4&gt;=$F56))</f>
        <v>-0</v>
      </c>
      <c r="AP56" s="33" t="n">
        <f aca="false">-$E56*N(AND(AP$3&lt;=$F56,AP$4&gt;=$F56))</f>
        <v>-0</v>
      </c>
      <c r="AQ56" s="33" t="n">
        <f aca="false">-$E56*N(AND(AQ$3&lt;=$F56,AQ$4&gt;=$F56))</f>
        <v>-0</v>
      </c>
      <c r="AR56" s="33" t="n">
        <f aca="false">-$E56*N(AND(AR$3&lt;=$F56,AR$4&gt;=$F56))</f>
        <v>-0</v>
      </c>
      <c r="AS56" s="33" t="n">
        <f aca="false">-$E56*N(AND(AS$3&lt;=$F56,AS$4&gt;=$F56))</f>
        <v>-0</v>
      </c>
      <c r="AT56" s="33" t="n">
        <f aca="false">-$E56*N(AND(AT$3&lt;=$F56,AT$4&gt;=$F56))</f>
        <v>-0</v>
      </c>
      <c r="AU56" s="33" t="n">
        <f aca="false">-$E56*N(AND(AU$3&lt;=$F56,AU$4&gt;=$F56))</f>
        <v>-0</v>
      </c>
      <c r="AV56" s="33" t="n">
        <f aca="false">-$E56*N(AND(AV$3&lt;=$F56,AV$4&gt;=$F56))</f>
        <v>-0</v>
      </c>
      <c r="AW56" s="33" t="n">
        <f aca="false">-$E56*N(AND(AW$3&lt;=$F56,AW$4&gt;=$F56))</f>
        <v>-0</v>
      </c>
      <c r="AX56" s="33" t="n">
        <f aca="false">-$E56*N(AND(AX$3&lt;=$F56,AX$4&gt;=$F56))</f>
        <v>-0</v>
      </c>
      <c r="AY56" s="33" t="n">
        <f aca="false">-$E56*N(AND(AY$3&lt;=$F56,AY$4&gt;=$F56))</f>
        <v>-0</v>
      </c>
      <c r="AZ56" s="33" t="n">
        <f aca="false">-$E56*N(AND(AZ$3&lt;=$F56,AZ$4&gt;=$F56))</f>
        <v>-0</v>
      </c>
      <c r="BA56" s="33" t="n">
        <f aca="false">-$E56*N(AND(BA$3&lt;=$F56,BA$4&gt;=$F56))</f>
        <v>-0</v>
      </c>
      <c r="BB56" s="33" t="n">
        <f aca="false">-$E56*N(AND(BB$3&lt;=$F56,BB$4&gt;=$F56))</f>
        <v>-0</v>
      </c>
      <c r="BC56" s="33" t="n">
        <f aca="false">-$E56*N(AND(BC$3&lt;=$F56,BC$4&gt;=$F56))</f>
        <v>-0</v>
      </c>
      <c r="BD56" s="33" t="n">
        <f aca="false">-$E56*N(AND(BD$3&lt;=$F56,BD$4&gt;=$F56))</f>
        <v>-0</v>
      </c>
      <c r="BE56" s="33" t="n">
        <f aca="false">-$E56*N(AND(BE$3&lt;=$F56,BE$4&gt;=$F56))</f>
        <v>-0</v>
      </c>
      <c r="BF56" s="33" t="n">
        <f aca="false">-$E56*N(AND(BF$3&lt;=$F56,BF$4&gt;=$F56))</f>
        <v>-0</v>
      </c>
      <c r="BG56" s="33" t="n">
        <f aca="false">-$E56*N(AND(BG$3&lt;=$F56,BG$4&gt;=$F56))</f>
        <v>-0</v>
      </c>
      <c r="BH56" s="33" t="n">
        <f aca="false">-$E56*N(AND(BH$3&lt;=$F56,BH$4&gt;=$F56))</f>
        <v>-0</v>
      </c>
      <c r="BI56" s="33" t="n">
        <f aca="false">-$E56*N(AND(BI$3&lt;=$F56,BI$4&gt;=$F56))</f>
        <v>-0</v>
      </c>
      <c r="BJ56" s="33" t="n">
        <f aca="false">-$E56*N(AND(BJ$3&lt;=$F56,BJ$4&gt;=$F56))</f>
        <v>-0</v>
      </c>
      <c r="BK56" s="33" t="n">
        <f aca="false">-$E56*N(AND(BK$3&lt;=$F56,BK$4&gt;=$F56))</f>
        <v>-0</v>
      </c>
      <c r="BL56" s="33" t="n">
        <f aca="false">-$E56*N(AND(BL$3&lt;=$F56,BL$4&gt;=$F56))</f>
        <v>-0</v>
      </c>
      <c r="BM56" s="33" t="n">
        <f aca="false">-$E56*N(AND(BM$3&lt;=$F56,BM$4&gt;=$F56))</f>
        <v>-0</v>
      </c>
      <c r="BN56" s="33" t="n">
        <f aca="false">-$E56*N(AND(BN$3&lt;=$F56,BN$4&gt;=$F56))</f>
        <v>-0</v>
      </c>
      <c r="BO56" s="33" t="n">
        <f aca="false">-$E56*N(AND(BO$3&lt;=$F56,BO$4&gt;=$F56))</f>
        <v>-0</v>
      </c>
      <c r="BP56" s="33" t="n">
        <f aca="false">-$E56*N(AND(BP$3&lt;=$F56,BP$4&gt;=$F56))</f>
        <v>-0</v>
      </c>
      <c r="BQ56" s="33" t="n">
        <f aca="false">-$E56*N(AND(BQ$3&lt;=$F56,BQ$4&gt;=$F56))</f>
        <v>-0</v>
      </c>
      <c r="BR56" s="33" t="n">
        <f aca="false">-$E56*N(AND(BR$3&lt;=$F56,BR$4&gt;=$F56))</f>
        <v>-0</v>
      </c>
      <c r="BS56" s="33" t="n">
        <f aca="false">-$E56*N(AND(BS$3&lt;=$F56,BS$4&gt;=$F56))</f>
        <v>-0</v>
      </c>
      <c r="BT56" s="33" t="n">
        <f aca="false">-$E56*N(AND(BT$3&lt;=$F56,BT$4&gt;=$F56))</f>
        <v>-0</v>
      </c>
      <c r="BU56" s="33" t="n">
        <f aca="false">-$E56*N(AND(BU$3&lt;=$F56,BU$4&gt;=$F56))</f>
        <v>-0</v>
      </c>
      <c r="BV56" s="33" t="n">
        <f aca="false">-$E56*N(AND(BV$3&lt;=$F56,BV$4&gt;=$F56))</f>
        <v>-0</v>
      </c>
      <c r="BW56" s="33" t="n">
        <f aca="false">-$E56*N(AND(BW$3&lt;=$F56,BW$4&gt;=$F56))</f>
        <v>-0</v>
      </c>
      <c r="BX56" s="33" t="n">
        <f aca="false">-$E56*N(AND(BX$3&lt;=$F56,BX$4&gt;=$F56))</f>
        <v>-0</v>
      </c>
      <c r="BY56" s="33" t="n">
        <f aca="false">-$E56*N(AND(BY$3&lt;=$F56,BY$4&gt;=$F56))</f>
        <v>-0</v>
      </c>
      <c r="BZ56" s="33" t="n">
        <f aca="false">-$E56*N(AND(BZ$3&lt;=$F56,BZ$4&gt;=$F56))</f>
        <v>-0</v>
      </c>
      <c r="CA56" s="33" t="n">
        <f aca="false">-$E56*N(AND(CA$3&lt;=$F56,CA$4&gt;=$F56))</f>
        <v>-0</v>
      </c>
      <c r="CB56" s="33" t="n">
        <f aca="false">-$E56*N(AND(CB$3&lt;=$F56,CB$4&gt;=$F56))</f>
        <v>-0</v>
      </c>
      <c r="CC56" s="33" t="n">
        <f aca="false">-$E56*N(AND(CC$3&lt;=$F56,CC$4&gt;=$F56))</f>
        <v>-0</v>
      </c>
      <c r="CD56" s="33" t="n">
        <f aca="false">-$E56*N(AND(CD$3&lt;=$F56,CD$4&gt;=$F56))</f>
        <v>-0</v>
      </c>
      <c r="CE56" s="33" t="n">
        <f aca="false">-$E56*N(AND(CE$3&lt;=$F56,CE$4&gt;=$F56))</f>
        <v>-0</v>
      </c>
      <c r="CF56" s="33" t="n">
        <f aca="false">-$E56*N(AND(CF$3&lt;=$F56,CF$4&gt;=$F56))</f>
        <v>-0</v>
      </c>
      <c r="CG56" s="33" t="n">
        <f aca="false">-$E56*N(AND(CG$3&lt;=$F56,CG$4&gt;=$F56))</f>
        <v>-0</v>
      </c>
      <c r="CH56" s="33" t="n">
        <f aca="false">-$E56*N(AND(CH$3&lt;=$F56,CH$4&gt;=$F56))</f>
        <v>-0</v>
      </c>
      <c r="CI56" s="33" t="n">
        <f aca="false">-$E56*N(AND(CI$3&lt;=$F56,CI$4&gt;=$F56))</f>
        <v>-0</v>
      </c>
      <c r="CJ56" s="33" t="n">
        <f aca="false">-$E56*N(AND(CJ$3&lt;=$F56,CJ$4&gt;=$F56))</f>
        <v>-0</v>
      </c>
      <c r="CK56" s="33" t="n">
        <f aca="false">-$E56*N(AND(CK$3&lt;=$F56,CK$4&gt;=$F56))</f>
        <v>-0</v>
      </c>
      <c r="CL56" s="33" t="n">
        <f aca="false">-$E56*N(AND(CL$3&lt;=$F56,CL$4&gt;=$F56))</f>
        <v>-0</v>
      </c>
      <c r="CM56" s="33" t="n">
        <f aca="false">-$E56*N(AND(CM$3&lt;=$F56,CM$4&gt;=$F56))</f>
        <v>-0</v>
      </c>
      <c r="CN56" s="33" t="n">
        <f aca="false">-$E56*N(AND(CN$3&lt;=$F56,CN$4&gt;=$F56))</f>
        <v>-0</v>
      </c>
      <c r="CO56" s="33" t="n">
        <f aca="false">-$E56*N(AND(CO$3&lt;=$F56,CO$4&gt;=$F56))</f>
        <v>-0</v>
      </c>
      <c r="CP56" s="33" t="n">
        <f aca="false">-$E56*N(AND(CP$3&lt;=$F56,CP$4&gt;=$F56))</f>
        <v>-0</v>
      </c>
      <c r="CQ56" s="33" t="n">
        <f aca="false">-$E56*N(AND(CQ$3&lt;=$F56,CQ$4&gt;=$F56))</f>
        <v>-0</v>
      </c>
      <c r="CR56" s="33" t="n">
        <f aca="false">-$E56*N(AND(CR$3&lt;=$F56,CR$4&gt;=$F56))</f>
        <v>-0</v>
      </c>
      <c r="CS56" s="33" t="n">
        <f aca="false">-$E56*N(AND(CS$3&lt;=$F56,CS$4&gt;=$F56))</f>
        <v>-0</v>
      </c>
      <c r="CT56" s="33" t="n">
        <f aca="false">-$E56*N(AND(CT$3&lt;=$F56,CT$4&gt;=$F56))</f>
        <v>-0</v>
      </c>
      <c r="CU56" s="33" t="n">
        <f aca="false">-$E56*N(AND(CU$3&lt;=$F56,CU$4&gt;=$F56))</f>
        <v>-0</v>
      </c>
      <c r="CV56" s="33" t="n">
        <f aca="false">-$E56*N(AND(CV$3&lt;=$F56,CV$4&gt;=$F56))</f>
        <v>-0</v>
      </c>
      <c r="CW56" s="33" t="n">
        <f aca="false">-$E56*N(AND(CW$3&lt;=$F56,CW$4&gt;=$F56))</f>
        <v>-0</v>
      </c>
      <c r="CX56" s="33" t="n">
        <f aca="false">-$E56*N(AND(CX$3&lt;=$F56,CX$4&gt;=$F56))</f>
        <v>-0</v>
      </c>
      <c r="CY56" s="33" t="n">
        <f aca="false">-$E56*N(AND(CY$3&lt;=$F56,CY$4&gt;=$F56))</f>
        <v>-0</v>
      </c>
      <c r="CZ56" s="33" t="n">
        <f aca="false">-$E56*N(AND(CZ$3&lt;=$F56,CZ$4&gt;=$F56))</f>
        <v>-0</v>
      </c>
      <c r="DA56" s="33" t="n">
        <f aca="false">-$E56*N(AND(DA$3&lt;=$F56,DA$4&gt;=$F56))</f>
        <v>-0</v>
      </c>
      <c r="DB56" s="33" t="n">
        <f aca="false">-$E56*N(AND(DB$3&lt;=$F56,DB$4&gt;=$F56))</f>
        <v>-0</v>
      </c>
      <c r="DC56" s="33" t="n">
        <f aca="false">-$E56*N(AND(DC$3&lt;=$F56,DC$4&gt;=$F56))</f>
        <v>-0</v>
      </c>
      <c r="DD56" s="33" t="n">
        <f aca="false">-$E56*N(AND(DD$3&lt;=$F56,DD$4&gt;=$F56))</f>
        <v>-0</v>
      </c>
      <c r="DE56" s="33" t="n">
        <f aca="false">-$E56*N(AND(DE$3&lt;=$F56,DE$4&gt;=$F56))</f>
        <v>-0</v>
      </c>
      <c r="DF56" s="33" t="n">
        <f aca="false">-$E56*N(AND(DF$3&lt;=$F56,DF$4&gt;=$F56))</f>
        <v>-0</v>
      </c>
      <c r="DG56" s="33" t="n">
        <f aca="false">-$E56*N(AND(DG$3&lt;=$F56,DG$4&gt;=$F56))</f>
        <v>-0</v>
      </c>
      <c r="DH56" s="33" t="n">
        <f aca="false">-$E56*N(AND(DH$3&lt;=$F56,DH$4&gt;=$F56))</f>
        <v>-0</v>
      </c>
      <c r="DI56" s="33" t="n">
        <f aca="false">-$E56*N(AND(DI$3&lt;=$F56,DI$4&gt;=$F56))</f>
        <v>-0</v>
      </c>
      <c r="DJ56" s="33" t="n">
        <f aca="false">-$E56*N(AND(DJ$3&lt;=$F56,DJ$4&gt;=$F56))</f>
        <v>-0</v>
      </c>
      <c r="DK56" s="33" t="n">
        <f aca="false">-$E56*N(AND(DK$3&lt;=$F56,DK$4&gt;=$F56))</f>
        <v>-0</v>
      </c>
      <c r="DL56" s="33" t="n">
        <f aca="false">-$E56*N(AND(DL$3&lt;=$F56,DL$4&gt;=$F56))</f>
        <v>-0</v>
      </c>
      <c r="DM56" s="33" t="n">
        <f aca="false">-$E56*N(AND(DM$3&lt;=$F56,DM$4&gt;=$F56))</f>
        <v>-0</v>
      </c>
      <c r="DN56" s="33" t="n">
        <f aca="false">-$E56*N(AND(DN$3&lt;=$F56,DN$4&gt;=$F56))</f>
        <v>-0</v>
      </c>
      <c r="DO56" s="33" t="n">
        <f aca="false">-$E56*N(AND(DO$3&lt;=$F56,DO$4&gt;=$F56))</f>
        <v>-0</v>
      </c>
      <c r="DP56" s="33" t="n">
        <f aca="false">-$E56*N(AND(DP$3&lt;=$F56,DP$4&gt;=$F56))</f>
        <v>-0</v>
      </c>
      <c r="DQ56" s="33" t="n">
        <f aca="false">-$E56*N(AND(DQ$3&lt;=$F56,DQ$4&gt;=$F56))</f>
        <v>-0</v>
      </c>
      <c r="DR56" s="33" t="n">
        <f aca="false">-$E56*N(AND(DR$3&lt;=$F56,DR$4&gt;=$F56))</f>
        <v>-0</v>
      </c>
      <c r="DS56" s="33" t="n">
        <f aca="false">-$E56*N(AND(DS$3&lt;=$F56,DS$4&gt;=$F56))</f>
        <v>-0</v>
      </c>
      <c r="DT56" s="33" t="n">
        <f aca="false">-$E56*N(AND(DT$3&lt;=$F56,DT$4&gt;=$F56))</f>
        <v>-0</v>
      </c>
      <c r="DU56" s="33" t="n">
        <f aca="false">-$E56*N(AND(DU$3&lt;=$F56,DU$4&gt;=$F56))</f>
        <v>-0</v>
      </c>
      <c r="DV56" s="33" t="n">
        <f aca="false">-$E56*N(AND(DV$3&lt;=$F56,DV$4&gt;=$F56))</f>
        <v>-0</v>
      </c>
      <c r="DW56" s="33" t="n">
        <f aca="false">-$E56*N(AND(DW$3&lt;=$F56,DW$4&gt;=$F56))</f>
        <v>-0</v>
      </c>
      <c r="DX56" s="33" t="n">
        <f aca="false">-$E56*N(AND(DX$3&lt;=$F56,DX$4&gt;=$F56))</f>
        <v>-0</v>
      </c>
      <c r="DY56" s="33" t="n">
        <f aca="false">-$E56*N(AND(DY$3&lt;=$F56,DY$4&gt;=$F56))</f>
        <v>-0</v>
      </c>
      <c r="DZ56" s="33" t="n">
        <f aca="false">-$E56*N(AND(DZ$3&lt;=$F56,DZ$4&gt;=$F56))</f>
        <v>-0</v>
      </c>
      <c r="EA56" s="33" t="n">
        <f aca="false">-$E56*N(AND(EA$3&lt;=$F56,EA$4&gt;=$F56))</f>
        <v>-0</v>
      </c>
      <c r="EB56" s="33" t="n">
        <f aca="false">-$E56*N(AND(EB$3&lt;=$F56,EB$4&gt;=$F56))</f>
        <v>-0</v>
      </c>
      <c r="EC56" s="33" t="n">
        <f aca="false">-$E56*N(AND(EC$3&lt;=$F56,EC$4&gt;=$F56))</f>
        <v>-0</v>
      </c>
      <c r="ED56" s="33" t="n">
        <f aca="false">-$E56*N(AND(ED$3&lt;=$F56,ED$4&gt;=$F56))</f>
        <v>-0</v>
      </c>
      <c r="EE56" s="33" t="n">
        <f aca="false">-$E56*N(AND(EE$3&lt;=$F56,EE$4&gt;=$F56))</f>
        <v>-0</v>
      </c>
      <c r="EF56" s="33" t="n">
        <f aca="false">-$E56*N(AND(EF$3&lt;=$F56,EF$4&gt;=$F56))</f>
        <v>-0</v>
      </c>
      <c r="EG56" s="33" t="n">
        <f aca="false">-$E56*N(AND(EG$3&lt;=$F56,EG$4&gt;=$F56))</f>
        <v>-0</v>
      </c>
      <c r="EH56" s="33" t="n">
        <f aca="false">-$E56*N(AND(EH$3&lt;=$F56,EH$4&gt;=$F56))</f>
        <v>-0</v>
      </c>
      <c r="EI56" s="33" t="n">
        <f aca="false">-$E56*N(AND(EI$3&lt;=$F56,EI$4&gt;=$F56))</f>
        <v>-0</v>
      </c>
      <c r="EJ56" s="33" t="n">
        <f aca="false">-$E56*N(AND(EJ$3&lt;=$F56,EJ$4&gt;=$F56))</f>
        <v>-0</v>
      </c>
      <c r="EK56" s="33" t="n">
        <f aca="false">-$E56*N(AND(EK$3&lt;=$F56,EK$4&gt;=$F56))</f>
        <v>-0</v>
      </c>
      <c r="EL56" s="33" t="n">
        <f aca="false">-$E56*N(AND(EL$3&lt;=$F56,EL$4&gt;=$F56))</f>
        <v>-0</v>
      </c>
      <c r="EM56" s="33" t="n">
        <f aca="false">-$E56*N(AND(EM$3&lt;=$F56,EM$4&gt;=$F56))</f>
        <v>-0</v>
      </c>
      <c r="EN56" s="33" t="n">
        <f aca="false">-$E56*N(AND(EN$3&lt;=$F56,EN$4&gt;=$F56))</f>
        <v>-0</v>
      </c>
      <c r="EO56" s="33" t="n">
        <f aca="false">-$E56*N(AND(EO$3&lt;=$F56,EO$4&gt;=$F56))</f>
        <v>-0</v>
      </c>
      <c r="EP56" s="33" t="n">
        <f aca="false">-$E56*N(AND(EP$3&lt;=$F56,EP$4&gt;=$F56))</f>
        <v>-0</v>
      </c>
      <c r="EQ56" s="33" t="n">
        <f aca="false">-$E56*N(AND(EQ$3&lt;=$F56,EQ$4&gt;=$F56))</f>
        <v>-0</v>
      </c>
      <c r="ER56" s="33" t="n">
        <f aca="false">-$E56*N(AND(ER$3&lt;=$F56,ER$4&gt;=$F56))</f>
        <v>-0</v>
      </c>
      <c r="ES56" s="33" t="n">
        <f aca="false">-$E56*N(AND(ES$3&lt;=$F56,ES$4&gt;=$F56))</f>
        <v>-0</v>
      </c>
      <c r="ET56" s="33" t="n">
        <f aca="false">-$E56*N(AND(ET$3&lt;=$F56,ET$4&gt;=$F56))</f>
        <v>-0</v>
      </c>
    </row>
    <row r="57" customFormat="false" ht="15" hidden="false" customHeight="false" outlineLevel="0" collapsed="false">
      <c r="C57" s="0" t="s">
        <v>517</v>
      </c>
      <c r="D57" s="11" t="s">
        <v>247</v>
      </c>
      <c r="E57" s="33" t="n">
        <f aca="false">-SUMIF($J$4:$ET$4,"&lt;="&amp;$E12,$J57:$ET57)</f>
        <v>3119.62451197093</v>
      </c>
      <c r="F57" s="33" t="n">
        <f aca="false">-SUMIF($J$4:$ET$4,"&lt;="&amp;In_COD,$J57:$ET57)</f>
        <v>3119.62451197093</v>
      </c>
      <c r="I57" s="33" t="n">
        <f aca="false">SUM(J57:ET57)</f>
        <v>-3119.62451197093</v>
      </c>
      <c r="J57" s="33" t="n">
        <f aca="false">J54+J55+J56</f>
        <v>-0</v>
      </c>
      <c r="K57" s="33" t="n">
        <f aca="false">K54+K55+K56</f>
        <v>-178.520547945205</v>
      </c>
      <c r="L57" s="33" t="n">
        <f aca="false">L54+L55+L56</f>
        <v>-588.444520547945</v>
      </c>
      <c r="M57" s="33" t="n">
        <f aca="false">M54+M55+M56</f>
        <v>-43.8356164383562</v>
      </c>
      <c r="N57" s="33" t="n">
        <f aca="false">N54+N55+N56</f>
        <v>-43.8356164383562</v>
      </c>
      <c r="O57" s="33" t="n">
        <f aca="false">O54+O55+O56</f>
        <v>-184.361643835616</v>
      </c>
      <c r="P57" s="33" t="n">
        <f aca="false">P54+P55+P56</f>
        <v>-1290.04179480011</v>
      </c>
      <c r="Q57" s="33" t="n">
        <f aca="false">Q54+Q55+Q56</f>
        <v>-4.60958904109589</v>
      </c>
      <c r="R57" s="33" t="n">
        <f aca="false">R54+R55+R56</f>
        <v>-164.091509980431</v>
      </c>
      <c r="S57" s="33" t="n">
        <f aca="false">S54+S55+S56</f>
        <v>-317.226138697232</v>
      </c>
      <c r="T57" s="33" t="n">
        <f aca="false">T54+T55+T56</f>
        <v>-304.657534246575</v>
      </c>
      <c r="U57" s="33" t="n">
        <f aca="false">U54+U55+U56</f>
        <v>-0</v>
      </c>
      <c r="V57" s="33" t="n">
        <f aca="false">V54+V55+V56</f>
        <v>-0</v>
      </c>
      <c r="W57" s="33" t="n">
        <f aca="false">W54+W55+W56</f>
        <v>-0</v>
      </c>
      <c r="X57" s="33" t="n">
        <f aca="false">X54+X55+X56</f>
        <v>-0</v>
      </c>
      <c r="Y57" s="33" t="n">
        <f aca="false">Y54+Y55+Y56</f>
        <v>-0</v>
      </c>
      <c r="Z57" s="33" t="n">
        <f aca="false">Z54+Z55+Z56</f>
        <v>-0</v>
      </c>
      <c r="AA57" s="33" t="n">
        <f aca="false">AA54+AA55+AA56</f>
        <v>-0</v>
      </c>
      <c r="AB57" s="33" t="n">
        <f aca="false">AB54+AB55+AB56</f>
        <v>-0</v>
      </c>
      <c r="AC57" s="33" t="n">
        <f aca="false">AC54+AC55+AC56</f>
        <v>-0</v>
      </c>
      <c r="AD57" s="33" t="n">
        <f aca="false">AD54+AD55+AD56</f>
        <v>-0</v>
      </c>
      <c r="AE57" s="33" t="n">
        <f aca="false">AE54+AE55+AE56</f>
        <v>-0</v>
      </c>
      <c r="AF57" s="33" t="n">
        <f aca="false">AF54+AF55+AF56</f>
        <v>-0</v>
      </c>
      <c r="AG57" s="33" t="n">
        <f aca="false">AG54+AG55+AG56</f>
        <v>-0</v>
      </c>
      <c r="AH57" s="33" t="n">
        <f aca="false">AH54+AH55+AH56</f>
        <v>-0</v>
      </c>
      <c r="AI57" s="33" t="n">
        <f aca="false">AI54+AI55+AI56</f>
        <v>-0</v>
      </c>
      <c r="AJ57" s="33" t="n">
        <f aca="false">AJ54+AJ55+AJ56</f>
        <v>-0</v>
      </c>
      <c r="AK57" s="33" t="n">
        <f aca="false">AK54+AK55+AK56</f>
        <v>-0</v>
      </c>
      <c r="AL57" s="33" t="n">
        <f aca="false">AL54+AL55+AL56</f>
        <v>-0</v>
      </c>
      <c r="AM57" s="33" t="n">
        <f aca="false">AM54+AM55+AM56</f>
        <v>-0</v>
      </c>
      <c r="AN57" s="33" t="n">
        <f aca="false">AN54+AN55+AN56</f>
        <v>-0</v>
      </c>
      <c r="AO57" s="33" t="n">
        <f aca="false">AO54+AO55+AO56</f>
        <v>-0</v>
      </c>
      <c r="AP57" s="33" t="n">
        <f aca="false">AP54+AP55+AP56</f>
        <v>-0</v>
      </c>
      <c r="AQ57" s="33" t="n">
        <f aca="false">AQ54+AQ55+AQ56</f>
        <v>-0</v>
      </c>
      <c r="AR57" s="33" t="n">
        <f aca="false">AR54+AR55+AR56</f>
        <v>-0</v>
      </c>
      <c r="AS57" s="33" t="n">
        <f aca="false">AS54+AS55+AS56</f>
        <v>-0</v>
      </c>
      <c r="AT57" s="33" t="n">
        <f aca="false">AT54+AT55+AT56</f>
        <v>-0</v>
      </c>
      <c r="AU57" s="33" t="n">
        <f aca="false">AU54+AU55+AU56</f>
        <v>-0</v>
      </c>
      <c r="AV57" s="33" t="n">
        <f aca="false">AV54+AV55+AV56</f>
        <v>-0</v>
      </c>
      <c r="AW57" s="33" t="n">
        <f aca="false">AW54+AW55+AW56</f>
        <v>-0</v>
      </c>
      <c r="AX57" s="33" t="n">
        <f aca="false">AX54+AX55+AX56</f>
        <v>-0</v>
      </c>
      <c r="AY57" s="33" t="n">
        <f aca="false">AY54+AY55+AY56</f>
        <v>-0</v>
      </c>
      <c r="AZ57" s="33" t="n">
        <f aca="false">AZ54+AZ55+AZ56</f>
        <v>-0</v>
      </c>
      <c r="BA57" s="33" t="n">
        <f aca="false">BA54+BA55+BA56</f>
        <v>-0</v>
      </c>
      <c r="BB57" s="33" t="n">
        <f aca="false">BB54+BB55+BB56</f>
        <v>-0</v>
      </c>
      <c r="BC57" s="33" t="n">
        <f aca="false">BC54+BC55+BC56</f>
        <v>-0</v>
      </c>
      <c r="BD57" s="33" t="n">
        <f aca="false">BD54+BD55+BD56</f>
        <v>-0</v>
      </c>
      <c r="BE57" s="33" t="n">
        <f aca="false">BE54+BE55+BE56</f>
        <v>-0</v>
      </c>
      <c r="BF57" s="33" t="n">
        <f aca="false">BF54+BF55+BF56</f>
        <v>-0</v>
      </c>
      <c r="BG57" s="33" t="n">
        <f aca="false">BG54+BG55+BG56</f>
        <v>-0</v>
      </c>
      <c r="BH57" s="33" t="n">
        <f aca="false">BH54+BH55+BH56</f>
        <v>-0</v>
      </c>
      <c r="BI57" s="33" t="n">
        <f aca="false">BI54+BI55+BI56</f>
        <v>-0</v>
      </c>
      <c r="BJ57" s="33" t="n">
        <f aca="false">BJ54+BJ55+BJ56</f>
        <v>-0</v>
      </c>
      <c r="BK57" s="33" t="n">
        <f aca="false">BK54+BK55+BK56</f>
        <v>-0</v>
      </c>
      <c r="BL57" s="33" t="n">
        <f aca="false">BL54+BL55+BL56</f>
        <v>-0</v>
      </c>
      <c r="BM57" s="33" t="n">
        <f aca="false">BM54+BM55+BM56</f>
        <v>-0</v>
      </c>
      <c r="BN57" s="33" t="n">
        <f aca="false">BN54+BN55+BN56</f>
        <v>-0</v>
      </c>
      <c r="BO57" s="33" t="n">
        <f aca="false">BO54+BO55+BO56</f>
        <v>-0</v>
      </c>
      <c r="BP57" s="33" t="n">
        <f aca="false">BP54+BP55+BP56</f>
        <v>-0</v>
      </c>
      <c r="BQ57" s="33" t="n">
        <f aca="false">BQ54+BQ55+BQ56</f>
        <v>-0</v>
      </c>
      <c r="BR57" s="33" t="n">
        <f aca="false">BR54+BR55+BR56</f>
        <v>-0</v>
      </c>
      <c r="BS57" s="33" t="n">
        <f aca="false">BS54+BS55+BS56</f>
        <v>-0</v>
      </c>
      <c r="BT57" s="33" t="n">
        <f aca="false">BT54+BT55+BT56</f>
        <v>-0</v>
      </c>
      <c r="BU57" s="33" t="n">
        <f aca="false">BU54+BU55+BU56</f>
        <v>-0</v>
      </c>
      <c r="BV57" s="33" t="n">
        <f aca="false">BV54+BV55+BV56</f>
        <v>-0</v>
      </c>
      <c r="BW57" s="33" t="n">
        <f aca="false">BW54+BW55+BW56</f>
        <v>-0</v>
      </c>
      <c r="BX57" s="33" t="n">
        <f aca="false">BX54+BX55+BX56</f>
        <v>-0</v>
      </c>
      <c r="BY57" s="33" t="n">
        <f aca="false">BY54+BY55+BY56</f>
        <v>-0</v>
      </c>
      <c r="BZ57" s="33" t="n">
        <f aca="false">BZ54+BZ55+BZ56</f>
        <v>-0</v>
      </c>
      <c r="CA57" s="33" t="n">
        <f aca="false">CA54+CA55+CA56</f>
        <v>-0</v>
      </c>
      <c r="CB57" s="33" t="n">
        <f aca="false">CB54+CB55+CB56</f>
        <v>-0</v>
      </c>
      <c r="CC57" s="33" t="n">
        <f aca="false">CC54+CC55+CC56</f>
        <v>-0</v>
      </c>
      <c r="CD57" s="33" t="n">
        <f aca="false">CD54+CD55+CD56</f>
        <v>-0</v>
      </c>
      <c r="CE57" s="33" t="n">
        <f aca="false">CE54+CE55+CE56</f>
        <v>-0</v>
      </c>
      <c r="CF57" s="33" t="n">
        <f aca="false">CF54+CF55+CF56</f>
        <v>-0</v>
      </c>
      <c r="CG57" s="33" t="n">
        <f aca="false">CG54+CG55+CG56</f>
        <v>-0</v>
      </c>
      <c r="CH57" s="33" t="n">
        <f aca="false">CH54+CH55+CH56</f>
        <v>-0</v>
      </c>
      <c r="CI57" s="33" t="n">
        <f aca="false">CI54+CI55+CI56</f>
        <v>-0</v>
      </c>
      <c r="CJ57" s="33" t="n">
        <f aca="false">CJ54+CJ55+CJ56</f>
        <v>-0</v>
      </c>
      <c r="CK57" s="33" t="n">
        <f aca="false">CK54+CK55+CK56</f>
        <v>-0</v>
      </c>
      <c r="CL57" s="33" t="n">
        <f aca="false">CL54+CL55+CL56</f>
        <v>-0</v>
      </c>
      <c r="CM57" s="33" t="n">
        <f aca="false">CM54+CM55+CM56</f>
        <v>-0</v>
      </c>
      <c r="CN57" s="33" t="n">
        <f aca="false">CN54+CN55+CN56</f>
        <v>-0</v>
      </c>
      <c r="CO57" s="33" t="n">
        <f aca="false">CO54+CO55+CO56</f>
        <v>-0</v>
      </c>
      <c r="CP57" s="33" t="n">
        <f aca="false">CP54+CP55+CP56</f>
        <v>-0</v>
      </c>
      <c r="CQ57" s="33" t="n">
        <f aca="false">CQ54+CQ55+CQ56</f>
        <v>-0</v>
      </c>
      <c r="CR57" s="33" t="n">
        <f aca="false">CR54+CR55+CR56</f>
        <v>-0</v>
      </c>
      <c r="CS57" s="33" t="n">
        <f aca="false">CS54+CS55+CS56</f>
        <v>-0</v>
      </c>
      <c r="CT57" s="33" t="n">
        <f aca="false">CT54+CT55+CT56</f>
        <v>-0</v>
      </c>
      <c r="CU57" s="33" t="n">
        <f aca="false">CU54+CU55+CU56</f>
        <v>-0</v>
      </c>
      <c r="CV57" s="33" t="n">
        <f aca="false">CV54+CV55+CV56</f>
        <v>-0</v>
      </c>
      <c r="CW57" s="33" t="n">
        <f aca="false">CW54+CW55+CW56</f>
        <v>-0</v>
      </c>
      <c r="CX57" s="33" t="n">
        <f aca="false">CX54+CX55+CX56</f>
        <v>-0</v>
      </c>
      <c r="CY57" s="33" t="n">
        <f aca="false">CY54+CY55+CY56</f>
        <v>-0</v>
      </c>
      <c r="CZ57" s="33" t="n">
        <f aca="false">CZ54+CZ55+CZ56</f>
        <v>-0</v>
      </c>
      <c r="DA57" s="33" t="n">
        <f aca="false">DA54+DA55+DA56</f>
        <v>-0</v>
      </c>
      <c r="DB57" s="33" t="n">
        <f aca="false">DB54+DB55+DB56</f>
        <v>-0</v>
      </c>
      <c r="DC57" s="33" t="n">
        <f aca="false">DC54+DC55+DC56</f>
        <v>-0</v>
      </c>
      <c r="DD57" s="33" t="n">
        <f aca="false">DD54+DD55+DD56</f>
        <v>-0</v>
      </c>
      <c r="DE57" s="33" t="n">
        <f aca="false">DE54+DE55+DE56</f>
        <v>-0</v>
      </c>
      <c r="DF57" s="33" t="n">
        <f aca="false">DF54+DF55+DF56</f>
        <v>-0</v>
      </c>
      <c r="DG57" s="33" t="n">
        <f aca="false">DG54+DG55+DG56</f>
        <v>-0</v>
      </c>
      <c r="DH57" s="33" t="n">
        <f aca="false">DH54+DH55+DH56</f>
        <v>-0</v>
      </c>
      <c r="DI57" s="33" t="n">
        <f aca="false">DI54+DI55+DI56</f>
        <v>-0</v>
      </c>
      <c r="DJ57" s="33" t="n">
        <f aca="false">DJ54+DJ55+DJ56</f>
        <v>-0</v>
      </c>
      <c r="DK57" s="33" t="n">
        <f aca="false">DK54+DK55+DK56</f>
        <v>-0</v>
      </c>
      <c r="DL57" s="33" t="n">
        <f aca="false">DL54+DL55+DL56</f>
        <v>-0</v>
      </c>
      <c r="DM57" s="33" t="n">
        <f aca="false">DM54+DM55+DM56</f>
        <v>-0</v>
      </c>
      <c r="DN57" s="33" t="n">
        <f aca="false">DN54+DN55+DN56</f>
        <v>-0</v>
      </c>
      <c r="DO57" s="33" t="n">
        <f aca="false">DO54+DO55+DO56</f>
        <v>-0</v>
      </c>
      <c r="DP57" s="33" t="n">
        <f aca="false">DP54+DP55+DP56</f>
        <v>-0</v>
      </c>
      <c r="DQ57" s="33" t="n">
        <f aca="false">DQ54+DQ55+DQ56</f>
        <v>-0</v>
      </c>
      <c r="DR57" s="33" t="n">
        <f aca="false">DR54+DR55+DR56</f>
        <v>-0</v>
      </c>
      <c r="DS57" s="33" t="n">
        <f aca="false">DS54+DS55+DS56</f>
        <v>-0</v>
      </c>
      <c r="DT57" s="33" t="n">
        <f aca="false">DT54+DT55+DT56</f>
        <v>-0</v>
      </c>
      <c r="DU57" s="33" t="n">
        <f aca="false">DU54+DU55+DU56</f>
        <v>-0</v>
      </c>
      <c r="DV57" s="33" t="n">
        <f aca="false">DV54+DV55+DV56</f>
        <v>-0</v>
      </c>
      <c r="DW57" s="33" t="n">
        <f aca="false">DW54+DW55+DW56</f>
        <v>-0</v>
      </c>
      <c r="DX57" s="33" t="n">
        <f aca="false">DX54+DX55+DX56</f>
        <v>-0</v>
      </c>
      <c r="DY57" s="33" t="n">
        <f aca="false">DY54+DY55+DY56</f>
        <v>-0</v>
      </c>
      <c r="DZ57" s="33" t="n">
        <f aca="false">DZ54+DZ55+DZ56</f>
        <v>-0</v>
      </c>
      <c r="EA57" s="33" t="n">
        <f aca="false">EA54+EA55+EA56</f>
        <v>-0</v>
      </c>
      <c r="EB57" s="33" t="n">
        <f aca="false">EB54+EB55+EB56</f>
        <v>-0</v>
      </c>
      <c r="EC57" s="33" t="n">
        <f aca="false">EC54+EC55+EC56</f>
        <v>-0</v>
      </c>
      <c r="ED57" s="33" t="n">
        <f aca="false">ED54+ED55+ED56</f>
        <v>-0</v>
      </c>
      <c r="EE57" s="33" t="n">
        <f aca="false">EE54+EE55+EE56</f>
        <v>-0</v>
      </c>
      <c r="EF57" s="33" t="n">
        <f aca="false">EF54+EF55+EF56</f>
        <v>-0</v>
      </c>
      <c r="EG57" s="33" t="n">
        <f aca="false">EG54+EG55+EG56</f>
        <v>-0</v>
      </c>
      <c r="EH57" s="33" t="n">
        <f aca="false">EH54+EH55+EH56</f>
        <v>-0</v>
      </c>
      <c r="EI57" s="33" t="n">
        <f aca="false">EI54+EI55+EI56</f>
        <v>-0</v>
      </c>
      <c r="EJ57" s="33" t="n">
        <f aca="false">EJ54+EJ55+EJ56</f>
        <v>-0</v>
      </c>
      <c r="EK57" s="33" t="n">
        <f aca="false">EK54+EK55+EK56</f>
        <v>-0</v>
      </c>
      <c r="EL57" s="33" t="n">
        <f aca="false">EL54+EL55+EL56</f>
        <v>-0</v>
      </c>
      <c r="EM57" s="33" t="n">
        <f aca="false">EM54+EM55+EM56</f>
        <v>-0</v>
      </c>
      <c r="EN57" s="33" t="n">
        <f aca="false">EN54+EN55+EN56</f>
        <v>-0</v>
      </c>
      <c r="EO57" s="33" t="n">
        <f aca="false">EO54+EO55+EO56</f>
        <v>-0</v>
      </c>
      <c r="EP57" s="33" t="n">
        <f aca="false">EP54+EP55+EP56</f>
        <v>-0</v>
      </c>
      <c r="EQ57" s="33" t="n">
        <f aca="false">EQ54+EQ55+EQ56</f>
        <v>-0</v>
      </c>
      <c r="ER57" s="33" t="n">
        <f aca="false">ER54+ER55+ER56</f>
        <v>-0</v>
      </c>
      <c r="ES57" s="33" t="n">
        <f aca="false">ES54+ES55+ES56</f>
        <v>-0</v>
      </c>
      <c r="ET57" s="33" t="n">
        <f aca="false">ET54+ET55+ET56</f>
        <v>-0</v>
      </c>
    </row>
    <row r="58" customFormat="false" ht="15" hidden="false" customHeight="false" outlineLevel="0" collapsed="false">
      <c r="C58" s="0" t="s">
        <v>518</v>
      </c>
      <c r="D58" s="11" t="s">
        <v>247</v>
      </c>
      <c r="I58" s="33" t="n">
        <f aca="false">SUM(J58:ET58)</f>
        <v>-3119.62451197093</v>
      </c>
      <c r="J58" s="33" t="n">
        <f aca="false">J20*SUMIF($J$7:J$7,J$7,$J57:J57)</f>
        <v>0</v>
      </c>
      <c r="K58" s="33" t="n">
        <f aca="false">K20*SUMIF($J$7:K$7,K$7,$J57:K57)</f>
        <v>-178.520547945205</v>
      </c>
      <c r="L58" s="33" t="n">
        <f aca="false">L20*SUMIF($J$7:L$7,L$7,$J57:L57)</f>
        <v>-0</v>
      </c>
      <c r="M58" s="33" t="n">
        <f aca="false">M20*SUMIF($J$7:M$7,M$7,$J57:M57)</f>
        <v>-0</v>
      </c>
      <c r="N58" s="33" t="n">
        <f aca="false">N20*SUMIF($J$7:N$7,N$7,$J57:N57)</f>
        <v>-0</v>
      </c>
      <c r="O58" s="33" t="n">
        <f aca="false">O20*SUMIF($J$7:O$7,O$7,$J57:O57)</f>
        <v>-860.477397260274</v>
      </c>
      <c r="P58" s="33" t="n">
        <f aca="false">P20*SUMIF($J$7:P$7,P$7,$J57:P57)</f>
        <v>-0</v>
      </c>
      <c r="Q58" s="33" t="n">
        <f aca="false">Q20*SUMIF($J$7:Q$7,Q$7,$J57:Q57)</f>
        <v>-0</v>
      </c>
      <c r="R58" s="33" t="n">
        <f aca="false">R20*SUMIF($J$7:R$7,R$7,$J57:R57)</f>
        <v>-0</v>
      </c>
      <c r="S58" s="33" t="n">
        <f aca="false">S20*SUMIF($J$7:S$7,S$7,$J57:S57)</f>
        <v>-1775.96903251887</v>
      </c>
      <c r="T58" s="33" t="n">
        <f aca="false">T20*SUMIF($J$7:T$7,T$7,$J57:T57)</f>
        <v>-0</v>
      </c>
      <c r="U58" s="33" t="n">
        <f aca="false">U20*SUMIF($J$7:U$7,U$7,$J57:U57)</f>
        <v>-0</v>
      </c>
      <c r="V58" s="33" t="n">
        <f aca="false">V20*SUMIF($J$7:V$7,V$7,$J57:V57)</f>
        <v>-0</v>
      </c>
      <c r="W58" s="33" t="n">
        <f aca="false">W20*SUMIF($J$7:W$7,W$7,$J57:W57)</f>
        <v>-304.657534246575</v>
      </c>
      <c r="X58" s="33" t="n">
        <f aca="false">X20*SUMIF($J$7:X$7,X$7,$J57:X57)</f>
        <v>0</v>
      </c>
      <c r="Y58" s="33" t="n">
        <f aca="false">Y20*SUMIF($J$7:Y$7,Y$7,$J57:Y57)</f>
        <v>0</v>
      </c>
      <c r="Z58" s="33" t="n">
        <f aca="false">Z20*SUMIF($J$7:Z$7,Z$7,$J57:Z57)</f>
        <v>0</v>
      </c>
      <c r="AA58" s="33" t="n">
        <f aca="false">AA20*SUMIF($J$7:AA$7,AA$7,$J57:AA57)</f>
        <v>0</v>
      </c>
      <c r="AB58" s="33" t="n">
        <f aca="false">AB20*SUMIF($J$7:AB$7,AB$7,$J57:AB57)</f>
        <v>0</v>
      </c>
      <c r="AC58" s="33" t="n">
        <f aca="false">AC20*SUMIF($J$7:AC$7,AC$7,$J57:AC57)</f>
        <v>0</v>
      </c>
      <c r="AD58" s="33" t="n">
        <f aca="false">AD20*SUMIF($J$7:AD$7,AD$7,$J57:AD57)</f>
        <v>0</v>
      </c>
      <c r="AE58" s="33" t="n">
        <f aca="false">AE20*SUMIF($J$7:AE$7,AE$7,$J57:AE57)</f>
        <v>0</v>
      </c>
      <c r="AF58" s="33" t="n">
        <f aca="false">AF20*SUMIF($J$7:AF$7,AF$7,$J57:AF57)</f>
        <v>0</v>
      </c>
      <c r="AG58" s="33" t="n">
        <f aca="false">AG20*SUMIF($J$7:AG$7,AG$7,$J57:AG57)</f>
        <v>0</v>
      </c>
      <c r="AH58" s="33" t="n">
        <f aca="false">AH20*SUMIF($J$7:AH$7,AH$7,$J57:AH57)</f>
        <v>0</v>
      </c>
      <c r="AI58" s="33" t="n">
        <f aca="false">AI20*SUMIF($J$7:AI$7,AI$7,$J57:AI57)</f>
        <v>0</v>
      </c>
      <c r="AJ58" s="33" t="n">
        <f aca="false">AJ20*SUMIF($J$7:AJ$7,AJ$7,$J57:AJ57)</f>
        <v>0</v>
      </c>
      <c r="AK58" s="33" t="n">
        <f aca="false">AK20*SUMIF($J$7:AK$7,AK$7,$J57:AK57)</f>
        <v>0</v>
      </c>
      <c r="AL58" s="33" t="n">
        <f aca="false">AL20*SUMIF($J$7:AL$7,AL$7,$J57:AL57)</f>
        <v>0</v>
      </c>
      <c r="AM58" s="33" t="n">
        <f aca="false">AM20*SUMIF($J$7:AM$7,AM$7,$J57:AM57)</f>
        <v>0</v>
      </c>
      <c r="AN58" s="33" t="n">
        <f aca="false">AN20*SUMIF($J$7:AN$7,AN$7,$J57:AN57)</f>
        <v>0</v>
      </c>
      <c r="AO58" s="33" t="n">
        <f aca="false">AO20*SUMIF($J$7:AO$7,AO$7,$J57:AO57)</f>
        <v>0</v>
      </c>
      <c r="AP58" s="33" t="n">
        <f aca="false">AP20*SUMIF($J$7:AP$7,AP$7,$J57:AP57)</f>
        <v>0</v>
      </c>
      <c r="AQ58" s="33" t="n">
        <f aca="false">AQ20*SUMIF($J$7:AQ$7,AQ$7,$J57:AQ57)</f>
        <v>0</v>
      </c>
      <c r="AR58" s="33" t="n">
        <f aca="false">AR20*SUMIF($J$7:AR$7,AR$7,$J57:AR57)</f>
        <v>0</v>
      </c>
      <c r="AS58" s="33" t="n">
        <f aca="false">AS20*SUMIF($J$7:AS$7,AS$7,$J57:AS57)</f>
        <v>0</v>
      </c>
      <c r="AT58" s="33" t="n">
        <f aca="false">AT20*SUMIF($J$7:AT$7,AT$7,$J57:AT57)</f>
        <v>0</v>
      </c>
      <c r="AU58" s="33" t="n">
        <f aca="false">AU20*SUMIF($J$7:AU$7,AU$7,$J57:AU57)</f>
        <v>0</v>
      </c>
      <c r="AV58" s="33" t="n">
        <f aca="false">AV20*SUMIF($J$7:AV$7,AV$7,$J57:AV57)</f>
        <v>0</v>
      </c>
      <c r="AW58" s="33" t="n">
        <f aca="false">AW20*SUMIF($J$7:AW$7,AW$7,$J57:AW57)</f>
        <v>0</v>
      </c>
      <c r="AX58" s="33" t="n">
        <f aca="false">AX20*SUMIF($J$7:AX$7,AX$7,$J57:AX57)</f>
        <v>0</v>
      </c>
      <c r="AY58" s="33" t="n">
        <f aca="false">AY20*SUMIF($J$7:AY$7,AY$7,$J57:AY57)</f>
        <v>0</v>
      </c>
      <c r="AZ58" s="33" t="n">
        <f aca="false">AZ20*SUMIF($J$7:AZ$7,AZ$7,$J57:AZ57)</f>
        <v>0</v>
      </c>
      <c r="BA58" s="33" t="n">
        <f aca="false">BA20*SUMIF($J$7:BA$7,BA$7,$J57:BA57)</f>
        <v>0</v>
      </c>
      <c r="BB58" s="33" t="n">
        <f aca="false">BB20*SUMIF($J$7:BB$7,BB$7,$J57:BB57)</f>
        <v>0</v>
      </c>
      <c r="BC58" s="33" t="n">
        <f aca="false">BC20*SUMIF($J$7:BC$7,BC$7,$J57:BC57)</f>
        <v>0</v>
      </c>
      <c r="BD58" s="33" t="n">
        <f aca="false">BD20*SUMIF($J$7:BD$7,BD$7,$J57:BD57)</f>
        <v>0</v>
      </c>
      <c r="BE58" s="33" t="n">
        <f aca="false">BE20*SUMIF($J$7:BE$7,BE$7,$J57:BE57)</f>
        <v>0</v>
      </c>
      <c r="BF58" s="33" t="n">
        <f aca="false">BF20*SUMIF($J$7:BF$7,BF$7,$J57:BF57)</f>
        <v>0</v>
      </c>
      <c r="BG58" s="33" t="n">
        <f aca="false">BG20*SUMIF($J$7:BG$7,BG$7,$J57:BG57)</f>
        <v>0</v>
      </c>
      <c r="BH58" s="33" t="n">
        <f aca="false">BH20*SUMIF($J$7:BH$7,BH$7,$J57:BH57)</f>
        <v>0</v>
      </c>
      <c r="BI58" s="33" t="n">
        <f aca="false">BI20*SUMIF($J$7:BI$7,BI$7,$J57:BI57)</f>
        <v>0</v>
      </c>
      <c r="BJ58" s="33" t="n">
        <f aca="false">BJ20*SUMIF($J$7:BJ$7,BJ$7,$J57:BJ57)</f>
        <v>0</v>
      </c>
      <c r="BK58" s="33" t="n">
        <f aca="false">BK20*SUMIF($J$7:BK$7,BK$7,$J57:BK57)</f>
        <v>0</v>
      </c>
      <c r="BL58" s="33" t="n">
        <f aca="false">BL20*SUMIF($J$7:BL$7,BL$7,$J57:BL57)</f>
        <v>0</v>
      </c>
      <c r="BM58" s="33" t="n">
        <f aca="false">BM20*SUMIF($J$7:BM$7,BM$7,$J57:BM57)</f>
        <v>0</v>
      </c>
      <c r="BN58" s="33" t="n">
        <f aca="false">BN20*SUMIF($J$7:BN$7,BN$7,$J57:BN57)</f>
        <v>0</v>
      </c>
      <c r="BO58" s="33" t="n">
        <f aca="false">BO20*SUMIF($J$7:BO$7,BO$7,$J57:BO57)</f>
        <v>0</v>
      </c>
      <c r="BP58" s="33" t="n">
        <f aca="false">BP20*SUMIF($J$7:BP$7,BP$7,$J57:BP57)</f>
        <v>0</v>
      </c>
      <c r="BQ58" s="33" t="n">
        <f aca="false">BQ20*SUMIF($J$7:BQ$7,BQ$7,$J57:BQ57)</f>
        <v>0</v>
      </c>
      <c r="BR58" s="33" t="n">
        <f aca="false">BR20*SUMIF($J$7:BR$7,BR$7,$J57:BR57)</f>
        <v>0</v>
      </c>
      <c r="BS58" s="33" t="n">
        <f aca="false">BS20*SUMIF($J$7:BS$7,BS$7,$J57:BS57)</f>
        <v>0</v>
      </c>
      <c r="BT58" s="33" t="n">
        <f aca="false">BT20*SUMIF($J$7:BT$7,BT$7,$J57:BT57)</f>
        <v>0</v>
      </c>
      <c r="BU58" s="33" t="n">
        <f aca="false">BU20*SUMIF($J$7:BU$7,BU$7,$J57:BU57)</f>
        <v>0</v>
      </c>
      <c r="BV58" s="33" t="n">
        <f aca="false">BV20*SUMIF($J$7:BV$7,BV$7,$J57:BV57)</f>
        <v>0</v>
      </c>
      <c r="BW58" s="33" t="n">
        <f aca="false">BW20*SUMIF($J$7:BW$7,BW$7,$J57:BW57)</f>
        <v>0</v>
      </c>
      <c r="BX58" s="33" t="n">
        <f aca="false">BX20*SUMIF($J$7:BX$7,BX$7,$J57:BX57)</f>
        <v>0</v>
      </c>
      <c r="BY58" s="33" t="n">
        <f aca="false">BY20*SUMIF($J$7:BY$7,BY$7,$J57:BY57)</f>
        <v>0</v>
      </c>
      <c r="BZ58" s="33" t="n">
        <f aca="false">BZ20*SUMIF($J$7:BZ$7,BZ$7,$J57:BZ57)</f>
        <v>0</v>
      </c>
      <c r="CA58" s="33" t="n">
        <f aca="false">CA20*SUMIF($J$7:CA$7,CA$7,$J57:CA57)</f>
        <v>0</v>
      </c>
      <c r="CB58" s="33" t="n">
        <f aca="false">CB20*SUMIF($J$7:CB$7,CB$7,$J57:CB57)</f>
        <v>0</v>
      </c>
      <c r="CC58" s="33" t="n">
        <f aca="false">CC20*SUMIF($J$7:CC$7,CC$7,$J57:CC57)</f>
        <v>0</v>
      </c>
      <c r="CD58" s="33" t="n">
        <f aca="false">CD20*SUMIF($J$7:CD$7,CD$7,$J57:CD57)</f>
        <v>0</v>
      </c>
      <c r="CE58" s="33" t="n">
        <f aca="false">CE20*SUMIF($J$7:CE$7,CE$7,$J57:CE57)</f>
        <v>0</v>
      </c>
      <c r="CF58" s="33" t="n">
        <f aca="false">CF20*SUMIF($J$7:CF$7,CF$7,$J57:CF57)</f>
        <v>0</v>
      </c>
      <c r="CG58" s="33" t="n">
        <f aca="false">CG20*SUMIF($J$7:CG$7,CG$7,$J57:CG57)</f>
        <v>0</v>
      </c>
      <c r="CH58" s="33" t="n">
        <f aca="false">CH20*SUMIF($J$7:CH$7,CH$7,$J57:CH57)</f>
        <v>0</v>
      </c>
      <c r="CI58" s="33" t="n">
        <f aca="false">CI20*SUMIF($J$7:CI$7,CI$7,$J57:CI57)</f>
        <v>0</v>
      </c>
      <c r="CJ58" s="33" t="n">
        <f aca="false">CJ20*SUMIF($J$7:CJ$7,CJ$7,$J57:CJ57)</f>
        <v>0</v>
      </c>
      <c r="CK58" s="33" t="n">
        <f aca="false">CK20*SUMIF($J$7:CK$7,CK$7,$J57:CK57)</f>
        <v>0</v>
      </c>
      <c r="CL58" s="33" t="n">
        <f aca="false">CL20*SUMIF($J$7:CL$7,CL$7,$J57:CL57)</f>
        <v>0</v>
      </c>
      <c r="CM58" s="33" t="n">
        <f aca="false">CM20*SUMIF($J$7:CM$7,CM$7,$J57:CM57)</f>
        <v>0</v>
      </c>
      <c r="CN58" s="33" t="n">
        <f aca="false">CN20*SUMIF($J$7:CN$7,CN$7,$J57:CN57)</f>
        <v>0</v>
      </c>
      <c r="CO58" s="33" t="n">
        <f aca="false">CO20*SUMIF($J$7:CO$7,CO$7,$J57:CO57)</f>
        <v>0</v>
      </c>
      <c r="CP58" s="33" t="n">
        <f aca="false">CP20*SUMIF($J$7:CP$7,CP$7,$J57:CP57)</f>
        <v>0</v>
      </c>
      <c r="CQ58" s="33" t="n">
        <f aca="false">CQ20*SUMIF($J$7:CQ$7,CQ$7,$J57:CQ57)</f>
        <v>0</v>
      </c>
      <c r="CR58" s="33" t="n">
        <f aca="false">CR20*SUMIF($J$7:CR$7,CR$7,$J57:CR57)</f>
        <v>0</v>
      </c>
      <c r="CS58" s="33" t="n">
        <f aca="false">CS20*SUMIF($J$7:CS$7,CS$7,$J57:CS57)</f>
        <v>0</v>
      </c>
      <c r="CT58" s="33" t="n">
        <f aca="false">CT20*SUMIF($J$7:CT$7,CT$7,$J57:CT57)</f>
        <v>0</v>
      </c>
      <c r="CU58" s="33" t="n">
        <f aca="false">CU20*SUMIF($J$7:CU$7,CU$7,$J57:CU57)</f>
        <v>0</v>
      </c>
      <c r="CV58" s="33" t="n">
        <f aca="false">CV20*SUMIF($J$7:CV$7,CV$7,$J57:CV57)</f>
        <v>0</v>
      </c>
      <c r="CW58" s="33" t="n">
        <f aca="false">CW20*SUMIF($J$7:CW$7,CW$7,$J57:CW57)</f>
        <v>0</v>
      </c>
      <c r="CX58" s="33" t="n">
        <f aca="false">CX20*SUMIF($J$7:CX$7,CX$7,$J57:CX57)</f>
        <v>0</v>
      </c>
      <c r="CY58" s="33" t="n">
        <f aca="false">CY20*SUMIF($J$7:CY$7,CY$7,$J57:CY57)</f>
        <v>0</v>
      </c>
      <c r="CZ58" s="33" t="n">
        <f aca="false">CZ20*SUMIF($J$7:CZ$7,CZ$7,$J57:CZ57)</f>
        <v>0</v>
      </c>
      <c r="DA58" s="33" t="n">
        <f aca="false">DA20*SUMIF($J$7:DA$7,DA$7,$J57:DA57)</f>
        <v>0</v>
      </c>
      <c r="DB58" s="33" t="n">
        <f aca="false">DB20*SUMIF($J$7:DB$7,DB$7,$J57:DB57)</f>
        <v>0</v>
      </c>
      <c r="DC58" s="33" t="n">
        <f aca="false">DC20*SUMIF($J$7:DC$7,DC$7,$J57:DC57)</f>
        <v>0</v>
      </c>
      <c r="DD58" s="33" t="n">
        <f aca="false">DD20*SUMIF($J$7:DD$7,DD$7,$J57:DD57)</f>
        <v>0</v>
      </c>
      <c r="DE58" s="33" t="n">
        <f aca="false">DE20*SUMIF($J$7:DE$7,DE$7,$J57:DE57)</f>
        <v>0</v>
      </c>
      <c r="DF58" s="33" t="n">
        <f aca="false">DF20*SUMIF($J$7:DF$7,DF$7,$J57:DF57)</f>
        <v>0</v>
      </c>
      <c r="DG58" s="33" t="n">
        <f aca="false">DG20*SUMIF($J$7:DG$7,DG$7,$J57:DG57)</f>
        <v>0</v>
      </c>
      <c r="DH58" s="33" t="n">
        <f aca="false">DH20*SUMIF($J$7:DH$7,DH$7,$J57:DH57)</f>
        <v>0</v>
      </c>
      <c r="DI58" s="33" t="n">
        <f aca="false">DI20*SUMIF($J$7:DI$7,DI$7,$J57:DI57)</f>
        <v>0</v>
      </c>
      <c r="DJ58" s="33" t="n">
        <f aca="false">DJ20*SUMIF($J$7:DJ$7,DJ$7,$J57:DJ57)</f>
        <v>0</v>
      </c>
      <c r="DK58" s="33" t="n">
        <f aca="false">DK20*SUMIF($J$7:DK$7,DK$7,$J57:DK57)</f>
        <v>0</v>
      </c>
      <c r="DL58" s="33" t="n">
        <f aca="false">DL20*SUMIF($J$7:DL$7,DL$7,$J57:DL57)</f>
        <v>0</v>
      </c>
      <c r="DM58" s="33" t="n">
        <f aca="false">DM20*SUMIF($J$7:DM$7,DM$7,$J57:DM57)</f>
        <v>0</v>
      </c>
      <c r="DN58" s="33" t="n">
        <f aca="false">DN20*SUMIF($J$7:DN$7,DN$7,$J57:DN57)</f>
        <v>0</v>
      </c>
      <c r="DO58" s="33" t="n">
        <f aca="false">DO20*SUMIF($J$7:DO$7,DO$7,$J57:DO57)</f>
        <v>0</v>
      </c>
      <c r="DP58" s="33" t="n">
        <f aca="false">DP20*SUMIF($J$7:DP$7,DP$7,$J57:DP57)</f>
        <v>0</v>
      </c>
      <c r="DQ58" s="33" t="n">
        <f aca="false">DQ20*SUMIF($J$7:DQ$7,DQ$7,$J57:DQ57)</f>
        <v>0</v>
      </c>
      <c r="DR58" s="33" t="n">
        <f aca="false">DR20*SUMIF($J$7:DR$7,DR$7,$J57:DR57)</f>
        <v>0</v>
      </c>
      <c r="DS58" s="33" t="n">
        <f aca="false">DS20*SUMIF($J$7:DS$7,DS$7,$J57:DS57)</f>
        <v>0</v>
      </c>
      <c r="DT58" s="33" t="n">
        <f aca="false">DT20*SUMIF($J$7:DT$7,DT$7,$J57:DT57)</f>
        <v>0</v>
      </c>
      <c r="DU58" s="33" t="n">
        <f aca="false">DU20*SUMIF($J$7:DU$7,DU$7,$J57:DU57)</f>
        <v>0</v>
      </c>
      <c r="DV58" s="33" t="n">
        <f aca="false">DV20*SUMIF($J$7:DV$7,DV$7,$J57:DV57)</f>
        <v>0</v>
      </c>
      <c r="DW58" s="33" t="n">
        <f aca="false">DW20*SUMIF($J$7:DW$7,DW$7,$J57:DW57)</f>
        <v>0</v>
      </c>
      <c r="DX58" s="33" t="n">
        <f aca="false">DX20*SUMIF($J$7:DX$7,DX$7,$J57:DX57)</f>
        <v>0</v>
      </c>
      <c r="DY58" s="33" t="n">
        <f aca="false">DY20*SUMIF($J$7:DY$7,DY$7,$J57:DY57)</f>
        <v>0</v>
      </c>
      <c r="DZ58" s="33" t="n">
        <f aca="false">DZ20*SUMIF($J$7:DZ$7,DZ$7,$J57:DZ57)</f>
        <v>0</v>
      </c>
      <c r="EA58" s="33" t="n">
        <f aca="false">EA20*SUMIF($J$7:EA$7,EA$7,$J57:EA57)</f>
        <v>0</v>
      </c>
      <c r="EB58" s="33" t="n">
        <f aca="false">EB20*SUMIF($J$7:EB$7,EB$7,$J57:EB57)</f>
        <v>0</v>
      </c>
      <c r="EC58" s="33" t="n">
        <f aca="false">EC20*SUMIF($J$7:EC$7,EC$7,$J57:EC57)</f>
        <v>0</v>
      </c>
      <c r="ED58" s="33" t="n">
        <f aca="false">ED20*SUMIF($J$7:ED$7,ED$7,$J57:ED57)</f>
        <v>0</v>
      </c>
      <c r="EE58" s="33" t="n">
        <f aca="false">EE20*SUMIF($J$7:EE$7,EE$7,$J57:EE57)</f>
        <v>0</v>
      </c>
      <c r="EF58" s="33" t="n">
        <f aca="false">EF20*SUMIF($J$7:EF$7,EF$7,$J57:EF57)</f>
        <v>0</v>
      </c>
      <c r="EG58" s="33" t="n">
        <f aca="false">EG20*SUMIF($J$7:EG$7,EG$7,$J57:EG57)</f>
        <v>0</v>
      </c>
      <c r="EH58" s="33" t="n">
        <f aca="false">EH20*SUMIF($J$7:EH$7,EH$7,$J57:EH57)</f>
        <v>0</v>
      </c>
      <c r="EI58" s="33" t="n">
        <f aca="false">EI20*SUMIF($J$7:EI$7,EI$7,$J57:EI57)</f>
        <v>0</v>
      </c>
      <c r="EJ58" s="33" t="n">
        <f aca="false">EJ20*SUMIF($J$7:EJ$7,EJ$7,$J57:EJ57)</f>
        <v>0</v>
      </c>
      <c r="EK58" s="33" t="n">
        <f aca="false">EK20*SUMIF($J$7:EK$7,EK$7,$J57:EK57)</f>
        <v>0</v>
      </c>
      <c r="EL58" s="33" t="n">
        <f aca="false">EL20*SUMIF($J$7:EL$7,EL$7,$J57:EL57)</f>
        <v>0</v>
      </c>
      <c r="EM58" s="33" t="n">
        <f aca="false">EM20*SUMIF($J$7:EM$7,EM$7,$J57:EM57)</f>
        <v>0</v>
      </c>
      <c r="EN58" s="33" t="n">
        <f aca="false">EN20*SUMIF($J$7:EN$7,EN$7,$J57:EN57)</f>
        <v>0</v>
      </c>
      <c r="EO58" s="33" t="n">
        <f aca="false">EO20*SUMIF($J$7:EO$7,EO$7,$J57:EO57)</f>
        <v>0</v>
      </c>
      <c r="EP58" s="33" t="n">
        <f aca="false">EP20*SUMIF($J$7:EP$7,EP$7,$J57:EP57)</f>
        <v>0</v>
      </c>
      <c r="EQ58" s="33" t="n">
        <f aca="false">EQ20*SUMIF($J$7:EQ$7,EQ$7,$J57:EQ57)</f>
        <v>0</v>
      </c>
      <c r="ER58" s="33" t="n">
        <f aca="false">ER20*SUMIF($J$7:ER$7,ER$7,$J57:ER57)</f>
        <v>0</v>
      </c>
      <c r="ES58" s="33" t="n">
        <f aca="false">ES20*SUMIF($J$7:ES$7,ES$7,$J57:ES57)</f>
        <v>0</v>
      </c>
      <c r="ET58" s="33" t="n">
        <f aca="false">ET20*SUMIF($J$7:ET$7,ET$7,$J57:ET57)</f>
        <v>0</v>
      </c>
    </row>
    <row r="59" customFormat="false" ht="15" hidden="false" customHeight="false" outlineLevel="0" collapsed="false">
      <c r="C59" s="0" t="s">
        <v>519</v>
      </c>
      <c r="D59" s="11" t="s">
        <v>247</v>
      </c>
      <c r="E59" s="33" t="n">
        <f aca="false">SUMIF($J$4:$ET$4,"&lt;="&amp;$E12,$J59:$ET59)</f>
        <v>-1278.15482229311</v>
      </c>
      <c r="F59" s="33" t="n">
        <f aca="false">SUMIF($J$4:$ET$4,"&lt;="&amp;In_COD,$J59:$ET59)</f>
        <v>-2011.61657496716</v>
      </c>
      <c r="I59" s="33" t="n">
        <f aca="false">SUM(J59:ET59)</f>
        <v>-2641.61193619816</v>
      </c>
      <c r="J59" s="33" t="n">
        <f aca="false">-(J48+J49)*In_Guarantee_Fee*J$5/Days_In_Year</f>
        <v>-0</v>
      </c>
      <c r="K59" s="33" t="n">
        <f aca="false">-(K48+K49)*In_Guarantee_Fee*K$5/Days_In_Year</f>
        <v>-18.1640998311128</v>
      </c>
      <c r="L59" s="33" t="n">
        <f aca="false">-(L48+L49)*In_Guarantee_Fee*L$5/Days_In_Year</f>
        <v>-103.466391443047</v>
      </c>
      <c r="M59" s="33" t="n">
        <f aca="false">-(M48+M49)*In_Guarantee_Fee*M$5/Days_In_Year</f>
        <v>-104.616018014637</v>
      </c>
      <c r="N59" s="33" t="n">
        <f aca="false">-(N48+N49)*In_Guarantee_Fee*N$5/Days_In_Year</f>
        <v>-105.765644586226</v>
      </c>
      <c r="O59" s="33" t="n">
        <f aca="false">-(O48+O49)*In_Guarantee_Fee*O$5/Days_In_Year</f>
        <v>-105.765644586226</v>
      </c>
      <c r="P59" s="33" t="n">
        <f aca="false">-(P48+P49)*In_Guarantee_Fee*P$5/Days_In_Year</f>
        <v>-104.616018014637</v>
      </c>
      <c r="Q59" s="33" t="n">
        <f aca="false">-(Q48+Q49)*In_Guarantee_Fee*Q$5/Days_In_Year</f>
        <v>-104.616018014637</v>
      </c>
      <c r="R59" s="33" t="n">
        <f aca="false">-(R48+R49)*In_Guarantee_Fee*R$5/Days_In_Year</f>
        <v>-105.765644586226</v>
      </c>
      <c r="S59" s="33" t="n">
        <f aca="false">-(S48+S49)*In_Guarantee_Fee*S$5/Days_In_Year</f>
        <v>-105.765644586226</v>
      </c>
      <c r="T59" s="33" t="n">
        <f aca="false">-(T48+T49)*In_Guarantee_Fee*T$5/Days_In_Year</f>
        <v>-103.466391443047</v>
      </c>
      <c r="U59" s="33" t="n">
        <f aca="false">-(U48+U49)*In_Guarantee_Fee*U$5/Days_In_Year</f>
        <v>-104.616018014637</v>
      </c>
      <c r="V59" s="33" t="n">
        <f aca="false">-(V48+V49)*In_Guarantee_Fee*V$5/Days_In_Year</f>
        <v>-105.765644586226</v>
      </c>
      <c r="W59" s="33" t="n">
        <f aca="false">-(W48+W49)*In_Guarantee_Fee*W$5/Days_In_Year</f>
        <v>-105.765644586226</v>
      </c>
      <c r="X59" s="33" t="n">
        <f aca="false">-(X48+X49)*In_Guarantee_Fee*X$5/Days_In_Year</f>
        <v>-103.466391443047</v>
      </c>
      <c r="Y59" s="33" t="n">
        <f aca="false">-(Y48+Y49)*In_Guarantee_Fee*Y$5/Days_In_Year</f>
        <v>-104.616018014637</v>
      </c>
      <c r="Z59" s="33" t="n">
        <f aca="false">-(Z48+Z49)*In_Guarantee_Fee*Z$5/Days_In_Year</f>
        <v>-105.765644586226</v>
      </c>
      <c r="AA59" s="33" t="n">
        <f aca="false">-(AA48+AA49)*In_Guarantee_Fee*AA$5/Days_In_Year</f>
        <v>-105.765644586226</v>
      </c>
      <c r="AB59" s="33" t="n">
        <f aca="false">-(AB48+AB49)*In_Guarantee_Fee*AB$5/Days_In_Year</f>
        <v>-103.466391443047</v>
      </c>
      <c r="AC59" s="33" t="n">
        <f aca="false">-(AC48+AC49)*In_Guarantee_Fee*AC$5/Days_In_Year</f>
        <v>-104.616018014637</v>
      </c>
      <c r="AD59" s="33" t="n">
        <f aca="false">-(AD48+AD49)*In_Guarantee_Fee*AD$5/Days_In_Year</f>
        <v>-105.765644586226</v>
      </c>
      <c r="AE59" s="33" t="n">
        <f aca="false">-(AE48+AE49)*In_Guarantee_Fee*AE$5/Days_In_Year</f>
        <v>-105.765644586226</v>
      </c>
      <c r="AF59" s="33" t="n">
        <f aca="false">-(AF48+AF49)*In_Guarantee_Fee*AF$5/Days_In_Year</f>
        <v>-104.616018014637</v>
      </c>
      <c r="AG59" s="33" t="n">
        <f aca="false">-(AG48+AG49)*In_Guarantee_Fee*AG$5/Days_In_Year</f>
        <v>-104.616018014637</v>
      </c>
      <c r="AH59" s="33" t="n">
        <f aca="false">-(AH48+AH49)*In_Guarantee_Fee*AH$5/Days_In_Year</f>
        <v>-105.765644586226</v>
      </c>
      <c r="AI59" s="33" t="n">
        <f aca="false">-(AI48+AI49)*In_Guarantee_Fee*AI$5/Days_In_Year</f>
        <v>-105.765644586226</v>
      </c>
      <c r="AJ59" s="33" t="n">
        <f aca="false">-(AJ48+AJ49)*In_Guarantee_Fee*AJ$5/Days_In_Year</f>
        <v>-103.466391443047</v>
      </c>
      <c r="AK59" s="33" t="n">
        <f aca="false">-(AK48+AK49)*In_Guarantee_Fee*AK$5/Days_In_Year</f>
        <v>-0</v>
      </c>
      <c r="AL59" s="33" t="n">
        <f aca="false">-(AL48+AL49)*In_Guarantee_Fee*AL$5/Days_In_Year</f>
        <v>-0</v>
      </c>
      <c r="AM59" s="33" t="n">
        <f aca="false">-(AM48+AM49)*In_Guarantee_Fee*AM$5/Days_In_Year</f>
        <v>-0</v>
      </c>
      <c r="AN59" s="33" t="n">
        <f aca="false">-(AN48+AN49)*In_Guarantee_Fee*AN$5/Days_In_Year</f>
        <v>-0</v>
      </c>
      <c r="AO59" s="33" t="n">
        <f aca="false">-(AO48+AO49)*In_Guarantee_Fee*AO$5/Days_In_Year</f>
        <v>-0</v>
      </c>
      <c r="AP59" s="33" t="n">
        <f aca="false">-(AP48+AP49)*In_Guarantee_Fee*AP$5/Days_In_Year</f>
        <v>-0</v>
      </c>
      <c r="AQ59" s="33" t="n">
        <f aca="false">-(AQ48+AQ49)*In_Guarantee_Fee*AQ$5/Days_In_Year</f>
        <v>-0</v>
      </c>
      <c r="AR59" s="33" t="n">
        <f aca="false">-(AR48+AR49)*In_Guarantee_Fee*AR$5/Days_In_Year</f>
        <v>-0</v>
      </c>
      <c r="AS59" s="33" t="n">
        <f aca="false">-(AS48+AS49)*In_Guarantee_Fee*AS$5/Days_In_Year</f>
        <v>-0</v>
      </c>
      <c r="AT59" s="33" t="n">
        <f aca="false">-(AT48+AT49)*In_Guarantee_Fee*AT$5/Days_In_Year</f>
        <v>-0</v>
      </c>
      <c r="AU59" s="33" t="n">
        <f aca="false">-(AU48+AU49)*In_Guarantee_Fee*AU$5/Days_In_Year</f>
        <v>-0</v>
      </c>
      <c r="AV59" s="33" t="n">
        <f aca="false">-(AV48+AV49)*In_Guarantee_Fee*AV$5/Days_In_Year</f>
        <v>-0</v>
      </c>
      <c r="AW59" s="33" t="n">
        <f aca="false">-(AW48+AW49)*In_Guarantee_Fee*AW$5/Days_In_Year</f>
        <v>-0</v>
      </c>
      <c r="AX59" s="33" t="n">
        <f aca="false">-(AX48+AX49)*In_Guarantee_Fee*AX$5/Days_In_Year</f>
        <v>-0</v>
      </c>
      <c r="AY59" s="33" t="n">
        <f aca="false">-(AY48+AY49)*In_Guarantee_Fee*AY$5/Days_In_Year</f>
        <v>-0</v>
      </c>
      <c r="AZ59" s="33" t="n">
        <f aca="false">-(AZ48+AZ49)*In_Guarantee_Fee*AZ$5/Days_In_Year</f>
        <v>-0</v>
      </c>
      <c r="BA59" s="33" t="n">
        <f aca="false">-(BA48+BA49)*In_Guarantee_Fee*BA$5/Days_In_Year</f>
        <v>-0</v>
      </c>
      <c r="BB59" s="33" t="n">
        <f aca="false">-(BB48+BB49)*In_Guarantee_Fee*BB$5/Days_In_Year</f>
        <v>-0</v>
      </c>
      <c r="BC59" s="33" t="n">
        <f aca="false">-(BC48+BC49)*In_Guarantee_Fee*BC$5/Days_In_Year</f>
        <v>-0</v>
      </c>
      <c r="BD59" s="33" t="n">
        <f aca="false">-(BD48+BD49)*In_Guarantee_Fee*BD$5/Days_In_Year</f>
        <v>-0</v>
      </c>
      <c r="BE59" s="33" t="n">
        <f aca="false">-(BE48+BE49)*In_Guarantee_Fee*BE$5/Days_In_Year</f>
        <v>-0</v>
      </c>
      <c r="BF59" s="33" t="n">
        <f aca="false">-(BF48+BF49)*In_Guarantee_Fee*BF$5/Days_In_Year</f>
        <v>-0</v>
      </c>
      <c r="BG59" s="33" t="n">
        <f aca="false">-(BG48+BG49)*In_Guarantee_Fee*BG$5/Days_In_Year</f>
        <v>-0</v>
      </c>
      <c r="BH59" s="33" t="n">
        <f aca="false">-(BH48+BH49)*In_Guarantee_Fee*BH$5/Days_In_Year</f>
        <v>-0</v>
      </c>
      <c r="BI59" s="33" t="n">
        <f aca="false">-(BI48+BI49)*In_Guarantee_Fee*BI$5/Days_In_Year</f>
        <v>-0</v>
      </c>
      <c r="BJ59" s="33" t="n">
        <f aca="false">-(BJ48+BJ49)*In_Guarantee_Fee*BJ$5/Days_In_Year</f>
        <v>-0</v>
      </c>
      <c r="BK59" s="33" t="n">
        <f aca="false">-(BK48+BK49)*In_Guarantee_Fee*BK$5/Days_In_Year</f>
        <v>-0</v>
      </c>
      <c r="BL59" s="33" t="n">
        <f aca="false">-(BL48+BL49)*In_Guarantee_Fee*BL$5/Days_In_Year</f>
        <v>-0</v>
      </c>
      <c r="BM59" s="33" t="n">
        <f aca="false">-(BM48+BM49)*In_Guarantee_Fee*BM$5/Days_In_Year</f>
        <v>-0</v>
      </c>
      <c r="BN59" s="33" t="n">
        <f aca="false">-(BN48+BN49)*In_Guarantee_Fee*BN$5/Days_In_Year</f>
        <v>-0</v>
      </c>
      <c r="BO59" s="33" t="n">
        <f aca="false">-(BO48+BO49)*In_Guarantee_Fee*BO$5/Days_In_Year</f>
        <v>-0</v>
      </c>
      <c r="BP59" s="33" t="n">
        <f aca="false">-(BP48+BP49)*In_Guarantee_Fee*BP$5/Days_In_Year</f>
        <v>-0</v>
      </c>
      <c r="BQ59" s="33" t="n">
        <f aca="false">-(BQ48+BQ49)*In_Guarantee_Fee*BQ$5/Days_In_Year</f>
        <v>-0</v>
      </c>
      <c r="BR59" s="33" t="n">
        <f aca="false">-(BR48+BR49)*In_Guarantee_Fee*BR$5/Days_In_Year</f>
        <v>-0</v>
      </c>
      <c r="BS59" s="33" t="n">
        <f aca="false">-(BS48+BS49)*In_Guarantee_Fee*BS$5/Days_In_Year</f>
        <v>-0</v>
      </c>
      <c r="BT59" s="33" t="n">
        <f aca="false">-(BT48+BT49)*In_Guarantee_Fee*BT$5/Days_In_Year</f>
        <v>-0</v>
      </c>
      <c r="BU59" s="33" t="n">
        <f aca="false">-(BU48+BU49)*In_Guarantee_Fee*BU$5/Days_In_Year</f>
        <v>-0</v>
      </c>
      <c r="BV59" s="33" t="n">
        <f aca="false">-(BV48+BV49)*In_Guarantee_Fee*BV$5/Days_In_Year</f>
        <v>-0</v>
      </c>
      <c r="BW59" s="33" t="n">
        <f aca="false">-(BW48+BW49)*In_Guarantee_Fee*BW$5/Days_In_Year</f>
        <v>-0</v>
      </c>
      <c r="BX59" s="33" t="n">
        <f aca="false">-(BX48+BX49)*In_Guarantee_Fee*BX$5/Days_In_Year</f>
        <v>-0</v>
      </c>
      <c r="BY59" s="33" t="n">
        <f aca="false">-(BY48+BY49)*In_Guarantee_Fee*BY$5/Days_In_Year</f>
        <v>-0</v>
      </c>
      <c r="BZ59" s="33" t="n">
        <f aca="false">-(BZ48+BZ49)*In_Guarantee_Fee*BZ$5/Days_In_Year</f>
        <v>-0</v>
      </c>
      <c r="CA59" s="33" t="n">
        <f aca="false">-(CA48+CA49)*In_Guarantee_Fee*CA$5/Days_In_Year</f>
        <v>-0</v>
      </c>
      <c r="CB59" s="33" t="n">
        <f aca="false">-(CB48+CB49)*In_Guarantee_Fee*CB$5/Days_In_Year</f>
        <v>-0</v>
      </c>
      <c r="CC59" s="33" t="n">
        <f aca="false">-(CC48+CC49)*In_Guarantee_Fee*CC$5/Days_In_Year</f>
        <v>-0</v>
      </c>
      <c r="CD59" s="33" t="n">
        <f aca="false">-(CD48+CD49)*In_Guarantee_Fee*CD$5/Days_In_Year</f>
        <v>-0</v>
      </c>
      <c r="CE59" s="33" t="n">
        <f aca="false">-(CE48+CE49)*In_Guarantee_Fee*CE$5/Days_In_Year</f>
        <v>-0</v>
      </c>
      <c r="CF59" s="33" t="n">
        <f aca="false">-(CF48+CF49)*In_Guarantee_Fee*CF$5/Days_In_Year</f>
        <v>-0</v>
      </c>
      <c r="CG59" s="33" t="n">
        <f aca="false">-(CG48+CG49)*In_Guarantee_Fee*CG$5/Days_In_Year</f>
        <v>-0</v>
      </c>
      <c r="CH59" s="33" t="n">
        <f aca="false">-(CH48+CH49)*In_Guarantee_Fee*CH$5/Days_In_Year</f>
        <v>-0</v>
      </c>
      <c r="CI59" s="33" t="n">
        <f aca="false">-(CI48+CI49)*In_Guarantee_Fee*CI$5/Days_In_Year</f>
        <v>-0</v>
      </c>
      <c r="CJ59" s="33" t="n">
        <f aca="false">-(CJ48+CJ49)*In_Guarantee_Fee*CJ$5/Days_In_Year</f>
        <v>-0</v>
      </c>
      <c r="CK59" s="33" t="n">
        <f aca="false">-(CK48+CK49)*In_Guarantee_Fee*CK$5/Days_In_Year</f>
        <v>-0</v>
      </c>
      <c r="CL59" s="33" t="n">
        <f aca="false">-(CL48+CL49)*In_Guarantee_Fee*CL$5/Days_In_Year</f>
        <v>-0</v>
      </c>
      <c r="CM59" s="33" t="n">
        <f aca="false">-(CM48+CM49)*In_Guarantee_Fee*CM$5/Days_In_Year</f>
        <v>-0</v>
      </c>
      <c r="CN59" s="33" t="n">
        <f aca="false">-(CN48+CN49)*In_Guarantee_Fee*CN$5/Days_In_Year</f>
        <v>-0</v>
      </c>
      <c r="CO59" s="33" t="n">
        <f aca="false">-(CO48+CO49)*In_Guarantee_Fee*CO$5/Days_In_Year</f>
        <v>-0</v>
      </c>
      <c r="CP59" s="33" t="n">
        <f aca="false">-(CP48+CP49)*In_Guarantee_Fee*CP$5/Days_In_Year</f>
        <v>-0</v>
      </c>
      <c r="CQ59" s="33" t="n">
        <f aca="false">-(CQ48+CQ49)*In_Guarantee_Fee*CQ$5/Days_In_Year</f>
        <v>-0</v>
      </c>
      <c r="CR59" s="33" t="n">
        <f aca="false">-(CR48+CR49)*In_Guarantee_Fee*CR$5/Days_In_Year</f>
        <v>-0</v>
      </c>
      <c r="CS59" s="33" t="n">
        <f aca="false">-(CS48+CS49)*In_Guarantee_Fee*CS$5/Days_In_Year</f>
        <v>-0</v>
      </c>
      <c r="CT59" s="33" t="n">
        <f aca="false">-(CT48+CT49)*In_Guarantee_Fee*CT$5/Days_In_Year</f>
        <v>-0</v>
      </c>
      <c r="CU59" s="33" t="n">
        <f aca="false">-(CU48+CU49)*In_Guarantee_Fee*CU$5/Days_In_Year</f>
        <v>-0</v>
      </c>
      <c r="CV59" s="33" t="n">
        <f aca="false">-(CV48+CV49)*In_Guarantee_Fee*CV$5/Days_In_Year</f>
        <v>-0</v>
      </c>
      <c r="CW59" s="33" t="n">
        <f aca="false">-(CW48+CW49)*In_Guarantee_Fee*CW$5/Days_In_Year</f>
        <v>-0</v>
      </c>
      <c r="CX59" s="33" t="n">
        <f aca="false">-(CX48+CX49)*In_Guarantee_Fee*CX$5/Days_In_Year</f>
        <v>-0</v>
      </c>
      <c r="CY59" s="33" t="n">
        <f aca="false">-(CY48+CY49)*In_Guarantee_Fee*CY$5/Days_In_Year</f>
        <v>-0</v>
      </c>
      <c r="CZ59" s="33" t="n">
        <f aca="false">-(CZ48+CZ49)*In_Guarantee_Fee*CZ$5/Days_In_Year</f>
        <v>-0</v>
      </c>
      <c r="DA59" s="33" t="n">
        <f aca="false">-(DA48+DA49)*In_Guarantee_Fee*DA$5/Days_In_Year</f>
        <v>-0</v>
      </c>
      <c r="DB59" s="33" t="n">
        <f aca="false">-(DB48+DB49)*In_Guarantee_Fee*DB$5/Days_In_Year</f>
        <v>-0</v>
      </c>
      <c r="DC59" s="33" t="n">
        <f aca="false">-(DC48+DC49)*In_Guarantee_Fee*DC$5/Days_In_Year</f>
        <v>-0</v>
      </c>
      <c r="DD59" s="33" t="n">
        <f aca="false">-(DD48+DD49)*In_Guarantee_Fee*DD$5/Days_In_Year</f>
        <v>-0</v>
      </c>
      <c r="DE59" s="33" t="n">
        <f aca="false">-(DE48+DE49)*In_Guarantee_Fee*DE$5/Days_In_Year</f>
        <v>-0</v>
      </c>
      <c r="DF59" s="33" t="n">
        <f aca="false">-(DF48+DF49)*In_Guarantee_Fee*DF$5/Days_In_Year</f>
        <v>-0</v>
      </c>
      <c r="DG59" s="33" t="n">
        <f aca="false">-(DG48+DG49)*In_Guarantee_Fee*DG$5/Days_In_Year</f>
        <v>-0</v>
      </c>
      <c r="DH59" s="33" t="n">
        <f aca="false">-(DH48+DH49)*In_Guarantee_Fee*DH$5/Days_In_Year</f>
        <v>-0</v>
      </c>
      <c r="DI59" s="33" t="n">
        <f aca="false">-(DI48+DI49)*In_Guarantee_Fee*DI$5/Days_In_Year</f>
        <v>-0</v>
      </c>
      <c r="DJ59" s="33" t="n">
        <f aca="false">-(DJ48+DJ49)*In_Guarantee_Fee*DJ$5/Days_In_Year</f>
        <v>-0</v>
      </c>
      <c r="DK59" s="33" t="n">
        <f aca="false">-(DK48+DK49)*In_Guarantee_Fee*DK$5/Days_In_Year</f>
        <v>-0</v>
      </c>
      <c r="DL59" s="33" t="n">
        <f aca="false">-(DL48+DL49)*In_Guarantee_Fee*DL$5/Days_In_Year</f>
        <v>-0</v>
      </c>
      <c r="DM59" s="33" t="n">
        <f aca="false">-(DM48+DM49)*In_Guarantee_Fee*DM$5/Days_In_Year</f>
        <v>-0</v>
      </c>
      <c r="DN59" s="33" t="n">
        <f aca="false">-(DN48+DN49)*In_Guarantee_Fee*DN$5/Days_In_Year</f>
        <v>-0</v>
      </c>
      <c r="DO59" s="33" t="n">
        <f aca="false">-(DO48+DO49)*In_Guarantee_Fee*DO$5/Days_In_Year</f>
        <v>-0</v>
      </c>
      <c r="DP59" s="33" t="n">
        <f aca="false">-(DP48+DP49)*In_Guarantee_Fee*DP$5/Days_In_Year</f>
        <v>-0</v>
      </c>
      <c r="DQ59" s="33" t="n">
        <f aca="false">-(DQ48+DQ49)*In_Guarantee_Fee*DQ$5/Days_In_Year</f>
        <v>-0</v>
      </c>
      <c r="DR59" s="33" t="n">
        <f aca="false">-(DR48+DR49)*In_Guarantee_Fee*DR$5/Days_In_Year</f>
        <v>-0</v>
      </c>
      <c r="DS59" s="33" t="n">
        <f aca="false">-(DS48+DS49)*In_Guarantee_Fee*DS$5/Days_In_Year</f>
        <v>-0</v>
      </c>
      <c r="DT59" s="33" t="n">
        <f aca="false">-(DT48+DT49)*In_Guarantee_Fee*DT$5/Days_In_Year</f>
        <v>-0</v>
      </c>
      <c r="DU59" s="33" t="n">
        <f aca="false">-(DU48+DU49)*In_Guarantee_Fee*DU$5/Days_In_Year</f>
        <v>-0</v>
      </c>
      <c r="DV59" s="33" t="n">
        <f aca="false">-(DV48+DV49)*In_Guarantee_Fee*DV$5/Days_In_Year</f>
        <v>-0</v>
      </c>
      <c r="DW59" s="33" t="n">
        <f aca="false">-(DW48+DW49)*In_Guarantee_Fee*DW$5/Days_In_Year</f>
        <v>-0</v>
      </c>
      <c r="DX59" s="33" t="n">
        <f aca="false">-(DX48+DX49)*In_Guarantee_Fee*DX$5/Days_In_Year</f>
        <v>-0</v>
      </c>
      <c r="DY59" s="33" t="n">
        <f aca="false">-(DY48+DY49)*In_Guarantee_Fee*DY$5/Days_In_Year</f>
        <v>-0</v>
      </c>
      <c r="DZ59" s="33" t="n">
        <f aca="false">-(DZ48+DZ49)*In_Guarantee_Fee*DZ$5/Days_In_Year</f>
        <v>-0</v>
      </c>
      <c r="EA59" s="33" t="n">
        <f aca="false">-(EA48+EA49)*In_Guarantee_Fee*EA$5/Days_In_Year</f>
        <v>-0</v>
      </c>
      <c r="EB59" s="33" t="n">
        <f aca="false">-(EB48+EB49)*In_Guarantee_Fee*EB$5/Days_In_Year</f>
        <v>-0</v>
      </c>
      <c r="EC59" s="33" t="n">
        <f aca="false">-(EC48+EC49)*In_Guarantee_Fee*EC$5/Days_In_Year</f>
        <v>-0</v>
      </c>
      <c r="ED59" s="33" t="n">
        <f aca="false">-(ED48+ED49)*In_Guarantee_Fee*ED$5/Days_In_Year</f>
        <v>-0</v>
      </c>
      <c r="EE59" s="33" t="n">
        <f aca="false">-(EE48+EE49)*In_Guarantee_Fee*EE$5/Days_In_Year</f>
        <v>-0</v>
      </c>
      <c r="EF59" s="33" t="n">
        <f aca="false">-(EF48+EF49)*In_Guarantee_Fee*EF$5/Days_In_Year</f>
        <v>-0</v>
      </c>
      <c r="EG59" s="33" t="n">
        <f aca="false">-(EG48+EG49)*In_Guarantee_Fee*EG$5/Days_In_Year</f>
        <v>-0</v>
      </c>
      <c r="EH59" s="33" t="n">
        <f aca="false">-(EH48+EH49)*In_Guarantee_Fee*EH$5/Days_In_Year</f>
        <v>-0</v>
      </c>
      <c r="EI59" s="33" t="n">
        <f aca="false">-(EI48+EI49)*In_Guarantee_Fee*EI$5/Days_In_Year</f>
        <v>-0</v>
      </c>
      <c r="EJ59" s="33" t="n">
        <f aca="false">-(EJ48+EJ49)*In_Guarantee_Fee*EJ$5/Days_In_Year</f>
        <v>-0</v>
      </c>
      <c r="EK59" s="33" t="n">
        <f aca="false">-(EK48+EK49)*In_Guarantee_Fee*EK$5/Days_In_Year</f>
        <v>-0</v>
      </c>
      <c r="EL59" s="33" t="n">
        <f aca="false">-(EL48+EL49)*In_Guarantee_Fee*EL$5/Days_In_Year</f>
        <v>-0</v>
      </c>
      <c r="EM59" s="33" t="n">
        <f aca="false">-(EM48+EM49)*In_Guarantee_Fee*EM$5/Days_In_Year</f>
        <v>-0</v>
      </c>
      <c r="EN59" s="33" t="n">
        <f aca="false">-(EN48+EN49)*In_Guarantee_Fee*EN$5/Days_In_Year</f>
        <v>-0</v>
      </c>
      <c r="EO59" s="33" t="n">
        <f aca="false">-(EO48+EO49)*In_Guarantee_Fee*EO$5/Days_In_Year</f>
        <v>-0</v>
      </c>
      <c r="EP59" s="33" t="n">
        <f aca="false">-(EP48+EP49)*In_Guarantee_Fee*EP$5/Days_In_Year</f>
        <v>-0</v>
      </c>
      <c r="EQ59" s="33" t="n">
        <f aca="false">-(EQ48+EQ49)*In_Guarantee_Fee*EQ$5/Days_In_Year</f>
        <v>-0</v>
      </c>
      <c r="ER59" s="33" t="n">
        <f aca="false">-(ER48+ER49)*In_Guarantee_Fee*ER$5/Days_In_Year</f>
        <v>-0</v>
      </c>
      <c r="ES59" s="33" t="n">
        <f aca="false">-(ES48+ES49)*In_Guarantee_Fee*ES$5/Days_In_Year</f>
        <v>-0</v>
      </c>
      <c r="ET59" s="33" t="n">
        <f aca="false">-(ET48+ET49)*In_Guarantee_Fee*ET$5/Days_In_Year</f>
        <v>-0</v>
      </c>
    </row>
    <row r="60" customFormat="false" ht="15" hidden="false" customHeight="false" outlineLevel="0" collapsed="false">
      <c r="C60" s="30" t="s">
        <v>520</v>
      </c>
      <c r="D60" s="11" t="s">
        <v>247</v>
      </c>
      <c r="I60" s="35" t="n">
        <f aca="false">SUM(J60:ET60)</f>
        <v>-7402.33233858005</v>
      </c>
      <c r="J60" s="35" t="n">
        <f aca="false">J46+J47+J50+J57+J59</f>
        <v>-400</v>
      </c>
      <c r="K60" s="35" t="n">
        <f aca="false">K46+K47+K50+K57+K59</f>
        <v>-1437.78053818728</v>
      </c>
      <c r="L60" s="35" t="n">
        <f aca="false">L46+L47+L50+L57+L59</f>
        <v>-691.910911990993</v>
      </c>
      <c r="M60" s="35" t="n">
        <f aca="false">M46+M47+M50+M57+M59</f>
        <v>-148.451634452993</v>
      </c>
      <c r="N60" s="35" t="n">
        <f aca="false">N46+N47+N50+N57+N59</f>
        <v>-149.601261024582</v>
      </c>
      <c r="O60" s="35" t="n">
        <f aca="false">O46+O47+O50+O57+O59</f>
        <v>-290.127288421843</v>
      </c>
      <c r="P60" s="35" t="n">
        <f aca="false">P46+P47+P50+P57+P59</f>
        <v>-1394.65781281475</v>
      </c>
      <c r="Q60" s="35" t="n">
        <f aca="false">Q46+Q47+Q50+Q57+Q59</f>
        <v>-109.225607055733</v>
      </c>
      <c r="R60" s="35" t="n">
        <f aca="false">R46+R47+R50+R57+R59</f>
        <v>-269.857154566657</v>
      </c>
      <c r="S60" s="35" t="n">
        <f aca="false">S46+S47+S50+S57+S59</f>
        <v>-422.991783283459</v>
      </c>
      <c r="T60" s="35" t="n">
        <f aca="false">T46+T47+T50+T57+T59</f>
        <v>-408.123925689623</v>
      </c>
      <c r="U60" s="35" t="n">
        <f aca="false">U46+U47+U50+U57+U59</f>
        <v>-104.616018014637</v>
      </c>
      <c r="V60" s="35" t="n">
        <f aca="false">V46+V47+V50+V57+V59</f>
        <v>-105.765644586226</v>
      </c>
      <c r="W60" s="35" t="n">
        <f aca="false">W46+W47+W50+W57+W59</f>
        <v>-105.765644586226</v>
      </c>
      <c r="X60" s="35" t="n">
        <f aca="false">X46+X47+X50+X57+X59</f>
        <v>-103.466391443047</v>
      </c>
      <c r="Y60" s="35" t="n">
        <f aca="false">Y46+Y47+Y50+Y57+Y59</f>
        <v>-104.616018014637</v>
      </c>
      <c r="Z60" s="35" t="n">
        <f aca="false">Z46+Z47+Z50+Z57+Z59</f>
        <v>-105.765644586226</v>
      </c>
      <c r="AA60" s="35" t="n">
        <f aca="false">AA46+AA47+AA50+AA57+AA59</f>
        <v>-105.765644586226</v>
      </c>
      <c r="AB60" s="35" t="n">
        <f aca="false">AB46+AB47+AB50+AB57+AB59</f>
        <v>-103.466391443047</v>
      </c>
      <c r="AC60" s="35" t="n">
        <f aca="false">AC46+AC47+AC50+AC57+AC59</f>
        <v>-104.616018014637</v>
      </c>
      <c r="AD60" s="35" t="n">
        <f aca="false">AD46+AD47+AD50+AD57+AD59</f>
        <v>-105.765644586226</v>
      </c>
      <c r="AE60" s="35" t="n">
        <f aca="false">AE46+AE47+AE50+AE57+AE59</f>
        <v>-105.765644586226</v>
      </c>
      <c r="AF60" s="35" t="n">
        <f aca="false">AF46+AF47+AF50+AF57+AF59</f>
        <v>-104.616018014637</v>
      </c>
      <c r="AG60" s="35" t="n">
        <f aca="false">AG46+AG47+AG50+AG57+AG59</f>
        <v>-104.616018014637</v>
      </c>
      <c r="AH60" s="35" t="n">
        <f aca="false">AH46+AH47+AH50+AH57+AH59</f>
        <v>-105.765644586226</v>
      </c>
      <c r="AI60" s="35" t="n">
        <f aca="false">AI46+AI47+AI50+AI57+AI59</f>
        <v>-105.765644586226</v>
      </c>
      <c r="AJ60" s="35" t="n">
        <f aca="false">AJ46+AJ47+AJ50+AJ57+AJ59</f>
        <v>-103.466391443047</v>
      </c>
      <c r="AK60" s="35" t="n">
        <f aca="false">AK46+AK47+AK50+AK57+AK59</f>
        <v>-0</v>
      </c>
      <c r="AL60" s="35" t="n">
        <f aca="false">AL46+AL47+AL50+AL57+AL59</f>
        <v>-0</v>
      </c>
      <c r="AM60" s="35" t="n">
        <f aca="false">AM46+AM47+AM50+AM57+AM59</f>
        <v>-0</v>
      </c>
      <c r="AN60" s="35" t="n">
        <f aca="false">AN46+AN47+AN50+AN57+AN59</f>
        <v>-0</v>
      </c>
      <c r="AO60" s="35" t="n">
        <f aca="false">AO46+AO47+AO50+AO57+AO59</f>
        <v>-0</v>
      </c>
      <c r="AP60" s="35" t="n">
        <f aca="false">AP46+AP47+AP50+AP57+AP59</f>
        <v>-0</v>
      </c>
      <c r="AQ60" s="35" t="n">
        <f aca="false">AQ46+AQ47+AQ50+AQ57+AQ59</f>
        <v>-0</v>
      </c>
      <c r="AR60" s="35" t="n">
        <f aca="false">AR46+AR47+AR50+AR57+AR59</f>
        <v>-0</v>
      </c>
      <c r="AS60" s="35" t="n">
        <f aca="false">AS46+AS47+AS50+AS57+AS59</f>
        <v>-0</v>
      </c>
      <c r="AT60" s="35" t="n">
        <f aca="false">AT46+AT47+AT50+AT57+AT59</f>
        <v>-0</v>
      </c>
      <c r="AU60" s="35" t="n">
        <f aca="false">AU46+AU47+AU50+AU57+AU59</f>
        <v>-0</v>
      </c>
      <c r="AV60" s="35" t="n">
        <f aca="false">AV46+AV47+AV50+AV57+AV59</f>
        <v>-0</v>
      </c>
      <c r="AW60" s="35" t="n">
        <f aca="false">AW46+AW47+AW50+AW57+AW59</f>
        <v>-0</v>
      </c>
      <c r="AX60" s="35" t="n">
        <f aca="false">AX46+AX47+AX50+AX57+AX59</f>
        <v>-0</v>
      </c>
      <c r="AY60" s="35" t="n">
        <f aca="false">AY46+AY47+AY50+AY57+AY59</f>
        <v>-0</v>
      </c>
      <c r="AZ60" s="35" t="n">
        <f aca="false">AZ46+AZ47+AZ50+AZ57+AZ59</f>
        <v>-0</v>
      </c>
      <c r="BA60" s="35" t="n">
        <f aca="false">BA46+BA47+BA50+BA57+BA59</f>
        <v>-0</v>
      </c>
      <c r="BB60" s="35" t="n">
        <f aca="false">BB46+BB47+BB50+BB57+BB59</f>
        <v>-0</v>
      </c>
      <c r="BC60" s="35" t="n">
        <f aca="false">BC46+BC47+BC50+BC57+BC59</f>
        <v>-0</v>
      </c>
      <c r="BD60" s="35" t="n">
        <f aca="false">BD46+BD47+BD50+BD57+BD59</f>
        <v>-0</v>
      </c>
      <c r="BE60" s="35" t="n">
        <f aca="false">BE46+BE47+BE50+BE57+BE59</f>
        <v>-0</v>
      </c>
      <c r="BF60" s="35" t="n">
        <f aca="false">BF46+BF47+BF50+BF57+BF59</f>
        <v>-0</v>
      </c>
      <c r="BG60" s="35" t="n">
        <f aca="false">BG46+BG47+BG50+BG57+BG59</f>
        <v>-0</v>
      </c>
      <c r="BH60" s="35" t="n">
        <f aca="false">BH46+BH47+BH50+BH57+BH59</f>
        <v>-0</v>
      </c>
      <c r="BI60" s="35" t="n">
        <f aca="false">BI46+BI47+BI50+BI57+BI59</f>
        <v>-0</v>
      </c>
      <c r="BJ60" s="35" t="n">
        <f aca="false">BJ46+BJ47+BJ50+BJ57+BJ59</f>
        <v>-0</v>
      </c>
      <c r="BK60" s="35" t="n">
        <f aca="false">BK46+BK47+BK50+BK57+BK59</f>
        <v>-0</v>
      </c>
      <c r="BL60" s="35" t="n">
        <f aca="false">BL46+BL47+BL50+BL57+BL59</f>
        <v>-0</v>
      </c>
      <c r="BM60" s="35" t="n">
        <f aca="false">BM46+BM47+BM50+BM57+BM59</f>
        <v>-0</v>
      </c>
      <c r="BN60" s="35" t="n">
        <f aca="false">BN46+BN47+BN50+BN57+BN59</f>
        <v>-0</v>
      </c>
      <c r="BO60" s="35" t="n">
        <f aca="false">BO46+BO47+BO50+BO57+BO59</f>
        <v>-0</v>
      </c>
      <c r="BP60" s="35" t="n">
        <f aca="false">BP46+BP47+BP50+BP57+BP59</f>
        <v>-0</v>
      </c>
      <c r="BQ60" s="35" t="n">
        <f aca="false">BQ46+BQ47+BQ50+BQ57+BQ59</f>
        <v>-0</v>
      </c>
      <c r="BR60" s="35" t="n">
        <f aca="false">BR46+BR47+BR50+BR57+BR59</f>
        <v>-0</v>
      </c>
      <c r="BS60" s="35" t="n">
        <f aca="false">BS46+BS47+BS50+BS57+BS59</f>
        <v>-0</v>
      </c>
      <c r="BT60" s="35" t="n">
        <f aca="false">BT46+BT47+BT50+BT57+BT59</f>
        <v>-0</v>
      </c>
      <c r="BU60" s="35" t="n">
        <f aca="false">BU46+BU47+BU50+BU57+BU59</f>
        <v>-0</v>
      </c>
      <c r="BV60" s="35" t="n">
        <f aca="false">BV46+BV47+BV50+BV57+BV59</f>
        <v>-0</v>
      </c>
      <c r="BW60" s="35" t="n">
        <f aca="false">BW46+BW47+BW50+BW57+BW59</f>
        <v>-0</v>
      </c>
      <c r="BX60" s="35" t="n">
        <f aca="false">BX46+BX47+BX50+BX57+BX59</f>
        <v>-0</v>
      </c>
      <c r="BY60" s="35" t="n">
        <f aca="false">BY46+BY47+BY50+BY57+BY59</f>
        <v>-0</v>
      </c>
      <c r="BZ60" s="35" t="n">
        <f aca="false">BZ46+BZ47+BZ50+BZ57+BZ59</f>
        <v>-0</v>
      </c>
      <c r="CA60" s="35" t="n">
        <f aca="false">CA46+CA47+CA50+CA57+CA59</f>
        <v>-0</v>
      </c>
      <c r="CB60" s="35" t="n">
        <f aca="false">CB46+CB47+CB50+CB57+CB59</f>
        <v>-0</v>
      </c>
      <c r="CC60" s="35" t="n">
        <f aca="false">CC46+CC47+CC50+CC57+CC59</f>
        <v>-0</v>
      </c>
      <c r="CD60" s="35" t="n">
        <f aca="false">CD46+CD47+CD50+CD57+CD59</f>
        <v>-0</v>
      </c>
      <c r="CE60" s="35" t="n">
        <f aca="false">CE46+CE47+CE50+CE57+CE59</f>
        <v>-0</v>
      </c>
      <c r="CF60" s="35" t="n">
        <f aca="false">CF46+CF47+CF50+CF57+CF59</f>
        <v>-0</v>
      </c>
      <c r="CG60" s="35" t="n">
        <f aca="false">CG46+CG47+CG50+CG57+CG59</f>
        <v>-0</v>
      </c>
      <c r="CH60" s="35" t="n">
        <f aca="false">CH46+CH47+CH50+CH57+CH59</f>
        <v>-0</v>
      </c>
      <c r="CI60" s="35" t="n">
        <f aca="false">CI46+CI47+CI50+CI57+CI59</f>
        <v>-0</v>
      </c>
      <c r="CJ60" s="35" t="n">
        <f aca="false">CJ46+CJ47+CJ50+CJ57+CJ59</f>
        <v>-0</v>
      </c>
      <c r="CK60" s="35" t="n">
        <f aca="false">CK46+CK47+CK50+CK57+CK59</f>
        <v>-0</v>
      </c>
      <c r="CL60" s="35" t="n">
        <f aca="false">CL46+CL47+CL50+CL57+CL59</f>
        <v>-0</v>
      </c>
      <c r="CM60" s="35" t="n">
        <f aca="false">CM46+CM47+CM50+CM57+CM59</f>
        <v>-0</v>
      </c>
      <c r="CN60" s="35" t="n">
        <f aca="false">CN46+CN47+CN50+CN57+CN59</f>
        <v>-0</v>
      </c>
      <c r="CO60" s="35" t="n">
        <f aca="false">CO46+CO47+CO50+CO57+CO59</f>
        <v>-0</v>
      </c>
      <c r="CP60" s="35" t="n">
        <f aca="false">CP46+CP47+CP50+CP57+CP59</f>
        <v>-0</v>
      </c>
      <c r="CQ60" s="35" t="n">
        <f aca="false">CQ46+CQ47+CQ50+CQ57+CQ59</f>
        <v>-0</v>
      </c>
      <c r="CR60" s="35" t="n">
        <f aca="false">CR46+CR47+CR50+CR57+CR59</f>
        <v>-0</v>
      </c>
      <c r="CS60" s="35" t="n">
        <f aca="false">CS46+CS47+CS50+CS57+CS59</f>
        <v>-0</v>
      </c>
      <c r="CT60" s="35" t="n">
        <f aca="false">CT46+CT47+CT50+CT57+CT59</f>
        <v>-0</v>
      </c>
      <c r="CU60" s="35" t="n">
        <f aca="false">CU46+CU47+CU50+CU57+CU59</f>
        <v>-0</v>
      </c>
      <c r="CV60" s="35" t="n">
        <f aca="false">CV46+CV47+CV50+CV57+CV59</f>
        <v>-0</v>
      </c>
      <c r="CW60" s="35" t="n">
        <f aca="false">CW46+CW47+CW50+CW57+CW59</f>
        <v>-0</v>
      </c>
      <c r="CX60" s="35" t="n">
        <f aca="false">CX46+CX47+CX50+CX57+CX59</f>
        <v>-0</v>
      </c>
      <c r="CY60" s="35" t="n">
        <f aca="false">CY46+CY47+CY50+CY57+CY59</f>
        <v>-0</v>
      </c>
      <c r="CZ60" s="35" t="n">
        <f aca="false">CZ46+CZ47+CZ50+CZ57+CZ59</f>
        <v>-0</v>
      </c>
      <c r="DA60" s="35" t="n">
        <f aca="false">DA46+DA47+DA50+DA57+DA59</f>
        <v>-0</v>
      </c>
      <c r="DB60" s="35" t="n">
        <f aca="false">DB46+DB47+DB50+DB57+DB59</f>
        <v>-0</v>
      </c>
      <c r="DC60" s="35" t="n">
        <f aca="false">DC46+DC47+DC50+DC57+DC59</f>
        <v>-0</v>
      </c>
      <c r="DD60" s="35" t="n">
        <f aca="false">DD46+DD47+DD50+DD57+DD59</f>
        <v>-0</v>
      </c>
      <c r="DE60" s="35" t="n">
        <f aca="false">DE46+DE47+DE50+DE57+DE59</f>
        <v>-0</v>
      </c>
      <c r="DF60" s="35" t="n">
        <f aca="false">DF46+DF47+DF50+DF57+DF59</f>
        <v>-0</v>
      </c>
      <c r="DG60" s="35" t="n">
        <f aca="false">DG46+DG47+DG50+DG57+DG59</f>
        <v>-0</v>
      </c>
      <c r="DH60" s="35" t="n">
        <f aca="false">DH46+DH47+DH50+DH57+DH59</f>
        <v>-0</v>
      </c>
      <c r="DI60" s="35" t="n">
        <f aca="false">DI46+DI47+DI50+DI57+DI59</f>
        <v>-0</v>
      </c>
      <c r="DJ60" s="35" t="n">
        <f aca="false">DJ46+DJ47+DJ50+DJ57+DJ59</f>
        <v>-0</v>
      </c>
      <c r="DK60" s="35" t="n">
        <f aca="false">DK46+DK47+DK50+DK57+DK59</f>
        <v>-0</v>
      </c>
      <c r="DL60" s="35" t="n">
        <f aca="false">DL46+DL47+DL50+DL57+DL59</f>
        <v>-0</v>
      </c>
      <c r="DM60" s="35" t="n">
        <f aca="false">DM46+DM47+DM50+DM57+DM59</f>
        <v>-0</v>
      </c>
      <c r="DN60" s="35" t="n">
        <f aca="false">DN46+DN47+DN50+DN57+DN59</f>
        <v>-0</v>
      </c>
      <c r="DO60" s="35" t="n">
        <f aca="false">DO46+DO47+DO50+DO57+DO59</f>
        <v>-0</v>
      </c>
      <c r="DP60" s="35" t="n">
        <f aca="false">DP46+DP47+DP50+DP57+DP59</f>
        <v>-0</v>
      </c>
      <c r="DQ60" s="35" t="n">
        <f aca="false">DQ46+DQ47+DQ50+DQ57+DQ59</f>
        <v>-0</v>
      </c>
      <c r="DR60" s="35" t="n">
        <f aca="false">DR46+DR47+DR50+DR57+DR59</f>
        <v>-0</v>
      </c>
      <c r="DS60" s="35" t="n">
        <f aca="false">DS46+DS47+DS50+DS57+DS59</f>
        <v>-0</v>
      </c>
      <c r="DT60" s="35" t="n">
        <f aca="false">DT46+DT47+DT50+DT57+DT59</f>
        <v>-0</v>
      </c>
      <c r="DU60" s="35" t="n">
        <f aca="false">DU46+DU47+DU50+DU57+DU59</f>
        <v>-0</v>
      </c>
      <c r="DV60" s="35" t="n">
        <f aca="false">DV46+DV47+DV50+DV57+DV59</f>
        <v>-0</v>
      </c>
      <c r="DW60" s="35" t="n">
        <f aca="false">DW46+DW47+DW50+DW57+DW59</f>
        <v>-0</v>
      </c>
      <c r="DX60" s="35" t="n">
        <f aca="false">DX46+DX47+DX50+DX57+DX59</f>
        <v>-0</v>
      </c>
      <c r="DY60" s="35" t="n">
        <f aca="false">DY46+DY47+DY50+DY57+DY59</f>
        <v>-0</v>
      </c>
      <c r="DZ60" s="35" t="n">
        <f aca="false">DZ46+DZ47+DZ50+DZ57+DZ59</f>
        <v>-0</v>
      </c>
      <c r="EA60" s="35" t="n">
        <f aca="false">EA46+EA47+EA50+EA57+EA59</f>
        <v>-0</v>
      </c>
      <c r="EB60" s="35" t="n">
        <f aca="false">EB46+EB47+EB50+EB57+EB59</f>
        <v>-0</v>
      </c>
      <c r="EC60" s="35" t="n">
        <f aca="false">EC46+EC47+EC50+EC57+EC59</f>
        <v>-0</v>
      </c>
      <c r="ED60" s="35" t="n">
        <f aca="false">ED46+ED47+ED50+ED57+ED59</f>
        <v>-0</v>
      </c>
      <c r="EE60" s="35" t="n">
        <f aca="false">EE46+EE47+EE50+EE57+EE59</f>
        <v>-0</v>
      </c>
      <c r="EF60" s="35" t="n">
        <f aca="false">EF46+EF47+EF50+EF57+EF59</f>
        <v>-0</v>
      </c>
      <c r="EG60" s="35" t="n">
        <f aca="false">EG46+EG47+EG50+EG57+EG59</f>
        <v>-0</v>
      </c>
      <c r="EH60" s="35" t="n">
        <f aca="false">EH46+EH47+EH50+EH57+EH59</f>
        <v>-0</v>
      </c>
      <c r="EI60" s="35" t="n">
        <f aca="false">EI46+EI47+EI50+EI57+EI59</f>
        <v>-0</v>
      </c>
      <c r="EJ60" s="35" t="n">
        <f aca="false">EJ46+EJ47+EJ50+EJ57+EJ59</f>
        <v>-0</v>
      </c>
      <c r="EK60" s="35" t="n">
        <f aca="false">EK46+EK47+EK50+EK57+EK59</f>
        <v>-0</v>
      </c>
      <c r="EL60" s="35" t="n">
        <f aca="false">EL46+EL47+EL50+EL57+EL59</f>
        <v>-0</v>
      </c>
      <c r="EM60" s="35" t="n">
        <f aca="false">EM46+EM47+EM50+EM57+EM59</f>
        <v>-0</v>
      </c>
      <c r="EN60" s="35" t="n">
        <f aca="false">EN46+EN47+EN50+EN57+EN59</f>
        <v>-0</v>
      </c>
      <c r="EO60" s="35" t="n">
        <f aca="false">EO46+EO47+EO50+EO57+EO59</f>
        <v>-0</v>
      </c>
      <c r="EP60" s="35" t="n">
        <f aca="false">EP46+EP47+EP50+EP57+EP59</f>
        <v>-0</v>
      </c>
      <c r="EQ60" s="35" t="n">
        <f aca="false">EQ46+EQ47+EQ50+EQ57+EQ59</f>
        <v>-0</v>
      </c>
      <c r="ER60" s="35" t="n">
        <f aca="false">ER46+ER47+ER50+ER57+ER59</f>
        <v>-0</v>
      </c>
      <c r="ES60" s="35" t="n">
        <f aca="false">ES46+ES47+ES50+ES57+ES59</f>
        <v>-0</v>
      </c>
      <c r="ET60" s="35" t="n">
        <f aca="false">ET46+ET47+ET50+ET57+ET59</f>
        <v>-0</v>
      </c>
    </row>
    <row r="61" customFormat="false" ht="15" hidden="false" customHeight="false" outlineLevel="0" collapsed="false">
      <c r="C61" s="0" t="s">
        <v>521</v>
      </c>
      <c r="D61" s="11" t="s">
        <v>247</v>
      </c>
      <c r="E61" s="33" t="n">
        <f aca="false">SUMIF($J$4:$ET$4,$E12,$J61:$ET61)</f>
        <v>21850.9278191781</v>
      </c>
      <c r="I61" s="54"/>
      <c r="J61" s="33" t="n">
        <f aca="false">I61-J47-J50-J53-J55</f>
        <v>0</v>
      </c>
      <c r="K61" s="33" t="n">
        <f aca="false">J61-K47-K50-K53-K55</f>
        <v>1241.09589041096</v>
      </c>
      <c r="L61" s="33" t="n">
        <f aca="false">K61-L47-L50-L53-L55</f>
        <v>1421.67739726027</v>
      </c>
      <c r="M61" s="33" t="n">
        <f aca="false">L61-M47-M50-M53-M55</f>
        <v>1421.67739726027</v>
      </c>
      <c r="N61" s="33" t="n">
        <f aca="false">M61-N47-N50-N53-N55</f>
        <v>1421.67739726027</v>
      </c>
      <c r="O61" s="33" t="n">
        <f aca="false">N61-O47-O50-O53-O55</f>
        <v>1421.67739726027</v>
      </c>
      <c r="P61" s="33" t="n">
        <f aca="false">O61-P47-P50-P53-P55</f>
        <v>1421.67739726027</v>
      </c>
      <c r="Q61" s="33" t="n">
        <f aca="false">P61-Q47-Q50-Q53-Q55</f>
        <v>1421.67739726027</v>
      </c>
      <c r="R61" s="33" t="n">
        <f aca="false">Q61-R47-R50-R53-R55</f>
        <v>1421.67739726027</v>
      </c>
      <c r="S61" s="33" t="n">
        <f aca="false">R61-S47-S50-S53-S55</f>
        <v>1421.67739726027</v>
      </c>
      <c r="T61" s="33" t="n">
        <f aca="false">S61-T47-T50-T53-T55</f>
        <v>21850.9278191781</v>
      </c>
      <c r="U61" s="33" t="n">
        <f aca="false">T61-U47-U50-U53-U55</f>
        <v>21850.9278191781</v>
      </c>
      <c r="V61" s="33" t="n">
        <f aca="false">U61-V47-V50-V53-V55</f>
        <v>21850.9278191781</v>
      </c>
      <c r="W61" s="33" t="n">
        <f aca="false">V61-W47-W50-W53-W55</f>
        <v>21850.9278191781</v>
      </c>
      <c r="X61" s="33" t="n">
        <f aca="false">W61-X47-X50-X53-X55</f>
        <v>21850.9278191781</v>
      </c>
      <c r="Y61" s="33" t="n">
        <f aca="false">X61-Y47-Y50-Y53-Y55</f>
        <v>21850.9278191781</v>
      </c>
      <c r="Z61" s="33" t="n">
        <f aca="false">Y61-Z47-Z50-Z53-Z55</f>
        <v>21850.9278191781</v>
      </c>
      <c r="AA61" s="33" t="n">
        <f aca="false">Z61-AA47-AA50-AA53-AA55</f>
        <v>21850.9278191781</v>
      </c>
      <c r="AB61" s="33" t="n">
        <f aca="false">AA61-AB47-AB50-AB53-AB55</f>
        <v>21850.9278191781</v>
      </c>
      <c r="AC61" s="33" t="n">
        <f aca="false">AB61-AC47-AC50-AC53-AC55</f>
        <v>21850.9278191781</v>
      </c>
      <c r="AD61" s="33" t="n">
        <f aca="false">AC61-AD47-AD50-AD53-AD55</f>
        <v>21850.9278191781</v>
      </c>
      <c r="AE61" s="33" t="n">
        <f aca="false">AD61-AE47-AE50-AE53-AE55</f>
        <v>21850.9278191781</v>
      </c>
      <c r="AF61" s="33" t="n">
        <f aca="false">AE61-AF47-AF50-AF53-AF55</f>
        <v>21850.9278191781</v>
      </c>
      <c r="AG61" s="33" t="n">
        <f aca="false">AF61-AG47-AG50-AG53-AG55</f>
        <v>21850.9278191781</v>
      </c>
      <c r="AH61" s="33" t="n">
        <f aca="false">AG61-AH47-AH50-AH53-AH55</f>
        <v>21850.9278191781</v>
      </c>
      <c r="AI61" s="33" t="n">
        <f aca="false">AH61-AI47-AI50-AI53-AI55</f>
        <v>21850.9278191781</v>
      </c>
      <c r="AJ61" s="33" t="n">
        <f aca="false">AI61-AJ47-AJ50-AJ53-AJ55</f>
        <v>21850.9278191781</v>
      </c>
      <c r="AK61" s="33" t="n">
        <f aca="false">AJ61-AK47-AK50-AK53-AK55</f>
        <v>21850.9278191781</v>
      </c>
      <c r="AL61" s="33" t="n">
        <f aca="false">AK61-AL47-AL50-AL53-AL55</f>
        <v>21850.9278191781</v>
      </c>
      <c r="AM61" s="33" t="n">
        <f aca="false">AL61-AM47-AM50-AM53-AM55</f>
        <v>21850.9278191781</v>
      </c>
      <c r="AN61" s="33" t="n">
        <f aca="false">AM61-AN47-AN50-AN53-AN55</f>
        <v>21850.9278191781</v>
      </c>
      <c r="AO61" s="33" t="n">
        <f aca="false">AN61-AO47-AO50-AO53-AO55</f>
        <v>21850.9278191781</v>
      </c>
      <c r="AP61" s="33" t="n">
        <f aca="false">AO61-AP47-AP50-AP53-AP55</f>
        <v>21850.9278191781</v>
      </c>
      <c r="AQ61" s="33" t="n">
        <f aca="false">AP61-AQ47-AQ50-AQ53-AQ55</f>
        <v>21850.9278191781</v>
      </c>
      <c r="AR61" s="33" t="n">
        <f aca="false">AQ61-AR47-AR50-AR53-AR55</f>
        <v>21850.9278191781</v>
      </c>
      <c r="AS61" s="33" t="n">
        <f aca="false">AR61-AS47-AS50-AS53-AS55</f>
        <v>21850.9278191781</v>
      </c>
      <c r="AT61" s="33" t="n">
        <f aca="false">AS61-AT47-AT50-AT53-AT55</f>
        <v>21850.9278191781</v>
      </c>
      <c r="AU61" s="33" t="n">
        <f aca="false">AT61-AU47-AU50-AU53-AU55</f>
        <v>21850.9278191781</v>
      </c>
      <c r="AV61" s="33" t="n">
        <f aca="false">AU61-AV47-AV50-AV53-AV55</f>
        <v>21850.9278191781</v>
      </c>
      <c r="AW61" s="33" t="n">
        <f aca="false">AV61-AW47-AW50-AW53-AW55</f>
        <v>21850.9278191781</v>
      </c>
      <c r="AX61" s="33" t="n">
        <f aca="false">AW61-AX47-AX50-AX53-AX55</f>
        <v>21850.9278191781</v>
      </c>
      <c r="AY61" s="33" t="n">
        <f aca="false">AX61-AY47-AY50-AY53-AY55</f>
        <v>21850.9278191781</v>
      </c>
      <c r="AZ61" s="33" t="n">
        <f aca="false">AY61-AZ47-AZ50-AZ53-AZ55</f>
        <v>21850.9278191781</v>
      </c>
      <c r="BA61" s="33" t="n">
        <f aca="false">AZ61-BA47-BA50-BA53-BA55</f>
        <v>21850.9278191781</v>
      </c>
      <c r="BB61" s="33" t="n">
        <f aca="false">BA61-BB47-BB50-BB53-BB55</f>
        <v>21850.9278191781</v>
      </c>
      <c r="BC61" s="33" t="n">
        <f aca="false">BB61-BC47-BC50-BC53-BC55</f>
        <v>21850.9278191781</v>
      </c>
      <c r="BD61" s="33" t="n">
        <f aca="false">BC61-BD47-BD50-BD53-BD55</f>
        <v>21850.9278191781</v>
      </c>
      <c r="BE61" s="33" t="n">
        <f aca="false">BD61-BE47-BE50-BE53-BE55</f>
        <v>21850.9278191781</v>
      </c>
      <c r="BF61" s="33" t="n">
        <f aca="false">BE61-BF47-BF50-BF53-BF55</f>
        <v>21850.9278191781</v>
      </c>
      <c r="BG61" s="33" t="n">
        <f aca="false">BF61-BG47-BG50-BG53-BG55</f>
        <v>21850.9278191781</v>
      </c>
      <c r="BH61" s="33" t="n">
        <f aca="false">BG61-BH47-BH50-BH53-BH55</f>
        <v>21850.9278191781</v>
      </c>
      <c r="BI61" s="33" t="n">
        <f aca="false">BH61-BI47-BI50-BI53-BI55</f>
        <v>21850.9278191781</v>
      </c>
      <c r="BJ61" s="33" t="n">
        <f aca="false">BI61-BJ47-BJ50-BJ53-BJ55</f>
        <v>21850.9278191781</v>
      </c>
      <c r="BK61" s="33" t="n">
        <f aca="false">BJ61-BK47-BK50-BK53-BK55</f>
        <v>21850.9278191781</v>
      </c>
      <c r="BL61" s="33" t="n">
        <f aca="false">BK61-BL47-BL50-BL53-BL55</f>
        <v>21850.9278191781</v>
      </c>
      <c r="BM61" s="33" t="n">
        <f aca="false">BL61-BM47-BM50-BM53-BM55</f>
        <v>21850.9278191781</v>
      </c>
      <c r="BN61" s="33" t="n">
        <f aca="false">BM61-BN47-BN50-BN53-BN55</f>
        <v>21850.9278191781</v>
      </c>
      <c r="BO61" s="33" t="n">
        <f aca="false">BN61-BO47-BO50-BO53-BO55</f>
        <v>21850.9278191781</v>
      </c>
      <c r="BP61" s="33" t="n">
        <f aca="false">BO61-BP47-BP50-BP53-BP55</f>
        <v>21850.9278191781</v>
      </c>
      <c r="BQ61" s="33" t="n">
        <f aca="false">BP61-BQ47-BQ50-BQ53-BQ55</f>
        <v>21850.9278191781</v>
      </c>
      <c r="BR61" s="33" t="n">
        <f aca="false">BQ61-BR47-BR50-BR53-BR55</f>
        <v>21850.9278191781</v>
      </c>
      <c r="BS61" s="33" t="n">
        <f aca="false">BR61-BS47-BS50-BS53-BS55</f>
        <v>21850.9278191781</v>
      </c>
      <c r="BT61" s="33" t="n">
        <f aca="false">BS61-BT47-BT50-BT53-BT55</f>
        <v>21850.9278191781</v>
      </c>
      <c r="BU61" s="33" t="n">
        <f aca="false">BT61-BU47-BU50-BU53-BU55</f>
        <v>21850.9278191781</v>
      </c>
      <c r="BV61" s="33" t="n">
        <f aca="false">BU61-BV47-BV50-BV53-BV55</f>
        <v>21850.9278191781</v>
      </c>
      <c r="BW61" s="33" t="n">
        <f aca="false">BV61-BW47-BW50-BW53-BW55</f>
        <v>21850.9278191781</v>
      </c>
      <c r="BX61" s="33" t="n">
        <f aca="false">BW61-BX47-BX50-BX53-BX55</f>
        <v>21850.9278191781</v>
      </c>
      <c r="BY61" s="33" t="n">
        <f aca="false">BX61-BY47-BY50-BY53-BY55</f>
        <v>21850.9278191781</v>
      </c>
      <c r="BZ61" s="33" t="n">
        <f aca="false">BY61-BZ47-BZ50-BZ53-BZ55</f>
        <v>21850.9278191781</v>
      </c>
      <c r="CA61" s="33" t="n">
        <f aca="false">BZ61-CA47-CA50-CA53-CA55</f>
        <v>21850.9278191781</v>
      </c>
      <c r="CB61" s="33" t="n">
        <f aca="false">CA61-CB47-CB50-CB53-CB55</f>
        <v>21850.9278191781</v>
      </c>
      <c r="CC61" s="33" t="n">
        <f aca="false">CB61-CC47-CC50-CC53-CC55</f>
        <v>21850.9278191781</v>
      </c>
      <c r="CD61" s="33" t="n">
        <f aca="false">CC61-CD47-CD50-CD53-CD55</f>
        <v>21850.9278191781</v>
      </c>
      <c r="CE61" s="33" t="n">
        <f aca="false">CD61-CE47-CE50-CE53-CE55</f>
        <v>21850.9278191781</v>
      </c>
      <c r="CF61" s="33" t="n">
        <f aca="false">CE61-CF47-CF50-CF53-CF55</f>
        <v>21850.9278191781</v>
      </c>
      <c r="CG61" s="33" t="n">
        <f aca="false">CF61-CG47-CG50-CG53-CG55</f>
        <v>21850.9278191781</v>
      </c>
      <c r="CH61" s="33" t="n">
        <f aca="false">CG61-CH47-CH50-CH53-CH55</f>
        <v>21850.9278191781</v>
      </c>
      <c r="CI61" s="33" t="n">
        <f aca="false">CH61-CI47-CI50-CI53-CI55</f>
        <v>21850.9278191781</v>
      </c>
      <c r="CJ61" s="33" t="n">
        <f aca="false">CI61-CJ47-CJ50-CJ53-CJ55</f>
        <v>21850.9278191781</v>
      </c>
      <c r="CK61" s="33" t="n">
        <f aca="false">CJ61-CK47-CK50-CK53-CK55</f>
        <v>21850.9278191781</v>
      </c>
      <c r="CL61" s="33" t="n">
        <f aca="false">CK61-CL47-CL50-CL53-CL55</f>
        <v>21850.9278191781</v>
      </c>
      <c r="CM61" s="33" t="n">
        <f aca="false">CL61-CM47-CM50-CM53-CM55</f>
        <v>21850.9278191781</v>
      </c>
      <c r="CN61" s="33" t="n">
        <f aca="false">CM61-CN47-CN50-CN53-CN55</f>
        <v>21850.9278191781</v>
      </c>
      <c r="CO61" s="33" t="n">
        <f aca="false">CN61-CO47-CO50-CO53-CO55</f>
        <v>21850.9278191781</v>
      </c>
      <c r="CP61" s="33" t="n">
        <f aca="false">CO61-CP47-CP50-CP53-CP55</f>
        <v>21850.9278191781</v>
      </c>
      <c r="CQ61" s="33" t="n">
        <f aca="false">CP61-CQ47-CQ50-CQ53-CQ55</f>
        <v>21850.9278191781</v>
      </c>
      <c r="CR61" s="33" t="n">
        <f aca="false">CQ61-CR47-CR50-CR53-CR55</f>
        <v>21850.9278191781</v>
      </c>
      <c r="CS61" s="33" t="n">
        <f aca="false">CR61-CS47-CS50-CS53-CS55</f>
        <v>21850.9278191781</v>
      </c>
      <c r="CT61" s="33" t="n">
        <f aca="false">CS61-CT47-CT50-CT53-CT55</f>
        <v>21850.9278191781</v>
      </c>
      <c r="CU61" s="33" t="n">
        <f aca="false">CT61-CU47-CU50-CU53-CU55</f>
        <v>21850.9278191781</v>
      </c>
      <c r="CV61" s="33" t="n">
        <f aca="false">CU61-CV47-CV50-CV53-CV55</f>
        <v>21850.9278191781</v>
      </c>
      <c r="CW61" s="33" t="n">
        <f aca="false">CV61-CW47-CW50-CW53-CW55</f>
        <v>21850.9278191781</v>
      </c>
      <c r="CX61" s="33" t="n">
        <f aca="false">CW61-CX47-CX50-CX53-CX55</f>
        <v>21850.9278191781</v>
      </c>
      <c r="CY61" s="33" t="n">
        <f aca="false">CX61-CY47-CY50-CY53-CY55</f>
        <v>21850.9278191781</v>
      </c>
      <c r="CZ61" s="33" t="n">
        <f aca="false">CY61-CZ47-CZ50-CZ53-CZ55</f>
        <v>21850.9278191781</v>
      </c>
      <c r="DA61" s="33" t="n">
        <f aca="false">CZ61-DA47-DA50-DA53-DA55</f>
        <v>21850.9278191781</v>
      </c>
      <c r="DB61" s="33" t="n">
        <f aca="false">DA61-DB47-DB50-DB53-DB55</f>
        <v>21850.9278191781</v>
      </c>
      <c r="DC61" s="33" t="n">
        <f aca="false">DB61-DC47-DC50-DC53-DC55</f>
        <v>21850.9278191781</v>
      </c>
      <c r="DD61" s="33" t="n">
        <f aca="false">DC61-DD47-DD50-DD53-DD55</f>
        <v>21850.9278191781</v>
      </c>
      <c r="DE61" s="33" t="n">
        <f aca="false">DD61-DE47-DE50-DE53-DE55</f>
        <v>21850.9278191781</v>
      </c>
      <c r="DF61" s="33" t="n">
        <f aca="false">DE61-DF47-DF50-DF53-DF55</f>
        <v>21850.9278191781</v>
      </c>
      <c r="DG61" s="33" t="n">
        <f aca="false">DF61-DG47-DG50-DG53-DG55</f>
        <v>21850.9278191781</v>
      </c>
      <c r="DH61" s="33" t="n">
        <f aca="false">DG61-DH47-DH50-DH53-DH55</f>
        <v>21850.9278191781</v>
      </c>
      <c r="DI61" s="33" t="n">
        <f aca="false">DH61-DI47-DI50-DI53-DI55</f>
        <v>21850.9278191781</v>
      </c>
      <c r="DJ61" s="33" t="n">
        <f aca="false">DI61-DJ47-DJ50-DJ53-DJ55</f>
        <v>21850.9278191781</v>
      </c>
      <c r="DK61" s="33" t="n">
        <f aca="false">DJ61-DK47-DK50-DK53-DK55</f>
        <v>21850.9278191781</v>
      </c>
      <c r="DL61" s="33" t="n">
        <f aca="false">DK61-DL47-DL50-DL53-DL55</f>
        <v>21850.9278191781</v>
      </c>
      <c r="DM61" s="33" t="n">
        <f aca="false">DL61-DM47-DM50-DM53-DM55</f>
        <v>21850.9278191781</v>
      </c>
      <c r="DN61" s="33" t="n">
        <f aca="false">DM61-DN47-DN50-DN53-DN55</f>
        <v>21850.9278191781</v>
      </c>
      <c r="DO61" s="33" t="n">
        <f aca="false">DN61-DO47-DO50-DO53-DO55</f>
        <v>21850.9278191781</v>
      </c>
      <c r="DP61" s="33" t="n">
        <f aca="false">DO61-DP47-DP50-DP53-DP55</f>
        <v>21850.9278191781</v>
      </c>
      <c r="DQ61" s="33" t="n">
        <f aca="false">DP61-DQ47-DQ50-DQ53-DQ55</f>
        <v>21850.9278191781</v>
      </c>
      <c r="DR61" s="33" t="n">
        <f aca="false">DQ61-DR47-DR50-DR53-DR55</f>
        <v>21850.9278191781</v>
      </c>
      <c r="DS61" s="33" t="n">
        <f aca="false">DR61-DS47-DS50-DS53-DS55</f>
        <v>21850.9278191781</v>
      </c>
      <c r="DT61" s="33" t="n">
        <f aca="false">DS61-DT47-DT50-DT53-DT55</f>
        <v>21850.9278191781</v>
      </c>
      <c r="DU61" s="33" t="n">
        <f aca="false">DT61-DU47-DU50-DU53-DU55</f>
        <v>21850.9278191781</v>
      </c>
      <c r="DV61" s="33" t="n">
        <f aca="false">DU61-DV47-DV50-DV53-DV55</f>
        <v>21850.9278191781</v>
      </c>
      <c r="DW61" s="33" t="n">
        <f aca="false">DV61-DW47-DW50-DW53-DW55</f>
        <v>21850.9278191781</v>
      </c>
      <c r="DX61" s="33" t="n">
        <f aca="false">DW61-DX47-DX50-DX53-DX55</f>
        <v>21850.9278191781</v>
      </c>
      <c r="DY61" s="33" t="n">
        <f aca="false">DX61-DY47-DY50-DY53-DY55</f>
        <v>21850.9278191781</v>
      </c>
      <c r="DZ61" s="33" t="n">
        <f aca="false">DY61-DZ47-DZ50-DZ53-DZ55</f>
        <v>21850.9278191781</v>
      </c>
      <c r="EA61" s="33" t="n">
        <f aca="false">DZ61-EA47-EA50-EA53-EA55</f>
        <v>21850.9278191781</v>
      </c>
      <c r="EB61" s="33" t="n">
        <f aca="false">EA61-EB47-EB50-EB53-EB55</f>
        <v>21850.9278191781</v>
      </c>
      <c r="EC61" s="33" t="n">
        <f aca="false">EB61-EC47-EC50-EC53-EC55</f>
        <v>21850.9278191781</v>
      </c>
      <c r="ED61" s="33" t="n">
        <f aca="false">EC61-ED47-ED50-ED53-ED55</f>
        <v>21850.9278191781</v>
      </c>
      <c r="EE61" s="33" t="n">
        <f aca="false">ED61-EE47-EE50-EE53-EE55</f>
        <v>21850.9278191781</v>
      </c>
      <c r="EF61" s="33" t="n">
        <f aca="false">EE61-EF47-EF50-EF53-EF55</f>
        <v>21850.9278191781</v>
      </c>
      <c r="EG61" s="33" t="n">
        <f aca="false">EF61-EG47-EG50-EG53-EG55</f>
        <v>21850.9278191781</v>
      </c>
      <c r="EH61" s="33" t="n">
        <f aca="false">EG61-EH47-EH50-EH53-EH55</f>
        <v>21850.9278191781</v>
      </c>
      <c r="EI61" s="33" t="n">
        <f aca="false">EH61-EI47-EI50-EI53-EI55</f>
        <v>21850.9278191781</v>
      </c>
      <c r="EJ61" s="33" t="n">
        <f aca="false">EI61-EJ47-EJ50-EJ53-EJ55</f>
        <v>21850.9278191781</v>
      </c>
      <c r="EK61" s="33" t="n">
        <f aca="false">EJ61-EK47-EK50-EK53-EK55</f>
        <v>21850.9278191781</v>
      </c>
      <c r="EL61" s="33" t="n">
        <f aca="false">EK61-EL47-EL50-EL53-EL55</f>
        <v>21850.9278191781</v>
      </c>
      <c r="EM61" s="33" t="n">
        <f aca="false">EL61-EM47-EM50-EM53-EM55</f>
        <v>21850.9278191781</v>
      </c>
      <c r="EN61" s="33" t="n">
        <f aca="false">EM61-EN47-EN50-EN53-EN55</f>
        <v>21850.9278191781</v>
      </c>
      <c r="EO61" s="33" t="n">
        <f aca="false">EN61-EO47-EO50-EO53-EO55</f>
        <v>21850.9278191781</v>
      </c>
      <c r="EP61" s="33" t="n">
        <f aca="false">EO61-EP47-EP50-EP53-EP55</f>
        <v>21850.9278191781</v>
      </c>
      <c r="EQ61" s="33" t="n">
        <f aca="false">EP61-EQ47-EQ50-EQ53-EQ55</f>
        <v>21850.9278191781</v>
      </c>
      <c r="ER61" s="33" t="n">
        <f aca="false">EQ61-ER47-ER50-ER53-ER55</f>
        <v>21850.9278191781</v>
      </c>
      <c r="ES61" s="33" t="n">
        <f aca="false">ER61-ES47-ES50-ES53-ES55</f>
        <v>21850.9278191781</v>
      </c>
      <c r="ET61" s="33" t="n">
        <f aca="false">ES61-ET47-ET50-ET53-ET55</f>
        <v>21850.9278191781</v>
      </c>
    </row>
    <row r="63" customFormat="false" ht="15" hidden="false" customHeight="false" outlineLevel="0" collapsed="false">
      <c r="A63" s="9" t="s">
        <v>13</v>
      </c>
      <c r="B63" s="9"/>
      <c r="C63" s="9" t="s">
        <v>522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</row>
    <row r="64" customFormat="false" ht="15" hidden="false" customHeight="false" outlineLevel="0" collapsed="false">
      <c r="A64" s="55"/>
      <c r="B64" s="55"/>
      <c r="C64" s="55" t="s">
        <v>523</v>
      </c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</row>
    <row r="65" customFormat="false" ht="15" hidden="false" customHeight="false" outlineLevel="0" collapsed="false">
      <c r="C65" s="0" t="s">
        <v>524</v>
      </c>
      <c r="D65" s="11" t="s">
        <v>247</v>
      </c>
      <c r="E65" s="33" t="n">
        <f aca="false">SUMIF($J$4:$ET$4,"&lt;="&amp;$E12,$J65:$ET65)+$I47</f>
        <v>21412.2641205479</v>
      </c>
      <c r="I65" s="33" t="n">
        <f aca="false">SUM(J65:ET65)</f>
        <v>21420.4832986301</v>
      </c>
      <c r="J65" s="33" t="n">
        <f aca="false">-(J47+J50+J53)</f>
        <v>0</v>
      </c>
      <c r="K65" s="33" t="n">
        <f aca="false">-(K47+K50+K53)</f>
        <v>1241.09589041096</v>
      </c>
      <c r="L65" s="33" t="n">
        <f aca="false">-(L47+L50+L53)</f>
        <v>0</v>
      </c>
      <c r="M65" s="33" t="n">
        <f aca="false">-(M47+M50+M53)</f>
        <v>0</v>
      </c>
      <c r="N65" s="33" t="n">
        <f aca="false">-(N47+N50+N53)</f>
        <v>0</v>
      </c>
      <c r="O65" s="33" t="n">
        <f aca="false">-(O47+O50+O53)</f>
        <v>0</v>
      </c>
      <c r="P65" s="33" t="n">
        <f aca="false">-(P47+P50+P53)</f>
        <v>0</v>
      </c>
      <c r="Q65" s="33" t="n">
        <f aca="false">-(Q47+Q50+Q53)</f>
        <v>0</v>
      </c>
      <c r="R65" s="33" t="n">
        <f aca="false">-(R47+R50+R53)</f>
        <v>0</v>
      </c>
      <c r="S65" s="33" t="n">
        <f aca="false">-(S47+S50+S53)</f>
        <v>0</v>
      </c>
      <c r="T65" s="33" t="n">
        <f aca="false">-(T47+T50+T53)</f>
        <v>20179.3874082192</v>
      </c>
      <c r="U65" s="33" t="n">
        <f aca="false">-(U47+U50+U53)</f>
        <v>0</v>
      </c>
      <c r="V65" s="33" t="n">
        <f aca="false">-(V47+V50+V53)</f>
        <v>0</v>
      </c>
      <c r="W65" s="33" t="n">
        <f aca="false">-(W47+W50+W53)</f>
        <v>0</v>
      </c>
      <c r="X65" s="33" t="n">
        <f aca="false">-(X47+X50+X53)</f>
        <v>0</v>
      </c>
      <c r="Y65" s="33" t="n">
        <f aca="false">-(Y47+Y50+Y53)</f>
        <v>0</v>
      </c>
      <c r="Z65" s="33" t="n">
        <f aca="false">-(Z47+Z50+Z53)</f>
        <v>0</v>
      </c>
      <c r="AA65" s="33" t="n">
        <f aca="false">-(AA47+AA50+AA53)</f>
        <v>0</v>
      </c>
      <c r="AB65" s="33" t="n">
        <f aca="false">-(AB47+AB50+AB53)</f>
        <v>0</v>
      </c>
      <c r="AC65" s="33" t="n">
        <f aca="false">-(AC47+AC50+AC53)</f>
        <v>0</v>
      </c>
      <c r="AD65" s="33" t="n">
        <f aca="false">-(AD47+AD50+AD53)</f>
        <v>0</v>
      </c>
      <c r="AE65" s="33" t="n">
        <f aca="false">-(AE47+AE50+AE53)</f>
        <v>0</v>
      </c>
      <c r="AF65" s="33" t="n">
        <f aca="false">-(AF47+AF50+AF53)</f>
        <v>0</v>
      </c>
      <c r="AG65" s="33" t="n">
        <f aca="false">-(AG47+AG50+AG53)</f>
        <v>0</v>
      </c>
      <c r="AH65" s="33" t="n">
        <f aca="false">-(AH47+AH50+AH53)</f>
        <v>0</v>
      </c>
      <c r="AI65" s="33" t="n">
        <f aca="false">-(AI47+AI50+AI53)</f>
        <v>0</v>
      </c>
      <c r="AJ65" s="33" t="n">
        <f aca="false">-(AJ47+AJ50+AJ53)</f>
        <v>0</v>
      </c>
      <c r="AK65" s="33" t="n">
        <f aca="false">-(AK47+AK50+AK53)</f>
        <v>0</v>
      </c>
      <c r="AL65" s="33" t="n">
        <f aca="false">-(AL47+AL50+AL53)</f>
        <v>0</v>
      </c>
      <c r="AM65" s="33" t="n">
        <f aca="false">-(AM47+AM50+AM53)</f>
        <v>0</v>
      </c>
      <c r="AN65" s="33" t="n">
        <f aca="false">-(AN47+AN50+AN53)</f>
        <v>0</v>
      </c>
      <c r="AO65" s="33" t="n">
        <f aca="false">-(AO47+AO50+AO53)</f>
        <v>0</v>
      </c>
      <c r="AP65" s="33" t="n">
        <f aca="false">-(AP47+AP50+AP53)</f>
        <v>0</v>
      </c>
      <c r="AQ65" s="33" t="n">
        <f aca="false">-(AQ47+AQ50+AQ53)</f>
        <v>0</v>
      </c>
      <c r="AR65" s="33" t="n">
        <f aca="false">-(AR47+AR50+AR53)</f>
        <v>0</v>
      </c>
      <c r="AS65" s="33" t="n">
        <f aca="false">-(AS47+AS50+AS53)</f>
        <v>0</v>
      </c>
      <c r="AT65" s="33" t="n">
        <f aca="false">-(AT47+AT50+AT53)</f>
        <v>0</v>
      </c>
      <c r="AU65" s="33" t="n">
        <f aca="false">-(AU47+AU50+AU53)</f>
        <v>0</v>
      </c>
      <c r="AV65" s="33" t="n">
        <f aca="false">-(AV47+AV50+AV53)</f>
        <v>0</v>
      </c>
      <c r="AW65" s="33" t="n">
        <f aca="false">-(AW47+AW50+AW53)</f>
        <v>0</v>
      </c>
      <c r="AX65" s="33" t="n">
        <f aca="false">-(AX47+AX50+AX53)</f>
        <v>0</v>
      </c>
      <c r="AY65" s="33" t="n">
        <f aca="false">-(AY47+AY50+AY53)</f>
        <v>0</v>
      </c>
      <c r="AZ65" s="33" t="n">
        <f aca="false">-(AZ47+AZ50+AZ53)</f>
        <v>0</v>
      </c>
      <c r="BA65" s="33" t="n">
        <f aca="false">-(BA47+BA50+BA53)</f>
        <v>0</v>
      </c>
      <c r="BB65" s="33" t="n">
        <f aca="false">-(BB47+BB50+BB53)</f>
        <v>0</v>
      </c>
      <c r="BC65" s="33" t="n">
        <f aca="false">-(BC47+BC50+BC53)</f>
        <v>0</v>
      </c>
      <c r="BD65" s="33" t="n">
        <f aca="false">-(BD47+BD50+BD53)</f>
        <v>0</v>
      </c>
      <c r="BE65" s="33" t="n">
        <f aca="false">-(BE47+BE50+BE53)</f>
        <v>0</v>
      </c>
      <c r="BF65" s="33" t="n">
        <f aca="false">-(BF47+BF50+BF53)</f>
        <v>0</v>
      </c>
      <c r="BG65" s="33" t="n">
        <f aca="false">-(BG47+BG50+BG53)</f>
        <v>0</v>
      </c>
      <c r="BH65" s="33" t="n">
        <f aca="false">-(BH47+BH50+BH53)</f>
        <v>0</v>
      </c>
      <c r="BI65" s="33" t="n">
        <f aca="false">-(BI47+BI50+BI53)</f>
        <v>0</v>
      </c>
      <c r="BJ65" s="33" t="n">
        <f aca="false">-(BJ47+BJ50+BJ53)</f>
        <v>0</v>
      </c>
      <c r="BK65" s="33" t="n">
        <f aca="false">-(BK47+BK50+BK53)</f>
        <v>0</v>
      </c>
      <c r="BL65" s="33" t="n">
        <f aca="false">-(BL47+BL50+BL53)</f>
        <v>0</v>
      </c>
      <c r="BM65" s="33" t="n">
        <f aca="false">-(BM47+BM50+BM53)</f>
        <v>0</v>
      </c>
      <c r="BN65" s="33" t="n">
        <f aca="false">-(BN47+BN50+BN53)</f>
        <v>0</v>
      </c>
      <c r="BO65" s="33" t="n">
        <f aca="false">-(BO47+BO50+BO53)</f>
        <v>0</v>
      </c>
      <c r="BP65" s="33" t="n">
        <f aca="false">-(BP47+BP50+BP53)</f>
        <v>0</v>
      </c>
      <c r="BQ65" s="33" t="n">
        <f aca="false">-(BQ47+BQ50+BQ53)</f>
        <v>0</v>
      </c>
      <c r="BR65" s="33" t="n">
        <f aca="false">-(BR47+BR50+BR53)</f>
        <v>0</v>
      </c>
      <c r="BS65" s="33" t="n">
        <f aca="false">-(BS47+BS50+BS53)</f>
        <v>0</v>
      </c>
      <c r="BT65" s="33" t="n">
        <f aca="false">-(BT47+BT50+BT53)</f>
        <v>0</v>
      </c>
      <c r="BU65" s="33" t="n">
        <f aca="false">-(BU47+BU50+BU53)</f>
        <v>0</v>
      </c>
      <c r="BV65" s="33" t="n">
        <f aca="false">-(BV47+BV50+BV53)</f>
        <v>0</v>
      </c>
      <c r="BW65" s="33" t="n">
        <f aca="false">-(BW47+BW50+BW53)</f>
        <v>0</v>
      </c>
      <c r="BX65" s="33" t="n">
        <f aca="false">-(BX47+BX50+BX53)</f>
        <v>0</v>
      </c>
      <c r="BY65" s="33" t="n">
        <f aca="false">-(BY47+BY50+BY53)</f>
        <v>0</v>
      </c>
      <c r="BZ65" s="33" t="n">
        <f aca="false">-(BZ47+BZ50+BZ53)</f>
        <v>0</v>
      </c>
      <c r="CA65" s="33" t="n">
        <f aca="false">-(CA47+CA50+CA53)</f>
        <v>0</v>
      </c>
      <c r="CB65" s="33" t="n">
        <f aca="false">-(CB47+CB50+CB53)</f>
        <v>0</v>
      </c>
      <c r="CC65" s="33" t="n">
        <f aca="false">-(CC47+CC50+CC53)</f>
        <v>0</v>
      </c>
      <c r="CD65" s="33" t="n">
        <f aca="false">-(CD47+CD50+CD53)</f>
        <v>0</v>
      </c>
      <c r="CE65" s="33" t="n">
        <f aca="false">-(CE47+CE50+CE53)</f>
        <v>0</v>
      </c>
      <c r="CF65" s="33" t="n">
        <f aca="false">-(CF47+CF50+CF53)</f>
        <v>0</v>
      </c>
      <c r="CG65" s="33" t="n">
        <f aca="false">-(CG47+CG50+CG53)</f>
        <v>0</v>
      </c>
      <c r="CH65" s="33" t="n">
        <f aca="false">-(CH47+CH50+CH53)</f>
        <v>0</v>
      </c>
      <c r="CI65" s="33" t="n">
        <f aca="false">-(CI47+CI50+CI53)</f>
        <v>0</v>
      </c>
      <c r="CJ65" s="33" t="n">
        <f aca="false">-(CJ47+CJ50+CJ53)</f>
        <v>0</v>
      </c>
      <c r="CK65" s="33" t="n">
        <f aca="false">-(CK47+CK50+CK53)</f>
        <v>0</v>
      </c>
      <c r="CL65" s="33" t="n">
        <f aca="false">-(CL47+CL50+CL53)</f>
        <v>0</v>
      </c>
      <c r="CM65" s="33" t="n">
        <f aca="false">-(CM47+CM50+CM53)</f>
        <v>0</v>
      </c>
      <c r="CN65" s="33" t="n">
        <f aca="false">-(CN47+CN50+CN53)</f>
        <v>0</v>
      </c>
      <c r="CO65" s="33" t="n">
        <f aca="false">-(CO47+CO50+CO53)</f>
        <v>0</v>
      </c>
      <c r="CP65" s="33" t="n">
        <f aca="false">-(CP47+CP50+CP53)</f>
        <v>0</v>
      </c>
      <c r="CQ65" s="33" t="n">
        <f aca="false">-(CQ47+CQ50+CQ53)</f>
        <v>0</v>
      </c>
      <c r="CR65" s="33" t="n">
        <f aca="false">-(CR47+CR50+CR53)</f>
        <v>0</v>
      </c>
      <c r="CS65" s="33" t="n">
        <f aca="false">-(CS47+CS50+CS53)</f>
        <v>0</v>
      </c>
      <c r="CT65" s="33" t="n">
        <f aca="false">-(CT47+CT50+CT53)</f>
        <v>0</v>
      </c>
      <c r="CU65" s="33" t="n">
        <f aca="false">-(CU47+CU50+CU53)</f>
        <v>0</v>
      </c>
      <c r="CV65" s="33" t="n">
        <f aca="false">-(CV47+CV50+CV53)</f>
        <v>0</v>
      </c>
      <c r="CW65" s="33" t="n">
        <f aca="false">-(CW47+CW50+CW53)</f>
        <v>0</v>
      </c>
      <c r="CX65" s="33" t="n">
        <f aca="false">-(CX47+CX50+CX53)</f>
        <v>0</v>
      </c>
      <c r="CY65" s="33" t="n">
        <f aca="false">-(CY47+CY50+CY53)</f>
        <v>0</v>
      </c>
      <c r="CZ65" s="33" t="n">
        <f aca="false">-(CZ47+CZ50+CZ53)</f>
        <v>0</v>
      </c>
      <c r="DA65" s="33" t="n">
        <f aca="false">-(DA47+DA50+DA53)</f>
        <v>0</v>
      </c>
      <c r="DB65" s="33" t="n">
        <f aca="false">-(DB47+DB50+DB53)</f>
        <v>0</v>
      </c>
      <c r="DC65" s="33" t="n">
        <f aca="false">-(DC47+DC50+DC53)</f>
        <v>0</v>
      </c>
      <c r="DD65" s="33" t="n">
        <f aca="false">-(DD47+DD50+DD53)</f>
        <v>0</v>
      </c>
      <c r="DE65" s="33" t="n">
        <f aca="false">-(DE47+DE50+DE53)</f>
        <v>0</v>
      </c>
      <c r="DF65" s="33" t="n">
        <f aca="false">-(DF47+DF50+DF53)</f>
        <v>0</v>
      </c>
      <c r="DG65" s="33" t="n">
        <f aca="false">-(DG47+DG50+DG53)</f>
        <v>0</v>
      </c>
      <c r="DH65" s="33" t="n">
        <f aca="false">-(DH47+DH50+DH53)</f>
        <v>0</v>
      </c>
      <c r="DI65" s="33" t="n">
        <f aca="false">-(DI47+DI50+DI53)</f>
        <v>0</v>
      </c>
      <c r="DJ65" s="33" t="n">
        <f aca="false">-(DJ47+DJ50+DJ53)</f>
        <v>0</v>
      </c>
      <c r="DK65" s="33" t="n">
        <f aca="false">-(DK47+DK50+DK53)</f>
        <v>0</v>
      </c>
      <c r="DL65" s="33" t="n">
        <f aca="false">-(DL47+DL50+DL53)</f>
        <v>0</v>
      </c>
      <c r="DM65" s="33" t="n">
        <f aca="false">-(DM47+DM50+DM53)</f>
        <v>0</v>
      </c>
      <c r="DN65" s="33" t="n">
        <f aca="false">-(DN47+DN50+DN53)</f>
        <v>0</v>
      </c>
      <c r="DO65" s="33" t="n">
        <f aca="false">-(DO47+DO50+DO53)</f>
        <v>0</v>
      </c>
      <c r="DP65" s="33" t="n">
        <f aca="false">-(DP47+DP50+DP53)</f>
        <v>0</v>
      </c>
      <c r="DQ65" s="33" t="n">
        <f aca="false">-(DQ47+DQ50+DQ53)</f>
        <v>0</v>
      </c>
      <c r="DR65" s="33" t="n">
        <f aca="false">-(DR47+DR50+DR53)</f>
        <v>0</v>
      </c>
      <c r="DS65" s="33" t="n">
        <f aca="false">-(DS47+DS50+DS53)</f>
        <v>0</v>
      </c>
      <c r="DT65" s="33" t="n">
        <f aca="false">-(DT47+DT50+DT53)</f>
        <v>0</v>
      </c>
      <c r="DU65" s="33" t="n">
        <f aca="false">-(DU47+DU50+DU53)</f>
        <v>0</v>
      </c>
      <c r="DV65" s="33" t="n">
        <f aca="false">-(DV47+DV50+DV53)</f>
        <v>0</v>
      </c>
      <c r="DW65" s="33" t="n">
        <f aca="false">-(DW47+DW50+DW53)</f>
        <v>0</v>
      </c>
      <c r="DX65" s="33" t="n">
        <f aca="false">-(DX47+DX50+DX53)</f>
        <v>0</v>
      </c>
      <c r="DY65" s="33" t="n">
        <f aca="false">-(DY47+DY50+DY53)</f>
        <v>0</v>
      </c>
      <c r="DZ65" s="33" t="n">
        <f aca="false">-(DZ47+DZ50+DZ53)</f>
        <v>0</v>
      </c>
      <c r="EA65" s="33" t="n">
        <f aca="false">-(EA47+EA50+EA53)</f>
        <v>0</v>
      </c>
      <c r="EB65" s="33" t="n">
        <f aca="false">-(EB47+EB50+EB53)</f>
        <v>0</v>
      </c>
      <c r="EC65" s="33" t="n">
        <f aca="false">-(EC47+EC50+EC53)</f>
        <v>0</v>
      </c>
      <c r="ED65" s="33" t="n">
        <f aca="false">-(ED47+ED50+ED53)</f>
        <v>0</v>
      </c>
      <c r="EE65" s="33" t="n">
        <f aca="false">-(EE47+EE50+EE53)</f>
        <v>0</v>
      </c>
      <c r="EF65" s="33" t="n">
        <f aca="false">-(EF47+EF50+EF53)</f>
        <v>0</v>
      </c>
      <c r="EG65" s="33" t="n">
        <f aca="false">-(EG47+EG50+EG53)</f>
        <v>0</v>
      </c>
      <c r="EH65" s="33" t="n">
        <f aca="false">-(EH47+EH50+EH53)</f>
        <v>0</v>
      </c>
      <c r="EI65" s="33" t="n">
        <f aca="false">-(EI47+EI50+EI53)</f>
        <v>0</v>
      </c>
      <c r="EJ65" s="33" t="n">
        <f aca="false">-(EJ47+EJ50+EJ53)</f>
        <v>0</v>
      </c>
      <c r="EK65" s="33" t="n">
        <f aca="false">-(EK47+EK50+EK53)</f>
        <v>0</v>
      </c>
      <c r="EL65" s="33" t="n">
        <f aca="false">-(EL47+EL50+EL53)</f>
        <v>0</v>
      </c>
      <c r="EM65" s="33" t="n">
        <f aca="false">-(EM47+EM50+EM53)</f>
        <v>0</v>
      </c>
      <c r="EN65" s="33" t="n">
        <f aca="false">-(EN47+EN50+EN53)</f>
        <v>0</v>
      </c>
      <c r="EO65" s="33" t="n">
        <f aca="false">-(EO47+EO50+EO53)</f>
        <v>0</v>
      </c>
      <c r="EP65" s="33" t="n">
        <f aca="false">-(EP47+EP50+EP53)</f>
        <v>0</v>
      </c>
      <c r="EQ65" s="33" t="n">
        <f aca="false">-(EQ47+EQ50+EQ53)</f>
        <v>0</v>
      </c>
      <c r="ER65" s="33" t="n">
        <f aca="false">-(ER47+ER50+ER53)</f>
        <v>0</v>
      </c>
      <c r="ES65" s="33" t="n">
        <f aca="false">-(ES47+ES50+ES53)</f>
        <v>0</v>
      </c>
      <c r="ET65" s="33" t="n">
        <f aca="false">-(ET47+ET50+ET53)</f>
        <v>0</v>
      </c>
    </row>
    <row r="66" customFormat="false" ht="15" hidden="false" customHeight="false" outlineLevel="0" collapsed="false">
      <c r="C66" s="0" t="s">
        <v>525</v>
      </c>
      <c r="D66" s="11" t="s">
        <v>205</v>
      </c>
      <c r="J66" s="56" t="n">
        <f aca="false">-(J47*$F47+J50*$F50+J51*$F51+J52*$F52)</f>
        <v>0</v>
      </c>
      <c r="K66" s="56" t="n">
        <f aca="false">-(K47*$F47+K50*$F50+K51*$F51+K52*$F52)</f>
        <v>57568972.6027397</v>
      </c>
      <c r="L66" s="56" t="n">
        <f aca="false">-(L47*$F47+L50*$F50+L51*$F51+L52*$F52)</f>
        <v>0</v>
      </c>
      <c r="M66" s="56" t="n">
        <f aca="false">-(M47*$F47+M50*$F50+M51*$F51+M52*$F52)</f>
        <v>0</v>
      </c>
      <c r="N66" s="56" t="n">
        <f aca="false">-(N47*$F47+N50*$F50+N51*$F51+N52*$F52)</f>
        <v>0</v>
      </c>
      <c r="O66" s="56" t="n">
        <f aca="false">-(O47*$F47+O50*$F50+O51*$F51+O52*$F52)</f>
        <v>0</v>
      </c>
      <c r="P66" s="56" t="n">
        <f aca="false">-(P47*$F47+P50*$F50+P51*$F51+P52*$F52)</f>
        <v>0</v>
      </c>
      <c r="Q66" s="56" t="n">
        <f aca="false">-(Q47*$F47+Q50*$F50+Q51*$F51+Q52*$F52)</f>
        <v>0</v>
      </c>
      <c r="R66" s="56" t="n">
        <f aca="false">-(R47*$F47+R50*$F50+R51*$F51+R52*$F52)</f>
        <v>0</v>
      </c>
      <c r="S66" s="56" t="n">
        <f aca="false">-(S47*$F47+S50*$F50+S51*$F51+S52*$F52)</f>
        <v>0</v>
      </c>
      <c r="T66" s="56" t="n">
        <f aca="false">-(T47*$F47+T50*$F50+T51*$F51+T52*$F52)</f>
        <v>950973810.999737</v>
      </c>
      <c r="U66" s="56" t="n">
        <f aca="false">-(U47*$F47+U50*$F50+U51*$F51+U52*$F52)</f>
        <v>0</v>
      </c>
      <c r="V66" s="56" t="n">
        <f aca="false">-(V47*$F47+V50*$F50+V51*$F51+V52*$F52)</f>
        <v>0</v>
      </c>
      <c r="W66" s="56" t="n">
        <f aca="false">-(W47*$F47+W50*$F50+W51*$F51+W52*$F52)</f>
        <v>0</v>
      </c>
      <c r="X66" s="56" t="n">
        <f aca="false">-(X47*$F47+X50*$F50+X51*$F51+X52*$F52)</f>
        <v>0</v>
      </c>
      <c r="Y66" s="56" t="n">
        <f aca="false">-(Y47*$F47+Y50*$F50+Y51*$F51+Y52*$F52)</f>
        <v>0</v>
      </c>
      <c r="Z66" s="56" t="n">
        <f aca="false">-(Z47*$F47+Z50*$F50+Z51*$F51+Z52*$F52)</f>
        <v>0</v>
      </c>
      <c r="AA66" s="56" t="n">
        <f aca="false">-(AA47*$F47+AA50*$F50+AA51*$F51+AA52*$F52)</f>
        <v>0</v>
      </c>
      <c r="AB66" s="56" t="n">
        <f aca="false">-(AB47*$F47+AB50*$F50+AB51*$F51+AB52*$F52)</f>
        <v>0</v>
      </c>
      <c r="AC66" s="56" t="n">
        <f aca="false">-(AC47*$F47+AC50*$F50+AC51*$F51+AC52*$F52)</f>
        <v>0</v>
      </c>
      <c r="AD66" s="56" t="n">
        <f aca="false">-(AD47*$F47+AD50*$F50+AD51*$F51+AD52*$F52)</f>
        <v>0</v>
      </c>
      <c r="AE66" s="56" t="n">
        <f aca="false">-(AE47*$F47+AE50*$F50+AE51*$F51+AE52*$F52)</f>
        <v>0</v>
      </c>
      <c r="AF66" s="56" t="n">
        <f aca="false">-(AF47*$F47+AF50*$F50+AF51*$F51+AF52*$F52)</f>
        <v>0</v>
      </c>
      <c r="AG66" s="56" t="n">
        <f aca="false">-(AG47*$F47+AG50*$F50+AG51*$F51+AG52*$F52)</f>
        <v>0</v>
      </c>
      <c r="AH66" s="56" t="n">
        <f aca="false">-(AH47*$F47+AH50*$F50+AH51*$F51+AH52*$F52)</f>
        <v>0</v>
      </c>
      <c r="AI66" s="56" t="n">
        <f aca="false">-(AI47*$F47+AI50*$F50+AI51*$F51+AI52*$F52)</f>
        <v>0</v>
      </c>
      <c r="AJ66" s="56" t="n">
        <f aca="false">-(AJ47*$F47+AJ50*$F50+AJ51*$F51+AJ52*$F52)</f>
        <v>0</v>
      </c>
      <c r="AK66" s="56" t="n">
        <f aca="false">-(AK47*$F47+AK50*$F50+AK51*$F51+AK52*$F52)</f>
        <v>0</v>
      </c>
      <c r="AL66" s="56" t="n">
        <f aca="false">-(AL47*$F47+AL50*$F50+AL51*$F51+AL52*$F52)</f>
        <v>0</v>
      </c>
      <c r="AM66" s="56" t="n">
        <f aca="false">-(AM47*$F47+AM50*$F50+AM51*$F51+AM52*$F52)</f>
        <v>0</v>
      </c>
      <c r="AN66" s="56" t="n">
        <f aca="false">-(AN47*$F47+AN50*$F50+AN51*$F51+AN52*$F52)</f>
        <v>0</v>
      </c>
      <c r="AO66" s="56" t="n">
        <f aca="false">-(AO47*$F47+AO50*$F50+AO51*$F51+AO52*$F52)</f>
        <v>0</v>
      </c>
      <c r="AP66" s="56" t="n">
        <f aca="false">-(AP47*$F47+AP50*$F50+AP51*$F51+AP52*$F52)</f>
        <v>0</v>
      </c>
      <c r="AQ66" s="56" t="n">
        <f aca="false">-(AQ47*$F47+AQ50*$F50+AQ51*$F51+AQ52*$F52)</f>
        <v>0</v>
      </c>
      <c r="AR66" s="56" t="n">
        <f aca="false">-(AR47*$F47+AR50*$F50+AR51*$F51+AR52*$F52)</f>
        <v>0</v>
      </c>
      <c r="AS66" s="56" t="n">
        <f aca="false">-(AS47*$F47+AS50*$F50+AS51*$F51+AS52*$F52)</f>
        <v>0</v>
      </c>
      <c r="AT66" s="56" t="n">
        <f aca="false">-(AT47*$F47+AT50*$F50+AT51*$F51+AT52*$F52)</f>
        <v>0</v>
      </c>
      <c r="AU66" s="56" t="n">
        <f aca="false">-(AU47*$F47+AU50*$F50+AU51*$F51+AU52*$F52)</f>
        <v>0</v>
      </c>
      <c r="AV66" s="56" t="n">
        <f aca="false">-(AV47*$F47+AV50*$F50+AV51*$F51+AV52*$F52)</f>
        <v>0</v>
      </c>
      <c r="AW66" s="56" t="n">
        <f aca="false">-(AW47*$F47+AW50*$F50+AW51*$F51+AW52*$F52)</f>
        <v>0</v>
      </c>
      <c r="AX66" s="56" t="n">
        <f aca="false">-(AX47*$F47+AX50*$F50+AX51*$F51+AX52*$F52)</f>
        <v>0</v>
      </c>
      <c r="AY66" s="56" t="n">
        <f aca="false">-(AY47*$F47+AY50*$F50+AY51*$F51+AY52*$F52)</f>
        <v>0</v>
      </c>
      <c r="AZ66" s="56" t="n">
        <f aca="false">-(AZ47*$F47+AZ50*$F50+AZ51*$F51+AZ52*$F52)</f>
        <v>0</v>
      </c>
      <c r="BA66" s="56" t="n">
        <f aca="false">-(BA47*$F47+BA50*$F50+BA51*$F51+BA52*$F52)</f>
        <v>0</v>
      </c>
      <c r="BB66" s="56" t="n">
        <f aca="false">-(BB47*$F47+BB50*$F50+BB51*$F51+BB52*$F52)</f>
        <v>0</v>
      </c>
      <c r="BC66" s="56" t="n">
        <f aca="false">-(BC47*$F47+BC50*$F50+BC51*$F51+BC52*$F52)</f>
        <v>0</v>
      </c>
      <c r="BD66" s="56" t="n">
        <f aca="false">-(BD47*$F47+BD50*$F50+BD51*$F51+BD52*$F52)</f>
        <v>0</v>
      </c>
      <c r="BE66" s="56" t="n">
        <f aca="false">-(BE47*$F47+BE50*$F50+BE51*$F51+BE52*$F52)</f>
        <v>0</v>
      </c>
      <c r="BF66" s="56" t="n">
        <f aca="false">-(BF47*$F47+BF50*$F50+BF51*$F51+BF52*$F52)</f>
        <v>0</v>
      </c>
      <c r="BG66" s="56" t="n">
        <f aca="false">-(BG47*$F47+BG50*$F50+BG51*$F51+BG52*$F52)</f>
        <v>0</v>
      </c>
      <c r="BH66" s="56" t="n">
        <f aca="false">-(BH47*$F47+BH50*$F50+BH51*$F51+BH52*$F52)</f>
        <v>0</v>
      </c>
      <c r="BI66" s="56" t="n">
        <f aca="false">-(BI47*$F47+BI50*$F50+BI51*$F51+BI52*$F52)</f>
        <v>0</v>
      </c>
      <c r="BJ66" s="56" t="n">
        <f aca="false">-(BJ47*$F47+BJ50*$F50+BJ51*$F51+BJ52*$F52)</f>
        <v>0</v>
      </c>
      <c r="BK66" s="56" t="n">
        <f aca="false">-(BK47*$F47+BK50*$F50+BK51*$F51+BK52*$F52)</f>
        <v>0</v>
      </c>
      <c r="BL66" s="56" t="n">
        <f aca="false">-(BL47*$F47+BL50*$F50+BL51*$F51+BL52*$F52)</f>
        <v>0</v>
      </c>
      <c r="BM66" s="56" t="n">
        <f aca="false">-(BM47*$F47+BM50*$F50+BM51*$F51+BM52*$F52)</f>
        <v>0</v>
      </c>
      <c r="BN66" s="56" t="n">
        <f aca="false">-(BN47*$F47+BN50*$F50+BN51*$F51+BN52*$F52)</f>
        <v>0</v>
      </c>
      <c r="BO66" s="56" t="n">
        <f aca="false">-(BO47*$F47+BO50*$F50+BO51*$F51+BO52*$F52)</f>
        <v>0</v>
      </c>
      <c r="BP66" s="56" t="n">
        <f aca="false">-(BP47*$F47+BP50*$F50+BP51*$F51+BP52*$F52)</f>
        <v>0</v>
      </c>
      <c r="BQ66" s="56" t="n">
        <f aca="false">-(BQ47*$F47+BQ50*$F50+BQ51*$F51+BQ52*$F52)</f>
        <v>0</v>
      </c>
      <c r="BR66" s="56" t="n">
        <f aca="false">-(BR47*$F47+BR50*$F50+BR51*$F51+BR52*$F52)</f>
        <v>0</v>
      </c>
      <c r="BS66" s="56" t="n">
        <f aca="false">-(BS47*$F47+BS50*$F50+BS51*$F51+BS52*$F52)</f>
        <v>0</v>
      </c>
      <c r="BT66" s="56" t="n">
        <f aca="false">-(BT47*$F47+BT50*$F50+BT51*$F51+BT52*$F52)</f>
        <v>0</v>
      </c>
      <c r="BU66" s="56" t="n">
        <f aca="false">-(BU47*$F47+BU50*$F50+BU51*$F51+BU52*$F52)</f>
        <v>0</v>
      </c>
      <c r="BV66" s="56" t="n">
        <f aca="false">-(BV47*$F47+BV50*$F50+BV51*$F51+BV52*$F52)</f>
        <v>0</v>
      </c>
      <c r="BW66" s="56" t="n">
        <f aca="false">-(BW47*$F47+BW50*$F50+BW51*$F51+BW52*$F52)</f>
        <v>0</v>
      </c>
      <c r="BX66" s="56" t="n">
        <f aca="false">-(BX47*$F47+BX50*$F50+BX51*$F51+BX52*$F52)</f>
        <v>0</v>
      </c>
      <c r="BY66" s="56" t="n">
        <f aca="false">-(BY47*$F47+BY50*$F50+BY51*$F51+BY52*$F52)</f>
        <v>0</v>
      </c>
      <c r="BZ66" s="56" t="n">
        <f aca="false">-(BZ47*$F47+BZ50*$F50+BZ51*$F51+BZ52*$F52)</f>
        <v>0</v>
      </c>
      <c r="CA66" s="56" t="n">
        <f aca="false">-(CA47*$F47+CA50*$F50+CA51*$F51+CA52*$F52)</f>
        <v>0</v>
      </c>
      <c r="CB66" s="56" t="n">
        <f aca="false">-(CB47*$F47+CB50*$F50+CB51*$F51+CB52*$F52)</f>
        <v>0</v>
      </c>
      <c r="CC66" s="56" t="n">
        <f aca="false">-(CC47*$F47+CC50*$F50+CC51*$F51+CC52*$F52)</f>
        <v>0</v>
      </c>
      <c r="CD66" s="56" t="n">
        <f aca="false">-(CD47*$F47+CD50*$F50+CD51*$F51+CD52*$F52)</f>
        <v>0</v>
      </c>
      <c r="CE66" s="56" t="n">
        <f aca="false">-(CE47*$F47+CE50*$F50+CE51*$F51+CE52*$F52)</f>
        <v>0</v>
      </c>
      <c r="CF66" s="56" t="n">
        <f aca="false">-(CF47*$F47+CF50*$F50+CF51*$F51+CF52*$F52)</f>
        <v>0</v>
      </c>
      <c r="CG66" s="56" t="n">
        <f aca="false">-(CG47*$F47+CG50*$F50+CG51*$F51+CG52*$F52)</f>
        <v>0</v>
      </c>
      <c r="CH66" s="56" t="n">
        <f aca="false">-(CH47*$F47+CH50*$F50+CH51*$F51+CH52*$F52)</f>
        <v>0</v>
      </c>
      <c r="CI66" s="56" t="n">
        <f aca="false">-(CI47*$F47+CI50*$F50+CI51*$F51+CI52*$F52)</f>
        <v>0</v>
      </c>
      <c r="CJ66" s="56" t="n">
        <f aca="false">-(CJ47*$F47+CJ50*$F50+CJ51*$F51+CJ52*$F52)</f>
        <v>0</v>
      </c>
      <c r="CK66" s="56" t="n">
        <f aca="false">-(CK47*$F47+CK50*$F50+CK51*$F51+CK52*$F52)</f>
        <v>0</v>
      </c>
      <c r="CL66" s="56" t="n">
        <f aca="false">-(CL47*$F47+CL50*$F50+CL51*$F51+CL52*$F52)</f>
        <v>0</v>
      </c>
      <c r="CM66" s="56" t="n">
        <f aca="false">-(CM47*$F47+CM50*$F50+CM51*$F51+CM52*$F52)</f>
        <v>0</v>
      </c>
      <c r="CN66" s="56" t="n">
        <f aca="false">-(CN47*$F47+CN50*$F50+CN51*$F51+CN52*$F52)</f>
        <v>0</v>
      </c>
      <c r="CO66" s="56" t="n">
        <f aca="false">-(CO47*$F47+CO50*$F50+CO51*$F51+CO52*$F52)</f>
        <v>0</v>
      </c>
      <c r="CP66" s="56" t="n">
        <f aca="false">-(CP47*$F47+CP50*$F50+CP51*$F51+CP52*$F52)</f>
        <v>0</v>
      </c>
      <c r="CQ66" s="56" t="n">
        <f aca="false">-(CQ47*$F47+CQ50*$F50+CQ51*$F51+CQ52*$F52)</f>
        <v>0</v>
      </c>
      <c r="CR66" s="56" t="n">
        <f aca="false">-(CR47*$F47+CR50*$F50+CR51*$F51+CR52*$F52)</f>
        <v>0</v>
      </c>
      <c r="CS66" s="56" t="n">
        <f aca="false">-(CS47*$F47+CS50*$F50+CS51*$F51+CS52*$F52)</f>
        <v>0</v>
      </c>
      <c r="CT66" s="56" t="n">
        <f aca="false">-(CT47*$F47+CT50*$F50+CT51*$F51+CT52*$F52)</f>
        <v>0</v>
      </c>
      <c r="CU66" s="56" t="n">
        <f aca="false">-(CU47*$F47+CU50*$F50+CU51*$F51+CU52*$F52)</f>
        <v>0</v>
      </c>
      <c r="CV66" s="56" t="n">
        <f aca="false">-(CV47*$F47+CV50*$F50+CV51*$F51+CV52*$F52)</f>
        <v>0</v>
      </c>
      <c r="CW66" s="56" t="n">
        <f aca="false">-(CW47*$F47+CW50*$F50+CW51*$F51+CW52*$F52)</f>
        <v>0</v>
      </c>
      <c r="CX66" s="56" t="n">
        <f aca="false">-(CX47*$F47+CX50*$F50+CX51*$F51+CX52*$F52)</f>
        <v>0</v>
      </c>
      <c r="CY66" s="56" t="n">
        <f aca="false">-(CY47*$F47+CY50*$F50+CY51*$F51+CY52*$F52)</f>
        <v>0</v>
      </c>
      <c r="CZ66" s="56" t="n">
        <f aca="false">-(CZ47*$F47+CZ50*$F50+CZ51*$F51+CZ52*$F52)</f>
        <v>0</v>
      </c>
      <c r="DA66" s="56" t="n">
        <f aca="false">-(DA47*$F47+DA50*$F50+DA51*$F51+DA52*$F52)</f>
        <v>0</v>
      </c>
      <c r="DB66" s="56" t="n">
        <f aca="false">-(DB47*$F47+DB50*$F50+DB51*$F51+DB52*$F52)</f>
        <v>0</v>
      </c>
      <c r="DC66" s="56" t="n">
        <f aca="false">-(DC47*$F47+DC50*$F50+DC51*$F51+DC52*$F52)</f>
        <v>0</v>
      </c>
      <c r="DD66" s="56" t="n">
        <f aca="false">-(DD47*$F47+DD50*$F50+DD51*$F51+DD52*$F52)</f>
        <v>0</v>
      </c>
      <c r="DE66" s="56" t="n">
        <f aca="false">-(DE47*$F47+DE50*$F50+DE51*$F51+DE52*$F52)</f>
        <v>0</v>
      </c>
      <c r="DF66" s="56" t="n">
        <f aca="false">-(DF47*$F47+DF50*$F50+DF51*$F51+DF52*$F52)</f>
        <v>0</v>
      </c>
      <c r="DG66" s="56" t="n">
        <f aca="false">-(DG47*$F47+DG50*$F50+DG51*$F51+DG52*$F52)</f>
        <v>0</v>
      </c>
      <c r="DH66" s="56" t="n">
        <f aca="false">-(DH47*$F47+DH50*$F50+DH51*$F51+DH52*$F52)</f>
        <v>0</v>
      </c>
      <c r="DI66" s="56" t="n">
        <f aca="false">-(DI47*$F47+DI50*$F50+DI51*$F51+DI52*$F52)</f>
        <v>0</v>
      </c>
      <c r="DJ66" s="56" t="n">
        <f aca="false">-(DJ47*$F47+DJ50*$F50+DJ51*$F51+DJ52*$F52)</f>
        <v>0</v>
      </c>
      <c r="DK66" s="56" t="n">
        <f aca="false">-(DK47*$F47+DK50*$F50+DK51*$F51+DK52*$F52)</f>
        <v>0</v>
      </c>
      <c r="DL66" s="56" t="n">
        <f aca="false">-(DL47*$F47+DL50*$F50+DL51*$F51+DL52*$F52)</f>
        <v>0</v>
      </c>
      <c r="DM66" s="56" t="n">
        <f aca="false">-(DM47*$F47+DM50*$F50+DM51*$F51+DM52*$F52)</f>
        <v>0</v>
      </c>
      <c r="DN66" s="56" t="n">
        <f aca="false">-(DN47*$F47+DN50*$F50+DN51*$F51+DN52*$F52)</f>
        <v>0</v>
      </c>
      <c r="DO66" s="56" t="n">
        <f aca="false">-(DO47*$F47+DO50*$F50+DO51*$F51+DO52*$F52)</f>
        <v>0</v>
      </c>
      <c r="DP66" s="56" t="n">
        <f aca="false">-(DP47*$F47+DP50*$F50+DP51*$F51+DP52*$F52)</f>
        <v>0</v>
      </c>
      <c r="DQ66" s="56" t="n">
        <f aca="false">-(DQ47*$F47+DQ50*$F50+DQ51*$F51+DQ52*$F52)</f>
        <v>0</v>
      </c>
      <c r="DR66" s="56" t="n">
        <f aca="false">-(DR47*$F47+DR50*$F50+DR51*$F51+DR52*$F52)</f>
        <v>0</v>
      </c>
      <c r="DS66" s="56" t="n">
        <f aca="false">-(DS47*$F47+DS50*$F50+DS51*$F51+DS52*$F52)</f>
        <v>0</v>
      </c>
      <c r="DT66" s="56" t="n">
        <f aca="false">-(DT47*$F47+DT50*$F50+DT51*$F51+DT52*$F52)</f>
        <v>0</v>
      </c>
      <c r="DU66" s="56" t="n">
        <f aca="false">-(DU47*$F47+DU50*$F50+DU51*$F51+DU52*$F52)</f>
        <v>0</v>
      </c>
      <c r="DV66" s="56" t="n">
        <f aca="false">-(DV47*$F47+DV50*$F50+DV51*$F51+DV52*$F52)</f>
        <v>0</v>
      </c>
      <c r="DW66" s="56" t="n">
        <f aca="false">-(DW47*$F47+DW50*$F50+DW51*$F51+DW52*$F52)</f>
        <v>0</v>
      </c>
      <c r="DX66" s="56" t="n">
        <f aca="false">-(DX47*$F47+DX50*$F50+DX51*$F51+DX52*$F52)</f>
        <v>0</v>
      </c>
      <c r="DY66" s="56" t="n">
        <f aca="false">-(DY47*$F47+DY50*$F50+DY51*$F51+DY52*$F52)</f>
        <v>0</v>
      </c>
      <c r="DZ66" s="56" t="n">
        <f aca="false">-(DZ47*$F47+DZ50*$F50+DZ51*$F51+DZ52*$F52)</f>
        <v>0</v>
      </c>
      <c r="EA66" s="56" t="n">
        <f aca="false">-(EA47*$F47+EA50*$F50+EA51*$F51+EA52*$F52)</f>
        <v>0</v>
      </c>
      <c r="EB66" s="56" t="n">
        <f aca="false">-(EB47*$F47+EB50*$F50+EB51*$F51+EB52*$F52)</f>
        <v>0</v>
      </c>
      <c r="EC66" s="56" t="n">
        <f aca="false">-(EC47*$F47+EC50*$F50+EC51*$F51+EC52*$F52)</f>
        <v>0</v>
      </c>
      <c r="ED66" s="56" t="n">
        <f aca="false">-(ED47*$F47+ED50*$F50+ED51*$F51+ED52*$F52)</f>
        <v>0</v>
      </c>
      <c r="EE66" s="56" t="n">
        <f aca="false">-(EE47*$F47+EE50*$F50+EE51*$F51+EE52*$F52)</f>
        <v>0</v>
      </c>
      <c r="EF66" s="56" t="n">
        <f aca="false">-(EF47*$F47+EF50*$F50+EF51*$F51+EF52*$F52)</f>
        <v>0</v>
      </c>
      <c r="EG66" s="56" t="n">
        <f aca="false">-(EG47*$F47+EG50*$F50+EG51*$F51+EG52*$F52)</f>
        <v>0</v>
      </c>
      <c r="EH66" s="56" t="n">
        <f aca="false">-(EH47*$F47+EH50*$F50+EH51*$F51+EH52*$F52)</f>
        <v>0</v>
      </c>
      <c r="EI66" s="56" t="n">
        <f aca="false">-(EI47*$F47+EI50*$F50+EI51*$F51+EI52*$F52)</f>
        <v>0</v>
      </c>
      <c r="EJ66" s="56" t="n">
        <f aca="false">-(EJ47*$F47+EJ50*$F50+EJ51*$F51+EJ52*$F52)</f>
        <v>0</v>
      </c>
      <c r="EK66" s="56" t="n">
        <f aca="false">-(EK47*$F47+EK50*$F50+EK51*$F51+EK52*$F52)</f>
        <v>0</v>
      </c>
      <c r="EL66" s="56" t="n">
        <f aca="false">-(EL47*$F47+EL50*$F50+EL51*$F51+EL52*$F52)</f>
        <v>0</v>
      </c>
      <c r="EM66" s="56" t="n">
        <f aca="false">-(EM47*$F47+EM50*$F50+EM51*$F51+EM52*$F52)</f>
        <v>0</v>
      </c>
      <c r="EN66" s="56" t="n">
        <f aca="false">-(EN47*$F47+EN50*$F50+EN51*$F51+EN52*$F52)</f>
        <v>0</v>
      </c>
      <c r="EO66" s="56" t="n">
        <f aca="false">-(EO47*$F47+EO50*$F50+EO51*$F51+EO52*$F52)</f>
        <v>0</v>
      </c>
      <c r="EP66" s="56" t="n">
        <f aca="false">-(EP47*$F47+EP50*$F50+EP51*$F51+EP52*$F52)</f>
        <v>0</v>
      </c>
      <c r="EQ66" s="56" t="n">
        <f aca="false">-(EQ47*$F47+EQ50*$F50+EQ51*$F51+EQ52*$F52)</f>
        <v>0</v>
      </c>
      <c r="ER66" s="56" t="n">
        <f aca="false">-(ER47*$F47+ER50*$F50+ER51*$F51+ER52*$F52)</f>
        <v>0</v>
      </c>
      <c r="ES66" s="56" t="n">
        <f aca="false">-(ES47*$F47+ES50*$F50+ES51*$F51+ES52*$F52)</f>
        <v>0</v>
      </c>
      <c r="ET66" s="56" t="n">
        <f aca="false">-(ET47*$F47+ET50*$F50+ET51*$F51+ET52*$F52)</f>
        <v>0</v>
      </c>
    </row>
    <row r="67" customFormat="false" ht="15" hidden="false" customHeight="false" outlineLevel="0" collapsed="false">
      <c r="C67" s="0" t="s">
        <v>526</v>
      </c>
      <c r="D67" s="11" t="s">
        <v>247</v>
      </c>
      <c r="J67" s="22" t="n">
        <f aca="false">I70</f>
        <v>0</v>
      </c>
      <c r="K67" s="22" t="n">
        <f aca="false">J70</f>
        <v>0</v>
      </c>
      <c r="L67" s="22" t="n">
        <f aca="false">K70</f>
        <v>1242.07678738976</v>
      </c>
      <c r="M67" s="22" t="n">
        <f aca="false">L70</f>
        <v>1242.07678738976</v>
      </c>
      <c r="N67" s="22" t="n">
        <f aca="false">M70</f>
        <v>1242.07678738976</v>
      </c>
      <c r="O67" s="22" t="n">
        <f aca="false">N70</f>
        <v>1242.07678738976</v>
      </c>
      <c r="P67" s="22" t="n">
        <f aca="false">O70</f>
        <v>1391.12600187653</v>
      </c>
      <c r="Q67" s="22" t="n">
        <f aca="false">P70</f>
        <v>1391.12600187653</v>
      </c>
      <c r="R67" s="22" t="n">
        <f aca="false">Q70</f>
        <v>1391.12600187653</v>
      </c>
      <c r="S67" s="22" t="n">
        <f aca="false">R70</f>
        <v>1391.12600187653</v>
      </c>
      <c r="T67" s="22" t="n">
        <f aca="false">S70</f>
        <v>1558.51847859548</v>
      </c>
      <c r="U67" s="22" t="n">
        <f aca="false">T70</f>
        <v>21737.9058868147</v>
      </c>
      <c r="V67" s="22" t="n">
        <f aca="false">U70</f>
        <v>21737.9058868147</v>
      </c>
      <c r="W67" s="22" t="n">
        <f aca="false">V70</f>
        <v>21737.9058868147</v>
      </c>
      <c r="X67" s="22" t="n">
        <f aca="false">W70</f>
        <v>22985.0199428111</v>
      </c>
      <c r="Y67" s="22" t="n">
        <f aca="false">X70</f>
        <v>22985.0199428111</v>
      </c>
      <c r="Z67" s="22" t="n">
        <f aca="false">Y70</f>
        <v>22985.0199428111</v>
      </c>
      <c r="AA67" s="22" t="n">
        <f aca="false">Z70</f>
        <v>22985.0199428111</v>
      </c>
      <c r="AB67" s="22" t="n">
        <f aca="false">AA70</f>
        <v>25743.2223359484</v>
      </c>
      <c r="AC67" s="22" t="n">
        <f aca="false">AB70</f>
        <v>25743.2223359484</v>
      </c>
      <c r="AD67" s="22" t="n">
        <f aca="false">AC70</f>
        <v>25743.2223359484</v>
      </c>
      <c r="AE67" s="22" t="n">
        <f aca="false">AD70</f>
        <v>25743.2223359484</v>
      </c>
      <c r="AF67" s="22" t="n">
        <f aca="false">AE70</f>
        <v>28053.7647023201</v>
      </c>
      <c r="AG67" s="22" t="n">
        <f aca="false">AF70</f>
        <v>28053.7647023201</v>
      </c>
      <c r="AH67" s="22" t="n">
        <f aca="false">AG70</f>
        <v>28053.7647023201</v>
      </c>
      <c r="AI67" s="22" t="n">
        <f aca="false">AH70</f>
        <v>28053.7647023201</v>
      </c>
      <c r="AJ67" s="22" t="n">
        <f aca="false">AI70</f>
        <v>28053.7647023201</v>
      </c>
      <c r="AK67" s="22" t="n">
        <f aca="false">AJ70</f>
        <v>28053.7647023201</v>
      </c>
      <c r="AL67" s="22" t="n">
        <f aca="false">AK70</f>
        <v>28053.7647023201</v>
      </c>
      <c r="AM67" s="22" t="n">
        <f aca="false">AL70</f>
        <v>28053.7647023201</v>
      </c>
      <c r="AN67" s="22" t="n">
        <f aca="false">AM70</f>
        <v>28053.7647023201</v>
      </c>
      <c r="AO67" s="22" t="n">
        <f aca="false">AN70</f>
        <v>28053.7647023201</v>
      </c>
      <c r="AP67" s="22" t="n">
        <f aca="false">AO70</f>
        <v>28053.7647023201</v>
      </c>
      <c r="AQ67" s="22" t="n">
        <f aca="false">AP70</f>
        <v>28053.7647023201</v>
      </c>
      <c r="AR67" s="22" t="n">
        <f aca="false">AQ70</f>
        <v>28053.7647023201</v>
      </c>
      <c r="AS67" s="22" t="n">
        <f aca="false">AR70</f>
        <v>28053.7647023201</v>
      </c>
      <c r="AT67" s="22" t="n">
        <f aca="false">AS70</f>
        <v>28053.7647023201</v>
      </c>
      <c r="AU67" s="22" t="n">
        <f aca="false">AT70</f>
        <v>28053.7647023201</v>
      </c>
      <c r="AV67" s="22" t="n">
        <f aca="false">AU70</f>
        <v>28053.7647023201</v>
      </c>
      <c r="AW67" s="22" t="n">
        <f aca="false">AV70</f>
        <v>28053.7647023201</v>
      </c>
      <c r="AX67" s="22" t="n">
        <f aca="false">AW70</f>
        <v>28053.7647023201</v>
      </c>
      <c r="AY67" s="22" t="n">
        <f aca="false">AX70</f>
        <v>28053.7647023201</v>
      </c>
      <c r="AZ67" s="22" t="n">
        <f aca="false">AY70</f>
        <v>28053.7647023201</v>
      </c>
      <c r="BA67" s="22" t="n">
        <f aca="false">AZ70</f>
        <v>28053.7647023201</v>
      </c>
      <c r="BB67" s="22" t="n">
        <f aca="false">BA70</f>
        <v>28053.7647023201</v>
      </c>
      <c r="BC67" s="22" t="n">
        <f aca="false">BB70</f>
        <v>28053.7647023201</v>
      </c>
      <c r="BD67" s="22" t="n">
        <f aca="false">BC70</f>
        <v>28053.7647023201</v>
      </c>
      <c r="BE67" s="22" t="n">
        <f aca="false">BD70</f>
        <v>28053.7647023201</v>
      </c>
      <c r="BF67" s="22" t="n">
        <f aca="false">BE70</f>
        <v>28053.7647023201</v>
      </c>
      <c r="BG67" s="22" t="n">
        <f aca="false">BF70</f>
        <v>28053.7647023201</v>
      </c>
      <c r="BH67" s="22" t="n">
        <f aca="false">BG70</f>
        <v>28053.7647023201</v>
      </c>
      <c r="BI67" s="22" t="n">
        <f aca="false">BH70</f>
        <v>28053.7647023201</v>
      </c>
      <c r="BJ67" s="22" t="n">
        <f aca="false">BI70</f>
        <v>28053.7647023201</v>
      </c>
      <c r="BK67" s="22" t="n">
        <f aca="false">BJ70</f>
        <v>28053.7647023201</v>
      </c>
      <c r="BL67" s="22" t="n">
        <f aca="false">BK70</f>
        <v>28053.7647023201</v>
      </c>
      <c r="BM67" s="22" t="n">
        <f aca="false">BL70</f>
        <v>28053.7647023201</v>
      </c>
      <c r="BN67" s="22" t="n">
        <f aca="false">BM70</f>
        <v>28053.7647023201</v>
      </c>
      <c r="BO67" s="22" t="n">
        <f aca="false">BN70</f>
        <v>28053.7647023201</v>
      </c>
      <c r="BP67" s="22" t="n">
        <f aca="false">BO70</f>
        <v>28053.7647023201</v>
      </c>
      <c r="BQ67" s="22" t="n">
        <f aca="false">BP70</f>
        <v>28053.7647023201</v>
      </c>
      <c r="BR67" s="22" t="n">
        <f aca="false">BQ70</f>
        <v>28053.7647023201</v>
      </c>
      <c r="BS67" s="22" t="n">
        <f aca="false">BR70</f>
        <v>28053.7647023201</v>
      </c>
      <c r="BT67" s="22" t="n">
        <f aca="false">BS70</f>
        <v>28053.7647023201</v>
      </c>
      <c r="BU67" s="22" t="n">
        <f aca="false">BT70</f>
        <v>28053.7647023201</v>
      </c>
      <c r="BV67" s="22" t="n">
        <f aca="false">BU70</f>
        <v>28053.7647023201</v>
      </c>
      <c r="BW67" s="22" t="n">
        <f aca="false">BV70</f>
        <v>28053.7647023201</v>
      </c>
      <c r="BX67" s="22" t="n">
        <f aca="false">BW70</f>
        <v>28053.7647023201</v>
      </c>
      <c r="BY67" s="22" t="n">
        <f aca="false">BX70</f>
        <v>28053.7647023201</v>
      </c>
      <c r="BZ67" s="22" t="n">
        <f aca="false">BY70</f>
        <v>28053.7647023201</v>
      </c>
      <c r="CA67" s="22" t="n">
        <f aca="false">BZ70</f>
        <v>28053.7647023201</v>
      </c>
      <c r="CB67" s="22" t="n">
        <f aca="false">CA70</f>
        <v>28053.7647023201</v>
      </c>
      <c r="CC67" s="22" t="n">
        <f aca="false">CB70</f>
        <v>28053.7647023201</v>
      </c>
      <c r="CD67" s="22" t="n">
        <f aca="false">CC70</f>
        <v>28053.7647023201</v>
      </c>
      <c r="CE67" s="22" t="n">
        <f aca="false">CD70</f>
        <v>28053.7647023201</v>
      </c>
      <c r="CF67" s="22" t="n">
        <f aca="false">CE70</f>
        <v>28053.7647023201</v>
      </c>
      <c r="CG67" s="22" t="n">
        <f aca="false">CF70</f>
        <v>28053.7647023201</v>
      </c>
      <c r="CH67" s="22" t="n">
        <f aca="false">CG70</f>
        <v>28053.7647023201</v>
      </c>
      <c r="CI67" s="22" t="n">
        <f aca="false">CH70</f>
        <v>28053.7647023201</v>
      </c>
      <c r="CJ67" s="22" t="n">
        <f aca="false">CI70</f>
        <v>28053.7647023201</v>
      </c>
      <c r="CK67" s="22" t="n">
        <f aca="false">CJ70</f>
        <v>28053.7647023201</v>
      </c>
      <c r="CL67" s="22" t="n">
        <f aca="false">CK70</f>
        <v>28053.7647023201</v>
      </c>
      <c r="CM67" s="22" t="n">
        <f aca="false">CL70</f>
        <v>28053.7647023201</v>
      </c>
      <c r="CN67" s="22" t="n">
        <f aca="false">CM70</f>
        <v>28053.7647023201</v>
      </c>
      <c r="CO67" s="22" t="n">
        <f aca="false">CN70</f>
        <v>28053.7647023201</v>
      </c>
      <c r="CP67" s="22" t="n">
        <f aca="false">CO70</f>
        <v>28053.7647023201</v>
      </c>
      <c r="CQ67" s="22" t="n">
        <f aca="false">CP70</f>
        <v>28053.7647023201</v>
      </c>
      <c r="CR67" s="22" t="n">
        <f aca="false">CQ70</f>
        <v>28053.7647023201</v>
      </c>
      <c r="CS67" s="22" t="n">
        <f aca="false">CR70</f>
        <v>28053.7647023201</v>
      </c>
      <c r="CT67" s="22" t="n">
        <f aca="false">CS70</f>
        <v>28053.7647023201</v>
      </c>
      <c r="CU67" s="22" t="n">
        <f aca="false">CT70</f>
        <v>28053.7647023201</v>
      </c>
      <c r="CV67" s="22" t="n">
        <f aca="false">CU70</f>
        <v>28053.7647023201</v>
      </c>
      <c r="CW67" s="22" t="n">
        <f aca="false">CV70</f>
        <v>28053.7647023201</v>
      </c>
      <c r="CX67" s="22" t="n">
        <f aca="false">CW70</f>
        <v>28053.7647023201</v>
      </c>
      <c r="CY67" s="22" t="n">
        <f aca="false">CX70</f>
        <v>28053.7647023201</v>
      </c>
      <c r="CZ67" s="22" t="n">
        <f aca="false">CY70</f>
        <v>28053.7647023201</v>
      </c>
      <c r="DA67" s="22" t="n">
        <f aca="false">CZ70</f>
        <v>28053.7647023201</v>
      </c>
      <c r="DB67" s="22" t="n">
        <f aca="false">DA70</f>
        <v>28053.7647023201</v>
      </c>
      <c r="DC67" s="22" t="n">
        <f aca="false">DB70</f>
        <v>28053.7647023201</v>
      </c>
      <c r="DD67" s="22" t="n">
        <f aca="false">DC70</f>
        <v>28053.7647023201</v>
      </c>
      <c r="DE67" s="22" t="n">
        <f aca="false">DD70</f>
        <v>28053.7647023201</v>
      </c>
      <c r="DF67" s="22" t="n">
        <f aca="false">DE70</f>
        <v>28053.7647023201</v>
      </c>
      <c r="DG67" s="22" t="n">
        <f aca="false">DF70</f>
        <v>28053.7647023201</v>
      </c>
      <c r="DH67" s="22" t="n">
        <f aca="false">DG70</f>
        <v>28053.7647023201</v>
      </c>
      <c r="DI67" s="22" t="n">
        <f aca="false">DH70</f>
        <v>28053.7647023201</v>
      </c>
      <c r="DJ67" s="22" t="n">
        <f aca="false">DI70</f>
        <v>28053.7647023201</v>
      </c>
      <c r="DK67" s="22" t="n">
        <f aca="false">DJ70</f>
        <v>28053.7647023201</v>
      </c>
      <c r="DL67" s="22" t="n">
        <f aca="false">DK70</f>
        <v>28053.7647023201</v>
      </c>
      <c r="DM67" s="22" t="n">
        <f aca="false">DL70</f>
        <v>28053.7647023201</v>
      </c>
      <c r="DN67" s="22" t="n">
        <f aca="false">DM70</f>
        <v>28053.7647023201</v>
      </c>
      <c r="DO67" s="22" t="n">
        <f aca="false">DN70</f>
        <v>28053.7647023201</v>
      </c>
      <c r="DP67" s="22" t="n">
        <f aca="false">DO70</f>
        <v>28053.7647023201</v>
      </c>
      <c r="DQ67" s="22" t="n">
        <f aca="false">DP70</f>
        <v>28053.7647023201</v>
      </c>
      <c r="DR67" s="22" t="n">
        <f aca="false">DQ70</f>
        <v>28053.7647023201</v>
      </c>
      <c r="DS67" s="22" t="n">
        <f aca="false">DR70</f>
        <v>28053.7647023201</v>
      </c>
      <c r="DT67" s="22" t="n">
        <f aca="false">DS70</f>
        <v>28053.7647023201</v>
      </c>
      <c r="DU67" s="22" t="n">
        <f aca="false">DT70</f>
        <v>28053.7647023201</v>
      </c>
      <c r="DV67" s="22" t="n">
        <f aca="false">DU70</f>
        <v>28053.7647023201</v>
      </c>
      <c r="DW67" s="22" t="n">
        <f aca="false">DV70</f>
        <v>28053.7647023201</v>
      </c>
      <c r="DX67" s="22" t="n">
        <f aca="false">DW70</f>
        <v>28053.7647023201</v>
      </c>
      <c r="DY67" s="22" t="n">
        <f aca="false">DX70</f>
        <v>28053.7647023201</v>
      </c>
      <c r="DZ67" s="22" t="n">
        <f aca="false">DY70</f>
        <v>28053.7647023201</v>
      </c>
      <c r="EA67" s="22" t="n">
        <f aca="false">DZ70</f>
        <v>28053.7647023201</v>
      </c>
      <c r="EB67" s="22" t="n">
        <f aca="false">EA70</f>
        <v>28053.7647023201</v>
      </c>
      <c r="EC67" s="22" t="n">
        <f aca="false">EB70</f>
        <v>28053.7647023201</v>
      </c>
      <c r="ED67" s="22" t="n">
        <f aca="false">EC70</f>
        <v>28053.7647023201</v>
      </c>
      <c r="EE67" s="22" t="n">
        <f aca="false">ED70</f>
        <v>28053.7647023201</v>
      </c>
      <c r="EF67" s="22" t="n">
        <f aca="false">EE70</f>
        <v>28053.7647023201</v>
      </c>
      <c r="EG67" s="22" t="n">
        <f aca="false">EF70</f>
        <v>28053.7647023201</v>
      </c>
      <c r="EH67" s="22" t="n">
        <f aca="false">EG70</f>
        <v>28053.7647023201</v>
      </c>
      <c r="EI67" s="22" t="n">
        <f aca="false">EH70</f>
        <v>28053.7647023201</v>
      </c>
      <c r="EJ67" s="22" t="n">
        <f aca="false">EI70</f>
        <v>28053.7647023201</v>
      </c>
      <c r="EK67" s="22" t="n">
        <f aca="false">EJ70</f>
        <v>28053.7647023201</v>
      </c>
      <c r="EL67" s="22" t="n">
        <f aca="false">EK70</f>
        <v>28053.7647023201</v>
      </c>
      <c r="EM67" s="22" t="n">
        <f aca="false">EL70</f>
        <v>28053.7647023201</v>
      </c>
      <c r="EN67" s="22" t="n">
        <f aca="false">EM70</f>
        <v>28053.7647023201</v>
      </c>
      <c r="EO67" s="22" t="n">
        <f aca="false">EN70</f>
        <v>28053.7647023201</v>
      </c>
      <c r="EP67" s="22" t="n">
        <f aca="false">EO70</f>
        <v>28053.7647023201</v>
      </c>
      <c r="EQ67" s="22" t="n">
        <f aca="false">EP70</f>
        <v>28053.7647023201</v>
      </c>
      <c r="ER67" s="22" t="n">
        <f aca="false">EQ70</f>
        <v>28053.7647023201</v>
      </c>
      <c r="ES67" s="22" t="n">
        <f aca="false">ER70</f>
        <v>28053.7647023201</v>
      </c>
      <c r="ET67" s="22" t="n">
        <f aca="false">ES70</f>
        <v>28053.7647023201</v>
      </c>
    </row>
    <row r="68" customFormat="false" ht="15" hidden="false" customHeight="false" outlineLevel="0" collapsed="false">
      <c r="C68" s="0" t="s">
        <v>527</v>
      </c>
      <c r="D68" s="11" t="s">
        <v>247</v>
      </c>
      <c r="E68" s="33" t="n">
        <f aca="false">SUMIF($J$4:$ET$4,"&lt;="&amp;$E12,$J68:$ET68)</f>
        <v>1564.53664418093</v>
      </c>
      <c r="F68" s="33" t="n">
        <f aca="false">SUMIF($J$4:$ET$4,"&lt;="&amp;In_COD,$J68:$ET68)</f>
        <v>6633.28140368995</v>
      </c>
      <c r="I68" s="33" t="n">
        <f aca="false">SUM(J68:ET68)</f>
        <v>6633.28140368995</v>
      </c>
      <c r="J68" s="33" t="n">
        <f aca="false">In_Cash_Rate/Days_In_Year*(1-J19)*(J67*J$5+(J$4+1)*J65-J66)*(J$4&lt;=In_COD)</f>
        <v>0</v>
      </c>
      <c r="K68" s="33" t="n">
        <f aca="false">In_Cash_Rate/Days_In_Year*(1-K19)*(K67*K$5+(K$4+1)*K65-K66)*(K$4&lt;=In_COD)</f>
        <v>0.980896978796345</v>
      </c>
      <c r="L68" s="33" t="n">
        <f aca="false">In_Cash_Rate/Days_In_Year*(1-L19)*(L67*L$5+(L$4+1)*L65-L66)*(L$4&lt;=In_COD)</f>
        <v>36.751861106327</v>
      </c>
      <c r="M68" s="33" t="n">
        <f aca="false">In_Cash_Rate/Days_In_Year*(1-M19)*(M67*M$5+(M$4+1)*M65-M66)*(M$4&lt;=In_COD)</f>
        <v>37.1602151186195</v>
      </c>
      <c r="N68" s="33" t="n">
        <f aca="false">In_Cash_Rate/Days_In_Year*(1-N19)*(N67*N$5+(N$4+1)*N65-N66)*(N$4&lt;=In_COD)</f>
        <v>37.5685691309121</v>
      </c>
      <c r="O68" s="33" t="n">
        <f aca="false">In_Cash_Rate/Days_In_Year*(1-O19)*(O67*O$5+(O$4+1)*O65-O66)*(O$4&lt;=In_COD)</f>
        <v>37.5685691309121</v>
      </c>
      <c r="P68" s="33" t="n">
        <f aca="false">In_Cash_Rate/Days_In_Year*(1-P19)*(P67*P$5+(P$4+1)*P65-P66)*(P$4&lt;=In_COD)</f>
        <v>41.6194409328539</v>
      </c>
      <c r="Q68" s="33" t="n">
        <f aca="false">In_Cash_Rate/Days_In_Year*(1-Q19)*(Q67*Q$5+(Q$4+1)*Q65-Q66)*(Q$4&lt;=In_COD)</f>
        <v>41.6194409328539</v>
      </c>
      <c r="R68" s="33" t="n">
        <f aca="false">In_Cash_Rate/Days_In_Year*(1-R19)*(R67*R$5+(R$4+1)*R65-R66)*(R$4&lt;=In_COD)</f>
        <v>42.0767974266215</v>
      </c>
      <c r="S68" s="33" t="n">
        <f aca="false">In_Cash_Rate/Days_In_Year*(1-S19)*(S67*S$5+(S$4+1)*S65-S66)*(S$4&lt;=In_COD)</f>
        <v>42.0767974266215</v>
      </c>
      <c r="T68" s="33" t="n">
        <f aca="false">In_Cash_Rate/Days_In_Year*(1-T19)*(T67*T$5+(T$4+1)*T65-T66)*(T$4&lt;=In_COD)</f>
        <v>596.763556588147</v>
      </c>
      <c r="U68" s="33" t="n">
        <f aca="false">In_Cash_Rate/Days_In_Year*(1-U19)*(U67*U$5+(U$4+1)*U65-U66)*(U$4&lt;=In_COD)</f>
        <v>650.350499408263</v>
      </c>
      <c r="V68" s="33" t="n">
        <f aca="false">In_Cash_Rate/Days_In_Year*(1-V19)*(V67*V$5+(V$4+1)*V65-V66)*(V$4&lt;=In_COD)</f>
        <v>0</v>
      </c>
      <c r="W68" s="33" t="n">
        <f aca="false">In_Cash_Rate/Days_In_Year*(1-W19)*(W67*W$5+(W$4+1)*W65-W66)*(W$4&lt;=In_COD)</f>
        <v>0</v>
      </c>
      <c r="X68" s="33" t="n">
        <f aca="false">In_Cash_Rate/Days_In_Year*(1-X19)*(X67*X$5+(X$4+1)*X65-X66)*(X$4&lt;=In_COD)</f>
        <v>680.104699677698</v>
      </c>
      <c r="Y68" s="33" t="n">
        <f aca="false">In_Cash_Rate/Days_In_Year*(1-Y19)*(Y67*Y$5+(Y$4+1)*Y65-Y66)*(Y$4&lt;=In_COD)</f>
        <v>687.661418563005</v>
      </c>
      <c r="Z68" s="33" t="n">
        <f aca="false">In_Cash_Rate/Days_In_Year*(1-Z19)*(Z67*Z$5+(Z$4+1)*Z65-Z66)*(Z$4&lt;=In_COD)</f>
        <v>695.218137448313</v>
      </c>
      <c r="AA68" s="33" t="n">
        <f aca="false">In_Cash_Rate/Days_In_Year*(1-AA19)*(AA67*AA$5+(AA$4+1)*AA65-AA66)*(AA$4&lt;=In_COD)</f>
        <v>695.218137448313</v>
      </c>
      <c r="AB68" s="33" t="n">
        <f aca="false">In_Cash_Rate/Days_In_Year*(1-AB19)*(AB67*AB$5+(AB$4+1)*AB65-AB66)*(AB$4&lt;=In_COD)</f>
        <v>761.717263639021</v>
      </c>
      <c r="AC68" s="33" t="n">
        <f aca="false">In_Cash_Rate/Days_In_Year*(1-AC19)*(AC67*AC$5+(AC$4+1)*AC65-AC66)*(AC$4&lt;=In_COD)</f>
        <v>770.180788790566</v>
      </c>
      <c r="AD68" s="33" t="n">
        <f aca="false">In_Cash_Rate/Days_In_Year*(1-AD19)*(AD67*AD$5+(AD$4+1)*AD65-AD66)*(AD$4&lt;=In_COD)</f>
        <v>778.64431394211</v>
      </c>
      <c r="AE68" s="33" t="n">
        <f aca="false">In_Cash_Rate/Days_In_Year*(1-AE19)*(AE67*AE$5+(AE$4+1)*AE65-AE66)*(AE$4&lt;=In_COD)</f>
        <v>0</v>
      </c>
      <c r="AF68" s="33" t="n">
        <f aca="false">In_Cash_Rate/Days_In_Year*(1-AF19)*(AF67*AF$5+(AF$4+1)*AF65-AF66)*(AF$4&lt;=In_COD)</f>
        <v>0</v>
      </c>
      <c r="AG68" s="33" t="n">
        <f aca="false">In_Cash_Rate/Days_In_Year*(1-AG19)*(AG67*AG$5+(AG$4+1)*AG65-AG66)*(AG$4&lt;=In_COD)</f>
        <v>0</v>
      </c>
      <c r="AH68" s="33" t="n">
        <f aca="false">In_Cash_Rate/Days_In_Year*(1-AH19)*(AH67*AH$5+(AH$4+1)*AH65-AH66)*(AH$4&lt;=In_COD)</f>
        <v>0</v>
      </c>
      <c r="AI68" s="33" t="n">
        <f aca="false">In_Cash_Rate/Days_In_Year*(1-AI19)*(AI67*AI$5+(AI$4+1)*AI65-AI66)*(AI$4&lt;=In_COD)</f>
        <v>0</v>
      </c>
      <c r="AJ68" s="33" t="n">
        <f aca="false">In_Cash_Rate/Days_In_Year*(1-AJ19)*(AJ67*AJ$5+(AJ$4+1)*AJ65-AJ66)*(AJ$4&lt;=In_COD)</f>
        <v>0</v>
      </c>
      <c r="AK68" s="33" t="n">
        <f aca="false">In_Cash_Rate/Days_In_Year*(1-AK19)*(AK67*AK$5+(AK$4+1)*AK65-AK66)*(AK$4&lt;=In_COD)</f>
        <v>0</v>
      </c>
      <c r="AL68" s="33" t="n">
        <f aca="false">In_Cash_Rate/Days_In_Year*(1-AL19)*(AL67*AL$5+(AL$4+1)*AL65-AL66)*(AL$4&lt;=In_COD)</f>
        <v>0</v>
      </c>
      <c r="AM68" s="33" t="n">
        <f aca="false">In_Cash_Rate/Days_In_Year*(1-AM19)*(AM67*AM$5+(AM$4+1)*AM65-AM66)*(AM$4&lt;=In_COD)</f>
        <v>0</v>
      </c>
      <c r="AN68" s="33" t="n">
        <f aca="false">In_Cash_Rate/Days_In_Year*(1-AN19)*(AN67*AN$5+(AN$4+1)*AN65-AN66)*(AN$4&lt;=In_COD)</f>
        <v>0</v>
      </c>
      <c r="AO68" s="33" t="n">
        <f aca="false">In_Cash_Rate/Days_In_Year*(1-AO19)*(AO67*AO$5+(AO$4+1)*AO65-AO66)*(AO$4&lt;=In_COD)</f>
        <v>0</v>
      </c>
      <c r="AP68" s="33" t="n">
        <f aca="false">In_Cash_Rate/Days_In_Year*(1-AP19)*(AP67*AP$5+(AP$4+1)*AP65-AP66)*(AP$4&lt;=In_COD)</f>
        <v>0</v>
      </c>
      <c r="AQ68" s="33" t="n">
        <f aca="false">In_Cash_Rate/Days_In_Year*(1-AQ19)*(AQ67*AQ$5+(AQ$4+1)*AQ65-AQ66)*(AQ$4&lt;=In_COD)</f>
        <v>0</v>
      </c>
      <c r="AR68" s="33" t="n">
        <f aca="false">In_Cash_Rate/Days_In_Year*(1-AR19)*(AR67*AR$5+(AR$4+1)*AR65-AR66)*(AR$4&lt;=In_COD)</f>
        <v>0</v>
      </c>
      <c r="AS68" s="33" t="n">
        <f aca="false">In_Cash_Rate/Days_In_Year*(1-AS19)*(AS67*AS$5+(AS$4+1)*AS65-AS66)*(AS$4&lt;=In_COD)</f>
        <v>0</v>
      </c>
      <c r="AT68" s="33" t="n">
        <f aca="false">In_Cash_Rate/Days_In_Year*(1-AT19)*(AT67*AT$5+(AT$4+1)*AT65-AT66)*(AT$4&lt;=In_COD)</f>
        <v>0</v>
      </c>
      <c r="AU68" s="33" t="n">
        <f aca="false">In_Cash_Rate/Days_In_Year*(1-AU19)*(AU67*AU$5+(AU$4+1)*AU65-AU66)*(AU$4&lt;=In_COD)</f>
        <v>0</v>
      </c>
      <c r="AV68" s="33" t="n">
        <f aca="false">In_Cash_Rate/Days_In_Year*(1-AV19)*(AV67*AV$5+(AV$4+1)*AV65-AV66)*(AV$4&lt;=In_COD)</f>
        <v>0</v>
      </c>
      <c r="AW68" s="33" t="n">
        <f aca="false">In_Cash_Rate/Days_In_Year*(1-AW19)*(AW67*AW$5+(AW$4+1)*AW65-AW66)*(AW$4&lt;=In_COD)</f>
        <v>0</v>
      </c>
      <c r="AX68" s="33" t="n">
        <f aca="false">In_Cash_Rate/Days_In_Year*(1-AX19)*(AX67*AX$5+(AX$4+1)*AX65-AX66)*(AX$4&lt;=In_COD)</f>
        <v>0</v>
      </c>
      <c r="AY68" s="33" t="n">
        <f aca="false">In_Cash_Rate/Days_In_Year*(1-AY19)*(AY67*AY$5+(AY$4+1)*AY65-AY66)*(AY$4&lt;=In_COD)</f>
        <v>0</v>
      </c>
      <c r="AZ68" s="33" t="n">
        <f aca="false">In_Cash_Rate/Days_In_Year*(1-AZ19)*(AZ67*AZ$5+(AZ$4+1)*AZ65-AZ66)*(AZ$4&lt;=In_COD)</f>
        <v>0</v>
      </c>
      <c r="BA68" s="33" t="n">
        <f aca="false">In_Cash_Rate/Days_In_Year*(1-BA19)*(BA67*BA$5+(BA$4+1)*BA65-BA66)*(BA$4&lt;=In_COD)</f>
        <v>0</v>
      </c>
      <c r="BB68" s="33" t="n">
        <f aca="false">In_Cash_Rate/Days_In_Year*(1-BB19)*(BB67*BB$5+(BB$4+1)*BB65-BB66)*(BB$4&lt;=In_COD)</f>
        <v>0</v>
      </c>
      <c r="BC68" s="33" t="n">
        <f aca="false">In_Cash_Rate/Days_In_Year*(1-BC19)*(BC67*BC$5+(BC$4+1)*BC65-BC66)*(BC$4&lt;=In_COD)</f>
        <v>0</v>
      </c>
      <c r="BD68" s="33" t="n">
        <f aca="false">In_Cash_Rate/Days_In_Year*(1-BD19)*(BD67*BD$5+(BD$4+1)*BD65-BD66)*(BD$4&lt;=In_COD)</f>
        <v>0</v>
      </c>
      <c r="BE68" s="33" t="n">
        <f aca="false">In_Cash_Rate/Days_In_Year*(1-BE19)*(BE67*BE$5+(BE$4+1)*BE65-BE66)*(BE$4&lt;=In_COD)</f>
        <v>0</v>
      </c>
      <c r="BF68" s="33" t="n">
        <f aca="false">In_Cash_Rate/Days_In_Year*(1-BF19)*(BF67*BF$5+(BF$4+1)*BF65-BF66)*(BF$4&lt;=In_COD)</f>
        <v>0</v>
      </c>
      <c r="BG68" s="33" t="n">
        <f aca="false">In_Cash_Rate/Days_In_Year*(1-BG19)*(BG67*BG$5+(BG$4+1)*BG65-BG66)*(BG$4&lt;=In_COD)</f>
        <v>0</v>
      </c>
      <c r="BH68" s="33" t="n">
        <f aca="false">In_Cash_Rate/Days_In_Year*(1-BH19)*(BH67*BH$5+(BH$4+1)*BH65-BH66)*(BH$4&lt;=In_COD)</f>
        <v>0</v>
      </c>
      <c r="BI68" s="33" t="n">
        <f aca="false">In_Cash_Rate/Days_In_Year*(1-BI19)*(BI67*BI$5+(BI$4+1)*BI65-BI66)*(BI$4&lt;=In_COD)</f>
        <v>0</v>
      </c>
      <c r="BJ68" s="33" t="n">
        <f aca="false">In_Cash_Rate/Days_In_Year*(1-BJ19)*(BJ67*BJ$5+(BJ$4+1)*BJ65-BJ66)*(BJ$4&lt;=In_COD)</f>
        <v>0</v>
      </c>
      <c r="BK68" s="33" t="n">
        <f aca="false">In_Cash_Rate/Days_In_Year*(1-BK19)*(BK67*BK$5+(BK$4+1)*BK65-BK66)*(BK$4&lt;=In_COD)</f>
        <v>0</v>
      </c>
      <c r="BL68" s="33" t="n">
        <f aca="false">In_Cash_Rate/Days_In_Year*(1-BL19)*(BL67*BL$5+(BL$4+1)*BL65-BL66)*(BL$4&lt;=In_COD)</f>
        <v>0</v>
      </c>
      <c r="BM68" s="33" t="n">
        <f aca="false">In_Cash_Rate/Days_In_Year*(1-BM19)*(BM67*BM$5+(BM$4+1)*BM65-BM66)*(BM$4&lt;=In_COD)</f>
        <v>0</v>
      </c>
      <c r="BN68" s="33" t="n">
        <f aca="false">In_Cash_Rate/Days_In_Year*(1-BN19)*(BN67*BN$5+(BN$4+1)*BN65-BN66)*(BN$4&lt;=In_COD)</f>
        <v>0</v>
      </c>
      <c r="BO68" s="33" t="n">
        <f aca="false">In_Cash_Rate/Days_In_Year*(1-BO19)*(BO67*BO$5+(BO$4+1)*BO65-BO66)*(BO$4&lt;=In_COD)</f>
        <v>0</v>
      </c>
      <c r="BP68" s="33" t="n">
        <f aca="false">In_Cash_Rate/Days_In_Year*(1-BP19)*(BP67*BP$5+(BP$4+1)*BP65-BP66)*(BP$4&lt;=In_COD)</f>
        <v>0</v>
      </c>
      <c r="BQ68" s="33" t="n">
        <f aca="false">In_Cash_Rate/Days_In_Year*(1-BQ19)*(BQ67*BQ$5+(BQ$4+1)*BQ65-BQ66)*(BQ$4&lt;=In_COD)</f>
        <v>0</v>
      </c>
      <c r="BR68" s="33" t="n">
        <f aca="false">In_Cash_Rate/Days_In_Year*(1-BR19)*(BR67*BR$5+(BR$4+1)*BR65-BR66)*(BR$4&lt;=In_COD)</f>
        <v>0</v>
      </c>
      <c r="BS68" s="33" t="n">
        <f aca="false">In_Cash_Rate/Days_In_Year*(1-BS19)*(BS67*BS$5+(BS$4+1)*BS65-BS66)*(BS$4&lt;=In_COD)</f>
        <v>0</v>
      </c>
      <c r="BT68" s="33" t="n">
        <f aca="false">In_Cash_Rate/Days_In_Year*(1-BT19)*(BT67*BT$5+(BT$4+1)*BT65-BT66)*(BT$4&lt;=In_COD)</f>
        <v>0</v>
      </c>
      <c r="BU68" s="33" t="n">
        <f aca="false">In_Cash_Rate/Days_In_Year*(1-BU19)*(BU67*BU$5+(BU$4+1)*BU65-BU66)*(BU$4&lt;=In_COD)</f>
        <v>0</v>
      </c>
      <c r="BV68" s="33" t="n">
        <f aca="false">In_Cash_Rate/Days_In_Year*(1-BV19)*(BV67*BV$5+(BV$4+1)*BV65-BV66)*(BV$4&lt;=In_COD)</f>
        <v>0</v>
      </c>
      <c r="BW68" s="33" t="n">
        <f aca="false">In_Cash_Rate/Days_In_Year*(1-BW19)*(BW67*BW$5+(BW$4+1)*BW65-BW66)*(BW$4&lt;=In_COD)</f>
        <v>0</v>
      </c>
      <c r="BX68" s="33" t="n">
        <f aca="false">In_Cash_Rate/Days_In_Year*(1-BX19)*(BX67*BX$5+(BX$4+1)*BX65-BX66)*(BX$4&lt;=In_COD)</f>
        <v>0</v>
      </c>
      <c r="BY68" s="33" t="n">
        <f aca="false">In_Cash_Rate/Days_In_Year*(1-BY19)*(BY67*BY$5+(BY$4+1)*BY65-BY66)*(BY$4&lt;=In_COD)</f>
        <v>0</v>
      </c>
      <c r="BZ68" s="33" t="n">
        <f aca="false">In_Cash_Rate/Days_In_Year*(1-BZ19)*(BZ67*BZ$5+(BZ$4+1)*BZ65-BZ66)*(BZ$4&lt;=In_COD)</f>
        <v>0</v>
      </c>
      <c r="CA68" s="33" t="n">
        <f aca="false">In_Cash_Rate/Days_In_Year*(1-CA19)*(CA67*CA$5+(CA$4+1)*CA65-CA66)*(CA$4&lt;=In_COD)</f>
        <v>0</v>
      </c>
      <c r="CB68" s="33" t="n">
        <f aca="false">In_Cash_Rate/Days_In_Year*(1-CB19)*(CB67*CB$5+(CB$4+1)*CB65-CB66)*(CB$4&lt;=In_COD)</f>
        <v>0</v>
      </c>
      <c r="CC68" s="33" t="n">
        <f aca="false">In_Cash_Rate/Days_In_Year*(1-CC19)*(CC67*CC$5+(CC$4+1)*CC65-CC66)*(CC$4&lt;=In_COD)</f>
        <v>0</v>
      </c>
      <c r="CD68" s="33" t="n">
        <f aca="false">In_Cash_Rate/Days_In_Year*(1-CD19)*(CD67*CD$5+(CD$4+1)*CD65-CD66)*(CD$4&lt;=In_COD)</f>
        <v>0</v>
      </c>
      <c r="CE68" s="33" t="n">
        <f aca="false">In_Cash_Rate/Days_In_Year*(1-CE19)*(CE67*CE$5+(CE$4+1)*CE65-CE66)*(CE$4&lt;=In_COD)</f>
        <v>0</v>
      </c>
      <c r="CF68" s="33" t="n">
        <f aca="false">In_Cash_Rate/Days_In_Year*(1-CF19)*(CF67*CF$5+(CF$4+1)*CF65-CF66)*(CF$4&lt;=In_COD)</f>
        <v>0</v>
      </c>
      <c r="CG68" s="33" t="n">
        <f aca="false">In_Cash_Rate/Days_In_Year*(1-CG19)*(CG67*CG$5+(CG$4+1)*CG65-CG66)*(CG$4&lt;=In_COD)</f>
        <v>0</v>
      </c>
      <c r="CH68" s="33" t="n">
        <f aca="false">In_Cash_Rate/Days_In_Year*(1-CH19)*(CH67*CH$5+(CH$4+1)*CH65-CH66)*(CH$4&lt;=In_COD)</f>
        <v>0</v>
      </c>
      <c r="CI68" s="33" t="n">
        <f aca="false">In_Cash_Rate/Days_In_Year*(1-CI19)*(CI67*CI$5+(CI$4+1)*CI65-CI66)*(CI$4&lt;=In_COD)</f>
        <v>0</v>
      </c>
      <c r="CJ68" s="33" t="n">
        <f aca="false">In_Cash_Rate/Days_In_Year*(1-CJ19)*(CJ67*CJ$5+(CJ$4+1)*CJ65-CJ66)*(CJ$4&lt;=In_COD)</f>
        <v>0</v>
      </c>
      <c r="CK68" s="33" t="n">
        <f aca="false">In_Cash_Rate/Days_In_Year*(1-CK19)*(CK67*CK$5+(CK$4+1)*CK65-CK66)*(CK$4&lt;=In_COD)</f>
        <v>0</v>
      </c>
      <c r="CL68" s="33" t="n">
        <f aca="false">In_Cash_Rate/Days_In_Year*(1-CL19)*(CL67*CL$5+(CL$4+1)*CL65-CL66)*(CL$4&lt;=In_COD)</f>
        <v>0</v>
      </c>
      <c r="CM68" s="33" t="n">
        <f aca="false">In_Cash_Rate/Days_In_Year*(1-CM19)*(CM67*CM$5+(CM$4+1)*CM65-CM66)*(CM$4&lt;=In_COD)</f>
        <v>0</v>
      </c>
      <c r="CN68" s="33" t="n">
        <f aca="false">In_Cash_Rate/Days_In_Year*(1-CN19)*(CN67*CN$5+(CN$4+1)*CN65-CN66)*(CN$4&lt;=In_COD)</f>
        <v>0</v>
      </c>
      <c r="CO68" s="33" t="n">
        <f aca="false">In_Cash_Rate/Days_In_Year*(1-CO19)*(CO67*CO$5+(CO$4+1)*CO65-CO66)*(CO$4&lt;=In_COD)</f>
        <v>0</v>
      </c>
      <c r="CP68" s="33" t="n">
        <f aca="false">In_Cash_Rate/Days_In_Year*(1-CP19)*(CP67*CP$5+(CP$4+1)*CP65-CP66)*(CP$4&lt;=In_COD)</f>
        <v>0</v>
      </c>
      <c r="CQ68" s="33" t="n">
        <f aca="false">In_Cash_Rate/Days_In_Year*(1-CQ19)*(CQ67*CQ$5+(CQ$4+1)*CQ65-CQ66)*(CQ$4&lt;=In_COD)</f>
        <v>0</v>
      </c>
      <c r="CR68" s="33" t="n">
        <f aca="false">In_Cash_Rate/Days_In_Year*(1-CR19)*(CR67*CR$5+(CR$4+1)*CR65-CR66)*(CR$4&lt;=In_COD)</f>
        <v>0</v>
      </c>
      <c r="CS68" s="33" t="n">
        <f aca="false">In_Cash_Rate/Days_In_Year*(1-CS19)*(CS67*CS$5+(CS$4+1)*CS65-CS66)*(CS$4&lt;=In_COD)</f>
        <v>0</v>
      </c>
      <c r="CT68" s="33" t="n">
        <f aca="false">In_Cash_Rate/Days_In_Year*(1-CT19)*(CT67*CT$5+(CT$4+1)*CT65-CT66)*(CT$4&lt;=In_COD)</f>
        <v>0</v>
      </c>
      <c r="CU68" s="33" t="n">
        <f aca="false">In_Cash_Rate/Days_In_Year*(1-CU19)*(CU67*CU$5+(CU$4+1)*CU65-CU66)*(CU$4&lt;=In_COD)</f>
        <v>0</v>
      </c>
      <c r="CV68" s="33" t="n">
        <f aca="false">In_Cash_Rate/Days_In_Year*(1-CV19)*(CV67*CV$5+(CV$4+1)*CV65-CV66)*(CV$4&lt;=In_COD)</f>
        <v>0</v>
      </c>
      <c r="CW68" s="33" t="n">
        <f aca="false">In_Cash_Rate/Days_In_Year*(1-CW19)*(CW67*CW$5+(CW$4+1)*CW65-CW66)*(CW$4&lt;=In_COD)</f>
        <v>0</v>
      </c>
      <c r="CX68" s="33" t="n">
        <f aca="false">In_Cash_Rate/Days_In_Year*(1-CX19)*(CX67*CX$5+(CX$4+1)*CX65-CX66)*(CX$4&lt;=In_COD)</f>
        <v>0</v>
      </c>
      <c r="CY68" s="33" t="n">
        <f aca="false">In_Cash_Rate/Days_In_Year*(1-CY19)*(CY67*CY$5+(CY$4+1)*CY65-CY66)*(CY$4&lt;=In_COD)</f>
        <v>0</v>
      </c>
      <c r="CZ68" s="33" t="n">
        <f aca="false">In_Cash_Rate/Days_In_Year*(1-CZ19)*(CZ67*CZ$5+(CZ$4+1)*CZ65-CZ66)*(CZ$4&lt;=In_COD)</f>
        <v>0</v>
      </c>
      <c r="DA68" s="33" t="n">
        <f aca="false">In_Cash_Rate/Days_In_Year*(1-DA19)*(DA67*DA$5+(DA$4+1)*DA65-DA66)*(DA$4&lt;=In_COD)</f>
        <v>0</v>
      </c>
      <c r="DB68" s="33" t="n">
        <f aca="false">In_Cash_Rate/Days_In_Year*(1-DB19)*(DB67*DB$5+(DB$4+1)*DB65-DB66)*(DB$4&lt;=In_COD)</f>
        <v>0</v>
      </c>
      <c r="DC68" s="33" t="n">
        <f aca="false">In_Cash_Rate/Days_In_Year*(1-DC19)*(DC67*DC$5+(DC$4+1)*DC65-DC66)*(DC$4&lt;=In_COD)</f>
        <v>0</v>
      </c>
      <c r="DD68" s="33" t="n">
        <f aca="false">In_Cash_Rate/Days_In_Year*(1-DD19)*(DD67*DD$5+(DD$4+1)*DD65-DD66)*(DD$4&lt;=In_COD)</f>
        <v>0</v>
      </c>
      <c r="DE68" s="33" t="n">
        <f aca="false">In_Cash_Rate/Days_In_Year*(1-DE19)*(DE67*DE$5+(DE$4+1)*DE65-DE66)*(DE$4&lt;=In_COD)</f>
        <v>0</v>
      </c>
      <c r="DF68" s="33" t="n">
        <f aca="false">In_Cash_Rate/Days_In_Year*(1-DF19)*(DF67*DF$5+(DF$4+1)*DF65-DF66)*(DF$4&lt;=In_COD)</f>
        <v>0</v>
      </c>
      <c r="DG68" s="33" t="n">
        <f aca="false">In_Cash_Rate/Days_In_Year*(1-DG19)*(DG67*DG$5+(DG$4+1)*DG65-DG66)*(DG$4&lt;=In_COD)</f>
        <v>0</v>
      </c>
      <c r="DH68" s="33" t="n">
        <f aca="false">In_Cash_Rate/Days_In_Year*(1-DH19)*(DH67*DH$5+(DH$4+1)*DH65-DH66)*(DH$4&lt;=In_COD)</f>
        <v>0</v>
      </c>
      <c r="DI68" s="33" t="n">
        <f aca="false">In_Cash_Rate/Days_In_Year*(1-DI19)*(DI67*DI$5+(DI$4+1)*DI65-DI66)*(DI$4&lt;=In_COD)</f>
        <v>0</v>
      </c>
      <c r="DJ68" s="33" t="n">
        <f aca="false">In_Cash_Rate/Days_In_Year*(1-DJ19)*(DJ67*DJ$5+(DJ$4+1)*DJ65-DJ66)*(DJ$4&lt;=In_COD)</f>
        <v>0</v>
      </c>
      <c r="DK68" s="33" t="n">
        <f aca="false">In_Cash_Rate/Days_In_Year*(1-DK19)*(DK67*DK$5+(DK$4+1)*DK65-DK66)*(DK$4&lt;=In_COD)</f>
        <v>0</v>
      </c>
      <c r="DL68" s="33" t="n">
        <f aca="false">In_Cash_Rate/Days_In_Year*(1-DL19)*(DL67*DL$5+(DL$4+1)*DL65-DL66)*(DL$4&lt;=In_COD)</f>
        <v>0</v>
      </c>
      <c r="DM68" s="33" t="n">
        <f aca="false">In_Cash_Rate/Days_In_Year*(1-DM19)*(DM67*DM$5+(DM$4+1)*DM65-DM66)*(DM$4&lt;=In_COD)</f>
        <v>0</v>
      </c>
      <c r="DN68" s="33" t="n">
        <f aca="false">In_Cash_Rate/Days_In_Year*(1-DN19)*(DN67*DN$5+(DN$4+1)*DN65-DN66)*(DN$4&lt;=In_COD)</f>
        <v>0</v>
      </c>
      <c r="DO68" s="33" t="n">
        <f aca="false">In_Cash_Rate/Days_In_Year*(1-DO19)*(DO67*DO$5+(DO$4+1)*DO65-DO66)*(DO$4&lt;=In_COD)</f>
        <v>0</v>
      </c>
      <c r="DP68" s="33" t="n">
        <f aca="false">In_Cash_Rate/Days_In_Year*(1-DP19)*(DP67*DP$5+(DP$4+1)*DP65-DP66)*(DP$4&lt;=In_COD)</f>
        <v>0</v>
      </c>
      <c r="DQ68" s="33" t="n">
        <f aca="false">In_Cash_Rate/Days_In_Year*(1-DQ19)*(DQ67*DQ$5+(DQ$4+1)*DQ65-DQ66)*(DQ$4&lt;=In_COD)</f>
        <v>0</v>
      </c>
      <c r="DR68" s="33" t="n">
        <f aca="false">In_Cash_Rate/Days_In_Year*(1-DR19)*(DR67*DR$5+(DR$4+1)*DR65-DR66)*(DR$4&lt;=In_COD)</f>
        <v>0</v>
      </c>
      <c r="DS68" s="33" t="n">
        <f aca="false">In_Cash_Rate/Days_In_Year*(1-DS19)*(DS67*DS$5+(DS$4+1)*DS65-DS66)*(DS$4&lt;=In_COD)</f>
        <v>0</v>
      </c>
      <c r="DT68" s="33" t="n">
        <f aca="false">In_Cash_Rate/Days_In_Year*(1-DT19)*(DT67*DT$5+(DT$4+1)*DT65-DT66)*(DT$4&lt;=In_COD)</f>
        <v>0</v>
      </c>
      <c r="DU68" s="33" t="n">
        <f aca="false">In_Cash_Rate/Days_In_Year*(1-DU19)*(DU67*DU$5+(DU$4+1)*DU65-DU66)*(DU$4&lt;=In_COD)</f>
        <v>0</v>
      </c>
      <c r="DV68" s="33" t="n">
        <f aca="false">In_Cash_Rate/Days_In_Year*(1-DV19)*(DV67*DV$5+(DV$4+1)*DV65-DV66)*(DV$4&lt;=In_COD)</f>
        <v>0</v>
      </c>
      <c r="DW68" s="33" t="n">
        <f aca="false">In_Cash_Rate/Days_In_Year*(1-DW19)*(DW67*DW$5+(DW$4+1)*DW65-DW66)*(DW$4&lt;=In_COD)</f>
        <v>0</v>
      </c>
      <c r="DX68" s="33" t="n">
        <f aca="false">In_Cash_Rate/Days_In_Year*(1-DX19)*(DX67*DX$5+(DX$4+1)*DX65-DX66)*(DX$4&lt;=In_COD)</f>
        <v>0</v>
      </c>
      <c r="DY68" s="33" t="n">
        <f aca="false">In_Cash_Rate/Days_In_Year*(1-DY19)*(DY67*DY$5+(DY$4+1)*DY65-DY66)*(DY$4&lt;=In_COD)</f>
        <v>0</v>
      </c>
      <c r="DZ68" s="33" t="n">
        <f aca="false">In_Cash_Rate/Days_In_Year*(1-DZ19)*(DZ67*DZ$5+(DZ$4+1)*DZ65-DZ66)*(DZ$4&lt;=In_COD)</f>
        <v>0</v>
      </c>
      <c r="EA68" s="33" t="n">
        <f aca="false">In_Cash_Rate/Days_In_Year*(1-EA19)*(EA67*EA$5+(EA$4+1)*EA65-EA66)*(EA$4&lt;=In_COD)</f>
        <v>0</v>
      </c>
      <c r="EB68" s="33" t="n">
        <f aca="false">In_Cash_Rate/Days_In_Year*(1-EB19)*(EB67*EB$5+(EB$4+1)*EB65-EB66)*(EB$4&lt;=In_COD)</f>
        <v>0</v>
      </c>
      <c r="EC68" s="33" t="n">
        <f aca="false">In_Cash_Rate/Days_In_Year*(1-EC19)*(EC67*EC$5+(EC$4+1)*EC65-EC66)*(EC$4&lt;=In_COD)</f>
        <v>0</v>
      </c>
      <c r="ED68" s="33" t="n">
        <f aca="false">In_Cash_Rate/Days_In_Year*(1-ED19)*(ED67*ED$5+(ED$4+1)*ED65-ED66)*(ED$4&lt;=In_COD)</f>
        <v>0</v>
      </c>
      <c r="EE68" s="33" t="n">
        <f aca="false">In_Cash_Rate/Days_In_Year*(1-EE19)*(EE67*EE$5+(EE$4+1)*EE65-EE66)*(EE$4&lt;=In_COD)</f>
        <v>0</v>
      </c>
      <c r="EF68" s="33" t="n">
        <f aca="false">In_Cash_Rate/Days_In_Year*(1-EF19)*(EF67*EF$5+(EF$4+1)*EF65-EF66)*(EF$4&lt;=In_COD)</f>
        <v>0</v>
      </c>
      <c r="EG68" s="33" t="n">
        <f aca="false">In_Cash_Rate/Days_In_Year*(1-EG19)*(EG67*EG$5+(EG$4+1)*EG65-EG66)*(EG$4&lt;=In_COD)</f>
        <v>0</v>
      </c>
      <c r="EH68" s="33" t="n">
        <f aca="false">In_Cash_Rate/Days_In_Year*(1-EH19)*(EH67*EH$5+(EH$4+1)*EH65-EH66)*(EH$4&lt;=In_COD)</f>
        <v>0</v>
      </c>
      <c r="EI68" s="33" t="n">
        <f aca="false">In_Cash_Rate/Days_In_Year*(1-EI19)*(EI67*EI$5+(EI$4+1)*EI65-EI66)*(EI$4&lt;=In_COD)</f>
        <v>0</v>
      </c>
      <c r="EJ68" s="33" t="n">
        <f aca="false">In_Cash_Rate/Days_In_Year*(1-EJ19)*(EJ67*EJ$5+(EJ$4+1)*EJ65-EJ66)*(EJ$4&lt;=In_COD)</f>
        <v>0</v>
      </c>
      <c r="EK68" s="33" t="n">
        <f aca="false">In_Cash_Rate/Days_In_Year*(1-EK19)*(EK67*EK$5+(EK$4+1)*EK65-EK66)*(EK$4&lt;=In_COD)</f>
        <v>0</v>
      </c>
      <c r="EL68" s="33" t="n">
        <f aca="false">In_Cash_Rate/Days_In_Year*(1-EL19)*(EL67*EL$5+(EL$4+1)*EL65-EL66)*(EL$4&lt;=In_COD)</f>
        <v>0</v>
      </c>
      <c r="EM68" s="33" t="n">
        <f aca="false">In_Cash_Rate/Days_In_Year*(1-EM19)*(EM67*EM$5+(EM$4+1)*EM65-EM66)*(EM$4&lt;=In_COD)</f>
        <v>0</v>
      </c>
      <c r="EN68" s="33" t="n">
        <f aca="false">In_Cash_Rate/Days_In_Year*(1-EN19)*(EN67*EN$5+(EN$4+1)*EN65-EN66)*(EN$4&lt;=In_COD)</f>
        <v>0</v>
      </c>
      <c r="EO68" s="33" t="n">
        <f aca="false">In_Cash_Rate/Days_In_Year*(1-EO19)*(EO67*EO$5+(EO$4+1)*EO65-EO66)*(EO$4&lt;=In_COD)</f>
        <v>0</v>
      </c>
      <c r="EP68" s="33" t="n">
        <f aca="false">In_Cash_Rate/Days_In_Year*(1-EP19)*(EP67*EP$5+(EP$4+1)*EP65-EP66)*(EP$4&lt;=In_COD)</f>
        <v>0</v>
      </c>
      <c r="EQ68" s="33" t="n">
        <f aca="false">In_Cash_Rate/Days_In_Year*(1-EQ19)*(EQ67*EQ$5+(EQ$4+1)*EQ65-EQ66)*(EQ$4&lt;=In_COD)</f>
        <v>0</v>
      </c>
      <c r="ER68" s="33" t="n">
        <f aca="false">In_Cash_Rate/Days_In_Year*(1-ER19)*(ER67*ER$5+(ER$4+1)*ER65-ER66)*(ER$4&lt;=In_COD)</f>
        <v>0</v>
      </c>
      <c r="ES68" s="33" t="n">
        <f aca="false">In_Cash_Rate/Days_In_Year*(1-ES19)*(ES67*ES$5+(ES$4+1)*ES65-ES66)*(ES$4&lt;=In_COD)</f>
        <v>0</v>
      </c>
      <c r="ET68" s="33" t="n">
        <f aca="false">In_Cash_Rate/Days_In_Year*(1-ET19)*(ET67*ET$5+(ET$4+1)*ET65-ET66)*(ET$4&lt;=In_COD)</f>
        <v>0</v>
      </c>
    </row>
    <row r="69" customFormat="false" ht="15" hidden="false" customHeight="false" outlineLevel="0" collapsed="false">
      <c r="C69" s="0" t="s">
        <v>528</v>
      </c>
      <c r="D69" s="11" t="s">
        <v>247</v>
      </c>
      <c r="I69" s="33" t="n">
        <f aca="false">SUM(J69:ET69)</f>
        <v>6633.28140368995</v>
      </c>
      <c r="J69" s="33" t="n">
        <f aca="false">J20*SUMIF($J$7:J$7,J$7,$J68:J68)</f>
        <v>0</v>
      </c>
      <c r="K69" s="33" t="n">
        <f aca="false">K20*SUMIF($J$7:K$7,K$7,$J68:K68)</f>
        <v>0.980896978796345</v>
      </c>
      <c r="L69" s="33" t="n">
        <f aca="false">L20*SUMIF($J$7:L$7,L$7,$J68:L68)</f>
        <v>0</v>
      </c>
      <c r="M69" s="33" t="n">
        <f aca="false">M20*SUMIF($J$7:M$7,M$7,$J68:M68)</f>
        <v>0</v>
      </c>
      <c r="N69" s="33" t="n">
        <f aca="false">N20*SUMIF($J$7:N$7,N$7,$J68:N68)</f>
        <v>0</v>
      </c>
      <c r="O69" s="33" t="n">
        <f aca="false">O20*SUMIF($J$7:O$7,O$7,$J68:O68)</f>
        <v>149.049214486771</v>
      </c>
      <c r="P69" s="33" t="n">
        <f aca="false">P20*SUMIF($J$7:P$7,P$7,$J68:P68)</f>
        <v>0</v>
      </c>
      <c r="Q69" s="33" t="n">
        <f aca="false">Q20*SUMIF($J$7:Q$7,Q$7,$J68:Q68)</f>
        <v>0</v>
      </c>
      <c r="R69" s="33" t="n">
        <f aca="false">R20*SUMIF($J$7:R$7,R$7,$J68:R68)</f>
        <v>0</v>
      </c>
      <c r="S69" s="33" t="n">
        <f aca="false">S20*SUMIF($J$7:S$7,S$7,$J68:S68)</f>
        <v>167.392476718951</v>
      </c>
      <c r="T69" s="33" t="n">
        <f aca="false">T20*SUMIF($J$7:T$7,T$7,$J68:T68)</f>
        <v>0</v>
      </c>
      <c r="U69" s="33" t="n">
        <f aca="false">U20*SUMIF($J$7:U$7,U$7,$J68:U68)</f>
        <v>0</v>
      </c>
      <c r="V69" s="33" t="n">
        <f aca="false">V20*SUMIF($J$7:V$7,V$7,$J68:V68)</f>
        <v>0</v>
      </c>
      <c r="W69" s="33" t="n">
        <f aca="false">W20*SUMIF($J$7:W$7,W$7,$J68:W68)</f>
        <v>1247.11405599641</v>
      </c>
      <c r="X69" s="33" t="n">
        <f aca="false">X20*SUMIF($J$7:X$7,X$7,$J68:X68)</f>
        <v>0</v>
      </c>
      <c r="Y69" s="33" t="n">
        <f aca="false">Y20*SUMIF($J$7:Y$7,Y$7,$J68:Y68)</f>
        <v>0</v>
      </c>
      <c r="Z69" s="33" t="n">
        <f aca="false">Z20*SUMIF($J$7:Z$7,Z$7,$J68:Z68)</f>
        <v>0</v>
      </c>
      <c r="AA69" s="33" t="n">
        <f aca="false">AA20*SUMIF($J$7:AA$7,AA$7,$J68:AA68)</f>
        <v>2758.20239313733</v>
      </c>
      <c r="AB69" s="33" t="n">
        <f aca="false">AB20*SUMIF($J$7:AB$7,AB$7,$J68:AB68)</f>
        <v>0</v>
      </c>
      <c r="AC69" s="33" t="n">
        <f aca="false">AC20*SUMIF($J$7:AC$7,AC$7,$J68:AC68)</f>
        <v>0</v>
      </c>
      <c r="AD69" s="33" t="n">
        <f aca="false">AD20*SUMIF($J$7:AD$7,AD$7,$J68:AD68)</f>
        <v>0</v>
      </c>
      <c r="AE69" s="33" t="n">
        <f aca="false">AE20*SUMIF($J$7:AE$7,AE$7,$J68:AE68)</f>
        <v>2310.5423663717</v>
      </c>
      <c r="AF69" s="33" t="n">
        <f aca="false">AF20*SUMIF($J$7:AF$7,AF$7,$J68:AF68)</f>
        <v>0</v>
      </c>
      <c r="AG69" s="33" t="n">
        <f aca="false">AG20*SUMIF($J$7:AG$7,AG$7,$J68:AG68)</f>
        <v>0</v>
      </c>
      <c r="AH69" s="33" t="n">
        <f aca="false">AH20*SUMIF($J$7:AH$7,AH$7,$J68:AH68)</f>
        <v>0</v>
      </c>
      <c r="AI69" s="33" t="n">
        <f aca="false">AI20*SUMIF($J$7:AI$7,AI$7,$J68:AI68)</f>
        <v>0</v>
      </c>
      <c r="AJ69" s="33" t="n">
        <f aca="false">AJ20*SUMIF($J$7:AJ$7,AJ$7,$J68:AJ68)</f>
        <v>0</v>
      </c>
      <c r="AK69" s="33" t="n">
        <f aca="false">AK20*SUMIF($J$7:AK$7,AK$7,$J68:AK68)</f>
        <v>0</v>
      </c>
      <c r="AL69" s="33" t="n">
        <f aca="false">AL20*SUMIF($J$7:AL$7,AL$7,$J68:AL68)</f>
        <v>0</v>
      </c>
      <c r="AM69" s="33" t="n">
        <f aca="false">AM20*SUMIF($J$7:AM$7,AM$7,$J68:AM68)</f>
        <v>0</v>
      </c>
      <c r="AN69" s="33" t="n">
        <f aca="false">AN20*SUMIF($J$7:AN$7,AN$7,$J68:AN68)</f>
        <v>0</v>
      </c>
      <c r="AO69" s="33" t="n">
        <f aca="false">AO20*SUMIF($J$7:AO$7,AO$7,$J68:AO68)</f>
        <v>0</v>
      </c>
      <c r="AP69" s="33" t="n">
        <f aca="false">AP20*SUMIF($J$7:AP$7,AP$7,$J68:AP68)</f>
        <v>0</v>
      </c>
      <c r="AQ69" s="33" t="n">
        <f aca="false">AQ20*SUMIF($J$7:AQ$7,AQ$7,$J68:AQ68)</f>
        <v>0</v>
      </c>
      <c r="AR69" s="33" t="n">
        <f aca="false">AR20*SUMIF($J$7:AR$7,AR$7,$J68:AR68)</f>
        <v>0</v>
      </c>
      <c r="AS69" s="33" t="n">
        <f aca="false">AS20*SUMIF($J$7:AS$7,AS$7,$J68:AS68)</f>
        <v>0</v>
      </c>
      <c r="AT69" s="33" t="n">
        <f aca="false">AT20*SUMIF($J$7:AT$7,AT$7,$J68:AT68)</f>
        <v>0</v>
      </c>
      <c r="AU69" s="33" t="n">
        <f aca="false">AU20*SUMIF($J$7:AU$7,AU$7,$J68:AU68)</f>
        <v>0</v>
      </c>
      <c r="AV69" s="33" t="n">
        <f aca="false">AV20*SUMIF($J$7:AV$7,AV$7,$J68:AV68)</f>
        <v>0</v>
      </c>
      <c r="AW69" s="33" t="n">
        <f aca="false">AW20*SUMIF($J$7:AW$7,AW$7,$J68:AW68)</f>
        <v>0</v>
      </c>
      <c r="AX69" s="33" t="n">
        <f aca="false">AX20*SUMIF($J$7:AX$7,AX$7,$J68:AX68)</f>
        <v>0</v>
      </c>
      <c r="AY69" s="33" t="n">
        <f aca="false">AY20*SUMIF($J$7:AY$7,AY$7,$J68:AY68)</f>
        <v>0</v>
      </c>
      <c r="AZ69" s="33" t="n">
        <f aca="false">AZ20*SUMIF($J$7:AZ$7,AZ$7,$J68:AZ68)</f>
        <v>0</v>
      </c>
      <c r="BA69" s="33" t="n">
        <f aca="false">BA20*SUMIF($J$7:BA$7,BA$7,$J68:BA68)</f>
        <v>0</v>
      </c>
      <c r="BB69" s="33" t="n">
        <f aca="false">BB20*SUMIF($J$7:BB$7,BB$7,$J68:BB68)</f>
        <v>0</v>
      </c>
      <c r="BC69" s="33" t="n">
        <f aca="false">BC20*SUMIF($J$7:BC$7,BC$7,$J68:BC68)</f>
        <v>0</v>
      </c>
      <c r="BD69" s="33" t="n">
        <f aca="false">BD20*SUMIF($J$7:BD$7,BD$7,$J68:BD68)</f>
        <v>0</v>
      </c>
      <c r="BE69" s="33" t="n">
        <f aca="false">BE20*SUMIF($J$7:BE$7,BE$7,$J68:BE68)</f>
        <v>0</v>
      </c>
      <c r="BF69" s="33" t="n">
        <f aca="false">BF20*SUMIF($J$7:BF$7,BF$7,$J68:BF68)</f>
        <v>0</v>
      </c>
      <c r="BG69" s="33" t="n">
        <f aca="false">BG20*SUMIF($J$7:BG$7,BG$7,$J68:BG68)</f>
        <v>0</v>
      </c>
      <c r="BH69" s="33" t="n">
        <f aca="false">BH20*SUMIF($J$7:BH$7,BH$7,$J68:BH68)</f>
        <v>0</v>
      </c>
      <c r="BI69" s="33" t="n">
        <f aca="false">BI20*SUMIF($J$7:BI$7,BI$7,$J68:BI68)</f>
        <v>0</v>
      </c>
      <c r="BJ69" s="33" t="n">
        <f aca="false">BJ20*SUMIF($J$7:BJ$7,BJ$7,$J68:BJ68)</f>
        <v>0</v>
      </c>
      <c r="BK69" s="33" t="n">
        <f aca="false">BK20*SUMIF($J$7:BK$7,BK$7,$J68:BK68)</f>
        <v>0</v>
      </c>
      <c r="BL69" s="33" t="n">
        <f aca="false">BL20*SUMIF($J$7:BL$7,BL$7,$J68:BL68)</f>
        <v>0</v>
      </c>
      <c r="BM69" s="33" t="n">
        <f aca="false">BM20*SUMIF($J$7:BM$7,BM$7,$J68:BM68)</f>
        <v>0</v>
      </c>
      <c r="BN69" s="33" t="n">
        <f aca="false">BN20*SUMIF($J$7:BN$7,BN$7,$J68:BN68)</f>
        <v>0</v>
      </c>
      <c r="BO69" s="33" t="n">
        <f aca="false">BO20*SUMIF($J$7:BO$7,BO$7,$J68:BO68)</f>
        <v>0</v>
      </c>
      <c r="BP69" s="33" t="n">
        <f aca="false">BP20*SUMIF($J$7:BP$7,BP$7,$J68:BP68)</f>
        <v>0</v>
      </c>
      <c r="BQ69" s="33" t="n">
        <f aca="false">BQ20*SUMIF($J$7:BQ$7,BQ$7,$J68:BQ68)</f>
        <v>0</v>
      </c>
      <c r="BR69" s="33" t="n">
        <f aca="false">BR20*SUMIF($J$7:BR$7,BR$7,$J68:BR68)</f>
        <v>0</v>
      </c>
      <c r="BS69" s="33" t="n">
        <f aca="false">BS20*SUMIF($J$7:BS$7,BS$7,$J68:BS68)</f>
        <v>0</v>
      </c>
      <c r="BT69" s="33" t="n">
        <f aca="false">BT20*SUMIF($J$7:BT$7,BT$7,$J68:BT68)</f>
        <v>0</v>
      </c>
      <c r="BU69" s="33" t="n">
        <f aca="false">BU20*SUMIF($J$7:BU$7,BU$7,$J68:BU68)</f>
        <v>0</v>
      </c>
      <c r="BV69" s="33" t="n">
        <f aca="false">BV20*SUMIF($J$7:BV$7,BV$7,$J68:BV68)</f>
        <v>0</v>
      </c>
      <c r="BW69" s="33" t="n">
        <f aca="false">BW20*SUMIF($J$7:BW$7,BW$7,$J68:BW68)</f>
        <v>0</v>
      </c>
      <c r="BX69" s="33" t="n">
        <f aca="false">BX20*SUMIF($J$7:BX$7,BX$7,$J68:BX68)</f>
        <v>0</v>
      </c>
      <c r="BY69" s="33" t="n">
        <f aca="false">BY20*SUMIF($J$7:BY$7,BY$7,$J68:BY68)</f>
        <v>0</v>
      </c>
      <c r="BZ69" s="33" t="n">
        <f aca="false">BZ20*SUMIF($J$7:BZ$7,BZ$7,$J68:BZ68)</f>
        <v>0</v>
      </c>
      <c r="CA69" s="33" t="n">
        <f aca="false">CA20*SUMIF($J$7:CA$7,CA$7,$J68:CA68)</f>
        <v>0</v>
      </c>
      <c r="CB69" s="33" t="n">
        <f aca="false">CB20*SUMIF($J$7:CB$7,CB$7,$J68:CB68)</f>
        <v>0</v>
      </c>
      <c r="CC69" s="33" t="n">
        <f aca="false">CC20*SUMIF($J$7:CC$7,CC$7,$J68:CC68)</f>
        <v>0</v>
      </c>
      <c r="CD69" s="33" t="n">
        <f aca="false">CD20*SUMIF($J$7:CD$7,CD$7,$J68:CD68)</f>
        <v>0</v>
      </c>
      <c r="CE69" s="33" t="n">
        <f aca="false">CE20*SUMIF($J$7:CE$7,CE$7,$J68:CE68)</f>
        <v>0</v>
      </c>
      <c r="CF69" s="33" t="n">
        <f aca="false">CF20*SUMIF($J$7:CF$7,CF$7,$J68:CF68)</f>
        <v>0</v>
      </c>
      <c r="CG69" s="33" t="n">
        <f aca="false">CG20*SUMIF($J$7:CG$7,CG$7,$J68:CG68)</f>
        <v>0</v>
      </c>
      <c r="CH69" s="33" t="n">
        <f aca="false">CH20*SUMIF($J$7:CH$7,CH$7,$J68:CH68)</f>
        <v>0</v>
      </c>
      <c r="CI69" s="33" t="n">
        <f aca="false">CI20*SUMIF($J$7:CI$7,CI$7,$J68:CI68)</f>
        <v>0</v>
      </c>
      <c r="CJ69" s="33" t="n">
        <f aca="false">CJ20*SUMIF($J$7:CJ$7,CJ$7,$J68:CJ68)</f>
        <v>0</v>
      </c>
      <c r="CK69" s="33" t="n">
        <f aca="false">CK20*SUMIF($J$7:CK$7,CK$7,$J68:CK68)</f>
        <v>0</v>
      </c>
      <c r="CL69" s="33" t="n">
        <f aca="false">CL20*SUMIF($J$7:CL$7,CL$7,$J68:CL68)</f>
        <v>0</v>
      </c>
      <c r="CM69" s="33" t="n">
        <f aca="false">CM20*SUMIF($J$7:CM$7,CM$7,$J68:CM68)</f>
        <v>0</v>
      </c>
      <c r="CN69" s="33" t="n">
        <f aca="false">CN20*SUMIF($J$7:CN$7,CN$7,$J68:CN68)</f>
        <v>0</v>
      </c>
      <c r="CO69" s="33" t="n">
        <f aca="false">CO20*SUMIF($J$7:CO$7,CO$7,$J68:CO68)</f>
        <v>0</v>
      </c>
      <c r="CP69" s="33" t="n">
        <f aca="false">CP20*SUMIF($J$7:CP$7,CP$7,$J68:CP68)</f>
        <v>0</v>
      </c>
      <c r="CQ69" s="33" t="n">
        <f aca="false">CQ20*SUMIF($J$7:CQ$7,CQ$7,$J68:CQ68)</f>
        <v>0</v>
      </c>
      <c r="CR69" s="33" t="n">
        <f aca="false">CR20*SUMIF($J$7:CR$7,CR$7,$J68:CR68)</f>
        <v>0</v>
      </c>
      <c r="CS69" s="33" t="n">
        <f aca="false">CS20*SUMIF($J$7:CS$7,CS$7,$J68:CS68)</f>
        <v>0</v>
      </c>
      <c r="CT69" s="33" t="n">
        <f aca="false">CT20*SUMIF($J$7:CT$7,CT$7,$J68:CT68)</f>
        <v>0</v>
      </c>
      <c r="CU69" s="33" t="n">
        <f aca="false">CU20*SUMIF($J$7:CU$7,CU$7,$J68:CU68)</f>
        <v>0</v>
      </c>
      <c r="CV69" s="33" t="n">
        <f aca="false">CV20*SUMIF($J$7:CV$7,CV$7,$J68:CV68)</f>
        <v>0</v>
      </c>
      <c r="CW69" s="33" t="n">
        <f aca="false">CW20*SUMIF($J$7:CW$7,CW$7,$J68:CW68)</f>
        <v>0</v>
      </c>
      <c r="CX69" s="33" t="n">
        <f aca="false">CX20*SUMIF($J$7:CX$7,CX$7,$J68:CX68)</f>
        <v>0</v>
      </c>
      <c r="CY69" s="33" t="n">
        <f aca="false">CY20*SUMIF($J$7:CY$7,CY$7,$J68:CY68)</f>
        <v>0</v>
      </c>
      <c r="CZ69" s="33" t="n">
        <f aca="false">CZ20*SUMIF($J$7:CZ$7,CZ$7,$J68:CZ68)</f>
        <v>0</v>
      </c>
      <c r="DA69" s="33" t="n">
        <f aca="false">DA20*SUMIF($J$7:DA$7,DA$7,$J68:DA68)</f>
        <v>0</v>
      </c>
      <c r="DB69" s="33" t="n">
        <f aca="false">DB20*SUMIF($J$7:DB$7,DB$7,$J68:DB68)</f>
        <v>0</v>
      </c>
      <c r="DC69" s="33" t="n">
        <f aca="false">DC20*SUMIF($J$7:DC$7,DC$7,$J68:DC68)</f>
        <v>0</v>
      </c>
      <c r="DD69" s="33" t="n">
        <f aca="false">DD20*SUMIF($J$7:DD$7,DD$7,$J68:DD68)</f>
        <v>0</v>
      </c>
      <c r="DE69" s="33" t="n">
        <f aca="false">DE20*SUMIF($J$7:DE$7,DE$7,$J68:DE68)</f>
        <v>0</v>
      </c>
      <c r="DF69" s="33" t="n">
        <f aca="false">DF20*SUMIF($J$7:DF$7,DF$7,$J68:DF68)</f>
        <v>0</v>
      </c>
      <c r="DG69" s="33" t="n">
        <f aca="false">DG20*SUMIF($J$7:DG$7,DG$7,$J68:DG68)</f>
        <v>0</v>
      </c>
      <c r="DH69" s="33" t="n">
        <f aca="false">DH20*SUMIF($J$7:DH$7,DH$7,$J68:DH68)</f>
        <v>0</v>
      </c>
      <c r="DI69" s="33" t="n">
        <f aca="false">DI20*SUMIF($J$7:DI$7,DI$7,$J68:DI68)</f>
        <v>0</v>
      </c>
      <c r="DJ69" s="33" t="n">
        <f aca="false">DJ20*SUMIF($J$7:DJ$7,DJ$7,$J68:DJ68)</f>
        <v>0</v>
      </c>
      <c r="DK69" s="33" t="n">
        <f aca="false">DK20*SUMIF($J$7:DK$7,DK$7,$J68:DK68)</f>
        <v>0</v>
      </c>
      <c r="DL69" s="33" t="n">
        <f aca="false">DL20*SUMIF($J$7:DL$7,DL$7,$J68:DL68)</f>
        <v>0</v>
      </c>
      <c r="DM69" s="33" t="n">
        <f aca="false">DM20*SUMIF($J$7:DM$7,DM$7,$J68:DM68)</f>
        <v>0</v>
      </c>
      <c r="DN69" s="33" t="n">
        <f aca="false">DN20*SUMIF($J$7:DN$7,DN$7,$J68:DN68)</f>
        <v>0</v>
      </c>
      <c r="DO69" s="33" t="n">
        <f aca="false">DO20*SUMIF($J$7:DO$7,DO$7,$J68:DO68)</f>
        <v>0</v>
      </c>
      <c r="DP69" s="33" t="n">
        <f aca="false">DP20*SUMIF($J$7:DP$7,DP$7,$J68:DP68)</f>
        <v>0</v>
      </c>
      <c r="DQ69" s="33" t="n">
        <f aca="false">DQ20*SUMIF($J$7:DQ$7,DQ$7,$J68:DQ68)</f>
        <v>0</v>
      </c>
      <c r="DR69" s="33" t="n">
        <f aca="false">DR20*SUMIF($J$7:DR$7,DR$7,$J68:DR68)</f>
        <v>0</v>
      </c>
      <c r="DS69" s="33" t="n">
        <f aca="false">DS20*SUMIF($J$7:DS$7,DS$7,$J68:DS68)</f>
        <v>0</v>
      </c>
      <c r="DT69" s="33" t="n">
        <f aca="false">DT20*SUMIF($J$7:DT$7,DT$7,$J68:DT68)</f>
        <v>0</v>
      </c>
      <c r="DU69" s="33" t="n">
        <f aca="false">DU20*SUMIF($J$7:DU$7,DU$7,$J68:DU68)</f>
        <v>0</v>
      </c>
      <c r="DV69" s="33" t="n">
        <f aca="false">DV20*SUMIF($J$7:DV$7,DV$7,$J68:DV68)</f>
        <v>0</v>
      </c>
      <c r="DW69" s="33" t="n">
        <f aca="false">DW20*SUMIF($J$7:DW$7,DW$7,$J68:DW68)</f>
        <v>0</v>
      </c>
      <c r="DX69" s="33" t="n">
        <f aca="false">DX20*SUMIF($J$7:DX$7,DX$7,$J68:DX68)</f>
        <v>0</v>
      </c>
      <c r="DY69" s="33" t="n">
        <f aca="false">DY20*SUMIF($J$7:DY$7,DY$7,$J68:DY68)</f>
        <v>0</v>
      </c>
      <c r="DZ69" s="33" t="n">
        <f aca="false">DZ20*SUMIF($J$7:DZ$7,DZ$7,$J68:DZ68)</f>
        <v>0</v>
      </c>
      <c r="EA69" s="33" t="n">
        <f aca="false">EA20*SUMIF($J$7:EA$7,EA$7,$J68:EA68)</f>
        <v>0</v>
      </c>
      <c r="EB69" s="33" t="n">
        <f aca="false">EB20*SUMIF($J$7:EB$7,EB$7,$J68:EB68)</f>
        <v>0</v>
      </c>
      <c r="EC69" s="33" t="n">
        <f aca="false">EC20*SUMIF($J$7:EC$7,EC$7,$J68:EC68)</f>
        <v>0</v>
      </c>
      <c r="ED69" s="33" t="n">
        <f aca="false">ED20*SUMIF($J$7:ED$7,ED$7,$J68:ED68)</f>
        <v>0</v>
      </c>
      <c r="EE69" s="33" t="n">
        <f aca="false">EE20*SUMIF($J$7:EE$7,EE$7,$J68:EE68)</f>
        <v>0</v>
      </c>
      <c r="EF69" s="33" t="n">
        <f aca="false">EF20*SUMIF($J$7:EF$7,EF$7,$J68:EF68)</f>
        <v>0</v>
      </c>
      <c r="EG69" s="33" t="n">
        <f aca="false">EG20*SUMIF($J$7:EG$7,EG$7,$J68:EG68)</f>
        <v>0</v>
      </c>
      <c r="EH69" s="33" t="n">
        <f aca="false">EH20*SUMIF($J$7:EH$7,EH$7,$J68:EH68)</f>
        <v>0</v>
      </c>
      <c r="EI69" s="33" t="n">
        <f aca="false">EI20*SUMIF($J$7:EI$7,EI$7,$J68:EI68)</f>
        <v>0</v>
      </c>
      <c r="EJ69" s="33" t="n">
        <f aca="false">EJ20*SUMIF($J$7:EJ$7,EJ$7,$J68:EJ68)</f>
        <v>0</v>
      </c>
      <c r="EK69" s="33" t="n">
        <f aca="false">EK20*SUMIF($J$7:EK$7,EK$7,$J68:EK68)</f>
        <v>0</v>
      </c>
      <c r="EL69" s="33" t="n">
        <f aca="false">EL20*SUMIF($J$7:EL$7,EL$7,$J68:EL68)</f>
        <v>0</v>
      </c>
      <c r="EM69" s="33" t="n">
        <f aca="false">EM20*SUMIF($J$7:EM$7,EM$7,$J68:EM68)</f>
        <v>0</v>
      </c>
      <c r="EN69" s="33" t="n">
        <f aca="false">EN20*SUMIF($J$7:EN$7,EN$7,$J68:EN68)</f>
        <v>0</v>
      </c>
      <c r="EO69" s="33" t="n">
        <f aca="false">EO20*SUMIF($J$7:EO$7,EO$7,$J68:EO68)</f>
        <v>0</v>
      </c>
      <c r="EP69" s="33" t="n">
        <f aca="false">EP20*SUMIF($J$7:EP$7,EP$7,$J68:EP68)</f>
        <v>0</v>
      </c>
      <c r="EQ69" s="33" t="n">
        <f aca="false">EQ20*SUMIF($J$7:EQ$7,EQ$7,$J68:EQ68)</f>
        <v>0</v>
      </c>
      <c r="ER69" s="33" t="n">
        <f aca="false">ER20*SUMIF($J$7:ER$7,ER$7,$J68:ER68)</f>
        <v>0</v>
      </c>
      <c r="ES69" s="33" t="n">
        <f aca="false">ES20*SUMIF($J$7:ES$7,ES$7,$J68:ES68)</f>
        <v>0</v>
      </c>
      <c r="ET69" s="33" t="n">
        <f aca="false">ET20*SUMIF($J$7:ET$7,ET$7,$J68:ET68)</f>
        <v>0</v>
      </c>
    </row>
    <row r="70" customFormat="false" ht="15" hidden="false" customHeight="false" outlineLevel="0" collapsed="false">
      <c r="C70" s="0" t="s">
        <v>529</v>
      </c>
      <c r="D70" s="11" t="s">
        <v>247</v>
      </c>
      <c r="I70" s="54"/>
      <c r="J70" s="33" t="n">
        <f aca="false">J67+J65+J69</f>
        <v>0</v>
      </c>
      <c r="K70" s="33" t="n">
        <f aca="false">K67+K65+K69</f>
        <v>1242.07678738976</v>
      </c>
      <c r="L70" s="33" t="n">
        <f aca="false">L67+L65+L69</f>
        <v>1242.07678738976</v>
      </c>
      <c r="M70" s="33" t="n">
        <f aca="false">M67+M65+M69</f>
        <v>1242.07678738976</v>
      </c>
      <c r="N70" s="33" t="n">
        <f aca="false">N67+N65+N69</f>
        <v>1242.07678738976</v>
      </c>
      <c r="O70" s="33" t="n">
        <f aca="false">O67+O65+O69</f>
        <v>1391.12600187653</v>
      </c>
      <c r="P70" s="33" t="n">
        <f aca="false">P67+P65+P69</f>
        <v>1391.12600187653</v>
      </c>
      <c r="Q70" s="33" t="n">
        <f aca="false">Q67+Q65+Q69</f>
        <v>1391.12600187653</v>
      </c>
      <c r="R70" s="33" t="n">
        <f aca="false">R67+R65+R69</f>
        <v>1391.12600187653</v>
      </c>
      <c r="S70" s="33" t="n">
        <f aca="false">S67+S65+S69</f>
        <v>1558.51847859548</v>
      </c>
      <c r="T70" s="33" t="n">
        <f aca="false">T67+T65+T69</f>
        <v>21737.9058868147</v>
      </c>
      <c r="U70" s="33" t="n">
        <f aca="false">U67+U65+U69</f>
        <v>21737.9058868147</v>
      </c>
      <c r="V70" s="33" t="n">
        <f aca="false">V67+V65+V69</f>
        <v>21737.9058868147</v>
      </c>
      <c r="W70" s="33" t="n">
        <f aca="false">W67+W65+W69</f>
        <v>22985.0199428111</v>
      </c>
      <c r="X70" s="33" t="n">
        <f aca="false">X67+X65+X69</f>
        <v>22985.0199428111</v>
      </c>
      <c r="Y70" s="33" t="n">
        <f aca="false">Y67+Y65+Y69</f>
        <v>22985.0199428111</v>
      </c>
      <c r="Z70" s="33" t="n">
        <f aca="false">Z67+Z65+Z69</f>
        <v>22985.0199428111</v>
      </c>
      <c r="AA70" s="33" t="n">
        <f aca="false">AA67+AA65+AA69</f>
        <v>25743.2223359484</v>
      </c>
      <c r="AB70" s="33" t="n">
        <f aca="false">AB67+AB65+AB69</f>
        <v>25743.2223359484</v>
      </c>
      <c r="AC70" s="33" t="n">
        <f aca="false">AC67+AC65+AC69</f>
        <v>25743.2223359484</v>
      </c>
      <c r="AD70" s="33" t="n">
        <f aca="false">AD67+AD65+AD69</f>
        <v>25743.2223359484</v>
      </c>
      <c r="AE70" s="33" t="n">
        <f aca="false">AE67+AE65+AE69</f>
        <v>28053.7647023201</v>
      </c>
      <c r="AF70" s="33" t="n">
        <f aca="false">AF67+AF65+AF69</f>
        <v>28053.7647023201</v>
      </c>
      <c r="AG70" s="33" t="n">
        <f aca="false">AG67+AG65+AG69</f>
        <v>28053.7647023201</v>
      </c>
      <c r="AH70" s="33" t="n">
        <f aca="false">AH67+AH65+AH69</f>
        <v>28053.7647023201</v>
      </c>
      <c r="AI70" s="33" t="n">
        <f aca="false">AI67+AI65+AI69</f>
        <v>28053.7647023201</v>
      </c>
      <c r="AJ70" s="33" t="n">
        <f aca="false">AJ67+AJ65+AJ69</f>
        <v>28053.7647023201</v>
      </c>
      <c r="AK70" s="33" t="n">
        <f aca="false">AK67+AK65+AK69</f>
        <v>28053.7647023201</v>
      </c>
      <c r="AL70" s="33" t="n">
        <f aca="false">AL67+AL65+AL69</f>
        <v>28053.7647023201</v>
      </c>
      <c r="AM70" s="33" t="n">
        <f aca="false">AM67+AM65+AM69</f>
        <v>28053.7647023201</v>
      </c>
      <c r="AN70" s="33" t="n">
        <f aca="false">AN67+AN65+AN69</f>
        <v>28053.7647023201</v>
      </c>
      <c r="AO70" s="33" t="n">
        <f aca="false">AO67+AO65+AO69</f>
        <v>28053.7647023201</v>
      </c>
      <c r="AP70" s="33" t="n">
        <f aca="false">AP67+AP65+AP69</f>
        <v>28053.7647023201</v>
      </c>
      <c r="AQ70" s="33" t="n">
        <f aca="false">AQ67+AQ65+AQ69</f>
        <v>28053.7647023201</v>
      </c>
      <c r="AR70" s="33" t="n">
        <f aca="false">AR67+AR65+AR69</f>
        <v>28053.7647023201</v>
      </c>
      <c r="AS70" s="33" t="n">
        <f aca="false">AS67+AS65+AS69</f>
        <v>28053.7647023201</v>
      </c>
      <c r="AT70" s="33" t="n">
        <f aca="false">AT67+AT65+AT69</f>
        <v>28053.7647023201</v>
      </c>
      <c r="AU70" s="33" t="n">
        <f aca="false">AU67+AU65+AU69</f>
        <v>28053.7647023201</v>
      </c>
      <c r="AV70" s="33" t="n">
        <f aca="false">AV67+AV65+AV69</f>
        <v>28053.7647023201</v>
      </c>
      <c r="AW70" s="33" t="n">
        <f aca="false">AW67+AW65+AW69</f>
        <v>28053.7647023201</v>
      </c>
      <c r="AX70" s="33" t="n">
        <f aca="false">AX67+AX65+AX69</f>
        <v>28053.7647023201</v>
      </c>
      <c r="AY70" s="33" t="n">
        <f aca="false">AY67+AY65+AY69</f>
        <v>28053.7647023201</v>
      </c>
      <c r="AZ70" s="33" t="n">
        <f aca="false">AZ67+AZ65+AZ69</f>
        <v>28053.7647023201</v>
      </c>
      <c r="BA70" s="33" t="n">
        <f aca="false">BA67+BA65+BA69</f>
        <v>28053.7647023201</v>
      </c>
      <c r="BB70" s="33" t="n">
        <f aca="false">BB67+BB65+BB69</f>
        <v>28053.7647023201</v>
      </c>
      <c r="BC70" s="33" t="n">
        <f aca="false">BC67+BC65+BC69</f>
        <v>28053.7647023201</v>
      </c>
      <c r="BD70" s="33" t="n">
        <f aca="false">BD67+BD65+BD69</f>
        <v>28053.7647023201</v>
      </c>
      <c r="BE70" s="33" t="n">
        <f aca="false">BE67+BE65+BE69</f>
        <v>28053.7647023201</v>
      </c>
      <c r="BF70" s="33" t="n">
        <f aca="false">BF67+BF65+BF69</f>
        <v>28053.7647023201</v>
      </c>
      <c r="BG70" s="33" t="n">
        <f aca="false">BG67+BG65+BG69</f>
        <v>28053.7647023201</v>
      </c>
      <c r="BH70" s="33" t="n">
        <f aca="false">BH67+BH65+BH69</f>
        <v>28053.7647023201</v>
      </c>
      <c r="BI70" s="33" t="n">
        <f aca="false">BI67+BI65+BI69</f>
        <v>28053.7647023201</v>
      </c>
      <c r="BJ70" s="33" t="n">
        <f aca="false">BJ67+BJ65+BJ69</f>
        <v>28053.7647023201</v>
      </c>
      <c r="BK70" s="33" t="n">
        <f aca="false">BK67+BK65+BK69</f>
        <v>28053.7647023201</v>
      </c>
      <c r="BL70" s="33" t="n">
        <f aca="false">BL67+BL65+BL69</f>
        <v>28053.7647023201</v>
      </c>
      <c r="BM70" s="33" t="n">
        <f aca="false">BM67+BM65+BM69</f>
        <v>28053.7647023201</v>
      </c>
      <c r="BN70" s="33" t="n">
        <f aca="false">BN67+BN65+BN69</f>
        <v>28053.7647023201</v>
      </c>
      <c r="BO70" s="33" t="n">
        <f aca="false">BO67+BO65+BO69</f>
        <v>28053.7647023201</v>
      </c>
      <c r="BP70" s="33" t="n">
        <f aca="false">BP67+BP65+BP69</f>
        <v>28053.7647023201</v>
      </c>
      <c r="BQ70" s="33" t="n">
        <f aca="false">BQ67+BQ65+BQ69</f>
        <v>28053.7647023201</v>
      </c>
      <c r="BR70" s="33" t="n">
        <f aca="false">BR67+BR65+BR69</f>
        <v>28053.7647023201</v>
      </c>
      <c r="BS70" s="33" t="n">
        <f aca="false">BS67+BS65+BS69</f>
        <v>28053.7647023201</v>
      </c>
      <c r="BT70" s="33" t="n">
        <f aca="false">BT67+BT65+BT69</f>
        <v>28053.7647023201</v>
      </c>
      <c r="BU70" s="33" t="n">
        <f aca="false">BU67+BU65+BU69</f>
        <v>28053.7647023201</v>
      </c>
      <c r="BV70" s="33" t="n">
        <f aca="false">BV67+BV65+BV69</f>
        <v>28053.7647023201</v>
      </c>
      <c r="BW70" s="33" t="n">
        <f aca="false">BW67+BW65+BW69</f>
        <v>28053.7647023201</v>
      </c>
      <c r="BX70" s="33" t="n">
        <f aca="false">BX67+BX65+BX69</f>
        <v>28053.7647023201</v>
      </c>
      <c r="BY70" s="33" t="n">
        <f aca="false">BY67+BY65+BY69</f>
        <v>28053.7647023201</v>
      </c>
      <c r="BZ70" s="33" t="n">
        <f aca="false">BZ67+BZ65+BZ69</f>
        <v>28053.7647023201</v>
      </c>
      <c r="CA70" s="33" t="n">
        <f aca="false">CA67+CA65+CA69</f>
        <v>28053.7647023201</v>
      </c>
      <c r="CB70" s="33" t="n">
        <f aca="false">CB67+CB65+CB69</f>
        <v>28053.7647023201</v>
      </c>
      <c r="CC70" s="33" t="n">
        <f aca="false">CC67+CC65+CC69</f>
        <v>28053.7647023201</v>
      </c>
      <c r="CD70" s="33" t="n">
        <f aca="false">CD67+CD65+CD69</f>
        <v>28053.7647023201</v>
      </c>
      <c r="CE70" s="33" t="n">
        <f aca="false">CE67+CE65+CE69</f>
        <v>28053.7647023201</v>
      </c>
      <c r="CF70" s="33" t="n">
        <f aca="false">CF67+CF65+CF69</f>
        <v>28053.7647023201</v>
      </c>
      <c r="CG70" s="33" t="n">
        <f aca="false">CG67+CG65+CG69</f>
        <v>28053.7647023201</v>
      </c>
      <c r="CH70" s="33" t="n">
        <f aca="false">CH67+CH65+CH69</f>
        <v>28053.7647023201</v>
      </c>
      <c r="CI70" s="33" t="n">
        <f aca="false">CI67+CI65+CI69</f>
        <v>28053.7647023201</v>
      </c>
      <c r="CJ70" s="33" t="n">
        <f aca="false">CJ67+CJ65+CJ69</f>
        <v>28053.7647023201</v>
      </c>
      <c r="CK70" s="33" t="n">
        <f aca="false">CK67+CK65+CK69</f>
        <v>28053.7647023201</v>
      </c>
      <c r="CL70" s="33" t="n">
        <f aca="false">CL67+CL65+CL69</f>
        <v>28053.7647023201</v>
      </c>
      <c r="CM70" s="33" t="n">
        <f aca="false">CM67+CM65+CM69</f>
        <v>28053.7647023201</v>
      </c>
      <c r="CN70" s="33" t="n">
        <f aca="false">CN67+CN65+CN69</f>
        <v>28053.7647023201</v>
      </c>
      <c r="CO70" s="33" t="n">
        <f aca="false">CO67+CO65+CO69</f>
        <v>28053.7647023201</v>
      </c>
      <c r="CP70" s="33" t="n">
        <f aca="false">CP67+CP65+CP69</f>
        <v>28053.7647023201</v>
      </c>
      <c r="CQ70" s="33" t="n">
        <f aca="false">CQ67+CQ65+CQ69</f>
        <v>28053.7647023201</v>
      </c>
      <c r="CR70" s="33" t="n">
        <f aca="false">CR67+CR65+CR69</f>
        <v>28053.7647023201</v>
      </c>
      <c r="CS70" s="33" t="n">
        <f aca="false">CS67+CS65+CS69</f>
        <v>28053.7647023201</v>
      </c>
      <c r="CT70" s="33" t="n">
        <f aca="false">CT67+CT65+CT69</f>
        <v>28053.7647023201</v>
      </c>
      <c r="CU70" s="33" t="n">
        <f aca="false">CU67+CU65+CU69</f>
        <v>28053.7647023201</v>
      </c>
      <c r="CV70" s="33" t="n">
        <f aca="false">CV67+CV65+CV69</f>
        <v>28053.7647023201</v>
      </c>
      <c r="CW70" s="33" t="n">
        <f aca="false">CW67+CW65+CW69</f>
        <v>28053.7647023201</v>
      </c>
      <c r="CX70" s="33" t="n">
        <f aca="false">CX67+CX65+CX69</f>
        <v>28053.7647023201</v>
      </c>
      <c r="CY70" s="33" t="n">
        <f aca="false">CY67+CY65+CY69</f>
        <v>28053.7647023201</v>
      </c>
      <c r="CZ70" s="33" t="n">
        <f aca="false">CZ67+CZ65+CZ69</f>
        <v>28053.7647023201</v>
      </c>
      <c r="DA70" s="33" t="n">
        <f aca="false">DA67+DA65+DA69</f>
        <v>28053.7647023201</v>
      </c>
      <c r="DB70" s="33" t="n">
        <f aca="false">DB67+DB65+DB69</f>
        <v>28053.7647023201</v>
      </c>
      <c r="DC70" s="33" t="n">
        <f aca="false">DC67+DC65+DC69</f>
        <v>28053.7647023201</v>
      </c>
      <c r="DD70" s="33" t="n">
        <f aca="false">DD67+DD65+DD69</f>
        <v>28053.7647023201</v>
      </c>
      <c r="DE70" s="33" t="n">
        <f aca="false">DE67+DE65+DE69</f>
        <v>28053.7647023201</v>
      </c>
      <c r="DF70" s="33" t="n">
        <f aca="false">DF67+DF65+DF69</f>
        <v>28053.7647023201</v>
      </c>
      <c r="DG70" s="33" t="n">
        <f aca="false">DG67+DG65+DG69</f>
        <v>28053.7647023201</v>
      </c>
      <c r="DH70" s="33" t="n">
        <f aca="false">DH67+DH65+DH69</f>
        <v>28053.7647023201</v>
      </c>
      <c r="DI70" s="33" t="n">
        <f aca="false">DI67+DI65+DI69</f>
        <v>28053.7647023201</v>
      </c>
      <c r="DJ70" s="33" t="n">
        <f aca="false">DJ67+DJ65+DJ69</f>
        <v>28053.7647023201</v>
      </c>
      <c r="DK70" s="33" t="n">
        <f aca="false">DK67+DK65+DK69</f>
        <v>28053.7647023201</v>
      </c>
      <c r="DL70" s="33" t="n">
        <f aca="false">DL67+DL65+DL69</f>
        <v>28053.7647023201</v>
      </c>
      <c r="DM70" s="33" t="n">
        <f aca="false">DM67+DM65+DM69</f>
        <v>28053.7647023201</v>
      </c>
      <c r="DN70" s="33" t="n">
        <f aca="false">DN67+DN65+DN69</f>
        <v>28053.7647023201</v>
      </c>
      <c r="DO70" s="33" t="n">
        <f aca="false">DO67+DO65+DO69</f>
        <v>28053.7647023201</v>
      </c>
      <c r="DP70" s="33" t="n">
        <f aca="false">DP67+DP65+DP69</f>
        <v>28053.7647023201</v>
      </c>
      <c r="DQ70" s="33" t="n">
        <f aca="false">DQ67+DQ65+DQ69</f>
        <v>28053.7647023201</v>
      </c>
      <c r="DR70" s="33" t="n">
        <f aca="false">DR67+DR65+DR69</f>
        <v>28053.7647023201</v>
      </c>
      <c r="DS70" s="33" t="n">
        <f aca="false">DS67+DS65+DS69</f>
        <v>28053.7647023201</v>
      </c>
      <c r="DT70" s="33" t="n">
        <f aca="false">DT67+DT65+DT69</f>
        <v>28053.7647023201</v>
      </c>
      <c r="DU70" s="33" t="n">
        <f aca="false">DU67+DU65+DU69</f>
        <v>28053.7647023201</v>
      </c>
      <c r="DV70" s="33" t="n">
        <f aca="false">DV67+DV65+DV69</f>
        <v>28053.7647023201</v>
      </c>
      <c r="DW70" s="33" t="n">
        <f aca="false">DW67+DW65+DW69</f>
        <v>28053.7647023201</v>
      </c>
      <c r="DX70" s="33" t="n">
        <f aca="false">DX67+DX65+DX69</f>
        <v>28053.7647023201</v>
      </c>
      <c r="DY70" s="33" t="n">
        <f aca="false">DY67+DY65+DY69</f>
        <v>28053.7647023201</v>
      </c>
      <c r="DZ70" s="33" t="n">
        <f aca="false">DZ67+DZ65+DZ69</f>
        <v>28053.7647023201</v>
      </c>
      <c r="EA70" s="33" t="n">
        <f aca="false">EA67+EA65+EA69</f>
        <v>28053.7647023201</v>
      </c>
      <c r="EB70" s="33" t="n">
        <f aca="false">EB67+EB65+EB69</f>
        <v>28053.7647023201</v>
      </c>
      <c r="EC70" s="33" t="n">
        <f aca="false">EC67+EC65+EC69</f>
        <v>28053.7647023201</v>
      </c>
      <c r="ED70" s="33" t="n">
        <f aca="false">ED67+ED65+ED69</f>
        <v>28053.7647023201</v>
      </c>
      <c r="EE70" s="33" t="n">
        <f aca="false">EE67+EE65+EE69</f>
        <v>28053.7647023201</v>
      </c>
      <c r="EF70" s="33" t="n">
        <f aca="false">EF67+EF65+EF69</f>
        <v>28053.7647023201</v>
      </c>
      <c r="EG70" s="33" t="n">
        <f aca="false">EG67+EG65+EG69</f>
        <v>28053.7647023201</v>
      </c>
      <c r="EH70" s="33" t="n">
        <f aca="false">EH67+EH65+EH69</f>
        <v>28053.7647023201</v>
      </c>
      <c r="EI70" s="33" t="n">
        <f aca="false">EI67+EI65+EI69</f>
        <v>28053.7647023201</v>
      </c>
      <c r="EJ70" s="33" t="n">
        <f aca="false">EJ67+EJ65+EJ69</f>
        <v>28053.7647023201</v>
      </c>
      <c r="EK70" s="33" t="n">
        <f aca="false">EK67+EK65+EK69</f>
        <v>28053.7647023201</v>
      </c>
      <c r="EL70" s="33" t="n">
        <f aca="false">EL67+EL65+EL69</f>
        <v>28053.7647023201</v>
      </c>
      <c r="EM70" s="33" t="n">
        <f aca="false">EM67+EM65+EM69</f>
        <v>28053.7647023201</v>
      </c>
      <c r="EN70" s="33" t="n">
        <f aca="false">EN67+EN65+EN69</f>
        <v>28053.7647023201</v>
      </c>
      <c r="EO70" s="33" t="n">
        <f aca="false">EO67+EO65+EO69</f>
        <v>28053.7647023201</v>
      </c>
      <c r="EP70" s="33" t="n">
        <f aca="false">EP67+EP65+EP69</f>
        <v>28053.7647023201</v>
      </c>
      <c r="EQ70" s="33" t="n">
        <f aca="false">EQ67+EQ65+EQ69</f>
        <v>28053.7647023201</v>
      </c>
      <c r="ER70" s="33" t="n">
        <f aca="false">ER67+ER65+ER69</f>
        <v>28053.7647023201</v>
      </c>
      <c r="ES70" s="33" t="n">
        <f aca="false">ES67+ES65+ES69</f>
        <v>28053.7647023201</v>
      </c>
      <c r="ET70" s="33" t="n">
        <f aca="false">ET67+ET65+ET69</f>
        <v>28053.7647023201</v>
      </c>
    </row>
    <row r="71" customFormat="false" ht="15" hidden="false" customHeight="false" outlineLevel="0" collapsed="false">
      <c r="A71" s="55"/>
      <c r="B71" s="55"/>
      <c r="C71" s="55" t="s">
        <v>530</v>
      </c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</row>
    <row r="72" customFormat="false" ht="15" hidden="false" customHeight="false" outlineLevel="0" collapsed="false">
      <c r="C72" s="0" t="s">
        <v>531</v>
      </c>
      <c r="D72" s="11" t="s">
        <v>247</v>
      </c>
      <c r="J72" s="22" t="n">
        <f aca="false">I75</f>
        <v>0</v>
      </c>
      <c r="K72" s="22" t="n">
        <f aca="false">J75</f>
        <v>0</v>
      </c>
      <c r="L72" s="22" t="n">
        <f aca="false">K75</f>
        <v>18.1640998311128</v>
      </c>
      <c r="M72" s="22" t="n">
        <f aca="false">L75</f>
        <v>18.1640998311128</v>
      </c>
      <c r="N72" s="22" t="n">
        <f aca="false">M75</f>
        <v>18.1640998311128</v>
      </c>
      <c r="O72" s="22" t="n">
        <f aca="false">N75</f>
        <v>18.1640998311128</v>
      </c>
      <c r="P72" s="22" t="n">
        <f aca="false">O75</f>
        <v>438.867644451117</v>
      </c>
      <c r="Q72" s="22" t="n">
        <f aca="false">P75</f>
        <v>438.867644451117</v>
      </c>
      <c r="R72" s="22" t="n">
        <f aca="false">Q75</f>
        <v>438.867644451117</v>
      </c>
      <c r="S72" s="22" t="n">
        <f aca="false">R75</f>
        <v>438.867644451117</v>
      </c>
      <c r="T72" s="22" t="n">
        <f aca="false">S75</f>
        <v>886.035170946395</v>
      </c>
      <c r="U72" s="22" t="n">
        <f aca="false">T75</f>
        <v>886.035170946395</v>
      </c>
      <c r="V72" s="22" t="n">
        <f aca="false">U75</f>
        <v>886.035170946395</v>
      </c>
      <c r="W72" s="22" t="n">
        <f aca="false">V75</f>
        <v>886.035170946395</v>
      </c>
      <c r="X72" s="22" t="n">
        <f aca="false">W75</f>
        <v>1120.48016110676</v>
      </c>
      <c r="Y72" s="22" t="n">
        <f aca="false">X75</f>
        <v>1120.48016110676</v>
      </c>
      <c r="Z72" s="22" t="n">
        <f aca="false">Y75</f>
        <v>1120.48016110676</v>
      </c>
      <c r="AA72" s="22" t="n">
        <f aca="false">Z75</f>
        <v>1120.48016110676</v>
      </c>
      <c r="AB72" s="22" t="n">
        <f aca="false">AA75</f>
        <v>1607.3226694033</v>
      </c>
      <c r="AC72" s="22" t="n">
        <f aca="false">AB75</f>
        <v>1607.3226694033</v>
      </c>
      <c r="AD72" s="22" t="n">
        <f aca="false">AC75</f>
        <v>1607.3226694033</v>
      </c>
      <c r="AE72" s="22" t="n">
        <f aca="false">AD75</f>
        <v>1607.3226694033</v>
      </c>
      <c r="AF72" s="22" t="n">
        <f aca="false">AE75</f>
        <v>1993.30208050153</v>
      </c>
      <c r="AG72" s="22" t="n">
        <f aca="false">AF75</f>
        <v>1993.30208050153</v>
      </c>
      <c r="AH72" s="22" t="n">
        <f aca="false">AG75</f>
        <v>1993.30208050153</v>
      </c>
      <c r="AI72" s="22" t="n">
        <f aca="false">AH75</f>
        <v>1993.30208050153</v>
      </c>
      <c r="AJ72" s="22" t="n">
        <f aca="false">AI75</f>
        <v>1993.30208050153</v>
      </c>
      <c r="AK72" s="22" t="n">
        <f aca="false">AJ75</f>
        <v>1993.30208050153</v>
      </c>
      <c r="AL72" s="22" t="n">
        <f aca="false">AK75</f>
        <v>1993.30208050153</v>
      </c>
      <c r="AM72" s="22" t="n">
        <f aca="false">AL75</f>
        <v>1993.30208050153</v>
      </c>
      <c r="AN72" s="22" t="n">
        <f aca="false">AM75</f>
        <v>1993.30208050153</v>
      </c>
      <c r="AO72" s="22" t="n">
        <f aca="false">AN75</f>
        <v>1993.30208050153</v>
      </c>
      <c r="AP72" s="22" t="n">
        <f aca="false">AO75</f>
        <v>1993.30208050153</v>
      </c>
      <c r="AQ72" s="22" t="n">
        <f aca="false">AP75</f>
        <v>1993.30208050153</v>
      </c>
      <c r="AR72" s="22" t="n">
        <f aca="false">AQ75</f>
        <v>1993.30208050153</v>
      </c>
      <c r="AS72" s="22" t="n">
        <f aca="false">AR75</f>
        <v>1993.30208050153</v>
      </c>
      <c r="AT72" s="22" t="n">
        <f aca="false">AS75</f>
        <v>1993.30208050153</v>
      </c>
      <c r="AU72" s="22" t="n">
        <f aca="false">AT75</f>
        <v>1993.30208050153</v>
      </c>
      <c r="AV72" s="22" t="n">
        <f aca="false">AU75</f>
        <v>1993.30208050153</v>
      </c>
      <c r="AW72" s="22" t="n">
        <f aca="false">AV75</f>
        <v>1993.30208050153</v>
      </c>
      <c r="AX72" s="22" t="n">
        <f aca="false">AW75</f>
        <v>1993.30208050153</v>
      </c>
      <c r="AY72" s="22" t="n">
        <f aca="false">AX75</f>
        <v>1993.30208050153</v>
      </c>
      <c r="AZ72" s="22" t="n">
        <f aca="false">AY75</f>
        <v>1993.30208050153</v>
      </c>
      <c r="BA72" s="22" t="n">
        <f aca="false">AZ75</f>
        <v>1993.30208050153</v>
      </c>
      <c r="BB72" s="22" t="n">
        <f aca="false">BA75</f>
        <v>1993.30208050153</v>
      </c>
      <c r="BC72" s="22" t="n">
        <f aca="false">BB75</f>
        <v>1993.30208050153</v>
      </c>
      <c r="BD72" s="22" t="n">
        <f aca="false">BC75</f>
        <v>1993.30208050153</v>
      </c>
      <c r="BE72" s="22" t="n">
        <f aca="false">BD75</f>
        <v>1993.30208050153</v>
      </c>
      <c r="BF72" s="22" t="n">
        <f aca="false">BE75</f>
        <v>1993.30208050153</v>
      </c>
      <c r="BG72" s="22" t="n">
        <f aca="false">BF75</f>
        <v>1993.30208050153</v>
      </c>
      <c r="BH72" s="22" t="n">
        <f aca="false">BG75</f>
        <v>1993.30208050153</v>
      </c>
      <c r="BI72" s="22" t="n">
        <f aca="false">BH75</f>
        <v>1993.30208050153</v>
      </c>
      <c r="BJ72" s="22" t="n">
        <f aca="false">BI75</f>
        <v>1993.30208050153</v>
      </c>
      <c r="BK72" s="22" t="n">
        <f aca="false">BJ75</f>
        <v>1993.30208050153</v>
      </c>
      <c r="BL72" s="22" t="n">
        <f aca="false">BK75</f>
        <v>1993.30208050153</v>
      </c>
      <c r="BM72" s="22" t="n">
        <f aca="false">BL75</f>
        <v>1993.30208050153</v>
      </c>
      <c r="BN72" s="22" t="n">
        <f aca="false">BM75</f>
        <v>1993.30208050153</v>
      </c>
      <c r="BO72" s="22" t="n">
        <f aca="false">BN75</f>
        <v>1993.30208050153</v>
      </c>
      <c r="BP72" s="22" t="n">
        <f aca="false">BO75</f>
        <v>1993.30208050153</v>
      </c>
      <c r="BQ72" s="22" t="n">
        <f aca="false">BP75</f>
        <v>1993.30208050153</v>
      </c>
      <c r="BR72" s="22" t="n">
        <f aca="false">BQ75</f>
        <v>1993.30208050153</v>
      </c>
      <c r="BS72" s="22" t="n">
        <f aca="false">BR75</f>
        <v>1993.30208050153</v>
      </c>
      <c r="BT72" s="22" t="n">
        <f aca="false">BS75</f>
        <v>1993.30208050153</v>
      </c>
      <c r="BU72" s="22" t="n">
        <f aca="false">BT75</f>
        <v>1993.30208050153</v>
      </c>
      <c r="BV72" s="22" t="n">
        <f aca="false">BU75</f>
        <v>1993.30208050153</v>
      </c>
      <c r="BW72" s="22" t="n">
        <f aca="false">BV75</f>
        <v>1993.30208050153</v>
      </c>
      <c r="BX72" s="22" t="n">
        <f aca="false">BW75</f>
        <v>1993.30208050153</v>
      </c>
      <c r="BY72" s="22" t="n">
        <f aca="false">BX75</f>
        <v>1993.30208050153</v>
      </c>
      <c r="BZ72" s="22" t="n">
        <f aca="false">BY75</f>
        <v>1993.30208050153</v>
      </c>
      <c r="CA72" s="22" t="n">
        <f aca="false">BZ75</f>
        <v>1993.30208050153</v>
      </c>
      <c r="CB72" s="22" t="n">
        <f aca="false">CA75</f>
        <v>1993.30208050153</v>
      </c>
      <c r="CC72" s="22" t="n">
        <f aca="false">CB75</f>
        <v>1993.30208050153</v>
      </c>
      <c r="CD72" s="22" t="n">
        <f aca="false">CC75</f>
        <v>1993.30208050153</v>
      </c>
      <c r="CE72" s="22" t="n">
        <f aca="false">CD75</f>
        <v>1993.30208050153</v>
      </c>
      <c r="CF72" s="22" t="n">
        <f aca="false">CE75</f>
        <v>1993.30208050153</v>
      </c>
      <c r="CG72" s="22" t="n">
        <f aca="false">CF75</f>
        <v>1993.30208050153</v>
      </c>
      <c r="CH72" s="22" t="n">
        <f aca="false">CG75</f>
        <v>1993.30208050153</v>
      </c>
      <c r="CI72" s="22" t="n">
        <f aca="false">CH75</f>
        <v>1993.30208050153</v>
      </c>
      <c r="CJ72" s="22" t="n">
        <f aca="false">CI75</f>
        <v>1993.30208050153</v>
      </c>
      <c r="CK72" s="22" t="n">
        <f aca="false">CJ75</f>
        <v>1993.30208050153</v>
      </c>
      <c r="CL72" s="22" t="n">
        <f aca="false">CK75</f>
        <v>1993.30208050153</v>
      </c>
      <c r="CM72" s="22" t="n">
        <f aca="false">CL75</f>
        <v>1993.30208050153</v>
      </c>
      <c r="CN72" s="22" t="n">
        <f aca="false">CM75</f>
        <v>1993.30208050153</v>
      </c>
      <c r="CO72" s="22" t="n">
        <f aca="false">CN75</f>
        <v>1993.30208050153</v>
      </c>
      <c r="CP72" s="22" t="n">
        <f aca="false">CO75</f>
        <v>1993.30208050153</v>
      </c>
      <c r="CQ72" s="22" t="n">
        <f aca="false">CP75</f>
        <v>1993.30208050153</v>
      </c>
      <c r="CR72" s="22" t="n">
        <f aca="false">CQ75</f>
        <v>1993.30208050153</v>
      </c>
      <c r="CS72" s="22" t="n">
        <f aca="false">CR75</f>
        <v>1993.30208050153</v>
      </c>
      <c r="CT72" s="22" t="n">
        <f aca="false">CS75</f>
        <v>1993.30208050153</v>
      </c>
      <c r="CU72" s="22" t="n">
        <f aca="false">CT75</f>
        <v>1993.30208050153</v>
      </c>
      <c r="CV72" s="22" t="n">
        <f aca="false">CU75</f>
        <v>1993.30208050153</v>
      </c>
      <c r="CW72" s="22" t="n">
        <f aca="false">CV75</f>
        <v>1993.30208050153</v>
      </c>
      <c r="CX72" s="22" t="n">
        <f aca="false">CW75</f>
        <v>1993.30208050153</v>
      </c>
      <c r="CY72" s="22" t="n">
        <f aca="false">CX75</f>
        <v>1993.30208050153</v>
      </c>
      <c r="CZ72" s="22" t="n">
        <f aca="false">CY75</f>
        <v>1993.30208050153</v>
      </c>
      <c r="DA72" s="22" t="n">
        <f aca="false">CZ75</f>
        <v>1993.30208050153</v>
      </c>
      <c r="DB72" s="22" t="n">
        <f aca="false">DA75</f>
        <v>1993.30208050153</v>
      </c>
      <c r="DC72" s="22" t="n">
        <f aca="false">DB75</f>
        <v>1993.30208050153</v>
      </c>
      <c r="DD72" s="22" t="n">
        <f aca="false">DC75</f>
        <v>1993.30208050153</v>
      </c>
      <c r="DE72" s="22" t="n">
        <f aca="false">DD75</f>
        <v>1993.30208050153</v>
      </c>
      <c r="DF72" s="22" t="n">
        <f aca="false">DE75</f>
        <v>1993.30208050153</v>
      </c>
      <c r="DG72" s="22" t="n">
        <f aca="false">DF75</f>
        <v>1993.30208050153</v>
      </c>
      <c r="DH72" s="22" t="n">
        <f aca="false">DG75</f>
        <v>1993.30208050153</v>
      </c>
      <c r="DI72" s="22" t="n">
        <f aca="false">DH75</f>
        <v>1993.30208050153</v>
      </c>
      <c r="DJ72" s="22" t="n">
        <f aca="false">DI75</f>
        <v>1993.30208050153</v>
      </c>
      <c r="DK72" s="22" t="n">
        <f aca="false">DJ75</f>
        <v>1993.30208050153</v>
      </c>
      <c r="DL72" s="22" t="n">
        <f aca="false">DK75</f>
        <v>1993.30208050153</v>
      </c>
      <c r="DM72" s="22" t="n">
        <f aca="false">DL75</f>
        <v>1993.30208050153</v>
      </c>
      <c r="DN72" s="22" t="n">
        <f aca="false">DM75</f>
        <v>1993.30208050153</v>
      </c>
      <c r="DO72" s="22" t="n">
        <f aca="false">DN75</f>
        <v>1993.30208050153</v>
      </c>
      <c r="DP72" s="22" t="n">
        <f aca="false">DO75</f>
        <v>1993.30208050153</v>
      </c>
      <c r="DQ72" s="22" t="n">
        <f aca="false">DP75</f>
        <v>1993.30208050153</v>
      </c>
      <c r="DR72" s="22" t="n">
        <f aca="false">DQ75</f>
        <v>1993.30208050153</v>
      </c>
      <c r="DS72" s="22" t="n">
        <f aca="false">DR75</f>
        <v>1993.30208050153</v>
      </c>
      <c r="DT72" s="22" t="n">
        <f aca="false">DS75</f>
        <v>1993.30208050153</v>
      </c>
      <c r="DU72" s="22" t="n">
        <f aca="false">DT75</f>
        <v>1993.30208050153</v>
      </c>
      <c r="DV72" s="22" t="n">
        <f aca="false">DU75</f>
        <v>1993.30208050153</v>
      </c>
      <c r="DW72" s="22" t="n">
        <f aca="false">DV75</f>
        <v>1993.30208050153</v>
      </c>
      <c r="DX72" s="22" t="n">
        <f aca="false">DW75</f>
        <v>1993.30208050153</v>
      </c>
      <c r="DY72" s="22" t="n">
        <f aca="false">DX75</f>
        <v>1993.30208050153</v>
      </c>
      <c r="DZ72" s="22" t="n">
        <f aca="false">DY75</f>
        <v>1993.30208050153</v>
      </c>
      <c r="EA72" s="22" t="n">
        <f aca="false">DZ75</f>
        <v>1993.30208050153</v>
      </c>
      <c r="EB72" s="22" t="n">
        <f aca="false">EA75</f>
        <v>1993.30208050153</v>
      </c>
      <c r="EC72" s="22" t="n">
        <f aca="false">EB75</f>
        <v>1993.30208050153</v>
      </c>
      <c r="ED72" s="22" t="n">
        <f aca="false">EC75</f>
        <v>1993.30208050153</v>
      </c>
      <c r="EE72" s="22" t="n">
        <f aca="false">ED75</f>
        <v>1993.30208050153</v>
      </c>
      <c r="EF72" s="22" t="n">
        <f aca="false">EE75</f>
        <v>1993.30208050153</v>
      </c>
      <c r="EG72" s="22" t="n">
        <f aca="false">EF75</f>
        <v>1993.30208050153</v>
      </c>
      <c r="EH72" s="22" t="n">
        <f aca="false">EG75</f>
        <v>1993.30208050153</v>
      </c>
      <c r="EI72" s="22" t="n">
        <f aca="false">EH75</f>
        <v>1993.30208050153</v>
      </c>
      <c r="EJ72" s="22" t="n">
        <f aca="false">EI75</f>
        <v>1993.30208050153</v>
      </c>
      <c r="EK72" s="22" t="n">
        <f aca="false">EJ75</f>
        <v>1993.30208050153</v>
      </c>
      <c r="EL72" s="22" t="n">
        <f aca="false">EK75</f>
        <v>1993.30208050153</v>
      </c>
      <c r="EM72" s="22" t="n">
        <f aca="false">EL75</f>
        <v>1993.30208050153</v>
      </c>
      <c r="EN72" s="22" t="n">
        <f aca="false">EM75</f>
        <v>1993.30208050153</v>
      </c>
      <c r="EO72" s="22" t="n">
        <f aca="false">EN75</f>
        <v>1993.30208050153</v>
      </c>
      <c r="EP72" s="22" t="n">
        <f aca="false">EO75</f>
        <v>1993.30208050153</v>
      </c>
      <c r="EQ72" s="22" t="n">
        <f aca="false">EP75</f>
        <v>1993.30208050153</v>
      </c>
      <c r="ER72" s="22" t="n">
        <f aca="false">EQ75</f>
        <v>1993.30208050153</v>
      </c>
      <c r="ES72" s="22" t="n">
        <f aca="false">ER75</f>
        <v>1993.30208050153</v>
      </c>
      <c r="ET72" s="22" t="n">
        <f aca="false">ES75</f>
        <v>1993.30208050153</v>
      </c>
    </row>
    <row r="73" customFormat="false" ht="15" hidden="false" customHeight="false" outlineLevel="0" collapsed="false">
      <c r="C73" s="0" t="s">
        <v>527</v>
      </c>
      <c r="D73" s="11" t="s">
        <v>247</v>
      </c>
      <c r="E73" s="33" t="n">
        <f aca="false">SUMIF($J$4:$ET$4,"&lt;="&amp;$E12,$J73:$ET73)</f>
        <v>1120.48016110676</v>
      </c>
      <c r="F73" s="33" t="n">
        <f aca="false">SUMIF($J$4:$ET$4,"&lt;="&amp;In_COD,$J73:$ET73)</f>
        <v>1993.30208050153</v>
      </c>
      <c r="I73" s="33" t="n">
        <f aca="false">SUM(J73:ET73)</f>
        <v>1993.30208050153</v>
      </c>
      <c r="J73" s="33" t="n">
        <f aca="false">In_Guar_Credit*(1-J19)*(J72+J48+J49)*J$5/Days_In_Year*(J$4&lt;=In_COD)</f>
        <v>0</v>
      </c>
      <c r="K73" s="33" t="n">
        <f aca="false">In_Guar_Credit*(1-K19)*(K72+K48+K49)*K$5/Days_In_Year*(K$4&lt;=In_COD)</f>
        <v>18.1640998311128</v>
      </c>
      <c r="L73" s="33" t="n">
        <f aca="false">In_Guar_Credit*(1-L19)*(L72+L48+L49)*L$5/Days_In_Year*(L$4&lt;=In_COD)</f>
        <v>103.735120591234</v>
      </c>
      <c r="M73" s="33" t="n">
        <f aca="false">In_Guar_Credit*(1-M19)*(M72+M48+M49)*M$5/Days_In_Year*(M$4&lt;=In_COD)</f>
        <v>104.887733042248</v>
      </c>
      <c r="N73" s="33" t="n">
        <f aca="false">In_Guar_Credit*(1-N19)*(N72+N48+N49)*N$5/Days_In_Year*(N$4&lt;=In_COD)</f>
        <v>106.040345493261</v>
      </c>
      <c r="O73" s="33" t="n">
        <f aca="false">In_Guar_Credit*(1-O19)*(O72+O48+O49)*O$5/Days_In_Year*(O$4&lt;=In_COD)</f>
        <v>106.040345493261</v>
      </c>
      <c r="P73" s="33" t="n">
        <f aca="false">In_Guar_Credit*(1-P19)*(P72+P48+P49)*P$5/Days_In_Year*(P$4&lt;=In_COD)</f>
        <v>111.180997024782</v>
      </c>
      <c r="Q73" s="33" t="n">
        <f aca="false">In_Guar_Credit*(1-Q19)*(Q72+Q48+Q49)*Q$5/Days_In_Year*(Q$4&lt;=In_COD)</f>
        <v>111.180997024782</v>
      </c>
      <c r="R73" s="33" t="n">
        <f aca="false">In_Guar_Credit*(1-R19)*(R72+R48+R49)*R$5/Days_In_Year*(R$4&lt;=In_COD)</f>
        <v>112.402766222857</v>
      </c>
      <c r="S73" s="33" t="n">
        <f aca="false">In_Guar_Credit*(1-S19)*(S72+S48+S49)*S$5/Days_In_Year*(S$4&lt;=In_COD)</f>
        <v>112.402766222857</v>
      </c>
      <c r="T73" s="33" t="n">
        <f aca="false">In_Guar_Credit*(1-T19)*(T72+T48+T49)*T$5/Days_In_Year*(T$4&lt;=In_COD)</f>
        <v>116.574856985816</v>
      </c>
      <c r="U73" s="33" t="n">
        <f aca="false">In_Guar_Credit*(1-U19)*(U72+U48+U49)*U$5/Days_In_Year*(U$4&lt;=In_COD)</f>
        <v>117.870133174547</v>
      </c>
      <c r="V73" s="33" t="n">
        <f aca="false">In_Guar_Credit*(1-V19)*(V72+V48+V49)*V$5/Days_In_Year*(V$4&lt;=In_COD)</f>
        <v>0</v>
      </c>
      <c r="W73" s="33" t="n">
        <f aca="false">In_Guar_Credit*(1-W19)*(W72+W48+W49)*W$5/Days_In_Year*(W$4&lt;=In_COD)</f>
        <v>0</v>
      </c>
      <c r="X73" s="33" t="n">
        <f aca="false">In_Guar_Credit*(1-X19)*(X72+X48+X49)*X$5/Days_In_Year*(X$4&lt;=In_COD)</f>
        <v>120.043358210106</v>
      </c>
      <c r="Y73" s="33" t="n">
        <f aca="false">In_Guar_Credit*(1-Y19)*(Y72+Y48+Y49)*Y$5/Days_In_Year*(Y$4&lt;=In_COD)</f>
        <v>121.37717330133</v>
      </c>
      <c r="Z73" s="33" t="n">
        <f aca="false">In_Guar_Credit*(1-Z19)*(Z72+Z48+Z49)*Z$5/Days_In_Year*(Z$4&lt;=In_COD)</f>
        <v>122.710988392553</v>
      </c>
      <c r="AA73" s="33" t="n">
        <f aca="false">In_Guar_Credit*(1-AA19)*(AA72+AA48+AA49)*AA$5/Days_In_Year*(AA$4&lt;=In_COD)</f>
        <v>122.710988392553</v>
      </c>
      <c r="AB73" s="33" t="n">
        <f aca="false">In_Guar_Credit*(1-AB19)*(AB72+AB48+AB49)*AB$5/Days_In_Year*(AB$4&lt;=In_COD)</f>
        <v>127.245959702713</v>
      </c>
      <c r="AC73" s="33" t="n">
        <f aca="false">In_Guar_Credit*(1-AC19)*(AC72+AC48+AC49)*AC$5/Days_In_Year*(AC$4&lt;=In_COD)</f>
        <v>128.65980369941</v>
      </c>
      <c r="AD73" s="33" t="n">
        <f aca="false">In_Guar_Credit*(1-AD19)*(AD72+AD48+AD49)*AD$5/Days_In_Year*(AD$4&lt;=In_COD)</f>
        <v>130.073647696106</v>
      </c>
      <c r="AE73" s="33" t="n">
        <f aca="false">In_Guar_Credit*(1-AE19)*(AE72+AE48+AE49)*AE$5/Days_In_Year*(AE$4&lt;=In_COD)</f>
        <v>0</v>
      </c>
      <c r="AF73" s="33" t="n">
        <f aca="false">In_Guar_Credit*(1-AF19)*(AF72+AF48+AF49)*AF$5/Days_In_Year*(AF$4&lt;=In_COD)</f>
        <v>0</v>
      </c>
      <c r="AG73" s="33" t="n">
        <f aca="false">In_Guar_Credit*(1-AG19)*(AG72+AG48+AG49)*AG$5/Days_In_Year*(AG$4&lt;=In_COD)</f>
        <v>0</v>
      </c>
      <c r="AH73" s="33" t="n">
        <f aca="false">In_Guar_Credit*(1-AH19)*(AH72+AH48+AH49)*AH$5/Days_In_Year*(AH$4&lt;=In_COD)</f>
        <v>0</v>
      </c>
      <c r="AI73" s="33" t="n">
        <f aca="false">In_Guar_Credit*(1-AI19)*(AI72+AI48+AI49)*AI$5/Days_In_Year*(AI$4&lt;=In_COD)</f>
        <v>0</v>
      </c>
      <c r="AJ73" s="33" t="n">
        <f aca="false">In_Guar_Credit*(1-AJ19)*(AJ72+AJ48+AJ49)*AJ$5/Days_In_Year*(AJ$4&lt;=In_COD)</f>
        <v>0</v>
      </c>
      <c r="AK73" s="33" t="n">
        <f aca="false">In_Guar_Credit*(1-AK19)*(AK72+AK48+AK49)*AK$5/Days_In_Year*(AK$4&lt;=In_COD)</f>
        <v>0</v>
      </c>
      <c r="AL73" s="33" t="n">
        <f aca="false">In_Guar_Credit*(1-AL19)*(AL72+AL48+AL49)*AL$5/Days_In_Year*(AL$4&lt;=In_COD)</f>
        <v>0</v>
      </c>
      <c r="AM73" s="33" t="n">
        <f aca="false">In_Guar_Credit*(1-AM19)*(AM72+AM48+AM49)*AM$5/Days_In_Year*(AM$4&lt;=In_COD)</f>
        <v>0</v>
      </c>
      <c r="AN73" s="33" t="n">
        <f aca="false">In_Guar_Credit*(1-AN19)*(AN72+AN48+AN49)*AN$5/Days_In_Year*(AN$4&lt;=In_COD)</f>
        <v>0</v>
      </c>
      <c r="AO73" s="33" t="n">
        <f aca="false">In_Guar_Credit*(1-AO19)*(AO72+AO48+AO49)*AO$5/Days_In_Year*(AO$4&lt;=In_COD)</f>
        <v>0</v>
      </c>
      <c r="AP73" s="33" t="n">
        <f aca="false">In_Guar_Credit*(1-AP19)*(AP72+AP48+AP49)*AP$5/Days_In_Year*(AP$4&lt;=In_COD)</f>
        <v>0</v>
      </c>
      <c r="AQ73" s="33" t="n">
        <f aca="false">In_Guar_Credit*(1-AQ19)*(AQ72+AQ48+AQ49)*AQ$5/Days_In_Year*(AQ$4&lt;=In_COD)</f>
        <v>0</v>
      </c>
      <c r="AR73" s="33" t="n">
        <f aca="false">In_Guar_Credit*(1-AR19)*(AR72+AR48+AR49)*AR$5/Days_In_Year*(AR$4&lt;=In_COD)</f>
        <v>0</v>
      </c>
      <c r="AS73" s="33" t="n">
        <f aca="false">In_Guar_Credit*(1-AS19)*(AS72+AS48+AS49)*AS$5/Days_In_Year*(AS$4&lt;=In_COD)</f>
        <v>0</v>
      </c>
      <c r="AT73" s="33" t="n">
        <f aca="false">In_Guar_Credit*(1-AT19)*(AT72+AT48+AT49)*AT$5/Days_In_Year*(AT$4&lt;=In_COD)</f>
        <v>0</v>
      </c>
      <c r="AU73" s="33" t="n">
        <f aca="false">In_Guar_Credit*(1-AU19)*(AU72+AU48+AU49)*AU$5/Days_In_Year*(AU$4&lt;=In_COD)</f>
        <v>0</v>
      </c>
      <c r="AV73" s="33" t="n">
        <f aca="false">In_Guar_Credit*(1-AV19)*(AV72+AV48+AV49)*AV$5/Days_In_Year*(AV$4&lt;=In_COD)</f>
        <v>0</v>
      </c>
      <c r="AW73" s="33" t="n">
        <f aca="false">In_Guar_Credit*(1-AW19)*(AW72+AW48+AW49)*AW$5/Days_In_Year*(AW$4&lt;=In_COD)</f>
        <v>0</v>
      </c>
      <c r="AX73" s="33" t="n">
        <f aca="false">In_Guar_Credit*(1-AX19)*(AX72+AX48+AX49)*AX$5/Days_In_Year*(AX$4&lt;=In_COD)</f>
        <v>0</v>
      </c>
      <c r="AY73" s="33" t="n">
        <f aca="false">In_Guar_Credit*(1-AY19)*(AY72+AY48+AY49)*AY$5/Days_In_Year*(AY$4&lt;=In_COD)</f>
        <v>0</v>
      </c>
      <c r="AZ73" s="33" t="n">
        <f aca="false">In_Guar_Credit*(1-AZ19)*(AZ72+AZ48+AZ49)*AZ$5/Days_In_Year*(AZ$4&lt;=In_COD)</f>
        <v>0</v>
      </c>
      <c r="BA73" s="33" t="n">
        <f aca="false">In_Guar_Credit*(1-BA19)*(BA72+BA48+BA49)*BA$5/Days_In_Year*(BA$4&lt;=In_COD)</f>
        <v>0</v>
      </c>
      <c r="BB73" s="33" t="n">
        <f aca="false">In_Guar_Credit*(1-BB19)*(BB72+BB48+BB49)*BB$5/Days_In_Year*(BB$4&lt;=In_COD)</f>
        <v>0</v>
      </c>
      <c r="BC73" s="33" t="n">
        <f aca="false">In_Guar_Credit*(1-BC19)*(BC72+BC48+BC49)*BC$5/Days_In_Year*(BC$4&lt;=In_COD)</f>
        <v>0</v>
      </c>
      <c r="BD73" s="33" t="n">
        <f aca="false">In_Guar_Credit*(1-BD19)*(BD72+BD48+BD49)*BD$5/Days_In_Year*(BD$4&lt;=In_COD)</f>
        <v>0</v>
      </c>
      <c r="BE73" s="33" t="n">
        <f aca="false">In_Guar_Credit*(1-BE19)*(BE72+BE48+BE49)*BE$5/Days_In_Year*(BE$4&lt;=In_COD)</f>
        <v>0</v>
      </c>
      <c r="BF73" s="33" t="n">
        <f aca="false">In_Guar_Credit*(1-BF19)*(BF72+BF48+BF49)*BF$5/Days_In_Year*(BF$4&lt;=In_COD)</f>
        <v>0</v>
      </c>
      <c r="BG73" s="33" t="n">
        <f aca="false">In_Guar_Credit*(1-BG19)*(BG72+BG48+BG49)*BG$5/Days_In_Year*(BG$4&lt;=In_COD)</f>
        <v>0</v>
      </c>
      <c r="BH73" s="33" t="n">
        <f aca="false">In_Guar_Credit*(1-BH19)*(BH72+BH48+BH49)*BH$5/Days_In_Year*(BH$4&lt;=In_COD)</f>
        <v>0</v>
      </c>
      <c r="BI73" s="33" t="n">
        <f aca="false">In_Guar_Credit*(1-BI19)*(BI72+BI48+BI49)*BI$5/Days_In_Year*(BI$4&lt;=In_COD)</f>
        <v>0</v>
      </c>
      <c r="BJ73" s="33" t="n">
        <f aca="false">In_Guar_Credit*(1-BJ19)*(BJ72+BJ48+BJ49)*BJ$5/Days_In_Year*(BJ$4&lt;=In_COD)</f>
        <v>0</v>
      </c>
      <c r="BK73" s="33" t="n">
        <f aca="false">In_Guar_Credit*(1-BK19)*(BK72+BK48+BK49)*BK$5/Days_In_Year*(BK$4&lt;=In_COD)</f>
        <v>0</v>
      </c>
      <c r="BL73" s="33" t="n">
        <f aca="false">In_Guar_Credit*(1-BL19)*(BL72+BL48+BL49)*BL$5/Days_In_Year*(BL$4&lt;=In_COD)</f>
        <v>0</v>
      </c>
      <c r="BM73" s="33" t="n">
        <f aca="false">In_Guar_Credit*(1-BM19)*(BM72+BM48+BM49)*BM$5/Days_In_Year*(BM$4&lt;=In_COD)</f>
        <v>0</v>
      </c>
      <c r="BN73" s="33" t="n">
        <f aca="false">In_Guar_Credit*(1-BN19)*(BN72+BN48+BN49)*BN$5/Days_In_Year*(BN$4&lt;=In_COD)</f>
        <v>0</v>
      </c>
      <c r="BO73" s="33" t="n">
        <f aca="false">In_Guar_Credit*(1-BO19)*(BO72+BO48+BO49)*BO$5/Days_In_Year*(BO$4&lt;=In_COD)</f>
        <v>0</v>
      </c>
      <c r="BP73" s="33" t="n">
        <f aca="false">In_Guar_Credit*(1-BP19)*(BP72+BP48+BP49)*BP$5/Days_In_Year*(BP$4&lt;=In_COD)</f>
        <v>0</v>
      </c>
      <c r="BQ73" s="33" t="n">
        <f aca="false">In_Guar_Credit*(1-BQ19)*(BQ72+BQ48+BQ49)*BQ$5/Days_In_Year*(BQ$4&lt;=In_COD)</f>
        <v>0</v>
      </c>
      <c r="BR73" s="33" t="n">
        <f aca="false">In_Guar_Credit*(1-BR19)*(BR72+BR48+BR49)*BR$5/Days_In_Year*(BR$4&lt;=In_COD)</f>
        <v>0</v>
      </c>
      <c r="BS73" s="33" t="n">
        <f aca="false">In_Guar_Credit*(1-BS19)*(BS72+BS48+BS49)*BS$5/Days_In_Year*(BS$4&lt;=In_COD)</f>
        <v>0</v>
      </c>
      <c r="BT73" s="33" t="n">
        <f aca="false">In_Guar_Credit*(1-BT19)*(BT72+BT48+BT49)*BT$5/Days_In_Year*(BT$4&lt;=In_COD)</f>
        <v>0</v>
      </c>
      <c r="BU73" s="33" t="n">
        <f aca="false">In_Guar_Credit*(1-BU19)*(BU72+BU48+BU49)*BU$5/Days_In_Year*(BU$4&lt;=In_COD)</f>
        <v>0</v>
      </c>
      <c r="BV73" s="33" t="n">
        <f aca="false">In_Guar_Credit*(1-BV19)*(BV72+BV48+BV49)*BV$5/Days_In_Year*(BV$4&lt;=In_COD)</f>
        <v>0</v>
      </c>
      <c r="BW73" s="33" t="n">
        <f aca="false">In_Guar_Credit*(1-BW19)*(BW72+BW48+BW49)*BW$5/Days_In_Year*(BW$4&lt;=In_COD)</f>
        <v>0</v>
      </c>
      <c r="BX73" s="33" t="n">
        <f aca="false">In_Guar_Credit*(1-BX19)*(BX72+BX48+BX49)*BX$5/Days_In_Year*(BX$4&lt;=In_COD)</f>
        <v>0</v>
      </c>
      <c r="BY73" s="33" t="n">
        <f aca="false">In_Guar_Credit*(1-BY19)*(BY72+BY48+BY49)*BY$5/Days_In_Year*(BY$4&lt;=In_COD)</f>
        <v>0</v>
      </c>
      <c r="BZ73" s="33" t="n">
        <f aca="false">In_Guar_Credit*(1-BZ19)*(BZ72+BZ48+BZ49)*BZ$5/Days_In_Year*(BZ$4&lt;=In_COD)</f>
        <v>0</v>
      </c>
      <c r="CA73" s="33" t="n">
        <f aca="false">In_Guar_Credit*(1-CA19)*(CA72+CA48+CA49)*CA$5/Days_In_Year*(CA$4&lt;=In_COD)</f>
        <v>0</v>
      </c>
      <c r="CB73" s="33" t="n">
        <f aca="false">In_Guar_Credit*(1-CB19)*(CB72+CB48+CB49)*CB$5/Days_In_Year*(CB$4&lt;=In_COD)</f>
        <v>0</v>
      </c>
      <c r="CC73" s="33" t="n">
        <f aca="false">In_Guar_Credit*(1-CC19)*(CC72+CC48+CC49)*CC$5/Days_In_Year*(CC$4&lt;=In_COD)</f>
        <v>0</v>
      </c>
      <c r="CD73" s="33" t="n">
        <f aca="false">In_Guar_Credit*(1-CD19)*(CD72+CD48+CD49)*CD$5/Days_In_Year*(CD$4&lt;=In_COD)</f>
        <v>0</v>
      </c>
      <c r="CE73" s="33" t="n">
        <f aca="false">In_Guar_Credit*(1-CE19)*(CE72+CE48+CE49)*CE$5/Days_In_Year*(CE$4&lt;=In_COD)</f>
        <v>0</v>
      </c>
      <c r="CF73" s="33" t="n">
        <f aca="false">In_Guar_Credit*(1-CF19)*(CF72+CF48+CF49)*CF$5/Days_In_Year*(CF$4&lt;=In_COD)</f>
        <v>0</v>
      </c>
      <c r="CG73" s="33" t="n">
        <f aca="false">In_Guar_Credit*(1-CG19)*(CG72+CG48+CG49)*CG$5/Days_In_Year*(CG$4&lt;=In_COD)</f>
        <v>0</v>
      </c>
      <c r="CH73" s="33" t="n">
        <f aca="false">In_Guar_Credit*(1-CH19)*(CH72+CH48+CH49)*CH$5/Days_In_Year*(CH$4&lt;=In_COD)</f>
        <v>0</v>
      </c>
      <c r="CI73" s="33" t="n">
        <f aca="false">In_Guar_Credit*(1-CI19)*(CI72+CI48+CI49)*CI$5/Days_In_Year*(CI$4&lt;=In_COD)</f>
        <v>0</v>
      </c>
      <c r="CJ73" s="33" t="n">
        <f aca="false">In_Guar_Credit*(1-CJ19)*(CJ72+CJ48+CJ49)*CJ$5/Days_In_Year*(CJ$4&lt;=In_COD)</f>
        <v>0</v>
      </c>
      <c r="CK73" s="33" t="n">
        <f aca="false">In_Guar_Credit*(1-CK19)*(CK72+CK48+CK49)*CK$5/Days_In_Year*(CK$4&lt;=In_COD)</f>
        <v>0</v>
      </c>
      <c r="CL73" s="33" t="n">
        <f aca="false">In_Guar_Credit*(1-CL19)*(CL72+CL48+CL49)*CL$5/Days_In_Year*(CL$4&lt;=In_COD)</f>
        <v>0</v>
      </c>
      <c r="CM73" s="33" t="n">
        <f aca="false">In_Guar_Credit*(1-CM19)*(CM72+CM48+CM49)*CM$5/Days_In_Year*(CM$4&lt;=In_COD)</f>
        <v>0</v>
      </c>
      <c r="CN73" s="33" t="n">
        <f aca="false">In_Guar_Credit*(1-CN19)*(CN72+CN48+CN49)*CN$5/Days_In_Year*(CN$4&lt;=In_COD)</f>
        <v>0</v>
      </c>
      <c r="CO73" s="33" t="n">
        <f aca="false">In_Guar_Credit*(1-CO19)*(CO72+CO48+CO49)*CO$5/Days_In_Year*(CO$4&lt;=In_COD)</f>
        <v>0</v>
      </c>
      <c r="CP73" s="33" t="n">
        <f aca="false">In_Guar_Credit*(1-CP19)*(CP72+CP48+CP49)*CP$5/Days_In_Year*(CP$4&lt;=In_COD)</f>
        <v>0</v>
      </c>
      <c r="CQ73" s="33" t="n">
        <f aca="false">In_Guar_Credit*(1-CQ19)*(CQ72+CQ48+CQ49)*CQ$5/Days_In_Year*(CQ$4&lt;=In_COD)</f>
        <v>0</v>
      </c>
      <c r="CR73" s="33" t="n">
        <f aca="false">In_Guar_Credit*(1-CR19)*(CR72+CR48+CR49)*CR$5/Days_In_Year*(CR$4&lt;=In_COD)</f>
        <v>0</v>
      </c>
      <c r="CS73" s="33" t="n">
        <f aca="false">In_Guar_Credit*(1-CS19)*(CS72+CS48+CS49)*CS$5/Days_In_Year*(CS$4&lt;=In_COD)</f>
        <v>0</v>
      </c>
      <c r="CT73" s="33" t="n">
        <f aca="false">In_Guar_Credit*(1-CT19)*(CT72+CT48+CT49)*CT$5/Days_In_Year*(CT$4&lt;=In_COD)</f>
        <v>0</v>
      </c>
      <c r="CU73" s="33" t="n">
        <f aca="false">In_Guar_Credit*(1-CU19)*(CU72+CU48+CU49)*CU$5/Days_In_Year*(CU$4&lt;=In_COD)</f>
        <v>0</v>
      </c>
      <c r="CV73" s="33" t="n">
        <f aca="false">In_Guar_Credit*(1-CV19)*(CV72+CV48+CV49)*CV$5/Days_In_Year*(CV$4&lt;=In_COD)</f>
        <v>0</v>
      </c>
      <c r="CW73" s="33" t="n">
        <f aca="false">In_Guar_Credit*(1-CW19)*(CW72+CW48+CW49)*CW$5/Days_In_Year*(CW$4&lt;=In_COD)</f>
        <v>0</v>
      </c>
      <c r="CX73" s="33" t="n">
        <f aca="false">In_Guar_Credit*(1-CX19)*(CX72+CX48+CX49)*CX$5/Days_In_Year*(CX$4&lt;=In_COD)</f>
        <v>0</v>
      </c>
      <c r="CY73" s="33" t="n">
        <f aca="false">In_Guar_Credit*(1-CY19)*(CY72+CY48+CY49)*CY$5/Days_In_Year*(CY$4&lt;=In_COD)</f>
        <v>0</v>
      </c>
      <c r="CZ73" s="33" t="n">
        <f aca="false">In_Guar_Credit*(1-CZ19)*(CZ72+CZ48+CZ49)*CZ$5/Days_In_Year*(CZ$4&lt;=In_COD)</f>
        <v>0</v>
      </c>
      <c r="DA73" s="33" t="n">
        <f aca="false">In_Guar_Credit*(1-DA19)*(DA72+DA48+DA49)*DA$5/Days_In_Year*(DA$4&lt;=In_COD)</f>
        <v>0</v>
      </c>
      <c r="DB73" s="33" t="n">
        <f aca="false">In_Guar_Credit*(1-DB19)*(DB72+DB48+DB49)*DB$5/Days_In_Year*(DB$4&lt;=In_COD)</f>
        <v>0</v>
      </c>
      <c r="DC73" s="33" t="n">
        <f aca="false">In_Guar_Credit*(1-DC19)*(DC72+DC48+DC49)*DC$5/Days_In_Year*(DC$4&lt;=In_COD)</f>
        <v>0</v>
      </c>
      <c r="DD73" s="33" t="n">
        <f aca="false">In_Guar_Credit*(1-DD19)*(DD72+DD48+DD49)*DD$5/Days_In_Year*(DD$4&lt;=In_COD)</f>
        <v>0</v>
      </c>
      <c r="DE73" s="33" t="n">
        <f aca="false">In_Guar_Credit*(1-DE19)*(DE72+DE48+DE49)*DE$5/Days_In_Year*(DE$4&lt;=In_COD)</f>
        <v>0</v>
      </c>
      <c r="DF73" s="33" t="n">
        <f aca="false">In_Guar_Credit*(1-DF19)*(DF72+DF48+DF49)*DF$5/Days_In_Year*(DF$4&lt;=In_COD)</f>
        <v>0</v>
      </c>
      <c r="DG73" s="33" t="n">
        <f aca="false">In_Guar_Credit*(1-DG19)*(DG72+DG48+DG49)*DG$5/Days_In_Year*(DG$4&lt;=In_COD)</f>
        <v>0</v>
      </c>
      <c r="DH73" s="33" t="n">
        <f aca="false">In_Guar_Credit*(1-DH19)*(DH72+DH48+DH49)*DH$5/Days_In_Year*(DH$4&lt;=In_COD)</f>
        <v>0</v>
      </c>
      <c r="DI73" s="33" t="n">
        <f aca="false">In_Guar_Credit*(1-DI19)*(DI72+DI48+DI49)*DI$5/Days_In_Year*(DI$4&lt;=In_COD)</f>
        <v>0</v>
      </c>
      <c r="DJ73" s="33" t="n">
        <f aca="false">In_Guar_Credit*(1-DJ19)*(DJ72+DJ48+DJ49)*DJ$5/Days_In_Year*(DJ$4&lt;=In_COD)</f>
        <v>0</v>
      </c>
      <c r="DK73" s="33" t="n">
        <f aca="false">In_Guar_Credit*(1-DK19)*(DK72+DK48+DK49)*DK$5/Days_In_Year*(DK$4&lt;=In_COD)</f>
        <v>0</v>
      </c>
      <c r="DL73" s="33" t="n">
        <f aca="false">In_Guar_Credit*(1-DL19)*(DL72+DL48+DL49)*DL$5/Days_In_Year*(DL$4&lt;=In_COD)</f>
        <v>0</v>
      </c>
      <c r="DM73" s="33" t="n">
        <f aca="false">In_Guar_Credit*(1-DM19)*(DM72+DM48+DM49)*DM$5/Days_In_Year*(DM$4&lt;=In_COD)</f>
        <v>0</v>
      </c>
      <c r="DN73" s="33" t="n">
        <f aca="false">In_Guar_Credit*(1-DN19)*(DN72+DN48+DN49)*DN$5/Days_In_Year*(DN$4&lt;=In_COD)</f>
        <v>0</v>
      </c>
      <c r="DO73" s="33" t="n">
        <f aca="false">In_Guar_Credit*(1-DO19)*(DO72+DO48+DO49)*DO$5/Days_In_Year*(DO$4&lt;=In_COD)</f>
        <v>0</v>
      </c>
      <c r="DP73" s="33" t="n">
        <f aca="false">In_Guar_Credit*(1-DP19)*(DP72+DP48+DP49)*DP$5/Days_In_Year*(DP$4&lt;=In_COD)</f>
        <v>0</v>
      </c>
      <c r="DQ73" s="33" t="n">
        <f aca="false">In_Guar_Credit*(1-DQ19)*(DQ72+DQ48+DQ49)*DQ$5/Days_In_Year*(DQ$4&lt;=In_COD)</f>
        <v>0</v>
      </c>
      <c r="DR73" s="33" t="n">
        <f aca="false">In_Guar_Credit*(1-DR19)*(DR72+DR48+DR49)*DR$5/Days_In_Year*(DR$4&lt;=In_COD)</f>
        <v>0</v>
      </c>
      <c r="DS73" s="33" t="n">
        <f aca="false">In_Guar_Credit*(1-DS19)*(DS72+DS48+DS49)*DS$5/Days_In_Year*(DS$4&lt;=In_COD)</f>
        <v>0</v>
      </c>
      <c r="DT73" s="33" t="n">
        <f aca="false">In_Guar_Credit*(1-DT19)*(DT72+DT48+DT49)*DT$5/Days_In_Year*(DT$4&lt;=In_COD)</f>
        <v>0</v>
      </c>
      <c r="DU73" s="33" t="n">
        <f aca="false">In_Guar_Credit*(1-DU19)*(DU72+DU48+DU49)*DU$5/Days_In_Year*(DU$4&lt;=In_COD)</f>
        <v>0</v>
      </c>
      <c r="DV73" s="33" t="n">
        <f aca="false">In_Guar_Credit*(1-DV19)*(DV72+DV48+DV49)*DV$5/Days_In_Year*(DV$4&lt;=In_COD)</f>
        <v>0</v>
      </c>
      <c r="DW73" s="33" t="n">
        <f aca="false">In_Guar_Credit*(1-DW19)*(DW72+DW48+DW49)*DW$5/Days_In_Year*(DW$4&lt;=In_COD)</f>
        <v>0</v>
      </c>
      <c r="DX73" s="33" t="n">
        <f aca="false">In_Guar_Credit*(1-DX19)*(DX72+DX48+DX49)*DX$5/Days_In_Year*(DX$4&lt;=In_COD)</f>
        <v>0</v>
      </c>
      <c r="DY73" s="33" t="n">
        <f aca="false">In_Guar_Credit*(1-DY19)*(DY72+DY48+DY49)*DY$5/Days_In_Year*(DY$4&lt;=In_COD)</f>
        <v>0</v>
      </c>
      <c r="DZ73" s="33" t="n">
        <f aca="false">In_Guar_Credit*(1-DZ19)*(DZ72+DZ48+DZ49)*DZ$5/Days_In_Year*(DZ$4&lt;=In_COD)</f>
        <v>0</v>
      </c>
      <c r="EA73" s="33" t="n">
        <f aca="false">In_Guar_Credit*(1-EA19)*(EA72+EA48+EA49)*EA$5/Days_In_Year*(EA$4&lt;=In_COD)</f>
        <v>0</v>
      </c>
      <c r="EB73" s="33" t="n">
        <f aca="false">In_Guar_Credit*(1-EB19)*(EB72+EB48+EB49)*EB$5/Days_In_Year*(EB$4&lt;=In_COD)</f>
        <v>0</v>
      </c>
      <c r="EC73" s="33" t="n">
        <f aca="false">In_Guar_Credit*(1-EC19)*(EC72+EC48+EC49)*EC$5/Days_In_Year*(EC$4&lt;=In_COD)</f>
        <v>0</v>
      </c>
      <c r="ED73" s="33" t="n">
        <f aca="false">In_Guar_Credit*(1-ED19)*(ED72+ED48+ED49)*ED$5/Days_In_Year*(ED$4&lt;=In_COD)</f>
        <v>0</v>
      </c>
      <c r="EE73" s="33" t="n">
        <f aca="false">In_Guar_Credit*(1-EE19)*(EE72+EE48+EE49)*EE$5/Days_In_Year*(EE$4&lt;=In_COD)</f>
        <v>0</v>
      </c>
      <c r="EF73" s="33" t="n">
        <f aca="false">In_Guar_Credit*(1-EF19)*(EF72+EF48+EF49)*EF$5/Days_In_Year*(EF$4&lt;=In_COD)</f>
        <v>0</v>
      </c>
      <c r="EG73" s="33" t="n">
        <f aca="false">In_Guar_Credit*(1-EG19)*(EG72+EG48+EG49)*EG$5/Days_In_Year*(EG$4&lt;=In_COD)</f>
        <v>0</v>
      </c>
      <c r="EH73" s="33" t="n">
        <f aca="false">In_Guar_Credit*(1-EH19)*(EH72+EH48+EH49)*EH$5/Days_In_Year*(EH$4&lt;=In_COD)</f>
        <v>0</v>
      </c>
      <c r="EI73" s="33" t="n">
        <f aca="false">In_Guar_Credit*(1-EI19)*(EI72+EI48+EI49)*EI$5/Days_In_Year*(EI$4&lt;=In_COD)</f>
        <v>0</v>
      </c>
      <c r="EJ73" s="33" t="n">
        <f aca="false">In_Guar_Credit*(1-EJ19)*(EJ72+EJ48+EJ49)*EJ$5/Days_In_Year*(EJ$4&lt;=In_COD)</f>
        <v>0</v>
      </c>
      <c r="EK73" s="33" t="n">
        <f aca="false">In_Guar_Credit*(1-EK19)*(EK72+EK48+EK49)*EK$5/Days_In_Year*(EK$4&lt;=In_COD)</f>
        <v>0</v>
      </c>
      <c r="EL73" s="33" t="n">
        <f aca="false">In_Guar_Credit*(1-EL19)*(EL72+EL48+EL49)*EL$5/Days_In_Year*(EL$4&lt;=In_COD)</f>
        <v>0</v>
      </c>
      <c r="EM73" s="33" t="n">
        <f aca="false">In_Guar_Credit*(1-EM19)*(EM72+EM48+EM49)*EM$5/Days_In_Year*(EM$4&lt;=In_COD)</f>
        <v>0</v>
      </c>
      <c r="EN73" s="33" t="n">
        <f aca="false">In_Guar_Credit*(1-EN19)*(EN72+EN48+EN49)*EN$5/Days_In_Year*(EN$4&lt;=In_COD)</f>
        <v>0</v>
      </c>
      <c r="EO73" s="33" t="n">
        <f aca="false">In_Guar_Credit*(1-EO19)*(EO72+EO48+EO49)*EO$5/Days_In_Year*(EO$4&lt;=In_COD)</f>
        <v>0</v>
      </c>
      <c r="EP73" s="33" t="n">
        <f aca="false">In_Guar_Credit*(1-EP19)*(EP72+EP48+EP49)*EP$5/Days_In_Year*(EP$4&lt;=In_COD)</f>
        <v>0</v>
      </c>
      <c r="EQ73" s="33" t="n">
        <f aca="false">In_Guar_Credit*(1-EQ19)*(EQ72+EQ48+EQ49)*EQ$5/Days_In_Year*(EQ$4&lt;=In_COD)</f>
        <v>0</v>
      </c>
      <c r="ER73" s="33" t="n">
        <f aca="false">In_Guar_Credit*(1-ER19)*(ER72+ER48+ER49)*ER$5/Days_In_Year*(ER$4&lt;=In_COD)</f>
        <v>0</v>
      </c>
      <c r="ES73" s="33" t="n">
        <f aca="false">In_Guar_Credit*(1-ES19)*(ES72+ES48+ES49)*ES$5/Days_In_Year*(ES$4&lt;=In_COD)</f>
        <v>0</v>
      </c>
      <c r="ET73" s="33" t="n">
        <f aca="false">In_Guar_Credit*(1-ET19)*(ET72+ET48+ET49)*ET$5/Days_In_Year*(ET$4&lt;=In_COD)</f>
        <v>0</v>
      </c>
    </row>
    <row r="74" customFormat="false" ht="15" hidden="false" customHeight="false" outlineLevel="0" collapsed="false">
      <c r="C74" s="0" t="s">
        <v>528</v>
      </c>
      <c r="D74" s="11" t="s">
        <v>247</v>
      </c>
      <c r="I74" s="33" t="n">
        <f aca="false">SUM(J74:ET74)</f>
        <v>1993.30208050153</v>
      </c>
      <c r="J74" s="33" t="n">
        <f aca="false">J20*SUMIF($J$7:J$7,J$7,$J73:J73)</f>
        <v>0</v>
      </c>
      <c r="K74" s="33" t="n">
        <f aca="false">K20*SUMIF($J$7:K$7,K$7,$J73:K73)</f>
        <v>18.1640998311128</v>
      </c>
      <c r="L74" s="33" t="n">
        <f aca="false">L20*SUMIF($J$7:L$7,L$7,$J73:L73)</f>
        <v>0</v>
      </c>
      <c r="M74" s="33" t="n">
        <f aca="false">M20*SUMIF($J$7:M$7,M$7,$J73:M73)</f>
        <v>0</v>
      </c>
      <c r="N74" s="33" t="n">
        <f aca="false">N20*SUMIF($J$7:N$7,N$7,$J73:N73)</f>
        <v>0</v>
      </c>
      <c r="O74" s="33" t="n">
        <f aca="false">O20*SUMIF($J$7:O$7,O$7,$J73:O73)</f>
        <v>420.703544620004</v>
      </c>
      <c r="P74" s="33" t="n">
        <f aca="false">P20*SUMIF($J$7:P$7,P$7,$J73:P73)</f>
        <v>0</v>
      </c>
      <c r="Q74" s="33" t="n">
        <f aca="false">Q20*SUMIF($J$7:Q$7,Q$7,$J73:Q73)</f>
        <v>0</v>
      </c>
      <c r="R74" s="33" t="n">
        <f aca="false">R20*SUMIF($J$7:R$7,R$7,$J73:R73)</f>
        <v>0</v>
      </c>
      <c r="S74" s="33" t="n">
        <f aca="false">S20*SUMIF($J$7:S$7,S$7,$J73:S73)</f>
        <v>447.167526495279</v>
      </c>
      <c r="T74" s="33" t="n">
        <f aca="false">T20*SUMIF($J$7:T$7,T$7,$J73:T73)</f>
        <v>0</v>
      </c>
      <c r="U74" s="33" t="n">
        <f aca="false">U20*SUMIF($J$7:U$7,U$7,$J73:U73)</f>
        <v>0</v>
      </c>
      <c r="V74" s="33" t="n">
        <f aca="false">V20*SUMIF($J$7:V$7,V$7,$J73:V73)</f>
        <v>0</v>
      </c>
      <c r="W74" s="33" t="n">
        <f aca="false">W20*SUMIF($J$7:W$7,W$7,$J73:W73)</f>
        <v>234.444990160363</v>
      </c>
      <c r="X74" s="33" t="n">
        <f aca="false">X20*SUMIF($J$7:X$7,X$7,$J73:X73)</f>
        <v>0</v>
      </c>
      <c r="Y74" s="33" t="n">
        <f aca="false">Y20*SUMIF($J$7:Y$7,Y$7,$J73:Y73)</f>
        <v>0</v>
      </c>
      <c r="Z74" s="33" t="n">
        <f aca="false">Z20*SUMIF($J$7:Z$7,Z$7,$J73:Z73)</f>
        <v>0</v>
      </c>
      <c r="AA74" s="33" t="n">
        <f aca="false">AA20*SUMIF($J$7:AA$7,AA$7,$J73:AA73)</f>
        <v>486.842508296543</v>
      </c>
      <c r="AB74" s="33" t="n">
        <f aca="false">AB20*SUMIF($J$7:AB$7,AB$7,$J73:AB73)</f>
        <v>0</v>
      </c>
      <c r="AC74" s="33" t="n">
        <f aca="false">AC20*SUMIF($J$7:AC$7,AC$7,$J73:AC73)</f>
        <v>0</v>
      </c>
      <c r="AD74" s="33" t="n">
        <f aca="false">AD20*SUMIF($J$7:AD$7,AD$7,$J73:AD73)</f>
        <v>0</v>
      </c>
      <c r="AE74" s="33" t="n">
        <f aca="false">AE20*SUMIF($J$7:AE$7,AE$7,$J73:AE73)</f>
        <v>385.979411098229</v>
      </c>
      <c r="AF74" s="33" t="n">
        <f aca="false">AF20*SUMIF($J$7:AF$7,AF$7,$J73:AF73)</f>
        <v>0</v>
      </c>
      <c r="AG74" s="33" t="n">
        <f aca="false">AG20*SUMIF($J$7:AG$7,AG$7,$J73:AG73)</f>
        <v>0</v>
      </c>
      <c r="AH74" s="33" t="n">
        <f aca="false">AH20*SUMIF($J$7:AH$7,AH$7,$J73:AH73)</f>
        <v>0</v>
      </c>
      <c r="AI74" s="33" t="n">
        <f aca="false">AI20*SUMIF($J$7:AI$7,AI$7,$J73:AI73)</f>
        <v>0</v>
      </c>
      <c r="AJ74" s="33" t="n">
        <f aca="false">AJ20*SUMIF($J$7:AJ$7,AJ$7,$J73:AJ73)</f>
        <v>0</v>
      </c>
      <c r="AK74" s="33" t="n">
        <f aca="false">AK20*SUMIF($J$7:AK$7,AK$7,$J73:AK73)</f>
        <v>0</v>
      </c>
      <c r="AL74" s="33" t="n">
        <f aca="false">AL20*SUMIF($J$7:AL$7,AL$7,$J73:AL73)</f>
        <v>0</v>
      </c>
      <c r="AM74" s="33" t="n">
        <f aca="false">AM20*SUMIF($J$7:AM$7,AM$7,$J73:AM73)</f>
        <v>0</v>
      </c>
      <c r="AN74" s="33" t="n">
        <f aca="false">AN20*SUMIF($J$7:AN$7,AN$7,$J73:AN73)</f>
        <v>0</v>
      </c>
      <c r="AO74" s="33" t="n">
        <f aca="false">AO20*SUMIF($J$7:AO$7,AO$7,$J73:AO73)</f>
        <v>0</v>
      </c>
      <c r="AP74" s="33" t="n">
        <f aca="false">AP20*SUMIF($J$7:AP$7,AP$7,$J73:AP73)</f>
        <v>0</v>
      </c>
      <c r="AQ74" s="33" t="n">
        <f aca="false">AQ20*SUMIF($J$7:AQ$7,AQ$7,$J73:AQ73)</f>
        <v>0</v>
      </c>
      <c r="AR74" s="33" t="n">
        <f aca="false">AR20*SUMIF($J$7:AR$7,AR$7,$J73:AR73)</f>
        <v>0</v>
      </c>
      <c r="AS74" s="33" t="n">
        <f aca="false">AS20*SUMIF($J$7:AS$7,AS$7,$J73:AS73)</f>
        <v>0</v>
      </c>
      <c r="AT74" s="33" t="n">
        <f aca="false">AT20*SUMIF($J$7:AT$7,AT$7,$J73:AT73)</f>
        <v>0</v>
      </c>
      <c r="AU74" s="33" t="n">
        <f aca="false">AU20*SUMIF($J$7:AU$7,AU$7,$J73:AU73)</f>
        <v>0</v>
      </c>
      <c r="AV74" s="33" t="n">
        <f aca="false">AV20*SUMIF($J$7:AV$7,AV$7,$J73:AV73)</f>
        <v>0</v>
      </c>
      <c r="AW74" s="33" t="n">
        <f aca="false">AW20*SUMIF($J$7:AW$7,AW$7,$J73:AW73)</f>
        <v>0</v>
      </c>
      <c r="AX74" s="33" t="n">
        <f aca="false">AX20*SUMIF($J$7:AX$7,AX$7,$J73:AX73)</f>
        <v>0</v>
      </c>
      <c r="AY74" s="33" t="n">
        <f aca="false">AY20*SUMIF($J$7:AY$7,AY$7,$J73:AY73)</f>
        <v>0</v>
      </c>
      <c r="AZ74" s="33" t="n">
        <f aca="false">AZ20*SUMIF($J$7:AZ$7,AZ$7,$J73:AZ73)</f>
        <v>0</v>
      </c>
      <c r="BA74" s="33" t="n">
        <f aca="false">BA20*SUMIF($J$7:BA$7,BA$7,$J73:BA73)</f>
        <v>0</v>
      </c>
      <c r="BB74" s="33" t="n">
        <f aca="false">BB20*SUMIF($J$7:BB$7,BB$7,$J73:BB73)</f>
        <v>0</v>
      </c>
      <c r="BC74" s="33" t="n">
        <f aca="false">BC20*SUMIF($J$7:BC$7,BC$7,$J73:BC73)</f>
        <v>0</v>
      </c>
      <c r="BD74" s="33" t="n">
        <f aca="false">BD20*SUMIF($J$7:BD$7,BD$7,$J73:BD73)</f>
        <v>0</v>
      </c>
      <c r="BE74" s="33" t="n">
        <f aca="false">BE20*SUMIF($J$7:BE$7,BE$7,$J73:BE73)</f>
        <v>0</v>
      </c>
      <c r="BF74" s="33" t="n">
        <f aca="false">BF20*SUMIF($J$7:BF$7,BF$7,$J73:BF73)</f>
        <v>0</v>
      </c>
      <c r="BG74" s="33" t="n">
        <f aca="false">BG20*SUMIF($J$7:BG$7,BG$7,$J73:BG73)</f>
        <v>0</v>
      </c>
      <c r="BH74" s="33" t="n">
        <f aca="false">BH20*SUMIF($J$7:BH$7,BH$7,$J73:BH73)</f>
        <v>0</v>
      </c>
      <c r="BI74" s="33" t="n">
        <f aca="false">BI20*SUMIF($J$7:BI$7,BI$7,$J73:BI73)</f>
        <v>0</v>
      </c>
      <c r="BJ74" s="33" t="n">
        <f aca="false">BJ20*SUMIF($J$7:BJ$7,BJ$7,$J73:BJ73)</f>
        <v>0</v>
      </c>
      <c r="BK74" s="33" t="n">
        <f aca="false">BK20*SUMIF($J$7:BK$7,BK$7,$J73:BK73)</f>
        <v>0</v>
      </c>
      <c r="BL74" s="33" t="n">
        <f aca="false">BL20*SUMIF($J$7:BL$7,BL$7,$J73:BL73)</f>
        <v>0</v>
      </c>
      <c r="BM74" s="33" t="n">
        <f aca="false">BM20*SUMIF($J$7:BM$7,BM$7,$J73:BM73)</f>
        <v>0</v>
      </c>
      <c r="BN74" s="33" t="n">
        <f aca="false">BN20*SUMIF($J$7:BN$7,BN$7,$J73:BN73)</f>
        <v>0</v>
      </c>
      <c r="BO74" s="33" t="n">
        <f aca="false">BO20*SUMIF($J$7:BO$7,BO$7,$J73:BO73)</f>
        <v>0</v>
      </c>
      <c r="BP74" s="33" t="n">
        <f aca="false">BP20*SUMIF($J$7:BP$7,BP$7,$J73:BP73)</f>
        <v>0</v>
      </c>
      <c r="BQ74" s="33" t="n">
        <f aca="false">BQ20*SUMIF($J$7:BQ$7,BQ$7,$J73:BQ73)</f>
        <v>0</v>
      </c>
      <c r="BR74" s="33" t="n">
        <f aca="false">BR20*SUMIF($J$7:BR$7,BR$7,$J73:BR73)</f>
        <v>0</v>
      </c>
      <c r="BS74" s="33" t="n">
        <f aca="false">BS20*SUMIF($J$7:BS$7,BS$7,$J73:BS73)</f>
        <v>0</v>
      </c>
      <c r="BT74" s="33" t="n">
        <f aca="false">BT20*SUMIF($J$7:BT$7,BT$7,$J73:BT73)</f>
        <v>0</v>
      </c>
      <c r="BU74" s="33" t="n">
        <f aca="false">BU20*SUMIF($J$7:BU$7,BU$7,$J73:BU73)</f>
        <v>0</v>
      </c>
      <c r="BV74" s="33" t="n">
        <f aca="false">BV20*SUMIF($J$7:BV$7,BV$7,$J73:BV73)</f>
        <v>0</v>
      </c>
      <c r="BW74" s="33" t="n">
        <f aca="false">BW20*SUMIF($J$7:BW$7,BW$7,$J73:BW73)</f>
        <v>0</v>
      </c>
      <c r="BX74" s="33" t="n">
        <f aca="false">BX20*SUMIF($J$7:BX$7,BX$7,$J73:BX73)</f>
        <v>0</v>
      </c>
      <c r="BY74" s="33" t="n">
        <f aca="false">BY20*SUMIF($J$7:BY$7,BY$7,$J73:BY73)</f>
        <v>0</v>
      </c>
      <c r="BZ74" s="33" t="n">
        <f aca="false">BZ20*SUMIF($J$7:BZ$7,BZ$7,$J73:BZ73)</f>
        <v>0</v>
      </c>
      <c r="CA74" s="33" t="n">
        <f aca="false">CA20*SUMIF($J$7:CA$7,CA$7,$J73:CA73)</f>
        <v>0</v>
      </c>
      <c r="CB74" s="33" t="n">
        <f aca="false">CB20*SUMIF($J$7:CB$7,CB$7,$J73:CB73)</f>
        <v>0</v>
      </c>
      <c r="CC74" s="33" t="n">
        <f aca="false">CC20*SUMIF($J$7:CC$7,CC$7,$J73:CC73)</f>
        <v>0</v>
      </c>
      <c r="CD74" s="33" t="n">
        <f aca="false">CD20*SUMIF($J$7:CD$7,CD$7,$J73:CD73)</f>
        <v>0</v>
      </c>
      <c r="CE74" s="33" t="n">
        <f aca="false">CE20*SUMIF($J$7:CE$7,CE$7,$J73:CE73)</f>
        <v>0</v>
      </c>
      <c r="CF74" s="33" t="n">
        <f aca="false">CF20*SUMIF($J$7:CF$7,CF$7,$J73:CF73)</f>
        <v>0</v>
      </c>
      <c r="CG74" s="33" t="n">
        <f aca="false">CG20*SUMIF($J$7:CG$7,CG$7,$J73:CG73)</f>
        <v>0</v>
      </c>
      <c r="CH74" s="33" t="n">
        <f aca="false">CH20*SUMIF($J$7:CH$7,CH$7,$J73:CH73)</f>
        <v>0</v>
      </c>
      <c r="CI74" s="33" t="n">
        <f aca="false">CI20*SUMIF($J$7:CI$7,CI$7,$J73:CI73)</f>
        <v>0</v>
      </c>
      <c r="CJ74" s="33" t="n">
        <f aca="false">CJ20*SUMIF($J$7:CJ$7,CJ$7,$J73:CJ73)</f>
        <v>0</v>
      </c>
      <c r="CK74" s="33" t="n">
        <f aca="false">CK20*SUMIF($J$7:CK$7,CK$7,$J73:CK73)</f>
        <v>0</v>
      </c>
      <c r="CL74" s="33" t="n">
        <f aca="false">CL20*SUMIF($J$7:CL$7,CL$7,$J73:CL73)</f>
        <v>0</v>
      </c>
      <c r="CM74" s="33" t="n">
        <f aca="false">CM20*SUMIF($J$7:CM$7,CM$7,$J73:CM73)</f>
        <v>0</v>
      </c>
      <c r="CN74" s="33" t="n">
        <f aca="false">CN20*SUMIF($J$7:CN$7,CN$7,$J73:CN73)</f>
        <v>0</v>
      </c>
      <c r="CO74" s="33" t="n">
        <f aca="false">CO20*SUMIF($J$7:CO$7,CO$7,$J73:CO73)</f>
        <v>0</v>
      </c>
      <c r="CP74" s="33" t="n">
        <f aca="false">CP20*SUMIF($J$7:CP$7,CP$7,$J73:CP73)</f>
        <v>0</v>
      </c>
      <c r="CQ74" s="33" t="n">
        <f aca="false">CQ20*SUMIF($J$7:CQ$7,CQ$7,$J73:CQ73)</f>
        <v>0</v>
      </c>
      <c r="CR74" s="33" t="n">
        <f aca="false">CR20*SUMIF($J$7:CR$7,CR$7,$J73:CR73)</f>
        <v>0</v>
      </c>
      <c r="CS74" s="33" t="n">
        <f aca="false">CS20*SUMIF($J$7:CS$7,CS$7,$J73:CS73)</f>
        <v>0</v>
      </c>
      <c r="CT74" s="33" t="n">
        <f aca="false">CT20*SUMIF($J$7:CT$7,CT$7,$J73:CT73)</f>
        <v>0</v>
      </c>
      <c r="CU74" s="33" t="n">
        <f aca="false">CU20*SUMIF($J$7:CU$7,CU$7,$J73:CU73)</f>
        <v>0</v>
      </c>
      <c r="CV74" s="33" t="n">
        <f aca="false">CV20*SUMIF($J$7:CV$7,CV$7,$J73:CV73)</f>
        <v>0</v>
      </c>
      <c r="CW74" s="33" t="n">
        <f aca="false">CW20*SUMIF($J$7:CW$7,CW$7,$J73:CW73)</f>
        <v>0</v>
      </c>
      <c r="CX74" s="33" t="n">
        <f aca="false">CX20*SUMIF($J$7:CX$7,CX$7,$J73:CX73)</f>
        <v>0</v>
      </c>
      <c r="CY74" s="33" t="n">
        <f aca="false">CY20*SUMIF($J$7:CY$7,CY$7,$J73:CY73)</f>
        <v>0</v>
      </c>
      <c r="CZ74" s="33" t="n">
        <f aca="false">CZ20*SUMIF($J$7:CZ$7,CZ$7,$J73:CZ73)</f>
        <v>0</v>
      </c>
      <c r="DA74" s="33" t="n">
        <f aca="false">DA20*SUMIF($J$7:DA$7,DA$7,$J73:DA73)</f>
        <v>0</v>
      </c>
      <c r="DB74" s="33" t="n">
        <f aca="false">DB20*SUMIF($J$7:DB$7,DB$7,$J73:DB73)</f>
        <v>0</v>
      </c>
      <c r="DC74" s="33" t="n">
        <f aca="false">DC20*SUMIF($J$7:DC$7,DC$7,$J73:DC73)</f>
        <v>0</v>
      </c>
      <c r="DD74" s="33" t="n">
        <f aca="false">DD20*SUMIF($J$7:DD$7,DD$7,$J73:DD73)</f>
        <v>0</v>
      </c>
      <c r="DE74" s="33" t="n">
        <f aca="false">DE20*SUMIF($J$7:DE$7,DE$7,$J73:DE73)</f>
        <v>0</v>
      </c>
      <c r="DF74" s="33" t="n">
        <f aca="false">DF20*SUMIF($J$7:DF$7,DF$7,$J73:DF73)</f>
        <v>0</v>
      </c>
      <c r="DG74" s="33" t="n">
        <f aca="false">DG20*SUMIF($J$7:DG$7,DG$7,$J73:DG73)</f>
        <v>0</v>
      </c>
      <c r="DH74" s="33" t="n">
        <f aca="false">DH20*SUMIF($J$7:DH$7,DH$7,$J73:DH73)</f>
        <v>0</v>
      </c>
      <c r="DI74" s="33" t="n">
        <f aca="false">DI20*SUMIF($J$7:DI$7,DI$7,$J73:DI73)</f>
        <v>0</v>
      </c>
      <c r="DJ74" s="33" t="n">
        <f aca="false">DJ20*SUMIF($J$7:DJ$7,DJ$7,$J73:DJ73)</f>
        <v>0</v>
      </c>
      <c r="DK74" s="33" t="n">
        <f aca="false">DK20*SUMIF($J$7:DK$7,DK$7,$J73:DK73)</f>
        <v>0</v>
      </c>
      <c r="DL74" s="33" t="n">
        <f aca="false">DL20*SUMIF($J$7:DL$7,DL$7,$J73:DL73)</f>
        <v>0</v>
      </c>
      <c r="DM74" s="33" t="n">
        <f aca="false">DM20*SUMIF($J$7:DM$7,DM$7,$J73:DM73)</f>
        <v>0</v>
      </c>
      <c r="DN74" s="33" t="n">
        <f aca="false">DN20*SUMIF($J$7:DN$7,DN$7,$J73:DN73)</f>
        <v>0</v>
      </c>
      <c r="DO74" s="33" t="n">
        <f aca="false">DO20*SUMIF($J$7:DO$7,DO$7,$J73:DO73)</f>
        <v>0</v>
      </c>
      <c r="DP74" s="33" t="n">
        <f aca="false">DP20*SUMIF($J$7:DP$7,DP$7,$J73:DP73)</f>
        <v>0</v>
      </c>
      <c r="DQ74" s="33" t="n">
        <f aca="false">DQ20*SUMIF($J$7:DQ$7,DQ$7,$J73:DQ73)</f>
        <v>0</v>
      </c>
      <c r="DR74" s="33" t="n">
        <f aca="false">DR20*SUMIF($J$7:DR$7,DR$7,$J73:DR73)</f>
        <v>0</v>
      </c>
      <c r="DS74" s="33" t="n">
        <f aca="false">DS20*SUMIF($J$7:DS$7,DS$7,$J73:DS73)</f>
        <v>0</v>
      </c>
      <c r="DT74" s="33" t="n">
        <f aca="false">DT20*SUMIF($J$7:DT$7,DT$7,$J73:DT73)</f>
        <v>0</v>
      </c>
      <c r="DU74" s="33" t="n">
        <f aca="false">DU20*SUMIF($J$7:DU$7,DU$7,$J73:DU73)</f>
        <v>0</v>
      </c>
      <c r="DV74" s="33" t="n">
        <f aca="false">DV20*SUMIF($J$7:DV$7,DV$7,$J73:DV73)</f>
        <v>0</v>
      </c>
      <c r="DW74" s="33" t="n">
        <f aca="false">DW20*SUMIF($J$7:DW$7,DW$7,$J73:DW73)</f>
        <v>0</v>
      </c>
      <c r="DX74" s="33" t="n">
        <f aca="false">DX20*SUMIF($J$7:DX$7,DX$7,$J73:DX73)</f>
        <v>0</v>
      </c>
      <c r="DY74" s="33" t="n">
        <f aca="false">DY20*SUMIF($J$7:DY$7,DY$7,$J73:DY73)</f>
        <v>0</v>
      </c>
      <c r="DZ74" s="33" t="n">
        <f aca="false">DZ20*SUMIF($J$7:DZ$7,DZ$7,$J73:DZ73)</f>
        <v>0</v>
      </c>
      <c r="EA74" s="33" t="n">
        <f aca="false">EA20*SUMIF($J$7:EA$7,EA$7,$J73:EA73)</f>
        <v>0</v>
      </c>
      <c r="EB74" s="33" t="n">
        <f aca="false">EB20*SUMIF($J$7:EB$7,EB$7,$J73:EB73)</f>
        <v>0</v>
      </c>
      <c r="EC74" s="33" t="n">
        <f aca="false">EC20*SUMIF($J$7:EC$7,EC$7,$J73:EC73)</f>
        <v>0</v>
      </c>
      <c r="ED74" s="33" t="n">
        <f aca="false">ED20*SUMIF($J$7:ED$7,ED$7,$J73:ED73)</f>
        <v>0</v>
      </c>
      <c r="EE74" s="33" t="n">
        <f aca="false">EE20*SUMIF($J$7:EE$7,EE$7,$J73:EE73)</f>
        <v>0</v>
      </c>
      <c r="EF74" s="33" t="n">
        <f aca="false">EF20*SUMIF($J$7:EF$7,EF$7,$J73:EF73)</f>
        <v>0</v>
      </c>
      <c r="EG74" s="33" t="n">
        <f aca="false">EG20*SUMIF($J$7:EG$7,EG$7,$J73:EG73)</f>
        <v>0</v>
      </c>
      <c r="EH74" s="33" t="n">
        <f aca="false">EH20*SUMIF($J$7:EH$7,EH$7,$J73:EH73)</f>
        <v>0</v>
      </c>
      <c r="EI74" s="33" t="n">
        <f aca="false">EI20*SUMIF($J$7:EI$7,EI$7,$J73:EI73)</f>
        <v>0</v>
      </c>
      <c r="EJ74" s="33" t="n">
        <f aca="false">EJ20*SUMIF($J$7:EJ$7,EJ$7,$J73:EJ73)</f>
        <v>0</v>
      </c>
      <c r="EK74" s="33" t="n">
        <f aca="false">EK20*SUMIF($J$7:EK$7,EK$7,$J73:EK73)</f>
        <v>0</v>
      </c>
      <c r="EL74" s="33" t="n">
        <f aca="false">EL20*SUMIF($J$7:EL$7,EL$7,$J73:EL73)</f>
        <v>0</v>
      </c>
      <c r="EM74" s="33" t="n">
        <f aca="false">EM20*SUMIF($J$7:EM$7,EM$7,$J73:EM73)</f>
        <v>0</v>
      </c>
      <c r="EN74" s="33" t="n">
        <f aca="false">EN20*SUMIF($J$7:EN$7,EN$7,$J73:EN73)</f>
        <v>0</v>
      </c>
      <c r="EO74" s="33" t="n">
        <f aca="false">EO20*SUMIF($J$7:EO$7,EO$7,$J73:EO73)</f>
        <v>0</v>
      </c>
      <c r="EP74" s="33" t="n">
        <f aca="false">EP20*SUMIF($J$7:EP$7,EP$7,$J73:EP73)</f>
        <v>0</v>
      </c>
      <c r="EQ74" s="33" t="n">
        <f aca="false">EQ20*SUMIF($J$7:EQ$7,EQ$7,$J73:EQ73)</f>
        <v>0</v>
      </c>
      <c r="ER74" s="33" t="n">
        <f aca="false">ER20*SUMIF($J$7:ER$7,ER$7,$J73:ER73)</f>
        <v>0</v>
      </c>
      <c r="ES74" s="33" t="n">
        <f aca="false">ES20*SUMIF($J$7:ES$7,ES$7,$J73:ES73)</f>
        <v>0</v>
      </c>
      <c r="ET74" s="33" t="n">
        <f aca="false">ET20*SUMIF($J$7:ET$7,ET$7,$J73:ET73)</f>
        <v>0</v>
      </c>
    </row>
    <row r="75" customFormat="false" ht="15" hidden="false" customHeight="false" outlineLevel="0" collapsed="false">
      <c r="C75" s="0" t="s">
        <v>532</v>
      </c>
      <c r="D75" s="11" t="s">
        <v>247</v>
      </c>
      <c r="I75" s="54"/>
      <c r="J75" s="33" t="n">
        <f aca="false">J72+J74</f>
        <v>0</v>
      </c>
      <c r="K75" s="33" t="n">
        <f aca="false">K72+K74</f>
        <v>18.1640998311128</v>
      </c>
      <c r="L75" s="33" t="n">
        <f aca="false">L72+L74</f>
        <v>18.1640998311128</v>
      </c>
      <c r="M75" s="33" t="n">
        <f aca="false">M72+M74</f>
        <v>18.1640998311128</v>
      </c>
      <c r="N75" s="33" t="n">
        <f aca="false">N72+N74</f>
        <v>18.1640998311128</v>
      </c>
      <c r="O75" s="33" t="n">
        <f aca="false">O72+O74</f>
        <v>438.867644451117</v>
      </c>
      <c r="P75" s="33" t="n">
        <f aca="false">P72+P74</f>
        <v>438.867644451117</v>
      </c>
      <c r="Q75" s="33" t="n">
        <f aca="false">Q72+Q74</f>
        <v>438.867644451117</v>
      </c>
      <c r="R75" s="33" t="n">
        <f aca="false">R72+R74</f>
        <v>438.867644451117</v>
      </c>
      <c r="S75" s="33" t="n">
        <f aca="false">S72+S74</f>
        <v>886.035170946395</v>
      </c>
      <c r="T75" s="33" t="n">
        <f aca="false">T72+T74</f>
        <v>886.035170946395</v>
      </c>
      <c r="U75" s="33" t="n">
        <f aca="false">U72+U74</f>
        <v>886.035170946395</v>
      </c>
      <c r="V75" s="33" t="n">
        <f aca="false">V72+V74</f>
        <v>886.035170946395</v>
      </c>
      <c r="W75" s="33" t="n">
        <f aca="false">W72+W74</f>
        <v>1120.48016110676</v>
      </c>
      <c r="X75" s="33" t="n">
        <f aca="false">X72+X74</f>
        <v>1120.48016110676</v>
      </c>
      <c r="Y75" s="33" t="n">
        <f aca="false">Y72+Y74</f>
        <v>1120.48016110676</v>
      </c>
      <c r="Z75" s="33" t="n">
        <f aca="false">Z72+Z74</f>
        <v>1120.48016110676</v>
      </c>
      <c r="AA75" s="33" t="n">
        <f aca="false">AA72+AA74</f>
        <v>1607.3226694033</v>
      </c>
      <c r="AB75" s="33" t="n">
        <f aca="false">AB72+AB74</f>
        <v>1607.3226694033</v>
      </c>
      <c r="AC75" s="33" t="n">
        <f aca="false">AC72+AC74</f>
        <v>1607.3226694033</v>
      </c>
      <c r="AD75" s="33" t="n">
        <f aca="false">AD72+AD74</f>
        <v>1607.3226694033</v>
      </c>
      <c r="AE75" s="33" t="n">
        <f aca="false">AE72+AE74</f>
        <v>1993.30208050153</v>
      </c>
      <c r="AF75" s="33" t="n">
        <f aca="false">AF72+AF74</f>
        <v>1993.30208050153</v>
      </c>
      <c r="AG75" s="33" t="n">
        <f aca="false">AG72+AG74</f>
        <v>1993.30208050153</v>
      </c>
      <c r="AH75" s="33" t="n">
        <f aca="false">AH72+AH74</f>
        <v>1993.30208050153</v>
      </c>
      <c r="AI75" s="33" t="n">
        <f aca="false">AI72+AI74</f>
        <v>1993.30208050153</v>
      </c>
      <c r="AJ75" s="33" t="n">
        <f aca="false">AJ72+AJ74</f>
        <v>1993.30208050153</v>
      </c>
      <c r="AK75" s="33" t="n">
        <f aca="false">AK72+AK74</f>
        <v>1993.30208050153</v>
      </c>
      <c r="AL75" s="33" t="n">
        <f aca="false">AL72+AL74</f>
        <v>1993.30208050153</v>
      </c>
      <c r="AM75" s="33" t="n">
        <f aca="false">AM72+AM74</f>
        <v>1993.30208050153</v>
      </c>
      <c r="AN75" s="33" t="n">
        <f aca="false">AN72+AN74</f>
        <v>1993.30208050153</v>
      </c>
      <c r="AO75" s="33" t="n">
        <f aca="false">AO72+AO74</f>
        <v>1993.30208050153</v>
      </c>
      <c r="AP75" s="33" t="n">
        <f aca="false">AP72+AP74</f>
        <v>1993.30208050153</v>
      </c>
      <c r="AQ75" s="33" t="n">
        <f aca="false">AQ72+AQ74</f>
        <v>1993.30208050153</v>
      </c>
      <c r="AR75" s="33" t="n">
        <f aca="false">AR72+AR74</f>
        <v>1993.30208050153</v>
      </c>
      <c r="AS75" s="33" t="n">
        <f aca="false">AS72+AS74</f>
        <v>1993.30208050153</v>
      </c>
      <c r="AT75" s="33" t="n">
        <f aca="false">AT72+AT74</f>
        <v>1993.30208050153</v>
      </c>
      <c r="AU75" s="33" t="n">
        <f aca="false">AU72+AU74</f>
        <v>1993.30208050153</v>
      </c>
      <c r="AV75" s="33" t="n">
        <f aca="false">AV72+AV74</f>
        <v>1993.30208050153</v>
      </c>
      <c r="AW75" s="33" t="n">
        <f aca="false">AW72+AW74</f>
        <v>1993.30208050153</v>
      </c>
      <c r="AX75" s="33" t="n">
        <f aca="false">AX72+AX74</f>
        <v>1993.30208050153</v>
      </c>
      <c r="AY75" s="33" t="n">
        <f aca="false">AY72+AY74</f>
        <v>1993.30208050153</v>
      </c>
      <c r="AZ75" s="33" t="n">
        <f aca="false">AZ72+AZ74</f>
        <v>1993.30208050153</v>
      </c>
      <c r="BA75" s="33" t="n">
        <f aca="false">BA72+BA74</f>
        <v>1993.30208050153</v>
      </c>
      <c r="BB75" s="33" t="n">
        <f aca="false">BB72+BB74</f>
        <v>1993.30208050153</v>
      </c>
      <c r="BC75" s="33" t="n">
        <f aca="false">BC72+BC74</f>
        <v>1993.30208050153</v>
      </c>
      <c r="BD75" s="33" t="n">
        <f aca="false">BD72+BD74</f>
        <v>1993.30208050153</v>
      </c>
      <c r="BE75" s="33" t="n">
        <f aca="false">BE72+BE74</f>
        <v>1993.30208050153</v>
      </c>
      <c r="BF75" s="33" t="n">
        <f aca="false">BF72+BF74</f>
        <v>1993.30208050153</v>
      </c>
      <c r="BG75" s="33" t="n">
        <f aca="false">BG72+BG74</f>
        <v>1993.30208050153</v>
      </c>
      <c r="BH75" s="33" t="n">
        <f aca="false">BH72+BH74</f>
        <v>1993.30208050153</v>
      </c>
      <c r="BI75" s="33" t="n">
        <f aca="false">BI72+BI74</f>
        <v>1993.30208050153</v>
      </c>
      <c r="BJ75" s="33" t="n">
        <f aca="false">BJ72+BJ74</f>
        <v>1993.30208050153</v>
      </c>
      <c r="BK75" s="33" t="n">
        <f aca="false">BK72+BK74</f>
        <v>1993.30208050153</v>
      </c>
      <c r="BL75" s="33" t="n">
        <f aca="false">BL72+BL74</f>
        <v>1993.30208050153</v>
      </c>
      <c r="BM75" s="33" t="n">
        <f aca="false">BM72+BM74</f>
        <v>1993.30208050153</v>
      </c>
      <c r="BN75" s="33" t="n">
        <f aca="false">BN72+BN74</f>
        <v>1993.30208050153</v>
      </c>
      <c r="BO75" s="33" t="n">
        <f aca="false">BO72+BO74</f>
        <v>1993.30208050153</v>
      </c>
      <c r="BP75" s="33" t="n">
        <f aca="false">BP72+BP74</f>
        <v>1993.30208050153</v>
      </c>
      <c r="BQ75" s="33" t="n">
        <f aca="false">BQ72+BQ74</f>
        <v>1993.30208050153</v>
      </c>
      <c r="BR75" s="33" t="n">
        <f aca="false">BR72+BR74</f>
        <v>1993.30208050153</v>
      </c>
      <c r="BS75" s="33" t="n">
        <f aca="false">BS72+BS74</f>
        <v>1993.30208050153</v>
      </c>
      <c r="BT75" s="33" t="n">
        <f aca="false">BT72+BT74</f>
        <v>1993.30208050153</v>
      </c>
      <c r="BU75" s="33" t="n">
        <f aca="false">BU72+BU74</f>
        <v>1993.30208050153</v>
      </c>
      <c r="BV75" s="33" t="n">
        <f aca="false">BV72+BV74</f>
        <v>1993.30208050153</v>
      </c>
      <c r="BW75" s="33" t="n">
        <f aca="false">BW72+BW74</f>
        <v>1993.30208050153</v>
      </c>
      <c r="BX75" s="33" t="n">
        <f aca="false">BX72+BX74</f>
        <v>1993.30208050153</v>
      </c>
      <c r="BY75" s="33" t="n">
        <f aca="false">BY72+BY74</f>
        <v>1993.30208050153</v>
      </c>
      <c r="BZ75" s="33" t="n">
        <f aca="false">BZ72+BZ74</f>
        <v>1993.30208050153</v>
      </c>
      <c r="CA75" s="33" t="n">
        <f aca="false">CA72+CA74</f>
        <v>1993.30208050153</v>
      </c>
      <c r="CB75" s="33" t="n">
        <f aca="false">CB72+CB74</f>
        <v>1993.30208050153</v>
      </c>
      <c r="CC75" s="33" t="n">
        <f aca="false">CC72+CC74</f>
        <v>1993.30208050153</v>
      </c>
      <c r="CD75" s="33" t="n">
        <f aca="false">CD72+CD74</f>
        <v>1993.30208050153</v>
      </c>
      <c r="CE75" s="33" t="n">
        <f aca="false">CE72+CE74</f>
        <v>1993.30208050153</v>
      </c>
      <c r="CF75" s="33" t="n">
        <f aca="false">CF72+CF74</f>
        <v>1993.30208050153</v>
      </c>
      <c r="CG75" s="33" t="n">
        <f aca="false">CG72+CG74</f>
        <v>1993.30208050153</v>
      </c>
      <c r="CH75" s="33" t="n">
        <f aca="false">CH72+CH74</f>
        <v>1993.30208050153</v>
      </c>
      <c r="CI75" s="33" t="n">
        <f aca="false">CI72+CI74</f>
        <v>1993.30208050153</v>
      </c>
      <c r="CJ75" s="33" t="n">
        <f aca="false">CJ72+CJ74</f>
        <v>1993.30208050153</v>
      </c>
      <c r="CK75" s="33" t="n">
        <f aca="false">CK72+CK74</f>
        <v>1993.30208050153</v>
      </c>
      <c r="CL75" s="33" t="n">
        <f aca="false">CL72+CL74</f>
        <v>1993.30208050153</v>
      </c>
      <c r="CM75" s="33" t="n">
        <f aca="false">CM72+CM74</f>
        <v>1993.30208050153</v>
      </c>
      <c r="CN75" s="33" t="n">
        <f aca="false">CN72+CN74</f>
        <v>1993.30208050153</v>
      </c>
      <c r="CO75" s="33" t="n">
        <f aca="false">CO72+CO74</f>
        <v>1993.30208050153</v>
      </c>
      <c r="CP75" s="33" t="n">
        <f aca="false">CP72+CP74</f>
        <v>1993.30208050153</v>
      </c>
      <c r="CQ75" s="33" t="n">
        <f aca="false">CQ72+CQ74</f>
        <v>1993.30208050153</v>
      </c>
      <c r="CR75" s="33" t="n">
        <f aca="false">CR72+CR74</f>
        <v>1993.30208050153</v>
      </c>
      <c r="CS75" s="33" t="n">
        <f aca="false">CS72+CS74</f>
        <v>1993.30208050153</v>
      </c>
      <c r="CT75" s="33" t="n">
        <f aca="false">CT72+CT74</f>
        <v>1993.30208050153</v>
      </c>
      <c r="CU75" s="33" t="n">
        <f aca="false">CU72+CU74</f>
        <v>1993.30208050153</v>
      </c>
      <c r="CV75" s="33" t="n">
        <f aca="false">CV72+CV74</f>
        <v>1993.30208050153</v>
      </c>
      <c r="CW75" s="33" t="n">
        <f aca="false">CW72+CW74</f>
        <v>1993.30208050153</v>
      </c>
      <c r="CX75" s="33" t="n">
        <f aca="false">CX72+CX74</f>
        <v>1993.30208050153</v>
      </c>
      <c r="CY75" s="33" t="n">
        <f aca="false">CY72+CY74</f>
        <v>1993.30208050153</v>
      </c>
      <c r="CZ75" s="33" t="n">
        <f aca="false">CZ72+CZ74</f>
        <v>1993.30208050153</v>
      </c>
      <c r="DA75" s="33" t="n">
        <f aca="false">DA72+DA74</f>
        <v>1993.30208050153</v>
      </c>
      <c r="DB75" s="33" t="n">
        <f aca="false">DB72+DB74</f>
        <v>1993.30208050153</v>
      </c>
      <c r="DC75" s="33" t="n">
        <f aca="false">DC72+DC74</f>
        <v>1993.30208050153</v>
      </c>
      <c r="DD75" s="33" t="n">
        <f aca="false">DD72+DD74</f>
        <v>1993.30208050153</v>
      </c>
      <c r="DE75" s="33" t="n">
        <f aca="false">DE72+DE74</f>
        <v>1993.30208050153</v>
      </c>
      <c r="DF75" s="33" t="n">
        <f aca="false">DF72+DF74</f>
        <v>1993.30208050153</v>
      </c>
      <c r="DG75" s="33" t="n">
        <f aca="false">DG72+DG74</f>
        <v>1993.30208050153</v>
      </c>
      <c r="DH75" s="33" t="n">
        <f aca="false">DH72+DH74</f>
        <v>1993.30208050153</v>
      </c>
      <c r="DI75" s="33" t="n">
        <f aca="false">DI72+DI74</f>
        <v>1993.30208050153</v>
      </c>
      <c r="DJ75" s="33" t="n">
        <f aca="false">DJ72+DJ74</f>
        <v>1993.30208050153</v>
      </c>
      <c r="DK75" s="33" t="n">
        <f aca="false">DK72+DK74</f>
        <v>1993.30208050153</v>
      </c>
      <c r="DL75" s="33" t="n">
        <f aca="false">DL72+DL74</f>
        <v>1993.30208050153</v>
      </c>
      <c r="DM75" s="33" t="n">
        <f aca="false">DM72+DM74</f>
        <v>1993.30208050153</v>
      </c>
      <c r="DN75" s="33" t="n">
        <f aca="false">DN72+DN74</f>
        <v>1993.30208050153</v>
      </c>
      <c r="DO75" s="33" t="n">
        <f aca="false">DO72+DO74</f>
        <v>1993.30208050153</v>
      </c>
      <c r="DP75" s="33" t="n">
        <f aca="false">DP72+DP74</f>
        <v>1993.30208050153</v>
      </c>
      <c r="DQ75" s="33" t="n">
        <f aca="false">DQ72+DQ74</f>
        <v>1993.30208050153</v>
      </c>
      <c r="DR75" s="33" t="n">
        <f aca="false">DR72+DR74</f>
        <v>1993.30208050153</v>
      </c>
      <c r="DS75" s="33" t="n">
        <f aca="false">DS72+DS74</f>
        <v>1993.30208050153</v>
      </c>
      <c r="DT75" s="33" t="n">
        <f aca="false">DT72+DT74</f>
        <v>1993.30208050153</v>
      </c>
      <c r="DU75" s="33" t="n">
        <f aca="false">DU72+DU74</f>
        <v>1993.30208050153</v>
      </c>
      <c r="DV75" s="33" t="n">
        <f aca="false">DV72+DV74</f>
        <v>1993.30208050153</v>
      </c>
      <c r="DW75" s="33" t="n">
        <f aca="false">DW72+DW74</f>
        <v>1993.30208050153</v>
      </c>
      <c r="DX75" s="33" t="n">
        <f aca="false">DX72+DX74</f>
        <v>1993.30208050153</v>
      </c>
      <c r="DY75" s="33" t="n">
        <f aca="false">DY72+DY74</f>
        <v>1993.30208050153</v>
      </c>
      <c r="DZ75" s="33" t="n">
        <f aca="false">DZ72+DZ74</f>
        <v>1993.30208050153</v>
      </c>
      <c r="EA75" s="33" t="n">
        <f aca="false">EA72+EA74</f>
        <v>1993.30208050153</v>
      </c>
      <c r="EB75" s="33" t="n">
        <f aca="false">EB72+EB74</f>
        <v>1993.30208050153</v>
      </c>
      <c r="EC75" s="33" t="n">
        <f aca="false">EC72+EC74</f>
        <v>1993.30208050153</v>
      </c>
      <c r="ED75" s="33" t="n">
        <f aca="false">ED72+ED74</f>
        <v>1993.30208050153</v>
      </c>
      <c r="EE75" s="33" t="n">
        <f aca="false">EE72+EE74</f>
        <v>1993.30208050153</v>
      </c>
      <c r="EF75" s="33" t="n">
        <f aca="false">EF72+EF74</f>
        <v>1993.30208050153</v>
      </c>
      <c r="EG75" s="33" t="n">
        <f aca="false">EG72+EG74</f>
        <v>1993.30208050153</v>
      </c>
      <c r="EH75" s="33" t="n">
        <f aca="false">EH72+EH74</f>
        <v>1993.30208050153</v>
      </c>
      <c r="EI75" s="33" t="n">
        <f aca="false">EI72+EI74</f>
        <v>1993.30208050153</v>
      </c>
      <c r="EJ75" s="33" t="n">
        <f aca="false">EJ72+EJ74</f>
        <v>1993.30208050153</v>
      </c>
      <c r="EK75" s="33" t="n">
        <f aca="false">EK72+EK74</f>
        <v>1993.30208050153</v>
      </c>
      <c r="EL75" s="33" t="n">
        <f aca="false">EL72+EL74</f>
        <v>1993.30208050153</v>
      </c>
      <c r="EM75" s="33" t="n">
        <f aca="false">EM72+EM74</f>
        <v>1993.30208050153</v>
      </c>
      <c r="EN75" s="33" t="n">
        <f aca="false">EN72+EN74</f>
        <v>1993.30208050153</v>
      </c>
      <c r="EO75" s="33" t="n">
        <f aca="false">EO72+EO74</f>
        <v>1993.30208050153</v>
      </c>
      <c r="EP75" s="33" t="n">
        <f aca="false">EP72+EP74</f>
        <v>1993.30208050153</v>
      </c>
      <c r="EQ75" s="33" t="n">
        <f aca="false">EQ72+EQ74</f>
        <v>1993.30208050153</v>
      </c>
      <c r="ER75" s="33" t="n">
        <f aca="false">ER72+ER74</f>
        <v>1993.30208050153</v>
      </c>
      <c r="ES75" s="33" t="n">
        <f aca="false">ES72+ES74</f>
        <v>1993.30208050153</v>
      </c>
      <c r="ET75" s="33" t="n">
        <f aca="false">ET72+ET74</f>
        <v>1993.30208050153</v>
      </c>
    </row>
    <row r="76" customFormat="false" ht="15" hidden="false" customHeight="false" outlineLevel="0" collapsed="false">
      <c r="A76" s="55"/>
      <c r="B76" s="55"/>
      <c r="C76" s="55" t="s">
        <v>533</v>
      </c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55"/>
      <c r="BK76" s="55"/>
      <c r="BL76" s="55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55"/>
      <c r="CO76" s="55"/>
      <c r="CP76" s="55"/>
      <c r="CQ76" s="55"/>
      <c r="CR76" s="55"/>
      <c r="CS76" s="55"/>
      <c r="CT76" s="55"/>
      <c r="CU76" s="55"/>
      <c r="CV76" s="55"/>
      <c r="CW76" s="55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55"/>
      <c r="DK76" s="55"/>
      <c r="DL76" s="55"/>
      <c r="DM76" s="55"/>
      <c r="DN76" s="55"/>
      <c r="DO76" s="55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55"/>
      <c r="EB76" s="55"/>
      <c r="EC76" s="55"/>
      <c r="ED76" s="55"/>
      <c r="EE76" s="55"/>
      <c r="EF76" s="55"/>
      <c r="EG76" s="55"/>
      <c r="EH76" s="55"/>
      <c r="EI76" s="55"/>
      <c r="EJ76" s="55"/>
      <c r="EK76" s="55"/>
      <c r="EL76" s="55"/>
      <c r="EM76" s="55"/>
      <c r="EN76" s="55"/>
      <c r="EO76" s="55"/>
      <c r="EP76" s="55"/>
      <c r="EQ76" s="55"/>
      <c r="ER76" s="55"/>
      <c r="ES76" s="55"/>
      <c r="ET76" s="55"/>
    </row>
    <row r="77" customFormat="false" ht="15" hidden="false" customHeight="false" outlineLevel="0" collapsed="false">
      <c r="C77" s="0" t="s">
        <v>525</v>
      </c>
      <c r="D77" s="11" t="s">
        <v>205</v>
      </c>
      <c r="J77" s="56" t="n">
        <f aca="false">SUMPRODUCT(Devex_Keur*Devex_Date*(Devex_Date&gt;=J$3)*(Devex_Date&lt;=J$4))-J56*$F56</f>
        <v>0</v>
      </c>
      <c r="K77" s="56" t="n">
        <f aca="false">SUMPRODUCT(Devex_Keur*Devex_Date*(Devex_Date&gt;=K$3)*(Devex_Date&lt;=K$4))-K56*$F56</f>
        <v>8264787.28767123</v>
      </c>
      <c r="L77" s="56" t="n">
        <f aca="false">SUMPRODUCT(Devex_Keur*Devex_Date*(Devex_Date&gt;=L$3)*(Devex_Date&lt;=L$4))-L56*$F56</f>
        <v>27328011.4239726</v>
      </c>
      <c r="M77" s="56" t="n">
        <f aca="false">SUMPRODUCT(Devex_Keur*Devex_Date*(Devex_Date&gt;=M$3)*(Devex_Date&lt;=M$4))-M56*$F56</f>
        <v>2041249.31506849</v>
      </c>
      <c r="N77" s="56" t="n">
        <f aca="false">SUMPRODUCT(Devex_Keur*Devex_Date*(Devex_Date&gt;=N$3)*(Devex_Date&lt;=N$4))-N56*$F56</f>
        <v>2042564.38356164</v>
      </c>
      <c r="O77" s="56" t="n">
        <f aca="false">SUMPRODUCT(Devex_Keur*Devex_Date*(Devex_Date&gt;=O$3)*(Devex_Date&lt;=O$4))-O56*$F56</f>
        <v>8617904.08767123</v>
      </c>
      <c r="P77" s="56" t="n">
        <f aca="false">SUMPRODUCT(Devex_Keur*Devex_Date*(Devex_Date&gt;=P$3)*(Devex_Date&lt;=P$4))-P56*$F56</f>
        <v>60359659.8456807</v>
      </c>
      <c r="Q77" s="56" t="n">
        <f aca="false">SUMPRODUCT(Devex_Keur*Devex_Date*(Devex_Date&gt;=Q$3)*(Devex_Date&lt;=Q$4))-Q56*$F56</f>
        <v>216330.547945205</v>
      </c>
      <c r="R77" s="56" t="n">
        <f aca="false">SUMPRODUCT(Devex_Keur*Devex_Date*(Devex_Date&gt;=R$3)*(Devex_Date&lt;=R$4))-R56*$F56</f>
        <v>7708362.7728407</v>
      </c>
      <c r="S77" s="56" t="n">
        <f aca="false">SUMPRODUCT(Devex_Keur*Devex_Date*(Devex_Date&gt;=S$3)*(Devex_Date&lt;=S$4))-S56*$F56</f>
        <v>14945351.6140951</v>
      </c>
      <c r="T77" s="56" t="n">
        <f aca="false">SUMPRODUCT(Devex_Keur*Devex_Date*(Devex_Date&gt;=T$3)*(Devex_Date&lt;=T$4))-T56*$F56</f>
        <v>14376030.6849315</v>
      </c>
      <c r="U77" s="56" t="n">
        <f aca="false">SUMPRODUCT(Devex_Keur*Devex_Date*(Devex_Date&gt;=U$3)*(Devex_Date&lt;=U$4))-U56*$F56</f>
        <v>0</v>
      </c>
      <c r="V77" s="56" t="n">
        <f aca="false">SUMPRODUCT(Devex_Keur*Devex_Date*(Devex_Date&gt;=V$3)*(Devex_Date&lt;=V$4))-V56*$F56</f>
        <v>0</v>
      </c>
      <c r="W77" s="56" t="n">
        <f aca="false">SUMPRODUCT(Devex_Keur*Devex_Date*(Devex_Date&gt;=W$3)*(Devex_Date&lt;=W$4))-W56*$F56</f>
        <v>0</v>
      </c>
      <c r="X77" s="56" t="n">
        <f aca="false">SUMPRODUCT(Devex_Keur*Devex_Date*(Devex_Date&gt;=X$3)*(Devex_Date&lt;=X$4))-X56*$F56</f>
        <v>0</v>
      </c>
      <c r="Y77" s="56" t="n">
        <f aca="false">SUMPRODUCT(Devex_Keur*Devex_Date*(Devex_Date&gt;=Y$3)*(Devex_Date&lt;=Y$4))-Y56*$F56</f>
        <v>0</v>
      </c>
      <c r="Z77" s="56" t="n">
        <f aca="false">SUMPRODUCT(Devex_Keur*Devex_Date*(Devex_Date&gt;=Z$3)*(Devex_Date&lt;=Z$4))-Z56*$F56</f>
        <v>0</v>
      </c>
      <c r="AA77" s="56" t="n">
        <f aca="false">SUMPRODUCT(Devex_Keur*Devex_Date*(Devex_Date&gt;=AA$3)*(Devex_Date&lt;=AA$4))-AA56*$F56</f>
        <v>0</v>
      </c>
      <c r="AB77" s="56" t="n">
        <f aca="false">SUMPRODUCT(Devex_Keur*Devex_Date*(Devex_Date&gt;=AB$3)*(Devex_Date&lt;=AB$4))-AB56*$F56</f>
        <v>0</v>
      </c>
      <c r="AC77" s="56" t="n">
        <f aca="false">SUMPRODUCT(Devex_Keur*Devex_Date*(Devex_Date&gt;=AC$3)*(Devex_Date&lt;=AC$4))-AC56*$F56</f>
        <v>0</v>
      </c>
      <c r="AD77" s="56" t="n">
        <f aca="false">SUMPRODUCT(Devex_Keur*Devex_Date*(Devex_Date&gt;=AD$3)*(Devex_Date&lt;=AD$4))-AD56*$F56</f>
        <v>0</v>
      </c>
      <c r="AE77" s="56" t="n">
        <f aca="false">SUMPRODUCT(Devex_Keur*Devex_Date*(Devex_Date&gt;=AE$3)*(Devex_Date&lt;=AE$4))-AE56*$F56</f>
        <v>0</v>
      </c>
      <c r="AF77" s="56" t="n">
        <f aca="false">SUMPRODUCT(Devex_Keur*Devex_Date*(Devex_Date&gt;=AF$3)*(Devex_Date&lt;=AF$4))-AF56*$F56</f>
        <v>0</v>
      </c>
      <c r="AG77" s="56" t="n">
        <f aca="false">SUMPRODUCT(Devex_Keur*Devex_Date*(Devex_Date&gt;=AG$3)*(Devex_Date&lt;=AG$4))-AG56*$F56</f>
        <v>0</v>
      </c>
      <c r="AH77" s="56" t="n">
        <f aca="false">SUMPRODUCT(Devex_Keur*Devex_Date*(Devex_Date&gt;=AH$3)*(Devex_Date&lt;=AH$4))-AH56*$F56</f>
        <v>0</v>
      </c>
      <c r="AI77" s="56" t="n">
        <f aca="false">SUMPRODUCT(Devex_Keur*Devex_Date*(Devex_Date&gt;=AI$3)*(Devex_Date&lt;=AI$4))-AI56*$F56</f>
        <v>0</v>
      </c>
      <c r="AJ77" s="56" t="n">
        <f aca="false">SUMPRODUCT(Devex_Keur*Devex_Date*(Devex_Date&gt;=AJ$3)*(Devex_Date&lt;=AJ$4))-AJ56*$F56</f>
        <v>0</v>
      </c>
      <c r="AK77" s="56" t="n">
        <f aca="false">SUMPRODUCT(Devex_Keur*Devex_Date*(Devex_Date&gt;=AK$3)*(Devex_Date&lt;=AK$4))-AK56*$F56</f>
        <v>0</v>
      </c>
      <c r="AL77" s="56" t="n">
        <f aca="false">SUMPRODUCT(Devex_Keur*Devex_Date*(Devex_Date&gt;=AL$3)*(Devex_Date&lt;=AL$4))-AL56*$F56</f>
        <v>0</v>
      </c>
      <c r="AM77" s="56" t="n">
        <f aca="false">SUMPRODUCT(Devex_Keur*Devex_Date*(Devex_Date&gt;=AM$3)*(Devex_Date&lt;=AM$4))-AM56*$F56</f>
        <v>0</v>
      </c>
      <c r="AN77" s="56" t="n">
        <f aca="false">SUMPRODUCT(Devex_Keur*Devex_Date*(Devex_Date&gt;=AN$3)*(Devex_Date&lt;=AN$4))-AN56*$F56</f>
        <v>0</v>
      </c>
      <c r="AO77" s="56" t="n">
        <f aca="false">SUMPRODUCT(Devex_Keur*Devex_Date*(Devex_Date&gt;=AO$3)*(Devex_Date&lt;=AO$4))-AO56*$F56</f>
        <v>0</v>
      </c>
      <c r="AP77" s="56" t="n">
        <f aca="false">SUMPRODUCT(Devex_Keur*Devex_Date*(Devex_Date&gt;=AP$3)*(Devex_Date&lt;=AP$4))-AP56*$F56</f>
        <v>0</v>
      </c>
      <c r="AQ77" s="56" t="n">
        <f aca="false">SUMPRODUCT(Devex_Keur*Devex_Date*(Devex_Date&gt;=AQ$3)*(Devex_Date&lt;=AQ$4))-AQ56*$F56</f>
        <v>0</v>
      </c>
      <c r="AR77" s="56" t="n">
        <f aca="false">SUMPRODUCT(Devex_Keur*Devex_Date*(Devex_Date&gt;=AR$3)*(Devex_Date&lt;=AR$4))-AR56*$F56</f>
        <v>0</v>
      </c>
      <c r="AS77" s="56" t="n">
        <f aca="false">SUMPRODUCT(Devex_Keur*Devex_Date*(Devex_Date&gt;=AS$3)*(Devex_Date&lt;=AS$4))-AS56*$F56</f>
        <v>0</v>
      </c>
      <c r="AT77" s="56" t="n">
        <f aca="false">SUMPRODUCT(Devex_Keur*Devex_Date*(Devex_Date&gt;=AT$3)*(Devex_Date&lt;=AT$4))-AT56*$F56</f>
        <v>0</v>
      </c>
      <c r="AU77" s="56" t="n">
        <f aca="false">SUMPRODUCT(Devex_Keur*Devex_Date*(Devex_Date&gt;=AU$3)*(Devex_Date&lt;=AU$4))-AU56*$F56</f>
        <v>0</v>
      </c>
      <c r="AV77" s="56" t="n">
        <f aca="false">SUMPRODUCT(Devex_Keur*Devex_Date*(Devex_Date&gt;=AV$3)*(Devex_Date&lt;=AV$4))-AV56*$F56</f>
        <v>0</v>
      </c>
      <c r="AW77" s="56" t="n">
        <f aca="false">SUMPRODUCT(Devex_Keur*Devex_Date*(Devex_Date&gt;=AW$3)*(Devex_Date&lt;=AW$4))-AW56*$F56</f>
        <v>0</v>
      </c>
      <c r="AX77" s="56" t="n">
        <f aca="false">SUMPRODUCT(Devex_Keur*Devex_Date*(Devex_Date&gt;=AX$3)*(Devex_Date&lt;=AX$4))-AX56*$F56</f>
        <v>0</v>
      </c>
      <c r="AY77" s="56" t="n">
        <f aca="false">SUMPRODUCT(Devex_Keur*Devex_Date*(Devex_Date&gt;=AY$3)*(Devex_Date&lt;=AY$4))-AY56*$F56</f>
        <v>0</v>
      </c>
      <c r="AZ77" s="56" t="n">
        <f aca="false">SUMPRODUCT(Devex_Keur*Devex_Date*(Devex_Date&gt;=AZ$3)*(Devex_Date&lt;=AZ$4))-AZ56*$F56</f>
        <v>0</v>
      </c>
      <c r="BA77" s="56" t="n">
        <f aca="false">SUMPRODUCT(Devex_Keur*Devex_Date*(Devex_Date&gt;=BA$3)*(Devex_Date&lt;=BA$4))-BA56*$F56</f>
        <v>0</v>
      </c>
      <c r="BB77" s="56" t="n">
        <f aca="false">SUMPRODUCT(Devex_Keur*Devex_Date*(Devex_Date&gt;=BB$3)*(Devex_Date&lt;=BB$4))-BB56*$F56</f>
        <v>0</v>
      </c>
      <c r="BC77" s="56" t="n">
        <f aca="false">SUMPRODUCT(Devex_Keur*Devex_Date*(Devex_Date&gt;=BC$3)*(Devex_Date&lt;=BC$4))-BC56*$F56</f>
        <v>0</v>
      </c>
      <c r="BD77" s="56" t="n">
        <f aca="false">SUMPRODUCT(Devex_Keur*Devex_Date*(Devex_Date&gt;=BD$3)*(Devex_Date&lt;=BD$4))-BD56*$F56</f>
        <v>0</v>
      </c>
      <c r="BE77" s="56" t="n">
        <f aca="false">SUMPRODUCT(Devex_Keur*Devex_Date*(Devex_Date&gt;=BE$3)*(Devex_Date&lt;=BE$4))-BE56*$F56</f>
        <v>0</v>
      </c>
      <c r="BF77" s="56" t="n">
        <f aca="false">SUMPRODUCT(Devex_Keur*Devex_Date*(Devex_Date&gt;=BF$3)*(Devex_Date&lt;=BF$4))-BF56*$F56</f>
        <v>0</v>
      </c>
      <c r="BG77" s="56" t="n">
        <f aca="false">SUMPRODUCT(Devex_Keur*Devex_Date*(Devex_Date&gt;=BG$3)*(Devex_Date&lt;=BG$4))-BG56*$F56</f>
        <v>0</v>
      </c>
      <c r="BH77" s="56" t="n">
        <f aca="false">SUMPRODUCT(Devex_Keur*Devex_Date*(Devex_Date&gt;=BH$3)*(Devex_Date&lt;=BH$4))-BH56*$F56</f>
        <v>0</v>
      </c>
      <c r="BI77" s="56" t="n">
        <f aca="false">SUMPRODUCT(Devex_Keur*Devex_Date*(Devex_Date&gt;=BI$3)*(Devex_Date&lt;=BI$4))-BI56*$F56</f>
        <v>0</v>
      </c>
      <c r="BJ77" s="56" t="n">
        <f aca="false">SUMPRODUCT(Devex_Keur*Devex_Date*(Devex_Date&gt;=BJ$3)*(Devex_Date&lt;=BJ$4))-BJ56*$F56</f>
        <v>0</v>
      </c>
      <c r="BK77" s="56" t="n">
        <f aca="false">SUMPRODUCT(Devex_Keur*Devex_Date*(Devex_Date&gt;=BK$3)*(Devex_Date&lt;=BK$4))-BK56*$F56</f>
        <v>0</v>
      </c>
      <c r="BL77" s="56" t="n">
        <f aca="false">SUMPRODUCT(Devex_Keur*Devex_Date*(Devex_Date&gt;=BL$3)*(Devex_Date&lt;=BL$4))-BL56*$F56</f>
        <v>0</v>
      </c>
      <c r="BM77" s="56" t="n">
        <f aca="false">SUMPRODUCT(Devex_Keur*Devex_Date*(Devex_Date&gt;=BM$3)*(Devex_Date&lt;=BM$4))-BM56*$F56</f>
        <v>0</v>
      </c>
      <c r="BN77" s="56" t="n">
        <f aca="false">SUMPRODUCT(Devex_Keur*Devex_Date*(Devex_Date&gt;=BN$3)*(Devex_Date&lt;=BN$4))-BN56*$F56</f>
        <v>0</v>
      </c>
      <c r="BO77" s="56" t="n">
        <f aca="false">SUMPRODUCT(Devex_Keur*Devex_Date*(Devex_Date&gt;=BO$3)*(Devex_Date&lt;=BO$4))-BO56*$F56</f>
        <v>0</v>
      </c>
      <c r="BP77" s="56" t="n">
        <f aca="false">SUMPRODUCT(Devex_Keur*Devex_Date*(Devex_Date&gt;=BP$3)*(Devex_Date&lt;=BP$4))-BP56*$F56</f>
        <v>0</v>
      </c>
      <c r="BQ77" s="56" t="n">
        <f aca="false">SUMPRODUCT(Devex_Keur*Devex_Date*(Devex_Date&gt;=BQ$3)*(Devex_Date&lt;=BQ$4))-BQ56*$F56</f>
        <v>0</v>
      </c>
      <c r="BR77" s="56" t="n">
        <f aca="false">SUMPRODUCT(Devex_Keur*Devex_Date*(Devex_Date&gt;=BR$3)*(Devex_Date&lt;=BR$4))-BR56*$F56</f>
        <v>0</v>
      </c>
      <c r="BS77" s="56" t="n">
        <f aca="false">SUMPRODUCT(Devex_Keur*Devex_Date*(Devex_Date&gt;=BS$3)*(Devex_Date&lt;=BS$4))-BS56*$F56</f>
        <v>0</v>
      </c>
      <c r="BT77" s="56" t="n">
        <f aca="false">SUMPRODUCT(Devex_Keur*Devex_Date*(Devex_Date&gt;=BT$3)*(Devex_Date&lt;=BT$4))-BT56*$F56</f>
        <v>0</v>
      </c>
      <c r="BU77" s="56" t="n">
        <f aca="false">SUMPRODUCT(Devex_Keur*Devex_Date*(Devex_Date&gt;=BU$3)*(Devex_Date&lt;=BU$4))-BU56*$F56</f>
        <v>0</v>
      </c>
      <c r="BV77" s="56" t="n">
        <f aca="false">SUMPRODUCT(Devex_Keur*Devex_Date*(Devex_Date&gt;=BV$3)*(Devex_Date&lt;=BV$4))-BV56*$F56</f>
        <v>0</v>
      </c>
      <c r="BW77" s="56" t="n">
        <f aca="false">SUMPRODUCT(Devex_Keur*Devex_Date*(Devex_Date&gt;=BW$3)*(Devex_Date&lt;=BW$4))-BW56*$F56</f>
        <v>0</v>
      </c>
      <c r="BX77" s="56" t="n">
        <f aca="false">SUMPRODUCT(Devex_Keur*Devex_Date*(Devex_Date&gt;=BX$3)*(Devex_Date&lt;=BX$4))-BX56*$F56</f>
        <v>0</v>
      </c>
      <c r="BY77" s="56" t="n">
        <f aca="false">SUMPRODUCT(Devex_Keur*Devex_Date*(Devex_Date&gt;=BY$3)*(Devex_Date&lt;=BY$4))-BY56*$F56</f>
        <v>0</v>
      </c>
      <c r="BZ77" s="56" t="n">
        <f aca="false">SUMPRODUCT(Devex_Keur*Devex_Date*(Devex_Date&gt;=BZ$3)*(Devex_Date&lt;=BZ$4))-BZ56*$F56</f>
        <v>0</v>
      </c>
      <c r="CA77" s="56" t="n">
        <f aca="false">SUMPRODUCT(Devex_Keur*Devex_Date*(Devex_Date&gt;=CA$3)*(Devex_Date&lt;=CA$4))-CA56*$F56</f>
        <v>0</v>
      </c>
      <c r="CB77" s="56" t="n">
        <f aca="false">SUMPRODUCT(Devex_Keur*Devex_Date*(Devex_Date&gt;=CB$3)*(Devex_Date&lt;=CB$4))-CB56*$F56</f>
        <v>0</v>
      </c>
      <c r="CC77" s="56" t="n">
        <f aca="false">SUMPRODUCT(Devex_Keur*Devex_Date*(Devex_Date&gt;=CC$3)*(Devex_Date&lt;=CC$4))-CC56*$F56</f>
        <v>0</v>
      </c>
      <c r="CD77" s="56" t="n">
        <f aca="false">SUMPRODUCT(Devex_Keur*Devex_Date*(Devex_Date&gt;=CD$3)*(Devex_Date&lt;=CD$4))-CD56*$F56</f>
        <v>0</v>
      </c>
      <c r="CE77" s="56" t="n">
        <f aca="false">SUMPRODUCT(Devex_Keur*Devex_Date*(Devex_Date&gt;=CE$3)*(Devex_Date&lt;=CE$4))-CE56*$F56</f>
        <v>0</v>
      </c>
      <c r="CF77" s="56" t="n">
        <f aca="false">SUMPRODUCT(Devex_Keur*Devex_Date*(Devex_Date&gt;=CF$3)*(Devex_Date&lt;=CF$4))-CF56*$F56</f>
        <v>0</v>
      </c>
      <c r="CG77" s="56" t="n">
        <f aca="false">SUMPRODUCT(Devex_Keur*Devex_Date*(Devex_Date&gt;=CG$3)*(Devex_Date&lt;=CG$4))-CG56*$F56</f>
        <v>0</v>
      </c>
      <c r="CH77" s="56" t="n">
        <f aca="false">SUMPRODUCT(Devex_Keur*Devex_Date*(Devex_Date&gt;=CH$3)*(Devex_Date&lt;=CH$4))-CH56*$F56</f>
        <v>0</v>
      </c>
      <c r="CI77" s="56" t="n">
        <f aca="false">SUMPRODUCT(Devex_Keur*Devex_Date*(Devex_Date&gt;=CI$3)*(Devex_Date&lt;=CI$4))-CI56*$F56</f>
        <v>0</v>
      </c>
      <c r="CJ77" s="56" t="n">
        <f aca="false">SUMPRODUCT(Devex_Keur*Devex_Date*(Devex_Date&gt;=CJ$3)*(Devex_Date&lt;=CJ$4))-CJ56*$F56</f>
        <v>0</v>
      </c>
      <c r="CK77" s="56" t="n">
        <f aca="false">SUMPRODUCT(Devex_Keur*Devex_Date*(Devex_Date&gt;=CK$3)*(Devex_Date&lt;=CK$4))-CK56*$F56</f>
        <v>0</v>
      </c>
      <c r="CL77" s="56" t="n">
        <f aca="false">SUMPRODUCT(Devex_Keur*Devex_Date*(Devex_Date&gt;=CL$3)*(Devex_Date&lt;=CL$4))-CL56*$F56</f>
        <v>0</v>
      </c>
      <c r="CM77" s="56" t="n">
        <f aca="false">SUMPRODUCT(Devex_Keur*Devex_Date*(Devex_Date&gt;=CM$3)*(Devex_Date&lt;=CM$4))-CM56*$F56</f>
        <v>0</v>
      </c>
      <c r="CN77" s="56" t="n">
        <f aca="false">SUMPRODUCT(Devex_Keur*Devex_Date*(Devex_Date&gt;=CN$3)*(Devex_Date&lt;=CN$4))-CN56*$F56</f>
        <v>0</v>
      </c>
      <c r="CO77" s="56" t="n">
        <f aca="false">SUMPRODUCT(Devex_Keur*Devex_Date*(Devex_Date&gt;=CO$3)*(Devex_Date&lt;=CO$4))-CO56*$F56</f>
        <v>0</v>
      </c>
      <c r="CP77" s="56" t="n">
        <f aca="false">SUMPRODUCT(Devex_Keur*Devex_Date*(Devex_Date&gt;=CP$3)*(Devex_Date&lt;=CP$4))-CP56*$F56</f>
        <v>0</v>
      </c>
      <c r="CQ77" s="56" t="n">
        <f aca="false">SUMPRODUCT(Devex_Keur*Devex_Date*(Devex_Date&gt;=CQ$3)*(Devex_Date&lt;=CQ$4))-CQ56*$F56</f>
        <v>0</v>
      </c>
      <c r="CR77" s="56" t="n">
        <f aca="false">SUMPRODUCT(Devex_Keur*Devex_Date*(Devex_Date&gt;=CR$3)*(Devex_Date&lt;=CR$4))-CR56*$F56</f>
        <v>0</v>
      </c>
      <c r="CS77" s="56" t="n">
        <f aca="false">SUMPRODUCT(Devex_Keur*Devex_Date*(Devex_Date&gt;=CS$3)*(Devex_Date&lt;=CS$4))-CS56*$F56</f>
        <v>0</v>
      </c>
      <c r="CT77" s="56" t="n">
        <f aca="false">SUMPRODUCT(Devex_Keur*Devex_Date*(Devex_Date&gt;=CT$3)*(Devex_Date&lt;=CT$4))-CT56*$F56</f>
        <v>0</v>
      </c>
      <c r="CU77" s="56" t="n">
        <f aca="false">SUMPRODUCT(Devex_Keur*Devex_Date*(Devex_Date&gt;=CU$3)*(Devex_Date&lt;=CU$4))-CU56*$F56</f>
        <v>0</v>
      </c>
      <c r="CV77" s="56" t="n">
        <f aca="false">SUMPRODUCT(Devex_Keur*Devex_Date*(Devex_Date&gt;=CV$3)*(Devex_Date&lt;=CV$4))-CV56*$F56</f>
        <v>0</v>
      </c>
      <c r="CW77" s="56" t="n">
        <f aca="false">SUMPRODUCT(Devex_Keur*Devex_Date*(Devex_Date&gt;=CW$3)*(Devex_Date&lt;=CW$4))-CW56*$F56</f>
        <v>0</v>
      </c>
      <c r="CX77" s="56" t="n">
        <f aca="false">SUMPRODUCT(Devex_Keur*Devex_Date*(Devex_Date&gt;=CX$3)*(Devex_Date&lt;=CX$4))-CX56*$F56</f>
        <v>0</v>
      </c>
      <c r="CY77" s="56" t="n">
        <f aca="false">SUMPRODUCT(Devex_Keur*Devex_Date*(Devex_Date&gt;=CY$3)*(Devex_Date&lt;=CY$4))-CY56*$F56</f>
        <v>0</v>
      </c>
      <c r="CZ77" s="56" t="n">
        <f aca="false">SUMPRODUCT(Devex_Keur*Devex_Date*(Devex_Date&gt;=CZ$3)*(Devex_Date&lt;=CZ$4))-CZ56*$F56</f>
        <v>0</v>
      </c>
      <c r="DA77" s="56" t="n">
        <f aca="false">SUMPRODUCT(Devex_Keur*Devex_Date*(Devex_Date&gt;=DA$3)*(Devex_Date&lt;=DA$4))-DA56*$F56</f>
        <v>0</v>
      </c>
      <c r="DB77" s="56" t="n">
        <f aca="false">SUMPRODUCT(Devex_Keur*Devex_Date*(Devex_Date&gt;=DB$3)*(Devex_Date&lt;=DB$4))-DB56*$F56</f>
        <v>0</v>
      </c>
      <c r="DC77" s="56" t="n">
        <f aca="false">SUMPRODUCT(Devex_Keur*Devex_Date*(Devex_Date&gt;=DC$3)*(Devex_Date&lt;=DC$4))-DC56*$F56</f>
        <v>0</v>
      </c>
      <c r="DD77" s="56" t="n">
        <f aca="false">SUMPRODUCT(Devex_Keur*Devex_Date*(Devex_Date&gt;=DD$3)*(Devex_Date&lt;=DD$4))-DD56*$F56</f>
        <v>0</v>
      </c>
      <c r="DE77" s="56" t="n">
        <f aca="false">SUMPRODUCT(Devex_Keur*Devex_Date*(Devex_Date&gt;=DE$3)*(Devex_Date&lt;=DE$4))-DE56*$F56</f>
        <v>0</v>
      </c>
      <c r="DF77" s="56" t="n">
        <f aca="false">SUMPRODUCT(Devex_Keur*Devex_Date*(Devex_Date&gt;=DF$3)*(Devex_Date&lt;=DF$4))-DF56*$F56</f>
        <v>0</v>
      </c>
      <c r="DG77" s="56" t="n">
        <f aca="false">SUMPRODUCT(Devex_Keur*Devex_Date*(Devex_Date&gt;=DG$3)*(Devex_Date&lt;=DG$4))-DG56*$F56</f>
        <v>0</v>
      </c>
      <c r="DH77" s="56" t="n">
        <f aca="false">SUMPRODUCT(Devex_Keur*Devex_Date*(Devex_Date&gt;=DH$3)*(Devex_Date&lt;=DH$4))-DH56*$F56</f>
        <v>0</v>
      </c>
      <c r="DI77" s="56" t="n">
        <f aca="false">SUMPRODUCT(Devex_Keur*Devex_Date*(Devex_Date&gt;=DI$3)*(Devex_Date&lt;=DI$4))-DI56*$F56</f>
        <v>0</v>
      </c>
      <c r="DJ77" s="56" t="n">
        <f aca="false">SUMPRODUCT(Devex_Keur*Devex_Date*(Devex_Date&gt;=DJ$3)*(Devex_Date&lt;=DJ$4))-DJ56*$F56</f>
        <v>0</v>
      </c>
      <c r="DK77" s="56" t="n">
        <f aca="false">SUMPRODUCT(Devex_Keur*Devex_Date*(Devex_Date&gt;=DK$3)*(Devex_Date&lt;=DK$4))-DK56*$F56</f>
        <v>0</v>
      </c>
      <c r="DL77" s="56" t="n">
        <f aca="false">SUMPRODUCT(Devex_Keur*Devex_Date*(Devex_Date&gt;=DL$3)*(Devex_Date&lt;=DL$4))-DL56*$F56</f>
        <v>0</v>
      </c>
      <c r="DM77" s="56" t="n">
        <f aca="false">SUMPRODUCT(Devex_Keur*Devex_Date*(Devex_Date&gt;=DM$3)*(Devex_Date&lt;=DM$4))-DM56*$F56</f>
        <v>0</v>
      </c>
      <c r="DN77" s="56" t="n">
        <f aca="false">SUMPRODUCT(Devex_Keur*Devex_Date*(Devex_Date&gt;=DN$3)*(Devex_Date&lt;=DN$4))-DN56*$F56</f>
        <v>0</v>
      </c>
      <c r="DO77" s="56" t="n">
        <f aca="false">SUMPRODUCT(Devex_Keur*Devex_Date*(Devex_Date&gt;=DO$3)*(Devex_Date&lt;=DO$4))-DO56*$F56</f>
        <v>0</v>
      </c>
      <c r="DP77" s="56" t="n">
        <f aca="false">SUMPRODUCT(Devex_Keur*Devex_Date*(Devex_Date&gt;=DP$3)*(Devex_Date&lt;=DP$4))-DP56*$F56</f>
        <v>0</v>
      </c>
      <c r="DQ77" s="56" t="n">
        <f aca="false">SUMPRODUCT(Devex_Keur*Devex_Date*(Devex_Date&gt;=DQ$3)*(Devex_Date&lt;=DQ$4))-DQ56*$F56</f>
        <v>0</v>
      </c>
      <c r="DR77" s="56" t="n">
        <f aca="false">SUMPRODUCT(Devex_Keur*Devex_Date*(Devex_Date&gt;=DR$3)*(Devex_Date&lt;=DR$4))-DR56*$F56</f>
        <v>0</v>
      </c>
      <c r="DS77" s="56" t="n">
        <f aca="false">SUMPRODUCT(Devex_Keur*Devex_Date*(Devex_Date&gt;=DS$3)*(Devex_Date&lt;=DS$4))-DS56*$F56</f>
        <v>0</v>
      </c>
      <c r="DT77" s="56" t="n">
        <f aca="false">SUMPRODUCT(Devex_Keur*Devex_Date*(Devex_Date&gt;=DT$3)*(Devex_Date&lt;=DT$4))-DT56*$F56</f>
        <v>0</v>
      </c>
      <c r="DU77" s="56" t="n">
        <f aca="false">SUMPRODUCT(Devex_Keur*Devex_Date*(Devex_Date&gt;=DU$3)*(Devex_Date&lt;=DU$4))-DU56*$F56</f>
        <v>0</v>
      </c>
      <c r="DV77" s="56" t="n">
        <f aca="false">SUMPRODUCT(Devex_Keur*Devex_Date*(Devex_Date&gt;=DV$3)*(Devex_Date&lt;=DV$4))-DV56*$F56</f>
        <v>0</v>
      </c>
      <c r="DW77" s="56" t="n">
        <f aca="false">SUMPRODUCT(Devex_Keur*Devex_Date*(Devex_Date&gt;=DW$3)*(Devex_Date&lt;=DW$4))-DW56*$F56</f>
        <v>0</v>
      </c>
      <c r="DX77" s="56" t="n">
        <f aca="false">SUMPRODUCT(Devex_Keur*Devex_Date*(Devex_Date&gt;=DX$3)*(Devex_Date&lt;=DX$4))-DX56*$F56</f>
        <v>0</v>
      </c>
      <c r="DY77" s="56" t="n">
        <f aca="false">SUMPRODUCT(Devex_Keur*Devex_Date*(Devex_Date&gt;=DY$3)*(Devex_Date&lt;=DY$4))-DY56*$F56</f>
        <v>0</v>
      </c>
      <c r="DZ77" s="56" t="n">
        <f aca="false">SUMPRODUCT(Devex_Keur*Devex_Date*(Devex_Date&gt;=DZ$3)*(Devex_Date&lt;=DZ$4))-DZ56*$F56</f>
        <v>0</v>
      </c>
      <c r="EA77" s="56" t="n">
        <f aca="false">SUMPRODUCT(Devex_Keur*Devex_Date*(Devex_Date&gt;=EA$3)*(Devex_Date&lt;=EA$4))-EA56*$F56</f>
        <v>0</v>
      </c>
      <c r="EB77" s="56" t="n">
        <f aca="false">SUMPRODUCT(Devex_Keur*Devex_Date*(Devex_Date&gt;=EB$3)*(Devex_Date&lt;=EB$4))-EB56*$F56</f>
        <v>0</v>
      </c>
      <c r="EC77" s="56" t="n">
        <f aca="false">SUMPRODUCT(Devex_Keur*Devex_Date*(Devex_Date&gt;=EC$3)*(Devex_Date&lt;=EC$4))-EC56*$F56</f>
        <v>0</v>
      </c>
      <c r="ED77" s="56" t="n">
        <f aca="false">SUMPRODUCT(Devex_Keur*Devex_Date*(Devex_Date&gt;=ED$3)*(Devex_Date&lt;=ED$4))-ED56*$F56</f>
        <v>0</v>
      </c>
      <c r="EE77" s="56" t="n">
        <f aca="false">SUMPRODUCT(Devex_Keur*Devex_Date*(Devex_Date&gt;=EE$3)*(Devex_Date&lt;=EE$4))-EE56*$F56</f>
        <v>0</v>
      </c>
      <c r="EF77" s="56" t="n">
        <f aca="false">SUMPRODUCT(Devex_Keur*Devex_Date*(Devex_Date&gt;=EF$3)*(Devex_Date&lt;=EF$4))-EF56*$F56</f>
        <v>0</v>
      </c>
      <c r="EG77" s="56" t="n">
        <f aca="false">SUMPRODUCT(Devex_Keur*Devex_Date*(Devex_Date&gt;=EG$3)*(Devex_Date&lt;=EG$4))-EG56*$F56</f>
        <v>0</v>
      </c>
      <c r="EH77" s="56" t="n">
        <f aca="false">SUMPRODUCT(Devex_Keur*Devex_Date*(Devex_Date&gt;=EH$3)*(Devex_Date&lt;=EH$4))-EH56*$F56</f>
        <v>0</v>
      </c>
      <c r="EI77" s="56" t="n">
        <f aca="false">SUMPRODUCT(Devex_Keur*Devex_Date*(Devex_Date&gt;=EI$3)*(Devex_Date&lt;=EI$4))-EI56*$F56</f>
        <v>0</v>
      </c>
      <c r="EJ77" s="56" t="n">
        <f aca="false">SUMPRODUCT(Devex_Keur*Devex_Date*(Devex_Date&gt;=EJ$3)*(Devex_Date&lt;=EJ$4))-EJ56*$F56</f>
        <v>0</v>
      </c>
      <c r="EK77" s="56" t="n">
        <f aca="false">SUMPRODUCT(Devex_Keur*Devex_Date*(Devex_Date&gt;=EK$3)*(Devex_Date&lt;=EK$4))-EK56*$F56</f>
        <v>0</v>
      </c>
      <c r="EL77" s="56" t="n">
        <f aca="false">SUMPRODUCT(Devex_Keur*Devex_Date*(Devex_Date&gt;=EL$3)*(Devex_Date&lt;=EL$4))-EL56*$F56</f>
        <v>0</v>
      </c>
      <c r="EM77" s="56" t="n">
        <f aca="false">SUMPRODUCT(Devex_Keur*Devex_Date*(Devex_Date&gt;=EM$3)*(Devex_Date&lt;=EM$4))-EM56*$F56</f>
        <v>0</v>
      </c>
      <c r="EN77" s="56" t="n">
        <f aca="false">SUMPRODUCT(Devex_Keur*Devex_Date*(Devex_Date&gt;=EN$3)*(Devex_Date&lt;=EN$4))-EN56*$F56</f>
        <v>0</v>
      </c>
      <c r="EO77" s="56" t="n">
        <f aca="false">SUMPRODUCT(Devex_Keur*Devex_Date*(Devex_Date&gt;=EO$3)*(Devex_Date&lt;=EO$4))-EO56*$F56</f>
        <v>0</v>
      </c>
      <c r="EP77" s="56" t="n">
        <f aca="false">SUMPRODUCT(Devex_Keur*Devex_Date*(Devex_Date&gt;=EP$3)*(Devex_Date&lt;=EP$4))-EP56*$F56</f>
        <v>0</v>
      </c>
      <c r="EQ77" s="56" t="n">
        <f aca="false">SUMPRODUCT(Devex_Keur*Devex_Date*(Devex_Date&gt;=EQ$3)*(Devex_Date&lt;=EQ$4))-EQ56*$F56</f>
        <v>0</v>
      </c>
      <c r="ER77" s="56" t="n">
        <f aca="false">SUMPRODUCT(Devex_Keur*Devex_Date*(Devex_Date&gt;=ER$3)*(Devex_Date&lt;=ER$4))-ER56*$F56</f>
        <v>0</v>
      </c>
      <c r="ES77" s="56" t="n">
        <f aca="false">SUMPRODUCT(Devex_Keur*Devex_Date*(Devex_Date&gt;=ES$3)*(Devex_Date&lt;=ES$4))-ES56*$F56</f>
        <v>0</v>
      </c>
      <c r="ET77" s="56" t="n">
        <f aca="false">SUMPRODUCT(Devex_Keur*Devex_Date*(Devex_Date&gt;=ET$3)*(Devex_Date&lt;=ET$4))-ET56*$F56</f>
        <v>0</v>
      </c>
    </row>
    <row r="78" customFormat="false" ht="15" hidden="false" customHeight="false" outlineLevel="0" collapsed="false">
      <c r="C78" s="0" t="s">
        <v>526</v>
      </c>
      <c r="D78" s="11" t="s">
        <v>247</v>
      </c>
      <c r="J78" s="22" t="n">
        <f aca="false">I81</f>
        <v>0</v>
      </c>
      <c r="K78" s="22" t="n">
        <f aca="false">J81</f>
        <v>0</v>
      </c>
      <c r="L78" s="22" t="n">
        <f aca="false">K81</f>
        <v>187.51993995121</v>
      </c>
      <c r="M78" s="22" t="n">
        <f aca="false">L81</f>
        <v>775.964460499156</v>
      </c>
      <c r="N78" s="22" t="n">
        <f aca="false">M81</f>
        <v>819.800076937512</v>
      </c>
      <c r="O78" s="22" t="n">
        <f aca="false">N81</f>
        <v>863.635693375868</v>
      </c>
      <c r="P78" s="22" t="n">
        <f aca="false">O81</f>
        <v>1195.18381497467</v>
      </c>
      <c r="Q78" s="22" t="n">
        <f aca="false">P81</f>
        <v>2485.22560977478</v>
      </c>
      <c r="R78" s="22" t="n">
        <f aca="false">Q81</f>
        <v>2489.83519881588</v>
      </c>
      <c r="S78" s="22" t="n">
        <f aca="false">R81</f>
        <v>2653.92670879631</v>
      </c>
      <c r="T78" s="22" t="n">
        <f aca="false">S81</f>
        <v>3458.61440309663</v>
      </c>
      <c r="U78" s="22" t="n">
        <f aca="false">T81</f>
        <v>3763.27193734321</v>
      </c>
      <c r="V78" s="22" t="n">
        <f aca="false">U81</f>
        <v>3763.27193734321</v>
      </c>
      <c r="W78" s="22" t="n">
        <f aca="false">V81</f>
        <v>3763.27193734321</v>
      </c>
      <c r="X78" s="22" t="n">
        <f aca="false">W81</f>
        <v>4125.06913837992</v>
      </c>
      <c r="Y78" s="22" t="n">
        <f aca="false">X81</f>
        <v>4125.06913837992</v>
      </c>
      <c r="Z78" s="22" t="n">
        <f aca="false">Y81</f>
        <v>4125.06913837992</v>
      </c>
      <c r="AA78" s="22" t="n">
        <f aca="false">Z81</f>
        <v>4125.06913837992</v>
      </c>
      <c r="AB78" s="22" t="n">
        <f aca="false">AA81</f>
        <v>4950.0829660559</v>
      </c>
      <c r="AC78" s="22" t="n">
        <f aca="false">AB81</f>
        <v>4950.0829660559</v>
      </c>
      <c r="AD78" s="22" t="n">
        <f aca="false">AC81</f>
        <v>4950.0829660559</v>
      </c>
      <c r="AE78" s="22" t="n">
        <f aca="false">AD81</f>
        <v>4950.0829660559</v>
      </c>
      <c r="AF78" s="22" t="n">
        <f aca="false">AE81</f>
        <v>5690.5611302933</v>
      </c>
      <c r="AG78" s="22" t="n">
        <f aca="false">AF81</f>
        <v>5690.5611302933</v>
      </c>
      <c r="AH78" s="22" t="n">
        <f aca="false">AG81</f>
        <v>5690.5611302933</v>
      </c>
      <c r="AI78" s="22" t="n">
        <f aca="false">AH81</f>
        <v>5690.5611302933</v>
      </c>
      <c r="AJ78" s="22" t="n">
        <f aca="false">AI81</f>
        <v>5690.5611302933</v>
      </c>
      <c r="AK78" s="22" t="n">
        <f aca="false">AJ81</f>
        <v>5690.5611302933</v>
      </c>
      <c r="AL78" s="22" t="n">
        <f aca="false">AK81</f>
        <v>5690.5611302933</v>
      </c>
      <c r="AM78" s="22" t="n">
        <f aca="false">AL81</f>
        <v>5690.5611302933</v>
      </c>
      <c r="AN78" s="22" t="n">
        <f aca="false">AM81</f>
        <v>5690.5611302933</v>
      </c>
      <c r="AO78" s="22" t="n">
        <f aca="false">AN81</f>
        <v>5690.5611302933</v>
      </c>
      <c r="AP78" s="22" t="n">
        <f aca="false">AO81</f>
        <v>5690.5611302933</v>
      </c>
      <c r="AQ78" s="22" t="n">
        <f aca="false">AP81</f>
        <v>5690.5611302933</v>
      </c>
      <c r="AR78" s="22" t="n">
        <f aca="false">AQ81</f>
        <v>5690.5611302933</v>
      </c>
      <c r="AS78" s="22" t="n">
        <f aca="false">AR81</f>
        <v>5690.5611302933</v>
      </c>
      <c r="AT78" s="22" t="n">
        <f aca="false">AS81</f>
        <v>5690.5611302933</v>
      </c>
      <c r="AU78" s="22" t="n">
        <f aca="false">AT81</f>
        <v>5690.5611302933</v>
      </c>
      <c r="AV78" s="22" t="n">
        <f aca="false">AU81</f>
        <v>5690.5611302933</v>
      </c>
      <c r="AW78" s="22" t="n">
        <f aca="false">AV81</f>
        <v>5690.5611302933</v>
      </c>
      <c r="AX78" s="22" t="n">
        <f aca="false">AW81</f>
        <v>5690.5611302933</v>
      </c>
      <c r="AY78" s="22" t="n">
        <f aca="false">AX81</f>
        <v>5690.5611302933</v>
      </c>
      <c r="AZ78" s="22" t="n">
        <f aca="false">AY81</f>
        <v>5690.5611302933</v>
      </c>
      <c r="BA78" s="22" t="n">
        <f aca="false">AZ81</f>
        <v>5690.5611302933</v>
      </c>
      <c r="BB78" s="22" t="n">
        <f aca="false">BA81</f>
        <v>5690.5611302933</v>
      </c>
      <c r="BC78" s="22" t="n">
        <f aca="false">BB81</f>
        <v>5690.5611302933</v>
      </c>
      <c r="BD78" s="22" t="n">
        <f aca="false">BC81</f>
        <v>5690.5611302933</v>
      </c>
      <c r="BE78" s="22" t="n">
        <f aca="false">BD81</f>
        <v>5690.5611302933</v>
      </c>
      <c r="BF78" s="22" t="n">
        <f aca="false">BE81</f>
        <v>5690.5611302933</v>
      </c>
      <c r="BG78" s="22" t="n">
        <f aca="false">BF81</f>
        <v>5690.5611302933</v>
      </c>
      <c r="BH78" s="22" t="n">
        <f aca="false">BG81</f>
        <v>5690.5611302933</v>
      </c>
      <c r="BI78" s="22" t="n">
        <f aca="false">BH81</f>
        <v>5690.5611302933</v>
      </c>
      <c r="BJ78" s="22" t="n">
        <f aca="false">BI81</f>
        <v>5690.5611302933</v>
      </c>
      <c r="BK78" s="22" t="n">
        <f aca="false">BJ81</f>
        <v>5690.5611302933</v>
      </c>
      <c r="BL78" s="22" t="n">
        <f aca="false">BK81</f>
        <v>5690.5611302933</v>
      </c>
      <c r="BM78" s="22" t="n">
        <f aca="false">BL81</f>
        <v>5690.5611302933</v>
      </c>
      <c r="BN78" s="22" t="n">
        <f aca="false">BM81</f>
        <v>5690.5611302933</v>
      </c>
      <c r="BO78" s="22" t="n">
        <f aca="false">BN81</f>
        <v>5690.5611302933</v>
      </c>
      <c r="BP78" s="22" t="n">
        <f aca="false">BO81</f>
        <v>5690.5611302933</v>
      </c>
      <c r="BQ78" s="22" t="n">
        <f aca="false">BP81</f>
        <v>5690.5611302933</v>
      </c>
      <c r="BR78" s="22" t="n">
        <f aca="false">BQ81</f>
        <v>5690.5611302933</v>
      </c>
      <c r="BS78" s="22" t="n">
        <f aca="false">BR81</f>
        <v>5690.5611302933</v>
      </c>
      <c r="BT78" s="22" t="n">
        <f aca="false">BS81</f>
        <v>5690.5611302933</v>
      </c>
      <c r="BU78" s="22" t="n">
        <f aca="false">BT81</f>
        <v>5690.5611302933</v>
      </c>
      <c r="BV78" s="22" t="n">
        <f aca="false">BU81</f>
        <v>5690.5611302933</v>
      </c>
      <c r="BW78" s="22" t="n">
        <f aca="false">BV81</f>
        <v>5690.5611302933</v>
      </c>
      <c r="BX78" s="22" t="n">
        <f aca="false">BW81</f>
        <v>5690.5611302933</v>
      </c>
      <c r="BY78" s="22" t="n">
        <f aca="false">BX81</f>
        <v>5690.5611302933</v>
      </c>
      <c r="BZ78" s="22" t="n">
        <f aca="false">BY81</f>
        <v>5690.5611302933</v>
      </c>
      <c r="CA78" s="22" t="n">
        <f aca="false">BZ81</f>
        <v>5690.5611302933</v>
      </c>
      <c r="CB78" s="22" t="n">
        <f aca="false">CA81</f>
        <v>5690.5611302933</v>
      </c>
      <c r="CC78" s="22" t="n">
        <f aca="false">CB81</f>
        <v>5690.5611302933</v>
      </c>
      <c r="CD78" s="22" t="n">
        <f aca="false">CC81</f>
        <v>5690.5611302933</v>
      </c>
      <c r="CE78" s="22" t="n">
        <f aca="false">CD81</f>
        <v>5690.5611302933</v>
      </c>
      <c r="CF78" s="22" t="n">
        <f aca="false">CE81</f>
        <v>5690.5611302933</v>
      </c>
      <c r="CG78" s="22" t="n">
        <f aca="false">CF81</f>
        <v>5690.5611302933</v>
      </c>
      <c r="CH78" s="22" t="n">
        <f aca="false">CG81</f>
        <v>5690.5611302933</v>
      </c>
      <c r="CI78" s="22" t="n">
        <f aca="false">CH81</f>
        <v>5690.5611302933</v>
      </c>
      <c r="CJ78" s="22" t="n">
        <f aca="false">CI81</f>
        <v>5690.5611302933</v>
      </c>
      <c r="CK78" s="22" t="n">
        <f aca="false">CJ81</f>
        <v>5690.5611302933</v>
      </c>
      <c r="CL78" s="22" t="n">
        <f aca="false">CK81</f>
        <v>5690.5611302933</v>
      </c>
      <c r="CM78" s="22" t="n">
        <f aca="false">CL81</f>
        <v>5690.5611302933</v>
      </c>
      <c r="CN78" s="22" t="n">
        <f aca="false">CM81</f>
        <v>5690.5611302933</v>
      </c>
      <c r="CO78" s="22" t="n">
        <f aca="false">CN81</f>
        <v>5690.5611302933</v>
      </c>
      <c r="CP78" s="22" t="n">
        <f aca="false">CO81</f>
        <v>5690.5611302933</v>
      </c>
      <c r="CQ78" s="22" t="n">
        <f aca="false">CP81</f>
        <v>5690.5611302933</v>
      </c>
      <c r="CR78" s="22" t="n">
        <f aca="false">CQ81</f>
        <v>5690.5611302933</v>
      </c>
      <c r="CS78" s="22" t="n">
        <f aca="false">CR81</f>
        <v>5690.5611302933</v>
      </c>
      <c r="CT78" s="22" t="n">
        <f aca="false">CS81</f>
        <v>5690.5611302933</v>
      </c>
      <c r="CU78" s="22" t="n">
        <f aca="false">CT81</f>
        <v>5690.5611302933</v>
      </c>
      <c r="CV78" s="22" t="n">
        <f aca="false">CU81</f>
        <v>5690.5611302933</v>
      </c>
      <c r="CW78" s="22" t="n">
        <f aca="false">CV81</f>
        <v>5690.5611302933</v>
      </c>
      <c r="CX78" s="22" t="n">
        <f aca="false">CW81</f>
        <v>5690.5611302933</v>
      </c>
      <c r="CY78" s="22" t="n">
        <f aca="false">CX81</f>
        <v>5690.5611302933</v>
      </c>
      <c r="CZ78" s="22" t="n">
        <f aca="false">CY81</f>
        <v>5690.5611302933</v>
      </c>
      <c r="DA78" s="22" t="n">
        <f aca="false">CZ81</f>
        <v>5690.5611302933</v>
      </c>
      <c r="DB78" s="22" t="n">
        <f aca="false">DA81</f>
        <v>5690.5611302933</v>
      </c>
      <c r="DC78" s="22" t="n">
        <f aca="false">DB81</f>
        <v>5690.5611302933</v>
      </c>
      <c r="DD78" s="22" t="n">
        <f aca="false">DC81</f>
        <v>5690.5611302933</v>
      </c>
      <c r="DE78" s="22" t="n">
        <f aca="false">DD81</f>
        <v>5690.5611302933</v>
      </c>
      <c r="DF78" s="22" t="n">
        <f aca="false">DE81</f>
        <v>5690.5611302933</v>
      </c>
      <c r="DG78" s="22" t="n">
        <f aca="false">DF81</f>
        <v>5690.5611302933</v>
      </c>
      <c r="DH78" s="22" t="n">
        <f aca="false">DG81</f>
        <v>5690.5611302933</v>
      </c>
      <c r="DI78" s="22" t="n">
        <f aca="false">DH81</f>
        <v>5690.5611302933</v>
      </c>
      <c r="DJ78" s="22" t="n">
        <f aca="false">DI81</f>
        <v>5690.5611302933</v>
      </c>
      <c r="DK78" s="22" t="n">
        <f aca="false">DJ81</f>
        <v>5690.5611302933</v>
      </c>
      <c r="DL78" s="22" t="n">
        <f aca="false">DK81</f>
        <v>5690.5611302933</v>
      </c>
      <c r="DM78" s="22" t="n">
        <f aca="false">DL81</f>
        <v>5690.5611302933</v>
      </c>
      <c r="DN78" s="22" t="n">
        <f aca="false">DM81</f>
        <v>5690.5611302933</v>
      </c>
      <c r="DO78" s="22" t="n">
        <f aca="false">DN81</f>
        <v>5690.5611302933</v>
      </c>
      <c r="DP78" s="22" t="n">
        <f aca="false">DO81</f>
        <v>5690.5611302933</v>
      </c>
      <c r="DQ78" s="22" t="n">
        <f aca="false">DP81</f>
        <v>5690.5611302933</v>
      </c>
      <c r="DR78" s="22" t="n">
        <f aca="false">DQ81</f>
        <v>5690.5611302933</v>
      </c>
      <c r="DS78" s="22" t="n">
        <f aca="false">DR81</f>
        <v>5690.5611302933</v>
      </c>
      <c r="DT78" s="22" t="n">
        <f aca="false">DS81</f>
        <v>5690.5611302933</v>
      </c>
      <c r="DU78" s="22" t="n">
        <f aca="false">DT81</f>
        <v>5690.5611302933</v>
      </c>
      <c r="DV78" s="22" t="n">
        <f aca="false">DU81</f>
        <v>5690.5611302933</v>
      </c>
      <c r="DW78" s="22" t="n">
        <f aca="false">DV81</f>
        <v>5690.5611302933</v>
      </c>
      <c r="DX78" s="22" t="n">
        <f aca="false">DW81</f>
        <v>5690.5611302933</v>
      </c>
      <c r="DY78" s="22" t="n">
        <f aca="false">DX81</f>
        <v>5690.5611302933</v>
      </c>
      <c r="DZ78" s="22" t="n">
        <f aca="false">DY81</f>
        <v>5690.5611302933</v>
      </c>
      <c r="EA78" s="22" t="n">
        <f aca="false">DZ81</f>
        <v>5690.5611302933</v>
      </c>
      <c r="EB78" s="22" t="n">
        <f aca="false">EA81</f>
        <v>5690.5611302933</v>
      </c>
      <c r="EC78" s="22" t="n">
        <f aca="false">EB81</f>
        <v>5690.5611302933</v>
      </c>
      <c r="ED78" s="22" t="n">
        <f aca="false">EC81</f>
        <v>5690.5611302933</v>
      </c>
      <c r="EE78" s="22" t="n">
        <f aca="false">ED81</f>
        <v>5690.5611302933</v>
      </c>
      <c r="EF78" s="22" t="n">
        <f aca="false">EE81</f>
        <v>5690.5611302933</v>
      </c>
      <c r="EG78" s="22" t="n">
        <f aca="false">EF81</f>
        <v>5690.5611302933</v>
      </c>
      <c r="EH78" s="22" t="n">
        <f aca="false">EG81</f>
        <v>5690.5611302933</v>
      </c>
      <c r="EI78" s="22" t="n">
        <f aca="false">EH81</f>
        <v>5690.5611302933</v>
      </c>
      <c r="EJ78" s="22" t="n">
        <f aca="false">EI81</f>
        <v>5690.5611302933</v>
      </c>
      <c r="EK78" s="22" t="n">
        <f aca="false">EJ81</f>
        <v>5690.5611302933</v>
      </c>
      <c r="EL78" s="22" t="n">
        <f aca="false">EK81</f>
        <v>5690.5611302933</v>
      </c>
      <c r="EM78" s="22" t="n">
        <f aca="false">EL81</f>
        <v>5690.5611302933</v>
      </c>
      <c r="EN78" s="22" t="n">
        <f aca="false">EM81</f>
        <v>5690.5611302933</v>
      </c>
      <c r="EO78" s="22" t="n">
        <f aca="false">EN81</f>
        <v>5690.5611302933</v>
      </c>
      <c r="EP78" s="22" t="n">
        <f aca="false">EO81</f>
        <v>5690.5611302933</v>
      </c>
      <c r="EQ78" s="22" t="n">
        <f aca="false">EP81</f>
        <v>5690.5611302933</v>
      </c>
      <c r="ER78" s="22" t="n">
        <f aca="false">EQ81</f>
        <v>5690.5611302933</v>
      </c>
      <c r="ES78" s="22" t="n">
        <f aca="false">ER81</f>
        <v>5690.5611302933</v>
      </c>
      <c r="ET78" s="22" t="n">
        <f aca="false">ES81</f>
        <v>5690.5611302933</v>
      </c>
    </row>
    <row r="79" customFormat="false" ht="15" hidden="false" customHeight="false" outlineLevel="0" collapsed="false">
      <c r="C79" s="0" t="s">
        <v>534</v>
      </c>
      <c r="D79" s="11" t="s">
        <v>247</v>
      </c>
      <c r="E79" s="33" t="n">
        <f aca="false">MAX(SUMIF($J$4:$ET$4,"&lt;="&amp;$E12,$J79:$ET79),(In_Min_Multiple-1)*$E57)</f>
        <v>3119.62451197093</v>
      </c>
      <c r="F79" s="33" t="n">
        <f aca="false">MAX(SUMIF($J$4:$ET$4,"&lt;="&amp;In_COD,$J79:$ET79),(In_Min_Multiple-1)*$F57)</f>
        <v>3119.62451197093</v>
      </c>
      <c r="I79" s="33" t="n">
        <f aca="false">SUM(J79:ET79)</f>
        <v>2570.93661832238</v>
      </c>
      <c r="J79" s="33" t="n">
        <f aca="false">In_AtRisk_Rate/Days_In_Year*(1-J19)*(J78*J$5-(J$4+1)*J57-J77)*(J$4&lt;=In_COD)</f>
        <v>0</v>
      </c>
      <c r="K79" s="33" t="n">
        <f aca="false">In_AtRisk_Rate/Days_In_Year*(1-K19)*(K78*K$5-(K$4+1)*K57-K77)*(K$4&lt;=In_COD)</f>
        <v>8.99939200600482</v>
      </c>
      <c r="L79" s="33" t="n">
        <f aca="false">In_AtRisk_Rate/Days_In_Year*(1-L19)*(L78*L$5-(L$4+1)*L57-L77)*(L$4&lt;=In_COD)</f>
        <v>21.145094055017</v>
      </c>
      <c r="M79" s="33" t="n">
        <f aca="false">In_AtRisk_Rate/Days_In_Year*(1-M19)*(M78*M$5-(M$4+1)*M57-M77)*(M$4&lt;=In_COD)</f>
        <v>38.7639850710894</v>
      </c>
      <c r="N79" s="33" t="n">
        <f aca="false">In_AtRisk_Rate/Days_In_Year*(1-N19)*(N78*N$5-(N$4+1)*N57-N77)*(N$4&lt;=In_COD)</f>
        <v>42.8881765187639</v>
      </c>
      <c r="O79" s="33" t="n">
        <f aca="false">In_AtRisk_Rate/Days_In_Year*(1-O19)*(O78*O$5-(O$4+1)*O57-O77)*(O$4&lt;=In_COD)</f>
        <v>44.3892221183136</v>
      </c>
      <c r="P79" s="33" t="n">
        <f aca="false">In_AtRisk_Rate/Days_In_Year*(1-P19)*(P78*P$5-(P$4+1)*P57-P77)*(P$4&lt;=In_COD)</f>
        <v>98.5313518347357</v>
      </c>
      <c r="Q79" s="33" t="n">
        <f aca="false">In_AtRisk_Rate/Days_In_Year*(1-Q19)*(Q78*Q$5-(Q$4+1)*Q57-Q77)*(Q$4&lt;=In_COD)</f>
        <v>123.932079007197</v>
      </c>
      <c r="R79" s="33" t="n">
        <f aca="false">In_AtRisk_Rate/Days_In_Year*(1-R19)*(R78*R$5-(R$4+1)*R57-R77)*(R$4&lt;=In_COD)</f>
        <v>130.100550849349</v>
      </c>
      <c r="S79" s="33" t="n">
        <f aca="false">In_AtRisk_Rate/Days_In_Year*(1-S19)*(S78*S$5-(S$4+1)*S57-S77)*(S$4&lt;=In_COD)</f>
        <v>134.89757391181</v>
      </c>
      <c r="T79" s="33" t="n">
        <f aca="false">In_AtRisk_Rate/Days_In_Year*(1-T19)*(T78*T$5-(T$4+1)*T57-T77)*(T$4&lt;=In_COD)</f>
        <v>174.149120873296</v>
      </c>
      <c r="U79" s="33" t="n">
        <f aca="false">In_AtRisk_Rate/Days_In_Year*(1-U19)*(U78*U$5-(U$4+1)*U57-U77)*(U$4&lt;=In_COD)</f>
        <v>187.648080163415</v>
      </c>
      <c r="V79" s="33" t="n">
        <f aca="false">In_AtRisk_Rate/Days_In_Year*(1-V19)*(V78*V$5-(V$4+1)*V57-V77)*(V$4&lt;=In_COD)</f>
        <v>0</v>
      </c>
      <c r="W79" s="33" t="n">
        <f aca="false">In_AtRisk_Rate/Days_In_Year*(1-W19)*(W78*W$5-(W$4+1)*W57-W77)*(W$4&lt;=In_COD)</f>
        <v>0</v>
      </c>
      <c r="X79" s="33" t="n">
        <f aca="false">In_AtRisk_Rate/Days_In_Year*(1-X19)*(X78*X$5-(X$4+1)*X57-X77)*(X$4&lt;=In_COD)</f>
        <v>203.428067098188</v>
      </c>
      <c r="Y79" s="33" t="n">
        <f aca="false">In_AtRisk_Rate/Days_In_Year*(1-Y19)*(Y78*Y$5-(Y$4+1)*Y57-Y77)*(Y$4&lt;=In_COD)</f>
        <v>205.688378954834</v>
      </c>
      <c r="Z79" s="33" t="n">
        <f aca="false">In_AtRisk_Rate/Days_In_Year*(1-Z19)*(Z78*Z$5-(Z$4+1)*Z57-Z77)*(Z$4&lt;=In_COD)</f>
        <v>207.948690811481</v>
      </c>
      <c r="AA79" s="33" t="n">
        <f aca="false">In_AtRisk_Rate/Days_In_Year*(1-AA19)*(AA78*AA$5-(AA$4+1)*AA57-AA77)*(AA$4&lt;=In_COD)</f>
        <v>207.948690811481</v>
      </c>
      <c r="AB79" s="33" t="n">
        <f aca="false">In_AtRisk_Rate/Days_In_Year*(1-AB19)*(AB78*AB$5-(AB$4+1)*AB57-AB77)*(AB$4&lt;=In_COD)</f>
        <v>244.113680517825</v>
      </c>
      <c r="AC79" s="33" t="n">
        <f aca="false">In_AtRisk_Rate/Days_In_Year*(1-AC19)*(AC78*AC$5-(AC$4+1)*AC57-AC77)*(AC$4&lt;=In_COD)</f>
        <v>246.826054745801</v>
      </c>
      <c r="AD79" s="33" t="n">
        <f aca="false">In_AtRisk_Rate/Days_In_Year*(1-AD19)*(AD78*AD$5-(AD$4+1)*AD57-AD77)*(AD$4&lt;=In_COD)</f>
        <v>249.538428973777</v>
      </c>
      <c r="AE79" s="33" t="n">
        <f aca="false">In_AtRisk_Rate/Days_In_Year*(1-AE19)*(AE78*AE$5-(AE$4+1)*AE57-AE77)*(AE$4&lt;=In_COD)</f>
        <v>0</v>
      </c>
      <c r="AF79" s="33" t="n">
        <f aca="false">In_AtRisk_Rate/Days_In_Year*(1-AF19)*(AF78*AF$5-(AF$4+1)*AF57-AF77)*(AF$4&lt;=In_COD)</f>
        <v>0</v>
      </c>
      <c r="AG79" s="33" t="n">
        <f aca="false">In_AtRisk_Rate/Days_In_Year*(1-AG19)*(AG78*AG$5-(AG$4+1)*AG57-AG77)*(AG$4&lt;=In_COD)</f>
        <v>0</v>
      </c>
      <c r="AH79" s="33" t="n">
        <f aca="false">In_AtRisk_Rate/Days_In_Year*(1-AH19)*(AH78*AH$5-(AH$4+1)*AH57-AH77)*(AH$4&lt;=In_COD)</f>
        <v>0</v>
      </c>
      <c r="AI79" s="33" t="n">
        <f aca="false">In_AtRisk_Rate/Days_In_Year*(1-AI19)*(AI78*AI$5-(AI$4+1)*AI57-AI77)*(AI$4&lt;=In_COD)</f>
        <v>0</v>
      </c>
      <c r="AJ79" s="33" t="n">
        <f aca="false">In_AtRisk_Rate/Days_In_Year*(1-AJ19)*(AJ78*AJ$5-(AJ$4+1)*AJ57-AJ77)*(AJ$4&lt;=In_COD)</f>
        <v>0</v>
      </c>
      <c r="AK79" s="33" t="n">
        <f aca="false">In_AtRisk_Rate/Days_In_Year*(1-AK19)*(AK78*AK$5-(AK$4+1)*AK57-AK77)*(AK$4&lt;=In_COD)</f>
        <v>0</v>
      </c>
      <c r="AL79" s="33" t="n">
        <f aca="false">In_AtRisk_Rate/Days_In_Year*(1-AL19)*(AL78*AL$5-(AL$4+1)*AL57-AL77)*(AL$4&lt;=In_COD)</f>
        <v>0</v>
      </c>
      <c r="AM79" s="33" t="n">
        <f aca="false">In_AtRisk_Rate/Days_In_Year*(1-AM19)*(AM78*AM$5-(AM$4+1)*AM57-AM77)*(AM$4&lt;=In_COD)</f>
        <v>0</v>
      </c>
      <c r="AN79" s="33" t="n">
        <f aca="false">In_AtRisk_Rate/Days_In_Year*(1-AN19)*(AN78*AN$5-(AN$4+1)*AN57-AN77)*(AN$4&lt;=In_COD)</f>
        <v>0</v>
      </c>
      <c r="AO79" s="33" t="n">
        <f aca="false">In_AtRisk_Rate/Days_In_Year*(1-AO19)*(AO78*AO$5-(AO$4+1)*AO57-AO77)*(AO$4&lt;=In_COD)</f>
        <v>0</v>
      </c>
      <c r="AP79" s="33" t="n">
        <f aca="false">In_AtRisk_Rate/Days_In_Year*(1-AP19)*(AP78*AP$5-(AP$4+1)*AP57-AP77)*(AP$4&lt;=In_COD)</f>
        <v>0</v>
      </c>
      <c r="AQ79" s="33" t="n">
        <f aca="false">In_AtRisk_Rate/Days_In_Year*(1-AQ19)*(AQ78*AQ$5-(AQ$4+1)*AQ57-AQ77)*(AQ$4&lt;=In_COD)</f>
        <v>0</v>
      </c>
      <c r="AR79" s="33" t="n">
        <f aca="false">In_AtRisk_Rate/Days_In_Year*(1-AR19)*(AR78*AR$5-(AR$4+1)*AR57-AR77)*(AR$4&lt;=In_COD)</f>
        <v>0</v>
      </c>
      <c r="AS79" s="33" t="n">
        <f aca="false">In_AtRisk_Rate/Days_In_Year*(1-AS19)*(AS78*AS$5-(AS$4+1)*AS57-AS77)*(AS$4&lt;=In_COD)</f>
        <v>0</v>
      </c>
      <c r="AT79" s="33" t="n">
        <f aca="false">In_AtRisk_Rate/Days_In_Year*(1-AT19)*(AT78*AT$5-(AT$4+1)*AT57-AT77)*(AT$4&lt;=In_COD)</f>
        <v>0</v>
      </c>
      <c r="AU79" s="33" t="n">
        <f aca="false">In_AtRisk_Rate/Days_In_Year*(1-AU19)*(AU78*AU$5-(AU$4+1)*AU57-AU77)*(AU$4&lt;=In_COD)</f>
        <v>0</v>
      </c>
      <c r="AV79" s="33" t="n">
        <f aca="false">In_AtRisk_Rate/Days_In_Year*(1-AV19)*(AV78*AV$5-(AV$4+1)*AV57-AV77)*(AV$4&lt;=In_COD)</f>
        <v>0</v>
      </c>
      <c r="AW79" s="33" t="n">
        <f aca="false">In_AtRisk_Rate/Days_In_Year*(1-AW19)*(AW78*AW$5-(AW$4+1)*AW57-AW77)*(AW$4&lt;=In_COD)</f>
        <v>0</v>
      </c>
      <c r="AX79" s="33" t="n">
        <f aca="false">In_AtRisk_Rate/Days_In_Year*(1-AX19)*(AX78*AX$5-(AX$4+1)*AX57-AX77)*(AX$4&lt;=In_COD)</f>
        <v>0</v>
      </c>
      <c r="AY79" s="33" t="n">
        <f aca="false">In_AtRisk_Rate/Days_In_Year*(1-AY19)*(AY78*AY$5-(AY$4+1)*AY57-AY77)*(AY$4&lt;=In_COD)</f>
        <v>0</v>
      </c>
      <c r="AZ79" s="33" t="n">
        <f aca="false">In_AtRisk_Rate/Days_In_Year*(1-AZ19)*(AZ78*AZ$5-(AZ$4+1)*AZ57-AZ77)*(AZ$4&lt;=In_COD)</f>
        <v>0</v>
      </c>
      <c r="BA79" s="33" t="n">
        <f aca="false">In_AtRisk_Rate/Days_In_Year*(1-BA19)*(BA78*BA$5-(BA$4+1)*BA57-BA77)*(BA$4&lt;=In_COD)</f>
        <v>0</v>
      </c>
      <c r="BB79" s="33" t="n">
        <f aca="false">In_AtRisk_Rate/Days_In_Year*(1-BB19)*(BB78*BB$5-(BB$4+1)*BB57-BB77)*(BB$4&lt;=In_COD)</f>
        <v>0</v>
      </c>
      <c r="BC79" s="33" t="n">
        <f aca="false">In_AtRisk_Rate/Days_In_Year*(1-BC19)*(BC78*BC$5-(BC$4+1)*BC57-BC77)*(BC$4&lt;=In_COD)</f>
        <v>0</v>
      </c>
      <c r="BD79" s="33" t="n">
        <f aca="false">In_AtRisk_Rate/Days_In_Year*(1-BD19)*(BD78*BD$5-(BD$4+1)*BD57-BD77)*(BD$4&lt;=In_COD)</f>
        <v>0</v>
      </c>
      <c r="BE79" s="33" t="n">
        <f aca="false">In_AtRisk_Rate/Days_In_Year*(1-BE19)*(BE78*BE$5-(BE$4+1)*BE57-BE77)*(BE$4&lt;=In_COD)</f>
        <v>0</v>
      </c>
      <c r="BF79" s="33" t="n">
        <f aca="false">In_AtRisk_Rate/Days_In_Year*(1-BF19)*(BF78*BF$5-(BF$4+1)*BF57-BF77)*(BF$4&lt;=In_COD)</f>
        <v>0</v>
      </c>
      <c r="BG79" s="33" t="n">
        <f aca="false">In_AtRisk_Rate/Days_In_Year*(1-BG19)*(BG78*BG$5-(BG$4+1)*BG57-BG77)*(BG$4&lt;=In_COD)</f>
        <v>0</v>
      </c>
      <c r="BH79" s="33" t="n">
        <f aca="false">In_AtRisk_Rate/Days_In_Year*(1-BH19)*(BH78*BH$5-(BH$4+1)*BH57-BH77)*(BH$4&lt;=In_COD)</f>
        <v>0</v>
      </c>
      <c r="BI79" s="33" t="n">
        <f aca="false">In_AtRisk_Rate/Days_In_Year*(1-BI19)*(BI78*BI$5-(BI$4+1)*BI57-BI77)*(BI$4&lt;=In_COD)</f>
        <v>0</v>
      </c>
      <c r="BJ79" s="33" t="n">
        <f aca="false">In_AtRisk_Rate/Days_In_Year*(1-BJ19)*(BJ78*BJ$5-(BJ$4+1)*BJ57-BJ77)*(BJ$4&lt;=In_COD)</f>
        <v>0</v>
      </c>
      <c r="BK79" s="33" t="n">
        <f aca="false">In_AtRisk_Rate/Days_In_Year*(1-BK19)*(BK78*BK$5-(BK$4+1)*BK57-BK77)*(BK$4&lt;=In_COD)</f>
        <v>0</v>
      </c>
      <c r="BL79" s="33" t="n">
        <f aca="false">In_AtRisk_Rate/Days_In_Year*(1-BL19)*(BL78*BL$5-(BL$4+1)*BL57-BL77)*(BL$4&lt;=In_COD)</f>
        <v>0</v>
      </c>
      <c r="BM79" s="33" t="n">
        <f aca="false">In_AtRisk_Rate/Days_In_Year*(1-BM19)*(BM78*BM$5-(BM$4+1)*BM57-BM77)*(BM$4&lt;=In_COD)</f>
        <v>0</v>
      </c>
      <c r="BN79" s="33" t="n">
        <f aca="false">In_AtRisk_Rate/Days_In_Year*(1-BN19)*(BN78*BN$5-(BN$4+1)*BN57-BN77)*(BN$4&lt;=In_COD)</f>
        <v>0</v>
      </c>
      <c r="BO79" s="33" t="n">
        <f aca="false">In_AtRisk_Rate/Days_In_Year*(1-BO19)*(BO78*BO$5-(BO$4+1)*BO57-BO77)*(BO$4&lt;=In_COD)</f>
        <v>0</v>
      </c>
      <c r="BP79" s="33" t="n">
        <f aca="false">In_AtRisk_Rate/Days_In_Year*(1-BP19)*(BP78*BP$5-(BP$4+1)*BP57-BP77)*(BP$4&lt;=In_COD)</f>
        <v>0</v>
      </c>
      <c r="BQ79" s="33" t="n">
        <f aca="false">In_AtRisk_Rate/Days_In_Year*(1-BQ19)*(BQ78*BQ$5-(BQ$4+1)*BQ57-BQ77)*(BQ$4&lt;=In_COD)</f>
        <v>0</v>
      </c>
      <c r="BR79" s="33" t="n">
        <f aca="false">In_AtRisk_Rate/Days_In_Year*(1-BR19)*(BR78*BR$5-(BR$4+1)*BR57-BR77)*(BR$4&lt;=In_COD)</f>
        <v>0</v>
      </c>
      <c r="BS79" s="33" t="n">
        <f aca="false">In_AtRisk_Rate/Days_In_Year*(1-BS19)*(BS78*BS$5-(BS$4+1)*BS57-BS77)*(BS$4&lt;=In_COD)</f>
        <v>0</v>
      </c>
      <c r="BT79" s="33" t="n">
        <f aca="false">In_AtRisk_Rate/Days_In_Year*(1-BT19)*(BT78*BT$5-(BT$4+1)*BT57-BT77)*(BT$4&lt;=In_COD)</f>
        <v>0</v>
      </c>
      <c r="BU79" s="33" t="n">
        <f aca="false">In_AtRisk_Rate/Days_In_Year*(1-BU19)*(BU78*BU$5-(BU$4+1)*BU57-BU77)*(BU$4&lt;=In_COD)</f>
        <v>0</v>
      </c>
      <c r="BV79" s="33" t="n">
        <f aca="false">In_AtRisk_Rate/Days_In_Year*(1-BV19)*(BV78*BV$5-(BV$4+1)*BV57-BV77)*(BV$4&lt;=In_COD)</f>
        <v>0</v>
      </c>
      <c r="BW79" s="33" t="n">
        <f aca="false">In_AtRisk_Rate/Days_In_Year*(1-BW19)*(BW78*BW$5-(BW$4+1)*BW57-BW77)*(BW$4&lt;=In_COD)</f>
        <v>0</v>
      </c>
      <c r="BX79" s="33" t="n">
        <f aca="false">In_AtRisk_Rate/Days_In_Year*(1-BX19)*(BX78*BX$5-(BX$4+1)*BX57-BX77)*(BX$4&lt;=In_COD)</f>
        <v>0</v>
      </c>
      <c r="BY79" s="33" t="n">
        <f aca="false">In_AtRisk_Rate/Days_In_Year*(1-BY19)*(BY78*BY$5-(BY$4+1)*BY57-BY77)*(BY$4&lt;=In_COD)</f>
        <v>0</v>
      </c>
      <c r="BZ79" s="33" t="n">
        <f aca="false">In_AtRisk_Rate/Days_In_Year*(1-BZ19)*(BZ78*BZ$5-(BZ$4+1)*BZ57-BZ77)*(BZ$4&lt;=In_COD)</f>
        <v>0</v>
      </c>
      <c r="CA79" s="33" t="n">
        <f aca="false">In_AtRisk_Rate/Days_In_Year*(1-CA19)*(CA78*CA$5-(CA$4+1)*CA57-CA77)*(CA$4&lt;=In_COD)</f>
        <v>0</v>
      </c>
      <c r="CB79" s="33" t="n">
        <f aca="false">In_AtRisk_Rate/Days_In_Year*(1-CB19)*(CB78*CB$5-(CB$4+1)*CB57-CB77)*(CB$4&lt;=In_COD)</f>
        <v>0</v>
      </c>
      <c r="CC79" s="33" t="n">
        <f aca="false">In_AtRisk_Rate/Days_In_Year*(1-CC19)*(CC78*CC$5-(CC$4+1)*CC57-CC77)*(CC$4&lt;=In_COD)</f>
        <v>0</v>
      </c>
      <c r="CD79" s="33" t="n">
        <f aca="false">In_AtRisk_Rate/Days_In_Year*(1-CD19)*(CD78*CD$5-(CD$4+1)*CD57-CD77)*(CD$4&lt;=In_COD)</f>
        <v>0</v>
      </c>
      <c r="CE79" s="33" t="n">
        <f aca="false">In_AtRisk_Rate/Days_In_Year*(1-CE19)*(CE78*CE$5-(CE$4+1)*CE57-CE77)*(CE$4&lt;=In_COD)</f>
        <v>0</v>
      </c>
      <c r="CF79" s="33" t="n">
        <f aca="false">In_AtRisk_Rate/Days_In_Year*(1-CF19)*(CF78*CF$5-(CF$4+1)*CF57-CF77)*(CF$4&lt;=In_COD)</f>
        <v>0</v>
      </c>
      <c r="CG79" s="33" t="n">
        <f aca="false">In_AtRisk_Rate/Days_In_Year*(1-CG19)*(CG78*CG$5-(CG$4+1)*CG57-CG77)*(CG$4&lt;=In_COD)</f>
        <v>0</v>
      </c>
      <c r="CH79" s="33" t="n">
        <f aca="false">In_AtRisk_Rate/Days_In_Year*(1-CH19)*(CH78*CH$5-(CH$4+1)*CH57-CH77)*(CH$4&lt;=In_COD)</f>
        <v>0</v>
      </c>
      <c r="CI79" s="33" t="n">
        <f aca="false">In_AtRisk_Rate/Days_In_Year*(1-CI19)*(CI78*CI$5-(CI$4+1)*CI57-CI77)*(CI$4&lt;=In_COD)</f>
        <v>0</v>
      </c>
      <c r="CJ79" s="33" t="n">
        <f aca="false">In_AtRisk_Rate/Days_In_Year*(1-CJ19)*(CJ78*CJ$5-(CJ$4+1)*CJ57-CJ77)*(CJ$4&lt;=In_COD)</f>
        <v>0</v>
      </c>
      <c r="CK79" s="33" t="n">
        <f aca="false">In_AtRisk_Rate/Days_In_Year*(1-CK19)*(CK78*CK$5-(CK$4+1)*CK57-CK77)*(CK$4&lt;=In_COD)</f>
        <v>0</v>
      </c>
      <c r="CL79" s="33" t="n">
        <f aca="false">In_AtRisk_Rate/Days_In_Year*(1-CL19)*(CL78*CL$5-(CL$4+1)*CL57-CL77)*(CL$4&lt;=In_COD)</f>
        <v>0</v>
      </c>
      <c r="CM79" s="33" t="n">
        <f aca="false">In_AtRisk_Rate/Days_In_Year*(1-CM19)*(CM78*CM$5-(CM$4+1)*CM57-CM77)*(CM$4&lt;=In_COD)</f>
        <v>0</v>
      </c>
      <c r="CN79" s="33" t="n">
        <f aca="false">In_AtRisk_Rate/Days_In_Year*(1-CN19)*(CN78*CN$5-(CN$4+1)*CN57-CN77)*(CN$4&lt;=In_COD)</f>
        <v>0</v>
      </c>
      <c r="CO79" s="33" t="n">
        <f aca="false">In_AtRisk_Rate/Days_In_Year*(1-CO19)*(CO78*CO$5-(CO$4+1)*CO57-CO77)*(CO$4&lt;=In_COD)</f>
        <v>0</v>
      </c>
      <c r="CP79" s="33" t="n">
        <f aca="false">In_AtRisk_Rate/Days_In_Year*(1-CP19)*(CP78*CP$5-(CP$4+1)*CP57-CP77)*(CP$4&lt;=In_COD)</f>
        <v>0</v>
      </c>
      <c r="CQ79" s="33" t="n">
        <f aca="false">In_AtRisk_Rate/Days_In_Year*(1-CQ19)*(CQ78*CQ$5-(CQ$4+1)*CQ57-CQ77)*(CQ$4&lt;=In_COD)</f>
        <v>0</v>
      </c>
      <c r="CR79" s="33" t="n">
        <f aca="false">In_AtRisk_Rate/Days_In_Year*(1-CR19)*(CR78*CR$5-(CR$4+1)*CR57-CR77)*(CR$4&lt;=In_COD)</f>
        <v>0</v>
      </c>
      <c r="CS79" s="33" t="n">
        <f aca="false">In_AtRisk_Rate/Days_In_Year*(1-CS19)*(CS78*CS$5-(CS$4+1)*CS57-CS77)*(CS$4&lt;=In_COD)</f>
        <v>0</v>
      </c>
      <c r="CT79" s="33" t="n">
        <f aca="false">In_AtRisk_Rate/Days_In_Year*(1-CT19)*(CT78*CT$5-(CT$4+1)*CT57-CT77)*(CT$4&lt;=In_COD)</f>
        <v>0</v>
      </c>
      <c r="CU79" s="33" t="n">
        <f aca="false">In_AtRisk_Rate/Days_In_Year*(1-CU19)*(CU78*CU$5-(CU$4+1)*CU57-CU77)*(CU$4&lt;=In_COD)</f>
        <v>0</v>
      </c>
      <c r="CV79" s="33" t="n">
        <f aca="false">In_AtRisk_Rate/Days_In_Year*(1-CV19)*(CV78*CV$5-(CV$4+1)*CV57-CV77)*(CV$4&lt;=In_COD)</f>
        <v>0</v>
      </c>
      <c r="CW79" s="33" t="n">
        <f aca="false">In_AtRisk_Rate/Days_In_Year*(1-CW19)*(CW78*CW$5-(CW$4+1)*CW57-CW77)*(CW$4&lt;=In_COD)</f>
        <v>0</v>
      </c>
      <c r="CX79" s="33" t="n">
        <f aca="false">In_AtRisk_Rate/Days_In_Year*(1-CX19)*(CX78*CX$5-(CX$4+1)*CX57-CX77)*(CX$4&lt;=In_COD)</f>
        <v>0</v>
      </c>
      <c r="CY79" s="33" t="n">
        <f aca="false">In_AtRisk_Rate/Days_In_Year*(1-CY19)*(CY78*CY$5-(CY$4+1)*CY57-CY77)*(CY$4&lt;=In_COD)</f>
        <v>0</v>
      </c>
      <c r="CZ79" s="33" t="n">
        <f aca="false">In_AtRisk_Rate/Days_In_Year*(1-CZ19)*(CZ78*CZ$5-(CZ$4+1)*CZ57-CZ77)*(CZ$4&lt;=In_COD)</f>
        <v>0</v>
      </c>
      <c r="DA79" s="33" t="n">
        <f aca="false">In_AtRisk_Rate/Days_In_Year*(1-DA19)*(DA78*DA$5-(DA$4+1)*DA57-DA77)*(DA$4&lt;=In_COD)</f>
        <v>0</v>
      </c>
      <c r="DB79" s="33" t="n">
        <f aca="false">In_AtRisk_Rate/Days_In_Year*(1-DB19)*(DB78*DB$5-(DB$4+1)*DB57-DB77)*(DB$4&lt;=In_COD)</f>
        <v>0</v>
      </c>
      <c r="DC79" s="33" t="n">
        <f aca="false">In_AtRisk_Rate/Days_In_Year*(1-DC19)*(DC78*DC$5-(DC$4+1)*DC57-DC77)*(DC$4&lt;=In_COD)</f>
        <v>0</v>
      </c>
      <c r="DD79" s="33" t="n">
        <f aca="false">In_AtRisk_Rate/Days_In_Year*(1-DD19)*(DD78*DD$5-(DD$4+1)*DD57-DD77)*(DD$4&lt;=In_COD)</f>
        <v>0</v>
      </c>
      <c r="DE79" s="33" t="n">
        <f aca="false">In_AtRisk_Rate/Days_In_Year*(1-DE19)*(DE78*DE$5-(DE$4+1)*DE57-DE77)*(DE$4&lt;=In_COD)</f>
        <v>0</v>
      </c>
      <c r="DF79" s="33" t="n">
        <f aca="false">In_AtRisk_Rate/Days_In_Year*(1-DF19)*(DF78*DF$5-(DF$4+1)*DF57-DF77)*(DF$4&lt;=In_COD)</f>
        <v>0</v>
      </c>
      <c r="DG79" s="33" t="n">
        <f aca="false">In_AtRisk_Rate/Days_In_Year*(1-DG19)*(DG78*DG$5-(DG$4+1)*DG57-DG77)*(DG$4&lt;=In_COD)</f>
        <v>0</v>
      </c>
      <c r="DH79" s="33" t="n">
        <f aca="false">In_AtRisk_Rate/Days_In_Year*(1-DH19)*(DH78*DH$5-(DH$4+1)*DH57-DH77)*(DH$4&lt;=In_COD)</f>
        <v>0</v>
      </c>
      <c r="DI79" s="33" t="n">
        <f aca="false">In_AtRisk_Rate/Days_In_Year*(1-DI19)*(DI78*DI$5-(DI$4+1)*DI57-DI77)*(DI$4&lt;=In_COD)</f>
        <v>0</v>
      </c>
      <c r="DJ79" s="33" t="n">
        <f aca="false">In_AtRisk_Rate/Days_In_Year*(1-DJ19)*(DJ78*DJ$5-(DJ$4+1)*DJ57-DJ77)*(DJ$4&lt;=In_COD)</f>
        <v>0</v>
      </c>
      <c r="DK79" s="33" t="n">
        <f aca="false">In_AtRisk_Rate/Days_In_Year*(1-DK19)*(DK78*DK$5-(DK$4+1)*DK57-DK77)*(DK$4&lt;=In_COD)</f>
        <v>0</v>
      </c>
      <c r="DL79" s="33" t="n">
        <f aca="false">In_AtRisk_Rate/Days_In_Year*(1-DL19)*(DL78*DL$5-(DL$4+1)*DL57-DL77)*(DL$4&lt;=In_COD)</f>
        <v>0</v>
      </c>
      <c r="DM79" s="33" t="n">
        <f aca="false">In_AtRisk_Rate/Days_In_Year*(1-DM19)*(DM78*DM$5-(DM$4+1)*DM57-DM77)*(DM$4&lt;=In_COD)</f>
        <v>0</v>
      </c>
      <c r="DN79" s="33" t="n">
        <f aca="false">In_AtRisk_Rate/Days_In_Year*(1-DN19)*(DN78*DN$5-(DN$4+1)*DN57-DN77)*(DN$4&lt;=In_COD)</f>
        <v>0</v>
      </c>
      <c r="DO79" s="33" t="n">
        <f aca="false">In_AtRisk_Rate/Days_In_Year*(1-DO19)*(DO78*DO$5-(DO$4+1)*DO57-DO77)*(DO$4&lt;=In_COD)</f>
        <v>0</v>
      </c>
      <c r="DP79" s="33" t="n">
        <f aca="false">In_AtRisk_Rate/Days_In_Year*(1-DP19)*(DP78*DP$5-(DP$4+1)*DP57-DP77)*(DP$4&lt;=In_COD)</f>
        <v>0</v>
      </c>
      <c r="DQ79" s="33" t="n">
        <f aca="false">In_AtRisk_Rate/Days_In_Year*(1-DQ19)*(DQ78*DQ$5-(DQ$4+1)*DQ57-DQ77)*(DQ$4&lt;=In_COD)</f>
        <v>0</v>
      </c>
      <c r="DR79" s="33" t="n">
        <f aca="false">In_AtRisk_Rate/Days_In_Year*(1-DR19)*(DR78*DR$5-(DR$4+1)*DR57-DR77)*(DR$4&lt;=In_COD)</f>
        <v>0</v>
      </c>
      <c r="DS79" s="33" t="n">
        <f aca="false">In_AtRisk_Rate/Days_In_Year*(1-DS19)*(DS78*DS$5-(DS$4+1)*DS57-DS77)*(DS$4&lt;=In_COD)</f>
        <v>0</v>
      </c>
      <c r="DT79" s="33" t="n">
        <f aca="false">In_AtRisk_Rate/Days_In_Year*(1-DT19)*(DT78*DT$5-(DT$4+1)*DT57-DT77)*(DT$4&lt;=In_COD)</f>
        <v>0</v>
      </c>
      <c r="DU79" s="33" t="n">
        <f aca="false">In_AtRisk_Rate/Days_In_Year*(1-DU19)*(DU78*DU$5-(DU$4+1)*DU57-DU77)*(DU$4&lt;=In_COD)</f>
        <v>0</v>
      </c>
      <c r="DV79" s="33" t="n">
        <f aca="false">In_AtRisk_Rate/Days_In_Year*(1-DV19)*(DV78*DV$5-(DV$4+1)*DV57-DV77)*(DV$4&lt;=In_COD)</f>
        <v>0</v>
      </c>
      <c r="DW79" s="33" t="n">
        <f aca="false">In_AtRisk_Rate/Days_In_Year*(1-DW19)*(DW78*DW$5-(DW$4+1)*DW57-DW77)*(DW$4&lt;=In_COD)</f>
        <v>0</v>
      </c>
      <c r="DX79" s="33" t="n">
        <f aca="false">In_AtRisk_Rate/Days_In_Year*(1-DX19)*(DX78*DX$5-(DX$4+1)*DX57-DX77)*(DX$4&lt;=In_COD)</f>
        <v>0</v>
      </c>
      <c r="DY79" s="33" t="n">
        <f aca="false">In_AtRisk_Rate/Days_In_Year*(1-DY19)*(DY78*DY$5-(DY$4+1)*DY57-DY77)*(DY$4&lt;=In_COD)</f>
        <v>0</v>
      </c>
      <c r="DZ79" s="33" t="n">
        <f aca="false">In_AtRisk_Rate/Days_In_Year*(1-DZ19)*(DZ78*DZ$5-(DZ$4+1)*DZ57-DZ77)*(DZ$4&lt;=In_COD)</f>
        <v>0</v>
      </c>
      <c r="EA79" s="33" t="n">
        <f aca="false">In_AtRisk_Rate/Days_In_Year*(1-EA19)*(EA78*EA$5-(EA$4+1)*EA57-EA77)*(EA$4&lt;=In_COD)</f>
        <v>0</v>
      </c>
      <c r="EB79" s="33" t="n">
        <f aca="false">In_AtRisk_Rate/Days_In_Year*(1-EB19)*(EB78*EB$5-(EB$4+1)*EB57-EB77)*(EB$4&lt;=In_COD)</f>
        <v>0</v>
      </c>
      <c r="EC79" s="33" t="n">
        <f aca="false">In_AtRisk_Rate/Days_In_Year*(1-EC19)*(EC78*EC$5-(EC$4+1)*EC57-EC77)*(EC$4&lt;=In_COD)</f>
        <v>0</v>
      </c>
      <c r="ED79" s="33" t="n">
        <f aca="false">In_AtRisk_Rate/Days_In_Year*(1-ED19)*(ED78*ED$5-(ED$4+1)*ED57-ED77)*(ED$4&lt;=In_COD)</f>
        <v>0</v>
      </c>
      <c r="EE79" s="33" t="n">
        <f aca="false">In_AtRisk_Rate/Days_In_Year*(1-EE19)*(EE78*EE$5-(EE$4+1)*EE57-EE77)*(EE$4&lt;=In_COD)</f>
        <v>0</v>
      </c>
      <c r="EF79" s="33" t="n">
        <f aca="false">In_AtRisk_Rate/Days_In_Year*(1-EF19)*(EF78*EF$5-(EF$4+1)*EF57-EF77)*(EF$4&lt;=In_COD)</f>
        <v>0</v>
      </c>
      <c r="EG79" s="33" t="n">
        <f aca="false">In_AtRisk_Rate/Days_In_Year*(1-EG19)*(EG78*EG$5-(EG$4+1)*EG57-EG77)*(EG$4&lt;=In_COD)</f>
        <v>0</v>
      </c>
      <c r="EH79" s="33" t="n">
        <f aca="false">In_AtRisk_Rate/Days_In_Year*(1-EH19)*(EH78*EH$5-(EH$4+1)*EH57-EH77)*(EH$4&lt;=In_COD)</f>
        <v>0</v>
      </c>
      <c r="EI79" s="33" t="n">
        <f aca="false">In_AtRisk_Rate/Days_In_Year*(1-EI19)*(EI78*EI$5-(EI$4+1)*EI57-EI77)*(EI$4&lt;=In_COD)</f>
        <v>0</v>
      </c>
      <c r="EJ79" s="33" t="n">
        <f aca="false">In_AtRisk_Rate/Days_In_Year*(1-EJ19)*(EJ78*EJ$5-(EJ$4+1)*EJ57-EJ77)*(EJ$4&lt;=In_COD)</f>
        <v>0</v>
      </c>
      <c r="EK79" s="33" t="n">
        <f aca="false">In_AtRisk_Rate/Days_In_Year*(1-EK19)*(EK78*EK$5-(EK$4+1)*EK57-EK77)*(EK$4&lt;=In_COD)</f>
        <v>0</v>
      </c>
      <c r="EL79" s="33" t="n">
        <f aca="false">In_AtRisk_Rate/Days_In_Year*(1-EL19)*(EL78*EL$5-(EL$4+1)*EL57-EL77)*(EL$4&lt;=In_COD)</f>
        <v>0</v>
      </c>
      <c r="EM79" s="33" t="n">
        <f aca="false">In_AtRisk_Rate/Days_In_Year*(1-EM19)*(EM78*EM$5-(EM$4+1)*EM57-EM77)*(EM$4&lt;=In_COD)</f>
        <v>0</v>
      </c>
      <c r="EN79" s="33" t="n">
        <f aca="false">In_AtRisk_Rate/Days_In_Year*(1-EN19)*(EN78*EN$5-(EN$4+1)*EN57-EN77)*(EN$4&lt;=In_COD)</f>
        <v>0</v>
      </c>
      <c r="EO79" s="33" t="n">
        <f aca="false">In_AtRisk_Rate/Days_In_Year*(1-EO19)*(EO78*EO$5-(EO$4+1)*EO57-EO77)*(EO$4&lt;=In_COD)</f>
        <v>0</v>
      </c>
      <c r="EP79" s="33" t="n">
        <f aca="false">In_AtRisk_Rate/Days_In_Year*(1-EP19)*(EP78*EP$5-(EP$4+1)*EP57-EP77)*(EP$4&lt;=In_COD)</f>
        <v>0</v>
      </c>
      <c r="EQ79" s="33" t="n">
        <f aca="false">In_AtRisk_Rate/Days_In_Year*(1-EQ19)*(EQ78*EQ$5-(EQ$4+1)*EQ57-EQ77)*(EQ$4&lt;=In_COD)</f>
        <v>0</v>
      </c>
      <c r="ER79" s="33" t="n">
        <f aca="false">In_AtRisk_Rate/Days_In_Year*(1-ER19)*(ER78*ER$5-(ER$4+1)*ER57-ER77)*(ER$4&lt;=In_COD)</f>
        <v>0</v>
      </c>
      <c r="ES79" s="33" t="n">
        <f aca="false">In_AtRisk_Rate/Days_In_Year*(1-ES19)*(ES78*ES$5-(ES$4+1)*ES57-ES77)*(ES$4&lt;=In_COD)</f>
        <v>0</v>
      </c>
      <c r="ET79" s="33" t="n">
        <f aca="false">In_AtRisk_Rate/Days_In_Year*(1-ET19)*(ET78*ET$5-(ET$4+1)*ET57-ET77)*(ET$4&lt;=In_COD)</f>
        <v>0</v>
      </c>
    </row>
    <row r="80" customFormat="false" ht="15" hidden="false" customHeight="false" outlineLevel="0" collapsed="false">
      <c r="C80" s="0" t="s">
        <v>528</v>
      </c>
      <c r="D80" s="11" t="s">
        <v>247</v>
      </c>
      <c r="I80" s="33" t="n">
        <f aca="false">SUM(J80:ET80)</f>
        <v>2570.93661832238</v>
      </c>
      <c r="J80" s="33" t="n">
        <f aca="false">J20*SUMIF($J$7:J$7,J$7,$J79:J79)</f>
        <v>0</v>
      </c>
      <c r="K80" s="33" t="n">
        <f aca="false">K20*SUMIF($J$7:K$7,K$7,$J79:K79)</f>
        <v>8.99939200600482</v>
      </c>
      <c r="L80" s="33" t="n">
        <f aca="false">L20*SUMIF($J$7:L$7,L$7,$J79:L79)</f>
        <v>0</v>
      </c>
      <c r="M80" s="33" t="n">
        <f aca="false">M20*SUMIF($J$7:M$7,M$7,$J79:M79)</f>
        <v>0</v>
      </c>
      <c r="N80" s="33" t="n">
        <f aca="false">N20*SUMIF($J$7:N$7,N$7,$J79:N79)</f>
        <v>0</v>
      </c>
      <c r="O80" s="33" t="n">
        <f aca="false">O20*SUMIF($J$7:O$7,O$7,$J79:O79)</f>
        <v>147.186477763184</v>
      </c>
      <c r="P80" s="33" t="n">
        <f aca="false">P20*SUMIF($J$7:P$7,P$7,$J79:P79)</f>
        <v>0</v>
      </c>
      <c r="Q80" s="33" t="n">
        <f aca="false">Q20*SUMIF($J$7:Q$7,Q$7,$J79:Q79)</f>
        <v>0</v>
      </c>
      <c r="R80" s="33" t="n">
        <f aca="false">R20*SUMIF($J$7:R$7,R$7,$J79:R79)</f>
        <v>0</v>
      </c>
      <c r="S80" s="33" t="n">
        <f aca="false">S20*SUMIF($J$7:S$7,S$7,$J79:S79)</f>
        <v>487.461555603092</v>
      </c>
      <c r="T80" s="33" t="n">
        <f aca="false">T20*SUMIF($J$7:T$7,T$7,$J79:T79)</f>
        <v>0</v>
      </c>
      <c r="U80" s="33" t="n">
        <f aca="false">U20*SUMIF($J$7:U$7,U$7,$J79:U79)</f>
        <v>0</v>
      </c>
      <c r="V80" s="33" t="n">
        <f aca="false">V20*SUMIF($J$7:V$7,V$7,$J79:V79)</f>
        <v>0</v>
      </c>
      <c r="W80" s="33" t="n">
        <f aca="false">W20*SUMIF($J$7:W$7,W$7,$J79:W79)</f>
        <v>361.79720103671</v>
      </c>
      <c r="X80" s="33" t="n">
        <f aca="false">X20*SUMIF($J$7:X$7,X$7,$J79:X79)</f>
        <v>0</v>
      </c>
      <c r="Y80" s="33" t="n">
        <f aca="false">Y20*SUMIF($J$7:Y$7,Y$7,$J79:Y79)</f>
        <v>0</v>
      </c>
      <c r="Z80" s="33" t="n">
        <f aca="false">Z20*SUMIF($J$7:Z$7,Z$7,$J79:Z79)</f>
        <v>0</v>
      </c>
      <c r="AA80" s="33" t="n">
        <f aca="false">AA20*SUMIF($J$7:AA$7,AA$7,$J79:AA79)</f>
        <v>825.013827675984</v>
      </c>
      <c r="AB80" s="33" t="n">
        <f aca="false">AB20*SUMIF($J$7:AB$7,AB$7,$J79:AB79)</f>
        <v>0</v>
      </c>
      <c r="AC80" s="33" t="n">
        <f aca="false">AC20*SUMIF($J$7:AC$7,AC$7,$J79:AC79)</f>
        <v>0</v>
      </c>
      <c r="AD80" s="33" t="n">
        <f aca="false">AD20*SUMIF($J$7:AD$7,AD$7,$J79:AD79)</f>
        <v>0</v>
      </c>
      <c r="AE80" s="33" t="n">
        <f aca="false">AE20*SUMIF($J$7:AE$7,AE$7,$J79:AE79)</f>
        <v>740.478164237403</v>
      </c>
      <c r="AF80" s="33" t="n">
        <f aca="false">AF20*SUMIF($J$7:AF$7,AF$7,$J79:AF79)</f>
        <v>0</v>
      </c>
      <c r="AG80" s="33" t="n">
        <f aca="false">AG20*SUMIF($J$7:AG$7,AG$7,$J79:AG79)</f>
        <v>0</v>
      </c>
      <c r="AH80" s="33" t="n">
        <f aca="false">AH20*SUMIF($J$7:AH$7,AH$7,$J79:AH79)</f>
        <v>0</v>
      </c>
      <c r="AI80" s="33" t="n">
        <f aca="false">AI20*SUMIF($J$7:AI$7,AI$7,$J79:AI79)</f>
        <v>0</v>
      </c>
      <c r="AJ80" s="33" t="n">
        <f aca="false">AJ20*SUMIF($J$7:AJ$7,AJ$7,$J79:AJ79)</f>
        <v>0</v>
      </c>
      <c r="AK80" s="33" t="n">
        <f aca="false">AK20*SUMIF($J$7:AK$7,AK$7,$J79:AK79)</f>
        <v>0</v>
      </c>
      <c r="AL80" s="33" t="n">
        <f aca="false">AL20*SUMIF($J$7:AL$7,AL$7,$J79:AL79)</f>
        <v>0</v>
      </c>
      <c r="AM80" s="33" t="n">
        <f aca="false">AM20*SUMIF($J$7:AM$7,AM$7,$J79:AM79)</f>
        <v>0</v>
      </c>
      <c r="AN80" s="33" t="n">
        <f aca="false">AN20*SUMIF($J$7:AN$7,AN$7,$J79:AN79)</f>
        <v>0</v>
      </c>
      <c r="AO80" s="33" t="n">
        <f aca="false">AO20*SUMIF($J$7:AO$7,AO$7,$J79:AO79)</f>
        <v>0</v>
      </c>
      <c r="AP80" s="33" t="n">
        <f aca="false">AP20*SUMIF($J$7:AP$7,AP$7,$J79:AP79)</f>
        <v>0</v>
      </c>
      <c r="AQ80" s="33" t="n">
        <f aca="false">AQ20*SUMIF($J$7:AQ$7,AQ$7,$J79:AQ79)</f>
        <v>0</v>
      </c>
      <c r="AR80" s="33" t="n">
        <f aca="false">AR20*SUMIF($J$7:AR$7,AR$7,$J79:AR79)</f>
        <v>0</v>
      </c>
      <c r="AS80" s="33" t="n">
        <f aca="false">AS20*SUMIF($J$7:AS$7,AS$7,$J79:AS79)</f>
        <v>0</v>
      </c>
      <c r="AT80" s="33" t="n">
        <f aca="false">AT20*SUMIF($J$7:AT$7,AT$7,$J79:AT79)</f>
        <v>0</v>
      </c>
      <c r="AU80" s="33" t="n">
        <f aca="false">AU20*SUMIF($J$7:AU$7,AU$7,$J79:AU79)</f>
        <v>0</v>
      </c>
      <c r="AV80" s="33" t="n">
        <f aca="false">AV20*SUMIF($J$7:AV$7,AV$7,$J79:AV79)</f>
        <v>0</v>
      </c>
      <c r="AW80" s="33" t="n">
        <f aca="false">AW20*SUMIF($J$7:AW$7,AW$7,$J79:AW79)</f>
        <v>0</v>
      </c>
      <c r="AX80" s="33" t="n">
        <f aca="false">AX20*SUMIF($J$7:AX$7,AX$7,$J79:AX79)</f>
        <v>0</v>
      </c>
      <c r="AY80" s="33" t="n">
        <f aca="false">AY20*SUMIF($J$7:AY$7,AY$7,$J79:AY79)</f>
        <v>0</v>
      </c>
      <c r="AZ80" s="33" t="n">
        <f aca="false">AZ20*SUMIF($J$7:AZ$7,AZ$7,$J79:AZ79)</f>
        <v>0</v>
      </c>
      <c r="BA80" s="33" t="n">
        <f aca="false">BA20*SUMIF($J$7:BA$7,BA$7,$J79:BA79)</f>
        <v>0</v>
      </c>
      <c r="BB80" s="33" t="n">
        <f aca="false">BB20*SUMIF($J$7:BB$7,BB$7,$J79:BB79)</f>
        <v>0</v>
      </c>
      <c r="BC80" s="33" t="n">
        <f aca="false">BC20*SUMIF($J$7:BC$7,BC$7,$J79:BC79)</f>
        <v>0</v>
      </c>
      <c r="BD80" s="33" t="n">
        <f aca="false">BD20*SUMIF($J$7:BD$7,BD$7,$J79:BD79)</f>
        <v>0</v>
      </c>
      <c r="BE80" s="33" t="n">
        <f aca="false">BE20*SUMIF($J$7:BE$7,BE$7,$J79:BE79)</f>
        <v>0</v>
      </c>
      <c r="BF80" s="33" t="n">
        <f aca="false">BF20*SUMIF($J$7:BF$7,BF$7,$J79:BF79)</f>
        <v>0</v>
      </c>
      <c r="BG80" s="33" t="n">
        <f aca="false">BG20*SUMIF($J$7:BG$7,BG$7,$J79:BG79)</f>
        <v>0</v>
      </c>
      <c r="BH80" s="33" t="n">
        <f aca="false">BH20*SUMIF($J$7:BH$7,BH$7,$J79:BH79)</f>
        <v>0</v>
      </c>
      <c r="BI80" s="33" t="n">
        <f aca="false">BI20*SUMIF($J$7:BI$7,BI$7,$J79:BI79)</f>
        <v>0</v>
      </c>
      <c r="BJ80" s="33" t="n">
        <f aca="false">BJ20*SUMIF($J$7:BJ$7,BJ$7,$J79:BJ79)</f>
        <v>0</v>
      </c>
      <c r="BK80" s="33" t="n">
        <f aca="false">BK20*SUMIF($J$7:BK$7,BK$7,$J79:BK79)</f>
        <v>0</v>
      </c>
      <c r="BL80" s="33" t="n">
        <f aca="false">BL20*SUMIF($J$7:BL$7,BL$7,$J79:BL79)</f>
        <v>0</v>
      </c>
      <c r="BM80" s="33" t="n">
        <f aca="false">BM20*SUMIF($J$7:BM$7,BM$7,$J79:BM79)</f>
        <v>0</v>
      </c>
      <c r="BN80" s="33" t="n">
        <f aca="false">BN20*SUMIF($J$7:BN$7,BN$7,$J79:BN79)</f>
        <v>0</v>
      </c>
      <c r="BO80" s="33" t="n">
        <f aca="false">BO20*SUMIF($J$7:BO$7,BO$7,$J79:BO79)</f>
        <v>0</v>
      </c>
      <c r="BP80" s="33" t="n">
        <f aca="false">BP20*SUMIF($J$7:BP$7,BP$7,$J79:BP79)</f>
        <v>0</v>
      </c>
      <c r="BQ80" s="33" t="n">
        <f aca="false">BQ20*SUMIF($J$7:BQ$7,BQ$7,$J79:BQ79)</f>
        <v>0</v>
      </c>
      <c r="BR80" s="33" t="n">
        <f aca="false">BR20*SUMIF($J$7:BR$7,BR$7,$J79:BR79)</f>
        <v>0</v>
      </c>
      <c r="BS80" s="33" t="n">
        <f aca="false">BS20*SUMIF($J$7:BS$7,BS$7,$J79:BS79)</f>
        <v>0</v>
      </c>
      <c r="BT80" s="33" t="n">
        <f aca="false">BT20*SUMIF($J$7:BT$7,BT$7,$J79:BT79)</f>
        <v>0</v>
      </c>
      <c r="BU80" s="33" t="n">
        <f aca="false">BU20*SUMIF($J$7:BU$7,BU$7,$J79:BU79)</f>
        <v>0</v>
      </c>
      <c r="BV80" s="33" t="n">
        <f aca="false">BV20*SUMIF($J$7:BV$7,BV$7,$J79:BV79)</f>
        <v>0</v>
      </c>
      <c r="BW80" s="33" t="n">
        <f aca="false">BW20*SUMIF($J$7:BW$7,BW$7,$J79:BW79)</f>
        <v>0</v>
      </c>
      <c r="BX80" s="33" t="n">
        <f aca="false">BX20*SUMIF($J$7:BX$7,BX$7,$J79:BX79)</f>
        <v>0</v>
      </c>
      <c r="BY80" s="33" t="n">
        <f aca="false">BY20*SUMIF($J$7:BY$7,BY$7,$J79:BY79)</f>
        <v>0</v>
      </c>
      <c r="BZ80" s="33" t="n">
        <f aca="false">BZ20*SUMIF($J$7:BZ$7,BZ$7,$J79:BZ79)</f>
        <v>0</v>
      </c>
      <c r="CA80" s="33" t="n">
        <f aca="false">CA20*SUMIF($J$7:CA$7,CA$7,$J79:CA79)</f>
        <v>0</v>
      </c>
      <c r="CB80" s="33" t="n">
        <f aca="false">CB20*SUMIF($J$7:CB$7,CB$7,$J79:CB79)</f>
        <v>0</v>
      </c>
      <c r="CC80" s="33" t="n">
        <f aca="false">CC20*SUMIF($J$7:CC$7,CC$7,$J79:CC79)</f>
        <v>0</v>
      </c>
      <c r="CD80" s="33" t="n">
        <f aca="false">CD20*SUMIF($J$7:CD$7,CD$7,$J79:CD79)</f>
        <v>0</v>
      </c>
      <c r="CE80" s="33" t="n">
        <f aca="false">CE20*SUMIF($J$7:CE$7,CE$7,$J79:CE79)</f>
        <v>0</v>
      </c>
      <c r="CF80" s="33" t="n">
        <f aca="false">CF20*SUMIF($J$7:CF$7,CF$7,$J79:CF79)</f>
        <v>0</v>
      </c>
      <c r="CG80" s="33" t="n">
        <f aca="false">CG20*SUMIF($J$7:CG$7,CG$7,$J79:CG79)</f>
        <v>0</v>
      </c>
      <c r="CH80" s="33" t="n">
        <f aca="false">CH20*SUMIF($J$7:CH$7,CH$7,$J79:CH79)</f>
        <v>0</v>
      </c>
      <c r="CI80" s="33" t="n">
        <f aca="false">CI20*SUMIF($J$7:CI$7,CI$7,$J79:CI79)</f>
        <v>0</v>
      </c>
      <c r="CJ80" s="33" t="n">
        <f aca="false">CJ20*SUMIF($J$7:CJ$7,CJ$7,$J79:CJ79)</f>
        <v>0</v>
      </c>
      <c r="CK80" s="33" t="n">
        <f aca="false">CK20*SUMIF($J$7:CK$7,CK$7,$J79:CK79)</f>
        <v>0</v>
      </c>
      <c r="CL80" s="33" t="n">
        <f aca="false">CL20*SUMIF($J$7:CL$7,CL$7,$J79:CL79)</f>
        <v>0</v>
      </c>
      <c r="CM80" s="33" t="n">
        <f aca="false">CM20*SUMIF($J$7:CM$7,CM$7,$J79:CM79)</f>
        <v>0</v>
      </c>
      <c r="CN80" s="33" t="n">
        <f aca="false">CN20*SUMIF($J$7:CN$7,CN$7,$J79:CN79)</f>
        <v>0</v>
      </c>
      <c r="CO80" s="33" t="n">
        <f aca="false">CO20*SUMIF($J$7:CO$7,CO$7,$J79:CO79)</f>
        <v>0</v>
      </c>
      <c r="CP80" s="33" t="n">
        <f aca="false">CP20*SUMIF($J$7:CP$7,CP$7,$J79:CP79)</f>
        <v>0</v>
      </c>
      <c r="CQ80" s="33" t="n">
        <f aca="false">CQ20*SUMIF($J$7:CQ$7,CQ$7,$J79:CQ79)</f>
        <v>0</v>
      </c>
      <c r="CR80" s="33" t="n">
        <f aca="false">CR20*SUMIF($J$7:CR$7,CR$7,$J79:CR79)</f>
        <v>0</v>
      </c>
      <c r="CS80" s="33" t="n">
        <f aca="false">CS20*SUMIF($J$7:CS$7,CS$7,$J79:CS79)</f>
        <v>0</v>
      </c>
      <c r="CT80" s="33" t="n">
        <f aca="false">CT20*SUMIF($J$7:CT$7,CT$7,$J79:CT79)</f>
        <v>0</v>
      </c>
      <c r="CU80" s="33" t="n">
        <f aca="false">CU20*SUMIF($J$7:CU$7,CU$7,$J79:CU79)</f>
        <v>0</v>
      </c>
      <c r="CV80" s="33" t="n">
        <f aca="false">CV20*SUMIF($J$7:CV$7,CV$7,$J79:CV79)</f>
        <v>0</v>
      </c>
      <c r="CW80" s="33" t="n">
        <f aca="false">CW20*SUMIF($J$7:CW$7,CW$7,$J79:CW79)</f>
        <v>0</v>
      </c>
      <c r="CX80" s="33" t="n">
        <f aca="false">CX20*SUMIF($J$7:CX$7,CX$7,$J79:CX79)</f>
        <v>0</v>
      </c>
      <c r="CY80" s="33" t="n">
        <f aca="false">CY20*SUMIF($J$7:CY$7,CY$7,$J79:CY79)</f>
        <v>0</v>
      </c>
      <c r="CZ80" s="33" t="n">
        <f aca="false">CZ20*SUMIF($J$7:CZ$7,CZ$7,$J79:CZ79)</f>
        <v>0</v>
      </c>
      <c r="DA80" s="33" t="n">
        <f aca="false">DA20*SUMIF($J$7:DA$7,DA$7,$J79:DA79)</f>
        <v>0</v>
      </c>
      <c r="DB80" s="33" t="n">
        <f aca="false">DB20*SUMIF($J$7:DB$7,DB$7,$J79:DB79)</f>
        <v>0</v>
      </c>
      <c r="DC80" s="33" t="n">
        <f aca="false">DC20*SUMIF($J$7:DC$7,DC$7,$J79:DC79)</f>
        <v>0</v>
      </c>
      <c r="DD80" s="33" t="n">
        <f aca="false">DD20*SUMIF($J$7:DD$7,DD$7,$J79:DD79)</f>
        <v>0</v>
      </c>
      <c r="DE80" s="33" t="n">
        <f aca="false">DE20*SUMIF($J$7:DE$7,DE$7,$J79:DE79)</f>
        <v>0</v>
      </c>
      <c r="DF80" s="33" t="n">
        <f aca="false">DF20*SUMIF($J$7:DF$7,DF$7,$J79:DF79)</f>
        <v>0</v>
      </c>
      <c r="DG80" s="33" t="n">
        <f aca="false">DG20*SUMIF($J$7:DG$7,DG$7,$J79:DG79)</f>
        <v>0</v>
      </c>
      <c r="DH80" s="33" t="n">
        <f aca="false">DH20*SUMIF($J$7:DH$7,DH$7,$J79:DH79)</f>
        <v>0</v>
      </c>
      <c r="DI80" s="33" t="n">
        <f aca="false">DI20*SUMIF($J$7:DI$7,DI$7,$J79:DI79)</f>
        <v>0</v>
      </c>
      <c r="DJ80" s="33" t="n">
        <f aca="false">DJ20*SUMIF($J$7:DJ$7,DJ$7,$J79:DJ79)</f>
        <v>0</v>
      </c>
      <c r="DK80" s="33" t="n">
        <f aca="false">DK20*SUMIF($J$7:DK$7,DK$7,$J79:DK79)</f>
        <v>0</v>
      </c>
      <c r="DL80" s="33" t="n">
        <f aca="false">DL20*SUMIF($J$7:DL$7,DL$7,$J79:DL79)</f>
        <v>0</v>
      </c>
      <c r="DM80" s="33" t="n">
        <f aca="false">DM20*SUMIF($J$7:DM$7,DM$7,$J79:DM79)</f>
        <v>0</v>
      </c>
      <c r="DN80" s="33" t="n">
        <f aca="false">DN20*SUMIF($J$7:DN$7,DN$7,$J79:DN79)</f>
        <v>0</v>
      </c>
      <c r="DO80" s="33" t="n">
        <f aca="false">DO20*SUMIF($J$7:DO$7,DO$7,$J79:DO79)</f>
        <v>0</v>
      </c>
      <c r="DP80" s="33" t="n">
        <f aca="false">DP20*SUMIF($J$7:DP$7,DP$7,$J79:DP79)</f>
        <v>0</v>
      </c>
      <c r="DQ80" s="33" t="n">
        <f aca="false">DQ20*SUMIF($J$7:DQ$7,DQ$7,$J79:DQ79)</f>
        <v>0</v>
      </c>
      <c r="DR80" s="33" t="n">
        <f aca="false">DR20*SUMIF($J$7:DR$7,DR$7,$J79:DR79)</f>
        <v>0</v>
      </c>
      <c r="DS80" s="33" t="n">
        <f aca="false">DS20*SUMIF($J$7:DS$7,DS$7,$J79:DS79)</f>
        <v>0</v>
      </c>
      <c r="DT80" s="33" t="n">
        <f aca="false">DT20*SUMIF($J$7:DT$7,DT$7,$J79:DT79)</f>
        <v>0</v>
      </c>
      <c r="DU80" s="33" t="n">
        <f aca="false">DU20*SUMIF($J$7:DU$7,DU$7,$J79:DU79)</f>
        <v>0</v>
      </c>
      <c r="DV80" s="33" t="n">
        <f aca="false">DV20*SUMIF($J$7:DV$7,DV$7,$J79:DV79)</f>
        <v>0</v>
      </c>
      <c r="DW80" s="33" t="n">
        <f aca="false">DW20*SUMIF($J$7:DW$7,DW$7,$J79:DW79)</f>
        <v>0</v>
      </c>
      <c r="DX80" s="33" t="n">
        <f aca="false">DX20*SUMIF($J$7:DX$7,DX$7,$J79:DX79)</f>
        <v>0</v>
      </c>
      <c r="DY80" s="33" t="n">
        <f aca="false">DY20*SUMIF($J$7:DY$7,DY$7,$J79:DY79)</f>
        <v>0</v>
      </c>
      <c r="DZ80" s="33" t="n">
        <f aca="false">DZ20*SUMIF($J$7:DZ$7,DZ$7,$J79:DZ79)</f>
        <v>0</v>
      </c>
      <c r="EA80" s="33" t="n">
        <f aca="false">EA20*SUMIF($J$7:EA$7,EA$7,$J79:EA79)</f>
        <v>0</v>
      </c>
      <c r="EB80" s="33" t="n">
        <f aca="false">EB20*SUMIF($J$7:EB$7,EB$7,$J79:EB79)</f>
        <v>0</v>
      </c>
      <c r="EC80" s="33" t="n">
        <f aca="false">EC20*SUMIF($J$7:EC$7,EC$7,$J79:EC79)</f>
        <v>0</v>
      </c>
      <c r="ED80" s="33" t="n">
        <f aca="false">ED20*SUMIF($J$7:ED$7,ED$7,$J79:ED79)</f>
        <v>0</v>
      </c>
      <c r="EE80" s="33" t="n">
        <f aca="false">EE20*SUMIF($J$7:EE$7,EE$7,$J79:EE79)</f>
        <v>0</v>
      </c>
      <c r="EF80" s="33" t="n">
        <f aca="false">EF20*SUMIF($J$7:EF$7,EF$7,$J79:EF79)</f>
        <v>0</v>
      </c>
      <c r="EG80" s="33" t="n">
        <f aca="false">EG20*SUMIF($J$7:EG$7,EG$7,$J79:EG79)</f>
        <v>0</v>
      </c>
      <c r="EH80" s="33" t="n">
        <f aca="false">EH20*SUMIF($J$7:EH$7,EH$7,$J79:EH79)</f>
        <v>0</v>
      </c>
      <c r="EI80" s="33" t="n">
        <f aca="false">EI20*SUMIF($J$7:EI$7,EI$7,$J79:EI79)</f>
        <v>0</v>
      </c>
      <c r="EJ80" s="33" t="n">
        <f aca="false">EJ20*SUMIF($J$7:EJ$7,EJ$7,$J79:EJ79)</f>
        <v>0</v>
      </c>
      <c r="EK80" s="33" t="n">
        <f aca="false">EK20*SUMIF($J$7:EK$7,EK$7,$J79:EK79)</f>
        <v>0</v>
      </c>
      <c r="EL80" s="33" t="n">
        <f aca="false">EL20*SUMIF($J$7:EL$7,EL$7,$J79:EL79)</f>
        <v>0</v>
      </c>
      <c r="EM80" s="33" t="n">
        <f aca="false">EM20*SUMIF($J$7:EM$7,EM$7,$J79:EM79)</f>
        <v>0</v>
      </c>
      <c r="EN80" s="33" t="n">
        <f aca="false">EN20*SUMIF($J$7:EN$7,EN$7,$J79:EN79)</f>
        <v>0</v>
      </c>
      <c r="EO80" s="33" t="n">
        <f aca="false">EO20*SUMIF($J$7:EO$7,EO$7,$J79:EO79)</f>
        <v>0</v>
      </c>
      <c r="EP80" s="33" t="n">
        <f aca="false">EP20*SUMIF($J$7:EP$7,EP$7,$J79:EP79)</f>
        <v>0</v>
      </c>
      <c r="EQ80" s="33" t="n">
        <f aca="false">EQ20*SUMIF($J$7:EQ$7,EQ$7,$J79:EQ79)</f>
        <v>0</v>
      </c>
      <c r="ER80" s="33" t="n">
        <f aca="false">ER20*SUMIF($J$7:ER$7,ER$7,$J79:ER79)</f>
        <v>0</v>
      </c>
      <c r="ES80" s="33" t="n">
        <f aca="false">ES20*SUMIF($J$7:ES$7,ES$7,$J79:ES79)</f>
        <v>0</v>
      </c>
      <c r="ET80" s="33" t="n">
        <f aca="false">ET20*SUMIF($J$7:ET$7,ET$7,$J79:ET79)</f>
        <v>0</v>
      </c>
    </row>
    <row r="81" customFormat="false" ht="15" hidden="false" customHeight="false" outlineLevel="0" collapsed="false">
      <c r="C81" s="0" t="s">
        <v>529</v>
      </c>
      <c r="D81" s="11" t="s">
        <v>247</v>
      </c>
      <c r="I81" s="54"/>
      <c r="J81" s="33" t="n">
        <f aca="false">J78-J57+J80</f>
        <v>0</v>
      </c>
      <c r="K81" s="33" t="n">
        <f aca="false">K78-K57+K80</f>
        <v>187.51993995121</v>
      </c>
      <c r="L81" s="33" t="n">
        <f aca="false">L78-L57+L80</f>
        <v>775.964460499156</v>
      </c>
      <c r="M81" s="33" t="n">
        <f aca="false">M78-M57+M80</f>
        <v>819.800076937512</v>
      </c>
      <c r="N81" s="33" t="n">
        <f aca="false">N78-N57+N80</f>
        <v>863.635693375868</v>
      </c>
      <c r="O81" s="33" t="n">
        <f aca="false">O78-O57+O80</f>
        <v>1195.18381497467</v>
      </c>
      <c r="P81" s="33" t="n">
        <f aca="false">P78-P57+P80</f>
        <v>2485.22560977478</v>
      </c>
      <c r="Q81" s="33" t="n">
        <f aca="false">Q78-Q57+Q80</f>
        <v>2489.83519881588</v>
      </c>
      <c r="R81" s="33" t="n">
        <f aca="false">R78-R57+R80</f>
        <v>2653.92670879631</v>
      </c>
      <c r="S81" s="33" t="n">
        <f aca="false">S78-S57+S80</f>
        <v>3458.61440309663</v>
      </c>
      <c r="T81" s="33" t="n">
        <f aca="false">T78-T57+T80</f>
        <v>3763.27193734321</v>
      </c>
      <c r="U81" s="33" t="n">
        <f aca="false">U78-U57+U80</f>
        <v>3763.27193734321</v>
      </c>
      <c r="V81" s="33" t="n">
        <f aca="false">V78-V57+V80</f>
        <v>3763.27193734321</v>
      </c>
      <c r="W81" s="33" t="n">
        <f aca="false">W78-W57+W80</f>
        <v>4125.06913837992</v>
      </c>
      <c r="X81" s="33" t="n">
        <f aca="false">X78-X57+X80</f>
        <v>4125.06913837992</v>
      </c>
      <c r="Y81" s="33" t="n">
        <f aca="false">Y78-Y57+Y80</f>
        <v>4125.06913837992</v>
      </c>
      <c r="Z81" s="33" t="n">
        <f aca="false">Z78-Z57+Z80</f>
        <v>4125.06913837992</v>
      </c>
      <c r="AA81" s="33" t="n">
        <f aca="false">AA78-AA57+AA80</f>
        <v>4950.0829660559</v>
      </c>
      <c r="AB81" s="33" t="n">
        <f aca="false">AB78-AB57+AB80</f>
        <v>4950.0829660559</v>
      </c>
      <c r="AC81" s="33" t="n">
        <f aca="false">AC78-AC57+AC80</f>
        <v>4950.0829660559</v>
      </c>
      <c r="AD81" s="33" t="n">
        <f aca="false">AD78-AD57+AD80</f>
        <v>4950.0829660559</v>
      </c>
      <c r="AE81" s="33" t="n">
        <f aca="false">AE78-AE57+AE80</f>
        <v>5690.5611302933</v>
      </c>
      <c r="AF81" s="33" t="n">
        <f aca="false">AF78-AF57+AF80</f>
        <v>5690.5611302933</v>
      </c>
      <c r="AG81" s="33" t="n">
        <f aca="false">AG78-AG57+AG80</f>
        <v>5690.5611302933</v>
      </c>
      <c r="AH81" s="33" t="n">
        <f aca="false">AH78-AH57+AH80</f>
        <v>5690.5611302933</v>
      </c>
      <c r="AI81" s="33" t="n">
        <f aca="false">AI78-AI57+AI80</f>
        <v>5690.5611302933</v>
      </c>
      <c r="AJ81" s="33" t="n">
        <f aca="false">AJ78-AJ57+AJ80</f>
        <v>5690.5611302933</v>
      </c>
      <c r="AK81" s="33" t="n">
        <f aca="false">AK78-AK57+AK80</f>
        <v>5690.5611302933</v>
      </c>
      <c r="AL81" s="33" t="n">
        <f aca="false">AL78-AL57+AL80</f>
        <v>5690.5611302933</v>
      </c>
      <c r="AM81" s="33" t="n">
        <f aca="false">AM78-AM57+AM80</f>
        <v>5690.5611302933</v>
      </c>
      <c r="AN81" s="33" t="n">
        <f aca="false">AN78-AN57+AN80</f>
        <v>5690.5611302933</v>
      </c>
      <c r="AO81" s="33" t="n">
        <f aca="false">AO78-AO57+AO80</f>
        <v>5690.5611302933</v>
      </c>
      <c r="AP81" s="33" t="n">
        <f aca="false">AP78-AP57+AP80</f>
        <v>5690.5611302933</v>
      </c>
      <c r="AQ81" s="33" t="n">
        <f aca="false">AQ78-AQ57+AQ80</f>
        <v>5690.5611302933</v>
      </c>
      <c r="AR81" s="33" t="n">
        <f aca="false">AR78-AR57+AR80</f>
        <v>5690.5611302933</v>
      </c>
      <c r="AS81" s="33" t="n">
        <f aca="false">AS78-AS57+AS80</f>
        <v>5690.5611302933</v>
      </c>
      <c r="AT81" s="33" t="n">
        <f aca="false">AT78-AT57+AT80</f>
        <v>5690.5611302933</v>
      </c>
      <c r="AU81" s="33" t="n">
        <f aca="false">AU78-AU57+AU80</f>
        <v>5690.5611302933</v>
      </c>
      <c r="AV81" s="33" t="n">
        <f aca="false">AV78-AV57+AV80</f>
        <v>5690.5611302933</v>
      </c>
      <c r="AW81" s="33" t="n">
        <f aca="false">AW78-AW57+AW80</f>
        <v>5690.5611302933</v>
      </c>
      <c r="AX81" s="33" t="n">
        <f aca="false">AX78-AX57+AX80</f>
        <v>5690.5611302933</v>
      </c>
      <c r="AY81" s="33" t="n">
        <f aca="false">AY78-AY57+AY80</f>
        <v>5690.5611302933</v>
      </c>
      <c r="AZ81" s="33" t="n">
        <f aca="false">AZ78-AZ57+AZ80</f>
        <v>5690.5611302933</v>
      </c>
      <c r="BA81" s="33" t="n">
        <f aca="false">BA78-BA57+BA80</f>
        <v>5690.5611302933</v>
      </c>
      <c r="BB81" s="33" t="n">
        <f aca="false">BB78-BB57+BB80</f>
        <v>5690.5611302933</v>
      </c>
      <c r="BC81" s="33" t="n">
        <f aca="false">BC78-BC57+BC80</f>
        <v>5690.5611302933</v>
      </c>
      <c r="BD81" s="33" t="n">
        <f aca="false">BD78-BD57+BD80</f>
        <v>5690.5611302933</v>
      </c>
      <c r="BE81" s="33" t="n">
        <f aca="false">BE78-BE57+BE80</f>
        <v>5690.5611302933</v>
      </c>
      <c r="BF81" s="33" t="n">
        <f aca="false">BF78-BF57+BF80</f>
        <v>5690.5611302933</v>
      </c>
      <c r="BG81" s="33" t="n">
        <f aca="false">BG78-BG57+BG80</f>
        <v>5690.5611302933</v>
      </c>
      <c r="BH81" s="33" t="n">
        <f aca="false">BH78-BH57+BH80</f>
        <v>5690.5611302933</v>
      </c>
      <c r="BI81" s="33" t="n">
        <f aca="false">BI78-BI57+BI80</f>
        <v>5690.5611302933</v>
      </c>
      <c r="BJ81" s="33" t="n">
        <f aca="false">BJ78-BJ57+BJ80</f>
        <v>5690.5611302933</v>
      </c>
      <c r="BK81" s="33" t="n">
        <f aca="false">BK78-BK57+BK80</f>
        <v>5690.5611302933</v>
      </c>
      <c r="BL81" s="33" t="n">
        <f aca="false">BL78-BL57+BL80</f>
        <v>5690.5611302933</v>
      </c>
      <c r="BM81" s="33" t="n">
        <f aca="false">BM78-BM57+BM80</f>
        <v>5690.5611302933</v>
      </c>
      <c r="BN81" s="33" t="n">
        <f aca="false">BN78-BN57+BN80</f>
        <v>5690.5611302933</v>
      </c>
      <c r="BO81" s="33" t="n">
        <f aca="false">BO78-BO57+BO80</f>
        <v>5690.5611302933</v>
      </c>
      <c r="BP81" s="33" t="n">
        <f aca="false">BP78-BP57+BP80</f>
        <v>5690.5611302933</v>
      </c>
      <c r="BQ81" s="33" t="n">
        <f aca="false">BQ78-BQ57+BQ80</f>
        <v>5690.5611302933</v>
      </c>
      <c r="BR81" s="33" t="n">
        <f aca="false">BR78-BR57+BR80</f>
        <v>5690.5611302933</v>
      </c>
      <c r="BS81" s="33" t="n">
        <f aca="false">BS78-BS57+BS80</f>
        <v>5690.5611302933</v>
      </c>
      <c r="BT81" s="33" t="n">
        <f aca="false">BT78-BT57+BT80</f>
        <v>5690.5611302933</v>
      </c>
      <c r="BU81" s="33" t="n">
        <f aca="false">BU78-BU57+BU80</f>
        <v>5690.5611302933</v>
      </c>
      <c r="BV81" s="33" t="n">
        <f aca="false">BV78-BV57+BV80</f>
        <v>5690.5611302933</v>
      </c>
      <c r="BW81" s="33" t="n">
        <f aca="false">BW78-BW57+BW80</f>
        <v>5690.5611302933</v>
      </c>
      <c r="BX81" s="33" t="n">
        <f aca="false">BX78-BX57+BX80</f>
        <v>5690.5611302933</v>
      </c>
      <c r="BY81" s="33" t="n">
        <f aca="false">BY78-BY57+BY80</f>
        <v>5690.5611302933</v>
      </c>
      <c r="BZ81" s="33" t="n">
        <f aca="false">BZ78-BZ57+BZ80</f>
        <v>5690.5611302933</v>
      </c>
      <c r="CA81" s="33" t="n">
        <f aca="false">CA78-CA57+CA80</f>
        <v>5690.5611302933</v>
      </c>
      <c r="CB81" s="33" t="n">
        <f aca="false">CB78-CB57+CB80</f>
        <v>5690.5611302933</v>
      </c>
      <c r="CC81" s="33" t="n">
        <f aca="false">CC78-CC57+CC80</f>
        <v>5690.5611302933</v>
      </c>
      <c r="CD81" s="33" t="n">
        <f aca="false">CD78-CD57+CD80</f>
        <v>5690.5611302933</v>
      </c>
      <c r="CE81" s="33" t="n">
        <f aca="false">CE78-CE57+CE80</f>
        <v>5690.5611302933</v>
      </c>
      <c r="CF81" s="33" t="n">
        <f aca="false">CF78-CF57+CF80</f>
        <v>5690.5611302933</v>
      </c>
      <c r="CG81" s="33" t="n">
        <f aca="false">CG78-CG57+CG80</f>
        <v>5690.5611302933</v>
      </c>
      <c r="CH81" s="33" t="n">
        <f aca="false">CH78-CH57+CH80</f>
        <v>5690.5611302933</v>
      </c>
      <c r="CI81" s="33" t="n">
        <f aca="false">CI78-CI57+CI80</f>
        <v>5690.5611302933</v>
      </c>
      <c r="CJ81" s="33" t="n">
        <f aca="false">CJ78-CJ57+CJ80</f>
        <v>5690.5611302933</v>
      </c>
      <c r="CK81" s="33" t="n">
        <f aca="false">CK78-CK57+CK80</f>
        <v>5690.5611302933</v>
      </c>
      <c r="CL81" s="33" t="n">
        <f aca="false">CL78-CL57+CL80</f>
        <v>5690.5611302933</v>
      </c>
      <c r="CM81" s="33" t="n">
        <f aca="false">CM78-CM57+CM80</f>
        <v>5690.5611302933</v>
      </c>
      <c r="CN81" s="33" t="n">
        <f aca="false">CN78-CN57+CN80</f>
        <v>5690.5611302933</v>
      </c>
      <c r="CO81" s="33" t="n">
        <f aca="false">CO78-CO57+CO80</f>
        <v>5690.5611302933</v>
      </c>
      <c r="CP81" s="33" t="n">
        <f aca="false">CP78-CP57+CP80</f>
        <v>5690.5611302933</v>
      </c>
      <c r="CQ81" s="33" t="n">
        <f aca="false">CQ78-CQ57+CQ80</f>
        <v>5690.5611302933</v>
      </c>
      <c r="CR81" s="33" t="n">
        <f aca="false">CR78-CR57+CR80</f>
        <v>5690.5611302933</v>
      </c>
      <c r="CS81" s="33" t="n">
        <f aca="false">CS78-CS57+CS80</f>
        <v>5690.5611302933</v>
      </c>
      <c r="CT81" s="33" t="n">
        <f aca="false">CT78-CT57+CT80</f>
        <v>5690.5611302933</v>
      </c>
      <c r="CU81" s="33" t="n">
        <f aca="false">CU78-CU57+CU80</f>
        <v>5690.5611302933</v>
      </c>
      <c r="CV81" s="33" t="n">
        <f aca="false">CV78-CV57+CV80</f>
        <v>5690.5611302933</v>
      </c>
      <c r="CW81" s="33" t="n">
        <f aca="false">CW78-CW57+CW80</f>
        <v>5690.5611302933</v>
      </c>
      <c r="CX81" s="33" t="n">
        <f aca="false">CX78-CX57+CX80</f>
        <v>5690.5611302933</v>
      </c>
      <c r="CY81" s="33" t="n">
        <f aca="false">CY78-CY57+CY80</f>
        <v>5690.5611302933</v>
      </c>
      <c r="CZ81" s="33" t="n">
        <f aca="false">CZ78-CZ57+CZ80</f>
        <v>5690.5611302933</v>
      </c>
      <c r="DA81" s="33" t="n">
        <f aca="false">DA78-DA57+DA80</f>
        <v>5690.5611302933</v>
      </c>
      <c r="DB81" s="33" t="n">
        <f aca="false">DB78-DB57+DB80</f>
        <v>5690.5611302933</v>
      </c>
      <c r="DC81" s="33" t="n">
        <f aca="false">DC78-DC57+DC80</f>
        <v>5690.5611302933</v>
      </c>
      <c r="DD81" s="33" t="n">
        <f aca="false">DD78-DD57+DD80</f>
        <v>5690.5611302933</v>
      </c>
      <c r="DE81" s="33" t="n">
        <f aca="false">DE78-DE57+DE80</f>
        <v>5690.5611302933</v>
      </c>
      <c r="DF81" s="33" t="n">
        <f aca="false">DF78-DF57+DF80</f>
        <v>5690.5611302933</v>
      </c>
      <c r="DG81" s="33" t="n">
        <f aca="false">DG78-DG57+DG80</f>
        <v>5690.5611302933</v>
      </c>
      <c r="DH81" s="33" t="n">
        <f aca="false">DH78-DH57+DH80</f>
        <v>5690.5611302933</v>
      </c>
      <c r="DI81" s="33" t="n">
        <f aca="false">DI78-DI57+DI80</f>
        <v>5690.5611302933</v>
      </c>
      <c r="DJ81" s="33" t="n">
        <f aca="false">DJ78-DJ57+DJ80</f>
        <v>5690.5611302933</v>
      </c>
      <c r="DK81" s="33" t="n">
        <f aca="false">DK78-DK57+DK80</f>
        <v>5690.5611302933</v>
      </c>
      <c r="DL81" s="33" t="n">
        <f aca="false">DL78-DL57+DL80</f>
        <v>5690.5611302933</v>
      </c>
      <c r="DM81" s="33" t="n">
        <f aca="false">DM78-DM57+DM80</f>
        <v>5690.5611302933</v>
      </c>
      <c r="DN81" s="33" t="n">
        <f aca="false">DN78-DN57+DN80</f>
        <v>5690.5611302933</v>
      </c>
      <c r="DO81" s="33" t="n">
        <f aca="false">DO78-DO57+DO80</f>
        <v>5690.5611302933</v>
      </c>
      <c r="DP81" s="33" t="n">
        <f aca="false">DP78-DP57+DP80</f>
        <v>5690.5611302933</v>
      </c>
      <c r="DQ81" s="33" t="n">
        <f aca="false">DQ78-DQ57+DQ80</f>
        <v>5690.5611302933</v>
      </c>
      <c r="DR81" s="33" t="n">
        <f aca="false">DR78-DR57+DR80</f>
        <v>5690.5611302933</v>
      </c>
      <c r="DS81" s="33" t="n">
        <f aca="false">DS78-DS57+DS80</f>
        <v>5690.5611302933</v>
      </c>
      <c r="DT81" s="33" t="n">
        <f aca="false">DT78-DT57+DT80</f>
        <v>5690.5611302933</v>
      </c>
      <c r="DU81" s="33" t="n">
        <f aca="false">DU78-DU57+DU80</f>
        <v>5690.5611302933</v>
      </c>
      <c r="DV81" s="33" t="n">
        <f aca="false">DV78-DV57+DV80</f>
        <v>5690.5611302933</v>
      </c>
      <c r="DW81" s="33" t="n">
        <f aca="false">DW78-DW57+DW80</f>
        <v>5690.5611302933</v>
      </c>
      <c r="DX81" s="33" t="n">
        <f aca="false">DX78-DX57+DX80</f>
        <v>5690.5611302933</v>
      </c>
      <c r="DY81" s="33" t="n">
        <f aca="false">DY78-DY57+DY80</f>
        <v>5690.5611302933</v>
      </c>
      <c r="DZ81" s="33" t="n">
        <f aca="false">DZ78-DZ57+DZ80</f>
        <v>5690.5611302933</v>
      </c>
      <c r="EA81" s="33" t="n">
        <f aca="false">EA78-EA57+EA80</f>
        <v>5690.5611302933</v>
      </c>
      <c r="EB81" s="33" t="n">
        <f aca="false">EB78-EB57+EB80</f>
        <v>5690.5611302933</v>
      </c>
      <c r="EC81" s="33" t="n">
        <f aca="false">EC78-EC57+EC80</f>
        <v>5690.5611302933</v>
      </c>
      <c r="ED81" s="33" t="n">
        <f aca="false">ED78-ED57+ED80</f>
        <v>5690.5611302933</v>
      </c>
      <c r="EE81" s="33" t="n">
        <f aca="false">EE78-EE57+EE80</f>
        <v>5690.5611302933</v>
      </c>
      <c r="EF81" s="33" t="n">
        <f aca="false">EF78-EF57+EF80</f>
        <v>5690.5611302933</v>
      </c>
      <c r="EG81" s="33" t="n">
        <f aca="false">EG78-EG57+EG80</f>
        <v>5690.5611302933</v>
      </c>
      <c r="EH81" s="33" t="n">
        <f aca="false">EH78-EH57+EH80</f>
        <v>5690.5611302933</v>
      </c>
      <c r="EI81" s="33" t="n">
        <f aca="false">EI78-EI57+EI80</f>
        <v>5690.5611302933</v>
      </c>
      <c r="EJ81" s="33" t="n">
        <f aca="false">EJ78-EJ57+EJ80</f>
        <v>5690.5611302933</v>
      </c>
      <c r="EK81" s="33" t="n">
        <f aca="false">EK78-EK57+EK80</f>
        <v>5690.5611302933</v>
      </c>
      <c r="EL81" s="33" t="n">
        <f aca="false">EL78-EL57+EL80</f>
        <v>5690.5611302933</v>
      </c>
      <c r="EM81" s="33" t="n">
        <f aca="false">EM78-EM57+EM80</f>
        <v>5690.5611302933</v>
      </c>
      <c r="EN81" s="33" t="n">
        <f aca="false">EN78-EN57+EN80</f>
        <v>5690.5611302933</v>
      </c>
      <c r="EO81" s="33" t="n">
        <f aca="false">EO78-EO57+EO80</f>
        <v>5690.5611302933</v>
      </c>
      <c r="EP81" s="33" t="n">
        <f aca="false">EP78-EP57+EP80</f>
        <v>5690.5611302933</v>
      </c>
      <c r="EQ81" s="33" t="n">
        <f aca="false">EQ78-EQ57+EQ80</f>
        <v>5690.5611302933</v>
      </c>
      <c r="ER81" s="33" t="n">
        <f aca="false">ER78-ER57+ER80</f>
        <v>5690.5611302933</v>
      </c>
      <c r="ES81" s="33" t="n">
        <f aca="false">ES78-ES57+ES80</f>
        <v>5690.5611302933</v>
      </c>
      <c r="ET81" s="33" t="n">
        <f aca="false">ET78-ET57+ET80</f>
        <v>5690.5611302933</v>
      </c>
    </row>
    <row r="83" customFormat="false" ht="15" hidden="false" customHeight="false" outlineLevel="0" collapsed="false">
      <c r="A83" s="9" t="s">
        <v>13</v>
      </c>
      <c r="B83" s="9"/>
      <c r="C83" s="9" t="s">
        <v>535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</row>
    <row r="84" customFormat="false" ht="15" hidden="false" customHeight="false" outlineLevel="0" collapsed="false">
      <c r="C84" s="0" t="s">
        <v>536</v>
      </c>
      <c r="D84" s="11" t="s">
        <v>35</v>
      </c>
      <c r="E84" s="47" t="n">
        <f aca="false">1-$F24/$E24</f>
        <v>0.337748344370861</v>
      </c>
      <c r="F84" s="47" t="n">
        <f aca="false">(1-In_BESS_Built)*($E25&gt;0)</f>
        <v>0</v>
      </c>
    </row>
    <row r="85" customFormat="false" ht="15" hidden="false" customHeight="false" outlineLevel="0" collapsed="false">
      <c r="C85" s="0" t="s">
        <v>537</v>
      </c>
      <c r="D85" s="11" t="s">
        <v>247</v>
      </c>
      <c r="E85" s="33" t="n">
        <f aca="false">$E49*$E24*In_Bench_Wind/$E45</f>
        <v>4199.04109589041</v>
      </c>
      <c r="F85" s="33" t="n">
        <f aca="false">$E49-$E85</f>
        <v>2794.52054794521</v>
      </c>
    </row>
    <row r="86" customFormat="false" ht="15" hidden="false" customHeight="false" outlineLevel="0" collapsed="false">
      <c r="C86" s="0" t="s">
        <v>538</v>
      </c>
      <c r="D86" s="11" t="s">
        <v>247</v>
      </c>
      <c r="E86" s="33" t="n">
        <f aca="false">($E84&gt;In_Tolerance_Cap)*$E84*$E85+($F84&gt;In_Tolerance_Cap)*$F84*$F85</f>
        <v>1418.21917808219</v>
      </c>
      <c r="F86" s="33" t="n">
        <f aca="false">($E84+$F84&gt;0)*$E49</f>
        <v>6993.56164383562</v>
      </c>
    </row>
    <row r="87" customFormat="false" ht="15" hidden="false" customHeight="false" outlineLevel="0" collapsed="false">
      <c r="C87" s="0" t="s">
        <v>539</v>
      </c>
      <c r="D87" s="11" t="s">
        <v>247</v>
      </c>
      <c r="E87" s="44" t="n">
        <f aca="false">EDATE(In_COD,In_Sanction_Lag)</f>
        <v>48303</v>
      </c>
      <c r="I87" s="33" t="n">
        <f aca="false">SUM(J87:ET87)</f>
        <v>-1418.21917808219</v>
      </c>
      <c r="J87" s="33" t="n">
        <f aca="false">-CHOOSE(In_Sanction_Regime,$E86,$F86)*N(AND(J$3&lt;=$E87,J$4&gt;=$E87))</f>
        <v>-0</v>
      </c>
      <c r="K87" s="33" t="n">
        <f aca="false">-CHOOSE(In_Sanction_Regime,$E86,$F86)*N(AND(K$3&lt;=$E87,K$4&gt;=$E87))</f>
        <v>-0</v>
      </c>
      <c r="L87" s="33" t="n">
        <f aca="false">-CHOOSE(In_Sanction_Regime,$E86,$F86)*N(AND(L$3&lt;=$E87,L$4&gt;=$E87))</f>
        <v>-0</v>
      </c>
      <c r="M87" s="33" t="n">
        <f aca="false">-CHOOSE(In_Sanction_Regime,$E86,$F86)*N(AND(M$3&lt;=$E87,M$4&gt;=$E87))</f>
        <v>-0</v>
      </c>
      <c r="N87" s="33" t="n">
        <f aca="false">-CHOOSE(In_Sanction_Regime,$E86,$F86)*N(AND(N$3&lt;=$E87,N$4&gt;=$E87))</f>
        <v>-0</v>
      </c>
      <c r="O87" s="33" t="n">
        <f aca="false">-CHOOSE(In_Sanction_Regime,$E86,$F86)*N(AND(O$3&lt;=$E87,O$4&gt;=$E87))</f>
        <v>-0</v>
      </c>
      <c r="P87" s="33" t="n">
        <f aca="false">-CHOOSE(In_Sanction_Regime,$E86,$F86)*N(AND(P$3&lt;=$E87,P$4&gt;=$E87))</f>
        <v>-0</v>
      </c>
      <c r="Q87" s="33" t="n">
        <f aca="false">-CHOOSE(In_Sanction_Regime,$E86,$F86)*N(AND(Q$3&lt;=$E87,Q$4&gt;=$E87))</f>
        <v>-0</v>
      </c>
      <c r="R87" s="33" t="n">
        <f aca="false">-CHOOSE(In_Sanction_Regime,$E86,$F86)*N(AND(R$3&lt;=$E87,R$4&gt;=$E87))</f>
        <v>-0</v>
      </c>
      <c r="S87" s="33" t="n">
        <f aca="false">-CHOOSE(In_Sanction_Regime,$E86,$F86)*N(AND(S$3&lt;=$E87,S$4&gt;=$E87))</f>
        <v>-0</v>
      </c>
      <c r="T87" s="33" t="n">
        <f aca="false">-CHOOSE(In_Sanction_Regime,$E86,$F86)*N(AND(T$3&lt;=$E87,T$4&gt;=$E87))</f>
        <v>-0</v>
      </c>
      <c r="U87" s="33" t="n">
        <f aca="false">-CHOOSE(In_Sanction_Regime,$E86,$F86)*N(AND(U$3&lt;=$E87,U$4&gt;=$E87))</f>
        <v>-0</v>
      </c>
      <c r="V87" s="33" t="n">
        <f aca="false">-CHOOSE(In_Sanction_Regime,$E86,$F86)*N(AND(V$3&lt;=$E87,V$4&gt;=$E87))</f>
        <v>-0</v>
      </c>
      <c r="W87" s="33" t="n">
        <f aca="false">-CHOOSE(In_Sanction_Regime,$E86,$F86)*N(AND(W$3&lt;=$E87,W$4&gt;=$E87))</f>
        <v>-0</v>
      </c>
      <c r="X87" s="33" t="n">
        <f aca="false">-CHOOSE(In_Sanction_Regime,$E86,$F86)*N(AND(X$3&lt;=$E87,X$4&gt;=$E87))</f>
        <v>-0</v>
      </c>
      <c r="Y87" s="33" t="n">
        <f aca="false">-CHOOSE(In_Sanction_Regime,$E86,$F86)*N(AND(Y$3&lt;=$E87,Y$4&gt;=$E87))</f>
        <v>-0</v>
      </c>
      <c r="Z87" s="33" t="n">
        <f aca="false">-CHOOSE(In_Sanction_Regime,$E86,$F86)*N(AND(Z$3&lt;=$E87,Z$4&gt;=$E87))</f>
        <v>-0</v>
      </c>
      <c r="AA87" s="33" t="n">
        <f aca="false">-CHOOSE(In_Sanction_Regime,$E86,$F86)*N(AND(AA$3&lt;=$E87,AA$4&gt;=$E87))</f>
        <v>-0</v>
      </c>
      <c r="AB87" s="33" t="n">
        <f aca="false">-CHOOSE(In_Sanction_Regime,$E86,$F86)*N(AND(AB$3&lt;=$E87,AB$4&gt;=$E87))</f>
        <v>-0</v>
      </c>
      <c r="AC87" s="33" t="n">
        <f aca="false">-CHOOSE(In_Sanction_Regime,$E86,$F86)*N(AND(AC$3&lt;=$E87,AC$4&gt;=$E87))</f>
        <v>-0</v>
      </c>
      <c r="AD87" s="33" t="n">
        <f aca="false">-CHOOSE(In_Sanction_Regime,$E86,$F86)*N(AND(AD$3&lt;=$E87,AD$4&gt;=$E87))</f>
        <v>-0</v>
      </c>
      <c r="AE87" s="33" t="n">
        <f aca="false">-CHOOSE(In_Sanction_Regime,$E86,$F86)*N(AND(AE$3&lt;=$E87,AE$4&gt;=$E87))</f>
        <v>-0</v>
      </c>
      <c r="AF87" s="33" t="n">
        <f aca="false">-CHOOSE(In_Sanction_Regime,$E86,$F86)*N(AND(AF$3&lt;=$E87,AF$4&gt;=$E87))</f>
        <v>-1418.21917808219</v>
      </c>
      <c r="AG87" s="33" t="n">
        <f aca="false">-CHOOSE(In_Sanction_Regime,$E86,$F86)*N(AND(AG$3&lt;=$E87,AG$4&gt;=$E87))</f>
        <v>-0</v>
      </c>
      <c r="AH87" s="33" t="n">
        <f aca="false">-CHOOSE(In_Sanction_Regime,$E86,$F86)*N(AND(AH$3&lt;=$E87,AH$4&gt;=$E87))</f>
        <v>-0</v>
      </c>
      <c r="AI87" s="33" t="n">
        <f aca="false">-CHOOSE(In_Sanction_Regime,$E86,$F86)*N(AND(AI$3&lt;=$E87,AI$4&gt;=$E87))</f>
        <v>-0</v>
      </c>
      <c r="AJ87" s="33" t="n">
        <f aca="false">-CHOOSE(In_Sanction_Regime,$E86,$F86)*N(AND(AJ$3&lt;=$E87,AJ$4&gt;=$E87))</f>
        <v>-0</v>
      </c>
      <c r="AK87" s="33" t="n">
        <f aca="false">-CHOOSE(In_Sanction_Regime,$E86,$F86)*N(AND(AK$3&lt;=$E87,AK$4&gt;=$E87))</f>
        <v>-0</v>
      </c>
      <c r="AL87" s="33" t="n">
        <f aca="false">-CHOOSE(In_Sanction_Regime,$E86,$F86)*N(AND(AL$3&lt;=$E87,AL$4&gt;=$E87))</f>
        <v>-0</v>
      </c>
      <c r="AM87" s="33" t="n">
        <f aca="false">-CHOOSE(In_Sanction_Regime,$E86,$F86)*N(AND(AM$3&lt;=$E87,AM$4&gt;=$E87))</f>
        <v>-0</v>
      </c>
      <c r="AN87" s="33" t="n">
        <f aca="false">-CHOOSE(In_Sanction_Regime,$E86,$F86)*N(AND(AN$3&lt;=$E87,AN$4&gt;=$E87))</f>
        <v>-0</v>
      </c>
      <c r="AO87" s="33" t="n">
        <f aca="false">-CHOOSE(In_Sanction_Regime,$E86,$F86)*N(AND(AO$3&lt;=$E87,AO$4&gt;=$E87))</f>
        <v>-0</v>
      </c>
      <c r="AP87" s="33" t="n">
        <f aca="false">-CHOOSE(In_Sanction_Regime,$E86,$F86)*N(AND(AP$3&lt;=$E87,AP$4&gt;=$E87))</f>
        <v>-0</v>
      </c>
      <c r="AQ87" s="33" t="n">
        <f aca="false">-CHOOSE(In_Sanction_Regime,$E86,$F86)*N(AND(AQ$3&lt;=$E87,AQ$4&gt;=$E87))</f>
        <v>-0</v>
      </c>
      <c r="AR87" s="33" t="n">
        <f aca="false">-CHOOSE(In_Sanction_Regime,$E86,$F86)*N(AND(AR$3&lt;=$E87,AR$4&gt;=$E87))</f>
        <v>-0</v>
      </c>
      <c r="AS87" s="33" t="n">
        <f aca="false">-CHOOSE(In_Sanction_Regime,$E86,$F86)*N(AND(AS$3&lt;=$E87,AS$4&gt;=$E87))</f>
        <v>-0</v>
      </c>
      <c r="AT87" s="33" t="n">
        <f aca="false">-CHOOSE(In_Sanction_Regime,$E86,$F86)*N(AND(AT$3&lt;=$E87,AT$4&gt;=$E87))</f>
        <v>-0</v>
      </c>
      <c r="AU87" s="33" t="n">
        <f aca="false">-CHOOSE(In_Sanction_Regime,$E86,$F86)*N(AND(AU$3&lt;=$E87,AU$4&gt;=$E87))</f>
        <v>-0</v>
      </c>
      <c r="AV87" s="33" t="n">
        <f aca="false">-CHOOSE(In_Sanction_Regime,$E86,$F86)*N(AND(AV$3&lt;=$E87,AV$4&gt;=$E87))</f>
        <v>-0</v>
      </c>
      <c r="AW87" s="33" t="n">
        <f aca="false">-CHOOSE(In_Sanction_Regime,$E86,$F86)*N(AND(AW$3&lt;=$E87,AW$4&gt;=$E87))</f>
        <v>-0</v>
      </c>
      <c r="AX87" s="33" t="n">
        <f aca="false">-CHOOSE(In_Sanction_Regime,$E86,$F86)*N(AND(AX$3&lt;=$E87,AX$4&gt;=$E87))</f>
        <v>-0</v>
      </c>
      <c r="AY87" s="33" t="n">
        <f aca="false">-CHOOSE(In_Sanction_Regime,$E86,$F86)*N(AND(AY$3&lt;=$E87,AY$4&gt;=$E87))</f>
        <v>-0</v>
      </c>
      <c r="AZ87" s="33" t="n">
        <f aca="false">-CHOOSE(In_Sanction_Regime,$E86,$F86)*N(AND(AZ$3&lt;=$E87,AZ$4&gt;=$E87))</f>
        <v>-0</v>
      </c>
      <c r="BA87" s="33" t="n">
        <f aca="false">-CHOOSE(In_Sanction_Regime,$E86,$F86)*N(AND(BA$3&lt;=$E87,BA$4&gt;=$E87))</f>
        <v>-0</v>
      </c>
      <c r="BB87" s="33" t="n">
        <f aca="false">-CHOOSE(In_Sanction_Regime,$E86,$F86)*N(AND(BB$3&lt;=$E87,BB$4&gt;=$E87))</f>
        <v>-0</v>
      </c>
      <c r="BC87" s="33" t="n">
        <f aca="false">-CHOOSE(In_Sanction_Regime,$E86,$F86)*N(AND(BC$3&lt;=$E87,BC$4&gt;=$E87))</f>
        <v>-0</v>
      </c>
      <c r="BD87" s="33" t="n">
        <f aca="false">-CHOOSE(In_Sanction_Regime,$E86,$F86)*N(AND(BD$3&lt;=$E87,BD$4&gt;=$E87))</f>
        <v>-0</v>
      </c>
      <c r="BE87" s="33" t="n">
        <f aca="false">-CHOOSE(In_Sanction_Regime,$E86,$F86)*N(AND(BE$3&lt;=$E87,BE$4&gt;=$E87))</f>
        <v>-0</v>
      </c>
      <c r="BF87" s="33" t="n">
        <f aca="false">-CHOOSE(In_Sanction_Regime,$E86,$F86)*N(AND(BF$3&lt;=$E87,BF$4&gt;=$E87))</f>
        <v>-0</v>
      </c>
      <c r="BG87" s="33" t="n">
        <f aca="false">-CHOOSE(In_Sanction_Regime,$E86,$F86)*N(AND(BG$3&lt;=$E87,BG$4&gt;=$E87))</f>
        <v>-0</v>
      </c>
      <c r="BH87" s="33" t="n">
        <f aca="false">-CHOOSE(In_Sanction_Regime,$E86,$F86)*N(AND(BH$3&lt;=$E87,BH$4&gt;=$E87))</f>
        <v>-0</v>
      </c>
      <c r="BI87" s="33" t="n">
        <f aca="false">-CHOOSE(In_Sanction_Regime,$E86,$F86)*N(AND(BI$3&lt;=$E87,BI$4&gt;=$E87))</f>
        <v>-0</v>
      </c>
      <c r="BJ87" s="33" t="n">
        <f aca="false">-CHOOSE(In_Sanction_Regime,$E86,$F86)*N(AND(BJ$3&lt;=$E87,BJ$4&gt;=$E87))</f>
        <v>-0</v>
      </c>
      <c r="BK87" s="33" t="n">
        <f aca="false">-CHOOSE(In_Sanction_Regime,$E86,$F86)*N(AND(BK$3&lt;=$E87,BK$4&gt;=$E87))</f>
        <v>-0</v>
      </c>
      <c r="BL87" s="33" t="n">
        <f aca="false">-CHOOSE(In_Sanction_Regime,$E86,$F86)*N(AND(BL$3&lt;=$E87,BL$4&gt;=$E87))</f>
        <v>-0</v>
      </c>
      <c r="BM87" s="33" t="n">
        <f aca="false">-CHOOSE(In_Sanction_Regime,$E86,$F86)*N(AND(BM$3&lt;=$E87,BM$4&gt;=$E87))</f>
        <v>-0</v>
      </c>
      <c r="BN87" s="33" t="n">
        <f aca="false">-CHOOSE(In_Sanction_Regime,$E86,$F86)*N(AND(BN$3&lt;=$E87,BN$4&gt;=$E87))</f>
        <v>-0</v>
      </c>
      <c r="BO87" s="33" t="n">
        <f aca="false">-CHOOSE(In_Sanction_Regime,$E86,$F86)*N(AND(BO$3&lt;=$E87,BO$4&gt;=$E87))</f>
        <v>-0</v>
      </c>
      <c r="BP87" s="33" t="n">
        <f aca="false">-CHOOSE(In_Sanction_Regime,$E86,$F86)*N(AND(BP$3&lt;=$E87,BP$4&gt;=$E87))</f>
        <v>-0</v>
      </c>
      <c r="BQ87" s="33" t="n">
        <f aca="false">-CHOOSE(In_Sanction_Regime,$E86,$F86)*N(AND(BQ$3&lt;=$E87,BQ$4&gt;=$E87))</f>
        <v>-0</v>
      </c>
      <c r="BR87" s="33" t="n">
        <f aca="false">-CHOOSE(In_Sanction_Regime,$E86,$F86)*N(AND(BR$3&lt;=$E87,BR$4&gt;=$E87))</f>
        <v>-0</v>
      </c>
      <c r="BS87" s="33" t="n">
        <f aca="false">-CHOOSE(In_Sanction_Regime,$E86,$F86)*N(AND(BS$3&lt;=$E87,BS$4&gt;=$E87))</f>
        <v>-0</v>
      </c>
      <c r="BT87" s="33" t="n">
        <f aca="false">-CHOOSE(In_Sanction_Regime,$E86,$F86)*N(AND(BT$3&lt;=$E87,BT$4&gt;=$E87))</f>
        <v>-0</v>
      </c>
      <c r="BU87" s="33" t="n">
        <f aca="false">-CHOOSE(In_Sanction_Regime,$E86,$F86)*N(AND(BU$3&lt;=$E87,BU$4&gt;=$E87))</f>
        <v>-0</v>
      </c>
      <c r="BV87" s="33" t="n">
        <f aca="false">-CHOOSE(In_Sanction_Regime,$E86,$F86)*N(AND(BV$3&lt;=$E87,BV$4&gt;=$E87))</f>
        <v>-0</v>
      </c>
      <c r="BW87" s="33" t="n">
        <f aca="false">-CHOOSE(In_Sanction_Regime,$E86,$F86)*N(AND(BW$3&lt;=$E87,BW$4&gt;=$E87))</f>
        <v>-0</v>
      </c>
      <c r="BX87" s="33" t="n">
        <f aca="false">-CHOOSE(In_Sanction_Regime,$E86,$F86)*N(AND(BX$3&lt;=$E87,BX$4&gt;=$E87))</f>
        <v>-0</v>
      </c>
      <c r="BY87" s="33" t="n">
        <f aca="false">-CHOOSE(In_Sanction_Regime,$E86,$F86)*N(AND(BY$3&lt;=$E87,BY$4&gt;=$E87))</f>
        <v>-0</v>
      </c>
      <c r="BZ87" s="33" t="n">
        <f aca="false">-CHOOSE(In_Sanction_Regime,$E86,$F86)*N(AND(BZ$3&lt;=$E87,BZ$4&gt;=$E87))</f>
        <v>-0</v>
      </c>
      <c r="CA87" s="33" t="n">
        <f aca="false">-CHOOSE(In_Sanction_Regime,$E86,$F86)*N(AND(CA$3&lt;=$E87,CA$4&gt;=$E87))</f>
        <v>-0</v>
      </c>
      <c r="CB87" s="33" t="n">
        <f aca="false">-CHOOSE(In_Sanction_Regime,$E86,$F86)*N(AND(CB$3&lt;=$E87,CB$4&gt;=$E87))</f>
        <v>-0</v>
      </c>
      <c r="CC87" s="33" t="n">
        <f aca="false">-CHOOSE(In_Sanction_Regime,$E86,$F86)*N(AND(CC$3&lt;=$E87,CC$4&gt;=$E87))</f>
        <v>-0</v>
      </c>
      <c r="CD87" s="33" t="n">
        <f aca="false">-CHOOSE(In_Sanction_Regime,$E86,$F86)*N(AND(CD$3&lt;=$E87,CD$4&gt;=$E87))</f>
        <v>-0</v>
      </c>
      <c r="CE87" s="33" t="n">
        <f aca="false">-CHOOSE(In_Sanction_Regime,$E86,$F86)*N(AND(CE$3&lt;=$E87,CE$4&gt;=$E87))</f>
        <v>-0</v>
      </c>
      <c r="CF87" s="33" t="n">
        <f aca="false">-CHOOSE(In_Sanction_Regime,$E86,$F86)*N(AND(CF$3&lt;=$E87,CF$4&gt;=$E87))</f>
        <v>-0</v>
      </c>
      <c r="CG87" s="33" t="n">
        <f aca="false">-CHOOSE(In_Sanction_Regime,$E86,$F86)*N(AND(CG$3&lt;=$E87,CG$4&gt;=$E87))</f>
        <v>-0</v>
      </c>
      <c r="CH87" s="33" t="n">
        <f aca="false">-CHOOSE(In_Sanction_Regime,$E86,$F86)*N(AND(CH$3&lt;=$E87,CH$4&gt;=$E87))</f>
        <v>-0</v>
      </c>
      <c r="CI87" s="33" t="n">
        <f aca="false">-CHOOSE(In_Sanction_Regime,$E86,$F86)*N(AND(CI$3&lt;=$E87,CI$4&gt;=$E87))</f>
        <v>-0</v>
      </c>
      <c r="CJ87" s="33" t="n">
        <f aca="false">-CHOOSE(In_Sanction_Regime,$E86,$F86)*N(AND(CJ$3&lt;=$E87,CJ$4&gt;=$E87))</f>
        <v>-0</v>
      </c>
      <c r="CK87" s="33" t="n">
        <f aca="false">-CHOOSE(In_Sanction_Regime,$E86,$F86)*N(AND(CK$3&lt;=$E87,CK$4&gt;=$E87))</f>
        <v>-0</v>
      </c>
      <c r="CL87" s="33" t="n">
        <f aca="false">-CHOOSE(In_Sanction_Regime,$E86,$F86)*N(AND(CL$3&lt;=$E87,CL$4&gt;=$E87))</f>
        <v>-0</v>
      </c>
      <c r="CM87" s="33" t="n">
        <f aca="false">-CHOOSE(In_Sanction_Regime,$E86,$F86)*N(AND(CM$3&lt;=$E87,CM$4&gt;=$E87))</f>
        <v>-0</v>
      </c>
      <c r="CN87" s="33" t="n">
        <f aca="false">-CHOOSE(In_Sanction_Regime,$E86,$F86)*N(AND(CN$3&lt;=$E87,CN$4&gt;=$E87))</f>
        <v>-0</v>
      </c>
      <c r="CO87" s="33" t="n">
        <f aca="false">-CHOOSE(In_Sanction_Regime,$E86,$F86)*N(AND(CO$3&lt;=$E87,CO$4&gt;=$E87))</f>
        <v>-0</v>
      </c>
      <c r="CP87" s="33" t="n">
        <f aca="false">-CHOOSE(In_Sanction_Regime,$E86,$F86)*N(AND(CP$3&lt;=$E87,CP$4&gt;=$E87))</f>
        <v>-0</v>
      </c>
      <c r="CQ87" s="33" t="n">
        <f aca="false">-CHOOSE(In_Sanction_Regime,$E86,$F86)*N(AND(CQ$3&lt;=$E87,CQ$4&gt;=$E87))</f>
        <v>-0</v>
      </c>
      <c r="CR87" s="33" t="n">
        <f aca="false">-CHOOSE(In_Sanction_Regime,$E86,$F86)*N(AND(CR$3&lt;=$E87,CR$4&gt;=$E87))</f>
        <v>-0</v>
      </c>
      <c r="CS87" s="33" t="n">
        <f aca="false">-CHOOSE(In_Sanction_Regime,$E86,$F86)*N(AND(CS$3&lt;=$E87,CS$4&gt;=$E87))</f>
        <v>-0</v>
      </c>
      <c r="CT87" s="33" t="n">
        <f aca="false">-CHOOSE(In_Sanction_Regime,$E86,$F86)*N(AND(CT$3&lt;=$E87,CT$4&gt;=$E87))</f>
        <v>-0</v>
      </c>
      <c r="CU87" s="33" t="n">
        <f aca="false">-CHOOSE(In_Sanction_Regime,$E86,$F86)*N(AND(CU$3&lt;=$E87,CU$4&gt;=$E87))</f>
        <v>-0</v>
      </c>
      <c r="CV87" s="33" t="n">
        <f aca="false">-CHOOSE(In_Sanction_Regime,$E86,$F86)*N(AND(CV$3&lt;=$E87,CV$4&gt;=$E87))</f>
        <v>-0</v>
      </c>
      <c r="CW87" s="33" t="n">
        <f aca="false">-CHOOSE(In_Sanction_Regime,$E86,$F86)*N(AND(CW$3&lt;=$E87,CW$4&gt;=$E87))</f>
        <v>-0</v>
      </c>
      <c r="CX87" s="33" t="n">
        <f aca="false">-CHOOSE(In_Sanction_Regime,$E86,$F86)*N(AND(CX$3&lt;=$E87,CX$4&gt;=$E87))</f>
        <v>-0</v>
      </c>
      <c r="CY87" s="33" t="n">
        <f aca="false">-CHOOSE(In_Sanction_Regime,$E86,$F86)*N(AND(CY$3&lt;=$E87,CY$4&gt;=$E87))</f>
        <v>-0</v>
      </c>
      <c r="CZ87" s="33" t="n">
        <f aca="false">-CHOOSE(In_Sanction_Regime,$E86,$F86)*N(AND(CZ$3&lt;=$E87,CZ$4&gt;=$E87))</f>
        <v>-0</v>
      </c>
      <c r="DA87" s="33" t="n">
        <f aca="false">-CHOOSE(In_Sanction_Regime,$E86,$F86)*N(AND(DA$3&lt;=$E87,DA$4&gt;=$E87))</f>
        <v>-0</v>
      </c>
      <c r="DB87" s="33" t="n">
        <f aca="false">-CHOOSE(In_Sanction_Regime,$E86,$F86)*N(AND(DB$3&lt;=$E87,DB$4&gt;=$E87))</f>
        <v>-0</v>
      </c>
      <c r="DC87" s="33" t="n">
        <f aca="false">-CHOOSE(In_Sanction_Regime,$E86,$F86)*N(AND(DC$3&lt;=$E87,DC$4&gt;=$E87))</f>
        <v>-0</v>
      </c>
      <c r="DD87" s="33" t="n">
        <f aca="false">-CHOOSE(In_Sanction_Regime,$E86,$F86)*N(AND(DD$3&lt;=$E87,DD$4&gt;=$E87))</f>
        <v>-0</v>
      </c>
      <c r="DE87" s="33" t="n">
        <f aca="false">-CHOOSE(In_Sanction_Regime,$E86,$F86)*N(AND(DE$3&lt;=$E87,DE$4&gt;=$E87))</f>
        <v>-0</v>
      </c>
      <c r="DF87" s="33" t="n">
        <f aca="false">-CHOOSE(In_Sanction_Regime,$E86,$F86)*N(AND(DF$3&lt;=$E87,DF$4&gt;=$E87))</f>
        <v>-0</v>
      </c>
      <c r="DG87" s="33" t="n">
        <f aca="false">-CHOOSE(In_Sanction_Regime,$E86,$F86)*N(AND(DG$3&lt;=$E87,DG$4&gt;=$E87))</f>
        <v>-0</v>
      </c>
      <c r="DH87" s="33" t="n">
        <f aca="false">-CHOOSE(In_Sanction_Regime,$E86,$F86)*N(AND(DH$3&lt;=$E87,DH$4&gt;=$E87))</f>
        <v>-0</v>
      </c>
      <c r="DI87" s="33" t="n">
        <f aca="false">-CHOOSE(In_Sanction_Regime,$E86,$F86)*N(AND(DI$3&lt;=$E87,DI$4&gt;=$E87))</f>
        <v>-0</v>
      </c>
      <c r="DJ87" s="33" t="n">
        <f aca="false">-CHOOSE(In_Sanction_Regime,$E86,$F86)*N(AND(DJ$3&lt;=$E87,DJ$4&gt;=$E87))</f>
        <v>-0</v>
      </c>
      <c r="DK87" s="33" t="n">
        <f aca="false">-CHOOSE(In_Sanction_Regime,$E86,$F86)*N(AND(DK$3&lt;=$E87,DK$4&gt;=$E87))</f>
        <v>-0</v>
      </c>
      <c r="DL87" s="33" t="n">
        <f aca="false">-CHOOSE(In_Sanction_Regime,$E86,$F86)*N(AND(DL$3&lt;=$E87,DL$4&gt;=$E87))</f>
        <v>-0</v>
      </c>
      <c r="DM87" s="33" t="n">
        <f aca="false">-CHOOSE(In_Sanction_Regime,$E86,$F86)*N(AND(DM$3&lt;=$E87,DM$4&gt;=$E87))</f>
        <v>-0</v>
      </c>
      <c r="DN87" s="33" t="n">
        <f aca="false">-CHOOSE(In_Sanction_Regime,$E86,$F86)*N(AND(DN$3&lt;=$E87,DN$4&gt;=$E87))</f>
        <v>-0</v>
      </c>
      <c r="DO87" s="33" t="n">
        <f aca="false">-CHOOSE(In_Sanction_Regime,$E86,$F86)*N(AND(DO$3&lt;=$E87,DO$4&gt;=$E87))</f>
        <v>-0</v>
      </c>
      <c r="DP87" s="33" t="n">
        <f aca="false">-CHOOSE(In_Sanction_Regime,$E86,$F86)*N(AND(DP$3&lt;=$E87,DP$4&gt;=$E87))</f>
        <v>-0</v>
      </c>
      <c r="DQ87" s="33" t="n">
        <f aca="false">-CHOOSE(In_Sanction_Regime,$E86,$F86)*N(AND(DQ$3&lt;=$E87,DQ$4&gt;=$E87))</f>
        <v>-0</v>
      </c>
      <c r="DR87" s="33" t="n">
        <f aca="false">-CHOOSE(In_Sanction_Regime,$E86,$F86)*N(AND(DR$3&lt;=$E87,DR$4&gt;=$E87))</f>
        <v>-0</v>
      </c>
      <c r="DS87" s="33" t="n">
        <f aca="false">-CHOOSE(In_Sanction_Regime,$E86,$F86)*N(AND(DS$3&lt;=$E87,DS$4&gt;=$E87))</f>
        <v>-0</v>
      </c>
      <c r="DT87" s="33" t="n">
        <f aca="false">-CHOOSE(In_Sanction_Regime,$E86,$F86)*N(AND(DT$3&lt;=$E87,DT$4&gt;=$E87))</f>
        <v>-0</v>
      </c>
      <c r="DU87" s="33" t="n">
        <f aca="false">-CHOOSE(In_Sanction_Regime,$E86,$F86)*N(AND(DU$3&lt;=$E87,DU$4&gt;=$E87))</f>
        <v>-0</v>
      </c>
      <c r="DV87" s="33" t="n">
        <f aca="false">-CHOOSE(In_Sanction_Regime,$E86,$F86)*N(AND(DV$3&lt;=$E87,DV$4&gt;=$E87))</f>
        <v>-0</v>
      </c>
      <c r="DW87" s="33" t="n">
        <f aca="false">-CHOOSE(In_Sanction_Regime,$E86,$F86)*N(AND(DW$3&lt;=$E87,DW$4&gt;=$E87))</f>
        <v>-0</v>
      </c>
      <c r="DX87" s="33" t="n">
        <f aca="false">-CHOOSE(In_Sanction_Regime,$E86,$F86)*N(AND(DX$3&lt;=$E87,DX$4&gt;=$E87))</f>
        <v>-0</v>
      </c>
      <c r="DY87" s="33" t="n">
        <f aca="false">-CHOOSE(In_Sanction_Regime,$E86,$F86)*N(AND(DY$3&lt;=$E87,DY$4&gt;=$E87))</f>
        <v>-0</v>
      </c>
      <c r="DZ87" s="33" t="n">
        <f aca="false">-CHOOSE(In_Sanction_Regime,$E86,$F86)*N(AND(DZ$3&lt;=$E87,DZ$4&gt;=$E87))</f>
        <v>-0</v>
      </c>
      <c r="EA87" s="33" t="n">
        <f aca="false">-CHOOSE(In_Sanction_Regime,$E86,$F86)*N(AND(EA$3&lt;=$E87,EA$4&gt;=$E87))</f>
        <v>-0</v>
      </c>
      <c r="EB87" s="33" t="n">
        <f aca="false">-CHOOSE(In_Sanction_Regime,$E86,$F86)*N(AND(EB$3&lt;=$E87,EB$4&gt;=$E87))</f>
        <v>-0</v>
      </c>
      <c r="EC87" s="33" t="n">
        <f aca="false">-CHOOSE(In_Sanction_Regime,$E86,$F86)*N(AND(EC$3&lt;=$E87,EC$4&gt;=$E87))</f>
        <v>-0</v>
      </c>
      <c r="ED87" s="33" t="n">
        <f aca="false">-CHOOSE(In_Sanction_Regime,$E86,$F86)*N(AND(ED$3&lt;=$E87,ED$4&gt;=$E87))</f>
        <v>-0</v>
      </c>
      <c r="EE87" s="33" t="n">
        <f aca="false">-CHOOSE(In_Sanction_Regime,$E86,$F86)*N(AND(EE$3&lt;=$E87,EE$4&gt;=$E87))</f>
        <v>-0</v>
      </c>
      <c r="EF87" s="33" t="n">
        <f aca="false">-CHOOSE(In_Sanction_Regime,$E86,$F86)*N(AND(EF$3&lt;=$E87,EF$4&gt;=$E87))</f>
        <v>-0</v>
      </c>
      <c r="EG87" s="33" t="n">
        <f aca="false">-CHOOSE(In_Sanction_Regime,$E86,$F86)*N(AND(EG$3&lt;=$E87,EG$4&gt;=$E87))</f>
        <v>-0</v>
      </c>
      <c r="EH87" s="33" t="n">
        <f aca="false">-CHOOSE(In_Sanction_Regime,$E86,$F86)*N(AND(EH$3&lt;=$E87,EH$4&gt;=$E87))</f>
        <v>-0</v>
      </c>
      <c r="EI87" s="33" t="n">
        <f aca="false">-CHOOSE(In_Sanction_Regime,$E86,$F86)*N(AND(EI$3&lt;=$E87,EI$4&gt;=$E87))</f>
        <v>-0</v>
      </c>
      <c r="EJ87" s="33" t="n">
        <f aca="false">-CHOOSE(In_Sanction_Regime,$E86,$F86)*N(AND(EJ$3&lt;=$E87,EJ$4&gt;=$E87))</f>
        <v>-0</v>
      </c>
      <c r="EK87" s="33" t="n">
        <f aca="false">-CHOOSE(In_Sanction_Regime,$E86,$F86)*N(AND(EK$3&lt;=$E87,EK$4&gt;=$E87))</f>
        <v>-0</v>
      </c>
      <c r="EL87" s="33" t="n">
        <f aca="false">-CHOOSE(In_Sanction_Regime,$E86,$F86)*N(AND(EL$3&lt;=$E87,EL$4&gt;=$E87))</f>
        <v>-0</v>
      </c>
      <c r="EM87" s="33" t="n">
        <f aca="false">-CHOOSE(In_Sanction_Regime,$E86,$F86)*N(AND(EM$3&lt;=$E87,EM$4&gt;=$E87))</f>
        <v>-0</v>
      </c>
      <c r="EN87" s="33" t="n">
        <f aca="false">-CHOOSE(In_Sanction_Regime,$E86,$F86)*N(AND(EN$3&lt;=$E87,EN$4&gt;=$E87))</f>
        <v>-0</v>
      </c>
      <c r="EO87" s="33" t="n">
        <f aca="false">-CHOOSE(In_Sanction_Regime,$E86,$F86)*N(AND(EO$3&lt;=$E87,EO$4&gt;=$E87))</f>
        <v>-0</v>
      </c>
      <c r="EP87" s="33" t="n">
        <f aca="false">-CHOOSE(In_Sanction_Regime,$E86,$F86)*N(AND(EP$3&lt;=$E87,EP$4&gt;=$E87))</f>
        <v>-0</v>
      </c>
      <c r="EQ87" s="33" t="n">
        <f aca="false">-CHOOSE(In_Sanction_Regime,$E86,$F86)*N(AND(EQ$3&lt;=$E87,EQ$4&gt;=$E87))</f>
        <v>-0</v>
      </c>
      <c r="ER87" s="33" t="n">
        <f aca="false">-CHOOSE(In_Sanction_Regime,$E86,$F86)*N(AND(ER$3&lt;=$E87,ER$4&gt;=$E87))</f>
        <v>-0</v>
      </c>
      <c r="ES87" s="33" t="n">
        <f aca="false">-CHOOSE(In_Sanction_Regime,$E86,$F86)*N(AND(ES$3&lt;=$E87,ES$4&gt;=$E87))</f>
        <v>-0</v>
      </c>
      <c r="ET87" s="33" t="n">
        <f aca="false">-CHOOSE(In_Sanction_Regime,$E86,$F86)*N(AND(ET$3&lt;=$E87,ET$4&gt;=$E87))</f>
        <v>-0</v>
      </c>
    </row>
    <row r="88" customFormat="false" ht="15" hidden="false" customHeight="false" outlineLevel="0" collapsed="false">
      <c r="C88" s="0" t="s">
        <v>540</v>
      </c>
      <c r="D88" s="11" t="s">
        <v>146</v>
      </c>
      <c r="E88" s="32" t="n">
        <f aca="false">($E84&gt;In_Tolerance_Cap)*$E84*In_MVA</f>
        <v>33.7748344370861</v>
      </c>
    </row>
    <row r="89" customFormat="false" ht="15" hidden="false" customHeight="false" outlineLevel="0" collapsed="false">
      <c r="C89" s="0" t="s">
        <v>147</v>
      </c>
      <c r="D89" s="11" t="s">
        <v>41</v>
      </c>
      <c r="E89" s="46" t="n">
        <f aca="false">N($I87&lt;0)</f>
        <v>1</v>
      </c>
    </row>
    <row r="91" customFormat="false" ht="15" hidden="false" customHeight="false" outlineLevel="0" collapsed="false">
      <c r="A91" s="9" t="s">
        <v>13</v>
      </c>
      <c r="B91" s="9"/>
      <c r="C91" s="9" t="s">
        <v>541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</row>
    <row r="92" customFormat="false" ht="15" hidden="false" customHeight="false" outlineLevel="0" collapsed="false">
      <c r="C92" s="0" t="s">
        <v>542</v>
      </c>
      <c r="D92" s="11" t="s">
        <v>27</v>
      </c>
      <c r="E92" s="33" t="n">
        <f aca="false">IF(In_CN_Turbine=1,In_Turbine_CN,In_Turbine)</f>
        <v>600</v>
      </c>
      <c r="F92" s="33" t="n">
        <f aca="false">In_Installation+In_Foundations+In_BoP+In_Owner+In_Easements</f>
        <v>355</v>
      </c>
    </row>
    <row r="93" customFormat="false" ht="15" hidden="false" customHeight="false" outlineLevel="0" collapsed="false">
      <c r="C93" s="0" t="s">
        <v>543</v>
      </c>
      <c r="D93" s="11" t="s">
        <v>247</v>
      </c>
      <c r="E93" s="33" t="n">
        <f aca="false">IF(In_CN_Turbine=1,In_Substation_CN,In_Substation)</f>
        <v>12000</v>
      </c>
    </row>
    <row r="94" customFormat="false" ht="15" hidden="false" customHeight="false" outlineLevel="0" collapsed="false">
      <c r="C94" s="0" t="s">
        <v>544</v>
      </c>
      <c r="D94" s="11" t="s">
        <v>247</v>
      </c>
      <c r="E94" s="33" t="n">
        <f aca="false">(($E92+$F92)*$F24+$E93)*(1+In_Capex_Contingency)+In_BESS_Capex*$F25</f>
        <v>125115</v>
      </c>
      <c r="I94" s="33" t="n">
        <f aca="false">SUM(J94:ET94)</f>
        <v>-125115</v>
      </c>
      <c r="J94" s="33" t="n">
        <f aca="false">-$E94*J13</f>
        <v>-0</v>
      </c>
      <c r="K94" s="33" t="n">
        <f aca="false">-$E94*K13</f>
        <v>-0</v>
      </c>
      <c r="L94" s="33" t="n">
        <f aca="false">-$E94*L13</f>
        <v>-0</v>
      </c>
      <c r="M94" s="33" t="n">
        <f aca="false">-$E94*M13</f>
        <v>-0</v>
      </c>
      <c r="N94" s="33" t="n">
        <f aca="false">-$E94*N13</f>
        <v>-0</v>
      </c>
      <c r="O94" s="33" t="n">
        <f aca="false">-$E94*O13</f>
        <v>-0</v>
      </c>
      <c r="P94" s="33" t="n">
        <f aca="false">-$E94*P13</f>
        <v>-0</v>
      </c>
      <c r="Q94" s="33" t="n">
        <f aca="false">-$E94*Q13</f>
        <v>-0</v>
      </c>
      <c r="R94" s="33" t="n">
        <f aca="false">-$E94*R13</f>
        <v>-0</v>
      </c>
      <c r="S94" s="33" t="n">
        <f aca="false">-$E94*S13</f>
        <v>-0</v>
      </c>
      <c r="T94" s="33" t="n">
        <f aca="false">-$E94*T13</f>
        <v>-0</v>
      </c>
      <c r="U94" s="33" t="n">
        <f aca="false">-$E94*U13</f>
        <v>-0</v>
      </c>
      <c r="V94" s="33" t="n">
        <f aca="false">-$E94*V13</f>
        <v>-0</v>
      </c>
      <c r="W94" s="33" t="n">
        <f aca="false">-$E94*W13</f>
        <v>-15767.9178082192</v>
      </c>
      <c r="X94" s="33" t="n">
        <f aca="false">-$E94*X13</f>
        <v>-15425.1369863014</v>
      </c>
      <c r="Y94" s="33" t="n">
        <f aca="false">-$E94*Y13</f>
        <v>-15596.5273972603</v>
      </c>
      <c r="Z94" s="33" t="n">
        <f aca="false">-$E94*Z13</f>
        <v>-15767.9178082192</v>
      </c>
      <c r="AA94" s="33" t="n">
        <f aca="false">-$E94*AA13</f>
        <v>-15767.9178082192</v>
      </c>
      <c r="AB94" s="33" t="n">
        <f aca="false">-$E94*AB13</f>
        <v>-15425.1369863014</v>
      </c>
      <c r="AC94" s="33" t="n">
        <f aca="false">-$E94*AC13</f>
        <v>-15596.5273972603</v>
      </c>
      <c r="AD94" s="33" t="n">
        <f aca="false">-$E94*AD13</f>
        <v>-15767.9178082192</v>
      </c>
      <c r="AE94" s="33" t="n">
        <f aca="false">-$E94*AE13</f>
        <v>-0</v>
      </c>
      <c r="AF94" s="33" t="n">
        <f aca="false">-$E94*AF13</f>
        <v>-0</v>
      </c>
      <c r="AG94" s="33" t="n">
        <f aca="false">-$E94*AG13</f>
        <v>-0</v>
      </c>
      <c r="AH94" s="33" t="n">
        <f aca="false">-$E94*AH13</f>
        <v>-0</v>
      </c>
      <c r="AI94" s="33" t="n">
        <f aca="false">-$E94*AI13</f>
        <v>-0</v>
      </c>
      <c r="AJ94" s="33" t="n">
        <f aca="false">-$E94*AJ13</f>
        <v>-0</v>
      </c>
      <c r="AK94" s="33" t="n">
        <f aca="false">-$E94*AK13</f>
        <v>-0</v>
      </c>
      <c r="AL94" s="33" t="n">
        <f aca="false">-$E94*AL13</f>
        <v>-0</v>
      </c>
      <c r="AM94" s="33" t="n">
        <f aca="false">-$E94*AM13</f>
        <v>-0</v>
      </c>
      <c r="AN94" s="33" t="n">
        <f aca="false">-$E94*AN13</f>
        <v>-0</v>
      </c>
      <c r="AO94" s="33" t="n">
        <f aca="false">-$E94*AO13</f>
        <v>-0</v>
      </c>
      <c r="AP94" s="33" t="n">
        <f aca="false">-$E94*AP13</f>
        <v>-0</v>
      </c>
      <c r="AQ94" s="33" t="n">
        <f aca="false">-$E94*AQ13</f>
        <v>-0</v>
      </c>
      <c r="AR94" s="33" t="n">
        <f aca="false">-$E94*AR13</f>
        <v>-0</v>
      </c>
      <c r="AS94" s="33" t="n">
        <f aca="false">-$E94*AS13</f>
        <v>-0</v>
      </c>
      <c r="AT94" s="33" t="n">
        <f aca="false">-$E94*AT13</f>
        <v>-0</v>
      </c>
      <c r="AU94" s="33" t="n">
        <f aca="false">-$E94*AU13</f>
        <v>-0</v>
      </c>
      <c r="AV94" s="33" t="n">
        <f aca="false">-$E94*AV13</f>
        <v>-0</v>
      </c>
      <c r="AW94" s="33" t="n">
        <f aca="false">-$E94*AW13</f>
        <v>-0</v>
      </c>
      <c r="AX94" s="33" t="n">
        <f aca="false">-$E94*AX13</f>
        <v>-0</v>
      </c>
      <c r="AY94" s="33" t="n">
        <f aca="false">-$E94*AY13</f>
        <v>-0</v>
      </c>
      <c r="AZ94" s="33" t="n">
        <f aca="false">-$E94*AZ13</f>
        <v>-0</v>
      </c>
      <c r="BA94" s="33" t="n">
        <f aca="false">-$E94*BA13</f>
        <v>-0</v>
      </c>
      <c r="BB94" s="33" t="n">
        <f aca="false">-$E94*BB13</f>
        <v>-0</v>
      </c>
      <c r="BC94" s="33" t="n">
        <f aca="false">-$E94*BC13</f>
        <v>-0</v>
      </c>
      <c r="BD94" s="33" t="n">
        <f aca="false">-$E94*BD13</f>
        <v>-0</v>
      </c>
      <c r="BE94" s="33" t="n">
        <f aca="false">-$E94*BE13</f>
        <v>-0</v>
      </c>
      <c r="BF94" s="33" t="n">
        <f aca="false">-$E94*BF13</f>
        <v>-0</v>
      </c>
      <c r="BG94" s="33" t="n">
        <f aca="false">-$E94*BG13</f>
        <v>-0</v>
      </c>
      <c r="BH94" s="33" t="n">
        <f aca="false">-$E94*BH13</f>
        <v>-0</v>
      </c>
      <c r="BI94" s="33" t="n">
        <f aca="false">-$E94*BI13</f>
        <v>-0</v>
      </c>
      <c r="BJ94" s="33" t="n">
        <f aca="false">-$E94*BJ13</f>
        <v>-0</v>
      </c>
      <c r="BK94" s="33" t="n">
        <f aca="false">-$E94*BK13</f>
        <v>-0</v>
      </c>
      <c r="BL94" s="33" t="n">
        <f aca="false">-$E94*BL13</f>
        <v>-0</v>
      </c>
      <c r="BM94" s="33" t="n">
        <f aca="false">-$E94*BM13</f>
        <v>-0</v>
      </c>
      <c r="BN94" s="33" t="n">
        <f aca="false">-$E94*BN13</f>
        <v>-0</v>
      </c>
      <c r="BO94" s="33" t="n">
        <f aca="false">-$E94*BO13</f>
        <v>-0</v>
      </c>
      <c r="BP94" s="33" t="n">
        <f aca="false">-$E94*BP13</f>
        <v>-0</v>
      </c>
      <c r="BQ94" s="33" t="n">
        <f aca="false">-$E94*BQ13</f>
        <v>-0</v>
      </c>
      <c r="BR94" s="33" t="n">
        <f aca="false">-$E94*BR13</f>
        <v>-0</v>
      </c>
      <c r="BS94" s="33" t="n">
        <f aca="false">-$E94*BS13</f>
        <v>-0</v>
      </c>
      <c r="BT94" s="33" t="n">
        <f aca="false">-$E94*BT13</f>
        <v>-0</v>
      </c>
      <c r="BU94" s="33" t="n">
        <f aca="false">-$E94*BU13</f>
        <v>-0</v>
      </c>
      <c r="BV94" s="33" t="n">
        <f aca="false">-$E94*BV13</f>
        <v>-0</v>
      </c>
      <c r="BW94" s="33" t="n">
        <f aca="false">-$E94*BW13</f>
        <v>-0</v>
      </c>
      <c r="BX94" s="33" t="n">
        <f aca="false">-$E94*BX13</f>
        <v>-0</v>
      </c>
      <c r="BY94" s="33" t="n">
        <f aca="false">-$E94*BY13</f>
        <v>-0</v>
      </c>
      <c r="BZ94" s="33" t="n">
        <f aca="false">-$E94*BZ13</f>
        <v>-0</v>
      </c>
      <c r="CA94" s="33" t="n">
        <f aca="false">-$E94*CA13</f>
        <v>-0</v>
      </c>
      <c r="CB94" s="33" t="n">
        <f aca="false">-$E94*CB13</f>
        <v>-0</v>
      </c>
      <c r="CC94" s="33" t="n">
        <f aca="false">-$E94*CC13</f>
        <v>-0</v>
      </c>
      <c r="CD94" s="33" t="n">
        <f aca="false">-$E94*CD13</f>
        <v>-0</v>
      </c>
      <c r="CE94" s="33" t="n">
        <f aca="false">-$E94*CE13</f>
        <v>-0</v>
      </c>
      <c r="CF94" s="33" t="n">
        <f aca="false">-$E94*CF13</f>
        <v>-0</v>
      </c>
      <c r="CG94" s="33" t="n">
        <f aca="false">-$E94*CG13</f>
        <v>-0</v>
      </c>
      <c r="CH94" s="33" t="n">
        <f aca="false">-$E94*CH13</f>
        <v>-0</v>
      </c>
      <c r="CI94" s="33" t="n">
        <f aca="false">-$E94*CI13</f>
        <v>-0</v>
      </c>
      <c r="CJ94" s="33" t="n">
        <f aca="false">-$E94*CJ13</f>
        <v>-0</v>
      </c>
      <c r="CK94" s="33" t="n">
        <f aca="false">-$E94*CK13</f>
        <v>-0</v>
      </c>
      <c r="CL94" s="33" t="n">
        <f aca="false">-$E94*CL13</f>
        <v>-0</v>
      </c>
      <c r="CM94" s="33" t="n">
        <f aca="false">-$E94*CM13</f>
        <v>-0</v>
      </c>
      <c r="CN94" s="33" t="n">
        <f aca="false">-$E94*CN13</f>
        <v>-0</v>
      </c>
      <c r="CO94" s="33" t="n">
        <f aca="false">-$E94*CO13</f>
        <v>-0</v>
      </c>
      <c r="CP94" s="33" t="n">
        <f aca="false">-$E94*CP13</f>
        <v>-0</v>
      </c>
      <c r="CQ94" s="33" t="n">
        <f aca="false">-$E94*CQ13</f>
        <v>-0</v>
      </c>
      <c r="CR94" s="33" t="n">
        <f aca="false">-$E94*CR13</f>
        <v>-0</v>
      </c>
      <c r="CS94" s="33" t="n">
        <f aca="false">-$E94*CS13</f>
        <v>-0</v>
      </c>
      <c r="CT94" s="33" t="n">
        <f aca="false">-$E94*CT13</f>
        <v>-0</v>
      </c>
      <c r="CU94" s="33" t="n">
        <f aca="false">-$E94*CU13</f>
        <v>-0</v>
      </c>
      <c r="CV94" s="33" t="n">
        <f aca="false">-$E94*CV13</f>
        <v>-0</v>
      </c>
      <c r="CW94" s="33" t="n">
        <f aca="false">-$E94*CW13</f>
        <v>-0</v>
      </c>
      <c r="CX94" s="33" t="n">
        <f aca="false">-$E94*CX13</f>
        <v>-0</v>
      </c>
      <c r="CY94" s="33" t="n">
        <f aca="false">-$E94*CY13</f>
        <v>-0</v>
      </c>
      <c r="CZ94" s="33" t="n">
        <f aca="false">-$E94*CZ13</f>
        <v>-0</v>
      </c>
      <c r="DA94" s="33" t="n">
        <f aca="false">-$E94*DA13</f>
        <v>-0</v>
      </c>
      <c r="DB94" s="33" t="n">
        <f aca="false">-$E94*DB13</f>
        <v>-0</v>
      </c>
      <c r="DC94" s="33" t="n">
        <f aca="false">-$E94*DC13</f>
        <v>-0</v>
      </c>
      <c r="DD94" s="33" t="n">
        <f aca="false">-$E94*DD13</f>
        <v>-0</v>
      </c>
      <c r="DE94" s="33" t="n">
        <f aca="false">-$E94*DE13</f>
        <v>-0</v>
      </c>
      <c r="DF94" s="33" t="n">
        <f aca="false">-$E94*DF13</f>
        <v>-0</v>
      </c>
      <c r="DG94" s="33" t="n">
        <f aca="false">-$E94*DG13</f>
        <v>-0</v>
      </c>
      <c r="DH94" s="33" t="n">
        <f aca="false">-$E94*DH13</f>
        <v>-0</v>
      </c>
      <c r="DI94" s="33" t="n">
        <f aca="false">-$E94*DI13</f>
        <v>-0</v>
      </c>
      <c r="DJ94" s="33" t="n">
        <f aca="false">-$E94*DJ13</f>
        <v>-0</v>
      </c>
      <c r="DK94" s="33" t="n">
        <f aca="false">-$E94*DK13</f>
        <v>-0</v>
      </c>
      <c r="DL94" s="33" t="n">
        <f aca="false">-$E94*DL13</f>
        <v>-0</v>
      </c>
      <c r="DM94" s="33" t="n">
        <f aca="false">-$E94*DM13</f>
        <v>-0</v>
      </c>
      <c r="DN94" s="33" t="n">
        <f aca="false">-$E94*DN13</f>
        <v>-0</v>
      </c>
      <c r="DO94" s="33" t="n">
        <f aca="false">-$E94*DO13</f>
        <v>-0</v>
      </c>
      <c r="DP94" s="33" t="n">
        <f aca="false">-$E94*DP13</f>
        <v>-0</v>
      </c>
      <c r="DQ94" s="33" t="n">
        <f aca="false">-$E94*DQ13</f>
        <v>-0</v>
      </c>
      <c r="DR94" s="33" t="n">
        <f aca="false">-$E94*DR13</f>
        <v>-0</v>
      </c>
      <c r="DS94" s="33" t="n">
        <f aca="false">-$E94*DS13</f>
        <v>-0</v>
      </c>
      <c r="DT94" s="33" t="n">
        <f aca="false">-$E94*DT13</f>
        <v>-0</v>
      </c>
      <c r="DU94" s="33" t="n">
        <f aca="false">-$E94*DU13</f>
        <v>-0</v>
      </c>
      <c r="DV94" s="33" t="n">
        <f aca="false">-$E94*DV13</f>
        <v>-0</v>
      </c>
      <c r="DW94" s="33" t="n">
        <f aca="false">-$E94*DW13</f>
        <v>-0</v>
      </c>
      <c r="DX94" s="33" t="n">
        <f aca="false">-$E94*DX13</f>
        <v>-0</v>
      </c>
      <c r="DY94" s="33" t="n">
        <f aca="false">-$E94*DY13</f>
        <v>-0</v>
      </c>
      <c r="DZ94" s="33" t="n">
        <f aca="false">-$E94*DZ13</f>
        <v>-0</v>
      </c>
      <c r="EA94" s="33" t="n">
        <f aca="false">-$E94*EA13</f>
        <v>-0</v>
      </c>
      <c r="EB94" s="33" t="n">
        <f aca="false">-$E94*EB13</f>
        <v>-0</v>
      </c>
      <c r="EC94" s="33" t="n">
        <f aca="false">-$E94*EC13</f>
        <v>-0</v>
      </c>
      <c r="ED94" s="33" t="n">
        <f aca="false">-$E94*ED13</f>
        <v>-0</v>
      </c>
      <c r="EE94" s="33" t="n">
        <f aca="false">-$E94*EE13</f>
        <v>-0</v>
      </c>
      <c r="EF94" s="33" t="n">
        <f aca="false">-$E94*EF13</f>
        <v>-0</v>
      </c>
      <c r="EG94" s="33" t="n">
        <f aca="false">-$E94*EG13</f>
        <v>-0</v>
      </c>
      <c r="EH94" s="33" t="n">
        <f aca="false">-$E94*EH13</f>
        <v>-0</v>
      </c>
      <c r="EI94" s="33" t="n">
        <f aca="false">-$E94*EI13</f>
        <v>-0</v>
      </c>
      <c r="EJ94" s="33" t="n">
        <f aca="false">-$E94*EJ13</f>
        <v>-0</v>
      </c>
      <c r="EK94" s="33" t="n">
        <f aca="false">-$E94*EK13</f>
        <v>-0</v>
      </c>
      <c r="EL94" s="33" t="n">
        <f aca="false">-$E94*EL13</f>
        <v>-0</v>
      </c>
      <c r="EM94" s="33" t="n">
        <f aca="false">-$E94*EM13</f>
        <v>-0</v>
      </c>
      <c r="EN94" s="33" t="n">
        <f aca="false">-$E94*EN13</f>
        <v>-0</v>
      </c>
      <c r="EO94" s="33" t="n">
        <f aca="false">-$E94*EO13</f>
        <v>-0</v>
      </c>
      <c r="EP94" s="33" t="n">
        <f aca="false">-$E94*EP13</f>
        <v>-0</v>
      </c>
      <c r="EQ94" s="33" t="n">
        <f aca="false">-$E94*EQ13</f>
        <v>-0</v>
      </c>
      <c r="ER94" s="33" t="n">
        <f aca="false">-$E94*ER13</f>
        <v>-0</v>
      </c>
      <c r="ES94" s="33" t="n">
        <f aca="false">-$E94*ES13</f>
        <v>-0</v>
      </c>
      <c r="ET94" s="33" t="n">
        <f aca="false">-$E94*ET13</f>
        <v>-0</v>
      </c>
    </row>
    <row r="95" customFormat="false" ht="15" hidden="false" customHeight="false" outlineLevel="0" collapsed="false">
      <c r="C95" s="0" t="s">
        <v>545</v>
      </c>
      <c r="D95" s="11" t="s">
        <v>247</v>
      </c>
      <c r="E95" s="33" t="n">
        <f aca="false">$E30*In_MVA</f>
        <v>5000</v>
      </c>
      <c r="I95" s="33" t="n">
        <f aca="false">SUM(J95:ET95)</f>
        <v>-5000</v>
      </c>
      <c r="J95" s="33" t="n">
        <f aca="false">-$E95*J14</f>
        <v>-0</v>
      </c>
      <c r="K95" s="33" t="n">
        <f aca="false">-$E95*K14</f>
        <v>-0</v>
      </c>
      <c r="L95" s="33" t="n">
        <f aca="false">-$E95*L14</f>
        <v>-0</v>
      </c>
      <c r="M95" s="33" t="n">
        <f aca="false">-$E95*M14</f>
        <v>-0</v>
      </c>
      <c r="N95" s="33" t="n">
        <f aca="false">-$E95*N14</f>
        <v>-0</v>
      </c>
      <c r="O95" s="33" t="n">
        <f aca="false">-$E95*O14</f>
        <v>-0</v>
      </c>
      <c r="P95" s="33" t="n">
        <f aca="false">-$E95*P14</f>
        <v>-0</v>
      </c>
      <c r="Q95" s="33" t="n">
        <f aca="false">-$E95*Q14</f>
        <v>-0</v>
      </c>
      <c r="R95" s="33" t="n">
        <f aca="false">-$E95*R14</f>
        <v>-0</v>
      </c>
      <c r="S95" s="33" t="n">
        <f aca="false">-$E95*S14</f>
        <v>-0</v>
      </c>
      <c r="T95" s="33" t="n">
        <f aca="false">-$E95*T14</f>
        <v>-0</v>
      </c>
      <c r="U95" s="33" t="n">
        <f aca="false">-$E95*U14</f>
        <v>-0</v>
      </c>
      <c r="V95" s="33" t="n">
        <f aca="false">-$E95*V14</f>
        <v>-0</v>
      </c>
      <c r="W95" s="33" t="n">
        <f aca="false">-$E95*W14</f>
        <v>-0</v>
      </c>
      <c r="X95" s="33" t="n">
        <f aca="false">-$E95*X14</f>
        <v>-0</v>
      </c>
      <c r="Y95" s="33" t="n">
        <f aca="false">-$E95*Y14</f>
        <v>-0</v>
      </c>
      <c r="Z95" s="33" t="n">
        <f aca="false">-$E95*Z14</f>
        <v>-0</v>
      </c>
      <c r="AA95" s="33" t="n">
        <f aca="false">-$E95*AA14</f>
        <v>-0</v>
      </c>
      <c r="AB95" s="33" t="n">
        <f aca="false">-$E95*AB14</f>
        <v>-0</v>
      </c>
      <c r="AC95" s="33" t="n">
        <f aca="false">-$E95*AC14</f>
        <v>-0</v>
      </c>
      <c r="AD95" s="33" t="n">
        <f aca="false">-$E95*AD14</f>
        <v>-5000</v>
      </c>
      <c r="AE95" s="33" t="n">
        <f aca="false">-$E95*AE14</f>
        <v>-0</v>
      </c>
      <c r="AF95" s="33" t="n">
        <f aca="false">-$E95*AF14</f>
        <v>-0</v>
      </c>
      <c r="AG95" s="33" t="n">
        <f aca="false">-$E95*AG14</f>
        <v>-0</v>
      </c>
      <c r="AH95" s="33" t="n">
        <f aca="false">-$E95*AH14</f>
        <v>-0</v>
      </c>
      <c r="AI95" s="33" t="n">
        <f aca="false">-$E95*AI14</f>
        <v>-0</v>
      </c>
      <c r="AJ95" s="33" t="n">
        <f aca="false">-$E95*AJ14</f>
        <v>-0</v>
      </c>
      <c r="AK95" s="33" t="n">
        <f aca="false">-$E95*AK14</f>
        <v>-0</v>
      </c>
      <c r="AL95" s="33" t="n">
        <f aca="false">-$E95*AL14</f>
        <v>-0</v>
      </c>
      <c r="AM95" s="33" t="n">
        <f aca="false">-$E95*AM14</f>
        <v>-0</v>
      </c>
      <c r="AN95" s="33" t="n">
        <f aca="false">-$E95*AN14</f>
        <v>-0</v>
      </c>
      <c r="AO95" s="33" t="n">
        <f aca="false">-$E95*AO14</f>
        <v>-0</v>
      </c>
      <c r="AP95" s="33" t="n">
        <f aca="false">-$E95*AP14</f>
        <v>-0</v>
      </c>
      <c r="AQ95" s="33" t="n">
        <f aca="false">-$E95*AQ14</f>
        <v>-0</v>
      </c>
      <c r="AR95" s="33" t="n">
        <f aca="false">-$E95*AR14</f>
        <v>-0</v>
      </c>
      <c r="AS95" s="33" t="n">
        <f aca="false">-$E95*AS14</f>
        <v>-0</v>
      </c>
      <c r="AT95" s="33" t="n">
        <f aca="false">-$E95*AT14</f>
        <v>-0</v>
      </c>
      <c r="AU95" s="33" t="n">
        <f aca="false">-$E95*AU14</f>
        <v>-0</v>
      </c>
      <c r="AV95" s="33" t="n">
        <f aca="false">-$E95*AV14</f>
        <v>-0</v>
      </c>
      <c r="AW95" s="33" t="n">
        <f aca="false">-$E95*AW14</f>
        <v>-0</v>
      </c>
      <c r="AX95" s="33" t="n">
        <f aca="false">-$E95*AX14</f>
        <v>-0</v>
      </c>
      <c r="AY95" s="33" t="n">
        <f aca="false">-$E95*AY14</f>
        <v>-0</v>
      </c>
      <c r="AZ95" s="33" t="n">
        <f aca="false">-$E95*AZ14</f>
        <v>-0</v>
      </c>
      <c r="BA95" s="33" t="n">
        <f aca="false">-$E95*BA14</f>
        <v>-0</v>
      </c>
      <c r="BB95" s="33" t="n">
        <f aca="false">-$E95*BB14</f>
        <v>-0</v>
      </c>
      <c r="BC95" s="33" t="n">
        <f aca="false">-$E95*BC14</f>
        <v>-0</v>
      </c>
      <c r="BD95" s="33" t="n">
        <f aca="false">-$E95*BD14</f>
        <v>-0</v>
      </c>
      <c r="BE95" s="33" t="n">
        <f aca="false">-$E95*BE14</f>
        <v>-0</v>
      </c>
      <c r="BF95" s="33" t="n">
        <f aca="false">-$E95*BF14</f>
        <v>-0</v>
      </c>
      <c r="BG95" s="33" t="n">
        <f aca="false">-$E95*BG14</f>
        <v>-0</v>
      </c>
      <c r="BH95" s="33" t="n">
        <f aca="false">-$E95*BH14</f>
        <v>-0</v>
      </c>
      <c r="BI95" s="33" t="n">
        <f aca="false">-$E95*BI14</f>
        <v>-0</v>
      </c>
      <c r="BJ95" s="33" t="n">
        <f aca="false">-$E95*BJ14</f>
        <v>-0</v>
      </c>
      <c r="BK95" s="33" t="n">
        <f aca="false">-$E95*BK14</f>
        <v>-0</v>
      </c>
      <c r="BL95" s="33" t="n">
        <f aca="false">-$E95*BL14</f>
        <v>-0</v>
      </c>
      <c r="BM95" s="33" t="n">
        <f aca="false">-$E95*BM14</f>
        <v>-0</v>
      </c>
      <c r="BN95" s="33" t="n">
        <f aca="false">-$E95*BN14</f>
        <v>-0</v>
      </c>
      <c r="BO95" s="33" t="n">
        <f aca="false">-$E95*BO14</f>
        <v>-0</v>
      </c>
      <c r="BP95" s="33" t="n">
        <f aca="false">-$E95*BP14</f>
        <v>-0</v>
      </c>
      <c r="BQ95" s="33" t="n">
        <f aca="false">-$E95*BQ14</f>
        <v>-0</v>
      </c>
      <c r="BR95" s="33" t="n">
        <f aca="false">-$E95*BR14</f>
        <v>-0</v>
      </c>
      <c r="BS95" s="33" t="n">
        <f aca="false">-$E95*BS14</f>
        <v>-0</v>
      </c>
      <c r="BT95" s="33" t="n">
        <f aca="false">-$E95*BT14</f>
        <v>-0</v>
      </c>
      <c r="BU95" s="33" t="n">
        <f aca="false">-$E95*BU14</f>
        <v>-0</v>
      </c>
      <c r="BV95" s="33" t="n">
        <f aca="false">-$E95*BV14</f>
        <v>-0</v>
      </c>
      <c r="BW95" s="33" t="n">
        <f aca="false">-$E95*BW14</f>
        <v>-0</v>
      </c>
      <c r="BX95" s="33" t="n">
        <f aca="false">-$E95*BX14</f>
        <v>-0</v>
      </c>
      <c r="BY95" s="33" t="n">
        <f aca="false">-$E95*BY14</f>
        <v>-0</v>
      </c>
      <c r="BZ95" s="33" t="n">
        <f aca="false">-$E95*BZ14</f>
        <v>-0</v>
      </c>
      <c r="CA95" s="33" t="n">
        <f aca="false">-$E95*CA14</f>
        <v>-0</v>
      </c>
      <c r="CB95" s="33" t="n">
        <f aca="false">-$E95*CB14</f>
        <v>-0</v>
      </c>
      <c r="CC95" s="33" t="n">
        <f aca="false">-$E95*CC14</f>
        <v>-0</v>
      </c>
      <c r="CD95" s="33" t="n">
        <f aca="false">-$E95*CD14</f>
        <v>-0</v>
      </c>
      <c r="CE95" s="33" t="n">
        <f aca="false">-$E95*CE14</f>
        <v>-0</v>
      </c>
      <c r="CF95" s="33" t="n">
        <f aca="false">-$E95*CF14</f>
        <v>-0</v>
      </c>
      <c r="CG95" s="33" t="n">
        <f aca="false">-$E95*CG14</f>
        <v>-0</v>
      </c>
      <c r="CH95" s="33" t="n">
        <f aca="false">-$E95*CH14</f>
        <v>-0</v>
      </c>
      <c r="CI95" s="33" t="n">
        <f aca="false">-$E95*CI14</f>
        <v>-0</v>
      </c>
      <c r="CJ95" s="33" t="n">
        <f aca="false">-$E95*CJ14</f>
        <v>-0</v>
      </c>
      <c r="CK95" s="33" t="n">
        <f aca="false">-$E95*CK14</f>
        <v>-0</v>
      </c>
      <c r="CL95" s="33" t="n">
        <f aca="false">-$E95*CL14</f>
        <v>-0</v>
      </c>
      <c r="CM95" s="33" t="n">
        <f aca="false">-$E95*CM14</f>
        <v>-0</v>
      </c>
      <c r="CN95" s="33" t="n">
        <f aca="false">-$E95*CN14</f>
        <v>-0</v>
      </c>
      <c r="CO95" s="33" t="n">
        <f aca="false">-$E95*CO14</f>
        <v>-0</v>
      </c>
      <c r="CP95" s="33" t="n">
        <f aca="false">-$E95*CP14</f>
        <v>-0</v>
      </c>
      <c r="CQ95" s="33" t="n">
        <f aca="false">-$E95*CQ14</f>
        <v>-0</v>
      </c>
      <c r="CR95" s="33" t="n">
        <f aca="false">-$E95*CR14</f>
        <v>-0</v>
      </c>
      <c r="CS95" s="33" t="n">
        <f aca="false">-$E95*CS14</f>
        <v>-0</v>
      </c>
      <c r="CT95" s="33" t="n">
        <f aca="false">-$E95*CT14</f>
        <v>-0</v>
      </c>
      <c r="CU95" s="33" t="n">
        <f aca="false">-$E95*CU14</f>
        <v>-0</v>
      </c>
      <c r="CV95" s="33" t="n">
        <f aca="false">-$E95*CV14</f>
        <v>-0</v>
      </c>
      <c r="CW95" s="33" t="n">
        <f aca="false">-$E95*CW14</f>
        <v>-0</v>
      </c>
      <c r="CX95" s="33" t="n">
        <f aca="false">-$E95*CX14</f>
        <v>-0</v>
      </c>
      <c r="CY95" s="33" t="n">
        <f aca="false">-$E95*CY14</f>
        <v>-0</v>
      </c>
      <c r="CZ95" s="33" t="n">
        <f aca="false">-$E95*CZ14</f>
        <v>-0</v>
      </c>
      <c r="DA95" s="33" t="n">
        <f aca="false">-$E95*DA14</f>
        <v>-0</v>
      </c>
      <c r="DB95" s="33" t="n">
        <f aca="false">-$E95*DB14</f>
        <v>-0</v>
      </c>
      <c r="DC95" s="33" t="n">
        <f aca="false">-$E95*DC14</f>
        <v>-0</v>
      </c>
      <c r="DD95" s="33" t="n">
        <f aca="false">-$E95*DD14</f>
        <v>-0</v>
      </c>
      <c r="DE95" s="33" t="n">
        <f aca="false">-$E95*DE14</f>
        <v>-0</v>
      </c>
      <c r="DF95" s="33" t="n">
        <f aca="false">-$E95*DF14</f>
        <v>-0</v>
      </c>
      <c r="DG95" s="33" t="n">
        <f aca="false">-$E95*DG14</f>
        <v>-0</v>
      </c>
      <c r="DH95" s="33" t="n">
        <f aca="false">-$E95*DH14</f>
        <v>-0</v>
      </c>
      <c r="DI95" s="33" t="n">
        <f aca="false">-$E95*DI14</f>
        <v>-0</v>
      </c>
      <c r="DJ95" s="33" t="n">
        <f aca="false">-$E95*DJ14</f>
        <v>-0</v>
      </c>
      <c r="DK95" s="33" t="n">
        <f aca="false">-$E95*DK14</f>
        <v>-0</v>
      </c>
      <c r="DL95" s="33" t="n">
        <f aca="false">-$E95*DL14</f>
        <v>-0</v>
      </c>
      <c r="DM95" s="33" t="n">
        <f aca="false">-$E95*DM14</f>
        <v>-0</v>
      </c>
      <c r="DN95" s="33" t="n">
        <f aca="false">-$E95*DN14</f>
        <v>-0</v>
      </c>
      <c r="DO95" s="33" t="n">
        <f aca="false">-$E95*DO14</f>
        <v>-0</v>
      </c>
      <c r="DP95" s="33" t="n">
        <f aca="false">-$E95*DP14</f>
        <v>-0</v>
      </c>
      <c r="DQ95" s="33" t="n">
        <f aca="false">-$E95*DQ14</f>
        <v>-0</v>
      </c>
      <c r="DR95" s="33" t="n">
        <f aca="false">-$E95*DR14</f>
        <v>-0</v>
      </c>
      <c r="DS95" s="33" t="n">
        <f aca="false">-$E95*DS14</f>
        <v>-0</v>
      </c>
      <c r="DT95" s="33" t="n">
        <f aca="false">-$E95*DT14</f>
        <v>-0</v>
      </c>
      <c r="DU95" s="33" t="n">
        <f aca="false">-$E95*DU14</f>
        <v>-0</v>
      </c>
      <c r="DV95" s="33" t="n">
        <f aca="false">-$E95*DV14</f>
        <v>-0</v>
      </c>
      <c r="DW95" s="33" t="n">
        <f aca="false">-$E95*DW14</f>
        <v>-0</v>
      </c>
      <c r="DX95" s="33" t="n">
        <f aca="false">-$E95*DX14</f>
        <v>-0</v>
      </c>
      <c r="DY95" s="33" t="n">
        <f aca="false">-$E95*DY14</f>
        <v>-0</v>
      </c>
      <c r="DZ95" s="33" t="n">
        <f aca="false">-$E95*DZ14</f>
        <v>-0</v>
      </c>
      <c r="EA95" s="33" t="n">
        <f aca="false">-$E95*EA14</f>
        <v>-0</v>
      </c>
      <c r="EB95" s="33" t="n">
        <f aca="false">-$E95*EB14</f>
        <v>-0</v>
      </c>
      <c r="EC95" s="33" t="n">
        <f aca="false">-$E95*EC14</f>
        <v>-0</v>
      </c>
      <c r="ED95" s="33" t="n">
        <f aca="false">-$E95*ED14</f>
        <v>-0</v>
      </c>
      <c r="EE95" s="33" t="n">
        <f aca="false">-$E95*EE14</f>
        <v>-0</v>
      </c>
      <c r="EF95" s="33" t="n">
        <f aca="false">-$E95*EF14</f>
        <v>-0</v>
      </c>
      <c r="EG95" s="33" t="n">
        <f aca="false">-$E95*EG14</f>
        <v>-0</v>
      </c>
      <c r="EH95" s="33" t="n">
        <f aca="false">-$E95*EH14</f>
        <v>-0</v>
      </c>
      <c r="EI95" s="33" t="n">
        <f aca="false">-$E95*EI14</f>
        <v>-0</v>
      </c>
      <c r="EJ95" s="33" t="n">
        <f aca="false">-$E95*EJ14</f>
        <v>-0</v>
      </c>
      <c r="EK95" s="33" t="n">
        <f aca="false">-$E95*EK14</f>
        <v>-0</v>
      </c>
      <c r="EL95" s="33" t="n">
        <f aca="false">-$E95*EL14</f>
        <v>-0</v>
      </c>
      <c r="EM95" s="33" t="n">
        <f aca="false">-$E95*EM14</f>
        <v>-0</v>
      </c>
      <c r="EN95" s="33" t="n">
        <f aca="false">-$E95*EN14</f>
        <v>-0</v>
      </c>
      <c r="EO95" s="33" t="n">
        <f aca="false">-$E95*EO14</f>
        <v>-0</v>
      </c>
      <c r="EP95" s="33" t="n">
        <f aca="false">-$E95*EP14</f>
        <v>-0</v>
      </c>
      <c r="EQ95" s="33" t="n">
        <f aca="false">-$E95*EQ14</f>
        <v>-0</v>
      </c>
      <c r="ER95" s="33" t="n">
        <f aca="false">-$E95*ER14</f>
        <v>-0</v>
      </c>
      <c r="ES95" s="33" t="n">
        <f aca="false">-$E95*ES14</f>
        <v>-0</v>
      </c>
      <c r="ET95" s="33" t="n">
        <f aca="false">-$E95*ET14</f>
        <v>-0</v>
      </c>
    </row>
    <row r="96" customFormat="false" ht="15" hidden="false" customHeight="false" outlineLevel="0" collapsed="false">
      <c r="A96" s="55"/>
      <c r="B96" s="55"/>
      <c r="C96" s="55" t="s">
        <v>546</v>
      </c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  <c r="BN96" s="55"/>
      <c r="BO96" s="55"/>
      <c r="BP96" s="55"/>
      <c r="BQ96" s="55"/>
      <c r="BR96" s="55"/>
      <c r="BS96" s="55"/>
      <c r="BT96" s="55"/>
      <c r="BU96" s="55"/>
      <c r="BV96" s="55"/>
      <c r="BW96" s="55"/>
      <c r="BX96" s="5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55"/>
      <c r="CO96" s="55"/>
      <c r="CP96" s="55"/>
      <c r="CQ96" s="55"/>
      <c r="CR96" s="55"/>
      <c r="CS96" s="55"/>
      <c r="CT96" s="55"/>
      <c r="CU96" s="55"/>
      <c r="CV96" s="55"/>
      <c r="CW96" s="55"/>
      <c r="CX96" s="55"/>
      <c r="CY96" s="55"/>
      <c r="CZ96" s="55"/>
      <c r="DA96" s="55"/>
      <c r="DB96" s="55"/>
      <c r="DC96" s="55"/>
      <c r="DD96" s="55"/>
      <c r="DE96" s="55"/>
      <c r="DF96" s="55"/>
      <c r="DG96" s="55"/>
      <c r="DH96" s="55"/>
      <c r="DI96" s="55"/>
      <c r="DJ96" s="55"/>
      <c r="DK96" s="55"/>
      <c r="DL96" s="55"/>
      <c r="DM96" s="55"/>
      <c r="DN96" s="55"/>
      <c r="DO96" s="55"/>
      <c r="DP96" s="55"/>
      <c r="DQ96" s="55"/>
      <c r="DR96" s="55"/>
      <c r="DS96" s="55"/>
      <c r="DT96" s="55"/>
      <c r="DU96" s="55"/>
      <c r="DV96" s="55"/>
      <c r="DW96" s="55"/>
      <c r="DX96" s="55"/>
      <c r="DY96" s="55"/>
      <c r="DZ96" s="55"/>
      <c r="EA96" s="55"/>
      <c r="EB96" s="55"/>
      <c r="EC96" s="55"/>
      <c r="ED96" s="55"/>
      <c r="EE96" s="55"/>
      <c r="EF96" s="55"/>
      <c r="EG96" s="55"/>
      <c r="EH96" s="55"/>
      <c r="EI96" s="55"/>
      <c r="EJ96" s="55"/>
      <c r="EK96" s="55"/>
      <c r="EL96" s="55"/>
      <c r="EM96" s="55"/>
      <c r="EN96" s="55"/>
      <c r="EO96" s="55"/>
      <c r="EP96" s="55"/>
      <c r="EQ96" s="55"/>
      <c r="ER96" s="55"/>
      <c r="ES96" s="55"/>
      <c r="ET96" s="55"/>
    </row>
    <row r="97" customFormat="false" ht="15" hidden="false" customHeight="false" outlineLevel="0" collapsed="false">
      <c r="C97" s="0" t="s">
        <v>526</v>
      </c>
      <c r="D97" s="11" t="s">
        <v>247</v>
      </c>
      <c r="J97" s="22" t="n">
        <f aca="false">I101</f>
        <v>0</v>
      </c>
      <c r="K97" s="22" t="n">
        <f aca="false">J101</f>
        <v>0</v>
      </c>
      <c r="L97" s="22" t="n">
        <f aca="false">K101</f>
        <v>0</v>
      </c>
      <c r="M97" s="22" t="n">
        <f aca="false">L101</f>
        <v>0</v>
      </c>
      <c r="N97" s="22" t="n">
        <f aca="false">M101</f>
        <v>0</v>
      </c>
      <c r="O97" s="22" t="n">
        <f aca="false">N101</f>
        <v>0</v>
      </c>
      <c r="P97" s="22" t="n">
        <f aca="false">O101</f>
        <v>0</v>
      </c>
      <c r="Q97" s="22" t="n">
        <f aca="false">P101</f>
        <v>0</v>
      </c>
      <c r="R97" s="22" t="n">
        <f aca="false">Q101</f>
        <v>0</v>
      </c>
      <c r="S97" s="22" t="n">
        <f aca="false">R101</f>
        <v>0</v>
      </c>
      <c r="T97" s="22" t="n">
        <f aca="false">S101</f>
        <v>0</v>
      </c>
      <c r="U97" s="22" t="n">
        <f aca="false">T101</f>
        <v>0</v>
      </c>
      <c r="V97" s="22" t="n">
        <f aca="false">U101</f>
        <v>0</v>
      </c>
      <c r="W97" s="22" t="n">
        <f aca="false">V101</f>
        <v>0</v>
      </c>
      <c r="X97" s="22" t="n">
        <f aca="false">W101</f>
        <v>11364.7262807311</v>
      </c>
      <c r="Y97" s="22" t="n">
        <f aca="false">X101</f>
        <v>22624.4523729989</v>
      </c>
      <c r="Z97" s="22" t="n">
        <f aca="false">Y101</f>
        <v>34148.4546749063</v>
      </c>
      <c r="AA97" s="22" t="n">
        <f aca="false">Z101</f>
        <v>45940.0366390737</v>
      </c>
      <c r="AB97" s="22" t="n">
        <f aca="false">AA101</f>
        <v>57879.0133777932</v>
      </c>
      <c r="AC97" s="22" t="n">
        <f aca="false">AB101</f>
        <v>69720.1680587743</v>
      </c>
      <c r="AD97" s="22" t="n">
        <f aca="false">AC101</f>
        <v>81832.8668067539</v>
      </c>
      <c r="AE97" s="22" t="n">
        <f aca="false">AD101</f>
        <v>94220.5039225694</v>
      </c>
      <c r="AF97" s="22" t="n">
        <f aca="false">AE101</f>
        <v>92390.6085172141</v>
      </c>
      <c r="AG97" s="22" t="n">
        <f aca="false">AF101</f>
        <v>90537.8394192919</v>
      </c>
      <c r="AH97" s="22" t="n">
        <f aca="false">AG101</f>
        <v>88661.9107076456</v>
      </c>
      <c r="AI97" s="22" t="n">
        <f aca="false">AH101</f>
        <v>86762.5328871038</v>
      </c>
      <c r="AJ97" s="22" t="n">
        <f aca="false">AI101</f>
        <v>84839.4128438052</v>
      </c>
      <c r="AK97" s="22" t="n">
        <f aca="false">AJ101</f>
        <v>82892.2537999654</v>
      </c>
      <c r="AL97" s="22" t="n">
        <f aca="false">AK101</f>
        <v>80920.7552680775</v>
      </c>
      <c r="AM97" s="22" t="n">
        <f aca="false">AL101</f>
        <v>78924.6130045411</v>
      </c>
      <c r="AN97" s="22" t="n">
        <f aca="false">AM101</f>
        <v>76903.5189627105</v>
      </c>
      <c r="AO97" s="22" t="n">
        <f aca="false">AN101</f>
        <v>74857.1612453569</v>
      </c>
      <c r="AP97" s="22" t="n">
        <f aca="false">AO101</f>
        <v>72785.2240565365</v>
      </c>
      <c r="AQ97" s="22" t="n">
        <f aca="false">AP101</f>
        <v>70687.3876528558</v>
      </c>
      <c r="AR97" s="22" t="n">
        <f aca="false">AQ101</f>
        <v>68563.3282941291</v>
      </c>
      <c r="AS97" s="22" t="n">
        <f aca="false">AR101</f>
        <v>66412.7181934183</v>
      </c>
      <c r="AT97" s="22" t="n">
        <f aca="false">AS101</f>
        <v>64235.2254664487</v>
      </c>
      <c r="AU97" s="22" t="n">
        <f aca="false">AT101</f>
        <v>62030.5140803919</v>
      </c>
      <c r="AV97" s="22" t="n">
        <f aca="false">AU101</f>
        <v>59798.2438020094</v>
      </c>
      <c r="AW97" s="22" t="n">
        <f aca="false">AV101</f>
        <v>57538.0701451471</v>
      </c>
      <c r="AX97" s="22" t="n">
        <f aca="false">AW101</f>
        <v>55249.644317574</v>
      </c>
      <c r="AY97" s="22" t="n">
        <f aca="false">AX101</f>
        <v>52932.6131671563</v>
      </c>
      <c r="AZ97" s="22" t="n">
        <f aca="false">AY101</f>
        <v>50586.6191273584</v>
      </c>
      <c r="BA97" s="22" t="n">
        <f aca="false">AZ101</f>
        <v>48211.3001620629</v>
      </c>
      <c r="BB97" s="22" t="n">
        <f aca="false">BA101</f>
        <v>45806.2897097013</v>
      </c>
      <c r="BC97" s="22" t="n">
        <f aca="false">BB101</f>
        <v>43371.2166266852</v>
      </c>
      <c r="BD97" s="22" t="n">
        <f aca="false">BC101</f>
        <v>40905.7051301314</v>
      </c>
      <c r="BE97" s="22" t="n">
        <f aca="false">BD101</f>
        <v>38409.3747398706</v>
      </c>
      <c r="BF97" s="22" t="n">
        <f aca="false">BE101</f>
        <v>35881.8402197316</v>
      </c>
      <c r="BG97" s="22" t="n">
        <f aca="false">BF101</f>
        <v>33322.7115180908</v>
      </c>
      <c r="BH97" s="22" t="n">
        <f aca="false">BG101</f>
        <v>30731.5937076796</v>
      </c>
      <c r="BI97" s="22" t="n">
        <f aca="false">BH101</f>
        <v>28108.0869246381</v>
      </c>
      <c r="BJ97" s="22" t="n">
        <f aca="false">BI101</f>
        <v>25451.7863068087</v>
      </c>
      <c r="BK97" s="22" t="n">
        <f aca="false">BJ101</f>
        <v>22762.2819312564</v>
      </c>
      <c r="BL97" s="22" t="n">
        <f aca="false">BK101</f>
        <v>20039.1587510097</v>
      </c>
      <c r="BM97" s="22" t="n">
        <f aca="false">BL101</f>
        <v>17281.99653101</v>
      </c>
      <c r="BN97" s="22" t="n">
        <f aca="false">BM101</f>
        <v>14490.3697832602</v>
      </c>
      <c r="BO97" s="22" t="n">
        <f aca="false">BN101</f>
        <v>11663.8477011635</v>
      </c>
      <c r="BP97" s="22" t="n">
        <f aca="false">BO101</f>
        <v>8801.99409304069</v>
      </c>
      <c r="BQ97" s="22" t="n">
        <f aca="false">BP101</f>
        <v>5904.36731481629</v>
      </c>
      <c r="BR97" s="22" t="n">
        <f aca="false">BQ101</f>
        <v>2970.5202018641</v>
      </c>
      <c r="BS97" s="22" t="n">
        <f aca="false">BR101</f>
        <v>0</v>
      </c>
      <c r="BT97" s="22" t="n">
        <f aca="false">BS101</f>
        <v>0</v>
      </c>
      <c r="BU97" s="22" t="n">
        <f aca="false">BT101</f>
        <v>0</v>
      </c>
      <c r="BV97" s="22" t="n">
        <f aca="false">BU101</f>
        <v>0</v>
      </c>
      <c r="BW97" s="22" t="n">
        <f aca="false">BV101</f>
        <v>0</v>
      </c>
      <c r="BX97" s="22" t="n">
        <f aca="false">BW101</f>
        <v>0</v>
      </c>
      <c r="BY97" s="22" t="n">
        <f aca="false">BX101</f>
        <v>0</v>
      </c>
      <c r="BZ97" s="22" t="n">
        <f aca="false">BY101</f>
        <v>0</v>
      </c>
      <c r="CA97" s="22" t="n">
        <f aca="false">BZ101</f>
        <v>0</v>
      </c>
      <c r="CB97" s="22" t="n">
        <f aca="false">CA101</f>
        <v>0</v>
      </c>
      <c r="CC97" s="22" t="n">
        <f aca="false">CB101</f>
        <v>0</v>
      </c>
      <c r="CD97" s="22" t="n">
        <f aca="false">CC101</f>
        <v>0</v>
      </c>
      <c r="CE97" s="22" t="n">
        <f aca="false">CD101</f>
        <v>0</v>
      </c>
      <c r="CF97" s="22" t="n">
        <f aca="false">CE101</f>
        <v>0</v>
      </c>
      <c r="CG97" s="22" t="n">
        <f aca="false">CF101</f>
        <v>0</v>
      </c>
      <c r="CH97" s="22" t="n">
        <f aca="false">CG101</f>
        <v>0</v>
      </c>
      <c r="CI97" s="22" t="n">
        <f aca="false">CH101</f>
        <v>0</v>
      </c>
      <c r="CJ97" s="22" t="n">
        <f aca="false">CI101</f>
        <v>0</v>
      </c>
      <c r="CK97" s="22" t="n">
        <f aca="false">CJ101</f>
        <v>0</v>
      </c>
      <c r="CL97" s="22" t="n">
        <f aca="false">CK101</f>
        <v>0</v>
      </c>
      <c r="CM97" s="22" t="n">
        <f aca="false">CL101</f>
        <v>0</v>
      </c>
      <c r="CN97" s="22" t="n">
        <f aca="false">CM101</f>
        <v>0</v>
      </c>
      <c r="CO97" s="22" t="n">
        <f aca="false">CN101</f>
        <v>0</v>
      </c>
      <c r="CP97" s="22" t="n">
        <f aca="false">CO101</f>
        <v>0</v>
      </c>
      <c r="CQ97" s="22" t="n">
        <f aca="false">CP101</f>
        <v>0</v>
      </c>
      <c r="CR97" s="22" t="n">
        <f aca="false">CQ101</f>
        <v>0</v>
      </c>
      <c r="CS97" s="22" t="n">
        <f aca="false">CR101</f>
        <v>0</v>
      </c>
      <c r="CT97" s="22" t="n">
        <f aca="false">CS101</f>
        <v>0</v>
      </c>
      <c r="CU97" s="22" t="n">
        <f aca="false">CT101</f>
        <v>0</v>
      </c>
      <c r="CV97" s="22" t="n">
        <f aca="false">CU101</f>
        <v>0</v>
      </c>
      <c r="CW97" s="22" t="n">
        <f aca="false">CV101</f>
        <v>0</v>
      </c>
      <c r="CX97" s="22" t="n">
        <f aca="false">CW101</f>
        <v>0</v>
      </c>
      <c r="CY97" s="22" t="n">
        <f aca="false">CX101</f>
        <v>0</v>
      </c>
      <c r="CZ97" s="22" t="n">
        <f aca="false">CY101</f>
        <v>0</v>
      </c>
      <c r="DA97" s="22" t="n">
        <f aca="false">CZ101</f>
        <v>0</v>
      </c>
      <c r="DB97" s="22" t="n">
        <f aca="false">DA101</f>
        <v>0</v>
      </c>
      <c r="DC97" s="22" t="n">
        <f aca="false">DB101</f>
        <v>0</v>
      </c>
      <c r="DD97" s="22" t="n">
        <f aca="false">DC101</f>
        <v>0</v>
      </c>
      <c r="DE97" s="22" t="n">
        <f aca="false">DD101</f>
        <v>0</v>
      </c>
      <c r="DF97" s="22" t="n">
        <f aca="false">DE101</f>
        <v>0</v>
      </c>
      <c r="DG97" s="22" t="n">
        <f aca="false">DF101</f>
        <v>0</v>
      </c>
      <c r="DH97" s="22" t="n">
        <f aca="false">DG101</f>
        <v>0</v>
      </c>
      <c r="DI97" s="22" t="n">
        <f aca="false">DH101</f>
        <v>0</v>
      </c>
      <c r="DJ97" s="22" t="n">
        <f aca="false">DI101</f>
        <v>0</v>
      </c>
      <c r="DK97" s="22" t="n">
        <f aca="false">DJ101</f>
        <v>0</v>
      </c>
      <c r="DL97" s="22" t="n">
        <f aca="false">DK101</f>
        <v>0</v>
      </c>
      <c r="DM97" s="22" t="n">
        <f aca="false">DL101</f>
        <v>0</v>
      </c>
      <c r="DN97" s="22" t="n">
        <f aca="false">DM101</f>
        <v>0</v>
      </c>
      <c r="DO97" s="22" t="n">
        <f aca="false">DN101</f>
        <v>0</v>
      </c>
      <c r="DP97" s="22" t="n">
        <f aca="false">DO101</f>
        <v>0</v>
      </c>
      <c r="DQ97" s="22" t="n">
        <f aca="false">DP101</f>
        <v>0</v>
      </c>
      <c r="DR97" s="22" t="n">
        <f aca="false">DQ101</f>
        <v>0</v>
      </c>
      <c r="DS97" s="22" t="n">
        <f aca="false">DR101</f>
        <v>0</v>
      </c>
      <c r="DT97" s="22" t="n">
        <f aca="false">DS101</f>
        <v>0</v>
      </c>
      <c r="DU97" s="22" t="n">
        <f aca="false">DT101</f>
        <v>0</v>
      </c>
      <c r="DV97" s="22" t="n">
        <f aca="false">DU101</f>
        <v>0</v>
      </c>
      <c r="DW97" s="22" t="n">
        <f aca="false">DV101</f>
        <v>0</v>
      </c>
      <c r="DX97" s="22" t="n">
        <f aca="false">DW101</f>
        <v>0</v>
      </c>
      <c r="DY97" s="22" t="n">
        <f aca="false">DX101</f>
        <v>0</v>
      </c>
      <c r="DZ97" s="22" t="n">
        <f aca="false">DY101</f>
        <v>0</v>
      </c>
      <c r="EA97" s="22" t="n">
        <f aca="false">DZ101</f>
        <v>0</v>
      </c>
      <c r="EB97" s="22" t="n">
        <f aca="false">EA101</f>
        <v>0</v>
      </c>
      <c r="EC97" s="22" t="n">
        <f aca="false">EB101</f>
        <v>0</v>
      </c>
      <c r="ED97" s="22" t="n">
        <f aca="false">EC101</f>
        <v>0</v>
      </c>
      <c r="EE97" s="22" t="n">
        <f aca="false">ED101</f>
        <v>0</v>
      </c>
      <c r="EF97" s="22" t="n">
        <f aca="false">EE101</f>
        <v>0</v>
      </c>
      <c r="EG97" s="22" t="n">
        <f aca="false">EF101</f>
        <v>0</v>
      </c>
      <c r="EH97" s="22" t="n">
        <f aca="false">EG101</f>
        <v>0</v>
      </c>
      <c r="EI97" s="22" t="n">
        <f aca="false">EH101</f>
        <v>0</v>
      </c>
      <c r="EJ97" s="22" t="n">
        <f aca="false">EI101</f>
        <v>0</v>
      </c>
      <c r="EK97" s="22" t="n">
        <f aca="false">EJ101</f>
        <v>0</v>
      </c>
      <c r="EL97" s="22" t="n">
        <f aca="false">EK101</f>
        <v>0</v>
      </c>
      <c r="EM97" s="22" t="n">
        <f aca="false">EL101</f>
        <v>0</v>
      </c>
      <c r="EN97" s="22" t="n">
        <f aca="false">EM101</f>
        <v>0</v>
      </c>
      <c r="EO97" s="22" t="n">
        <f aca="false">EN101</f>
        <v>0</v>
      </c>
      <c r="EP97" s="22" t="n">
        <f aca="false">EO101</f>
        <v>0</v>
      </c>
      <c r="EQ97" s="22" t="n">
        <f aca="false">EP101</f>
        <v>0</v>
      </c>
      <c r="ER97" s="22" t="n">
        <f aca="false">EQ101</f>
        <v>0</v>
      </c>
      <c r="ES97" s="22" t="n">
        <f aca="false">ER101</f>
        <v>0</v>
      </c>
      <c r="ET97" s="22" t="n">
        <f aca="false">ES101</f>
        <v>0</v>
      </c>
    </row>
    <row r="98" customFormat="false" ht="15" hidden="false" customHeight="false" outlineLevel="0" collapsed="false">
      <c r="C98" s="0" t="s">
        <v>547</v>
      </c>
      <c r="D98" s="11" t="s">
        <v>247</v>
      </c>
      <c r="E98" s="33" t="n">
        <f aca="false">-IF(In_CN_Turbine=1,In_Gearing_CN,In_Gearing)*($I94+$I53+$I95)</f>
        <v>90176.6324449315</v>
      </c>
      <c r="I98" s="33" t="n">
        <f aca="false">SUM(J98:ET98)</f>
        <v>90176.6324449315</v>
      </c>
      <c r="J98" s="33" t="n">
        <f aca="false">$E98*J13</f>
        <v>0</v>
      </c>
      <c r="K98" s="33" t="n">
        <f aca="false">$E98*K13</f>
        <v>0</v>
      </c>
      <c r="L98" s="33" t="n">
        <f aca="false">$E98*L13</f>
        <v>0</v>
      </c>
      <c r="M98" s="33" t="n">
        <f aca="false">$E98*M13</f>
        <v>0</v>
      </c>
      <c r="N98" s="33" t="n">
        <f aca="false">$E98*N13</f>
        <v>0</v>
      </c>
      <c r="O98" s="33" t="n">
        <f aca="false">$E98*O13</f>
        <v>0</v>
      </c>
      <c r="P98" s="33" t="n">
        <f aca="false">$E98*P13</f>
        <v>0</v>
      </c>
      <c r="Q98" s="33" t="n">
        <f aca="false">$E98*Q13</f>
        <v>0</v>
      </c>
      <c r="R98" s="33" t="n">
        <f aca="false">$E98*R13</f>
        <v>0</v>
      </c>
      <c r="S98" s="33" t="n">
        <f aca="false">$E98*S13</f>
        <v>0</v>
      </c>
      <c r="T98" s="33" t="n">
        <f aca="false">$E98*T13</f>
        <v>0</v>
      </c>
      <c r="U98" s="33" t="n">
        <f aca="false">$E98*U13</f>
        <v>0</v>
      </c>
      <c r="V98" s="33" t="n">
        <f aca="false">$E98*V13</f>
        <v>0</v>
      </c>
      <c r="W98" s="33" t="n">
        <f aca="false">$E98*W13</f>
        <v>11364.7262807311</v>
      </c>
      <c r="X98" s="33" t="n">
        <f aca="false">$E98*X13</f>
        <v>11117.6670137587</v>
      </c>
      <c r="Y98" s="33" t="n">
        <f aca="false">$E98*Y13</f>
        <v>11241.1966472449</v>
      </c>
      <c r="Z98" s="33" t="n">
        <f aca="false">$E98*Z13</f>
        <v>11364.7262807311</v>
      </c>
      <c r="AA98" s="33" t="n">
        <f aca="false">$E98*AA13</f>
        <v>11364.7262807311</v>
      </c>
      <c r="AB98" s="33" t="n">
        <f aca="false">$E98*AB13</f>
        <v>11117.6670137587</v>
      </c>
      <c r="AC98" s="33" t="n">
        <f aca="false">$E98*AC13</f>
        <v>11241.1966472449</v>
      </c>
      <c r="AD98" s="33" t="n">
        <f aca="false">$E98*AD13</f>
        <v>11364.7262807311</v>
      </c>
      <c r="AE98" s="33" t="n">
        <f aca="false">$E98*AE13</f>
        <v>0</v>
      </c>
      <c r="AF98" s="33" t="n">
        <f aca="false">$E98*AF13</f>
        <v>0</v>
      </c>
      <c r="AG98" s="33" t="n">
        <f aca="false">$E98*AG13</f>
        <v>0</v>
      </c>
      <c r="AH98" s="33" t="n">
        <f aca="false">$E98*AH13</f>
        <v>0</v>
      </c>
      <c r="AI98" s="33" t="n">
        <f aca="false">$E98*AI13</f>
        <v>0</v>
      </c>
      <c r="AJ98" s="33" t="n">
        <f aca="false">$E98*AJ13</f>
        <v>0</v>
      </c>
      <c r="AK98" s="33" t="n">
        <f aca="false">$E98*AK13</f>
        <v>0</v>
      </c>
      <c r="AL98" s="33" t="n">
        <f aca="false">$E98*AL13</f>
        <v>0</v>
      </c>
      <c r="AM98" s="33" t="n">
        <f aca="false">$E98*AM13</f>
        <v>0</v>
      </c>
      <c r="AN98" s="33" t="n">
        <f aca="false">$E98*AN13</f>
        <v>0</v>
      </c>
      <c r="AO98" s="33" t="n">
        <f aca="false">$E98*AO13</f>
        <v>0</v>
      </c>
      <c r="AP98" s="33" t="n">
        <f aca="false">$E98*AP13</f>
        <v>0</v>
      </c>
      <c r="AQ98" s="33" t="n">
        <f aca="false">$E98*AQ13</f>
        <v>0</v>
      </c>
      <c r="AR98" s="33" t="n">
        <f aca="false">$E98*AR13</f>
        <v>0</v>
      </c>
      <c r="AS98" s="33" t="n">
        <f aca="false">$E98*AS13</f>
        <v>0</v>
      </c>
      <c r="AT98" s="33" t="n">
        <f aca="false">$E98*AT13</f>
        <v>0</v>
      </c>
      <c r="AU98" s="33" t="n">
        <f aca="false">$E98*AU13</f>
        <v>0</v>
      </c>
      <c r="AV98" s="33" t="n">
        <f aca="false">$E98*AV13</f>
        <v>0</v>
      </c>
      <c r="AW98" s="33" t="n">
        <f aca="false">$E98*AW13</f>
        <v>0</v>
      </c>
      <c r="AX98" s="33" t="n">
        <f aca="false">$E98*AX13</f>
        <v>0</v>
      </c>
      <c r="AY98" s="33" t="n">
        <f aca="false">$E98*AY13</f>
        <v>0</v>
      </c>
      <c r="AZ98" s="33" t="n">
        <f aca="false">$E98*AZ13</f>
        <v>0</v>
      </c>
      <c r="BA98" s="33" t="n">
        <f aca="false">$E98*BA13</f>
        <v>0</v>
      </c>
      <c r="BB98" s="33" t="n">
        <f aca="false">$E98*BB13</f>
        <v>0</v>
      </c>
      <c r="BC98" s="33" t="n">
        <f aca="false">$E98*BC13</f>
        <v>0</v>
      </c>
      <c r="BD98" s="33" t="n">
        <f aca="false">$E98*BD13</f>
        <v>0</v>
      </c>
      <c r="BE98" s="33" t="n">
        <f aca="false">$E98*BE13</f>
        <v>0</v>
      </c>
      <c r="BF98" s="33" t="n">
        <f aca="false">$E98*BF13</f>
        <v>0</v>
      </c>
      <c r="BG98" s="33" t="n">
        <f aca="false">$E98*BG13</f>
        <v>0</v>
      </c>
      <c r="BH98" s="33" t="n">
        <f aca="false">$E98*BH13</f>
        <v>0</v>
      </c>
      <c r="BI98" s="33" t="n">
        <f aca="false">$E98*BI13</f>
        <v>0</v>
      </c>
      <c r="BJ98" s="33" t="n">
        <f aca="false">$E98*BJ13</f>
        <v>0</v>
      </c>
      <c r="BK98" s="33" t="n">
        <f aca="false">$E98*BK13</f>
        <v>0</v>
      </c>
      <c r="BL98" s="33" t="n">
        <f aca="false">$E98*BL13</f>
        <v>0</v>
      </c>
      <c r="BM98" s="33" t="n">
        <f aca="false">$E98*BM13</f>
        <v>0</v>
      </c>
      <c r="BN98" s="33" t="n">
        <f aca="false">$E98*BN13</f>
        <v>0</v>
      </c>
      <c r="BO98" s="33" t="n">
        <f aca="false">$E98*BO13</f>
        <v>0</v>
      </c>
      <c r="BP98" s="33" t="n">
        <f aca="false">$E98*BP13</f>
        <v>0</v>
      </c>
      <c r="BQ98" s="33" t="n">
        <f aca="false">$E98*BQ13</f>
        <v>0</v>
      </c>
      <c r="BR98" s="33" t="n">
        <f aca="false">$E98*BR13</f>
        <v>0</v>
      </c>
      <c r="BS98" s="33" t="n">
        <f aca="false">$E98*BS13</f>
        <v>0</v>
      </c>
      <c r="BT98" s="33" t="n">
        <f aca="false">$E98*BT13</f>
        <v>0</v>
      </c>
      <c r="BU98" s="33" t="n">
        <f aca="false">$E98*BU13</f>
        <v>0</v>
      </c>
      <c r="BV98" s="33" t="n">
        <f aca="false">$E98*BV13</f>
        <v>0</v>
      </c>
      <c r="BW98" s="33" t="n">
        <f aca="false">$E98*BW13</f>
        <v>0</v>
      </c>
      <c r="BX98" s="33" t="n">
        <f aca="false">$E98*BX13</f>
        <v>0</v>
      </c>
      <c r="BY98" s="33" t="n">
        <f aca="false">$E98*BY13</f>
        <v>0</v>
      </c>
      <c r="BZ98" s="33" t="n">
        <f aca="false">$E98*BZ13</f>
        <v>0</v>
      </c>
      <c r="CA98" s="33" t="n">
        <f aca="false">$E98*CA13</f>
        <v>0</v>
      </c>
      <c r="CB98" s="33" t="n">
        <f aca="false">$E98*CB13</f>
        <v>0</v>
      </c>
      <c r="CC98" s="33" t="n">
        <f aca="false">$E98*CC13</f>
        <v>0</v>
      </c>
      <c r="CD98" s="33" t="n">
        <f aca="false">$E98*CD13</f>
        <v>0</v>
      </c>
      <c r="CE98" s="33" t="n">
        <f aca="false">$E98*CE13</f>
        <v>0</v>
      </c>
      <c r="CF98" s="33" t="n">
        <f aca="false">$E98*CF13</f>
        <v>0</v>
      </c>
      <c r="CG98" s="33" t="n">
        <f aca="false">$E98*CG13</f>
        <v>0</v>
      </c>
      <c r="CH98" s="33" t="n">
        <f aca="false">$E98*CH13</f>
        <v>0</v>
      </c>
      <c r="CI98" s="33" t="n">
        <f aca="false">$E98*CI13</f>
        <v>0</v>
      </c>
      <c r="CJ98" s="33" t="n">
        <f aca="false">$E98*CJ13</f>
        <v>0</v>
      </c>
      <c r="CK98" s="33" t="n">
        <f aca="false">$E98*CK13</f>
        <v>0</v>
      </c>
      <c r="CL98" s="33" t="n">
        <f aca="false">$E98*CL13</f>
        <v>0</v>
      </c>
      <c r="CM98" s="33" t="n">
        <f aca="false">$E98*CM13</f>
        <v>0</v>
      </c>
      <c r="CN98" s="33" t="n">
        <f aca="false">$E98*CN13</f>
        <v>0</v>
      </c>
      <c r="CO98" s="33" t="n">
        <f aca="false">$E98*CO13</f>
        <v>0</v>
      </c>
      <c r="CP98" s="33" t="n">
        <f aca="false">$E98*CP13</f>
        <v>0</v>
      </c>
      <c r="CQ98" s="33" t="n">
        <f aca="false">$E98*CQ13</f>
        <v>0</v>
      </c>
      <c r="CR98" s="33" t="n">
        <f aca="false">$E98*CR13</f>
        <v>0</v>
      </c>
      <c r="CS98" s="33" t="n">
        <f aca="false">$E98*CS13</f>
        <v>0</v>
      </c>
      <c r="CT98" s="33" t="n">
        <f aca="false">$E98*CT13</f>
        <v>0</v>
      </c>
      <c r="CU98" s="33" t="n">
        <f aca="false">$E98*CU13</f>
        <v>0</v>
      </c>
      <c r="CV98" s="33" t="n">
        <f aca="false">$E98*CV13</f>
        <v>0</v>
      </c>
      <c r="CW98" s="33" t="n">
        <f aca="false">$E98*CW13</f>
        <v>0</v>
      </c>
      <c r="CX98" s="33" t="n">
        <f aca="false">$E98*CX13</f>
        <v>0</v>
      </c>
      <c r="CY98" s="33" t="n">
        <f aca="false">$E98*CY13</f>
        <v>0</v>
      </c>
      <c r="CZ98" s="33" t="n">
        <f aca="false">$E98*CZ13</f>
        <v>0</v>
      </c>
      <c r="DA98" s="33" t="n">
        <f aca="false">$E98*DA13</f>
        <v>0</v>
      </c>
      <c r="DB98" s="33" t="n">
        <f aca="false">$E98*DB13</f>
        <v>0</v>
      </c>
      <c r="DC98" s="33" t="n">
        <f aca="false">$E98*DC13</f>
        <v>0</v>
      </c>
      <c r="DD98" s="33" t="n">
        <f aca="false">$E98*DD13</f>
        <v>0</v>
      </c>
      <c r="DE98" s="33" t="n">
        <f aca="false">$E98*DE13</f>
        <v>0</v>
      </c>
      <c r="DF98" s="33" t="n">
        <f aca="false">$E98*DF13</f>
        <v>0</v>
      </c>
      <c r="DG98" s="33" t="n">
        <f aca="false">$E98*DG13</f>
        <v>0</v>
      </c>
      <c r="DH98" s="33" t="n">
        <f aca="false">$E98*DH13</f>
        <v>0</v>
      </c>
      <c r="DI98" s="33" t="n">
        <f aca="false">$E98*DI13</f>
        <v>0</v>
      </c>
      <c r="DJ98" s="33" t="n">
        <f aca="false">$E98*DJ13</f>
        <v>0</v>
      </c>
      <c r="DK98" s="33" t="n">
        <f aca="false">$E98*DK13</f>
        <v>0</v>
      </c>
      <c r="DL98" s="33" t="n">
        <f aca="false">$E98*DL13</f>
        <v>0</v>
      </c>
      <c r="DM98" s="33" t="n">
        <f aca="false">$E98*DM13</f>
        <v>0</v>
      </c>
      <c r="DN98" s="33" t="n">
        <f aca="false">$E98*DN13</f>
        <v>0</v>
      </c>
      <c r="DO98" s="33" t="n">
        <f aca="false">$E98*DO13</f>
        <v>0</v>
      </c>
      <c r="DP98" s="33" t="n">
        <f aca="false">$E98*DP13</f>
        <v>0</v>
      </c>
      <c r="DQ98" s="33" t="n">
        <f aca="false">$E98*DQ13</f>
        <v>0</v>
      </c>
      <c r="DR98" s="33" t="n">
        <f aca="false">$E98*DR13</f>
        <v>0</v>
      </c>
      <c r="DS98" s="33" t="n">
        <f aca="false">$E98*DS13</f>
        <v>0</v>
      </c>
      <c r="DT98" s="33" t="n">
        <f aca="false">$E98*DT13</f>
        <v>0</v>
      </c>
      <c r="DU98" s="33" t="n">
        <f aca="false">$E98*DU13</f>
        <v>0</v>
      </c>
      <c r="DV98" s="33" t="n">
        <f aca="false">$E98*DV13</f>
        <v>0</v>
      </c>
      <c r="DW98" s="33" t="n">
        <f aca="false">$E98*DW13</f>
        <v>0</v>
      </c>
      <c r="DX98" s="33" t="n">
        <f aca="false">$E98*DX13</f>
        <v>0</v>
      </c>
      <c r="DY98" s="33" t="n">
        <f aca="false">$E98*DY13</f>
        <v>0</v>
      </c>
      <c r="DZ98" s="33" t="n">
        <f aca="false">$E98*DZ13</f>
        <v>0</v>
      </c>
      <c r="EA98" s="33" t="n">
        <f aca="false">$E98*EA13</f>
        <v>0</v>
      </c>
      <c r="EB98" s="33" t="n">
        <f aca="false">$E98*EB13</f>
        <v>0</v>
      </c>
      <c r="EC98" s="33" t="n">
        <f aca="false">$E98*EC13</f>
        <v>0</v>
      </c>
      <c r="ED98" s="33" t="n">
        <f aca="false">$E98*ED13</f>
        <v>0</v>
      </c>
      <c r="EE98" s="33" t="n">
        <f aca="false">$E98*EE13</f>
        <v>0</v>
      </c>
      <c r="EF98" s="33" t="n">
        <f aca="false">$E98*EF13</f>
        <v>0</v>
      </c>
      <c r="EG98" s="33" t="n">
        <f aca="false">$E98*EG13</f>
        <v>0</v>
      </c>
      <c r="EH98" s="33" t="n">
        <f aca="false">$E98*EH13</f>
        <v>0</v>
      </c>
      <c r="EI98" s="33" t="n">
        <f aca="false">$E98*EI13</f>
        <v>0</v>
      </c>
      <c r="EJ98" s="33" t="n">
        <f aca="false">$E98*EJ13</f>
        <v>0</v>
      </c>
      <c r="EK98" s="33" t="n">
        <f aca="false">$E98*EK13</f>
        <v>0</v>
      </c>
      <c r="EL98" s="33" t="n">
        <f aca="false">$E98*EL13</f>
        <v>0</v>
      </c>
      <c r="EM98" s="33" t="n">
        <f aca="false">$E98*EM13</f>
        <v>0</v>
      </c>
      <c r="EN98" s="33" t="n">
        <f aca="false">$E98*EN13</f>
        <v>0</v>
      </c>
      <c r="EO98" s="33" t="n">
        <f aca="false">$E98*EO13</f>
        <v>0</v>
      </c>
      <c r="EP98" s="33" t="n">
        <f aca="false">$E98*EP13</f>
        <v>0</v>
      </c>
      <c r="EQ98" s="33" t="n">
        <f aca="false">$E98*EQ13</f>
        <v>0</v>
      </c>
      <c r="ER98" s="33" t="n">
        <f aca="false">$E98*ER13</f>
        <v>0</v>
      </c>
      <c r="ES98" s="33" t="n">
        <f aca="false">$E98*ES13</f>
        <v>0</v>
      </c>
      <c r="ET98" s="33" t="n">
        <f aca="false">$E98*ET13</f>
        <v>0</v>
      </c>
    </row>
    <row r="99" customFormat="false" ht="15" hidden="false" customHeight="false" outlineLevel="0" collapsed="false">
      <c r="C99" s="0" t="s">
        <v>548</v>
      </c>
      <c r="D99" s="11" t="s">
        <v>247</v>
      </c>
      <c r="F99" s="53" t="n">
        <f aca="false">In_Debt_Rate*Months_Per_Period/Months_In_Year</f>
        <v>0.0125</v>
      </c>
      <c r="I99" s="33" t="n">
        <f aca="false">SUM(J99:ET99)</f>
        <v>4043.87147763789</v>
      </c>
      <c r="J99" s="33" t="n">
        <f aca="false">J97*$F99*(J$4&lt;=In_COD)</f>
        <v>0</v>
      </c>
      <c r="K99" s="33" t="n">
        <f aca="false">K97*$F99*(K$4&lt;=In_COD)</f>
        <v>0</v>
      </c>
      <c r="L99" s="33" t="n">
        <f aca="false">L97*$F99*(L$4&lt;=In_COD)</f>
        <v>0</v>
      </c>
      <c r="M99" s="33" t="n">
        <f aca="false">M97*$F99*(M$4&lt;=In_COD)</f>
        <v>0</v>
      </c>
      <c r="N99" s="33" t="n">
        <f aca="false">N97*$F99*(N$4&lt;=In_COD)</f>
        <v>0</v>
      </c>
      <c r="O99" s="33" t="n">
        <f aca="false">O97*$F99*(O$4&lt;=In_COD)</f>
        <v>0</v>
      </c>
      <c r="P99" s="33" t="n">
        <f aca="false">P97*$F99*(P$4&lt;=In_COD)</f>
        <v>0</v>
      </c>
      <c r="Q99" s="33" t="n">
        <f aca="false">Q97*$F99*(Q$4&lt;=In_COD)</f>
        <v>0</v>
      </c>
      <c r="R99" s="33" t="n">
        <f aca="false">R97*$F99*(R$4&lt;=In_COD)</f>
        <v>0</v>
      </c>
      <c r="S99" s="33" t="n">
        <f aca="false">S97*$F99*(S$4&lt;=In_COD)</f>
        <v>0</v>
      </c>
      <c r="T99" s="33" t="n">
        <f aca="false">T97*$F99*(T$4&lt;=In_COD)</f>
        <v>0</v>
      </c>
      <c r="U99" s="33" t="n">
        <f aca="false">U97*$F99*(U$4&lt;=In_COD)</f>
        <v>0</v>
      </c>
      <c r="V99" s="33" t="n">
        <f aca="false">V97*$F99*(V$4&lt;=In_COD)</f>
        <v>0</v>
      </c>
      <c r="W99" s="33" t="n">
        <f aca="false">W97*$F99*(W$4&lt;=In_COD)</f>
        <v>0</v>
      </c>
      <c r="X99" s="33" t="n">
        <f aca="false">X97*$F99*(X$4&lt;=In_COD)</f>
        <v>142.059078509139</v>
      </c>
      <c r="Y99" s="33" t="n">
        <f aca="false">Y97*$F99*(Y$4&lt;=In_COD)</f>
        <v>282.805654662486</v>
      </c>
      <c r="Z99" s="33" t="n">
        <f aca="false">Z97*$F99*(Z$4&lt;=In_COD)</f>
        <v>426.855683436329</v>
      </c>
      <c r="AA99" s="33" t="n">
        <f aca="false">AA97*$F99*(AA$4&lt;=In_COD)</f>
        <v>574.250457988422</v>
      </c>
      <c r="AB99" s="33" t="n">
        <f aca="false">AB97*$F99*(AB$4&lt;=In_COD)</f>
        <v>723.487667222415</v>
      </c>
      <c r="AC99" s="33" t="n">
        <f aca="false">AC97*$F99*(AC$4&lt;=In_COD)</f>
        <v>871.502100734679</v>
      </c>
      <c r="AD99" s="33" t="n">
        <f aca="false">AD97*$F99*(AD$4&lt;=In_COD)</f>
        <v>1022.91083508442</v>
      </c>
      <c r="AE99" s="33" t="n">
        <f aca="false">AE97*$F99*(AE$4&lt;=In_COD)</f>
        <v>0</v>
      </c>
      <c r="AF99" s="33" t="n">
        <f aca="false">AF97*$F99*(AF$4&lt;=In_COD)</f>
        <v>0</v>
      </c>
      <c r="AG99" s="33" t="n">
        <f aca="false">AG97*$F99*(AG$4&lt;=In_COD)</f>
        <v>0</v>
      </c>
      <c r="AH99" s="33" t="n">
        <f aca="false">AH97*$F99*(AH$4&lt;=In_COD)</f>
        <v>0</v>
      </c>
      <c r="AI99" s="33" t="n">
        <f aca="false">AI97*$F99*(AI$4&lt;=In_COD)</f>
        <v>0</v>
      </c>
      <c r="AJ99" s="33" t="n">
        <f aca="false">AJ97*$F99*(AJ$4&lt;=In_COD)</f>
        <v>0</v>
      </c>
      <c r="AK99" s="33" t="n">
        <f aca="false">AK97*$F99*(AK$4&lt;=In_COD)</f>
        <v>0</v>
      </c>
      <c r="AL99" s="33" t="n">
        <f aca="false">AL97*$F99*(AL$4&lt;=In_COD)</f>
        <v>0</v>
      </c>
      <c r="AM99" s="33" t="n">
        <f aca="false">AM97*$F99*(AM$4&lt;=In_COD)</f>
        <v>0</v>
      </c>
      <c r="AN99" s="33" t="n">
        <f aca="false">AN97*$F99*(AN$4&lt;=In_COD)</f>
        <v>0</v>
      </c>
      <c r="AO99" s="33" t="n">
        <f aca="false">AO97*$F99*(AO$4&lt;=In_COD)</f>
        <v>0</v>
      </c>
      <c r="AP99" s="33" t="n">
        <f aca="false">AP97*$F99*(AP$4&lt;=In_COD)</f>
        <v>0</v>
      </c>
      <c r="AQ99" s="33" t="n">
        <f aca="false">AQ97*$F99*(AQ$4&lt;=In_COD)</f>
        <v>0</v>
      </c>
      <c r="AR99" s="33" t="n">
        <f aca="false">AR97*$F99*(AR$4&lt;=In_COD)</f>
        <v>0</v>
      </c>
      <c r="AS99" s="33" t="n">
        <f aca="false">AS97*$F99*(AS$4&lt;=In_COD)</f>
        <v>0</v>
      </c>
      <c r="AT99" s="33" t="n">
        <f aca="false">AT97*$F99*(AT$4&lt;=In_COD)</f>
        <v>0</v>
      </c>
      <c r="AU99" s="33" t="n">
        <f aca="false">AU97*$F99*(AU$4&lt;=In_COD)</f>
        <v>0</v>
      </c>
      <c r="AV99" s="33" t="n">
        <f aca="false">AV97*$F99*(AV$4&lt;=In_COD)</f>
        <v>0</v>
      </c>
      <c r="AW99" s="33" t="n">
        <f aca="false">AW97*$F99*(AW$4&lt;=In_COD)</f>
        <v>0</v>
      </c>
      <c r="AX99" s="33" t="n">
        <f aca="false">AX97*$F99*(AX$4&lt;=In_COD)</f>
        <v>0</v>
      </c>
      <c r="AY99" s="33" t="n">
        <f aca="false">AY97*$F99*(AY$4&lt;=In_COD)</f>
        <v>0</v>
      </c>
      <c r="AZ99" s="33" t="n">
        <f aca="false">AZ97*$F99*(AZ$4&lt;=In_COD)</f>
        <v>0</v>
      </c>
      <c r="BA99" s="33" t="n">
        <f aca="false">BA97*$F99*(BA$4&lt;=In_COD)</f>
        <v>0</v>
      </c>
      <c r="BB99" s="33" t="n">
        <f aca="false">BB97*$F99*(BB$4&lt;=In_COD)</f>
        <v>0</v>
      </c>
      <c r="BC99" s="33" t="n">
        <f aca="false">BC97*$F99*(BC$4&lt;=In_COD)</f>
        <v>0</v>
      </c>
      <c r="BD99" s="33" t="n">
        <f aca="false">BD97*$F99*(BD$4&lt;=In_COD)</f>
        <v>0</v>
      </c>
      <c r="BE99" s="33" t="n">
        <f aca="false">BE97*$F99*(BE$4&lt;=In_COD)</f>
        <v>0</v>
      </c>
      <c r="BF99" s="33" t="n">
        <f aca="false">BF97*$F99*(BF$4&lt;=In_COD)</f>
        <v>0</v>
      </c>
      <c r="BG99" s="33" t="n">
        <f aca="false">BG97*$F99*(BG$4&lt;=In_COD)</f>
        <v>0</v>
      </c>
      <c r="BH99" s="33" t="n">
        <f aca="false">BH97*$F99*(BH$4&lt;=In_COD)</f>
        <v>0</v>
      </c>
      <c r="BI99" s="33" t="n">
        <f aca="false">BI97*$F99*(BI$4&lt;=In_COD)</f>
        <v>0</v>
      </c>
      <c r="BJ99" s="33" t="n">
        <f aca="false">BJ97*$F99*(BJ$4&lt;=In_COD)</f>
        <v>0</v>
      </c>
      <c r="BK99" s="33" t="n">
        <f aca="false">BK97*$F99*(BK$4&lt;=In_COD)</f>
        <v>0</v>
      </c>
      <c r="BL99" s="33" t="n">
        <f aca="false">BL97*$F99*(BL$4&lt;=In_COD)</f>
        <v>0</v>
      </c>
      <c r="BM99" s="33" t="n">
        <f aca="false">BM97*$F99*(BM$4&lt;=In_COD)</f>
        <v>0</v>
      </c>
      <c r="BN99" s="33" t="n">
        <f aca="false">BN97*$F99*(BN$4&lt;=In_COD)</f>
        <v>0</v>
      </c>
      <c r="BO99" s="33" t="n">
        <f aca="false">BO97*$F99*(BO$4&lt;=In_COD)</f>
        <v>0</v>
      </c>
      <c r="BP99" s="33" t="n">
        <f aca="false">BP97*$F99*(BP$4&lt;=In_COD)</f>
        <v>0</v>
      </c>
      <c r="BQ99" s="33" t="n">
        <f aca="false">BQ97*$F99*(BQ$4&lt;=In_COD)</f>
        <v>0</v>
      </c>
      <c r="BR99" s="33" t="n">
        <f aca="false">BR97*$F99*(BR$4&lt;=In_COD)</f>
        <v>0</v>
      </c>
      <c r="BS99" s="33" t="n">
        <f aca="false">BS97*$F99*(BS$4&lt;=In_COD)</f>
        <v>0</v>
      </c>
      <c r="BT99" s="33" t="n">
        <f aca="false">BT97*$F99*(BT$4&lt;=In_COD)</f>
        <v>0</v>
      </c>
      <c r="BU99" s="33" t="n">
        <f aca="false">BU97*$F99*(BU$4&lt;=In_COD)</f>
        <v>0</v>
      </c>
      <c r="BV99" s="33" t="n">
        <f aca="false">BV97*$F99*(BV$4&lt;=In_COD)</f>
        <v>0</v>
      </c>
      <c r="BW99" s="33" t="n">
        <f aca="false">BW97*$F99*(BW$4&lt;=In_COD)</f>
        <v>0</v>
      </c>
      <c r="BX99" s="33" t="n">
        <f aca="false">BX97*$F99*(BX$4&lt;=In_COD)</f>
        <v>0</v>
      </c>
      <c r="BY99" s="33" t="n">
        <f aca="false">BY97*$F99*(BY$4&lt;=In_COD)</f>
        <v>0</v>
      </c>
      <c r="BZ99" s="33" t="n">
        <f aca="false">BZ97*$F99*(BZ$4&lt;=In_COD)</f>
        <v>0</v>
      </c>
      <c r="CA99" s="33" t="n">
        <f aca="false">CA97*$F99*(CA$4&lt;=In_COD)</f>
        <v>0</v>
      </c>
      <c r="CB99" s="33" t="n">
        <f aca="false">CB97*$F99*(CB$4&lt;=In_COD)</f>
        <v>0</v>
      </c>
      <c r="CC99" s="33" t="n">
        <f aca="false">CC97*$F99*(CC$4&lt;=In_COD)</f>
        <v>0</v>
      </c>
      <c r="CD99" s="33" t="n">
        <f aca="false">CD97*$F99*(CD$4&lt;=In_COD)</f>
        <v>0</v>
      </c>
      <c r="CE99" s="33" t="n">
        <f aca="false">CE97*$F99*(CE$4&lt;=In_COD)</f>
        <v>0</v>
      </c>
      <c r="CF99" s="33" t="n">
        <f aca="false">CF97*$F99*(CF$4&lt;=In_COD)</f>
        <v>0</v>
      </c>
      <c r="CG99" s="33" t="n">
        <f aca="false">CG97*$F99*(CG$4&lt;=In_COD)</f>
        <v>0</v>
      </c>
      <c r="CH99" s="33" t="n">
        <f aca="false">CH97*$F99*(CH$4&lt;=In_COD)</f>
        <v>0</v>
      </c>
      <c r="CI99" s="33" t="n">
        <f aca="false">CI97*$F99*(CI$4&lt;=In_COD)</f>
        <v>0</v>
      </c>
      <c r="CJ99" s="33" t="n">
        <f aca="false">CJ97*$F99*(CJ$4&lt;=In_COD)</f>
        <v>0</v>
      </c>
      <c r="CK99" s="33" t="n">
        <f aca="false">CK97*$F99*(CK$4&lt;=In_COD)</f>
        <v>0</v>
      </c>
      <c r="CL99" s="33" t="n">
        <f aca="false">CL97*$F99*(CL$4&lt;=In_COD)</f>
        <v>0</v>
      </c>
      <c r="CM99" s="33" t="n">
        <f aca="false">CM97*$F99*(CM$4&lt;=In_COD)</f>
        <v>0</v>
      </c>
      <c r="CN99" s="33" t="n">
        <f aca="false">CN97*$F99*(CN$4&lt;=In_COD)</f>
        <v>0</v>
      </c>
      <c r="CO99" s="33" t="n">
        <f aca="false">CO97*$F99*(CO$4&lt;=In_COD)</f>
        <v>0</v>
      </c>
      <c r="CP99" s="33" t="n">
        <f aca="false">CP97*$F99*(CP$4&lt;=In_COD)</f>
        <v>0</v>
      </c>
      <c r="CQ99" s="33" t="n">
        <f aca="false">CQ97*$F99*(CQ$4&lt;=In_COD)</f>
        <v>0</v>
      </c>
      <c r="CR99" s="33" t="n">
        <f aca="false">CR97*$F99*(CR$4&lt;=In_COD)</f>
        <v>0</v>
      </c>
      <c r="CS99" s="33" t="n">
        <f aca="false">CS97*$F99*(CS$4&lt;=In_COD)</f>
        <v>0</v>
      </c>
      <c r="CT99" s="33" t="n">
        <f aca="false">CT97*$F99*(CT$4&lt;=In_COD)</f>
        <v>0</v>
      </c>
      <c r="CU99" s="33" t="n">
        <f aca="false">CU97*$F99*(CU$4&lt;=In_COD)</f>
        <v>0</v>
      </c>
      <c r="CV99" s="33" t="n">
        <f aca="false">CV97*$F99*(CV$4&lt;=In_COD)</f>
        <v>0</v>
      </c>
      <c r="CW99" s="33" t="n">
        <f aca="false">CW97*$F99*(CW$4&lt;=In_COD)</f>
        <v>0</v>
      </c>
      <c r="CX99" s="33" t="n">
        <f aca="false">CX97*$F99*(CX$4&lt;=In_COD)</f>
        <v>0</v>
      </c>
      <c r="CY99" s="33" t="n">
        <f aca="false">CY97*$F99*(CY$4&lt;=In_COD)</f>
        <v>0</v>
      </c>
      <c r="CZ99" s="33" t="n">
        <f aca="false">CZ97*$F99*(CZ$4&lt;=In_COD)</f>
        <v>0</v>
      </c>
      <c r="DA99" s="33" t="n">
        <f aca="false">DA97*$F99*(DA$4&lt;=In_COD)</f>
        <v>0</v>
      </c>
      <c r="DB99" s="33" t="n">
        <f aca="false">DB97*$F99*(DB$4&lt;=In_COD)</f>
        <v>0</v>
      </c>
      <c r="DC99" s="33" t="n">
        <f aca="false">DC97*$F99*(DC$4&lt;=In_COD)</f>
        <v>0</v>
      </c>
      <c r="DD99" s="33" t="n">
        <f aca="false">DD97*$F99*(DD$4&lt;=In_COD)</f>
        <v>0</v>
      </c>
      <c r="DE99" s="33" t="n">
        <f aca="false">DE97*$F99*(DE$4&lt;=In_COD)</f>
        <v>0</v>
      </c>
      <c r="DF99" s="33" t="n">
        <f aca="false">DF97*$F99*(DF$4&lt;=In_COD)</f>
        <v>0</v>
      </c>
      <c r="DG99" s="33" t="n">
        <f aca="false">DG97*$F99*(DG$4&lt;=In_COD)</f>
        <v>0</v>
      </c>
      <c r="DH99" s="33" t="n">
        <f aca="false">DH97*$F99*(DH$4&lt;=In_COD)</f>
        <v>0</v>
      </c>
      <c r="DI99" s="33" t="n">
        <f aca="false">DI97*$F99*(DI$4&lt;=In_COD)</f>
        <v>0</v>
      </c>
      <c r="DJ99" s="33" t="n">
        <f aca="false">DJ97*$F99*(DJ$4&lt;=In_COD)</f>
        <v>0</v>
      </c>
      <c r="DK99" s="33" t="n">
        <f aca="false">DK97*$F99*(DK$4&lt;=In_COD)</f>
        <v>0</v>
      </c>
      <c r="DL99" s="33" t="n">
        <f aca="false">DL97*$F99*(DL$4&lt;=In_COD)</f>
        <v>0</v>
      </c>
      <c r="DM99" s="33" t="n">
        <f aca="false">DM97*$F99*(DM$4&lt;=In_COD)</f>
        <v>0</v>
      </c>
      <c r="DN99" s="33" t="n">
        <f aca="false">DN97*$F99*(DN$4&lt;=In_COD)</f>
        <v>0</v>
      </c>
      <c r="DO99" s="33" t="n">
        <f aca="false">DO97*$F99*(DO$4&lt;=In_COD)</f>
        <v>0</v>
      </c>
      <c r="DP99" s="33" t="n">
        <f aca="false">DP97*$F99*(DP$4&lt;=In_COD)</f>
        <v>0</v>
      </c>
      <c r="DQ99" s="33" t="n">
        <f aca="false">DQ97*$F99*(DQ$4&lt;=In_COD)</f>
        <v>0</v>
      </c>
      <c r="DR99" s="33" t="n">
        <f aca="false">DR97*$F99*(DR$4&lt;=In_COD)</f>
        <v>0</v>
      </c>
      <c r="DS99" s="33" t="n">
        <f aca="false">DS97*$F99*(DS$4&lt;=In_COD)</f>
        <v>0</v>
      </c>
      <c r="DT99" s="33" t="n">
        <f aca="false">DT97*$F99*(DT$4&lt;=In_COD)</f>
        <v>0</v>
      </c>
      <c r="DU99" s="33" t="n">
        <f aca="false">DU97*$F99*(DU$4&lt;=In_COD)</f>
        <v>0</v>
      </c>
      <c r="DV99" s="33" t="n">
        <f aca="false">DV97*$F99*(DV$4&lt;=In_COD)</f>
        <v>0</v>
      </c>
      <c r="DW99" s="33" t="n">
        <f aca="false">DW97*$F99*(DW$4&lt;=In_COD)</f>
        <v>0</v>
      </c>
      <c r="DX99" s="33" t="n">
        <f aca="false">DX97*$F99*(DX$4&lt;=In_COD)</f>
        <v>0</v>
      </c>
      <c r="DY99" s="33" t="n">
        <f aca="false">DY97*$F99*(DY$4&lt;=In_COD)</f>
        <v>0</v>
      </c>
      <c r="DZ99" s="33" t="n">
        <f aca="false">DZ97*$F99*(DZ$4&lt;=In_COD)</f>
        <v>0</v>
      </c>
      <c r="EA99" s="33" t="n">
        <f aca="false">EA97*$F99*(EA$4&lt;=In_COD)</f>
        <v>0</v>
      </c>
      <c r="EB99" s="33" t="n">
        <f aca="false">EB97*$F99*(EB$4&lt;=In_COD)</f>
        <v>0</v>
      </c>
      <c r="EC99" s="33" t="n">
        <f aca="false">EC97*$F99*(EC$4&lt;=In_COD)</f>
        <v>0</v>
      </c>
      <c r="ED99" s="33" t="n">
        <f aca="false">ED97*$F99*(ED$4&lt;=In_COD)</f>
        <v>0</v>
      </c>
      <c r="EE99" s="33" t="n">
        <f aca="false">EE97*$F99*(EE$4&lt;=In_COD)</f>
        <v>0</v>
      </c>
      <c r="EF99" s="33" t="n">
        <f aca="false">EF97*$F99*(EF$4&lt;=In_COD)</f>
        <v>0</v>
      </c>
      <c r="EG99" s="33" t="n">
        <f aca="false">EG97*$F99*(EG$4&lt;=In_COD)</f>
        <v>0</v>
      </c>
      <c r="EH99" s="33" t="n">
        <f aca="false">EH97*$F99*(EH$4&lt;=In_COD)</f>
        <v>0</v>
      </c>
      <c r="EI99" s="33" t="n">
        <f aca="false">EI97*$F99*(EI$4&lt;=In_COD)</f>
        <v>0</v>
      </c>
      <c r="EJ99" s="33" t="n">
        <f aca="false">EJ97*$F99*(EJ$4&lt;=In_COD)</f>
        <v>0</v>
      </c>
      <c r="EK99" s="33" t="n">
        <f aca="false">EK97*$F99*(EK$4&lt;=In_COD)</f>
        <v>0</v>
      </c>
      <c r="EL99" s="33" t="n">
        <f aca="false">EL97*$F99*(EL$4&lt;=In_COD)</f>
        <v>0</v>
      </c>
      <c r="EM99" s="33" t="n">
        <f aca="false">EM97*$F99*(EM$4&lt;=In_COD)</f>
        <v>0</v>
      </c>
      <c r="EN99" s="33" t="n">
        <f aca="false">EN97*$F99*(EN$4&lt;=In_COD)</f>
        <v>0</v>
      </c>
      <c r="EO99" s="33" t="n">
        <f aca="false">EO97*$F99*(EO$4&lt;=In_COD)</f>
        <v>0</v>
      </c>
      <c r="EP99" s="33" t="n">
        <f aca="false">EP97*$F99*(EP$4&lt;=In_COD)</f>
        <v>0</v>
      </c>
      <c r="EQ99" s="33" t="n">
        <f aca="false">EQ97*$F99*(EQ$4&lt;=In_COD)</f>
        <v>0</v>
      </c>
      <c r="ER99" s="33" t="n">
        <f aca="false">ER97*$F99*(ER$4&lt;=In_COD)</f>
        <v>0</v>
      </c>
      <c r="ES99" s="33" t="n">
        <f aca="false">ES97*$F99*(ES$4&lt;=In_COD)</f>
        <v>0</v>
      </c>
      <c r="ET99" s="33" t="n">
        <f aca="false">ET97*$F99*(ET$4&lt;=In_COD)</f>
        <v>0</v>
      </c>
    </row>
    <row r="100" customFormat="false" ht="15" hidden="false" customHeight="false" outlineLevel="0" collapsed="false">
      <c r="C100" s="0" t="s">
        <v>549</v>
      </c>
      <c r="D100" s="11" t="s">
        <v>247</v>
      </c>
      <c r="I100" s="33" t="n">
        <f aca="false">SUM(J100:ET100)</f>
        <v>-94220.5039225694</v>
      </c>
      <c r="J100" s="33" t="n">
        <f aca="false">PPMT($F99,1,In_Debt_Tenor*Months_In_Year/Months_Per_Period-SUM($J17:J17)+1,J97)*J17</f>
        <v>0</v>
      </c>
      <c r="K100" s="33" t="n">
        <f aca="false">PPMT($F99,1,In_Debt_Tenor*Months_In_Year/Months_Per_Period-SUM($J17:K17)+1,K97)*K17</f>
        <v>0</v>
      </c>
      <c r="L100" s="33" t="n">
        <f aca="false">PPMT($F99,1,In_Debt_Tenor*Months_In_Year/Months_Per_Period-SUM($J17:L17)+1,L97)*L17</f>
        <v>0</v>
      </c>
      <c r="M100" s="33" t="n">
        <f aca="false">PPMT($F99,1,In_Debt_Tenor*Months_In_Year/Months_Per_Period-SUM($J17:M17)+1,M97)*M17</f>
        <v>0</v>
      </c>
      <c r="N100" s="33" t="n">
        <f aca="false">PPMT($F99,1,In_Debt_Tenor*Months_In_Year/Months_Per_Period-SUM($J17:N17)+1,N97)*N17</f>
        <v>0</v>
      </c>
      <c r="O100" s="33" t="n">
        <f aca="false">PPMT($F99,1,In_Debt_Tenor*Months_In_Year/Months_Per_Period-SUM($J17:O17)+1,O97)*O17</f>
        <v>0</v>
      </c>
      <c r="P100" s="33" t="n">
        <f aca="false">PPMT($F99,1,In_Debt_Tenor*Months_In_Year/Months_Per_Period-SUM($J17:P17)+1,P97)*P17</f>
        <v>0</v>
      </c>
      <c r="Q100" s="33" t="n">
        <f aca="false">PPMT($F99,1,In_Debt_Tenor*Months_In_Year/Months_Per_Period-SUM($J17:Q17)+1,Q97)*Q17</f>
        <v>0</v>
      </c>
      <c r="R100" s="33" t="n">
        <f aca="false">PPMT($F99,1,In_Debt_Tenor*Months_In_Year/Months_Per_Period-SUM($J17:R17)+1,R97)*R17</f>
        <v>0</v>
      </c>
      <c r="S100" s="33" t="n">
        <f aca="false">PPMT($F99,1,In_Debt_Tenor*Months_In_Year/Months_Per_Period-SUM($J17:S17)+1,S97)*S17</f>
        <v>0</v>
      </c>
      <c r="T100" s="33" t="n">
        <f aca="false">PPMT($F99,1,In_Debt_Tenor*Months_In_Year/Months_Per_Period-SUM($J17:T17)+1,T97)*T17</f>
        <v>0</v>
      </c>
      <c r="U100" s="33" t="n">
        <f aca="false">PPMT($F99,1,In_Debt_Tenor*Months_In_Year/Months_Per_Period-SUM($J17:U17)+1,U97)*U17</f>
        <v>0</v>
      </c>
      <c r="V100" s="33" t="n">
        <f aca="false">PPMT($F99,1,In_Debt_Tenor*Months_In_Year/Months_Per_Period-SUM($J17:V17)+1,V97)*V17</f>
        <v>0</v>
      </c>
      <c r="W100" s="33" t="n">
        <f aca="false">PPMT($F99,1,In_Debt_Tenor*Months_In_Year/Months_Per_Period-SUM($J17:W17)+1,W97)*W17</f>
        <v>0</v>
      </c>
      <c r="X100" s="33" t="n">
        <f aca="false">PPMT($F99,1,In_Debt_Tenor*Months_In_Year/Months_Per_Period-SUM($J17:X17)+1,X97)*X17</f>
        <v>-0</v>
      </c>
      <c r="Y100" s="33" t="n">
        <f aca="false">PPMT($F99,1,In_Debt_Tenor*Months_In_Year/Months_Per_Period-SUM($J17:Y17)+1,Y97)*Y17</f>
        <v>-0</v>
      </c>
      <c r="Z100" s="33" t="n">
        <f aca="false">PPMT($F99,1,In_Debt_Tenor*Months_In_Year/Months_Per_Period-SUM($J17:Z17)+1,Z97)*Z17</f>
        <v>-0</v>
      </c>
      <c r="AA100" s="33" t="n">
        <f aca="false">PPMT($F99,1,In_Debt_Tenor*Months_In_Year/Months_Per_Period-SUM($J17:AA17)+1,AA97)*AA17</f>
        <v>-0</v>
      </c>
      <c r="AB100" s="33" t="n">
        <f aca="false">PPMT($F99,1,In_Debt_Tenor*Months_In_Year/Months_Per_Period-SUM($J17:AB17)+1,AB97)*AB17</f>
        <v>-0</v>
      </c>
      <c r="AC100" s="33" t="n">
        <f aca="false">PPMT($F99,1,In_Debt_Tenor*Months_In_Year/Months_Per_Period-SUM($J17:AC17)+1,AC97)*AC17</f>
        <v>-0</v>
      </c>
      <c r="AD100" s="33" t="n">
        <f aca="false">PPMT($F99,1,In_Debt_Tenor*Months_In_Year/Months_Per_Period-SUM($J17:AD17)+1,AD97)*AD17</f>
        <v>-0</v>
      </c>
      <c r="AE100" s="33" t="n">
        <f aca="false">PPMT($F99,1,In_Debt_Tenor*Months_In_Year/Months_Per_Period-SUM($J17:AE17)+1,AE97)*AE17</f>
        <v>-1829.89540535528</v>
      </c>
      <c r="AF100" s="33" t="n">
        <f aca="false">PPMT($F99,1,In_Debt_Tenor*Months_In_Year/Months_Per_Period-SUM($J17:AF17)+1,AF97)*AF17</f>
        <v>-1852.76909792222</v>
      </c>
      <c r="AG100" s="33" t="n">
        <f aca="false">PPMT($F99,1,In_Debt_Tenor*Months_In_Year/Months_Per_Period-SUM($J17:AG17)+1,AG97)*AG17</f>
        <v>-1875.92871164625</v>
      </c>
      <c r="AH100" s="33" t="n">
        <f aca="false">PPMT($F99,1,In_Debt_Tenor*Months_In_Year/Months_Per_Period-SUM($J17:AH17)+1,AH97)*AH17</f>
        <v>-1899.37782054183</v>
      </c>
      <c r="AI100" s="33" t="n">
        <f aca="false">PPMT($F99,1,In_Debt_Tenor*Months_In_Year/Months_Per_Period-SUM($J17:AI17)+1,AI97)*AI17</f>
        <v>-1923.1200432986</v>
      </c>
      <c r="AJ100" s="33" t="n">
        <f aca="false">PPMT($F99,1,In_Debt_Tenor*Months_In_Year/Months_Per_Period-SUM($J17:AJ17)+1,AJ97)*AJ17</f>
        <v>-1947.15904383984</v>
      </c>
      <c r="AK100" s="33" t="n">
        <f aca="false">PPMT($F99,1,In_Debt_Tenor*Months_In_Year/Months_Per_Period-SUM($J17:AK17)+1,AK97)*AK17</f>
        <v>-1971.49853188783</v>
      </c>
      <c r="AL100" s="33" t="n">
        <f aca="false">PPMT($F99,1,In_Debt_Tenor*Months_In_Year/Months_Per_Period-SUM($J17:AL17)+1,AL97)*AL17</f>
        <v>-1996.14226353643</v>
      </c>
      <c r="AM100" s="33" t="n">
        <f aca="false">PPMT($F99,1,In_Debt_Tenor*Months_In_Year/Months_Per_Period-SUM($J17:AM17)+1,AM97)*AM17</f>
        <v>-2021.09404183064</v>
      </c>
      <c r="AN100" s="33" t="n">
        <f aca="false">PPMT($F99,1,In_Debt_Tenor*Months_In_Year/Months_Per_Period-SUM($J17:AN17)+1,AN97)*AN17</f>
        <v>-2046.35771735352</v>
      </c>
      <c r="AO100" s="33" t="n">
        <f aca="false">PPMT($F99,1,In_Debt_Tenor*Months_In_Year/Months_Per_Period-SUM($J17:AO17)+1,AO97)*AO17</f>
        <v>-2071.93718882044</v>
      </c>
      <c r="AP100" s="33" t="n">
        <f aca="false">PPMT($F99,1,In_Debt_Tenor*Months_In_Year/Months_Per_Period-SUM($J17:AP17)+1,AP97)*AP17</f>
        <v>-2097.83640368069</v>
      </c>
      <c r="AQ100" s="33" t="n">
        <f aca="false">PPMT($F99,1,In_Debt_Tenor*Months_In_Year/Months_Per_Period-SUM($J17:AQ17)+1,AQ97)*AQ17</f>
        <v>-2124.0593587267</v>
      </c>
      <c r="AR100" s="33" t="n">
        <f aca="false">PPMT($F99,1,In_Debt_Tenor*Months_In_Year/Months_Per_Period-SUM($J17:AR17)+1,AR97)*AR17</f>
        <v>-2150.61010071079</v>
      </c>
      <c r="AS100" s="33" t="n">
        <f aca="false">PPMT($F99,1,In_Debt_Tenor*Months_In_Year/Months_Per_Period-SUM($J17:AS17)+1,AS97)*AS17</f>
        <v>-2177.49272696967</v>
      </c>
      <c r="AT100" s="33" t="n">
        <f aca="false">PPMT($F99,1,In_Debt_Tenor*Months_In_Year/Months_Per_Period-SUM($J17:AT17)+1,AT97)*AT17</f>
        <v>-2204.71138605679</v>
      </c>
      <c r="AU100" s="33" t="n">
        <f aca="false">PPMT($F99,1,In_Debt_Tenor*Months_In_Year/Months_Per_Period-SUM($J17:AU17)+1,AU97)*AU17</f>
        <v>-2232.2702783825</v>
      </c>
      <c r="AV100" s="33" t="n">
        <f aca="false">PPMT($F99,1,In_Debt_Tenor*Months_In_Year/Months_Per_Period-SUM($J17:AV17)+1,AV97)*AV17</f>
        <v>-2260.17365686228</v>
      </c>
      <c r="AW100" s="33" t="n">
        <f aca="false">PPMT($F99,1,In_Debt_Tenor*Months_In_Year/Months_Per_Period-SUM($J17:AW17)+1,AW97)*AW17</f>
        <v>-2288.42582757306</v>
      </c>
      <c r="AX100" s="33" t="n">
        <f aca="false">PPMT($F99,1,In_Debt_Tenor*Months_In_Year/Months_Per_Period-SUM($J17:AX17)+1,AX97)*AX17</f>
        <v>-2317.03115041772</v>
      </c>
      <c r="AY100" s="33" t="n">
        <f aca="false">PPMT($F99,1,In_Debt_Tenor*Months_In_Year/Months_Per_Period-SUM($J17:AY17)+1,AY97)*AY17</f>
        <v>-2345.99403979795</v>
      </c>
      <c r="AZ100" s="33" t="n">
        <f aca="false">PPMT($F99,1,In_Debt_Tenor*Months_In_Year/Months_Per_Period-SUM($J17:AZ17)+1,AZ97)*AZ17</f>
        <v>-2375.31896529542</v>
      </c>
      <c r="BA100" s="33" t="n">
        <f aca="false">PPMT($F99,1,In_Debt_Tenor*Months_In_Year/Months_Per_Period-SUM($J17:BA17)+1,BA97)*BA17</f>
        <v>-2405.01045236161</v>
      </c>
      <c r="BB100" s="33" t="n">
        <f aca="false">PPMT($F99,1,In_Debt_Tenor*Months_In_Year/Months_Per_Period-SUM($J17:BB17)+1,BB97)*BB17</f>
        <v>-2435.07308301613</v>
      </c>
      <c r="BC100" s="33" t="n">
        <f aca="false">PPMT($F99,1,In_Debt_Tenor*Months_In_Year/Months_Per_Period-SUM($J17:BC17)+1,BC97)*BC17</f>
        <v>-2465.51149655383</v>
      </c>
      <c r="BD100" s="33" t="n">
        <f aca="false">PPMT($F99,1,In_Debt_Tenor*Months_In_Year/Months_Per_Period-SUM($J17:BD17)+1,BD97)*BD17</f>
        <v>-2496.33039026076</v>
      </c>
      <c r="BE100" s="33" t="n">
        <f aca="false">PPMT($F99,1,In_Debt_Tenor*Months_In_Year/Months_Per_Period-SUM($J17:BE17)+1,BE97)*BE17</f>
        <v>-2527.53452013902</v>
      </c>
      <c r="BF100" s="33" t="n">
        <f aca="false">PPMT($F99,1,In_Debt_Tenor*Months_In_Year/Months_Per_Period-SUM($J17:BF17)+1,BF97)*BF17</f>
        <v>-2559.12870164076</v>
      </c>
      <c r="BG100" s="33" t="n">
        <f aca="false">PPMT($F99,1,In_Debt_Tenor*Months_In_Year/Months_Per_Period-SUM($J17:BG17)+1,BG97)*BG17</f>
        <v>-2591.11781041126</v>
      </c>
      <c r="BH100" s="33" t="n">
        <f aca="false">PPMT($F99,1,In_Debt_Tenor*Months_In_Year/Months_Per_Period-SUM($J17:BH17)+1,BH97)*BH17</f>
        <v>-2623.50678304141</v>
      </c>
      <c r="BI100" s="33" t="n">
        <f aca="false">PPMT($F99,1,In_Debt_Tenor*Months_In_Year/Months_Per_Period-SUM($J17:BI17)+1,BI97)*BI17</f>
        <v>-2656.30061782942</v>
      </c>
      <c r="BJ100" s="33" t="n">
        <f aca="false">PPMT($F99,1,In_Debt_Tenor*Months_In_Year/Months_Per_Period-SUM($J17:BJ17)+1,BJ97)*BJ17</f>
        <v>-2689.50437555229</v>
      </c>
      <c r="BK100" s="33" t="n">
        <f aca="false">PPMT($F99,1,In_Debt_Tenor*Months_In_Year/Months_Per_Period-SUM($J17:BK17)+1,BK97)*BK17</f>
        <v>-2723.12318024669</v>
      </c>
      <c r="BL100" s="33" t="n">
        <f aca="false">PPMT($F99,1,In_Debt_Tenor*Months_In_Year/Months_Per_Period-SUM($J17:BL17)+1,BL97)*BL17</f>
        <v>-2757.16221999978</v>
      </c>
      <c r="BM100" s="33" t="n">
        <f aca="false">PPMT($F99,1,In_Debt_Tenor*Months_In_Year/Months_Per_Period-SUM($J17:BM17)+1,BM97)*BM17</f>
        <v>-2791.62674774978</v>
      </c>
      <c r="BN100" s="33" t="n">
        <f aca="false">PPMT($F99,1,In_Debt_Tenor*Months_In_Year/Months_Per_Period-SUM($J17:BN17)+1,BN97)*BN17</f>
        <v>-2826.52208209665</v>
      </c>
      <c r="BO100" s="33" t="n">
        <f aca="false">PPMT($F99,1,In_Debt_Tenor*Months_In_Year/Months_Per_Period-SUM($J17:BO17)+1,BO97)*BO17</f>
        <v>-2861.85360812286</v>
      </c>
      <c r="BP100" s="33" t="n">
        <f aca="false">PPMT($F99,1,In_Debt_Tenor*Months_In_Year/Months_Per_Period-SUM($J17:BP17)+1,BP97)*BP17</f>
        <v>-2897.62677822439</v>
      </c>
      <c r="BQ100" s="33" t="n">
        <f aca="false">PPMT($F99,1,In_Debt_Tenor*Months_In_Year/Months_Per_Period-SUM($J17:BQ17)+1,BQ97)*BQ17</f>
        <v>-2933.8471129522</v>
      </c>
      <c r="BR100" s="33" t="n">
        <f aca="false">PPMT($F99,1,In_Debt_Tenor*Months_In_Year/Months_Per_Period-SUM($J17:BR17)+1,BR97)*BR17</f>
        <v>-2970.5202018641</v>
      </c>
      <c r="BS100" s="33" t="n">
        <f aca="false">PPMT($F99,1,In_Debt_Tenor*Months_In_Year/Months_Per_Period-SUM($J17:BS17)+1,BS97)*BS17</f>
        <v>0</v>
      </c>
      <c r="BT100" s="33" t="n">
        <f aca="false">PPMT($F99,1,In_Debt_Tenor*Months_In_Year/Months_Per_Period-SUM($J17:BT17)+1,BT97)*BT17</f>
        <v>0</v>
      </c>
      <c r="BU100" s="33" t="n">
        <f aca="false">PPMT($F99,1,In_Debt_Tenor*Months_In_Year/Months_Per_Period-SUM($J17:BU17)+1,BU97)*BU17</f>
        <v>0</v>
      </c>
      <c r="BV100" s="33" t="n">
        <f aca="false">PPMT($F99,1,In_Debt_Tenor*Months_In_Year/Months_Per_Period-SUM($J17:BV17)+1,BV97)*BV17</f>
        <v>0</v>
      </c>
      <c r="BW100" s="33" t="n">
        <f aca="false">PPMT($F99,1,In_Debt_Tenor*Months_In_Year/Months_Per_Period-SUM($J17:BW17)+1,BW97)*BW17</f>
        <v>0</v>
      </c>
      <c r="BX100" s="33" t="n">
        <f aca="false">PPMT($F99,1,In_Debt_Tenor*Months_In_Year/Months_Per_Period-SUM($J17:BX17)+1,BX97)*BX17</f>
        <v>0</v>
      </c>
      <c r="BY100" s="33" t="n">
        <f aca="false">PPMT($F99,1,In_Debt_Tenor*Months_In_Year/Months_Per_Period-SUM($J17:BY17)+1,BY97)*BY17</f>
        <v>0</v>
      </c>
      <c r="BZ100" s="33" t="n">
        <f aca="false">PPMT($F99,1,In_Debt_Tenor*Months_In_Year/Months_Per_Period-SUM($J17:BZ17)+1,BZ97)*BZ17</f>
        <v>0</v>
      </c>
      <c r="CA100" s="33" t="n">
        <f aca="false">PPMT($F99,1,In_Debt_Tenor*Months_In_Year/Months_Per_Period-SUM($J17:CA17)+1,CA97)*CA17</f>
        <v>0</v>
      </c>
      <c r="CB100" s="33" t="n">
        <f aca="false">PPMT($F99,1,In_Debt_Tenor*Months_In_Year/Months_Per_Period-SUM($J17:CB17)+1,CB97)*CB17</f>
        <v>0</v>
      </c>
      <c r="CC100" s="33" t="n">
        <f aca="false">PPMT($F99,1,In_Debt_Tenor*Months_In_Year/Months_Per_Period-SUM($J17:CC17)+1,CC97)*CC17</f>
        <v>0</v>
      </c>
      <c r="CD100" s="33" t="n">
        <f aca="false">PPMT($F99,1,In_Debt_Tenor*Months_In_Year/Months_Per_Period-SUM($J17:CD17)+1,CD97)*CD17</f>
        <v>0</v>
      </c>
      <c r="CE100" s="33" t="n">
        <f aca="false">PPMT($F99,1,In_Debt_Tenor*Months_In_Year/Months_Per_Period-SUM($J17:CE17)+1,CE97)*CE17</f>
        <v>0</v>
      </c>
      <c r="CF100" s="33" t="n">
        <f aca="false">PPMT($F99,1,In_Debt_Tenor*Months_In_Year/Months_Per_Period-SUM($J17:CF17)+1,CF97)*CF17</f>
        <v>0</v>
      </c>
      <c r="CG100" s="33" t="n">
        <f aca="false">PPMT($F99,1,In_Debt_Tenor*Months_In_Year/Months_Per_Period-SUM($J17:CG17)+1,CG97)*CG17</f>
        <v>0</v>
      </c>
      <c r="CH100" s="33" t="n">
        <f aca="false">PPMT($F99,1,In_Debt_Tenor*Months_In_Year/Months_Per_Period-SUM($J17:CH17)+1,CH97)*CH17</f>
        <v>0</v>
      </c>
      <c r="CI100" s="33" t="n">
        <f aca="false">PPMT($F99,1,In_Debt_Tenor*Months_In_Year/Months_Per_Period-SUM($J17:CI17)+1,CI97)*CI17</f>
        <v>0</v>
      </c>
      <c r="CJ100" s="33" t="n">
        <f aca="false">PPMT($F99,1,In_Debt_Tenor*Months_In_Year/Months_Per_Period-SUM($J17:CJ17)+1,CJ97)*CJ17</f>
        <v>0</v>
      </c>
      <c r="CK100" s="33" t="n">
        <f aca="false">PPMT($F99,1,In_Debt_Tenor*Months_In_Year/Months_Per_Period-SUM($J17:CK17)+1,CK97)*CK17</f>
        <v>0</v>
      </c>
      <c r="CL100" s="33" t="n">
        <f aca="false">PPMT($F99,1,In_Debt_Tenor*Months_In_Year/Months_Per_Period-SUM($J17:CL17)+1,CL97)*CL17</f>
        <v>0</v>
      </c>
      <c r="CM100" s="33" t="n">
        <f aca="false">PPMT($F99,1,In_Debt_Tenor*Months_In_Year/Months_Per_Period-SUM($J17:CM17)+1,CM97)*CM17</f>
        <v>0</v>
      </c>
      <c r="CN100" s="33" t="n">
        <f aca="false">PPMT($F99,1,In_Debt_Tenor*Months_In_Year/Months_Per_Period-SUM($J17:CN17)+1,CN97)*CN17</f>
        <v>0</v>
      </c>
      <c r="CO100" s="33" t="n">
        <f aca="false">PPMT($F99,1,In_Debt_Tenor*Months_In_Year/Months_Per_Period-SUM($J17:CO17)+1,CO97)*CO17</f>
        <v>0</v>
      </c>
      <c r="CP100" s="33" t="n">
        <f aca="false">PPMT($F99,1,In_Debt_Tenor*Months_In_Year/Months_Per_Period-SUM($J17:CP17)+1,CP97)*CP17</f>
        <v>0</v>
      </c>
      <c r="CQ100" s="33" t="n">
        <f aca="false">PPMT($F99,1,In_Debt_Tenor*Months_In_Year/Months_Per_Period-SUM($J17:CQ17)+1,CQ97)*CQ17</f>
        <v>0</v>
      </c>
      <c r="CR100" s="33" t="n">
        <f aca="false">PPMT($F99,1,In_Debt_Tenor*Months_In_Year/Months_Per_Period-SUM($J17:CR17)+1,CR97)*CR17</f>
        <v>0</v>
      </c>
      <c r="CS100" s="33" t="n">
        <f aca="false">PPMT($F99,1,In_Debt_Tenor*Months_In_Year/Months_Per_Period-SUM($J17:CS17)+1,CS97)*CS17</f>
        <v>0</v>
      </c>
      <c r="CT100" s="33" t="n">
        <f aca="false">PPMT($F99,1,In_Debt_Tenor*Months_In_Year/Months_Per_Period-SUM($J17:CT17)+1,CT97)*CT17</f>
        <v>0</v>
      </c>
      <c r="CU100" s="33" t="n">
        <f aca="false">PPMT($F99,1,In_Debt_Tenor*Months_In_Year/Months_Per_Period-SUM($J17:CU17)+1,CU97)*CU17</f>
        <v>0</v>
      </c>
      <c r="CV100" s="33" t="n">
        <f aca="false">PPMT($F99,1,In_Debt_Tenor*Months_In_Year/Months_Per_Period-SUM($J17:CV17)+1,CV97)*CV17</f>
        <v>0</v>
      </c>
      <c r="CW100" s="33" t="n">
        <f aca="false">PPMT($F99,1,In_Debt_Tenor*Months_In_Year/Months_Per_Period-SUM($J17:CW17)+1,CW97)*CW17</f>
        <v>0</v>
      </c>
      <c r="CX100" s="33" t="n">
        <f aca="false">PPMT($F99,1,In_Debt_Tenor*Months_In_Year/Months_Per_Period-SUM($J17:CX17)+1,CX97)*CX17</f>
        <v>0</v>
      </c>
      <c r="CY100" s="33" t="n">
        <f aca="false">PPMT($F99,1,In_Debt_Tenor*Months_In_Year/Months_Per_Period-SUM($J17:CY17)+1,CY97)*CY17</f>
        <v>0</v>
      </c>
      <c r="CZ100" s="33" t="n">
        <f aca="false">PPMT($F99,1,In_Debt_Tenor*Months_In_Year/Months_Per_Period-SUM($J17:CZ17)+1,CZ97)*CZ17</f>
        <v>0</v>
      </c>
      <c r="DA100" s="33" t="n">
        <f aca="false">PPMT($F99,1,In_Debt_Tenor*Months_In_Year/Months_Per_Period-SUM($J17:DA17)+1,DA97)*DA17</f>
        <v>0</v>
      </c>
      <c r="DB100" s="33" t="n">
        <f aca="false">PPMT($F99,1,In_Debt_Tenor*Months_In_Year/Months_Per_Period-SUM($J17:DB17)+1,DB97)*DB17</f>
        <v>0</v>
      </c>
      <c r="DC100" s="33" t="n">
        <f aca="false">PPMT($F99,1,In_Debt_Tenor*Months_In_Year/Months_Per_Period-SUM($J17:DC17)+1,DC97)*DC17</f>
        <v>0</v>
      </c>
      <c r="DD100" s="33" t="n">
        <f aca="false">PPMT($F99,1,In_Debt_Tenor*Months_In_Year/Months_Per_Period-SUM($J17:DD17)+1,DD97)*DD17</f>
        <v>0</v>
      </c>
      <c r="DE100" s="33" t="n">
        <f aca="false">PPMT($F99,1,In_Debt_Tenor*Months_In_Year/Months_Per_Period-SUM($J17:DE17)+1,DE97)*DE17</f>
        <v>0</v>
      </c>
      <c r="DF100" s="33" t="n">
        <f aca="false">PPMT($F99,1,In_Debt_Tenor*Months_In_Year/Months_Per_Period-SUM($J17:DF17)+1,DF97)*DF17</f>
        <v>0</v>
      </c>
      <c r="DG100" s="33" t="n">
        <f aca="false">PPMT($F99,1,In_Debt_Tenor*Months_In_Year/Months_Per_Period-SUM($J17:DG17)+1,DG97)*DG17</f>
        <v>0</v>
      </c>
      <c r="DH100" s="33" t="n">
        <f aca="false">PPMT($F99,1,In_Debt_Tenor*Months_In_Year/Months_Per_Period-SUM($J17:DH17)+1,DH97)*DH17</f>
        <v>0</v>
      </c>
      <c r="DI100" s="33" t="n">
        <f aca="false">PPMT($F99,1,In_Debt_Tenor*Months_In_Year/Months_Per_Period-SUM($J17:DI17)+1,DI97)*DI17</f>
        <v>0</v>
      </c>
      <c r="DJ100" s="33" t="n">
        <f aca="false">PPMT($F99,1,In_Debt_Tenor*Months_In_Year/Months_Per_Period-SUM($J17:DJ17)+1,DJ97)*DJ17</f>
        <v>0</v>
      </c>
      <c r="DK100" s="33" t="n">
        <f aca="false">PPMT($F99,1,In_Debt_Tenor*Months_In_Year/Months_Per_Period-SUM($J17:DK17)+1,DK97)*DK17</f>
        <v>0</v>
      </c>
      <c r="DL100" s="33" t="n">
        <f aca="false">PPMT($F99,1,In_Debt_Tenor*Months_In_Year/Months_Per_Period-SUM($J17:DL17)+1,DL97)*DL17</f>
        <v>0</v>
      </c>
      <c r="DM100" s="33" t="n">
        <f aca="false">PPMT($F99,1,In_Debt_Tenor*Months_In_Year/Months_Per_Period-SUM($J17:DM17)+1,DM97)*DM17</f>
        <v>0</v>
      </c>
      <c r="DN100" s="33" t="n">
        <f aca="false">PPMT($F99,1,In_Debt_Tenor*Months_In_Year/Months_Per_Period-SUM($J17:DN17)+1,DN97)*DN17</f>
        <v>0</v>
      </c>
      <c r="DO100" s="33" t="n">
        <f aca="false">PPMT($F99,1,In_Debt_Tenor*Months_In_Year/Months_Per_Period-SUM($J17:DO17)+1,DO97)*DO17</f>
        <v>0</v>
      </c>
      <c r="DP100" s="33" t="n">
        <f aca="false">PPMT($F99,1,In_Debt_Tenor*Months_In_Year/Months_Per_Period-SUM($J17:DP17)+1,DP97)*DP17</f>
        <v>0</v>
      </c>
      <c r="DQ100" s="33" t="n">
        <f aca="false">PPMT($F99,1,In_Debt_Tenor*Months_In_Year/Months_Per_Period-SUM($J17:DQ17)+1,DQ97)*DQ17</f>
        <v>0</v>
      </c>
      <c r="DR100" s="33" t="n">
        <f aca="false">PPMT($F99,1,In_Debt_Tenor*Months_In_Year/Months_Per_Period-SUM($J17:DR17)+1,DR97)*DR17</f>
        <v>0</v>
      </c>
      <c r="DS100" s="33" t="n">
        <f aca="false">PPMT($F99,1,In_Debt_Tenor*Months_In_Year/Months_Per_Period-SUM($J17:DS17)+1,DS97)*DS17</f>
        <v>0</v>
      </c>
      <c r="DT100" s="33" t="n">
        <f aca="false">PPMT($F99,1,In_Debt_Tenor*Months_In_Year/Months_Per_Period-SUM($J17:DT17)+1,DT97)*DT17</f>
        <v>0</v>
      </c>
      <c r="DU100" s="33" t="n">
        <f aca="false">PPMT($F99,1,In_Debt_Tenor*Months_In_Year/Months_Per_Period-SUM($J17:DU17)+1,DU97)*DU17</f>
        <v>0</v>
      </c>
      <c r="DV100" s="33" t="n">
        <f aca="false">PPMT($F99,1,In_Debt_Tenor*Months_In_Year/Months_Per_Period-SUM($J17:DV17)+1,DV97)*DV17</f>
        <v>0</v>
      </c>
      <c r="DW100" s="33" t="n">
        <f aca="false">PPMT($F99,1,In_Debt_Tenor*Months_In_Year/Months_Per_Period-SUM($J17:DW17)+1,DW97)*DW17</f>
        <v>0</v>
      </c>
      <c r="DX100" s="33" t="n">
        <f aca="false">PPMT($F99,1,In_Debt_Tenor*Months_In_Year/Months_Per_Period-SUM($J17:DX17)+1,DX97)*DX17</f>
        <v>0</v>
      </c>
      <c r="DY100" s="33" t="n">
        <f aca="false">PPMT($F99,1,In_Debt_Tenor*Months_In_Year/Months_Per_Period-SUM($J17:DY17)+1,DY97)*DY17</f>
        <v>0</v>
      </c>
      <c r="DZ100" s="33" t="n">
        <f aca="false">PPMT($F99,1,In_Debt_Tenor*Months_In_Year/Months_Per_Period-SUM($J17:DZ17)+1,DZ97)*DZ17</f>
        <v>0</v>
      </c>
      <c r="EA100" s="33" t="n">
        <f aca="false">PPMT($F99,1,In_Debt_Tenor*Months_In_Year/Months_Per_Period-SUM($J17:EA17)+1,EA97)*EA17</f>
        <v>0</v>
      </c>
      <c r="EB100" s="33" t="n">
        <f aca="false">PPMT($F99,1,In_Debt_Tenor*Months_In_Year/Months_Per_Period-SUM($J17:EB17)+1,EB97)*EB17</f>
        <v>0</v>
      </c>
      <c r="EC100" s="33" t="n">
        <f aca="false">PPMT($F99,1,In_Debt_Tenor*Months_In_Year/Months_Per_Period-SUM($J17:EC17)+1,EC97)*EC17</f>
        <v>0</v>
      </c>
      <c r="ED100" s="33" t="n">
        <f aca="false">PPMT($F99,1,In_Debt_Tenor*Months_In_Year/Months_Per_Period-SUM($J17:ED17)+1,ED97)*ED17</f>
        <v>0</v>
      </c>
      <c r="EE100" s="33" t="n">
        <f aca="false">PPMT($F99,1,In_Debt_Tenor*Months_In_Year/Months_Per_Period-SUM($J17:EE17)+1,EE97)*EE17</f>
        <v>0</v>
      </c>
      <c r="EF100" s="33" t="n">
        <f aca="false">PPMT($F99,1,In_Debt_Tenor*Months_In_Year/Months_Per_Period-SUM($J17:EF17)+1,EF97)*EF17</f>
        <v>0</v>
      </c>
      <c r="EG100" s="33" t="n">
        <f aca="false">PPMT($F99,1,In_Debt_Tenor*Months_In_Year/Months_Per_Period-SUM($J17:EG17)+1,EG97)*EG17</f>
        <v>0</v>
      </c>
      <c r="EH100" s="33" t="n">
        <f aca="false">PPMT($F99,1,In_Debt_Tenor*Months_In_Year/Months_Per_Period-SUM($J17:EH17)+1,EH97)*EH17</f>
        <v>0</v>
      </c>
      <c r="EI100" s="33" t="n">
        <f aca="false">PPMT($F99,1,In_Debt_Tenor*Months_In_Year/Months_Per_Period-SUM($J17:EI17)+1,EI97)*EI17</f>
        <v>0</v>
      </c>
      <c r="EJ100" s="33" t="n">
        <f aca="false">PPMT($F99,1,In_Debt_Tenor*Months_In_Year/Months_Per_Period-SUM($J17:EJ17)+1,EJ97)*EJ17</f>
        <v>0</v>
      </c>
      <c r="EK100" s="33" t="n">
        <f aca="false">PPMT($F99,1,In_Debt_Tenor*Months_In_Year/Months_Per_Period-SUM($J17:EK17)+1,EK97)*EK17</f>
        <v>0</v>
      </c>
      <c r="EL100" s="33" t="n">
        <f aca="false">PPMT($F99,1,In_Debt_Tenor*Months_In_Year/Months_Per_Period-SUM($J17:EL17)+1,EL97)*EL17</f>
        <v>0</v>
      </c>
      <c r="EM100" s="33" t="n">
        <f aca="false">PPMT($F99,1,In_Debt_Tenor*Months_In_Year/Months_Per_Period-SUM($J17:EM17)+1,EM97)*EM17</f>
        <v>0</v>
      </c>
      <c r="EN100" s="33" t="n">
        <f aca="false">PPMT($F99,1,In_Debt_Tenor*Months_In_Year/Months_Per_Period-SUM($J17:EN17)+1,EN97)*EN17</f>
        <v>0</v>
      </c>
      <c r="EO100" s="33" t="n">
        <f aca="false">PPMT($F99,1,In_Debt_Tenor*Months_In_Year/Months_Per_Period-SUM($J17:EO17)+1,EO97)*EO17</f>
        <v>0</v>
      </c>
      <c r="EP100" s="33" t="n">
        <f aca="false">PPMT($F99,1,In_Debt_Tenor*Months_In_Year/Months_Per_Period-SUM($J17:EP17)+1,EP97)*EP17</f>
        <v>0</v>
      </c>
      <c r="EQ100" s="33" t="n">
        <f aca="false">PPMT($F99,1,In_Debt_Tenor*Months_In_Year/Months_Per_Period-SUM($J17:EQ17)+1,EQ97)*EQ17</f>
        <v>0</v>
      </c>
      <c r="ER100" s="33" t="n">
        <f aca="false">PPMT($F99,1,In_Debt_Tenor*Months_In_Year/Months_Per_Period-SUM($J17:ER17)+1,ER97)*ER17</f>
        <v>0</v>
      </c>
      <c r="ES100" s="33" t="n">
        <f aca="false">PPMT($F99,1,In_Debt_Tenor*Months_In_Year/Months_Per_Period-SUM($J17:ES17)+1,ES97)*ES17</f>
        <v>0</v>
      </c>
      <c r="ET100" s="33" t="n">
        <f aca="false">PPMT($F99,1,In_Debt_Tenor*Months_In_Year/Months_Per_Period-SUM($J17:ET17)+1,ET97)*ET17</f>
        <v>0</v>
      </c>
    </row>
    <row r="101" customFormat="false" ht="15" hidden="false" customHeight="false" outlineLevel="0" collapsed="false">
      <c r="C101" s="30" t="s">
        <v>529</v>
      </c>
      <c r="D101" s="11" t="s">
        <v>247</v>
      </c>
      <c r="I101" s="54"/>
      <c r="J101" s="35" t="n">
        <f aca="false">SUM(J97:J100)</f>
        <v>0</v>
      </c>
      <c r="K101" s="35" t="n">
        <f aca="false">SUM(K97:K100)</f>
        <v>0</v>
      </c>
      <c r="L101" s="35" t="n">
        <f aca="false">SUM(L97:L100)</f>
        <v>0</v>
      </c>
      <c r="M101" s="35" t="n">
        <f aca="false">SUM(M97:M100)</f>
        <v>0</v>
      </c>
      <c r="N101" s="35" t="n">
        <f aca="false">SUM(N97:N100)</f>
        <v>0</v>
      </c>
      <c r="O101" s="35" t="n">
        <f aca="false">SUM(O97:O100)</f>
        <v>0</v>
      </c>
      <c r="P101" s="35" t="n">
        <f aca="false">SUM(P97:P100)</f>
        <v>0</v>
      </c>
      <c r="Q101" s="35" t="n">
        <f aca="false">SUM(Q97:Q100)</f>
        <v>0</v>
      </c>
      <c r="R101" s="35" t="n">
        <f aca="false">SUM(R97:R100)</f>
        <v>0</v>
      </c>
      <c r="S101" s="35" t="n">
        <f aca="false">SUM(S97:S100)</f>
        <v>0</v>
      </c>
      <c r="T101" s="35" t="n">
        <f aca="false">SUM(T97:T100)</f>
        <v>0</v>
      </c>
      <c r="U101" s="35" t="n">
        <f aca="false">SUM(U97:U100)</f>
        <v>0</v>
      </c>
      <c r="V101" s="35" t="n">
        <f aca="false">SUM(V97:V100)</f>
        <v>0</v>
      </c>
      <c r="W101" s="35" t="n">
        <f aca="false">SUM(W97:W100)</f>
        <v>11364.7262807311</v>
      </c>
      <c r="X101" s="35" t="n">
        <f aca="false">SUM(X97:X100)</f>
        <v>22624.4523729989</v>
      </c>
      <c r="Y101" s="35" t="n">
        <f aca="false">SUM(Y97:Y100)</f>
        <v>34148.4546749063</v>
      </c>
      <c r="Z101" s="35" t="n">
        <f aca="false">SUM(Z97:Z100)</f>
        <v>45940.0366390737</v>
      </c>
      <c r="AA101" s="35" t="n">
        <f aca="false">SUM(AA97:AA100)</f>
        <v>57879.0133777932</v>
      </c>
      <c r="AB101" s="35" t="n">
        <f aca="false">SUM(AB97:AB100)</f>
        <v>69720.1680587743</v>
      </c>
      <c r="AC101" s="35" t="n">
        <f aca="false">SUM(AC97:AC100)</f>
        <v>81832.8668067539</v>
      </c>
      <c r="AD101" s="35" t="n">
        <f aca="false">SUM(AD97:AD100)</f>
        <v>94220.5039225694</v>
      </c>
      <c r="AE101" s="35" t="n">
        <f aca="false">SUM(AE97:AE100)</f>
        <v>92390.6085172141</v>
      </c>
      <c r="AF101" s="35" t="n">
        <f aca="false">SUM(AF97:AF100)</f>
        <v>90537.8394192919</v>
      </c>
      <c r="AG101" s="35" t="n">
        <f aca="false">SUM(AG97:AG100)</f>
        <v>88661.9107076456</v>
      </c>
      <c r="AH101" s="35" t="n">
        <f aca="false">SUM(AH97:AH100)</f>
        <v>86762.5328871038</v>
      </c>
      <c r="AI101" s="35" t="n">
        <f aca="false">SUM(AI97:AI100)</f>
        <v>84839.4128438052</v>
      </c>
      <c r="AJ101" s="35" t="n">
        <f aca="false">SUM(AJ97:AJ100)</f>
        <v>82892.2537999654</v>
      </c>
      <c r="AK101" s="35" t="n">
        <f aca="false">SUM(AK97:AK100)</f>
        <v>80920.7552680775</v>
      </c>
      <c r="AL101" s="35" t="n">
        <f aca="false">SUM(AL97:AL100)</f>
        <v>78924.6130045411</v>
      </c>
      <c r="AM101" s="35" t="n">
        <f aca="false">SUM(AM97:AM100)</f>
        <v>76903.5189627105</v>
      </c>
      <c r="AN101" s="35" t="n">
        <f aca="false">SUM(AN97:AN100)</f>
        <v>74857.1612453569</v>
      </c>
      <c r="AO101" s="35" t="n">
        <f aca="false">SUM(AO97:AO100)</f>
        <v>72785.2240565365</v>
      </c>
      <c r="AP101" s="35" t="n">
        <f aca="false">SUM(AP97:AP100)</f>
        <v>70687.3876528558</v>
      </c>
      <c r="AQ101" s="35" t="n">
        <f aca="false">SUM(AQ97:AQ100)</f>
        <v>68563.3282941291</v>
      </c>
      <c r="AR101" s="35" t="n">
        <f aca="false">SUM(AR97:AR100)</f>
        <v>66412.7181934183</v>
      </c>
      <c r="AS101" s="35" t="n">
        <f aca="false">SUM(AS97:AS100)</f>
        <v>64235.2254664487</v>
      </c>
      <c r="AT101" s="35" t="n">
        <f aca="false">SUM(AT97:AT100)</f>
        <v>62030.5140803919</v>
      </c>
      <c r="AU101" s="35" t="n">
        <f aca="false">SUM(AU97:AU100)</f>
        <v>59798.2438020094</v>
      </c>
      <c r="AV101" s="35" t="n">
        <f aca="false">SUM(AV97:AV100)</f>
        <v>57538.0701451471</v>
      </c>
      <c r="AW101" s="35" t="n">
        <f aca="false">SUM(AW97:AW100)</f>
        <v>55249.644317574</v>
      </c>
      <c r="AX101" s="35" t="n">
        <f aca="false">SUM(AX97:AX100)</f>
        <v>52932.6131671563</v>
      </c>
      <c r="AY101" s="35" t="n">
        <f aca="false">SUM(AY97:AY100)</f>
        <v>50586.6191273584</v>
      </c>
      <c r="AZ101" s="35" t="n">
        <f aca="false">SUM(AZ97:AZ100)</f>
        <v>48211.3001620629</v>
      </c>
      <c r="BA101" s="35" t="n">
        <f aca="false">SUM(BA97:BA100)</f>
        <v>45806.2897097013</v>
      </c>
      <c r="BB101" s="35" t="n">
        <f aca="false">SUM(BB97:BB100)</f>
        <v>43371.2166266852</v>
      </c>
      <c r="BC101" s="35" t="n">
        <f aca="false">SUM(BC97:BC100)</f>
        <v>40905.7051301314</v>
      </c>
      <c r="BD101" s="35" t="n">
        <f aca="false">SUM(BD97:BD100)</f>
        <v>38409.3747398706</v>
      </c>
      <c r="BE101" s="35" t="n">
        <f aca="false">SUM(BE97:BE100)</f>
        <v>35881.8402197316</v>
      </c>
      <c r="BF101" s="35" t="n">
        <f aca="false">SUM(BF97:BF100)</f>
        <v>33322.7115180908</v>
      </c>
      <c r="BG101" s="35" t="n">
        <f aca="false">SUM(BG97:BG100)</f>
        <v>30731.5937076796</v>
      </c>
      <c r="BH101" s="35" t="n">
        <f aca="false">SUM(BH97:BH100)</f>
        <v>28108.0869246381</v>
      </c>
      <c r="BI101" s="35" t="n">
        <f aca="false">SUM(BI97:BI100)</f>
        <v>25451.7863068087</v>
      </c>
      <c r="BJ101" s="35" t="n">
        <f aca="false">SUM(BJ97:BJ100)</f>
        <v>22762.2819312564</v>
      </c>
      <c r="BK101" s="35" t="n">
        <f aca="false">SUM(BK97:BK100)</f>
        <v>20039.1587510097</v>
      </c>
      <c r="BL101" s="35" t="n">
        <f aca="false">SUM(BL97:BL100)</f>
        <v>17281.99653101</v>
      </c>
      <c r="BM101" s="35" t="n">
        <f aca="false">SUM(BM97:BM100)</f>
        <v>14490.3697832602</v>
      </c>
      <c r="BN101" s="35" t="n">
        <f aca="false">SUM(BN97:BN100)</f>
        <v>11663.8477011635</v>
      </c>
      <c r="BO101" s="35" t="n">
        <f aca="false">SUM(BO97:BO100)</f>
        <v>8801.99409304069</v>
      </c>
      <c r="BP101" s="35" t="n">
        <f aca="false">SUM(BP97:BP100)</f>
        <v>5904.36731481629</v>
      </c>
      <c r="BQ101" s="35" t="n">
        <f aca="false">SUM(BQ97:BQ100)</f>
        <v>2970.5202018641</v>
      </c>
      <c r="BR101" s="35" t="n">
        <f aca="false">SUM(BR97:BR100)</f>
        <v>0</v>
      </c>
      <c r="BS101" s="35" t="n">
        <f aca="false">SUM(BS97:BS100)</f>
        <v>0</v>
      </c>
      <c r="BT101" s="35" t="n">
        <f aca="false">SUM(BT97:BT100)</f>
        <v>0</v>
      </c>
      <c r="BU101" s="35" t="n">
        <f aca="false">SUM(BU97:BU100)</f>
        <v>0</v>
      </c>
      <c r="BV101" s="35" t="n">
        <f aca="false">SUM(BV97:BV100)</f>
        <v>0</v>
      </c>
      <c r="BW101" s="35" t="n">
        <f aca="false">SUM(BW97:BW100)</f>
        <v>0</v>
      </c>
      <c r="BX101" s="35" t="n">
        <f aca="false">SUM(BX97:BX100)</f>
        <v>0</v>
      </c>
      <c r="BY101" s="35" t="n">
        <f aca="false">SUM(BY97:BY100)</f>
        <v>0</v>
      </c>
      <c r="BZ101" s="35" t="n">
        <f aca="false">SUM(BZ97:BZ100)</f>
        <v>0</v>
      </c>
      <c r="CA101" s="35" t="n">
        <f aca="false">SUM(CA97:CA100)</f>
        <v>0</v>
      </c>
      <c r="CB101" s="35" t="n">
        <f aca="false">SUM(CB97:CB100)</f>
        <v>0</v>
      </c>
      <c r="CC101" s="35" t="n">
        <f aca="false">SUM(CC97:CC100)</f>
        <v>0</v>
      </c>
      <c r="CD101" s="35" t="n">
        <f aca="false">SUM(CD97:CD100)</f>
        <v>0</v>
      </c>
      <c r="CE101" s="35" t="n">
        <f aca="false">SUM(CE97:CE100)</f>
        <v>0</v>
      </c>
      <c r="CF101" s="35" t="n">
        <f aca="false">SUM(CF97:CF100)</f>
        <v>0</v>
      </c>
      <c r="CG101" s="35" t="n">
        <f aca="false">SUM(CG97:CG100)</f>
        <v>0</v>
      </c>
      <c r="CH101" s="35" t="n">
        <f aca="false">SUM(CH97:CH100)</f>
        <v>0</v>
      </c>
      <c r="CI101" s="35" t="n">
        <f aca="false">SUM(CI97:CI100)</f>
        <v>0</v>
      </c>
      <c r="CJ101" s="35" t="n">
        <f aca="false">SUM(CJ97:CJ100)</f>
        <v>0</v>
      </c>
      <c r="CK101" s="35" t="n">
        <f aca="false">SUM(CK97:CK100)</f>
        <v>0</v>
      </c>
      <c r="CL101" s="35" t="n">
        <f aca="false">SUM(CL97:CL100)</f>
        <v>0</v>
      </c>
      <c r="CM101" s="35" t="n">
        <f aca="false">SUM(CM97:CM100)</f>
        <v>0</v>
      </c>
      <c r="CN101" s="35" t="n">
        <f aca="false">SUM(CN97:CN100)</f>
        <v>0</v>
      </c>
      <c r="CO101" s="35" t="n">
        <f aca="false">SUM(CO97:CO100)</f>
        <v>0</v>
      </c>
      <c r="CP101" s="35" t="n">
        <f aca="false">SUM(CP97:CP100)</f>
        <v>0</v>
      </c>
      <c r="CQ101" s="35" t="n">
        <f aca="false">SUM(CQ97:CQ100)</f>
        <v>0</v>
      </c>
      <c r="CR101" s="35" t="n">
        <f aca="false">SUM(CR97:CR100)</f>
        <v>0</v>
      </c>
      <c r="CS101" s="35" t="n">
        <f aca="false">SUM(CS97:CS100)</f>
        <v>0</v>
      </c>
      <c r="CT101" s="35" t="n">
        <f aca="false">SUM(CT97:CT100)</f>
        <v>0</v>
      </c>
      <c r="CU101" s="35" t="n">
        <f aca="false">SUM(CU97:CU100)</f>
        <v>0</v>
      </c>
      <c r="CV101" s="35" t="n">
        <f aca="false">SUM(CV97:CV100)</f>
        <v>0</v>
      </c>
      <c r="CW101" s="35" t="n">
        <f aca="false">SUM(CW97:CW100)</f>
        <v>0</v>
      </c>
      <c r="CX101" s="35" t="n">
        <f aca="false">SUM(CX97:CX100)</f>
        <v>0</v>
      </c>
      <c r="CY101" s="35" t="n">
        <f aca="false">SUM(CY97:CY100)</f>
        <v>0</v>
      </c>
      <c r="CZ101" s="35" t="n">
        <f aca="false">SUM(CZ97:CZ100)</f>
        <v>0</v>
      </c>
      <c r="DA101" s="35" t="n">
        <f aca="false">SUM(DA97:DA100)</f>
        <v>0</v>
      </c>
      <c r="DB101" s="35" t="n">
        <f aca="false">SUM(DB97:DB100)</f>
        <v>0</v>
      </c>
      <c r="DC101" s="35" t="n">
        <f aca="false">SUM(DC97:DC100)</f>
        <v>0</v>
      </c>
      <c r="DD101" s="35" t="n">
        <f aca="false">SUM(DD97:DD100)</f>
        <v>0</v>
      </c>
      <c r="DE101" s="35" t="n">
        <f aca="false">SUM(DE97:DE100)</f>
        <v>0</v>
      </c>
      <c r="DF101" s="35" t="n">
        <f aca="false">SUM(DF97:DF100)</f>
        <v>0</v>
      </c>
      <c r="DG101" s="35" t="n">
        <f aca="false">SUM(DG97:DG100)</f>
        <v>0</v>
      </c>
      <c r="DH101" s="35" t="n">
        <f aca="false">SUM(DH97:DH100)</f>
        <v>0</v>
      </c>
      <c r="DI101" s="35" t="n">
        <f aca="false">SUM(DI97:DI100)</f>
        <v>0</v>
      </c>
      <c r="DJ101" s="35" t="n">
        <f aca="false">SUM(DJ97:DJ100)</f>
        <v>0</v>
      </c>
      <c r="DK101" s="35" t="n">
        <f aca="false">SUM(DK97:DK100)</f>
        <v>0</v>
      </c>
      <c r="DL101" s="35" t="n">
        <f aca="false">SUM(DL97:DL100)</f>
        <v>0</v>
      </c>
      <c r="DM101" s="35" t="n">
        <f aca="false">SUM(DM97:DM100)</f>
        <v>0</v>
      </c>
      <c r="DN101" s="35" t="n">
        <f aca="false">SUM(DN97:DN100)</f>
        <v>0</v>
      </c>
      <c r="DO101" s="35" t="n">
        <f aca="false">SUM(DO97:DO100)</f>
        <v>0</v>
      </c>
      <c r="DP101" s="35" t="n">
        <f aca="false">SUM(DP97:DP100)</f>
        <v>0</v>
      </c>
      <c r="DQ101" s="35" t="n">
        <f aca="false">SUM(DQ97:DQ100)</f>
        <v>0</v>
      </c>
      <c r="DR101" s="35" t="n">
        <f aca="false">SUM(DR97:DR100)</f>
        <v>0</v>
      </c>
      <c r="DS101" s="35" t="n">
        <f aca="false">SUM(DS97:DS100)</f>
        <v>0</v>
      </c>
      <c r="DT101" s="35" t="n">
        <f aca="false">SUM(DT97:DT100)</f>
        <v>0</v>
      </c>
      <c r="DU101" s="35" t="n">
        <f aca="false">SUM(DU97:DU100)</f>
        <v>0</v>
      </c>
      <c r="DV101" s="35" t="n">
        <f aca="false">SUM(DV97:DV100)</f>
        <v>0</v>
      </c>
      <c r="DW101" s="35" t="n">
        <f aca="false">SUM(DW97:DW100)</f>
        <v>0</v>
      </c>
      <c r="DX101" s="35" t="n">
        <f aca="false">SUM(DX97:DX100)</f>
        <v>0</v>
      </c>
      <c r="DY101" s="35" t="n">
        <f aca="false">SUM(DY97:DY100)</f>
        <v>0</v>
      </c>
      <c r="DZ101" s="35" t="n">
        <f aca="false">SUM(DZ97:DZ100)</f>
        <v>0</v>
      </c>
      <c r="EA101" s="35" t="n">
        <f aca="false">SUM(EA97:EA100)</f>
        <v>0</v>
      </c>
      <c r="EB101" s="35" t="n">
        <f aca="false">SUM(EB97:EB100)</f>
        <v>0</v>
      </c>
      <c r="EC101" s="35" t="n">
        <f aca="false">SUM(EC97:EC100)</f>
        <v>0</v>
      </c>
      <c r="ED101" s="35" t="n">
        <f aca="false">SUM(ED97:ED100)</f>
        <v>0</v>
      </c>
      <c r="EE101" s="35" t="n">
        <f aca="false">SUM(EE97:EE100)</f>
        <v>0</v>
      </c>
      <c r="EF101" s="35" t="n">
        <f aca="false">SUM(EF97:EF100)</f>
        <v>0</v>
      </c>
      <c r="EG101" s="35" t="n">
        <f aca="false">SUM(EG97:EG100)</f>
        <v>0</v>
      </c>
      <c r="EH101" s="35" t="n">
        <f aca="false">SUM(EH97:EH100)</f>
        <v>0</v>
      </c>
      <c r="EI101" s="35" t="n">
        <f aca="false">SUM(EI97:EI100)</f>
        <v>0</v>
      </c>
      <c r="EJ101" s="35" t="n">
        <f aca="false">SUM(EJ97:EJ100)</f>
        <v>0</v>
      </c>
      <c r="EK101" s="35" t="n">
        <f aca="false">SUM(EK97:EK100)</f>
        <v>0</v>
      </c>
      <c r="EL101" s="35" t="n">
        <f aca="false">SUM(EL97:EL100)</f>
        <v>0</v>
      </c>
      <c r="EM101" s="35" t="n">
        <f aca="false">SUM(EM97:EM100)</f>
        <v>0</v>
      </c>
      <c r="EN101" s="35" t="n">
        <f aca="false">SUM(EN97:EN100)</f>
        <v>0</v>
      </c>
      <c r="EO101" s="35" t="n">
        <f aca="false">SUM(EO97:EO100)</f>
        <v>0</v>
      </c>
      <c r="EP101" s="35" t="n">
        <f aca="false">SUM(EP97:EP100)</f>
        <v>0</v>
      </c>
      <c r="EQ101" s="35" t="n">
        <f aca="false">SUM(EQ97:EQ100)</f>
        <v>0</v>
      </c>
      <c r="ER101" s="35" t="n">
        <f aca="false">SUM(ER97:ER100)</f>
        <v>0</v>
      </c>
      <c r="ES101" s="35" t="n">
        <f aca="false">SUM(ES97:ES100)</f>
        <v>0</v>
      </c>
      <c r="ET101" s="35" t="n">
        <f aca="false">SUM(ET97:ET100)</f>
        <v>0</v>
      </c>
    </row>
    <row r="102" customFormat="false" ht="15" hidden="false" customHeight="false" outlineLevel="0" collapsed="false">
      <c r="C102" s="0" t="s">
        <v>550</v>
      </c>
      <c r="D102" s="11" t="s">
        <v>247</v>
      </c>
      <c r="I102" s="33" t="n">
        <f aca="false">SUM(J102:ET102)</f>
        <v>-26085.5642529266</v>
      </c>
      <c r="J102" s="33" t="n">
        <f aca="false">-J97*$F99*(J$4&gt;In_COD)</f>
        <v>-0</v>
      </c>
      <c r="K102" s="33" t="n">
        <f aca="false">-K97*$F99*(K$4&gt;In_COD)</f>
        <v>-0</v>
      </c>
      <c r="L102" s="33" t="n">
        <f aca="false">-L97*$F99*(L$4&gt;In_COD)</f>
        <v>-0</v>
      </c>
      <c r="M102" s="33" t="n">
        <f aca="false">-M97*$F99*(M$4&gt;In_COD)</f>
        <v>-0</v>
      </c>
      <c r="N102" s="33" t="n">
        <f aca="false">-N97*$F99*(N$4&gt;In_COD)</f>
        <v>-0</v>
      </c>
      <c r="O102" s="33" t="n">
        <f aca="false">-O97*$F99*(O$4&gt;In_COD)</f>
        <v>-0</v>
      </c>
      <c r="P102" s="33" t="n">
        <f aca="false">-P97*$F99*(P$4&gt;In_COD)</f>
        <v>-0</v>
      </c>
      <c r="Q102" s="33" t="n">
        <f aca="false">-Q97*$F99*(Q$4&gt;In_COD)</f>
        <v>-0</v>
      </c>
      <c r="R102" s="33" t="n">
        <f aca="false">-R97*$F99*(R$4&gt;In_COD)</f>
        <v>-0</v>
      </c>
      <c r="S102" s="33" t="n">
        <f aca="false">-S97*$F99*(S$4&gt;In_COD)</f>
        <v>-0</v>
      </c>
      <c r="T102" s="33" t="n">
        <f aca="false">-T97*$F99*(T$4&gt;In_COD)</f>
        <v>-0</v>
      </c>
      <c r="U102" s="33" t="n">
        <f aca="false">-U97*$F99*(U$4&gt;In_COD)</f>
        <v>-0</v>
      </c>
      <c r="V102" s="33" t="n">
        <f aca="false">-V97*$F99*(V$4&gt;In_COD)</f>
        <v>-0</v>
      </c>
      <c r="W102" s="33" t="n">
        <f aca="false">-W97*$F99*(W$4&gt;In_COD)</f>
        <v>-0</v>
      </c>
      <c r="X102" s="33" t="n">
        <f aca="false">-X97*$F99*(X$4&gt;In_COD)</f>
        <v>-0</v>
      </c>
      <c r="Y102" s="33" t="n">
        <f aca="false">-Y97*$F99*(Y$4&gt;In_COD)</f>
        <v>-0</v>
      </c>
      <c r="Z102" s="33" t="n">
        <f aca="false">-Z97*$F99*(Z$4&gt;In_COD)</f>
        <v>-0</v>
      </c>
      <c r="AA102" s="33" t="n">
        <f aca="false">-AA97*$F99*(AA$4&gt;In_COD)</f>
        <v>-0</v>
      </c>
      <c r="AB102" s="33" t="n">
        <f aca="false">-AB97*$F99*(AB$4&gt;In_COD)</f>
        <v>-0</v>
      </c>
      <c r="AC102" s="33" t="n">
        <f aca="false">-AC97*$F99*(AC$4&gt;In_COD)</f>
        <v>-0</v>
      </c>
      <c r="AD102" s="33" t="n">
        <f aca="false">-AD97*$F99*(AD$4&gt;In_COD)</f>
        <v>-0</v>
      </c>
      <c r="AE102" s="33" t="n">
        <f aca="false">-AE97*$F99*(AE$4&gt;In_COD)</f>
        <v>-1177.75629903212</v>
      </c>
      <c r="AF102" s="33" t="n">
        <f aca="false">-AF97*$F99*(AF$4&gt;In_COD)</f>
        <v>-1154.88260646518</v>
      </c>
      <c r="AG102" s="33" t="n">
        <f aca="false">-AG97*$F99*(AG$4&gt;In_COD)</f>
        <v>-1131.72299274115</v>
      </c>
      <c r="AH102" s="33" t="n">
        <f aca="false">-AH97*$F99*(AH$4&gt;In_COD)</f>
        <v>-1108.27388384557</v>
      </c>
      <c r="AI102" s="33" t="n">
        <f aca="false">-AI97*$F99*(AI$4&gt;In_COD)</f>
        <v>-1084.5316610888</v>
      </c>
      <c r="AJ102" s="33" t="n">
        <f aca="false">-AJ97*$F99*(AJ$4&gt;In_COD)</f>
        <v>-1060.49266054757</v>
      </c>
      <c r="AK102" s="33" t="n">
        <f aca="false">-AK97*$F99*(AK$4&gt;In_COD)</f>
        <v>-1036.15317249957</v>
      </c>
      <c r="AL102" s="33" t="n">
        <f aca="false">-AL97*$F99*(AL$4&gt;In_COD)</f>
        <v>-1011.50944085097</v>
      </c>
      <c r="AM102" s="33" t="n">
        <f aca="false">-AM97*$F99*(AM$4&gt;In_COD)</f>
        <v>-986.557662556764</v>
      </c>
      <c r="AN102" s="33" t="n">
        <f aca="false">-AN97*$F99*(AN$4&gt;In_COD)</f>
        <v>-961.293987033881</v>
      </c>
      <c r="AO102" s="33" t="n">
        <f aca="false">-AO97*$F99*(AO$4&gt;In_COD)</f>
        <v>-935.714515566962</v>
      </c>
      <c r="AP102" s="33" t="n">
        <f aca="false">-AP97*$F99*(AP$4&gt;In_COD)</f>
        <v>-909.815300706707</v>
      </c>
      <c r="AQ102" s="33" t="n">
        <f aca="false">-AQ97*$F99*(AQ$4&gt;In_COD)</f>
        <v>-883.592345660698</v>
      </c>
      <c r="AR102" s="33" t="n">
        <f aca="false">-AR97*$F99*(AR$4&gt;In_COD)</f>
        <v>-857.041603676614</v>
      </c>
      <c r="AS102" s="33" t="n">
        <f aca="false">-AS97*$F99*(AS$4&gt;In_COD)</f>
        <v>-830.158977417729</v>
      </c>
      <c r="AT102" s="33" t="n">
        <f aca="false">-AT97*$F99*(AT$4&gt;In_COD)</f>
        <v>-802.940318330608</v>
      </c>
      <c r="AU102" s="33" t="n">
        <f aca="false">-AU97*$F99*(AU$4&gt;In_COD)</f>
        <v>-775.381426004899</v>
      </c>
      <c r="AV102" s="33" t="n">
        <f aca="false">-AV97*$F99*(AV$4&gt;In_COD)</f>
        <v>-747.478047525117</v>
      </c>
      <c r="AW102" s="33" t="n">
        <f aca="false">-AW97*$F99*(AW$4&gt;In_COD)</f>
        <v>-719.225876814339</v>
      </c>
      <c r="AX102" s="33" t="n">
        <f aca="false">-AX97*$F99*(AX$4&gt;In_COD)</f>
        <v>-690.620553969676</v>
      </c>
      <c r="AY102" s="33" t="n">
        <f aca="false">-AY97*$F99*(AY$4&gt;In_COD)</f>
        <v>-661.657664589454</v>
      </c>
      <c r="AZ102" s="33" t="n">
        <f aca="false">-AZ97*$F99*(AZ$4&gt;In_COD)</f>
        <v>-632.33273909198</v>
      </c>
      <c r="BA102" s="33" t="n">
        <f aca="false">-BA97*$F99*(BA$4&gt;In_COD)</f>
        <v>-602.641252025787</v>
      </c>
      <c r="BB102" s="33" t="n">
        <f aca="false">-BB97*$F99*(BB$4&gt;In_COD)</f>
        <v>-572.578621371267</v>
      </c>
      <c r="BC102" s="33" t="n">
        <f aca="false">-BC97*$F99*(BC$4&gt;In_COD)</f>
        <v>-542.140207833565</v>
      </c>
      <c r="BD102" s="33" t="n">
        <f aca="false">-BD97*$F99*(BD$4&gt;In_COD)</f>
        <v>-511.321314126642</v>
      </c>
      <c r="BE102" s="33" t="n">
        <f aca="false">-BE97*$F99*(BE$4&gt;In_COD)</f>
        <v>-480.117184248382</v>
      </c>
      <c r="BF102" s="33" t="n">
        <f aca="false">-BF97*$F99*(BF$4&gt;In_COD)</f>
        <v>-448.523002746645</v>
      </c>
      <c r="BG102" s="33" t="n">
        <f aca="false">-BG97*$F99*(BG$4&gt;In_COD)</f>
        <v>-416.533893976135</v>
      </c>
      <c r="BH102" s="33" t="n">
        <f aca="false">-BH97*$F99*(BH$4&gt;In_COD)</f>
        <v>-384.144921345995</v>
      </c>
      <c r="BI102" s="33" t="n">
        <f aca="false">-BI97*$F99*(BI$4&gt;In_COD)</f>
        <v>-351.351086557977</v>
      </c>
      <c r="BJ102" s="33" t="n">
        <f aca="false">-BJ97*$F99*(BJ$4&gt;In_COD)</f>
        <v>-318.147328835109</v>
      </c>
      <c r="BK102" s="33" t="n">
        <f aca="false">-BK97*$F99*(BK$4&gt;In_COD)</f>
        <v>-284.528524140706</v>
      </c>
      <c r="BL102" s="33" t="n">
        <f aca="false">-BL97*$F99*(BL$4&gt;In_COD)</f>
        <v>-250.489484387622</v>
      </c>
      <c r="BM102" s="33" t="n">
        <f aca="false">-BM97*$F99*(BM$4&gt;In_COD)</f>
        <v>-216.024956637625</v>
      </c>
      <c r="BN102" s="33" t="n">
        <f aca="false">-BN97*$F99*(BN$4&gt;In_COD)</f>
        <v>-181.129622290752</v>
      </c>
      <c r="BO102" s="33" t="n">
        <f aca="false">-BO97*$F99*(BO$4&gt;In_COD)</f>
        <v>-145.798096264544</v>
      </c>
      <c r="BP102" s="33" t="n">
        <f aca="false">-BP97*$F99*(BP$4&gt;In_COD)</f>
        <v>-110.024926163009</v>
      </c>
      <c r="BQ102" s="33" t="n">
        <f aca="false">-BQ97*$F99*(BQ$4&gt;In_COD)</f>
        <v>-73.8045914352037</v>
      </c>
      <c r="BR102" s="33" t="n">
        <f aca="false">-BR97*$F99*(BR$4&gt;In_COD)</f>
        <v>-37.1315025233012</v>
      </c>
      <c r="BS102" s="33" t="n">
        <f aca="false">-BS97*$F99*(BS$4&gt;In_COD)</f>
        <v>-0</v>
      </c>
      <c r="BT102" s="33" t="n">
        <f aca="false">-BT97*$F99*(BT$4&gt;In_COD)</f>
        <v>-0</v>
      </c>
      <c r="BU102" s="33" t="n">
        <f aca="false">-BU97*$F99*(BU$4&gt;In_COD)</f>
        <v>-0</v>
      </c>
      <c r="BV102" s="33" t="n">
        <f aca="false">-BV97*$F99*(BV$4&gt;In_COD)</f>
        <v>-0</v>
      </c>
      <c r="BW102" s="33" t="n">
        <f aca="false">-BW97*$F99*(BW$4&gt;In_COD)</f>
        <v>-0</v>
      </c>
      <c r="BX102" s="33" t="n">
        <f aca="false">-BX97*$F99*(BX$4&gt;In_COD)</f>
        <v>-0</v>
      </c>
      <c r="BY102" s="33" t="n">
        <f aca="false">-BY97*$F99*(BY$4&gt;In_COD)</f>
        <v>-0</v>
      </c>
      <c r="BZ102" s="33" t="n">
        <f aca="false">-BZ97*$F99*(BZ$4&gt;In_COD)</f>
        <v>-0</v>
      </c>
      <c r="CA102" s="33" t="n">
        <f aca="false">-CA97*$F99*(CA$4&gt;In_COD)</f>
        <v>-0</v>
      </c>
      <c r="CB102" s="33" t="n">
        <f aca="false">-CB97*$F99*(CB$4&gt;In_COD)</f>
        <v>-0</v>
      </c>
      <c r="CC102" s="33" t="n">
        <f aca="false">-CC97*$F99*(CC$4&gt;In_COD)</f>
        <v>-0</v>
      </c>
      <c r="CD102" s="33" t="n">
        <f aca="false">-CD97*$F99*(CD$4&gt;In_COD)</f>
        <v>-0</v>
      </c>
      <c r="CE102" s="33" t="n">
        <f aca="false">-CE97*$F99*(CE$4&gt;In_COD)</f>
        <v>-0</v>
      </c>
      <c r="CF102" s="33" t="n">
        <f aca="false">-CF97*$F99*(CF$4&gt;In_COD)</f>
        <v>-0</v>
      </c>
      <c r="CG102" s="33" t="n">
        <f aca="false">-CG97*$F99*(CG$4&gt;In_COD)</f>
        <v>-0</v>
      </c>
      <c r="CH102" s="33" t="n">
        <f aca="false">-CH97*$F99*(CH$4&gt;In_COD)</f>
        <v>-0</v>
      </c>
      <c r="CI102" s="33" t="n">
        <f aca="false">-CI97*$F99*(CI$4&gt;In_COD)</f>
        <v>-0</v>
      </c>
      <c r="CJ102" s="33" t="n">
        <f aca="false">-CJ97*$F99*(CJ$4&gt;In_COD)</f>
        <v>-0</v>
      </c>
      <c r="CK102" s="33" t="n">
        <f aca="false">-CK97*$F99*(CK$4&gt;In_COD)</f>
        <v>-0</v>
      </c>
      <c r="CL102" s="33" t="n">
        <f aca="false">-CL97*$F99*(CL$4&gt;In_COD)</f>
        <v>-0</v>
      </c>
      <c r="CM102" s="33" t="n">
        <f aca="false">-CM97*$F99*(CM$4&gt;In_COD)</f>
        <v>-0</v>
      </c>
      <c r="CN102" s="33" t="n">
        <f aca="false">-CN97*$F99*(CN$4&gt;In_COD)</f>
        <v>-0</v>
      </c>
      <c r="CO102" s="33" t="n">
        <f aca="false">-CO97*$F99*(CO$4&gt;In_COD)</f>
        <v>-0</v>
      </c>
      <c r="CP102" s="33" t="n">
        <f aca="false">-CP97*$F99*(CP$4&gt;In_COD)</f>
        <v>-0</v>
      </c>
      <c r="CQ102" s="33" t="n">
        <f aca="false">-CQ97*$F99*(CQ$4&gt;In_COD)</f>
        <v>-0</v>
      </c>
      <c r="CR102" s="33" t="n">
        <f aca="false">-CR97*$F99*(CR$4&gt;In_COD)</f>
        <v>-0</v>
      </c>
      <c r="CS102" s="33" t="n">
        <f aca="false">-CS97*$F99*(CS$4&gt;In_COD)</f>
        <v>-0</v>
      </c>
      <c r="CT102" s="33" t="n">
        <f aca="false">-CT97*$F99*(CT$4&gt;In_COD)</f>
        <v>-0</v>
      </c>
      <c r="CU102" s="33" t="n">
        <f aca="false">-CU97*$F99*(CU$4&gt;In_COD)</f>
        <v>-0</v>
      </c>
      <c r="CV102" s="33" t="n">
        <f aca="false">-CV97*$F99*(CV$4&gt;In_COD)</f>
        <v>-0</v>
      </c>
      <c r="CW102" s="33" t="n">
        <f aca="false">-CW97*$F99*(CW$4&gt;In_COD)</f>
        <v>-0</v>
      </c>
      <c r="CX102" s="33" t="n">
        <f aca="false">-CX97*$F99*(CX$4&gt;In_COD)</f>
        <v>-0</v>
      </c>
      <c r="CY102" s="33" t="n">
        <f aca="false">-CY97*$F99*(CY$4&gt;In_COD)</f>
        <v>-0</v>
      </c>
      <c r="CZ102" s="33" t="n">
        <f aca="false">-CZ97*$F99*(CZ$4&gt;In_COD)</f>
        <v>-0</v>
      </c>
      <c r="DA102" s="33" t="n">
        <f aca="false">-DA97*$F99*(DA$4&gt;In_COD)</f>
        <v>-0</v>
      </c>
      <c r="DB102" s="33" t="n">
        <f aca="false">-DB97*$F99*(DB$4&gt;In_COD)</f>
        <v>-0</v>
      </c>
      <c r="DC102" s="33" t="n">
        <f aca="false">-DC97*$F99*(DC$4&gt;In_COD)</f>
        <v>-0</v>
      </c>
      <c r="DD102" s="33" t="n">
        <f aca="false">-DD97*$F99*(DD$4&gt;In_COD)</f>
        <v>-0</v>
      </c>
      <c r="DE102" s="33" t="n">
        <f aca="false">-DE97*$F99*(DE$4&gt;In_COD)</f>
        <v>-0</v>
      </c>
      <c r="DF102" s="33" t="n">
        <f aca="false">-DF97*$F99*(DF$4&gt;In_COD)</f>
        <v>-0</v>
      </c>
      <c r="DG102" s="33" t="n">
        <f aca="false">-DG97*$F99*(DG$4&gt;In_COD)</f>
        <v>-0</v>
      </c>
      <c r="DH102" s="33" t="n">
        <f aca="false">-DH97*$F99*(DH$4&gt;In_COD)</f>
        <v>-0</v>
      </c>
      <c r="DI102" s="33" t="n">
        <f aca="false">-DI97*$F99*(DI$4&gt;In_COD)</f>
        <v>-0</v>
      </c>
      <c r="DJ102" s="33" t="n">
        <f aca="false">-DJ97*$F99*(DJ$4&gt;In_COD)</f>
        <v>-0</v>
      </c>
      <c r="DK102" s="33" t="n">
        <f aca="false">-DK97*$F99*(DK$4&gt;In_COD)</f>
        <v>-0</v>
      </c>
      <c r="DL102" s="33" t="n">
        <f aca="false">-DL97*$F99*(DL$4&gt;In_COD)</f>
        <v>-0</v>
      </c>
      <c r="DM102" s="33" t="n">
        <f aca="false">-DM97*$F99*(DM$4&gt;In_COD)</f>
        <v>-0</v>
      </c>
      <c r="DN102" s="33" t="n">
        <f aca="false">-DN97*$F99*(DN$4&gt;In_COD)</f>
        <v>-0</v>
      </c>
      <c r="DO102" s="33" t="n">
        <f aca="false">-DO97*$F99*(DO$4&gt;In_COD)</f>
        <v>-0</v>
      </c>
      <c r="DP102" s="33" t="n">
        <f aca="false">-DP97*$F99*(DP$4&gt;In_COD)</f>
        <v>-0</v>
      </c>
      <c r="DQ102" s="33" t="n">
        <f aca="false">-DQ97*$F99*(DQ$4&gt;In_COD)</f>
        <v>-0</v>
      </c>
      <c r="DR102" s="33" t="n">
        <f aca="false">-DR97*$F99*(DR$4&gt;In_COD)</f>
        <v>-0</v>
      </c>
      <c r="DS102" s="33" t="n">
        <f aca="false">-DS97*$F99*(DS$4&gt;In_COD)</f>
        <v>-0</v>
      </c>
      <c r="DT102" s="33" t="n">
        <f aca="false">-DT97*$F99*(DT$4&gt;In_COD)</f>
        <v>-0</v>
      </c>
      <c r="DU102" s="33" t="n">
        <f aca="false">-DU97*$F99*(DU$4&gt;In_COD)</f>
        <v>-0</v>
      </c>
      <c r="DV102" s="33" t="n">
        <f aca="false">-DV97*$F99*(DV$4&gt;In_COD)</f>
        <v>-0</v>
      </c>
      <c r="DW102" s="33" t="n">
        <f aca="false">-DW97*$F99*(DW$4&gt;In_COD)</f>
        <v>-0</v>
      </c>
      <c r="DX102" s="33" t="n">
        <f aca="false">-DX97*$F99*(DX$4&gt;In_COD)</f>
        <v>-0</v>
      </c>
      <c r="DY102" s="33" t="n">
        <f aca="false">-DY97*$F99*(DY$4&gt;In_COD)</f>
        <v>-0</v>
      </c>
      <c r="DZ102" s="33" t="n">
        <f aca="false">-DZ97*$F99*(DZ$4&gt;In_COD)</f>
        <v>-0</v>
      </c>
      <c r="EA102" s="33" t="n">
        <f aca="false">-EA97*$F99*(EA$4&gt;In_COD)</f>
        <v>-0</v>
      </c>
      <c r="EB102" s="33" t="n">
        <f aca="false">-EB97*$F99*(EB$4&gt;In_COD)</f>
        <v>-0</v>
      </c>
      <c r="EC102" s="33" t="n">
        <f aca="false">-EC97*$F99*(EC$4&gt;In_COD)</f>
        <v>-0</v>
      </c>
      <c r="ED102" s="33" t="n">
        <f aca="false">-ED97*$F99*(ED$4&gt;In_COD)</f>
        <v>-0</v>
      </c>
      <c r="EE102" s="33" t="n">
        <f aca="false">-EE97*$F99*(EE$4&gt;In_COD)</f>
        <v>-0</v>
      </c>
      <c r="EF102" s="33" t="n">
        <f aca="false">-EF97*$F99*(EF$4&gt;In_COD)</f>
        <v>-0</v>
      </c>
      <c r="EG102" s="33" t="n">
        <f aca="false">-EG97*$F99*(EG$4&gt;In_COD)</f>
        <v>-0</v>
      </c>
      <c r="EH102" s="33" t="n">
        <f aca="false">-EH97*$F99*(EH$4&gt;In_COD)</f>
        <v>-0</v>
      </c>
      <c r="EI102" s="33" t="n">
        <f aca="false">-EI97*$F99*(EI$4&gt;In_COD)</f>
        <v>-0</v>
      </c>
      <c r="EJ102" s="33" t="n">
        <f aca="false">-EJ97*$F99*(EJ$4&gt;In_COD)</f>
        <v>-0</v>
      </c>
      <c r="EK102" s="33" t="n">
        <f aca="false">-EK97*$F99*(EK$4&gt;In_COD)</f>
        <v>-0</v>
      </c>
      <c r="EL102" s="33" t="n">
        <f aca="false">-EL97*$F99*(EL$4&gt;In_COD)</f>
        <v>-0</v>
      </c>
      <c r="EM102" s="33" t="n">
        <f aca="false">-EM97*$F99*(EM$4&gt;In_COD)</f>
        <v>-0</v>
      </c>
      <c r="EN102" s="33" t="n">
        <f aca="false">-EN97*$F99*(EN$4&gt;In_COD)</f>
        <v>-0</v>
      </c>
      <c r="EO102" s="33" t="n">
        <f aca="false">-EO97*$F99*(EO$4&gt;In_COD)</f>
        <v>-0</v>
      </c>
      <c r="EP102" s="33" t="n">
        <f aca="false">-EP97*$F99*(EP$4&gt;In_COD)</f>
        <v>-0</v>
      </c>
      <c r="EQ102" s="33" t="n">
        <f aca="false">-EQ97*$F99*(EQ$4&gt;In_COD)</f>
        <v>-0</v>
      </c>
      <c r="ER102" s="33" t="n">
        <f aca="false">-ER97*$F99*(ER$4&gt;In_COD)</f>
        <v>-0</v>
      </c>
      <c r="ES102" s="33" t="n">
        <f aca="false">-ES97*$F99*(ES$4&gt;In_COD)</f>
        <v>-0</v>
      </c>
      <c r="ET102" s="33" t="n">
        <f aca="false">-ET97*$F99*(ET$4&gt;In_COD)</f>
        <v>-0</v>
      </c>
    </row>
    <row r="103" customFormat="false" ht="15" hidden="false" customHeight="false" outlineLevel="0" collapsed="false">
      <c r="C103" s="0" t="s">
        <v>397</v>
      </c>
      <c r="D103" s="11" t="s">
        <v>247</v>
      </c>
      <c r="I103" s="33" t="n">
        <f aca="false">SUM(J103:ET103)</f>
        <v>-1578.0910677863</v>
      </c>
      <c r="J103" s="33" t="n">
        <f aca="false">-In_Upfront_Fee*$E98*(J97=0)*(J98&gt;0)</f>
        <v>-0</v>
      </c>
      <c r="K103" s="33" t="n">
        <f aca="false">-In_Upfront_Fee*$E98*(K97=0)*(K98&gt;0)</f>
        <v>-0</v>
      </c>
      <c r="L103" s="33" t="n">
        <f aca="false">-In_Upfront_Fee*$E98*(L97=0)*(L98&gt;0)</f>
        <v>-0</v>
      </c>
      <c r="M103" s="33" t="n">
        <f aca="false">-In_Upfront_Fee*$E98*(M97=0)*(M98&gt;0)</f>
        <v>-0</v>
      </c>
      <c r="N103" s="33" t="n">
        <f aca="false">-In_Upfront_Fee*$E98*(N97=0)*(N98&gt;0)</f>
        <v>-0</v>
      </c>
      <c r="O103" s="33" t="n">
        <f aca="false">-In_Upfront_Fee*$E98*(O97=0)*(O98&gt;0)</f>
        <v>-0</v>
      </c>
      <c r="P103" s="33" t="n">
        <f aca="false">-In_Upfront_Fee*$E98*(P97=0)*(P98&gt;0)</f>
        <v>-0</v>
      </c>
      <c r="Q103" s="33" t="n">
        <f aca="false">-In_Upfront_Fee*$E98*(Q97=0)*(Q98&gt;0)</f>
        <v>-0</v>
      </c>
      <c r="R103" s="33" t="n">
        <f aca="false">-In_Upfront_Fee*$E98*(R97=0)*(R98&gt;0)</f>
        <v>-0</v>
      </c>
      <c r="S103" s="33" t="n">
        <f aca="false">-In_Upfront_Fee*$E98*(S97=0)*(S98&gt;0)</f>
        <v>-0</v>
      </c>
      <c r="T103" s="33" t="n">
        <f aca="false">-In_Upfront_Fee*$E98*(T97=0)*(T98&gt;0)</f>
        <v>-0</v>
      </c>
      <c r="U103" s="33" t="n">
        <f aca="false">-In_Upfront_Fee*$E98*(U97=0)*(U98&gt;0)</f>
        <v>-0</v>
      </c>
      <c r="V103" s="33" t="n">
        <f aca="false">-In_Upfront_Fee*$E98*(V97=0)*(V98&gt;0)</f>
        <v>-0</v>
      </c>
      <c r="W103" s="33" t="n">
        <f aca="false">-In_Upfront_Fee*$E98*(W97=0)*(W98&gt;0)</f>
        <v>-1578.0910677863</v>
      </c>
      <c r="X103" s="33" t="n">
        <f aca="false">-In_Upfront_Fee*$E98*(X97=0)*(X98&gt;0)</f>
        <v>-0</v>
      </c>
      <c r="Y103" s="33" t="n">
        <f aca="false">-In_Upfront_Fee*$E98*(Y97=0)*(Y98&gt;0)</f>
        <v>-0</v>
      </c>
      <c r="Z103" s="33" t="n">
        <f aca="false">-In_Upfront_Fee*$E98*(Z97=0)*(Z98&gt;0)</f>
        <v>-0</v>
      </c>
      <c r="AA103" s="33" t="n">
        <f aca="false">-In_Upfront_Fee*$E98*(AA97=0)*(AA98&gt;0)</f>
        <v>-0</v>
      </c>
      <c r="AB103" s="33" t="n">
        <f aca="false">-In_Upfront_Fee*$E98*(AB97=0)*(AB98&gt;0)</f>
        <v>-0</v>
      </c>
      <c r="AC103" s="33" t="n">
        <f aca="false">-In_Upfront_Fee*$E98*(AC97=0)*(AC98&gt;0)</f>
        <v>-0</v>
      </c>
      <c r="AD103" s="33" t="n">
        <f aca="false">-In_Upfront_Fee*$E98*(AD97=0)*(AD98&gt;0)</f>
        <v>-0</v>
      </c>
      <c r="AE103" s="33" t="n">
        <f aca="false">-In_Upfront_Fee*$E98*(AE97=0)*(AE98&gt;0)</f>
        <v>-0</v>
      </c>
      <c r="AF103" s="33" t="n">
        <f aca="false">-In_Upfront_Fee*$E98*(AF97=0)*(AF98&gt;0)</f>
        <v>-0</v>
      </c>
      <c r="AG103" s="33" t="n">
        <f aca="false">-In_Upfront_Fee*$E98*(AG97=0)*(AG98&gt;0)</f>
        <v>-0</v>
      </c>
      <c r="AH103" s="33" t="n">
        <f aca="false">-In_Upfront_Fee*$E98*(AH97=0)*(AH98&gt;0)</f>
        <v>-0</v>
      </c>
      <c r="AI103" s="33" t="n">
        <f aca="false">-In_Upfront_Fee*$E98*(AI97=0)*(AI98&gt;0)</f>
        <v>-0</v>
      </c>
      <c r="AJ103" s="33" t="n">
        <f aca="false">-In_Upfront_Fee*$E98*(AJ97=0)*(AJ98&gt;0)</f>
        <v>-0</v>
      </c>
      <c r="AK103" s="33" t="n">
        <f aca="false">-In_Upfront_Fee*$E98*(AK97=0)*(AK98&gt;0)</f>
        <v>-0</v>
      </c>
      <c r="AL103" s="33" t="n">
        <f aca="false">-In_Upfront_Fee*$E98*(AL97=0)*(AL98&gt;0)</f>
        <v>-0</v>
      </c>
      <c r="AM103" s="33" t="n">
        <f aca="false">-In_Upfront_Fee*$E98*(AM97=0)*(AM98&gt;0)</f>
        <v>-0</v>
      </c>
      <c r="AN103" s="33" t="n">
        <f aca="false">-In_Upfront_Fee*$E98*(AN97=0)*(AN98&gt;0)</f>
        <v>-0</v>
      </c>
      <c r="AO103" s="33" t="n">
        <f aca="false">-In_Upfront_Fee*$E98*(AO97=0)*(AO98&gt;0)</f>
        <v>-0</v>
      </c>
      <c r="AP103" s="33" t="n">
        <f aca="false">-In_Upfront_Fee*$E98*(AP97=0)*(AP98&gt;0)</f>
        <v>-0</v>
      </c>
      <c r="AQ103" s="33" t="n">
        <f aca="false">-In_Upfront_Fee*$E98*(AQ97=0)*(AQ98&gt;0)</f>
        <v>-0</v>
      </c>
      <c r="AR103" s="33" t="n">
        <f aca="false">-In_Upfront_Fee*$E98*(AR97=0)*(AR98&gt;0)</f>
        <v>-0</v>
      </c>
      <c r="AS103" s="33" t="n">
        <f aca="false">-In_Upfront_Fee*$E98*(AS97=0)*(AS98&gt;0)</f>
        <v>-0</v>
      </c>
      <c r="AT103" s="33" t="n">
        <f aca="false">-In_Upfront_Fee*$E98*(AT97=0)*(AT98&gt;0)</f>
        <v>-0</v>
      </c>
      <c r="AU103" s="33" t="n">
        <f aca="false">-In_Upfront_Fee*$E98*(AU97=0)*(AU98&gt;0)</f>
        <v>-0</v>
      </c>
      <c r="AV103" s="33" t="n">
        <f aca="false">-In_Upfront_Fee*$E98*(AV97=0)*(AV98&gt;0)</f>
        <v>-0</v>
      </c>
      <c r="AW103" s="33" t="n">
        <f aca="false">-In_Upfront_Fee*$E98*(AW97=0)*(AW98&gt;0)</f>
        <v>-0</v>
      </c>
      <c r="AX103" s="33" t="n">
        <f aca="false">-In_Upfront_Fee*$E98*(AX97=0)*(AX98&gt;0)</f>
        <v>-0</v>
      </c>
      <c r="AY103" s="33" t="n">
        <f aca="false">-In_Upfront_Fee*$E98*(AY97=0)*(AY98&gt;0)</f>
        <v>-0</v>
      </c>
      <c r="AZ103" s="33" t="n">
        <f aca="false">-In_Upfront_Fee*$E98*(AZ97=0)*(AZ98&gt;0)</f>
        <v>-0</v>
      </c>
      <c r="BA103" s="33" t="n">
        <f aca="false">-In_Upfront_Fee*$E98*(BA97=0)*(BA98&gt;0)</f>
        <v>-0</v>
      </c>
      <c r="BB103" s="33" t="n">
        <f aca="false">-In_Upfront_Fee*$E98*(BB97=0)*(BB98&gt;0)</f>
        <v>-0</v>
      </c>
      <c r="BC103" s="33" t="n">
        <f aca="false">-In_Upfront_Fee*$E98*(BC97=0)*(BC98&gt;0)</f>
        <v>-0</v>
      </c>
      <c r="BD103" s="33" t="n">
        <f aca="false">-In_Upfront_Fee*$E98*(BD97=0)*(BD98&gt;0)</f>
        <v>-0</v>
      </c>
      <c r="BE103" s="33" t="n">
        <f aca="false">-In_Upfront_Fee*$E98*(BE97=0)*(BE98&gt;0)</f>
        <v>-0</v>
      </c>
      <c r="BF103" s="33" t="n">
        <f aca="false">-In_Upfront_Fee*$E98*(BF97=0)*(BF98&gt;0)</f>
        <v>-0</v>
      </c>
      <c r="BG103" s="33" t="n">
        <f aca="false">-In_Upfront_Fee*$E98*(BG97=0)*(BG98&gt;0)</f>
        <v>-0</v>
      </c>
      <c r="BH103" s="33" t="n">
        <f aca="false">-In_Upfront_Fee*$E98*(BH97=0)*(BH98&gt;0)</f>
        <v>-0</v>
      </c>
      <c r="BI103" s="33" t="n">
        <f aca="false">-In_Upfront_Fee*$E98*(BI97=0)*(BI98&gt;0)</f>
        <v>-0</v>
      </c>
      <c r="BJ103" s="33" t="n">
        <f aca="false">-In_Upfront_Fee*$E98*(BJ97=0)*(BJ98&gt;0)</f>
        <v>-0</v>
      </c>
      <c r="BK103" s="33" t="n">
        <f aca="false">-In_Upfront_Fee*$E98*(BK97=0)*(BK98&gt;0)</f>
        <v>-0</v>
      </c>
      <c r="BL103" s="33" t="n">
        <f aca="false">-In_Upfront_Fee*$E98*(BL97=0)*(BL98&gt;0)</f>
        <v>-0</v>
      </c>
      <c r="BM103" s="33" t="n">
        <f aca="false">-In_Upfront_Fee*$E98*(BM97=0)*(BM98&gt;0)</f>
        <v>-0</v>
      </c>
      <c r="BN103" s="33" t="n">
        <f aca="false">-In_Upfront_Fee*$E98*(BN97=0)*(BN98&gt;0)</f>
        <v>-0</v>
      </c>
      <c r="BO103" s="33" t="n">
        <f aca="false">-In_Upfront_Fee*$E98*(BO97=0)*(BO98&gt;0)</f>
        <v>-0</v>
      </c>
      <c r="BP103" s="33" t="n">
        <f aca="false">-In_Upfront_Fee*$E98*(BP97=0)*(BP98&gt;0)</f>
        <v>-0</v>
      </c>
      <c r="BQ103" s="33" t="n">
        <f aca="false">-In_Upfront_Fee*$E98*(BQ97=0)*(BQ98&gt;0)</f>
        <v>-0</v>
      </c>
      <c r="BR103" s="33" t="n">
        <f aca="false">-In_Upfront_Fee*$E98*(BR97=0)*(BR98&gt;0)</f>
        <v>-0</v>
      </c>
      <c r="BS103" s="33" t="n">
        <f aca="false">-In_Upfront_Fee*$E98*(BS97=0)*(BS98&gt;0)</f>
        <v>-0</v>
      </c>
      <c r="BT103" s="33" t="n">
        <f aca="false">-In_Upfront_Fee*$E98*(BT97=0)*(BT98&gt;0)</f>
        <v>-0</v>
      </c>
      <c r="BU103" s="33" t="n">
        <f aca="false">-In_Upfront_Fee*$E98*(BU97=0)*(BU98&gt;0)</f>
        <v>-0</v>
      </c>
      <c r="BV103" s="33" t="n">
        <f aca="false">-In_Upfront_Fee*$E98*(BV97=0)*(BV98&gt;0)</f>
        <v>-0</v>
      </c>
      <c r="BW103" s="33" t="n">
        <f aca="false">-In_Upfront_Fee*$E98*(BW97=0)*(BW98&gt;0)</f>
        <v>-0</v>
      </c>
      <c r="BX103" s="33" t="n">
        <f aca="false">-In_Upfront_Fee*$E98*(BX97=0)*(BX98&gt;0)</f>
        <v>-0</v>
      </c>
      <c r="BY103" s="33" t="n">
        <f aca="false">-In_Upfront_Fee*$E98*(BY97=0)*(BY98&gt;0)</f>
        <v>-0</v>
      </c>
      <c r="BZ103" s="33" t="n">
        <f aca="false">-In_Upfront_Fee*$E98*(BZ97=0)*(BZ98&gt;0)</f>
        <v>-0</v>
      </c>
      <c r="CA103" s="33" t="n">
        <f aca="false">-In_Upfront_Fee*$E98*(CA97=0)*(CA98&gt;0)</f>
        <v>-0</v>
      </c>
      <c r="CB103" s="33" t="n">
        <f aca="false">-In_Upfront_Fee*$E98*(CB97=0)*(CB98&gt;0)</f>
        <v>-0</v>
      </c>
      <c r="CC103" s="33" t="n">
        <f aca="false">-In_Upfront_Fee*$E98*(CC97=0)*(CC98&gt;0)</f>
        <v>-0</v>
      </c>
      <c r="CD103" s="33" t="n">
        <f aca="false">-In_Upfront_Fee*$E98*(CD97=0)*(CD98&gt;0)</f>
        <v>-0</v>
      </c>
      <c r="CE103" s="33" t="n">
        <f aca="false">-In_Upfront_Fee*$E98*(CE97=0)*(CE98&gt;0)</f>
        <v>-0</v>
      </c>
      <c r="CF103" s="33" t="n">
        <f aca="false">-In_Upfront_Fee*$E98*(CF97=0)*(CF98&gt;0)</f>
        <v>-0</v>
      </c>
      <c r="CG103" s="33" t="n">
        <f aca="false">-In_Upfront_Fee*$E98*(CG97=0)*(CG98&gt;0)</f>
        <v>-0</v>
      </c>
      <c r="CH103" s="33" t="n">
        <f aca="false">-In_Upfront_Fee*$E98*(CH97=0)*(CH98&gt;0)</f>
        <v>-0</v>
      </c>
      <c r="CI103" s="33" t="n">
        <f aca="false">-In_Upfront_Fee*$E98*(CI97=0)*(CI98&gt;0)</f>
        <v>-0</v>
      </c>
      <c r="CJ103" s="33" t="n">
        <f aca="false">-In_Upfront_Fee*$E98*(CJ97=0)*(CJ98&gt;0)</f>
        <v>-0</v>
      </c>
      <c r="CK103" s="33" t="n">
        <f aca="false">-In_Upfront_Fee*$E98*(CK97=0)*(CK98&gt;0)</f>
        <v>-0</v>
      </c>
      <c r="CL103" s="33" t="n">
        <f aca="false">-In_Upfront_Fee*$E98*(CL97=0)*(CL98&gt;0)</f>
        <v>-0</v>
      </c>
      <c r="CM103" s="33" t="n">
        <f aca="false">-In_Upfront_Fee*$E98*(CM97=0)*(CM98&gt;0)</f>
        <v>-0</v>
      </c>
      <c r="CN103" s="33" t="n">
        <f aca="false">-In_Upfront_Fee*$E98*(CN97=0)*(CN98&gt;0)</f>
        <v>-0</v>
      </c>
      <c r="CO103" s="33" t="n">
        <f aca="false">-In_Upfront_Fee*$E98*(CO97=0)*(CO98&gt;0)</f>
        <v>-0</v>
      </c>
      <c r="CP103" s="33" t="n">
        <f aca="false">-In_Upfront_Fee*$E98*(CP97=0)*(CP98&gt;0)</f>
        <v>-0</v>
      </c>
      <c r="CQ103" s="33" t="n">
        <f aca="false">-In_Upfront_Fee*$E98*(CQ97=0)*(CQ98&gt;0)</f>
        <v>-0</v>
      </c>
      <c r="CR103" s="33" t="n">
        <f aca="false">-In_Upfront_Fee*$E98*(CR97=0)*(CR98&gt;0)</f>
        <v>-0</v>
      </c>
      <c r="CS103" s="33" t="n">
        <f aca="false">-In_Upfront_Fee*$E98*(CS97=0)*(CS98&gt;0)</f>
        <v>-0</v>
      </c>
      <c r="CT103" s="33" t="n">
        <f aca="false">-In_Upfront_Fee*$E98*(CT97=0)*(CT98&gt;0)</f>
        <v>-0</v>
      </c>
      <c r="CU103" s="33" t="n">
        <f aca="false">-In_Upfront_Fee*$E98*(CU97=0)*(CU98&gt;0)</f>
        <v>-0</v>
      </c>
      <c r="CV103" s="33" t="n">
        <f aca="false">-In_Upfront_Fee*$E98*(CV97=0)*(CV98&gt;0)</f>
        <v>-0</v>
      </c>
      <c r="CW103" s="33" t="n">
        <f aca="false">-In_Upfront_Fee*$E98*(CW97=0)*(CW98&gt;0)</f>
        <v>-0</v>
      </c>
      <c r="CX103" s="33" t="n">
        <f aca="false">-In_Upfront_Fee*$E98*(CX97=0)*(CX98&gt;0)</f>
        <v>-0</v>
      </c>
      <c r="CY103" s="33" t="n">
        <f aca="false">-In_Upfront_Fee*$E98*(CY97=0)*(CY98&gt;0)</f>
        <v>-0</v>
      </c>
      <c r="CZ103" s="33" t="n">
        <f aca="false">-In_Upfront_Fee*$E98*(CZ97=0)*(CZ98&gt;0)</f>
        <v>-0</v>
      </c>
      <c r="DA103" s="33" t="n">
        <f aca="false">-In_Upfront_Fee*$E98*(DA97=0)*(DA98&gt;0)</f>
        <v>-0</v>
      </c>
      <c r="DB103" s="33" t="n">
        <f aca="false">-In_Upfront_Fee*$E98*(DB97=0)*(DB98&gt;0)</f>
        <v>-0</v>
      </c>
      <c r="DC103" s="33" t="n">
        <f aca="false">-In_Upfront_Fee*$E98*(DC97=0)*(DC98&gt;0)</f>
        <v>-0</v>
      </c>
      <c r="DD103" s="33" t="n">
        <f aca="false">-In_Upfront_Fee*$E98*(DD97=0)*(DD98&gt;0)</f>
        <v>-0</v>
      </c>
      <c r="DE103" s="33" t="n">
        <f aca="false">-In_Upfront_Fee*$E98*(DE97=0)*(DE98&gt;0)</f>
        <v>-0</v>
      </c>
      <c r="DF103" s="33" t="n">
        <f aca="false">-In_Upfront_Fee*$E98*(DF97=0)*(DF98&gt;0)</f>
        <v>-0</v>
      </c>
      <c r="DG103" s="33" t="n">
        <f aca="false">-In_Upfront_Fee*$E98*(DG97=0)*(DG98&gt;0)</f>
        <v>-0</v>
      </c>
      <c r="DH103" s="33" t="n">
        <f aca="false">-In_Upfront_Fee*$E98*(DH97=0)*(DH98&gt;0)</f>
        <v>-0</v>
      </c>
      <c r="DI103" s="33" t="n">
        <f aca="false">-In_Upfront_Fee*$E98*(DI97=0)*(DI98&gt;0)</f>
        <v>-0</v>
      </c>
      <c r="DJ103" s="33" t="n">
        <f aca="false">-In_Upfront_Fee*$E98*(DJ97=0)*(DJ98&gt;0)</f>
        <v>-0</v>
      </c>
      <c r="DK103" s="33" t="n">
        <f aca="false">-In_Upfront_Fee*$E98*(DK97=0)*(DK98&gt;0)</f>
        <v>-0</v>
      </c>
      <c r="DL103" s="33" t="n">
        <f aca="false">-In_Upfront_Fee*$E98*(DL97=0)*(DL98&gt;0)</f>
        <v>-0</v>
      </c>
      <c r="DM103" s="33" t="n">
        <f aca="false">-In_Upfront_Fee*$E98*(DM97=0)*(DM98&gt;0)</f>
        <v>-0</v>
      </c>
      <c r="DN103" s="33" t="n">
        <f aca="false">-In_Upfront_Fee*$E98*(DN97=0)*(DN98&gt;0)</f>
        <v>-0</v>
      </c>
      <c r="DO103" s="33" t="n">
        <f aca="false">-In_Upfront_Fee*$E98*(DO97=0)*(DO98&gt;0)</f>
        <v>-0</v>
      </c>
      <c r="DP103" s="33" t="n">
        <f aca="false">-In_Upfront_Fee*$E98*(DP97=0)*(DP98&gt;0)</f>
        <v>-0</v>
      </c>
      <c r="DQ103" s="33" t="n">
        <f aca="false">-In_Upfront_Fee*$E98*(DQ97=0)*(DQ98&gt;0)</f>
        <v>-0</v>
      </c>
      <c r="DR103" s="33" t="n">
        <f aca="false">-In_Upfront_Fee*$E98*(DR97=0)*(DR98&gt;0)</f>
        <v>-0</v>
      </c>
      <c r="DS103" s="33" t="n">
        <f aca="false">-In_Upfront_Fee*$E98*(DS97=0)*(DS98&gt;0)</f>
        <v>-0</v>
      </c>
      <c r="DT103" s="33" t="n">
        <f aca="false">-In_Upfront_Fee*$E98*(DT97=0)*(DT98&gt;0)</f>
        <v>-0</v>
      </c>
      <c r="DU103" s="33" t="n">
        <f aca="false">-In_Upfront_Fee*$E98*(DU97=0)*(DU98&gt;0)</f>
        <v>-0</v>
      </c>
      <c r="DV103" s="33" t="n">
        <f aca="false">-In_Upfront_Fee*$E98*(DV97=0)*(DV98&gt;0)</f>
        <v>-0</v>
      </c>
      <c r="DW103" s="33" t="n">
        <f aca="false">-In_Upfront_Fee*$E98*(DW97=0)*(DW98&gt;0)</f>
        <v>-0</v>
      </c>
      <c r="DX103" s="33" t="n">
        <f aca="false">-In_Upfront_Fee*$E98*(DX97=0)*(DX98&gt;0)</f>
        <v>-0</v>
      </c>
      <c r="DY103" s="33" t="n">
        <f aca="false">-In_Upfront_Fee*$E98*(DY97=0)*(DY98&gt;0)</f>
        <v>-0</v>
      </c>
      <c r="DZ103" s="33" t="n">
        <f aca="false">-In_Upfront_Fee*$E98*(DZ97=0)*(DZ98&gt;0)</f>
        <v>-0</v>
      </c>
      <c r="EA103" s="33" t="n">
        <f aca="false">-In_Upfront_Fee*$E98*(EA97=0)*(EA98&gt;0)</f>
        <v>-0</v>
      </c>
      <c r="EB103" s="33" t="n">
        <f aca="false">-In_Upfront_Fee*$E98*(EB97=0)*(EB98&gt;0)</f>
        <v>-0</v>
      </c>
      <c r="EC103" s="33" t="n">
        <f aca="false">-In_Upfront_Fee*$E98*(EC97=0)*(EC98&gt;0)</f>
        <v>-0</v>
      </c>
      <c r="ED103" s="33" t="n">
        <f aca="false">-In_Upfront_Fee*$E98*(ED97=0)*(ED98&gt;0)</f>
        <v>-0</v>
      </c>
      <c r="EE103" s="33" t="n">
        <f aca="false">-In_Upfront_Fee*$E98*(EE97=0)*(EE98&gt;0)</f>
        <v>-0</v>
      </c>
      <c r="EF103" s="33" t="n">
        <f aca="false">-In_Upfront_Fee*$E98*(EF97=0)*(EF98&gt;0)</f>
        <v>-0</v>
      </c>
      <c r="EG103" s="33" t="n">
        <f aca="false">-In_Upfront_Fee*$E98*(EG97=0)*(EG98&gt;0)</f>
        <v>-0</v>
      </c>
      <c r="EH103" s="33" t="n">
        <f aca="false">-In_Upfront_Fee*$E98*(EH97=0)*(EH98&gt;0)</f>
        <v>-0</v>
      </c>
      <c r="EI103" s="33" t="n">
        <f aca="false">-In_Upfront_Fee*$E98*(EI97=0)*(EI98&gt;0)</f>
        <v>-0</v>
      </c>
      <c r="EJ103" s="33" t="n">
        <f aca="false">-In_Upfront_Fee*$E98*(EJ97=0)*(EJ98&gt;0)</f>
        <v>-0</v>
      </c>
      <c r="EK103" s="33" t="n">
        <f aca="false">-In_Upfront_Fee*$E98*(EK97=0)*(EK98&gt;0)</f>
        <v>-0</v>
      </c>
      <c r="EL103" s="33" t="n">
        <f aca="false">-In_Upfront_Fee*$E98*(EL97=0)*(EL98&gt;0)</f>
        <v>-0</v>
      </c>
      <c r="EM103" s="33" t="n">
        <f aca="false">-In_Upfront_Fee*$E98*(EM97=0)*(EM98&gt;0)</f>
        <v>-0</v>
      </c>
      <c r="EN103" s="33" t="n">
        <f aca="false">-In_Upfront_Fee*$E98*(EN97=0)*(EN98&gt;0)</f>
        <v>-0</v>
      </c>
      <c r="EO103" s="33" t="n">
        <f aca="false">-In_Upfront_Fee*$E98*(EO97=0)*(EO98&gt;0)</f>
        <v>-0</v>
      </c>
      <c r="EP103" s="33" t="n">
        <f aca="false">-In_Upfront_Fee*$E98*(EP97=0)*(EP98&gt;0)</f>
        <v>-0</v>
      </c>
      <c r="EQ103" s="33" t="n">
        <f aca="false">-In_Upfront_Fee*$E98*(EQ97=0)*(EQ98&gt;0)</f>
        <v>-0</v>
      </c>
      <c r="ER103" s="33" t="n">
        <f aca="false">-In_Upfront_Fee*$E98*(ER97=0)*(ER98&gt;0)</f>
        <v>-0</v>
      </c>
      <c r="ES103" s="33" t="n">
        <f aca="false">-In_Upfront_Fee*$E98*(ES97=0)*(ES98&gt;0)</f>
        <v>-0</v>
      </c>
      <c r="ET103" s="33" t="n">
        <f aca="false">-In_Upfront_Fee*$E98*(ET97=0)*(ET98&gt;0)</f>
        <v>-0</v>
      </c>
    </row>
    <row r="104" customFormat="false" ht="15" hidden="false" customHeight="false" outlineLevel="0" collapsed="false">
      <c r="C104" s="0" t="s">
        <v>551</v>
      </c>
      <c r="D104" s="11" t="s">
        <v>247</v>
      </c>
      <c r="I104" s="33" t="n">
        <f aca="false">SUM(J104:ET104)</f>
        <v>-913.046779829394</v>
      </c>
      <c r="J104" s="33" t="n">
        <f aca="false">-In_Commitment_Fee*($E98-SUM($J98:J98)+J98)*J$6*(J13&gt;0)</f>
        <v>-0</v>
      </c>
      <c r="K104" s="33" t="n">
        <f aca="false">-In_Commitment_Fee*($E98-SUM($J98:K98)+K98)*K$6*(K13&gt;0)</f>
        <v>-0</v>
      </c>
      <c r="L104" s="33" t="n">
        <f aca="false">-In_Commitment_Fee*($E98-SUM($J98:L98)+L98)*L$6*(L13&gt;0)</f>
        <v>-0</v>
      </c>
      <c r="M104" s="33" t="n">
        <f aca="false">-In_Commitment_Fee*($E98-SUM($J98:M98)+M98)*M$6*(M13&gt;0)</f>
        <v>-0</v>
      </c>
      <c r="N104" s="33" t="n">
        <f aca="false">-In_Commitment_Fee*($E98-SUM($J98:N98)+N98)*N$6*(N13&gt;0)</f>
        <v>-0</v>
      </c>
      <c r="O104" s="33" t="n">
        <f aca="false">-In_Commitment_Fee*($E98-SUM($J98:O98)+O98)*O$6*(O13&gt;0)</f>
        <v>-0</v>
      </c>
      <c r="P104" s="33" t="n">
        <f aca="false">-In_Commitment_Fee*($E98-SUM($J98:P98)+P98)*P$6*(P13&gt;0)</f>
        <v>-0</v>
      </c>
      <c r="Q104" s="33" t="n">
        <f aca="false">-In_Commitment_Fee*($E98-SUM($J98:Q98)+Q98)*Q$6*(Q13&gt;0)</f>
        <v>-0</v>
      </c>
      <c r="R104" s="33" t="n">
        <f aca="false">-In_Commitment_Fee*($E98-SUM($J98:R98)+R98)*R$6*(R13&gt;0)</f>
        <v>-0</v>
      </c>
      <c r="S104" s="33" t="n">
        <f aca="false">-In_Commitment_Fee*($E98-SUM($J98:S98)+S98)*S$6*(S13&gt;0)</f>
        <v>-0</v>
      </c>
      <c r="T104" s="33" t="n">
        <f aca="false">-In_Commitment_Fee*($E98-SUM($J98:T98)+T98)*T$6*(T13&gt;0)</f>
        <v>-0</v>
      </c>
      <c r="U104" s="33" t="n">
        <f aca="false">-In_Commitment_Fee*($E98-SUM($J98:U98)+U98)*U$6*(U13&gt;0)</f>
        <v>-0</v>
      </c>
      <c r="V104" s="33" t="n">
        <f aca="false">-In_Commitment_Fee*($E98-SUM($J98:V98)+V98)*V$6*(V13&gt;0)</f>
        <v>-0</v>
      </c>
      <c r="W104" s="33" t="n">
        <f aca="false">-In_Commitment_Fee*($E98-SUM($J98:W98)+W98)*W$6*(W13&gt;0)</f>
        <v>-204.56507305316</v>
      </c>
      <c r="X104" s="33" t="n">
        <f aca="false">-In_Commitment_Fee*($E98-SUM($J98:X98)+X98)*X$6*(X13&gt;0)</f>
        <v>-174.897654775349</v>
      </c>
      <c r="Y104" s="33" t="n">
        <f aca="false">-In_Commitment_Fee*($E98-SUM($J98:Y98)+Y98)*Y$6*(Y13&gt;0)</f>
        <v>-151.894744833457</v>
      </c>
      <c r="Z104" s="33" t="n">
        <f aca="false">-In_Commitment_Fee*($E98-SUM($J98:Z98)+Z98)*Z$6*(Z13&gt;0)</f>
        <v>-128.063340253827</v>
      </c>
      <c r="AA104" s="33" t="n">
        <f aca="false">-In_Commitment_Fee*($E98-SUM($J98:AA98)+AA98)*AA$6*(AA13&gt;0)</f>
        <v>-102.28253652658</v>
      </c>
      <c r="AB104" s="33" t="n">
        <f aca="false">-In_Commitment_Fee*($E98-SUM($J98:AB98)+AB98)*AB$6*(AB13&gt;0)</f>
        <v>-74.8386516515207</v>
      </c>
      <c r="AC104" s="33" t="n">
        <f aca="false">-In_Commitment_Fee*($E98-SUM($J98:AC98)+AC98)*AC$6*(AC13&gt;0)</f>
        <v>-50.723975008253</v>
      </c>
      <c r="AD104" s="33" t="n">
        <f aca="false">-In_Commitment_Fee*($E98-SUM($J98:AD98)+AD98)*AD$6*(AD13&gt;0)</f>
        <v>-25.7808037272475</v>
      </c>
      <c r="AE104" s="33" t="n">
        <f aca="false">-In_Commitment_Fee*($E98-SUM($J98:AE98)+AE98)*AE$6*(AE13&gt;0)</f>
        <v>-0</v>
      </c>
      <c r="AF104" s="33" t="n">
        <f aca="false">-In_Commitment_Fee*($E98-SUM($J98:AF98)+AF98)*AF$6*(AF13&gt;0)</f>
        <v>-0</v>
      </c>
      <c r="AG104" s="33" t="n">
        <f aca="false">-In_Commitment_Fee*($E98-SUM($J98:AG98)+AG98)*AG$6*(AG13&gt;0)</f>
        <v>-0</v>
      </c>
      <c r="AH104" s="33" t="n">
        <f aca="false">-In_Commitment_Fee*($E98-SUM($J98:AH98)+AH98)*AH$6*(AH13&gt;0)</f>
        <v>-0</v>
      </c>
      <c r="AI104" s="33" t="n">
        <f aca="false">-In_Commitment_Fee*($E98-SUM($J98:AI98)+AI98)*AI$6*(AI13&gt;0)</f>
        <v>-0</v>
      </c>
      <c r="AJ104" s="33" t="n">
        <f aca="false">-In_Commitment_Fee*($E98-SUM($J98:AJ98)+AJ98)*AJ$6*(AJ13&gt;0)</f>
        <v>-0</v>
      </c>
      <c r="AK104" s="33" t="n">
        <f aca="false">-In_Commitment_Fee*($E98-SUM($J98:AK98)+AK98)*AK$6*(AK13&gt;0)</f>
        <v>-0</v>
      </c>
      <c r="AL104" s="33" t="n">
        <f aca="false">-In_Commitment_Fee*($E98-SUM($J98:AL98)+AL98)*AL$6*(AL13&gt;0)</f>
        <v>-0</v>
      </c>
      <c r="AM104" s="33" t="n">
        <f aca="false">-In_Commitment_Fee*($E98-SUM($J98:AM98)+AM98)*AM$6*(AM13&gt;0)</f>
        <v>-0</v>
      </c>
      <c r="AN104" s="33" t="n">
        <f aca="false">-In_Commitment_Fee*($E98-SUM($J98:AN98)+AN98)*AN$6*(AN13&gt;0)</f>
        <v>-0</v>
      </c>
      <c r="AO104" s="33" t="n">
        <f aca="false">-In_Commitment_Fee*($E98-SUM($J98:AO98)+AO98)*AO$6*(AO13&gt;0)</f>
        <v>-0</v>
      </c>
      <c r="AP104" s="33" t="n">
        <f aca="false">-In_Commitment_Fee*($E98-SUM($J98:AP98)+AP98)*AP$6*(AP13&gt;0)</f>
        <v>-0</v>
      </c>
      <c r="AQ104" s="33" t="n">
        <f aca="false">-In_Commitment_Fee*($E98-SUM($J98:AQ98)+AQ98)*AQ$6*(AQ13&gt;0)</f>
        <v>-0</v>
      </c>
      <c r="AR104" s="33" t="n">
        <f aca="false">-In_Commitment_Fee*($E98-SUM($J98:AR98)+AR98)*AR$6*(AR13&gt;0)</f>
        <v>-0</v>
      </c>
      <c r="AS104" s="33" t="n">
        <f aca="false">-In_Commitment_Fee*($E98-SUM($J98:AS98)+AS98)*AS$6*(AS13&gt;0)</f>
        <v>-0</v>
      </c>
      <c r="AT104" s="33" t="n">
        <f aca="false">-In_Commitment_Fee*($E98-SUM($J98:AT98)+AT98)*AT$6*(AT13&gt;0)</f>
        <v>-0</v>
      </c>
      <c r="AU104" s="33" t="n">
        <f aca="false">-In_Commitment_Fee*($E98-SUM($J98:AU98)+AU98)*AU$6*(AU13&gt;0)</f>
        <v>-0</v>
      </c>
      <c r="AV104" s="33" t="n">
        <f aca="false">-In_Commitment_Fee*($E98-SUM($J98:AV98)+AV98)*AV$6*(AV13&gt;0)</f>
        <v>-0</v>
      </c>
      <c r="AW104" s="33" t="n">
        <f aca="false">-In_Commitment_Fee*($E98-SUM($J98:AW98)+AW98)*AW$6*(AW13&gt;0)</f>
        <v>-0</v>
      </c>
      <c r="AX104" s="33" t="n">
        <f aca="false">-In_Commitment_Fee*($E98-SUM($J98:AX98)+AX98)*AX$6*(AX13&gt;0)</f>
        <v>-0</v>
      </c>
      <c r="AY104" s="33" t="n">
        <f aca="false">-In_Commitment_Fee*($E98-SUM($J98:AY98)+AY98)*AY$6*(AY13&gt;0)</f>
        <v>-0</v>
      </c>
      <c r="AZ104" s="33" t="n">
        <f aca="false">-In_Commitment_Fee*($E98-SUM($J98:AZ98)+AZ98)*AZ$6*(AZ13&gt;0)</f>
        <v>-0</v>
      </c>
      <c r="BA104" s="33" t="n">
        <f aca="false">-In_Commitment_Fee*($E98-SUM($J98:BA98)+BA98)*BA$6*(BA13&gt;0)</f>
        <v>-0</v>
      </c>
      <c r="BB104" s="33" t="n">
        <f aca="false">-In_Commitment_Fee*($E98-SUM($J98:BB98)+BB98)*BB$6*(BB13&gt;0)</f>
        <v>-0</v>
      </c>
      <c r="BC104" s="33" t="n">
        <f aca="false">-In_Commitment_Fee*($E98-SUM($J98:BC98)+BC98)*BC$6*(BC13&gt;0)</f>
        <v>-0</v>
      </c>
      <c r="BD104" s="33" t="n">
        <f aca="false">-In_Commitment_Fee*($E98-SUM($J98:BD98)+BD98)*BD$6*(BD13&gt;0)</f>
        <v>-0</v>
      </c>
      <c r="BE104" s="33" t="n">
        <f aca="false">-In_Commitment_Fee*($E98-SUM($J98:BE98)+BE98)*BE$6*(BE13&gt;0)</f>
        <v>-0</v>
      </c>
      <c r="BF104" s="33" t="n">
        <f aca="false">-In_Commitment_Fee*($E98-SUM($J98:BF98)+BF98)*BF$6*(BF13&gt;0)</f>
        <v>-0</v>
      </c>
      <c r="BG104" s="33" t="n">
        <f aca="false">-In_Commitment_Fee*($E98-SUM($J98:BG98)+BG98)*BG$6*(BG13&gt;0)</f>
        <v>-0</v>
      </c>
      <c r="BH104" s="33" t="n">
        <f aca="false">-In_Commitment_Fee*($E98-SUM($J98:BH98)+BH98)*BH$6*(BH13&gt;0)</f>
        <v>-0</v>
      </c>
      <c r="BI104" s="33" t="n">
        <f aca="false">-In_Commitment_Fee*($E98-SUM($J98:BI98)+BI98)*BI$6*(BI13&gt;0)</f>
        <v>-0</v>
      </c>
      <c r="BJ104" s="33" t="n">
        <f aca="false">-In_Commitment_Fee*($E98-SUM($J98:BJ98)+BJ98)*BJ$6*(BJ13&gt;0)</f>
        <v>-0</v>
      </c>
      <c r="BK104" s="33" t="n">
        <f aca="false">-In_Commitment_Fee*($E98-SUM($J98:BK98)+BK98)*BK$6*(BK13&gt;0)</f>
        <v>-0</v>
      </c>
      <c r="BL104" s="33" t="n">
        <f aca="false">-In_Commitment_Fee*($E98-SUM($J98:BL98)+BL98)*BL$6*(BL13&gt;0)</f>
        <v>-0</v>
      </c>
      <c r="BM104" s="33" t="n">
        <f aca="false">-In_Commitment_Fee*($E98-SUM($J98:BM98)+BM98)*BM$6*(BM13&gt;0)</f>
        <v>-0</v>
      </c>
      <c r="BN104" s="33" t="n">
        <f aca="false">-In_Commitment_Fee*($E98-SUM($J98:BN98)+BN98)*BN$6*(BN13&gt;0)</f>
        <v>-0</v>
      </c>
      <c r="BO104" s="33" t="n">
        <f aca="false">-In_Commitment_Fee*($E98-SUM($J98:BO98)+BO98)*BO$6*(BO13&gt;0)</f>
        <v>-0</v>
      </c>
      <c r="BP104" s="33" t="n">
        <f aca="false">-In_Commitment_Fee*($E98-SUM($J98:BP98)+BP98)*BP$6*(BP13&gt;0)</f>
        <v>-0</v>
      </c>
      <c r="BQ104" s="33" t="n">
        <f aca="false">-In_Commitment_Fee*($E98-SUM($J98:BQ98)+BQ98)*BQ$6*(BQ13&gt;0)</f>
        <v>-0</v>
      </c>
      <c r="BR104" s="33" t="n">
        <f aca="false">-In_Commitment_Fee*($E98-SUM($J98:BR98)+BR98)*BR$6*(BR13&gt;0)</f>
        <v>-0</v>
      </c>
      <c r="BS104" s="33" t="n">
        <f aca="false">-In_Commitment_Fee*($E98-SUM($J98:BS98)+BS98)*BS$6*(BS13&gt;0)</f>
        <v>-0</v>
      </c>
      <c r="BT104" s="33" t="n">
        <f aca="false">-In_Commitment_Fee*($E98-SUM($J98:BT98)+BT98)*BT$6*(BT13&gt;0)</f>
        <v>-0</v>
      </c>
      <c r="BU104" s="33" t="n">
        <f aca="false">-In_Commitment_Fee*($E98-SUM($J98:BU98)+BU98)*BU$6*(BU13&gt;0)</f>
        <v>-0</v>
      </c>
      <c r="BV104" s="33" t="n">
        <f aca="false">-In_Commitment_Fee*($E98-SUM($J98:BV98)+BV98)*BV$6*(BV13&gt;0)</f>
        <v>-0</v>
      </c>
      <c r="BW104" s="33" t="n">
        <f aca="false">-In_Commitment_Fee*($E98-SUM($J98:BW98)+BW98)*BW$6*(BW13&gt;0)</f>
        <v>-0</v>
      </c>
      <c r="BX104" s="33" t="n">
        <f aca="false">-In_Commitment_Fee*($E98-SUM($J98:BX98)+BX98)*BX$6*(BX13&gt;0)</f>
        <v>-0</v>
      </c>
      <c r="BY104" s="33" t="n">
        <f aca="false">-In_Commitment_Fee*($E98-SUM($J98:BY98)+BY98)*BY$6*(BY13&gt;0)</f>
        <v>-0</v>
      </c>
      <c r="BZ104" s="33" t="n">
        <f aca="false">-In_Commitment_Fee*($E98-SUM($J98:BZ98)+BZ98)*BZ$6*(BZ13&gt;0)</f>
        <v>-0</v>
      </c>
      <c r="CA104" s="33" t="n">
        <f aca="false">-In_Commitment_Fee*($E98-SUM($J98:CA98)+CA98)*CA$6*(CA13&gt;0)</f>
        <v>-0</v>
      </c>
      <c r="CB104" s="33" t="n">
        <f aca="false">-In_Commitment_Fee*($E98-SUM($J98:CB98)+CB98)*CB$6*(CB13&gt;0)</f>
        <v>-0</v>
      </c>
      <c r="CC104" s="33" t="n">
        <f aca="false">-In_Commitment_Fee*($E98-SUM($J98:CC98)+CC98)*CC$6*(CC13&gt;0)</f>
        <v>-0</v>
      </c>
      <c r="CD104" s="33" t="n">
        <f aca="false">-In_Commitment_Fee*($E98-SUM($J98:CD98)+CD98)*CD$6*(CD13&gt;0)</f>
        <v>-0</v>
      </c>
      <c r="CE104" s="33" t="n">
        <f aca="false">-In_Commitment_Fee*($E98-SUM($J98:CE98)+CE98)*CE$6*(CE13&gt;0)</f>
        <v>-0</v>
      </c>
      <c r="CF104" s="33" t="n">
        <f aca="false">-In_Commitment_Fee*($E98-SUM($J98:CF98)+CF98)*CF$6*(CF13&gt;0)</f>
        <v>-0</v>
      </c>
      <c r="CG104" s="33" t="n">
        <f aca="false">-In_Commitment_Fee*($E98-SUM($J98:CG98)+CG98)*CG$6*(CG13&gt;0)</f>
        <v>-0</v>
      </c>
      <c r="CH104" s="33" t="n">
        <f aca="false">-In_Commitment_Fee*($E98-SUM($J98:CH98)+CH98)*CH$6*(CH13&gt;0)</f>
        <v>-0</v>
      </c>
      <c r="CI104" s="33" t="n">
        <f aca="false">-In_Commitment_Fee*($E98-SUM($J98:CI98)+CI98)*CI$6*(CI13&gt;0)</f>
        <v>-0</v>
      </c>
      <c r="CJ104" s="33" t="n">
        <f aca="false">-In_Commitment_Fee*($E98-SUM($J98:CJ98)+CJ98)*CJ$6*(CJ13&gt;0)</f>
        <v>-0</v>
      </c>
      <c r="CK104" s="33" t="n">
        <f aca="false">-In_Commitment_Fee*($E98-SUM($J98:CK98)+CK98)*CK$6*(CK13&gt;0)</f>
        <v>-0</v>
      </c>
      <c r="CL104" s="33" t="n">
        <f aca="false">-In_Commitment_Fee*($E98-SUM($J98:CL98)+CL98)*CL$6*(CL13&gt;0)</f>
        <v>-0</v>
      </c>
      <c r="CM104" s="33" t="n">
        <f aca="false">-In_Commitment_Fee*($E98-SUM($J98:CM98)+CM98)*CM$6*(CM13&gt;0)</f>
        <v>-0</v>
      </c>
      <c r="CN104" s="33" t="n">
        <f aca="false">-In_Commitment_Fee*($E98-SUM($J98:CN98)+CN98)*CN$6*(CN13&gt;0)</f>
        <v>-0</v>
      </c>
      <c r="CO104" s="33" t="n">
        <f aca="false">-In_Commitment_Fee*($E98-SUM($J98:CO98)+CO98)*CO$6*(CO13&gt;0)</f>
        <v>-0</v>
      </c>
      <c r="CP104" s="33" t="n">
        <f aca="false">-In_Commitment_Fee*($E98-SUM($J98:CP98)+CP98)*CP$6*(CP13&gt;0)</f>
        <v>-0</v>
      </c>
      <c r="CQ104" s="33" t="n">
        <f aca="false">-In_Commitment_Fee*($E98-SUM($J98:CQ98)+CQ98)*CQ$6*(CQ13&gt;0)</f>
        <v>-0</v>
      </c>
      <c r="CR104" s="33" t="n">
        <f aca="false">-In_Commitment_Fee*($E98-SUM($J98:CR98)+CR98)*CR$6*(CR13&gt;0)</f>
        <v>-0</v>
      </c>
      <c r="CS104" s="33" t="n">
        <f aca="false">-In_Commitment_Fee*($E98-SUM($J98:CS98)+CS98)*CS$6*(CS13&gt;0)</f>
        <v>-0</v>
      </c>
      <c r="CT104" s="33" t="n">
        <f aca="false">-In_Commitment_Fee*($E98-SUM($J98:CT98)+CT98)*CT$6*(CT13&gt;0)</f>
        <v>-0</v>
      </c>
      <c r="CU104" s="33" t="n">
        <f aca="false">-In_Commitment_Fee*($E98-SUM($J98:CU98)+CU98)*CU$6*(CU13&gt;0)</f>
        <v>-0</v>
      </c>
      <c r="CV104" s="33" t="n">
        <f aca="false">-In_Commitment_Fee*($E98-SUM($J98:CV98)+CV98)*CV$6*(CV13&gt;0)</f>
        <v>-0</v>
      </c>
      <c r="CW104" s="33" t="n">
        <f aca="false">-In_Commitment_Fee*($E98-SUM($J98:CW98)+CW98)*CW$6*(CW13&gt;0)</f>
        <v>-0</v>
      </c>
      <c r="CX104" s="33" t="n">
        <f aca="false">-In_Commitment_Fee*($E98-SUM($J98:CX98)+CX98)*CX$6*(CX13&gt;0)</f>
        <v>-0</v>
      </c>
      <c r="CY104" s="33" t="n">
        <f aca="false">-In_Commitment_Fee*($E98-SUM($J98:CY98)+CY98)*CY$6*(CY13&gt;0)</f>
        <v>-0</v>
      </c>
      <c r="CZ104" s="33" t="n">
        <f aca="false">-In_Commitment_Fee*($E98-SUM($J98:CZ98)+CZ98)*CZ$6*(CZ13&gt;0)</f>
        <v>-0</v>
      </c>
      <c r="DA104" s="33" t="n">
        <f aca="false">-In_Commitment_Fee*($E98-SUM($J98:DA98)+DA98)*DA$6*(DA13&gt;0)</f>
        <v>-0</v>
      </c>
      <c r="DB104" s="33" t="n">
        <f aca="false">-In_Commitment_Fee*($E98-SUM($J98:DB98)+DB98)*DB$6*(DB13&gt;0)</f>
        <v>-0</v>
      </c>
      <c r="DC104" s="33" t="n">
        <f aca="false">-In_Commitment_Fee*($E98-SUM($J98:DC98)+DC98)*DC$6*(DC13&gt;0)</f>
        <v>-0</v>
      </c>
      <c r="DD104" s="33" t="n">
        <f aca="false">-In_Commitment_Fee*($E98-SUM($J98:DD98)+DD98)*DD$6*(DD13&gt;0)</f>
        <v>-0</v>
      </c>
      <c r="DE104" s="33" t="n">
        <f aca="false">-In_Commitment_Fee*($E98-SUM($J98:DE98)+DE98)*DE$6*(DE13&gt;0)</f>
        <v>-0</v>
      </c>
      <c r="DF104" s="33" t="n">
        <f aca="false">-In_Commitment_Fee*($E98-SUM($J98:DF98)+DF98)*DF$6*(DF13&gt;0)</f>
        <v>-0</v>
      </c>
      <c r="DG104" s="33" t="n">
        <f aca="false">-In_Commitment_Fee*($E98-SUM($J98:DG98)+DG98)*DG$6*(DG13&gt;0)</f>
        <v>-0</v>
      </c>
      <c r="DH104" s="33" t="n">
        <f aca="false">-In_Commitment_Fee*($E98-SUM($J98:DH98)+DH98)*DH$6*(DH13&gt;0)</f>
        <v>-0</v>
      </c>
      <c r="DI104" s="33" t="n">
        <f aca="false">-In_Commitment_Fee*($E98-SUM($J98:DI98)+DI98)*DI$6*(DI13&gt;0)</f>
        <v>-0</v>
      </c>
      <c r="DJ104" s="33" t="n">
        <f aca="false">-In_Commitment_Fee*($E98-SUM($J98:DJ98)+DJ98)*DJ$6*(DJ13&gt;0)</f>
        <v>-0</v>
      </c>
      <c r="DK104" s="33" t="n">
        <f aca="false">-In_Commitment_Fee*($E98-SUM($J98:DK98)+DK98)*DK$6*(DK13&gt;0)</f>
        <v>-0</v>
      </c>
      <c r="DL104" s="33" t="n">
        <f aca="false">-In_Commitment_Fee*($E98-SUM($J98:DL98)+DL98)*DL$6*(DL13&gt;0)</f>
        <v>-0</v>
      </c>
      <c r="DM104" s="33" t="n">
        <f aca="false">-In_Commitment_Fee*($E98-SUM($J98:DM98)+DM98)*DM$6*(DM13&gt;0)</f>
        <v>-0</v>
      </c>
      <c r="DN104" s="33" t="n">
        <f aca="false">-In_Commitment_Fee*($E98-SUM($J98:DN98)+DN98)*DN$6*(DN13&gt;0)</f>
        <v>-0</v>
      </c>
      <c r="DO104" s="33" t="n">
        <f aca="false">-In_Commitment_Fee*($E98-SUM($J98:DO98)+DO98)*DO$6*(DO13&gt;0)</f>
        <v>-0</v>
      </c>
      <c r="DP104" s="33" t="n">
        <f aca="false">-In_Commitment_Fee*($E98-SUM($J98:DP98)+DP98)*DP$6*(DP13&gt;0)</f>
        <v>-0</v>
      </c>
      <c r="DQ104" s="33" t="n">
        <f aca="false">-In_Commitment_Fee*($E98-SUM($J98:DQ98)+DQ98)*DQ$6*(DQ13&gt;0)</f>
        <v>-0</v>
      </c>
      <c r="DR104" s="33" t="n">
        <f aca="false">-In_Commitment_Fee*($E98-SUM($J98:DR98)+DR98)*DR$6*(DR13&gt;0)</f>
        <v>-0</v>
      </c>
      <c r="DS104" s="33" t="n">
        <f aca="false">-In_Commitment_Fee*($E98-SUM($J98:DS98)+DS98)*DS$6*(DS13&gt;0)</f>
        <v>-0</v>
      </c>
      <c r="DT104" s="33" t="n">
        <f aca="false">-In_Commitment_Fee*($E98-SUM($J98:DT98)+DT98)*DT$6*(DT13&gt;0)</f>
        <v>-0</v>
      </c>
      <c r="DU104" s="33" t="n">
        <f aca="false">-In_Commitment_Fee*($E98-SUM($J98:DU98)+DU98)*DU$6*(DU13&gt;0)</f>
        <v>-0</v>
      </c>
      <c r="DV104" s="33" t="n">
        <f aca="false">-In_Commitment_Fee*($E98-SUM($J98:DV98)+DV98)*DV$6*(DV13&gt;0)</f>
        <v>-0</v>
      </c>
      <c r="DW104" s="33" t="n">
        <f aca="false">-In_Commitment_Fee*($E98-SUM($J98:DW98)+DW98)*DW$6*(DW13&gt;0)</f>
        <v>-0</v>
      </c>
      <c r="DX104" s="33" t="n">
        <f aca="false">-In_Commitment_Fee*($E98-SUM($J98:DX98)+DX98)*DX$6*(DX13&gt;0)</f>
        <v>-0</v>
      </c>
      <c r="DY104" s="33" t="n">
        <f aca="false">-In_Commitment_Fee*($E98-SUM($J98:DY98)+DY98)*DY$6*(DY13&gt;0)</f>
        <v>-0</v>
      </c>
      <c r="DZ104" s="33" t="n">
        <f aca="false">-In_Commitment_Fee*($E98-SUM($J98:DZ98)+DZ98)*DZ$6*(DZ13&gt;0)</f>
        <v>-0</v>
      </c>
      <c r="EA104" s="33" t="n">
        <f aca="false">-In_Commitment_Fee*($E98-SUM($J98:EA98)+EA98)*EA$6*(EA13&gt;0)</f>
        <v>-0</v>
      </c>
      <c r="EB104" s="33" t="n">
        <f aca="false">-In_Commitment_Fee*($E98-SUM($J98:EB98)+EB98)*EB$6*(EB13&gt;0)</f>
        <v>-0</v>
      </c>
      <c r="EC104" s="33" t="n">
        <f aca="false">-In_Commitment_Fee*($E98-SUM($J98:EC98)+EC98)*EC$6*(EC13&gt;0)</f>
        <v>-0</v>
      </c>
      <c r="ED104" s="33" t="n">
        <f aca="false">-In_Commitment_Fee*($E98-SUM($J98:ED98)+ED98)*ED$6*(ED13&gt;0)</f>
        <v>-0</v>
      </c>
      <c r="EE104" s="33" t="n">
        <f aca="false">-In_Commitment_Fee*($E98-SUM($J98:EE98)+EE98)*EE$6*(EE13&gt;0)</f>
        <v>-0</v>
      </c>
      <c r="EF104" s="33" t="n">
        <f aca="false">-In_Commitment_Fee*($E98-SUM($J98:EF98)+EF98)*EF$6*(EF13&gt;0)</f>
        <v>-0</v>
      </c>
      <c r="EG104" s="33" t="n">
        <f aca="false">-In_Commitment_Fee*($E98-SUM($J98:EG98)+EG98)*EG$6*(EG13&gt;0)</f>
        <v>-0</v>
      </c>
      <c r="EH104" s="33" t="n">
        <f aca="false">-In_Commitment_Fee*($E98-SUM($J98:EH98)+EH98)*EH$6*(EH13&gt;0)</f>
        <v>-0</v>
      </c>
      <c r="EI104" s="33" t="n">
        <f aca="false">-In_Commitment_Fee*($E98-SUM($J98:EI98)+EI98)*EI$6*(EI13&gt;0)</f>
        <v>-0</v>
      </c>
      <c r="EJ104" s="33" t="n">
        <f aca="false">-In_Commitment_Fee*($E98-SUM($J98:EJ98)+EJ98)*EJ$6*(EJ13&gt;0)</f>
        <v>-0</v>
      </c>
      <c r="EK104" s="33" t="n">
        <f aca="false">-In_Commitment_Fee*($E98-SUM($J98:EK98)+EK98)*EK$6*(EK13&gt;0)</f>
        <v>-0</v>
      </c>
      <c r="EL104" s="33" t="n">
        <f aca="false">-In_Commitment_Fee*($E98-SUM($J98:EL98)+EL98)*EL$6*(EL13&gt;0)</f>
        <v>-0</v>
      </c>
      <c r="EM104" s="33" t="n">
        <f aca="false">-In_Commitment_Fee*($E98-SUM($J98:EM98)+EM98)*EM$6*(EM13&gt;0)</f>
        <v>-0</v>
      </c>
      <c r="EN104" s="33" t="n">
        <f aca="false">-In_Commitment_Fee*($E98-SUM($J98:EN98)+EN98)*EN$6*(EN13&gt;0)</f>
        <v>-0</v>
      </c>
      <c r="EO104" s="33" t="n">
        <f aca="false">-In_Commitment_Fee*($E98-SUM($J98:EO98)+EO98)*EO$6*(EO13&gt;0)</f>
        <v>-0</v>
      </c>
      <c r="EP104" s="33" t="n">
        <f aca="false">-In_Commitment_Fee*($E98-SUM($J98:EP98)+EP98)*EP$6*(EP13&gt;0)</f>
        <v>-0</v>
      </c>
      <c r="EQ104" s="33" t="n">
        <f aca="false">-In_Commitment_Fee*($E98-SUM($J98:EQ98)+EQ98)*EQ$6*(EQ13&gt;0)</f>
        <v>-0</v>
      </c>
      <c r="ER104" s="33" t="n">
        <f aca="false">-In_Commitment_Fee*($E98-SUM($J98:ER98)+ER98)*ER$6*(ER13&gt;0)</f>
        <v>-0</v>
      </c>
      <c r="ES104" s="33" t="n">
        <f aca="false">-In_Commitment_Fee*($E98-SUM($J98:ES98)+ES98)*ES$6*(ES13&gt;0)</f>
        <v>-0</v>
      </c>
      <c r="ET104" s="33" t="n">
        <f aca="false">-In_Commitment_Fee*($E98-SUM($J98:ET98)+ET98)*ET$6*(ET13&gt;0)</f>
        <v>-0</v>
      </c>
    </row>
    <row r="105" customFormat="false" ht="15" hidden="false" customHeight="false" outlineLevel="0" collapsed="false">
      <c r="C105" s="30" t="s">
        <v>552</v>
      </c>
      <c r="D105" s="11" t="s">
        <v>247</v>
      </c>
      <c r="I105" s="35" t="n">
        <f aca="false">SUM(J105:ET105)</f>
        <v>-152785.525255835</v>
      </c>
      <c r="J105" s="35" t="n">
        <f aca="false">J94+J53+J95+J103+J104</f>
        <v>-0</v>
      </c>
      <c r="K105" s="35" t="n">
        <f aca="false">K94+K53+K95+K103+K104</f>
        <v>-0</v>
      </c>
      <c r="L105" s="35" t="n">
        <f aca="false">L94+L53+L95+L103+L104</f>
        <v>-0</v>
      </c>
      <c r="M105" s="35" t="n">
        <f aca="false">M94+M53+M95+M103+M104</f>
        <v>-0</v>
      </c>
      <c r="N105" s="35" t="n">
        <f aca="false">N94+N53+N95+N103+N104</f>
        <v>-0</v>
      </c>
      <c r="O105" s="35" t="n">
        <f aca="false">O94+O53+O95+O103+O104</f>
        <v>-0</v>
      </c>
      <c r="P105" s="35" t="n">
        <f aca="false">P94+P53+P95+P103+P104</f>
        <v>-0</v>
      </c>
      <c r="Q105" s="35" t="n">
        <f aca="false">Q94+Q53+Q95+Q103+Q104</f>
        <v>-0</v>
      </c>
      <c r="R105" s="35" t="n">
        <f aca="false">R94+R53+R95+R103+R104</f>
        <v>-0</v>
      </c>
      <c r="S105" s="35" t="n">
        <f aca="false">S94+S53+S95+S103+S104</f>
        <v>-0</v>
      </c>
      <c r="T105" s="35" t="n">
        <f aca="false">T94+T53+T95+T103+T104</f>
        <v>-20179.3874082192</v>
      </c>
      <c r="U105" s="35" t="n">
        <f aca="false">U94+U53+U95+U103+U104</f>
        <v>-0</v>
      </c>
      <c r="V105" s="35" t="n">
        <f aca="false">V94+V53+V95+V103+V104</f>
        <v>-0</v>
      </c>
      <c r="W105" s="35" t="n">
        <f aca="false">W94+W53+W95+W103+W104</f>
        <v>-17550.5739490586</v>
      </c>
      <c r="X105" s="35" t="n">
        <f aca="false">X94+X53+X95+X103+X104</f>
        <v>-15600.0346410767</v>
      </c>
      <c r="Y105" s="35" t="n">
        <f aca="false">Y94+Y53+Y95+Y103+Y104</f>
        <v>-15748.4221420937</v>
      </c>
      <c r="Z105" s="35" t="n">
        <f aca="false">Z94+Z53+Z95+Z103+Z104</f>
        <v>-15895.981148473</v>
      </c>
      <c r="AA105" s="35" t="n">
        <f aca="false">AA94+AA53+AA95+AA103+AA104</f>
        <v>-15870.2003447458</v>
      </c>
      <c r="AB105" s="35" t="n">
        <f aca="false">AB94+AB53+AB95+AB103+AB104</f>
        <v>-15499.9756379529</v>
      </c>
      <c r="AC105" s="35" t="n">
        <f aca="false">AC94+AC53+AC95+AC103+AC104</f>
        <v>-15647.2513722685</v>
      </c>
      <c r="AD105" s="35" t="n">
        <f aca="false">AD94+AD53+AD95+AD103+AD104</f>
        <v>-20793.6986119464</v>
      </c>
      <c r="AE105" s="35" t="n">
        <f aca="false">AE94+AE53+AE95+AE103+AE104</f>
        <v>-0</v>
      </c>
      <c r="AF105" s="35" t="n">
        <f aca="false">AF94+AF53+AF95+AF103+AF104</f>
        <v>-0</v>
      </c>
      <c r="AG105" s="35" t="n">
        <f aca="false">AG94+AG53+AG95+AG103+AG104</f>
        <v>-0</v>
      </c>
      <c r="AH105" s="35" t="n">
        <f aca="false">AH94+AH53+AH95+AH103+AH104</f>
        <v>-0</v>
      </c>
      <c r="AI105" s="35" t="n">
        <f aca="false">AI94+AI53+AI95+AI103+AI104</f>
        <v>-0</v>
      </c>
      <c r="AJ105" s="35" t="n">
        <f aca="false">AJ94+AJ53+AJ95+AJ103+AJ104</f>
        <v>-0</v>
      </c>
      <c r="AK105" s="35" t="n">
        <f aca="false">AK94+AK53+AK95+AK103+AK104</f>
        <v>-0</v>
      </c>
      <c r="AL105" s="35" t="n">
        <f aca="false">AL94+AL53+AL95+AL103+AL104</f>
        <v>-0</v>
      </c>
      <c r="AM105" s="35" t="n">
        <f aca="false">AM94+AM53+AM95+AM103+AM104</f>
        <v>-0</v>
      </c>
      <c r="AN105" s="35" t="n">
        <f aca="false">AN94+AN53+AN95+AN103+AN104</f>
        <v>-0</v>
      </c>
      <c r="AO105" s="35" t="n">
        <f aca="false">AO94+AO53+AO95+AO103+AO104</f>
        <v>-0</v>
      </c>
      <c r="AP105" s="35" t="n">
        <f aca="false">AP94+AP53+AP95+AP103+AP104</f>
        <v>-0</v>
      </c>
      <c r="AQ105" s="35" t="n">
        <f aca="false">AQ94+AQ53+AQ95+AQ103+AQ104</f>
        <v>-0</v>
      </c>
      <c r="AR105" s="35" t="n">
        <f aca="false">AR94+AR53+AR95+AR103+AR104</f>
        <v>-0</v>
      </c>
      <c r="AS105" s="35" t="n">
        <f aca="false">AS94+AS53+AS95+AS103+AS104</f>
        <v>-0</v>
      </c>
      <c r="AT105" s="35" t="n">
        <f aca="false">AT94+AT53+AT95+AT103+AT104</f>
        <v>-0</v>
      </c>
      <c r="AU105" s="35" t="n">
        <f aca="false">AU94+AU53+AU95+AU103+AU104</f>
        <v>-0</v>
      </c>
      <c r="AV105" s="35" t="n">
        <f aca="false">AV94+AV53+AV95+AV103+AV104</f>
        <v>-0</v>
      </c>
      <c r="AW105" s="35" t="n">
        <f aca="false">AW94+AW53+AW95+AW103+AW104</f>
        <v>-0</v>
      </c>
      <c r="AX105" s="35" t="n">
        <f aca="false">AX94+AX53+AX95+AX103+AX104</f>
        <v>-0</v>
      </c>
      <c r="AY105" s="35" t="n">
        <f aca="false">AY94+AY53+AY95+AY103+AY104</f>
        <v>-0</v>
      </c>
      <c r="AZ105" s="35" t="n">
        <f aca="false">AZ94+AZ53+AZ95+AZ103+AZ104</f>
        <v>-0</v>
      </c>
      <c r="BA105" s="35" t="n">
        <f aca="false">BA94+BA53+BA95+BA103+BA104</f>
        <v>-0</v>
      </c>
      <c r="BB105" s="35" t="n">
        <f aca="false">BB94+BB53+BB95+BB103+BB104</f>
        <v>-0</v>
      </c>
      <c r="BC105" s="35" t="n">
        <f aca="false">BC94+BC53+BC95+BC103+BC104</f>
        <v>-0</v>
      </c>
      <c r="BD105" s="35" t="n">
        <f aca="false">BD94+BD53+BD95+BD103+BD104</f>
        <v>-0</v>
      </c>
      <c r="BE105" s="35" t="n">
        <f aca="false">BE94+BE53+BE95+BE103+BE104</f>
        <v>-0</v>
      </c>
      <c r="BF105" s="35" t="n">
        <f aca="false">BF94+BF53+BF95+BF103+BF104</f>
        <v>-0</v>
      </c>
      <c r="BG105" s="35" t="n">
        <f aca="false">BG94+BG53+BG95+BG103+BG104</f>
        <v>-0</v>
      </c>
      <c r="BH105" s="35" t="n">
        <f aca="false">BH94+BH53+BH95+BH103+BH104</f>
        <v>-0</v>
      </c>
      <c r="BI105" s="35" t="n">
        <f aca="false">BI94+BI53+BI95+BI103+BI104</f>
        <v>-0</v>
      </c>
      <c r="BJ105" s="35" t="n">
        <f aca="false">BJ94+BJ53+BJ95+BJ103+BJ104</f>
        <v>-0</v>
      </c>
      <c r="BK105" s="35" t="n">
        <f aca="false">BK94+BK53+BK95+BK103+BK104</f>
        <v>-0</v>
      </c>
      <c r="BL105" s="35" t="n">
        <f aca="false">BL94+BL53+BL95+BL103+BL104</f>
        <v>-0</v>
      </c>
      <c r="BM105" s="35" t="n">
        <f aca="false">BM94+BM53+BM95+BM103+BM104</f>
        <v>-0</v>
      </c>
      <c r="BN105" s="35" t="n">
        <f aca="false">BN94+BN53+BN95+BN103+BN104</f>
        <v>-0</v>
      </c>
      <c r="BO105" s="35" t="n">
        <f aca="false">BO94+BO53+BO95+BO103+BO104</f>
        <v>-0</v>
      </c>
      <c r="BP105" s="35" t="n">
        <f aca="false">BP94+BP53+BP95+BP103+BP104</f>
        <v>-0</v>
      </c>
      <c r="BQ105" s="35" t="n">
        <f aca="false">BQ94+BQ53+BQ95+BQ103+BQ104</f>
        <v>-0</v>
      </c>
      <c r="BR105" s="35" t="n">
        <f aca="false">BR94+BR53+BR95+BR103+BR104</f>
        <v>-0</v>
      </c>
      <c r="BS105" s="35" t="n">
        <f aca="false">BS94+BS53+BS95+BS103+BS104</f>
        <v>-0</v>
      </c>
      <c r="BT105" s="35" t="n">
        <f aca="false">BT94+BT53+BT95+BT103+BT104</f>
        <v>-0</v>
      </c>
      <c r="BU105" s="35" t="n">
        <f aca="false">BU94+BU53+BU95+BU103+BU104</f>
        <v>-0</v>
      </c>
      <c r="BV105" s="35" t="n">
        <f aca="false">BV94+BV53+BV95+BV103+BV104</f>
        <v>-0</v>
      </c>
      <c r="BW105" s="35" t="n">
        <f aca="false">BW94+BW53+BW95+BW103+BW104</f>
        <v>-0</v>
      </c>
      <c r="BX105" s="35" t="n">
        <f aca="false">BX94+BX53+BX95+BX103+BX104</f>
        <v>-0</v>
      </c>
      <c r="BY105" s="35" t="n">
        <f aca="false">BY94+BY53+BY95+BY103+BY104</f>
        <v>-0</v>
      </c>
      <c r="BZ105" s="35" t="n">
        <f aca="false">BZ94+BZ53+BZ95+BZ103+BZ104</f>
        <v>-0</v>
      </c>
      <c r="CA105" s="35" t="n">
        <f aca="false">CA94+CA53+CA95+CA103+CA104</f>
        <v>-0</v>
      </c>
      <c r="CB105" s="35" t="n">
        <f aca="false">CB94+CB53+CB95+CB103+CB104</f>
        <v>-0</v>
      </c>
      <c r="CC105" s="35" t="n">
        <f aca="false">CC94+CC53+CC95+CC103+CC104</f>
        <v>-0</v>
      </c>
      <c r="CD105" s="35" t="n">
        <f aca="false">CD94+CD53+CD95+CD103+CD104</f>
        <v>-0</v>
      </c>
      <c r="CE105" s="35" t="n">
        <f aca="false">CE94+CE53+CE95+CE103+CE104</f>
        <v>-0</v>
      </c>
      <c r="CF105" s="35" t="n">
        <f aca="false">CF94+CF53+CF95+CF103+CF104</f>
        <v>-0</v>
      </c>
      <c r="CG105" s="35" t="n">
        <f aca="false">CG94+CG53+CG95+CG103+CG104</f>
        <v>-0</v>
      </c>
      <c r="CH105" s="35" t="n">
        <f aca="false">CH94+CH53+CH95+CH103+CH104</f>
        <v>-0</v>
      </c>
      <c r="CI105" s="35" t="n">
        <f aca="false">CI94+CI53+CI95+CI103+CI104</f>
        <v>-0</v>
      </c>
      <c r="CJ105" s="35" t="n">
        <f aca="false">CJ94+CJ53+CJ95+CJ103+CJ104</f>
        <v>-0</v>
      </c>
      <c r="CK105" s="35" t="n">
        <f aca="false">CK94+CK53+CK95+CK103+CK104</f>
        <v>-0</v>
      </c>
      <c r="CL105" s="35" t="n">
        <f aca="false">CL94+CL53+CL95+CL103+CL104</f>
        <v>-0</v>
      </c>
      <c r="CM105" s="35" t="n">
        <f aca="false">CM94+CM53+CM95+CM103+CM104</f>
        <v>-0</v>
      </c>
      <c r="CN105" s="35" t="n">
        <f aca="false">CN94+CN53+CN95+CN103+CN104</f>
        <v>-0</v>
      </c>
      <c r="CO105" s="35" t="n">
        <f aca="false">CO94+CO53+CO95+CO103+CO104</f>
        <v>-0</v>
      </c>
      <c r="CP105" s="35" t="n">
        <f aca="false">CP94+CP53+CP95+CP103+CP104</f>
        <v>-0</v>
      </c>
      <c r="CQ105" s="35" t="n">
        <f aca="false">CQ94+CQ53+CQ95+CQ103+CQ104</f>
        <v>-0</v>
      </c>
      <c r="CR105" s="35" t="n">
        <f aca="false">CR94+CR53+CR95+CR103+CR104</f>
        <v>-0</v>
      </c>
      <c r="CS105" s="35" t="n">
        <f aca="false">CS94+CS53+CS95+CS103+CS104</f>
        <v>-0</v>
      </c>
      <c r="CT105" s="35" t="n">
        <f aca="false">CT94+CT53+CT95+CT103+CT104</f>
        <v>-0</v>
      </c>
      <c r="CU105" s="35" t="n">
        <f aca="false">CU94+CU53+CU95+CU103+CU104</f>
        <v>-0</v>
      </c>
      <c r="CV105" s="35" t="n">
        <f aca="false">CV94+CV53+CV95+CV103+CV104</f>
        <v>-0</v>
      </c>
      <c r="CW105" s="35" t="n">
        <f aca="false">CW94+CW53+CW95+CW103+CW104</f>
        <v>-0</v>
      </c>
      <c r="CX105" s="35" t="n">
        <f aca="false">CX94+CX53+CX95+CX103+CX104</f>
        <v>-0</v>
      </c>
      <c r="CY105" s="35" t="n">
        <f aca="false">CY94+CY53+CY95+CY103+CY104</f>
        <v>-0</v>
      </c>
      <c r="CZ105" s="35" t="n">
        <f aca="false">CZ94+CZ53+CZ95+CZ103+CZ104</f>
        <v>-0</v>
      </c>
      <c r="DA105" s="35" t="n">
        <f aca="false">DA94+DA53+DA95+DA103+DA104</f>
        <v>-0</v>
      </c>
      <c r="DB105" s="35" t="n">
        <f aca="false">DB94+DB53+DB95+DB103+DB104</f>
        <v>-0</v>
      </c>
      <c r="DC105" s="35" t="n">
        <f aca="false">DC94+DC53+DC95+DC103+DC104</f>
        <v>-0</v>
      </c>
      <c r="DD105" s="35" t="n">
        <f aca="false">DD94+DD53+DD95+DD103+DD104</f>
        <v>-0</v>
      </c>
      <c r="DE105" s="35" t="n">
        <f aca="false">DE94+DE53+DE95+DE103+DE104</f>
        <v>-0</v>
      </c>
      <c r="DF105" s="35" t="n">
        <f aca="false">DF94+DF53+DF95+DF103+DF104</f>
        <v>-0</v>
      </c>
      <c r="DG105" s="35" t="n">
        <f aca="false">DG94+DG53+DG95+DG103+DG104</f>
        <v>-0</v>
      </c>
      <c r="DH105" s="35" t="n">
        <f aca="false">DH94+DH53+DH95+DH103+DH104</f>
        <v>-0</v>
      </c>
      <c r="DI105" s="35" t="n">
        <f aca="false">DI94+DI53+DI95+DI103+DI104</f>
        <v>-0</v>
      </c>
      <c r="DJ105" s="35" t="n">
        <f aca="false">DJ94+DJ53+DJ95+DJ103+DJ104</f>
        <v>-0</v>
      </c>
      <c r="DK105" s="35" t="n">
        <f aca="false">DK94+DK53+DK95+DK103+DK104</f>
        <v>-0</v>
      </c>
      <c r="DL105" s="35" t="n">
        <f aca="false">DL94+DL53+DL95+DL103+DL104</f>
        <v>-0</v>
      </c>
      <c r="DM105" s="35" t="n">
        <f aca="false">DM94+DM53+DM95+DM103+DM104</f>
        <v>-0</v>
      </c>
      <c r="DN105" s="35" t="n">
        <f aca="false">DN94+DN53+DN95+DN103+DN104</f>
        <v>-0</v>
      </c>
      <c r="DO105" s="35" t="n">
        <f aca="false">DO94+DO53+DO95+DO103+DO104</f>
        <v>-0</v>
      </c>
      <c r="DP105" s="35" t="n">
        <f aca="false">DP94+DP53+DP95+DP103+DP104</f>
        <v>-0</v>
      </c>
      <c r="DQ105" s="35" t="n">
        <f aca="false">DQ94+DQ53+DQ95+DQ103+DQ104</f>
        <v>-0</v>
      </c>
      <c r="DR105" s="35" t="n">
        <f aca="false">DR94+DR53+DR95+DR103+DR104</f>
        <v>-0</v>
      </c>
      <c r="DS105" s="35" t="n">
        <f aca="false">DS94+DS53+DS95+DS103+DS104</f>
        <v>-0</v>
      </c>
      <c r="DT105" s="35" t="n">
        <f aca="false">DT94+DT53+DT95+DT103+DT104</f>
        <v>-0</v>
      </c>
      <c r="DU105" s="35" t="n">
        <f aca="false">DU94+DU53+DU95+DU103+DU104</f>
        <v>-0</v>
      </c>
      <c r="DV105" s="35" t="n">
        <f aca="false">DV94+DV53+DV95+DV103+DV104</f>
        <v>-0</v>
      </c>
      <c r="DW105" s="35" t="n">
        <f aca="false">DW94+DW53+DW95+DW103+DW104</f>
        <v>-0</v>
      </c>
      <c r="DX105" s="35" t="n">
        <f aca="false">DX94+DX53+DX95+DX103+DX104</f>
        <v>-0</v>
      </c>
      <c r="DY105" s="35" t="n">
        <f aca="false">DY94+DY53+DY95+DY103+DY104</f>
        <v>-0</v>
      </c>
      <c r="DZ105" s="35" t="n">
        <f aca="false">DZ94+DZ53+DZ95+DZ103+DZ104</f>
        <v>-0</v>
      </c>
      <c r="EA105" s="35" t="n">
        <f aca="false">EA94+EA53+EA95+EA103+EA104</f>
        <v>-0</v>
      </c>
      <c r="EB105" s="35" t="n">
        <f aca="false">EB94+EB53+EB95+EB103+EB104</f>
        <v>-0</v>
      </c>
      <c r="EC105" s="35" t="n">
        <f aca="false">EC94+EC53+EC95+EC103+EC104</f>
        <v>-0</v>
      </c>
      <c r="ED105" s="35" t="n">
        <f aca="false">ED94+ED53+ED95+ED103+ED104</f>
        <v>-0</v>
      </c>
      <c r="EE105" s="35" t="n">
        <f aca="false">EE94+EE53+EE95+EE103+EE104</f>
        <v>-0</v>
      </c>
      <c r="EF105" s="35" t="n">
        <f aca="false">EF94+EF53+EF95+EF103+EF104</f>
        <v>-0</v>
      </c>
      <c r="EG105" s="35" t="n">
        <f aca="false">EG94+EG53+EG95+EG103+EG104</f>
        <v>-0</v>
      </c>
      <c r="EH105" s="35" t="n">
        <f aca="false">EH94+EH53+EH95+EH103+EH104</f>
        <v>-0</v>
      </c>
      <c r="EI105" s="35" t="n">
        <f aca="false">EI94+EI53+EI95+EI103+EI104</f>
        <v>-0</v>
      </c>
      <c r="EJ105" s="35" t="n">
        <f aca="false">EJ94+EJ53+EJ95+EJ103+EJ104</f>
        <v>-0</v>
      </c>
      <c r="EK105" s="35" t="n">
        <f aca="false">EK94+EK53+EK95+EK103+EK104</f>
        <v>-0</v>
      </c>
      <c r="EL105" s="35" t="n">
        <f aca="false">EL94+EL53+EL95+EL103+EL104</f>
        <v>-0</v>
      </c>
      <c r="EM105" s="35" t="n">
        <f aca="false">EM94+EM53+EM95+EM103+EM104</f>
        <v>-0</v>
      </c>
      <c r="EN105" s="35" t="n">
        <f aca="false">EN94+EN53+EN95+EN103+EN104</f>
        <v>-0</v>
      </c>
      <c r="EO105" s="35" t="n">
        <f aca="false">EO94+EO53+EO95+EO103+EO104</f>
        <v>-0</v>
      </c>
      <c r="EP105" s="35" t="n">
        <f aca="false">EP94+EP53+EP95+EP103+EP104</f>
        <v>-0</v>
      </c>
      <c r="EQ105" s="35" t="n">
        <f aca="false">EQ94+EQ53+EQ95+EQ103+EQ104</f>
        <v>-0</v>
      </c>
      <c r="ER105" s="35" t="n">
        <f aca="false">ER94+ER53+ER95+ER103+ER104</f>
        <v>-0</v>
      </c>
      <c r="ES105" s="35" t="n">
        <f aca="false">ES94+ES53+ES95+ES103+ES104</f>
        <v>-0</v>
      </c>
      <c r="ET105" s="35" t="n">
        <f aca="false">ET94+ET53+ET95+ET103+ET104</f>
        <v>-0</v>
      </c>
    </row>
    <row r="107" customFormat="false" ht="15" hidden="false" customHeight="false" outlineLevel="0" collapsed="false">
      <c r="A107" s="9" t="s">
        <v>13</v>
      </c>
      <c r="B107" s="9"/>
      <c r="C107" s="9" t="s">
        <v>363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</row>
    <row r="108" customFormat="false" ht="15" hidden="false" customHeight="false" outlineLevel="0" collapsed="false">
      <c r="C108" s="0" t="s">
        <v>553</v>
      </c>
      <c r="D108" s="11" t="s">
        <v>205</v>
      </c>
      <c r="J108" s="42" t="n">
        <f aca="false">ROUNDUP(YEARFRAC(In_COD,J$4),0)*(J$4&gt;In_COD)</f>
        <v>0</v>
      </c>
      <c r="K108" s="42" t="n">
        <f aca="false">ROUNDUP(YEARFRAC(In_COD,K$4),0)*(K$4&gt;In_COD)</f>
        <v>0</v>
      </c>
      <c r="L108" s="42" t="n">
        <f aca="false">ROUNDUP(YEARFRAC(In_COD,L$4),0)*(L$4&gt;In_COD)</f>
        <v>0</v>
      </c>
      <c r="M108" s="42" t="n">
        <f aca="false">ROUNDUP(YEARFRAC(In_COD,M$4),0)*(M$4&gt;In_COD)</f>
        <v>0</v>
      </c>
      <c r="N108" s="42" t="n">
        <f aca="false">ROUNDUP(YEARFRAC(In_COD,N$4),0)*(N$4&gt;In_COD)</f>
        <v>0</v>
      </c>
      <c r="O108" s="42" t="n">
        <f aca="false">ROUNDUP(YEARFRAC(In_COD,O$4),0)*(O$4&gt;In_COD)</f>
        <v>0</v>
      </c>
      <c r="P108" s="42" t="n">
        <f aca="false">ROUNDUP(YEARFRAC(In_COD,P$4),0)*(P$4&gt;In_COD)</f>
        <v>0</v>
      </c>
      <c r="Q108" s="42" t="n">
        <f aca="false">ROUNDUP(YEARFRAC(In_COD,Q$4),0)*(Q$4&gt;In_COD)</f>
        <v>0</v>
      </c>
      <c r="R108" s="42" t="n">
        <f aca="false">ROUNDUP(YEARFRAC(In_COD,R$4),0)*(R$4&gt;In_COD)</f>
        <v>0</v>
      </c>
      <c r="S108" s="42" t="n">
        <f aca="false">ROUNDUP(YEARFRAC(In_COD,S$4),0)*(S$4&gt;In_COD)</f>
        <v>0</v>
      </c>
      <c r="T108" s="42" t="n">
        <f aca="false">ROUNDUP(YEARFRAC(In_COD,T$4),0)*(T$4&gt;In_COD)</f>
        <v>0</v>
      </c>
      <c r="U108" s="42" t="n">
        <f aca="false">ROUNDUP(YEARFRAC(In_COD,U$4),0)*(U$4&gt;In_COD)</f>
        <v>0</v>
      </c>
      <c r="V108" s="42" t="n">
        <f aca="false">ROUNDUP(YEARFRAC(In_COD,V$4),0)*(V$4&gt;In_COD)</f>
        <v>0</v>
      </c>
      <c r="W108" s="42" t="n">
        <f aca="false">ROUNDUP(YEARFRAC(In_COD,W$4),0)*(W$4&gt;In_COD)</f>
        <v>0</v>
      </c>
      <c r="X108" s="42" t="n">
        <f aca="false">ROUNDUP(YEARFRAC(In_COD,X$4),0)*(X$4&gt;In_COD)</f>
        <v>0</v>
      </c>
      <c r="Y108" s="42" t="n">
        <f aca="false">ROUNDUP(YEARFRAC(In_COD,Y$4),0)*(Y$4&gt;In_COD)</f>
        <v>0</v>
      </c>
      <c r="Z108" s="42" t="n">
        <f aca="false">ROUNDUP(YEARFRAC(In_COD,Z$4),0)*(Z$4&gt;In_COD)</f>
        <v>0</v>
      </c>
      <c r="AA108" s="42" t="n">
        <f aca="false">ROUNDUP(YEARFRAC(In_COD,AA$4),0)*(AA$4&gt;In_COD)</f>
        <v>0</v>
      </c>
      <c r="AB108" s="42" t="n">
        <f aca="false">ROUNDUP(YEARFRAC(In_COD,AB$4),0)*(AB$4&gt;In_COD)</f>
        <v>0</v>
      </c>
      <c r="AC108" s="42" t="n">
        <f aca="false">ROUNDUP(YEARFRAC(In_COD,AC$4),0)*(AC$4&gt;In_COD)</f>
        <v>0</v>
      </c>
      <c r="AD108" s="42" t="n">
        <f aca="false">ROUNDUP(YEARFRAC(In_COD,AD$4),0)*(AD$4&gt;In_COD)</f>
        <v>0</v>
      </c>
      <c r="AE108" s="42" t="n">
        <f aca="false">ROUNDUP(YEARFRAC(In_COD,AE$4),0)*(AE$4&gt;In_COD)</f>
        <v>1</v>
      </c>
      <c r="AF108" s="42" t="n">
        <f aca="false">ROUNDUP(YEARFRAC(In_COD,AF$4),0)*(AF$4&gt;In_COD)</f>
        <v>1</v>
      </c>
      <c r="AG108" s="42" t="n">
        <f aca="false">ROUNDUP(YEARFRAC(In_COD,AG$4),0)*(AG$4&gt;In_COD)</f>
        <v>1</v>
      </c>
      <c r="AH108" s="42" t="n">
        <f aca="false">ROUNDUP(YEARFRAC(In_COD,AH$4),0)*(AH$4&gt;In_COD)</f>
        <v>1</v>
      </c>
      <c r="AI108" s="42" t="n">
        <f aca="false">ROUNDUP(YEARFRAC(In_COD,AI$4),0)*(AI$4&gt;In_COD)</f>
        <v>2</v>
      </c>
      <c r="AJ108" s="42" t="n">
        <f aca="false">ROUNDUP(YEARFRAC(In_COD,AJ$4),0)*(AJ$4&gt;In_COD)</f>
        <v>2</v>
      </c>
      <c r="AK108" s="42" t="n">
        <f aca="false">ROUNDUP(YEARFRAC(In_COD,AK$4),0)*(AK$4&gt;In_COD)</f>
        <v>2</v>
      </c>
      <c r="AL108" s="42" t="n">
        <f aca="false">ROUNDUP(YEARFRAC(In_COD,AL$4),0)*(AL$4&gt;In_COD)</f>
        <v>2</v>
      </c>
      <c r="AM108" s="42" t="n">
        <f aca="false">ROUNDUP(YEARFRAC(In_COD,AM$4),0)*(AM$4&gt;In_COD)</f>
        <v>3</v>
      </c>
      <c r="AN108" s="42" t="n">
        <f aca="false">ROUNDUP(YEARFRAC(In_COD,AN$4),0)*(AN$4&gt;In_COD)</f>
        <v>3</v>
      </c>
      <c r="AO108" s="42" t="n">
        <f aca="false">ROUNDUP(YEARFRAC(In_COD,AO$4),0)*(AO$4&gt;In_COD)</f>
        <v>3</v>
      </c>
      <c r="AP108" s="42" t="n">
        <f aca="false">ROUNDUP(YEARFRAC(In_COD,AP$4),0)*(AP$4&gt;In_COD)</f>
        <v>3</v>
      </c>
      <c r="AQ108" s="42" t="n">
        <f aca="false">ROUNDUP(YEARFRAC(In_COD,AQ$4),0)*(AQ$4&gt;In_COD)</f>
        <v>4</v>
      </c>
      <c r="AR108" s="42" t="n">
        <f aca="false">ROUNDUP(YEARFRAC(In_COD,AR$4),0)*(AR$4&gt;In_COD)</f>
        <v>4</v>
      </c>
      <c r="AS108" s="42" t="n">
        <f aca="false">ROUNDUP(YEARFRAC(In_COD,AS$4),0)*(AS$4&gt;In_COD)</f>
        <v>4</v>
      </c>
      <c r="AT108" s="42" t="n">
        <f aca="false">ROUNDUP(YEARFRAC(In_COD,AT$4),0)*(AT$4&gt;In_COD)</f>
        <v>4</v>
      </c>
      <c r="AU108" s="42" t="n">
        <f aca="false">ROUNDUP(YEARFRAC(In_COD,AU$4),0)*(AU$4&gt;In_COD)</f>
        <v>5</v>
      </c>
      <c r="AV108" s="42" t="n">
        <f aca="false">ROUNDUP(YEARFRAC(In_COD,AV$4),0)*(AV$4&gt;In_COD)</f>
        <v>5</v>
      </c>
      <c r="AW108" s="42" t="n">
        <f aca="false">ROUNDUP(YEARFRAC(In_COD,AW$4),0)*(AW$4&gt;In_COD)</f>
        <v>5</v>
      </c>
      <c r="AX108" s="42" t="n">
        <f aca="false">ROUNDUP(YEARFRAC(In_COD,AX$4),0)*(AX$4&gt;In_COD)</f>
        <v>5</v>
      </c>
      <c r="AY108" s="42" t="n">
        <f aca="false">ROUNDUP(YEARFRAC(In_COD,AY$4),0)*(AY$4&gt;In_COD)</f>
        <v>6</v>
      </c>
      <c r="AZ108" s="42" t="n">
        <f aca="false">ROUNDUP(YEARFRAC(In_COD,AZ$4),0)*(AZ$4&gt;In_COD)</f>
        <v>6</v>
      </c>
      <c r="BA108" s="42" t="n">
        <f aca="false">ROUNDUP(YEARFRAC(In_COD,BA$4),0)*(BA$4&gt;In_COD)</f>
        <v>6</v>
      </c>
      <c r="BB108" s="42" t="n">
        <f aca="false">ROUNDUP(YEARFRAC(In_COD,BB$4),0)*(BB$4&gt;In_COD)</f>
        <v>6</v>
      </c>
      <c r="BC108" s="42" t="n">
        <f aca="false">ROUNDUP(YEARFRAC(In_COD,BC$4),0)*(BC$4&gt;In_COD)</f>
        <v>7</v>
      </c>
      <c r="BD108" s="42" t="n">
        <f aca="false">ROUNDUP(YEARFRAC(In_COD,BD$4),0)*(BD$4&gt;In_COD)</f>
        <v>7</v>
      </c>
      <c r="BE108" s="42" t="n">
        <f aca="false">ROUNDUP(YEARFRAC(In_COD,BE$4),0)*(BE$4&gt;In_COD)</f>
        <v>7</v>
      </c>
      <c r="BF108" s="42" t="n">
        <f aca="false">ROUNDUP(YEARFRAC(In_COD,BF$4),0)*(BF$4&gt;In_COD)</f>
        <v>7</v>
      </c>
      <c r="BG108" s="42" t="n">
        <f aca="false">ROUNDUP(YEARFRAC(In_COD,BG$4),0)*(BG$4&gt;In_COD)</f>
        <v>8</v>
      </c>
      <c r="BH108" s="42" t="n">
        <f aca="false">ROUNDUP(YEARFRAC(In_COD,BH$4),0)*(BH$4&gt;In_COD)</f>
        <v>8</v>
      </c>
      <c r="BI108" s="42" t="n">
        <f aca="false">ROUNDUP(YEARFRAC(In_COD,BI$4),0)*(BI$4&gt;In_COD)</f>
        <v>8</v>
      </c>
      <c r="BJ108" s="42" t="n">
        <f aca="false">ROUNDUP(YEARFRAC(In_COD,BJ$4),0)*(BJ$4&gt;In_COD)</f>
        <v>8</v>
      </c>
      <c r="BK108" s="42" t="n">
        <f aca="false">ROUNDUP(YEARFRAC(In_COD,BK$4),0)*(BK$4&gt;In_COD)</f>
        <v>9</v>
      </c>
      <c r="BL108" s="42" t="n">
        <f aca="false">ROUNDUP(YEARFRAC(In_COD,BL$4),0)*(BL$4&gt;In_COD)</f>
        <v>9</v>
      </c>
      <c r="BM108" s="42" t="n">
        <f aca="false">ROUNDUP(YEARFRAC(In_COD,BM$4),0)*(BM$4&gt;In_COD)</f>
        <v>9</v>
      </c>
      <c r="BN108" s="42" t="n">
        <f aca="false">ROUNDUP(YEARFRAC(In_COD,BN$4),0)*(BN$4&gt;In_COD)</f>
        <v>9</v>
      </c>
      <c r="BO108" s="42" t="n">
        <f aca="false">ROUNDUP(YEARFRAC(In_COD,BO$4),0)*(BO$4&gt;In_COD)</f>
        <v>10</v>
      </c>
      <c r="BP108" s="42" t="n">
        <f aca="false">ROUNDUP(YEARFRAC(In_COD,BP$4),0)*(BP$4&gt;In_COD)</f>
        <v>10</v>
      </c>
      <c r="BQ108" s="42" t="n">
        <f aca="false">ROUNDUP(YEARFRAC(In_COD,BQ$4),0)*(BQ$4&gt;In_COD)</f>
        <v>10</v>
      </c>
      <c r="BR108" s="42" t="n">
        <f aca="false">ROUNDUP(YEARFRAC(In_COD,BR$4),0)*(BR$4&gt;In_COD)</f>
        <v>10</v>
      </c>
      <c r="BS108" s="42" t="n">
        <f aca="false">ROUNDUP(YEARFRAC(In_COD,BS$4),0)*(BS$4&gt;In_COD)</f>
        <v>11</v>
      </c>
      <c r="BT108" s="42" t="n">
        <f aca="false">ROUNDUP(YEARFRAC(In_COD,BT$4),0)*(BT$4&gt;In_COD)</f>
        <v>11</v>
      </c>
      <c r="BU108" s="42" t="n">
        <f aca="false">ROUNDUP(YEARFRAC(In_COD,BU$4),0)*(BU$4&gt;In_COD)</f>
        <v>11</v>
      </c>
      <c r="BV108" s="42" t="n">
        <f aca="false">ROUNDUP(YEARFRAC(In_COD,BV$4),0)*(BV$4&gt;In_COD)</f>
        <v>11</v>
      </c>
      <c r="BW108" s="42" t="n">
        <f aca="false">ROUNDUP(YEARFRAC(In_COD,BW$4),0)*(BW$4&gt;In_COD)</f>
        <v>12</v>
      </c>
      <c r="BX108" s="42" t="n">
        <f aca="false">ROUNDUP(YEARFRAC(In_COD,BX$4),0)*(BX$4&gt;In_COD)</f>
        <v>12</v>
      </c>
      <c r="BY108" s="42" t="n">
        <f aca="false">ROUNDUP(YEARFRAC(In_COD,BY$4),0)*(BY$4&gt;In_COD)</f>
        <v>12</v>
      </c>
      <c r="BZ108" s="42" t="n">
        <f aca="false">ROUNDUP(YEARFRAC(In_COD,BZ$4),0)*(BZ$4&gt;In_COD)</f>
        <v>12</v>
      </c>
      <c r="CA108" s="42" t="n">
        <f aca="false">ROUNDUP(YEARFRAC(In_COD,CA$4),0)*(CA$4&gt;In_COD)</f>
        <v>13</v>
      </c>
      <c r="CB108" s="42" t="n">
        <f aca="false">ROUNDUP(YEARFRAC(In_COD,CB$4),0)*(CB$4&gt;In_COD)</f>
        <v>13</v>
      </c>
      <c r="CC108" s="42" t="n">
        <f aca="false">ROUNDUP(YEARFRAC(In_COD,CC$4),0)*(CC$4&gt;In_COD)</f>
        <v>13</v>
      </c>
      <c r="CD108" s="42" t="n">
        <f aca="false">ROUNDUP(YEARFRAC(In_COD,CD$4),0)*(CD$4&gt;In_COD)</f>
        <v>13</v>
      </c>
      <c r="CE108" s="42" t="n">
        <f aca="false">ROUNDUP(YEARFRAC(In_COD,CE$4),0)*(CE$4&gt;In_COD)</f>
        <v>14</v>
      </c>
      <c r="CF108" s="42" t="n">
        <f aca="false">ROUNDUP(YEARFRAC(In_COD,CF$4),0)*(CF$4&gt;In_COD)</f>
        <v>14</v>
      </c>
      <c r="CG108" s="42" t="n">
        <f aca="false">ROUNDUP(YEARFRAC(In_COD,CG$4),0)*(CG$4&gt;In_COD)</f>
        <v>14</v>
      </c>
      <c r="CH108" s="42" t="n">
        <f aca="false">ROUNDUP(YEARFRAC(In_COD,CH$4),0)*(CH$4&gt;In_COD)</f>
        <v>14</v>
      </c>
      <c r="CI108" s="42" t="n">
        <f aca="false">ROUNDUP(YEARFRAC(In_COD,CI$4),0)*(CI$4&gt;In_COD)</f>
        <v>15</v>
      </c>
      <c r="CJ108" s="42" t="n">
        <f aca="false">ROUNDUP(YEARFRAC(In_COD,CJ$4),0)*(CJ$4&gt;In_COD)</f>
        <v>15</v>
      </c>
      <c r="CK108" s="42" t="n">
        <f aca="false">ROUNDUP(YEARFRAC(In_COD,CK$4),0)*(CK$4&gt;In_COD)</f>
        <v>15</v>
      </c>
      <c r="CL108" s="42" t="n">
        <f aca="false">ROUNDUP(YEARFRAC(In_COD,CL$4),0)*(CL$4&gt;In_COD)</f>
        <v>15</v>
      </c>
      <c r="CM108" s="42" t="n">
        <f aca="false">ROUNDUP(YEARFRAC(In_COD,CM$4),0)*(CM$4&gt;In_COD)</f>
        <v>16</v>
      </c>
      <c r="CN108" s="42" t="n">
        <f aca="false">ROUNDUP(YEARFRAC(In_COD,CN$4),0)*(CN$4&gt;In_COD)</f>
        <v>16</v>
      </c>
      <c r="CO108" s="42" t="n">
        <f aca="false">ROUNDUP(YEARFRAC(In_COD,CO$4),0)*(CO$4&gt;In_COD)</f>
        <v>16</v>
      </c>
      <c r="CP108" s="42" t="n">
        <f aca="false">ROUNDUP(YEARFRAC(In_COD,CP$4),0)*(CP$4&gt;In_COD)</f>
        <v>16</v>
      </c>
      <c r="CQ108" s="42" t="n">
        <f aca="false">ROUNDUP(YEARFRAC(In_COD,CQ$4),0)*(CQ$4&gt;In_COD)</f>
        <v>17</v>
      </c>
      <c r="CR108" s="42" t="n">
        <f aca="false">ROUNDUP(YEARFRAC(In_COD,CR$4),0)*(CR$4&gt;In_COD)</f>
        <v>17</v>
      </c>
      <c r="CS108" s="42" t="n">
        <f aca="false">ROUNDUP(YEARFRAC(In_COD,CS$4),0)*(CS$4&gt;In_COD)</f>
        <v>17</v>
      </c>
      <c r="CT108" s="42" t="n">
        <f aca="false">ROUNDUP(YEARFRAC(In_COD,CT$4),0)*(CT$4&gt;In_COD)</f>
        <v>17</v>
      </c>
      <c r="CU108" s="42" t="n">
        <f aca="false">ROUNDUP(YEARFRAC(In_COD,CU$4),0)*(CU$4&gt;In_COD)</f>
        <v>18</v>
      </c>
      <c r="CV108" s="42" t="n">
        <f aca="false">ROUNDUP(YEARFRAC(In_COD,CV$4),0)*(CV$4&gt;In_COD)</f>
        <v>18</v>
      </c>
      <c r="CW108" s="42" t="n">
        <f aca="false">ROUNDUP(YEARFRAC(In_COD,CW$4),0)*(CW$4&gt;In_COD)</f>
        <v>18</v>
      </c>
      <c r="CX108" s="42" t="n">
        <f aca="false">ROUNDUP(YEARFRAC(In_COD,CX$4),0)*(CX$4&gt;In_COD)</f>
        <v>18</v>
      </c>
      <c r="CY108" s="42" t="n">
        <f aca="false">ROUNDUP(YEARFRAC(In_COD,CY$4),0)*(CY$4&gt;In_COD)</f>
        <v>19</v>
      </c>
      <c r="CZ108" s="42" t="n">
        <f aca="false">ROUNDUP(YEARFRAC(In_COD,CZ$4),0)*(CZ$4&gt;In_COD)</f>
        <v>19</v>
      </c>
      <c r="DA108" s="42" t="n">
        <f aca="false">ROUNDUP(YEARFRAC(In_COD,DA$4),0)*(DA$4&gt;In_COD)</f>
        <v>19</v>
      </c>
      <c r="DB108" s="42" t="n">
        <f aca="false">ROUNDUP(YEARFRAC(In_COD,DB$4),0)*(DB$4&gt;In_COD)</f>
        <v>19</v>
      </c>
      <c r="DC108" s="42" t="n">
        <f aca="false">ROUNDUP(YEARFRAC(In_COD,DC$4),0)*(DC$4&gt;In_COD)</f>
        <v>20</v>
      </c>
      <c r="DD108" s="42" t="n">
        <f aca="false">ROUNDUP(YEARFRAC(In_COD,DD$4),0)*(DD$4&gt;In_COD)</f>
        <v>20</v>
      </c>
      <c r="DE108" s="42" t="n">
        <f aca="false">ROUNDUP(YEARFRAC(In_COD,DE$4),0)*(DE$4&gt;In_COD)</f>
        <v>20</v>
      </c>
      <c r="DF108" s="42" t="n">
        <f aca="false">ROUNDUP(YEARFRAC(In_COD,DF$4),0)*(DF$4&gt;In_COD)</f>
        <v>20</v>
      </c>
      <c r="DG108" s="42" t="n">
        <f aca="false">ROUNDUP(YEARFRAC(In_COD,DG$4),0)*(DG$4&gt;In_COD)</f>
        <v>21</v>
      </c>
      <c r="DH108" s="42" t="n">
        <f aca="false">ROUNDUP(YEARFRAC(In_COD,DH$4),0)*(DH$4&gt;In_COD)</f>
        <v>21</v>
      </c>
      <c r="DI108" s="42" t="n">
        <f aca="false">ROUNDUP(YEARFRAC(In_COD,DI$4),0)*(DI$4&gt;In_COD)</f>
        <v>21</v>
      </c>
      <c r="DJ108" s="42" t="n">
        <f aca="false">ROUNDUP(YEARFRAC(In_COD,DJ$4),0)*(DJ$4&gt;In_COD)</f>
        <v>21</v>
      </c>
      <c r="DK108" s="42" t="n">
        <f aca="false">ROUNDUP(YEARFRAC(In_COD,DK$4),0)*(DK$4&gt;In_COD)</f>
        <v>22</v>
      </c>
      <c r="DL108" s="42" t="n">
        <f aca="false">ROUNDUP(YEARFRAC(In_COD,DL$4),0)*(DL$4&gt;In_COD)</f>
        <v>22</v>
      </c>
      <c r="DM108" s="42" t="n">
        <f aca="false">ROUNDUP(YEARFRAC(In_COD,DM$4),0)*(DM$4&gt;In_COD)</f>
        <v>22</v>
      </c>
      <c r="DN108" s="42" t="n">
        <f aca="false">ROUNDUP(YEARFRAC(In_COD,DN$4),0)*(DN$4&gt;In_COD)</f>
        <v>22</v>
      </c>
      <c r="DO108" s="42" t="n">
        <f aca="false">ROUNDUP(YEARFRAC(In_COD,DO$4),0)*(DO$4&gt;In_COD)</f>
        <v>23</v>
      </c>
      <c r="DP108" s="42" t="n">
        <f aca="false">ROUNDUP(YEARFRAC(In_COD,DP$4),0)*(DP$4&gt;In_COD)</f>
        <v>23</v>
      </c>
      <c r="DQ108" s="42" t="n">
        <f aca="false">ROUNDUP(YEARFRAC(In_COD,DQ$4),0)*(DQ$4&gt;In_COD)</f>
        <v>23</v>
      </c>
      <c r="DR108" s="42" t="n">
        <f aca="false">ROUNDUP(YEARFRAC(In_COD,DR$4),0)*(DR$4&gt;In_COD)</f>
        <v>23</v>
      </c>
      <c r="DS108" s="42" t="n">
        <f aca="false">ROUNDUP(YEARFRAC(In_COD,DS$4),0)*(DS$4&gt;In_COD)</f>
        <v>24</v>
      </c>
      <c r="DT108" s="42" t="n">
        <f aca="false">ROUNDUP(YEARFRAC(In_COD,DT$4),0)*(DT$4&gt;In_COD)</f>
        <v>24</v>
      </c>
      <c r="DU108" s="42" t="n">
        <f aca="false">ROUNDUP(YEARFRAC(In_COD,DU$4),0)*(DU$4&gt;In_COD)</f>
        <v>24</v>
      </c>
      <c r="DV108" s="42" t="n">
        <f aca="false">ROUNDUP(YEARFRAC(In_COD,DV$4),0)*(DV$4&gt;In_COD)</f>
        <v>24</v>
      </c>
      <c r="DW108" s="42" t="n">
        <f aca="false">ROUNDUP(YEARFRAC(In_COD,DW$4),0)*(DW$4&gt;In_COD)</f>
        <v>25</v>
      </c>
      <c r="DX108" s="42" t="n">
        <f aca="false">ROUNDUP(YEARFRAC(In_COD,DX$4),0)*(DX$4&gt;In_COD)</f>
        <v>25</v>
      </c>
      <c r="DY108" s="42" t="n">
        <f aca="false">ROUNDUP(YEARFRAC(In_COD,DY$4),0)*(DY$4&gt;In_COD)</f>
        <v>25</v>
      </c>
      <c r="DZ108" s="42" t="n">
        <f aca="false">ROUNDUP(YEARFRAC(In_COD,DZ$4),0)*(DZ$4&gt;In_COD)</f>
        <v>25</v>
      </c>
      <c r="EA108" s="42" t="n">
        <f aca="false">ROUNDUP(YEARFRAC(In_COD,EA$4),0)*(EA$4&gt;In_COD)</f>
        <v>26</v>
      </c>
      <c r="EB108" s="42" t="n">
        <f aca="false">ROUNDUP(YEARFRAC(In_COD,EB$4),0)*(EB$4&gt;In_COD)</f>
        <v>26</v>
      </c>
      <c r="EC108" s="42" t="n">
        <f aca="false">ROUNDUP(YEARFRAC(In_COD,EC$4),0)*(EC$4&gt;In_COD)</f>
        <v>26</v>
      </c>
      <c r="ED108" s="42" t="n">
        <f aca="false">ROUNDUP(YEARFRAC(In_COD,ED$4),0)*(ED$4&gt;In_COD)</f>
        <v>26</v>
      </c>
      <c r="EE108" s="42" t="n">
        <f aca="false">ROUNDUP(YEARFRAC(In_COD,EE$4),0)*(EE$4&gt;In_COD)</f>
        <v>27</v>
      </c>
      <c r="EF108" s="42" t="n">
        <f aca="false">ROUNDUP(YEARFRAC(In_COD,EF$4),0)*(EF$4&gt;In_COD)</f>
        <v>27</v>
      </c>
      <c r="EG108" s="42" t="n">
        <f aca="false">ROUNDUP(YEARFRAC(In_COD,EG$4),0)*(EG$4&gt;In_COD)</f>
        <v>27</v>
      </c>
      <c r="EH108" s="42" t="n">
        <f aca="false">ROUNDUP(YEARFRAC(In_COD,EH$4),0)*(EH$4&gt;In_COD)</f>
        <v>27</v>
      </c>
      <c r="EI108" s="42" t="n">
        <f aca="false">ROUNDUP(YEARFRAC(In_COD,EI$4),0)*(EI$4&gt;In_COD)</f>
        <v>28</v>
      </c>
      <c r="EJ108" s="42" t="n">
        <f aca="false">ROUNDUP(YEARFRAC(In_COD,EJ$4),0)*(EJ$4&gt;In_COD)</f>
        <v>28</v>
      </c>
      <c r="EK108" s="42" t="n">
        <f aca="false">ROUNDUP(YEARFRAC(In_COD,EK$4),0)*(EK$4&gt;In_COD)</f>
        <v>28</v>
      </c>
      <c r="EL108" s="42" t="n">
        <f aca="false">ROUNDUP(YEARFRAC(In_COD,EL$4),0)*(EL$4&gt;In_COD)</f>
        <v>28</v>
      </c>
      <c r="EM108" s="42" t="n">
        <f aca="false">ROUNDUP(YEARFRAC(In_COD,EM$4),0)*(EM$4&gt;In_COD)</f>
        <v>29</v>
      </c>
      <c r="EN108" s="42" t="n">
        <f aca="false">ROUNDUP(YEARFRAC(In_COD,EN$4),0)*(EN$4&gt;In_COD)</f>
        <v>29</v>
      </c>
      <c r="EO108" s="42" t="n">
        <f aca="false">ROUNDUP(YEARFRAC(In_COD,EO$4),0)*(EO$4&gt;In_COD)</f>
        <v>29</v>
      </c>
      <c r="EP108" s="42" t="n">
        <f aca="false">ROUNDUP(YEARFRAC(In_COD,EP$4),0)*(EP$4&gt;In_COD)</f>
        <v>29</v>
      </c>
      <c r="EQ108" s="42" t="n">
        <f aca="false">ROUNDUP(YEARFRAC(In_COD,EQ$4),0)*(EQ$4&gt;In_COD)</f>
        <v>30</v>
      </c>
      <c r="ER108" s="42" t="n">
        <f aca="false">ROUNDUP(YEARFRAC(In_COD,ER$4),0)*(ER$4&gt;In_COD)</f>
        <v>30</v>
      </c>
      <c r="ES108" s="42" t="n">
        <f aca="false">ROUNDUP(YEARFRAC(In_COD,ES$4),0)*(ES$4&gt;In_COD)</f>
        <v>30</v>
      </c>
      <c r="ET108" s="42" t="n">
        <f aca="false">ROUNDUP(YEARFRAC(In_COD,ET$4),0)*(ET$4&gt;In_COD)</f>
        <v>30</v>
      </c>
    </row>
    <row r="109" customFormat="false" ht="15" hidden="false" customHeight="false" outlineLevel="0" collapsed="false">
      <c r="C109" s="0" t="s">
        <v>554</v>
      </c>
      <c r="D109" s="11" t="s">
        <v>474</v>
      </c>
      <c r="J109" s="52" t="n">
        <f aca="false">(1+In_Opex_Esc)^(J$7-YEAR(In_COD))</f>
        <v>0.883854287609517</v>
      </c>
      <c r="K109" s="52" t="n">
        <f aca="false">(1+In_Opex_Esc)^(K$7-YEAR(In_COD))</f>
        <v>0.883854287609517</v>
      </c>
      <c r="L109" s="52" t="n">
        <f aca="false">(1+In_Opex_Esc)^(L$7-YEAR(In_COD))</f>
        <v>0.905950644799755</v>
      </c>
      <c r="M109" s="52" t="n">
        <f aca="false">(1+In_Opex_Esc)^(M$7-YEAR(In_COD))</f>
        <v>0.905950644799755</v>
      </c>
      <c r="N109" s="52" t="n">
        <f aca="false">(1+In_Opex_Esc)^(N$7-YEAR(In_COD))</f>
        <v>0.905950644799755</v>
      </c>
      <c r="O109" s="52" t="n">
        <f aca="false">(1+In_Opex_Esc)^(O$7-YEAR(In_COD))</f>
        <v>0.905950644799755</v>
      </c>
      <c r="P109" s="52" t="n">
        <f aca="false">(1+In_Opex_Esc)^(P$7-YEAR(In_COD))</f>
        <v>0.928599410919749</v>
      </c>
      <c r="Q109" s="52" t="n">
        <f aca="false">(1+In_Opex_Esc)^(Q$7-YEAR(In_COD))</f>
        <v>0.928599410919749</v>
      </c>
      <c r="R109" s="52" t="n">
        <f aca="false">(1+In_Opex_Esc)^(R$7-YEAR(In_COD))</f>
        <v>0.928599410919749</v>
      </c>
      <c r="S109" s="52" t="n">
        <f aca="false">(1+In_Opex_Esc)^(S$7-YEAR(In_COD))</f>
        <v>0.928599410919749</v>
      </c>
      <c r="T109" s="52" t="n">
        <f aca="false">(1+In_Opex_Esc)^(T$7-YEAR(In_COD))</f>
        <v>0.951814396192743</v>
      </c>
      <c r="U109" s="52" t="n">
        <f aca="false">(1+In_Opex_Esc)^(U$7-YEAR(In_COD))</f>
        <v>0.951814396192743</v>
      </c>
      <c r="V109" s="52" t="n">
        <f aca="false">(1+In_Opex_Esc)^(V$7-YEAR(In_COD))</f>
        <v>0.951814396192743</v>
      </c>
      <c r="W109" s="52" t="n">
        <f aca="false">(1+In_Opex_Esc)^(W$7-YEAR(In_COD))</f>
        <v>0.951814396192743</v>
      </c>
      <c r="X109" s="52" t="n">
        <f aca="false">(1+In_Opex_Esc)^(X$7-YEAR(In_COD))</f>
        <v>0.975609756097561</v>
      </c>
      <c r="Y109" s="52" t="n">
        <f aca="false">(1+In_Opex_Esc)^(Y$7-YEAR(In_COD))</f>
        <v>0.975609756097561</v>
      </c>
      <c r="Z109" s="52" t="n">
        <f aca="false">(1+In_Opex_Esc)^(Z$7-YEAR(In_COD))</f>
        <v>0.975609756097561</v>
      </c>
      <c r="AA109" s="52" t="n">
        <f aca="false">(1+In_Opex_Esc)^(AA$7-YEAR(In_COD))</f>
        <v>0.975609756097561</v>
      </c>
      <c r="AB109" s="52" t="n">
        <f aca="false">(1+In_Opex_Esc)^(AB$7-YEAR(In_COD))</f>
        <v>1</v>
      </c>
      <c r="AC109" s="52" t="n">
        <f aca="false">(1+In_Opex_Esc)^(AC$7-YEAR(In_COD))</f>
        <v>1</v>
      </c>
      <c r="AD109" s="52" t="n">
        <f aca="false">(1+In_Opex_Esc)^(AD$7-YEAR(In_COD))</f>
        <v>1</v>
      </c>
      <c r="AE109" s="52" t="n">
        <f aca="false">(1+In_Opex_Esc)^(AE$7-YEAR(In_COD))</f>
        <v>1</v>
      </c>
      <c r="AF109" s="52" t="n">
        <f aca="false">(1+In_Opex_Esc)^(AF$7-YEAR(In_COD))</f>
        <v>1.025</v>
      </c>
      <c r="AG109" s="52" t="n">
        <f aca="false">(1+In_Opex_Esc)^(AG$7-YEAR(In_COD))</f>
        <v>1.025</v>
      </c>
      <c r="AH109" s="52" t="n">
        <f aca="false">(1+In_Opex_Esc)^(AH$7-YEAR(In_COD))</f>
        <v>1.025</v>
      </c>
      <c r="AI109" s="52" t="n">
        <f aca="false">(1+In_Opex_Esc)^(AI$7-YEAR(In_COD))</f>
        <v>1.025</v>
      </c>
      <c r="AJ109" s="52" t="n">
        <f aca="false">(1+In_Opex_Esc)^(AJ$7-YEAR(In_COD))</f>
        <v>1.050625</v>
      </c>
      <c r="AK109" s="52" t="n">
        <f aca="false">(1+In_Opex_Esc)^(AK$7-YEAR(In_COD))</f>
        <v>1.050625</v>
      </c>
      <c r="AL109" s="52" t="n">
        <f aca="false">(1+In_Opex_Esc)^(AL$7-YEAR(In_COD))</f>
        <v>1.050625</v>
      </c>
      <c r="AM109" s="52" t="n">
        <f aca="false">(1+In_Opex_Esc)^(AM$7-YEAR(In_COD))</f>
        <v>1.050625</v>
      </c>
      <c r="AN109" s="52" t="n">
        <f aca="false">(1+In_Opex_Esc)^(AN$7-YEAR(In_COD))</f>
        <v>1.076890625</v>
      </c>
      <c r="AO109" s="52" t="n">
        <f aca="false">(1+In_Opex_Esc)^(AO$7-YEAR(In_COD))</f>
        <v>1.076890625</v>
      </c>
      <c r="AP109" s="52" t="n">
        <f aca="false">(1+In_Opex_Esc)^(AP$7-YEAR(In_COD))</f>
        <v>1.076890625</v>
      </c>
      <c r="AQ109" s="52" t="n">
        <f aca="false">(1+In_Opex_Esc)^(AQ$7-YEAR(In_COD))</f>
        <v>1.076890625</v>
      </c>
      <c r="AR109" s="52" t="n">
        <f aca="false">(1+In_Opex_Esc)^(AR$7-YEAR(In_COD))</f>
        <v>1.103812890625</v>
      </c>
      <c r="AS109" s="52" t="n">
        <f aca="false">(1+In_Opex_Esc)^(AS$7-YEAR(In_COD))</f>
        <v>1.103812890625</v>
      </c>
      <c r="AT109" s="52" t="n">
        <f aca="false">(1+In_Opex_Esc)^(AT$7-YEAR(In_COD))</f>
        <v>1.103812890625</v>
      </c>
      <c r="AU109" s="52" t="n">
        <f aca="false">(1+In_Opex_Esc)^(AU$7-YEAR(In_COD))</f>
        <v>1.103812890625</v>
      </c>
      <c r="AV109" s="52" t="n">
        <f aca="false">(1+In_Opex_Esc)^(AV$7-YEAR(In_COD))</f>
        <v>1.13140821289062</v>
      </c>
      <c r="AW109" s="52" t="n">
        <f aca="false">(1+In_Opex_Esc)^(AW$7-YEAR(In_COD))</f>
        <v>1.13140821289062</v>
      </c>
      <c r="AX109" s="52" t="n">
        <f aca="false">(1+In_Opex_Esc)^(AX$7-YEAR(In_COD))</f>
        <v>1.13140821289062</v>
      </c>
      <c r="AY109" s="52" t="n">
        <f aca="false">(1+In_Opex_Esc)^(AY$7-YEAR(In_COD))</f>
        <v>1.13140821289062</v>
      </c>
      <c r="AZ109" s="52" t="n">
        <f aca="false">(1+In_Opex_Esc)^(AZ$7-YEAR(In_COD))</f>
        <v>1.15969341821289</v>
      </c>
      <c r="BA109" s="52" t="n">
        <f aca="false">(1+In_Opex_Esc)^(BA$7-YEAR(In_COD))</f>
        <v>1.15969341821289</v>
      </c>
      <c r="BB109" s="52" t="n">
        <f aca="false">(1+In_Opex_Esc)^(BB$7-YEAR(In_COD))</f>
        <v>1.15969341821289</v>
      </c>
      <c r="BC109" s="52" t="n">
        <f aca="false">(1+In_Opex_Esc)^(BC$7-YEAR(In_COD))</f>
        <v>1.15969341821289</v>
      </c>
      <c r="BD109" s="52" t="n">
        <f aca="false">(1+In_Opex_Esc)^(BD$7-YEAR(In_COD))</f>
        <v>1.18868575366821</v>
      </c>
      <c r="BE109" s="52" t="n">
        <f aca="false">(1+In_Opex_Esc)^(BE$7-YEAR(In_COD))</f>
        <v>1.18868575366821</v>
      </c>
      <c r="BF109" s="52" t="n">
        <f aca="false">(1+In_Opex_Esc)^(BF$7-YEAR(In_COD))</f>
        <v>1.18868575366821</v>
      </c>
      <c r="BG109" s="52" t="n">
        <f aca="false">(1+In_Opex_Esc)^(BG$7-YEAR(In_COD))</f>
        <v>1.18868575366821</v>
      </c>
      <c r="BH109" s="52" t="n">
        <f aca="false">(1+In_Opex_Esc)^(BH$7-YEAR(In_COD))</f>
        <v>1.21840289750992</v>
      </c>
      <c r="BI109" s="52" t="n">
        <f aca="false">(1+In_Opex_Esc)^(BI$7-YEAR(In_COD))</f>
        <v>1.21840289750992</v>
      </c>
      <c r="BJ109" s="52" t="n">
        <f aca="false">(1+In_Opex_Esc)^(BJ$7-YEAR(In_COD))</f>
        <v>1.21840289750992</v>
      </c>
      <c r="BK109" s="52" t="n">
        <f aca="false">(1+In_Opex_Esc)^(BK$7-YEAR(In_COD))</f>
        <v>1.21840289750992</v>
      </c>
      <c r="BL109" s="52" t="n">
        <f aca="false">(1+In_Opex_Esc)^(BL$7-YEAR(In_COD))</f>
        <v>1.24886296994767</v>
      </c>
      <c r="BM109" s="52" t="n">
        <f aca="false">(1+In_Opex_Esc)^(BM$7-YEAR(In_COD))</f>
        <v>1.24886296994767</v>
      </c>
      <c r="BN109" s="52" t="n">
        <f aca="false">(1+In_Opex_Esc)^(BN$7-YEAR(In_COD))</f>
        <v>1.24886296994767</v>
      </c>
      <c r="BO109" s="52" t="n">
        <f aca="false">(1+In_Opex_Esc)^(BO$7-YEAR(In_COD))</f>
        <v>1.24886296994767</v>
      </c>
      <c r="BP109" s="52" t="n">
        <f aca="false">(1+In_Opex_Esc)^(BP$7-YEAR(In_COD))</f>
        <v>1.28008454419636</v>
      </c>
      <c r="BQ109" s="52" t="n">
        <f aca="false">(1+In_Opex_Esc)^(BQ$7-YEAR(In_COD))</f>
        <v>1.28008454419636</v>
      </c>
      <c r="BR109" s="52" t="n">
        <f aca="false">(1+In_Opex_Esc)^(BR$7-YEAR(In_COD))</f>
        <v>1.28008454419636</v>
      </c>
      <c r="BS109" s="52" t="n">
        <f aca="false">(1+In_Opex_Esc)^(BS$7-YEAR(In_COD))</f>
        <v>1.28008454419636</v>
      </c>
      <c r="BT109" s="52" t="n">
        <f aca="false">(1+In_Opex_Esc)^(BT$7-YEAR(In_COD))</f>
        <v>1.31208665780127</v>
      </c>
      <c r="BU109" s="52" t="n">
        <f aca="false">(1+In_Opex_Esc)^(BU$7-YEAR(In_COD))</f>
        <v>1.31208665780127</v>
      </c>
      <c r="BV109" s="52" t="n">
        <f aca="false">(1+In_Opex_Esc)^(BV$7-YEAR(In_COD))</f>
        <v>1.31208665780127</v>
      </c>
      <c r="BW109" s="52" t="n">
        <f aca="false">(1+In_Opex_Esc)^(BW$7-YEAR(In_COD))</f>
        <v>1.31208665780127</v>
      </c>
      <c r="BX109" s="52" t="n">
        <f aca="false">(1+In_Opex_Esc)^(BX$7-YEAR(In_COD))</f>
        <v>1.3448888242463</v>
      </c>
      <c r="BY109" s="52" t="n">
        <f aca="false">(1+In_Opex_Esc)^(BY$7-YEAR(In_COD))</f>
        <v>1.3448888242463</v>
      </c>
      <c r="BZ109" s="52" t="n">
        <f aca="false">(1+In_Opex_Esc)^(BZ$7-YEAR(In_COD))</f>
        <v>1.3448888242463</v>
      </c>
      <c r="CA109" s="52" t="n">
        <f aca="false">(1+In_Opex_Esc)^(CA$7-YEAR(In_COD))</f>
        <v>1.3448888242463</v>
      </c>
      <c r="CB109" s="52" t="n">
        <f aca="false">(1+In_Opex_Esc)^(CB$7-YEAR(In_COD))</f>
        <v>1.37851104485245</v>
      </c>
      <c r="CC109" s="52" t="n">
        <f aca="false">(1+In_Opex_Esc)^(CC$7-YEAR(In_COD))</f>
        <v>1.37851104485245</v>
      </c>
      <c r="CD109" s="52" t="n">
        <f aca="false">(1+In_Opex_Esc)^(CD$7-YEAR(In_COD))</f>
        <v>1.37851104485245</v>
      </c>
      <c r="CE109" s="52" t="n">
        <f aca="false">(1+In_Opex_Esc)^(CE$7-YEAR(In_COD))</f>
        <v>1.37851104485245</v>
      </c>
      <c r="CF109" s="52" t="n">
        <f aca="false">(1+In_Opex_Esc)^(CF$7-YEAR(In_COD))</f>
        <v>1.41297382097377</v>
      </c>
      <c r="CG109" s="52" t="n">
        <f aca="false">(1+In_Opex_Esc)^(CG$7-YEAR(In_COD))</f>
        <v>1.41297382097377</v>
      </c>
      <c r="CH109" s="52" t="n">
        <f aca="false">(1+In_Opex_Esc)^(CH$7-YEAR(In_COD))</f>
        <v>1.41297382097377</v>
      </c>
      <c r="CI109" s="52" t="n">
        <f aca="false">(1+In_Opex_Esc)^(CI$7-YEAR(In_COD))</f>
        <v>1.41297382097377</v>
      </c>
      <c r="CJ109" s="52" t="n">
        <f aca="false">(1+In_Opex_Esc)^(CJ$7-YEAR(In_COD))</f>
        <v>1.44829816649811</v>
      </c>
      <c r="CK109" s="52" t="n">
        <f aca="false">(1+In_Opex_Esc)^(CK$7-YEAR(In_COD))</f>
        <v>1.44829816649811</v>
      </c>
      <c r="CL109" s="52" t="n">
        <f aca="false">(1+In_Opex_Esc)^(CL$7-YEAR(In_COD))</f>
        <v>1.44829816649811</v>
      </c>
      <c r="CM109" s="52" t="n">
        <f aca="false">(1+In_Opex_Esc)^(CM$7-YEAR(In_COD))</f>
        <v>1.44829816649811</v>
      </c>
      <c r="CN109" s="52" t="n">
        <f aca="false">(1+In_Opex_Esc)^(CN$7-YEAR(In_COD))</f>
        <v>1.48450562066056</v>
      </c>
      <c r="CO109" s="52" t="n">
        <f aca="false">(1+In_Opex_Esc)^(CO$7-YEAR(In_COD))</f>
        <v>1.48450562066056</v>
      </c>
      <c r="CP109" s="52" t="n">
        <f aca="false">(1+In_Opex_Esc)^(CP$7-YEAR(In_COD))</f>
        <v>1.48450562066056</v>
      </c>
      <c r="CQ109" s="52" t="n">
        <f aca="false">(1+In_Opex_Esc)^(CQ$7-YEAR(In_COD))</f>
        <v>1.48450562066056</v>
      </c>
      <c r="CR109" s="52" t="n">
        <f aca="false">(1+In_Opex_Esc)^(CR$7-YEAR(In_COD))</f>
        <v>1.52161826117708</v>
      </c>
      <c r="CS109" s="52" t="n">
        <f aca="false">(1+In_Opex_Esc)^(CS$7-YEAR(In_COD))</f>
        <v>1.52161826117708</v>
      </c>
      <c r="CT109" s="52" t="n">
        <f aca="false">(1+In_Opex_Esc)^(CT$7-YEAR(In_COD))</f>
        <v>1.52161826117708</v>
      </c>
      <c r="CU109" s="52" t="n">
        <f aca="false">(1+In_Opex_Esc)^(CU$7-YEAR(In_COD))</f>
        <v>1.52161826117708</v>
      </c>
      <c r="CV109" s="52" t="n">
        <f aca="false">(1+In_Opex_Esc)^(CV$7-YEAR(In_COD))</f>
        <v>1.5596587177065</v>
      </c>
      <c r="CW109" s="52" t="n">
        <f aca="false">(1+In_Opex_Esc)^(CW$7-YEAR(In_COD))</f>
        <v>1.5596587177065</v>
      </c>
      <c r="CX109" s="52" t="n">
        <f aca="false">(1+In_Opex_Esc)^(CX$7-YEAR(In_COD))</f>
        <v>1.5596587177065</v>
      </c>
      <c r="CY109" s="52" t="n">
        <f aca="false">(1+In_Opex_Esc)^(CY$7-YEAR(In_COD))</f>
        <v>1.5596587177065</v>
      </c>
      <c r="CZ109" s="52" t="n">
        <f aca="false">(1+In_Opex_Esc)^(CZ$7-YEAR(In_COD))</f>
        <v>1.59865018564917</v>
      </c>
      <c r="DA109" s="52" t="n">
        <f aca="false">(1+In_Opex_Esc)^(DA$7-YEAR(In_COD))</f>
        <v>1.59865018564917</v>
      </c>
      <c r="DB109" s="52" t="n">
        <f aca="false">(1+In_Opex_Esc)^(DB$7-YEAR(In_COD))</f>
        <v>1.59865018564917</v>
      </c>
      <c r="DC109" s="52" t="n">
        <f aca="false">(1+In_Opex_Esc)^(DC$7-YEAR(In_COD))</f>
        <v>1.59865018564917</v>
      </c>
      <c r="DD109" s="52" t="n">
        <f aca="false">(1+In_Opex_Esc)^(DD$7-YEAR(In_COD))</f>
        <v>1.63861644029039</v>
      </c>
      <c r="DE109" s="52" t="n">
        <f aca="false">(1+In_Opex_Esc)^(DE$7-YEAR(In_COD))</f>
        <v>1.63861644029039</v>
      </c>
      <c r="DF109" s="52" t="n">
        <f aca="false">(1+In_Opex_Esc)^(DF$7-YEAR(In_COD))</f>
        <v>1.63861644029039</v>
      </c>
      <c r="DG109" s="52" t="n">
        <f aca="false">(1+In_Opex_Esc)^(DG$7-YEAR(In_COD))</f>
        <v>1.63861644029039</v>
      </c>
      <c r="DH109" s="52" t="n">
        <f aca="false">(1+In_Opex_Esc)^(DH$7-YEAR(In_COD))</f>
        <v>1.67958185129765</v>
      </c>
      <c r="DI109" s="52" t="n">
        <f aca="false">(1+In_Opex_Esc)^(DI$7-YEAR(In_COD))</f>
        <v>1.67958185129765</v>
      </c>
      <c r="DJ109" s="52" t="n">
        <f aca="false">(1+In_Opex_Esc)^(DJ$7-YEAR(In_COD))</f>
        <v>1.67958185129765</v>
      </c>
      <c r="DK109" s="52" t="n">
        <f aca="false">(1+In_Opex_Esc)^(DK$7-YEAR(In_COD))</f>
        <v>1.67958185129765</v>
      </c>
      <c r="DL109" s="52" t="n">
        <f aca="false">(1+In_Opex_Esc)^(DL$7-YEAR(In_COD))</f>
        <v>1.7215713975801</v>
      </c>
      <c r="DM109" s="52" t="n">
        <f aca="false">(1+In_Opex_Esc)^(DM$7-YEAR(In_COD))</f>
        <v>1.7215713975801</v>
      </c>
      <c r="DN109" s="52" t="n">
        <f aca="false">(1+In_Opex_Esc)^(DN$7-YEAR(In_COD))</f>
        <v>1.7215713975801</v>
      </c>
      <c r="DO109" s="52" t="n">
        <f aca="false">(1+In_Opex_Esc)^(DO$7-YEAR(In_COD))</f>
        <v>1.7215713975801</v>
      </c>
      <c r="DP109" s="52" t="n">
        <f aca="false">(1+In_Opex_Esc)^(DP$7-YEAR(In_COD))</f>
        <v>1.7646106825196</v>
      </c>
      <c r="DQ109" s="52" t="n">
        <f aca="false">(1+In_Opex_Esc)^(DQ$7-YEAR(In_COD))</f>
        <v>1.7646106825196</v>
      </c>
      <c r="DR109" s="52" t="n">
        <f aca="false">(1+In_Opex_Esc)^(DR$7-YEAR(In_COD))</f>
        <v>1.7646106825196</v>
      </c>
      <c r="DS109" s="52" t="n">
        <f aca="false">(1+In_Opex_Esc)^(DS$7-YEAR(In_COD))</f>
        <v>1.7646106825196</v>
      </c>
      <c r="DT109" s="52" t="n">
        <f aca="false">(1+In_Opex_Esc)^(DT$7-YEAR(In_COD))</f>
        <v>1.80872594958259</v>
      </c>
      <c r="DU109" s="52" t="n">
        <f aca="false">(1+In_Opex_Esc)^(DU$7-YEAR(In_COD))</f>
        <v>1.80872594958259</v>
      </c>
      <c r="DV109" s="52" t="n">
        <f aca="false">(1+In_Opex_Esc)^(DV$7-YEAR(In_COD))</f>
        <v>1.80872594958259</v>
      </c>
      <c r="DW109" s="52" t="n">
        <f aca="false">(1+In_Opex_Esc)^(DW$7-YEAR(In_COD))</f>
        <v>1.80872594958259</v>
      </c>
      <c r="DX109" s="52" t="n">
        <f aca="false">(1+In_Opex_Esc)^(DX$7-YEAR(In_COD))</f>
        <v>1.85394409832215</v>
      </c>
      <c r="DY109" s="52" t="n">
        <f aca="false">(1+In_Opex_Esc)^(DY$7-YEAR(In_COD))</f>
        <v>1.85394409832215</v>
      </c>
      <c r="DZ109" s="52" t="n">
        <f aca="false">(1+In_Opex_Esc)^(DZ$7-YEAR(In_COD))</f>
        <v>1.85394409832215</v>
      </c>
      <c r="EA109" s="52" t="n">
        <f aca="false">(1+In_Opex_Esc)^(EA$7-YEAR(In_COD))</f>
        <v>1.85394409832215</v>
      </c>
      <c r="EB109" s="52" t="n">
        <f aca="false">(1+In_Opex_Esc)^(EB$7-YEAR(In_COD))</f>
        <v>1.90029270078021</v>
      </c>
      <c r="EC109" s="52" t="n">
        <f aca="false">(1+In_Opex_Esc)^(EC$7-YEAR(In_COD))</f>
        <v>1.90029270078021</v>
      </c>
      <c r="ED109" s="52" t="n">
        <f aca="false">(1+In_Opex_Esc)^(ED$7-YEAR(In_COD))</f>
        <v>1.90029270078021</v>
      </c>
      <c r="EE109" s="52" t="n">
        <f aca="false">(1+In_Opex_Esc)^(EE$7-YEAR(In_COD))</f>
        <v>1.90029270078021</v>
      </c>
      <c r="EF109" s="52" t="n">
        <f aca="false">(1+In_Opex_Esc)^(EF$7-YEAR(In_COD))</f>
        <v>1.94780001829971</v>
      </c>
      <c r="EG109" s="52" t="n">
        <f aca="false">(1+In_Opex_Esc)^(EG$7-YEAR(In_COD))</f>
        <v>1.94780001829971</v>
      </c>
      <c r="EH109" s="52" t="n">
        <f aca="false">(1+In_Opex_Esc)^(EH$7-YEAR(In_COD))</f>
        <v>1.94780001829971</v>
      </c>
      <c r="EI109" s="52" t="n">
        <f aca="false">(1+In_Opex_Esc)^(EI$7-YEAR(In_COD))</f>
        <v>1.94780001829971</v>
      </c>
      <c r="EJ109" s="52" t="n">
        <f aca="false">(1+In_Opex_Esc)^(EJ$7-YEAR(In_COD))</f>
        <v>1.9964950187572</v>
      </c>
      <c r="EK109" s="52" t="n">
        <f aca="false">(1+In_Opex_Esc)^(EK$7-YEAR(In_COD))</f>
        <v>1.9964950187572</v>
      </c>
      <c r="EL109" s="52" t="n">
        <f aca="false">(1+In_Opex_Esc)^(EL$7-YEAR(In_COD))</f>
        <v>1.9964950187572</v>
      </c>
      <c r="EM109" s="52" t="n">
        <f aca="false">(1+In_Opex_Esc)^(EM$7-YEAR(In_COD))</f>
        <v>1.9964950187572</v>
      </c>
      <c r="EN109" s="52" t="n">
        <f aca="false">(1+In_Opex_Esc)^(EN$7-YEAR(In_COD))</f>
        <v>2.04640739422613</v>
      </c>
      <c r="EO109" s="52" t="n">
        <f aca="false">(1+In_Opex_Esc)^(EO$7-YEAR(In_COD))</f>
        <v>2.04640739422613</v>
      </c>
      <c r="EP109" s="52" t="n">
        <f aca="false">(1+In_Opex_Esc)^(EP$7-YEAR(In_COD))</f>
        <v>2.04640739422613</v>
      </c>
      <c r="EQ109" s="52" t="n">
        <f aca="false">(1+In_Opex_Esc)^(EQ$7-YEAR(In_COD))</f>
        <v>2.04640739422613</v>
      </c>
      <c r="ER109" s="52" t="n">
        <f aca="false">(1+In_Opex_Esc)^(ER$7-YEAR(In_COD))</f>
        <v>2.09756757908179</v>
      </c>
      <c r="ES109" s="52" t="n">
        <f aca="false">(1+In_Opex_Esc)^(ES$7-YEAR(In_COD))</f>
        <v>2.09756757908179</v>
      </c>
      <c r="ET109" s="52" t="n">
        <f aca="false">(1+In_Opex_Esc)^(ET$7-YEAR(In_COD))</f>
        <v>2.09756757908179</v>
      </c>
    </row>
    <row r="110" customFormat="false" ht="15" hidden="false" customHeight="false" outlineLevel="0" collapsed="false">
      <c r="C110" s="0" t="s">
        <v>555</v>
      </c>
      <c r="D110" s="11" t="s">
        <v>32</v>
      </c>
      <c r="J110" s="28" t="n">
        <f aca="false">In_PPA_Price*(1+In_PPA_Esc)^(J$7-YEAR(In_COD))</f>
        <v>85.6319118846074</v>
      </c>
      <c r="K110" s="28" t="n">
        <f aca="false">In_PPA_Price*(1+In_PPA_Esc)^(K$7-YEAR(In_COD))</f>
        <v>85.6319118846074</v>
      </c>
      <c r="L110" s="28" t="n">
        <f aca="false">In_PPA_Price*(1+In_PPA_Esc)^(L$7-YEAR(In_COD))</f>
        <v>86.4882310034535</v>
      </c>
      <c r="M110" s="28" t="n">
        <f aca="false">In_PPA_Price*(1+In_PPA_Esc)^(M$7-YEAR(In_COD))</f>
        <v>86.4882310034535</v>
      </c>
      <c r="N110" s="28" t="n">
        <f aca="false">In_PPA_Price*(1+In_PPA_Esc)^(N$7-YEAR(In_COD))</f>
        <v>86.4882310034535</v>
      </c>
      <c r="O110" s="28" t="n">
        <f aca="false">In_PPA_Price*(1+In_PPA_Esc)^(O$7-YEAR(In_COD))</f>
        <v>86.4882310034535</v>
      </c>
      <c r="P110" s="28" t="n">
        <f aca="false">In_PPA_Price*(1+In_PPA_Esc)^(P$7-YEAR(In_COD))</f>
        <v>87.353113313488</v>
      </c>
      <c r="Q110" s="28" t="n">
        <f aca="false">In_PPA_Price*(1+In_PPA_Esc)^(Q$7-YEAR(In_COD))</f>
        <v>87.353113313488</v>
      </c>
      <c r="R110" s="28" t="n">
        <f aca="false">In_PPA_Price*(1+In_PPA_Esc)^(R$7-YEAR(In_COD))</f>
        <v>87.353113313488</v>
      </c>
      <c r="S110" s="28" t="n">
        <f aca="false">In_PPA_Price*(1+In_PPA_Esc)^(S$7-YEAR(In_COD))</f>
        <v>87.353113313488</v>
      </c>
      <c r="T110" s="28" t="n">
        <f aca="false">In_PPA_Price*(1+In_PPA_Esc)^(T$7-YEAR(In_COD))</f>
        <v>88.2266444466229</v>
      </c>
      <c r="U110" s="28" t="n">
        <f aca="false">In_PPA_Price*(1+In_PPA_Esc)^(U$7-YEAR(In_COD))</f>
        <v>88.2266444466229</v>
      </c>
      <c r="V110" s="28" t="n">
        <f aca="false">In_PPA_Price*(1+In_PPA_Esc)^(V$7-YEAR(In_COD))</f>
        <v>88.2266444466229</v>
      </c>
      <c r="W110" s="28" t="n">
        <f aca="false">In_PPA_Price*(1+In_PPA_Esc)^(W$7-YEAR(In_COD))</f>
        <v>88.2266444466229</v>
      </c>
      <c r="X110" s="28" t="n">
        <f aca="false">In_PPA_Price*(1+In_PPA_Esc)^(X$7-YEAR(In_COD))</f>
        <v>89.1089108910891</v>
      </c>
      <c r="Y110" s="28" t="n">
        <f aca="false">In_PPA_Price*(1+In_PPA_Esc)^(Y$7-YEAR(In_COD))</f>
        <v>89.1089108910891</v>
      </c>
      <c r="Z110" s="28" t="n">
        <f aca="false">In_PPA_Price*(1+In_PPA_Esc)^(Z$7-YEAR(In_COD))</f>
        <v>89.1089108910891</v>
      </c>
      <c r="AA110" s="28" t="n">
        <f aca="false">In_PPA_Price*(1+In_PPA_Esc)^(AA$7-YEAR(In_COD))</f>
        <v>89.1089108910891</v>
      </c>
      <c r="AB110" s="28" t="n">
        <f aca="false">In_PPA_Price*(1+In_PPA_Esc)^(AB$7-YEAR(In_COD))</f>
        <v>90</v>
      </c>
      <c r="AC110" s="28" t="n">
        <f aca="false">In_PPA_Price*(1+In_PPA_Esc)^(AC$7-YEAR(In_COD))</f>
        <v>90</v>
      </c>
      <c r="AD110" s="28" t="n">
        <f aca="false">In_PPA_Price*(1+In_PPA_Esc)^(AD$7-YEAR(In_COD))</f>
        <v>90</v>
      </c>
      <c r="AE110" s="28" t="n">
        <f aca="false">In_PPA_Price*(1+In_PPA_Esc)^(AE$7-YEAR(In_COD))</f>
        <v>90</v>
      </c>
      <c r="AF110" s="28" t="n">
        <f aca="false">In_PPA_Price*(1+In_PPA_Esc)^(AF$7-YEAR(In_COD))</f>
        <v>90.9</v>
      </c>
      <c r="AG110" s="28" t="n">
        <f aca="false">In_PPA_Price*(1+In_PPA_Esc)^(AG$7-YEAR(In_COD))</f>
        <v>90.9</v>
      </c>
      <c r="AH110" s="28" t="n">
        <f aca="false">In_PPA_Price*(1+In_PPA_Esc)^(AH$7-YEAR(In_COD))</f>
        <v>90.9</v>
      </c>
      <c r="AI110" s="28" t="n">
        <f aca="false">In_PPA_Price*(1+In_PPA_Esc)^(AI$7-YEAR(In_COD))</f>
        <v>90.9</v>
      </c>
      <c r="AJ110" s="28" t="n">
        <f aca="false">In_PPA_Price*(1+In_PPA_Esc)^(AJ$7-YEAR(In_COD))</f>
        <v>91.809</v>
      </c>
      <c r="AK110" s="28" t="n">
        <f aca="false">In_PPA_Price*(1+In_PPA_Esc)^(AK$7-YEAR(In_COD))</f>
        <v>91.809</v>
      </c>
      <c r="AL110" s="28" t="n">
        <f aca="false">In_PPA_Price*(1+In_PPA_Esc)^(AL$7-YEAR(In_COD))</f>
        <v>91.809</v>
      </c>
      <c r="AM110" s="28" t="n">
        <f aca="false">In_PPA_Price*(1+In_PPA_Esc)^(AM$7-YEAR(In_COD))</f>
        <v>91.809</v>
      </c>
      <c r="AN110" s="28" t="n">
        <f aca="false">In_PPA_Price*(1+In_PPA_Esc)^(AN$7-YEAR(In_COD))</f>
        <v>92.72709</v>
      </c>
      <c r="AO110" s="28" t="n">
        <f aca="false">In_PPA_Price*(1+In_PPA_Esc)^(AO$7-YEAR(In_COD))</f>
        <v>92.72709</v>
      </c>
      <c r="AP110" s="28" t="n">
        <f aca="false">In_PPA_Price*(1+In_PPA_Esc)^(AP$7-YEAR(In_COD))</f>
        <v>92.72709</v>
      </c>
      <c r="AQ110" s="28" t="n">
        <f aca="false">In_PPA_Price*(1+In_PPA_Esc)^(AQ$7-YEAR(In_COD))</f>
        <v>92.72709</v>
      </c>
      <c r="AR110" s="28" t="n">
        <f aca="false">In_PPA_Price*(1+In_PPA_Esc)^(AR$7-YEAR(In_COD))</f>
        <v>93.6543609</v>
      </c>
      <c r="AS110" s="28" t="n">
        <f aca="false">In_PPA_Price*(1+In_PPA_Esc)^(AS$7-YEAR(In_COD))</f>
        <v>93.6543609</v>
      </c>
      <c r="AT110" s="28" t="n">
        <f aca="false">In_PPA_Price*(1+In_PPA_Esc)^(AT$7-YEAR(In_COD))</f>
        <v>93.6543609</v>
      </c>
      <c r="AU110" s="28" t="n">
        <f aca="false">In_PPA_Price*(1+In_PPA_Esc)^(AU$7-YEAR(In_COD))</f>
        <v>93.6543609</v>
      </c>
      <c r="AV110" s="28" t="n">
        <f aca="false">In_PPA_Price*(1+In_PPA_Esc)^(AV$7-YEAR(In_COD))</f>
        <v>94.590904509</v>
      </c>
      <c r="AW110" s="28" t="n">
        <f aca="false">In_PPA_Price*(1+In_PPA_Esc)^(AW$7-YEAR(In_COD))</f>
        <v>94.590904509</v>
      </c>
      <c r="AX110" s="28" t="n">
        <f aca="false">In_PPA_Price*(1+In_PPA_Esc)^(AX$7-YEAR(In_COD))</f>
        <v>94.590904509</v>
      </c>
      <c r="AY110" s="28" t="n">
        <f aca="false">In_PPA_Price*(1+In_PPA_Esc)^(AY$7-YEAR(In_COD))</f>
        <v>94.590904509</v>
      </c>
      <c r="AZ110" s="28" t="n">
        <f aca="false">In_PPA_Price*(1+In_PPA_Esc)^(AZ$7-YEAR(In_COD))</f>
        <v>95.53681355409</v>
      </c>
      <c r="BA110" s="28" t="n">
        <f aca="false">In_PPA_Price*(1+In_PPA_Esc)^(BA$7-YEAR(In_COD))</f>
        <v>95.53681355409</v>
      </c>
      <c r="BB110" s="28" t="n">
        <f aca="false">In_PPA_Price*(1+In_PPA_Esc)^(BB$7-YEAR(In_COD))</f>
        <v>95.53681355409</v>
      </c>
      <c r="BC110" s="28" t="n">
        <f aca="false">In_PPA_Price*(1+In_PPA_Esc)^(BC$7-YEAR(In_COD))</f>
        <v>95.53681355409</v>
      </c>
      <c r="BD110" s="28" t="n">
        <f aca="false">In_PPA_Price*(1+In_PPA_Esc)^(BD$7-YEAR(In_COD))</f>
        <v>96.4921816896309</v>
      </c>
      <c r="BE110" s="28" t="n">
        <f aca="false">In_PPA_Price*(1+In_PPA_Esc)^(BE$7-YEAR(In_COD))</f>
        <v>96.4921816896309</v>
      </c>
      <c r="BF110" s="28" t="n">
        <f aca="false">In_PPA_Price*(1+In_PPA_Esc)^(BF$7-YEAR(In_COD))</f>
        <v>96.4921816896309</v>
      </c>
      <c r="BG110" s="28" t="n">
        <f aca="false">In_PPA_Price*(1+In_PPA_Esc)^(BG$7-YEAR(In_COD))</f>
        <v>96.4921816896309</v>
      </c>
      <c r="BH110" s="28" t="n">
        <f aca="false">In_PPA_Price*(1+In_PPA_Esc)^(BH$7-YEAR(In_COD))</f>
        <v>97.4571035065272</v>
      </c>
      <c r="BI110" s="28" t="n">
        <f aca="false">In_PPA_Price*(1+In_PPA_Esc)^(BI$7-YEAR(In_COD))</f>
        <v>97.4571035065272</v>
      </c>
      <c r="BJ110" s="28" t="n">
        <f aca="false">In_PPA_Price*(1+In_PPA_Esc)^(BJ$7-YEAR(In_COD))</f>
        <v>97.4571035065272</v>
      </c>
      <c r="BK110" s="28" t="n">
        <f aca="false">In_PPA_Price*(1+In_PPA_Esc)^(BK$7-YEAR(In_COD))</f>
        <v>97.4571035065272</v>
      </c>
      <c r="BL110" s="28" t="n">
        <f aca="false">In_PPA_Price*(1+In_PPA_Esc)^(BL$7-YEAR(In_COD))</f>
        <v>98.4316745415925</v>
      </c>
      <c r="BM110" s="28" t="n">
        <f aca="false">In_PPA_Price*(1+In_PPA_Esc)^(BM$7-YEAR(In_COD))</f>
        <v>98.4316745415925</v>
      </c>
      <c r="BN110" s="28" t="n">
        <f aca="false">In_PPA_Price*(1+In_PPA_Esc)^(BN$7-YEAR(In_COD))</f>
        <v>98.4316745415925</v>
      </c>
      <c r="BO110" s="28" t="n">
        <f aca="false">In_PPA_Price*(1+In_PPA_Esc)^(BO$7-YEAR(In_COD))</f>
        <v>98.4316745415925</v>
      </c>
      <c r="BP110" s="28" t="n">
        <f aca="false">In_PPA_Price*(1+In_PPA_Esc)^(BP$7-YEAR(In_COD))</f>
        <v>99.4159912870084</v>
      </c>
      <c r="BQ110" s="28" t="n">
        <f aca="false">In_PPA_Price*(1+In_PPA_Esc)^(BQ$7-YEAR(In_COD))</f>
        <v>99.4159912870084</v>
      </c>
      <c r="BR110" s="28" t="n">
        <f aca="false">In_PPA_Price*(1+In_PPA_Esc)^(BR$7-YEAR(In_COD))</f>
        <v>99.4159912870084</v>
      </c>
      <c r="BS110" s="28" t="n">
        <f aca="false">In_PPA_Price*(1+In_PPA_Esc)^(BS$7-YEAR(In_COD))</f>
        <v>99.4159912870084</v>
      </c>
      <c r="BT110" s="28" t="n">
        <f aca="false">In_PPA_Price*(1+In_PPA_Esc)^(BT$7-YEAR(In_COD))</f>
        <v>100.410151199878</v>
      </c>
      <c r="BU110" s="28" t="n">
        <f aca="false">In_PPA_Price*(1+In_PPA_Esc)^(BU$7-YEAR(In_COD))</f>
        <v>100.410151199878</v>
      </c>
      <c r="BV110" s="28" t="n">
        <f aca="false">In_PPA_Price*(1+In_PPA_Esc)^(BV$7-YEAR(In_COD))</f>
        <v>100.410151199878</v>
      </c>
      <c r="BW110" s="28" t="n">
        <f aca="false">In_PPA_Price*(1+In_PPA_Esc)^(BW$7-YEAR(In_COD))</f>
        <v>100.410151199878</v>
      </c>
      <c r="BX110" s="28" t="n">
        <f aca="false">In_PPA_Price*(1+In_PPA_Esc)^(BX$7-YEAR(In_COD))</f>
        <v>101.414252711877</v>
      </c>
      <c r="BY110" s="28" t="n">
        <f aca="false">In_PPA_Price*(1+In_PPA_Esc)^(BY$7-YEAR(In_COD))</f>
        <v>101.414252711877</v>
      </c>
      <c r="BZ110" s="28" t="n">
        <f aca="false">In_PPA_Price*(1+In_PPA_Esc)^(BZ$7-YEAR(In_COD))</f>
        <v>101.414252711877</v>
      </c>
      <c r="CA110" s="28" t="n">
        <f aca="false">In_PPA_Price*(1+In_PPA_Esc)^(CA$7-YEAR(In_COD))</f>
        <v>101.414252711877</v>
      </c>
      <c r="CB110" s="28" t="n">
        <f aca="false">In_PPA_Price*(1+In_PPA_Esc)^(CB$7-YEAR(In_COD))</f>
        <v>102.428395238996</v>
      </c>
      <c r="CC110" s="28" t="n">
        <f aca="false">In_PPA_Price*(1+In_PPA_Esc)^(CC$7-YEAR(In_COD))</f>
        <v>102.428395238996</v>
      </c>
      <c r="CD110" s="28" t="n">
        <f aca="false">In_PPA_Price*(1+In_PPA_Esc)^(CD$7-YEAR(In_COD))</f>
        <v>102.428395238996</v>
      </c>
      <c r="CE110" s="28" t="n">
        <f aca="false">In_PPA_Price*(1+In_PPA_Esc)^(CE$7-YEAR(In_COD))</f>
        <v>102.428395238996</v>
      </c>
      <c r="CF110" s="28" t="n">
        <f aca="false">In_PPA_Price*(1+In_PPA_Esc)^(CF$7-YEAR(In_COD))</f>
        <v>103.452679191386</v>
      </c>
      <c r="CG110" s="28" t="n">
        <f aca="false">In_PPA_Price*(1+In_PPA_Esc)^(CG$7-YEAR(In_COD))</f>
        <v>103.452679191386</v>
      </c>
      <c r="CH110" s="28" t="n">
        <f aca="false">In_PPA_Price*(1+In_PPA_Esc)^(CH$7-YEAR(In_COD))</f>
        <v>103.452679191386</v>
      </c>
      <c r="CI110" s="28" t="n">
        <f aca="false">In_PPA_Price*(1+In_PPA_Esc)^(CI$7-YEAR(In_COD))</f>
        <v>103.452679191386</v>
      </c>
      <c r="CJ110" s="28" t="n">
        <f aca="false">In_PPA_Price*(1+In_PPA_Esc)^(CJ$7-YEAR(In_COD))</f>
        <v>104.4872059833</v>
      </c>
      <c r="CK110" s="28" t="n">
        <f aca="false">In_PPA_Price*(1+In_PPA_Esc)^(CK$7-YEAR(In_COD))</f>
        <v>104.4872059833</v>
      </c>
      <c r="CL110" s="28" t="n">
        <f aca="false">In_PPA_Price*(1+In_PPA_Esc)^(CL$7-YEAR(In_COD))</f>
        <v>104.4872059833</v>
      </c>
      <c r="CM110" s="28" t="n">
        <f aca="false">In_PPA_Price*(1+In_PPA_Esc)^(CM$7-YEAR(In_COD))</f>
        <v>104.4872059833</v>
      </c>
      <c r="CN110" s="28" t="n">
        <f aca="false">In_PPA_Price*(1+In_PPA_Esc)^(CN$7-YEAR(In_COD))</f>
        <v>105.532078043133</v>
      </c>
      <c r="CO110" s="28" t="n">
        <f aca="false">In_PPA_Price*(1+In_PPA_Esc)^(CO$7-YEAR(In_COD))</f>
        <v>105.532078043133</v>
      </c>
      <c r="CP110" s="28" t="n">
        <f aca="false">In_PPA_Price*(1+In_PPA_Esc)^(CP$7-YEAR(In_COD))</f>
        <v>105.532078043133</v>
      </c>
      <c r="CQ110" s="28" t="n">
        <f aca="false">In_PPA_Price*(1+In_PPA_Esc)^(CQ$7-YEAR(In_COD))</f>
        <v>105.532078043133</v>
      </c>
      <c r="CR110" s="28" t="n">
        <f aca="false">In_PPA_Price*(1+In_PPA_Esc)^(CR$7-YEAR(In_COD))</f>
        <v>106.587398823564</v>
      </c>
      <c r="CS110" s="28" t="n">
        <f aca="false">In_PPA_Price*(1+In_PPA_Esc)^(CS$7-YEAR(In_COD))</f>
        <v>106.587398823564</v>
      </c>
      <c r="CT110" s="28" t="n">
        <f aca="false">In_PPA_Price*(1+In_PPA_Esc)^(CT$7-YEAR(In_COD))</f>
        <v>106.587398823564</v>
      </c>
      <c r="CU110" s="28" t="n">
        <f aca="false">In_PPA_Price*(1+In_PPA_Esc)^(CU$7-YEAR(In_COD))</f>
        <v>106.587398823564</v>
      </c>
      <c r="CV110" s="28" t="n">
        <f aca="false">In_PPA_Price*(1+In_PPA_Esc)^(CV$7-YEAR(In_COD))</f>
        <v>107.6532728118</v>
      </c>
      <c r="CW110" s="28" t="n">
        <f aca="false">In_PPA_Price*(1+In_PPA_Esc)^(CW$7-YEAR(In_COD))</f>
        <v>107.6532728118</v>
      </c>
      <c r="CX110" s="28" t="n">
        <f aca="false">In_PPA_Price*(1+In_PPA_Esc)^(CX$7-YEAR(In_COD))</f>
        <v>107.6532728118</v>
      </c>
      <c r="CY110" s="28" t="n">
        <f aca="false">In_PPA_Price*(1+In_PPA_Esc)^(CY$7-YEAR(In_COD))</f>
        <v>107.6532728118</v>
      </c>
      <c r="CZ110" s="28" t="n">
        <f aca="false">In_PPA_Price*(1+In_PPA_Esc)^(CZ$7-YEAR(In_COD))</f>
        <v>108.729805539918</v>
      </c>
      <c r="DA110" s="28" t="n">
        <f aca="false">In_PPA_Price*(1+In_PPA_Esc)^(DA$7-YEAR(In_COD))</f>
        <v>108.729805539918</v>
      </c>
      <c r="DB110" s="28" t="n">
        <f aca="false">In_PPA_Price*(1+In_PPA_Esc)^(DB$7-YEAR(In_COD))</f>
        <v>108.729805539918</v>
      </c>
      <c r="DC110" s="28" t="n">
        <f aca="false">In_PPA_Price*(1+In_PPA_Esc)^(DC$7-YEAR(In_COD))</f>
        <v>108.729805539918</v>
      </c>
      <c r="DD110" s="28" t="n">
        <f aca="false">In_PPA_Price*(1+In_PPA_Esc)^(DD$7-YEAR(In_COD))</f>
        <v>109.817103595317</v>
      </c>
      <c r="DE110" s="28" t="n">
        <f aca="false">In_PPA_Price*(1+In_PPA_Esc)^(DE$7-YEAR(In_COD))</f>
        <v>109.817103595317</v>
      </c>
      <c r="DF110" s="28" t="n">
        <f aca="false">In_PPA_Price*(1+In_PPA_Esc)^(DF$7-YEAR(In_COD))</f>
        <v>109.817103595317</v>
      </c>
      <c r="DG110" s="28" t="n">
        <f aca="false">In_PPA_Price*(1+In_PPA_Esc)^(DG$7-YEAR(In_COD))</f>
        <v>109.817103595317</v>
      </c>
      <c r="DH110" s="28" t="n">
        <f aca="false">In_PPA_Price*(1+In_PPA_Esc)^(DH$7-YEAR(In_COD))</f>
        <v>110.91527463127</v>
      </c>
      <c r="DI110" s="28" t="n">
        <f aca="false">In_PPA_Price*(1+In_PPA_Esc)^(DI$7-YEAR(In_COD))</f>
        <v>110.91527463127</v>
      </c>
      <c r="DJ110" s="28" t="n">
        <f aca="false">In_PPA_Price*(1+In_PPA_Esc)^(DJ$7-YEAR(In_COD))</f>
        <v>110.91527463127</v>
      </c>
      <c r="DK110" s="28" t="n">
        <f aca="false">In_PPA_Price*(1+In_PPA_Esc)^(DK$7-YEAR(In_COD))</f>
        <v>110.91527463127</v>
      </c>
      <c r="DL110" s="28" t="n">
        <f aca="false">In_PPA_Price*(1+In_PPA_Esc)^(DL$7-YEAR(In_COD))</f>
        <v>112.024427377583</v>
      </c>
      <c r="DM110" s="28" t="n">
        <f aca="false">In_PPA_Price*(1+In_PPA_Esc)^(DM$7-YEAR(In_COD))</f>
        <v>112.024427377583</v>
      </c>
      <c r="DN110" s="28" t="n">
        <f aca="false">In_PPA_Price*(1+In_PPA_Esc)^(DN$7-YEAR(In_COD))</f>
        <v>112.024427377583</v>
      </c>
      <c r="DO110" s="28" t="n">
        <f aca="false">In_PPA_Price*(1+In_PPA_Esc)^(DO$7-YEAR(In_COD))</f>
        <v>112.024427377583</v>
      </c>
      <c r="DP110" s="28" t="n">
        <f aca="false">In_PPA_Price*(1+In_PPA_Esc)^(DP$7-YEAR(In_COD))</f>
        <v>113.144671651359</v>
      </c>
      <c r="DQ110" s="28" t="n">
        <f aca="false">In_PPA_Price*(1+In_PPA_Esc)^(DQ$7-YEAR(In_COD))</f>
        <v>113.144671651359</v>
      </c>
      <c r="DR110" s="28" t="n">
        <f aca="false">In_PPA_Price*(1+In_PPA_Esc)^(DR$7-YEAR(In_COD))</f>
        <v>113.144671651359</v>
      </c>
      <c r="DS110" s="28" t="n">
        <f aca="false">In_PPA_Price*(1+In_PPA_Esc)^(DS$7-YEAR(In_COD))</f>
        <v>113.144671651359</v>
      </c>
      <c r="DT110" s="28" t="n">
        <f aca="false">In_PPA_Price*(1+In_PPA_Esc)^(DT$7-YEAR(In_COD))</f>
        <v>114.276118367872</v>
      </c>
      <c r="DU110" s="28" t="n">
        <f aca="false">In_PPA_Price*(1+In_PPA_Esc)^(DU$7-YEAR(In_COD))</f>
        <v>114.276118367872</v>
      </c>
      <c r="DV110" s="28" t="n">
        <f aca="false">In_PPA_Price*(1+In_PPA_Esc)^(DV$7-YEAR(In_COD))</f>
        <v>114.276118367872</v>
      </c>
      <c r="DW110" s="28" t="n">
        <f aca="false">In_PPA_Price*(1+In_PPA_Esc)^(DW$7-YEAR(In_COD))</f>
        <v>114.276118367872</v>
      </c>
      <c r="DX110" s="28" t="n">
        <f aca="false">In_PPA_Price*(1+In_PPA_Esc)^(DX$7-YEAR(In_COD))</f>
        <v>115.418879551551</v>
      </c>
      <c r="DY110" s="28" t="n">
        <f aca="false">In_PPA_Price*(1+In_PPA_Esc)^(DY$7-YEAR(In_COD))</f>
        <v>115.418879551551</v>
      </c>
      <c r="DZ110" s="28" t="n">
        <f aca="false">In_PPA_Price*(1+In_PPA_Esc)^(DZ$7-YEAR(In_COD))</f>
        <v>115.418879551551</v>
      </c>
      <c r="EA110" s="28" t="n">
        <f aca="false">In_PPA_Price*(1+In_PPA_Esc)^(EA$7-YEAR(In_COD))</f>
        <v>115.418879551551</v>
      </c>
      <c r="EB110" s="28" t="n">
        <f aca="false">In_PPA_Price*(1+In_PPA_Esc)^(EB$7-YEAR(In_COD))</f>
        <v>116.573068347067</v>
      </c>
      <c r="EC110" s="28" t="n">
        <f aca="false">In_PPA_Price*(1+In_PPA_Esc)^(EC$7-YEAR(In_COD))</f>
        <v>116.573068347067</v>
      </c>
      <c r="ED110" s="28" t="n">
        <f aca="false">In_PPA_Price*(1+In_PPA_Esc)^(ED$7-YEAR(In_COD))</f>
        <v>116.573068347067</v>
      </c>
      <c r="EE110" s="28" t="n">
        <f aca="false">In_PPA_Price*(1+In_PPA_Esc)^(EE$7-YEAR(In_COD))</f>
        <v>116.573068347067</v>
      </c>
      <c r="EF110" s="28" t="n">
        <f aca="false">In_PPA_Price*(1+In_PPA_Esc)^(EF$7-YEAR(In_COD))</f>
        <v>117.738799030537</v>
      </c>
      <c r="EG110" s="28" t="n">
        <f aca="false">In_PPA_Price*(1+In_PPA_Esc)^(EG$7-YEAR(In_COD))</f>
        <v>117.738799030537</v>
      </c>
      <c r="EH110" s="28" t="n">
        <f aca="false">In_PPA_Price*(1+In_PPA_Esc)^(EH$7-YEAR(In_COD))</f>
        <v>117.738799030537</v>
      </c>
      <c r="EI110" s="28" t="n">
        <f aca="false">In_PPA_Price*(1+In_PPA_Esc)^(EI$7-YEAR(In_COD))</f>
        <v>117.738799030537</v>
      </c>
      <c r="EJ110" s="28" t="n">
        <f aca="false">In_PPA_Price*(1+In_PPA_Esc)^(EJ$7-YEAR(In_COD))</f>
        <v>118.916187020843</v>
      </c>
      <c r="EK110" s="28" t="n">
        <f aca="false">In_PPA_Price*(1+In_PPA_Esc)^(EK$7-YEAR(In_COD))</f>
        <v>118.916187020843</v>
      </c>
      <c r="EL110" s="28" t="n">
        <f aca="false">In_PPA_Price*(1+In_PPA_Esc)^(EL$7-YEAR(In_COD))</f>
        <v>118.916187020843</v>
      </c>
      <c r="EM110" s="28" t="n">
        <f aca="false">In_PPA_Price*(1+In_PPA_Esc)^(EM$7-YEAR(In_COD))</f>
        <v>118.916187020843</v>
      </c>
      <c r="EN110" s="28" t="n">
        <f aca="false">In_PPA_Price*(1+In_PPA_Esc)^(EN$7-YEAR(In_COD))</f>
        <v>120.105348891051</v>
      </c>
      <c r="EO110" s="28" t="n">
        <f aca="false">In_PPA_Price*(1+In_PPA_Esc)^(EO$7-YEAR(In_COD))</f>
        <v>120.105348891051</v>
      </c>
      <c r="EP110" s="28" t="n">
        <f aca="false">In_PPA_Price*(1+In_PPA_Esc)^(EP$7-YEAR(In_COD))</f>
        <v>120.105348891051</v>
      </c>
      <c r="EQ110" s="28" t="n">
        <f aca="false">In_PPA_Price*(1+In_PPA_Esc)^(EQ$7-YEAR(In_COD))</f>
        <v>120.105348891051</v>
      </c>
      <c r="ER110" s="28" t="n">
        <f aca="false">In_PPA_Price*(1+In_PPA_Esc)^(ER$7-YEAR(In_COD))</f>
        <v>121.306402379962</v>
      </c>
      <c r="ES110" s="28" t="n">
        <f aca="false">In_PPA_Price*(1+In_PPA_Esc)^(ES$7-YEAR(In_COD))</f>
        <v>121.306402379962</v>
      </c>
      <c r="ET110" s="28" t="n">
        <f aca="false">In_PPA_Price*(1+In_PPA_Esc)^(ET$7-YEAR(In_COD))</f>
        <v>121.306402379962</v>
      </c>
    </row>
    <row r="111" customFormat="false" ht="15" hidden="false" customHeight="false" outlineLevel="0" collapsed="false">
      <c r="C111" s="0" t="s">
        <v>556</v>
      </c>
      <c r="D111" s="11" t="s">
        <v>491</v>
      </c>
      <c r="I111" s="33" t="n">
        <f aca="false">SUM(J111:ET111)</f>
        <v>6931492.24461103</v>
      </c>
      <c r="J111" s="33" t="n">
        <f aca="false">$F24*In_P50_Hours*(1-In_Curtailment)*(1-$E27)*(1-In_Degradation)^(J108-1)*J15*J$6</f>
        <v>0</v>
      </c>
      <c r="K111" s="33" t="n">
        <f aca="false">$F24*In_P50_Hours*(1-In_Curtailment)*(1-$E27)*(1-In_Degradation)^(K108-1)*K15*K$6</f>
        <v>0</v>
      </c>
      <c r="L111" s="33" t="n">
        <f aca="false">$F24*In_P50_Hours*(1-In_Curtailment)*(1-$E27)*(1-In_Degradation)^(L108-1)*L15*L$6</f>
        <v>0</v>
      </c>
      <c r="M111" s="33" t="n">
        <f aca="false">$F24*In_P50_Hours*(1-In_Curtailment)*(1-$E27)*(1-In_Degradation)^(M108-1)*M15*M$6</f>
        <v>0</v>
      </c>
      <c r="N111" s="33" t="n">
        <f aca="false">$F24*In_P50_Hours*(1-In_Curtailment)*(1-$E27)*(1-In_Degradation)^(N108-1)*N15*N$6</f>
        <v>0</v>
      </c>
      <c r="O111" s="33" t="n">
        <f aca="false">$F24*In_P50_Hours*(1-In_Curtailment)*(1-$E27)*(1-In_Degradation)^(O108-1)*O15*O$6</f>
        <v>0</v>
      </c>
      <c r="P111" s="33" t="n">
        <f aca="false">$F24*In_P50_Hours*(1-In_Curtailment)*(1-$E27)*(1-In_Degradation)^(P108-1)*P15*P$6</f>
        <v>0</v>
      </c>
      <c r="Q111" s="33" t="n">
        <f aca="false">$F24*In_P50_Hours*(1-In_Curtailment)*(1-$E27)*(1-In_Degradation)^(Q108-1)*Q15*Q$6</f>
        <v>0</v>
      </c>
      <c r="R111" s="33" t="n">
        <f aca="false">$F24*In_P50_Hours*(1-In_Curtailment)*(1-$E27)*(1-In_Degradation)^(R108-1)*R15*R$6</f>
        <v>0</v>
      </c>
      <c r="S111" s="33" t="n">
        <f aca="false">$F24*In_P50_Hours*(1-In_Curtailment)*(1-$E27)*(1-In_Degradation)^(S108-1)*S15*S$6</f>
        <v>0</v>
      </c>
      <c r="T111" s="33" t="n">
        <f aca="false">$F24*In_P50_Hours*(1-In_Curtailment)*(1-$E27)*(1-In_Degradation)^(T108-1)*T15*T$6</f>
        <v>0</v>
      </c>
      <c r="U111" s="33" t="n">
        <f aca="false">$F24*In_P50_Hours*(1-In_Curtailment)*(1-$E27)*(1-In_Degradation)^(U108-1)*U15*U$6</f>
        <v>0</v>
      </c>
      <c r="V111" s="33" t="n">
        <f aca="false">$F24*In_P50_Hours*(1-In_Curtailment)*(1-$E27)*(1-In_Degradation)^(V108-1)*V15*V$6</f>
        <v>0</v>
      </c>
      <c r="W111" s="33" t="n">
        <f aca="false">$F24*In_P50_Hours*(1-In_Curtailment)*(1-$E27)*(1-In_Degradation)^(W108-1)*W15*W$6</f>
        <v>0</v>
      </c>
      <c r="X111" s="33" t="n">
        <f aca="false">$F24*In_P50_Hours*(1-In_Curtailment)*(1-$E27)*(1-In_Degradation)^(X108-1)*X15*X$6</f>
        <v>0</v>
      </c>
      <c r="Y111" s="33" t="n">
        <f aca="false">$F24*In_P50_Hours*(1-In_Curtailment)*(1-$E27)*(1-In_Degradation)^(Y108-1)*Y15*Y$6</f>
        <v>0</v>
      </c>
      <c r="Z111" s="33" t="n">
        <f aca="false">$F24*In_P50_Hours*(1-In_Curtailment)*(1-$E27)*(1-In_Degradation)^(Z108-1)*Z15*Z$6</f>
        <v>0</v>
      </c>
      <c r="AA111" s="33" t="n">
        <f aca="false">$F24*In_P50_Hours*(1-In_Curtailment)*(1-$E27)*(1-In_Degradation)^(AA108-1)*AA15*AA$6</f>
        <v>0</v>
      </c>
      <c r="AB111" s="33" t="n">
        <f aca="false">$F24*In_P50_Hours*(1-In_Curtailment)*(1-$E27)*(1-In_Degradation)^(AB108-1)*AB15*AB$6</f>
        <v>0</v>
      </c>
      <c r="AC111" s="33" t="n">
        <f aca="false">$F24*In_P50_Hours*(1-In_Curtailment)*(1-$E27)*(1-In_Degradation)^(AC108-1)*AC15*AC$6</f>
        <v>0</v>
      </c>
      <c r="AD111" s="33" t="n">
        <f aca="false">$F24*In_P50_Hours*(1-In_Curtailment)*(1-$E27)*(1-In_Degradation)^(AD108-1)*AD15*AD$6</f>
        <v>0</v>
      </c>
      <c r="AE111" s="33" t="n">
        <f aca="false">$F24*In_P50_Hours*(1-In_Curtailment)*(1-$E27)*(1-In_Degradation)^(AE108-1)*AE15*AE$6</f>
        <v>60765.3698630137</v>
      </c>
      <c r="AF111" s="33" t="n">
        <f aca="false">$F24*In_P50_Hours*(1-In_Curtailment)*(1-$E27)*(1-In_Degradation)^(AF108-1)*AF15*AF$6</f>
        <v>60104.8767123288</v>
      </c>
      <c r="AG111" s="33" t="n">
        <f aca="false">$F24*In_P50_Hours*(1-In_Curtailment)*(1-$E27)*(1-In_Degradation)^(AG108-1)*AG15*AG$6</f>
        <v>60104.8767123288</v>
      </c>
      <c r="AH111" s="33" t="n">
        <f aca="false">$F24*In_P50_Hours*(1-In_Curtailment)*(1-$E27)*(1-In_Degradation)^(AH108-1)*AH15*AH$6</f>
        <v>60765.3698630137</v>
      </c>
      <c r="AI111" s="33" t="n">
        <f aca="false">$F24*In_P50_Hours*(1-In_Curtailment)*(1-$E27)*(1-In_Degradation)^(AI108-1)*AI15*AI$6</f>
        <v>60583.0737534247</v>
      </c>
      <c r="AJ111" s="33" t="n">
        <f aca="false">$F24*In_P50_Hours*(1-In_Curtailment)*(1-$E27)*(1-In_Degradation)^(AJ108-1)*AJ15*AJ$6</f>
        <v>59266.0504109589</v>
      </c>
      <c r="AK111" s="33" t="n">
        <f aca="false">$F24*In_P50_Hours*(1-In_Curtailment)*(1-$E27)*(1-In_Degradation)^(AK108-1)*AK15*AK$6</f>
        <v>59924.5620821918</v>
      </c>
      <c r="AL111" s="33" t="n">
        <f aca="false">$F24*In_P50_Hours*(1-In_Curtailment)*(1-$E27)*(1-In_Degradation)^(AL108-1)*AL15*AL$6</f>
        <v>60583.0737534247</v>
      </c>
      <c r="AM111" s="33" t="n">
        <f aca="false">$F24*In_P50_Hours*(1-In_Curtailment)*(1-$E27)*(1-In_Degradation)^(AM108-1)*AM15*AM$6</f>
        <v>60401.3245321644</v>
      </c>
      <c r="AN111" s="33" t="n">
        <f aca="false">$F24*In_P50_Hours*(1-In_Curtailment)*(1-$E27)*(1-In_Degradation)^(AN108-1)*AN15*AN$6</f>
        <v>59088.252259726</v>
      </c>
      <c r="AO111" s="33" t="n">
        <f aca="false">$F24*In_P50_Hours*(1-In_Curtailment)*(1-$E27)*(1-In_Degradation)^(AO108-1)*AO15*AO$6</f>
        <v>59744.7883959452</v>
      </c>
      <c r="AP111" s="33" t="n">
        <f aca="false">$F24*In_P50_Hours*(1-In_Curtailment)*(1-$E27)*(1-In_Degradation)^(AP108-1)*AP15*AP$6</f>
        <v>60401.3245321644</v>
      </c>
      <c r="AQ111" s="33" t="n">
        <f aca="false">$F24*In_P50_Hours*(1-In_Curtailment)*(1-$E27)*(1-In_Degradation)^(AQ108-1)*AQ15*AQ$6</f>
        <v>60220.1205585679</v>
      </c>
      <c r="AR111" s="33" t="n">
        <f aca="false">$F24*In_P50_Hours*(1-In_Curtailment)*(1-$E27)*(1-In_Degradation)^(AR108-1)*AR15*AR$6</f>
        <v>58910.9875029468</v>
      </c>
      <c r="AS111" s="33" t="n">
        <f aca="false">$F24*In_P50_Hours*(1-In_Curtailment)*(1-$E27)*(1-In_Degradation)^(AS108-1)*AS15*AS$6</f>
        <v>59565.5540307574</v>
      </c>
      <c r="AT111" s="33" t="n">
        <f aca="false">$F24*In_P50_Hours*(1-In_Curtailment)*(1-$E27)*(1-In_Degradation)^(AT108-1)*AT15*AT$6</f>
        <v>60220.1205585679</v>
      </c>
      <c r="AU111" s="33" t="n">
        <f aca="false">$F24*In_P50_Hours*(1-In_Curtailment)*(1-$E27)*(1-In_Degradation)^(AU108-1)*AU15*AU$6</f>
        <v>60039.4601968922</v>
      </c>
      <c r="AV111" s="33" t="n">
        <f aca="false">$F24*In_P50_Hours*(1-In_Curtailment)*(1-$E27)*(1-In_Degradation)^(AV108-1)*AV15*AV$6</f>
        <v>59386.8573686651</v>
      </c>
      <c r="AW111" s="33" t="n">
        <f aca="false">$F24*In_P50_Hours*(1-In_Curtailment)*(1-$E27)*(1-In_Degradation)^(AW108-1)*AW15*AW$6</f>
        <v>59386.8573686651</v>
      </c>
      <c r="AX111" s="33" t="n">
        <f aca="false">$F24*In_P50_Hours*(1-In_Curtailment)*(1-$E27)*(1-In_Degradation)^(AX108-1)*AX15*AX$6</f>
        <v>60039.4601968922</v>
      </c>
      <c r="AY111" s="33" t="n">
        <f aca="false">$F24*In_P50_Hours*(1-In_Curtailment)*(1-$E27)*(1-In_Degradation)^(AY108-1)*AY15*AY$6</f>
        <v>59859.3418163015</v>
      </c>
      <c r="AZ111" s="33" t="n">
        <f aca="false">$F24*In_P50_Hours*(1-In_Curtailment)*(1-$E27)*(1-In_Degradation)^(AZ108-1)*AZ15*AZ$6</f>
        <v>58558.0517768167</v>
      </c>
      <c r="BA111" s="33" t="n">
        <f aca="false">$F24*In_P50_Hours*(1-In_Curtailment)*(1-$E27)*(1-In_Degradation)^(BA108-1)*BA15*BA$6</f>
        <v>59208.6967965591</v>
      </c>
      <c r="BB111" s="33" t="n">
        <f aca="false">$F24*In_P50_Hours*(1-In_Curtailment)*(1-$E27)*(1-In_Degradation)^(BB108-1)*BB15*BB$6</f>
        <v>59859.3418163015</v>
      </c>
      <c r="BC111" s="33" t="n">
        <f aca="false">$F24*In_P50_Hours*(1-In_Curtailment)*(1-$E27)*(1-In_Degradation)^(BC108-1)*BC15*BC$6</f>
        <v>59679.7637908526</v>
      </c>
      <c r="BD111" s="33" t="n">
        <f aca="false">$F24*In_P50_Hours*(1-In_Curtailment)*(1-$E27)*(1-In_Degradation)^(BD108-1)*BD15*BD$6</f>
        <v>58382.3776214862</v>
      </c>
      <c r="BE111" s="33" t="n">
        <f aca="false">$F24*In_P50_Hours*(1-In_Curtailment)*(1-$E27)*(1-In_Degradation)^(BE108-1)*BE15*BE$6</f>
        <v>59031.0707061694</v>
      </c>
      <c r="BF111" s="33" t="n">
        <f aca="false">$F24*In_P50_Hours*(1-In_Curtailment)*(1-$E27)*(1-In_Degradation)^(BF108-1)*BF15*BF$6</f>
        <v>59679.7637908526</v>
      </c>
      <c r="BG111" s="33" t="n">
        <f aca="false">$F24*In_P50_Hours*(1-In_Curtailment)*(1-$E27)*(1-In_Degradation)^(BG108-1)*BG15*BG$6</f>
        <v>59500.7244994801</v>
      </c>
      <c r="BH111" s="33" t="n">
        <f aca="false">$F24*In_P50_Hours*(1-In_Curtailment)*(1-$E27)*(1-In_Degradation)^(BH108-1)*BH15*BH$6</f>
        <v>58207.2304886218</v>
      </c>
      <c r="BI111" s="33" t="n">
        <f aca="false">$F24*In_P50_Hours*(1-In_Curtailment)*(1-$E27)*(1-In_Degradation)^(BI108-1)*BI15*BI$6</f>
        <v>58853.9774940509</v>
      </c>
      <c r="BJ111" s="33" t="n">
        <f aca="false">$F24*In_P50_Hours*(1-In_Curtailment)*(1-$E27)*(1-In_Degradation)^(BJ108-1)*BJ15*BJ$6</f>
        <v>59500.7244994801</v>
      </c>
      <c r="BK111" s="33" t="n">
        <f aca="false">$F24*In_P50_Hours*(1-In_Curtailment)*(1-$E27)*(1-In_Degradation)^(BK108-1)*BK15*BK$6</f>
        <v>59322.2223259816</v>
      </c>
      <c r="BL111" s="33" t="n">
        <f aca="false">$F24*In_P50_Hours*(1-In_Curtailment)*(1-$E27)*(1-In_Degradation)^(BL108-1)*BL15*BL$6</f>
        <v>58677.4155615688</v>
      </c>
      <c r="BM111" s="33" t="n">
        <f aca="false">$F24*In_P50_Hours*(1-In_Curtailment)*(1-$E27)*(1-In_Degradation)^(BM108-1)*BM15*BM$6</f>
        <v>58677.4155615688</v>
      </c>
      <c r="BN111" s="33" t="n">
        <f aca="false">$F24*In_P50_Hours*(1-In_Curtailment)*(1-$E27)*(1-In_Degradation)^(BN108-1)*BN15*BN$6</f>
        <v>59322.2223259816</v>
      </c>
      <c r="BO111" s="33" t="n">
        <f aca="false">$F24*In_P50_Hours*(1-In_Curtailment)*(1-$E27)*(1-In_Degradation)^(BO108-1)*BO15*BO$6</f>
        <v>59144.2556590037</v>
      </c>
      <c r="BP111" s="33" t="n">
        <f aca="false">$F24*In_P50_Hours*(1-In_Curtailment)*(1-$E27)*(1-In_Degradation)^(BP108-1)*BP15*BP$6</f>
        <v>57858.5109707644</v>
      </c>
      <c r="BQ111" s="33" t="n">
        <f aca="false">$F24*In_P50_Hours*(1-In_Curtailment)*(1-$E27)*(1-In_Degradation)^(BQ108-1)*BQ15*BQ$6</f>
        <v>58501.3833148841</v>
      </c>
      <c r="BR111" s="33" t="n">
        <f aca="false">$F24*In_P50_Hours*(1-In_Curtailment)*(1-$E27)*(1-In_Degradation)^(BR108-1)*BR15*BR$6</f>
        <v>59144.2556590037</v>
      </c>
      <c r="BS111" s="33" t="n">
        <f aca="false">$F24*In_P50_Hours*(1-In_Curtailment)*(1-$E27)*(1-In_Degradation)^(BS108-1)*BS15*BS$6</f>
        <v>58966.8228920267</v>
      </c>
      <c r="BT111" s="33" t="n">
        <f aca="false">$F24*In_P50_Hours*(1-In_Curtailment)*(1-$E27)*(1-In_Degradation)^(BT108-1)*BT15*BT$6</f>
        <v>57684.9354378522</v>
      </c>
      <c r="BU111" s="33" t="n">
        <f aca="false">$F24*In_P50_Hours*(1-In_Curtailment)*(1-$E27)*(1-In_Degradation)^(BU108-1)*BU15*BU$6</f>
        <v>58325.8791649394</v>
      </c>
      <c r="BV111" s="33" t="n">
        <f aca="false">$F24*In_P50_Hours*(1-In_Curtailment)*(1-$E27)*(1-In_Degradation)^(BV108-1)*BV15*BV$6</f>
        <v>58966.8228920267</v>
      </c>
      <c r="BW111" s="33" t="n">
        <f aca="false">$F24*In_P50_Hours*(1-In_Curtailment)*(1-$E27)*(1-In_Degradation)^(BW108-1)*BW15*BW$6</f>
        <v>58789.9224233506</v>
      </c>
      <c r="BX111" s="33" t="n">
        <f aca="false">$F24*In_P50_Hours*(1-In_Curtailment)*(1-$E27)*(1-In_Degradation)^(BX108-1)*BX15*BX$6</f>
        <v>57511.8806315386</v>
      </c>
      <c r="BY111" s="33" t="n">
        <f aca="false">$F24*In_P50_Hours*(1-In_Curtailment)*(1-$E27)*(1-In_Degradation)^(BY108-1)*BY15*BY$6</f>
        <v>58150.9015274446</v>
      </c>
      <c r="BZ111" s="33" t="n">
        <f aca="false">$F24*In_P50_Hours*(1-In_Curtailment)*(1-$E27)*(1-In_Degradation)^(BZ108-1)*BZ15*BZ$6</f>
        <v>58789.9224233506</v>
      </c>
      <c r="CA111" s="33" t="n">
        <f aca="false">$F24*In_P50_Hours*(1-In_Curtailment)*(1-$E27)*(1-In_Degradation)^(CA108-1)*CA15*CA$6</f>
        <v>58613.5526560805</v>
      </c>
      <c r="CB111" s="33" t="n">
        <f aca="false">$F24*In_P50_Hours*(1-In_Curtailment)*(1-$E27)*(1-In_Degradation)^(CB108-1)*CB15*CB$6</f>
        <v>57976.4488228623</v>
      </c>
      <c r="CC111" s="33" t="n">
        <f aca="false">$F24*In_P50_Hours*(1-In_Curtailment)*(1-$E27)*(1-In_Degradation)^(CC108-1)*CC15*CC$6</f>
        <v>57976.4488228623</v>
      </c>
      <c r="CD111" s="33" t="n">
        <f aca="false">$F24*In_P50_Hours*(1-In_Curtailment)*(1-$E27)*(1-In_Degradation)^(CD108-1)*CD15*CD$6</f>
        <v>58613.5526560805</v>
      </c>
      <c r="CE111" s="33" t="n">
        <f aca="false">$F24*In_P50_Hours*(1-In_Curtailment)*(1-$E27)*(1-In_Degradation)^(CE108-1)*CE15*CE$6</f>
        <v>58437.7119981123</v>
      </c>
      <c r="CF111" s="33" t="n">
        <f aca="false">$F24*In_P50_Hours*(1-In_Curtailment)*(1-$E27)*(1-In_Degradation)^(CF108-1)*CF15*CF$6</f>
        <v>57167.326954675</v>
      </c>
      <c r="CG111" s="33" t="n">
        <f aca="false">$F24*In_P50_Hours*(1-In_Curtailment)*(1-$E27)*(1-In_Degradation)^(CG108-1)*CG15*CG$6</f>
        <v>57802.5194763937</v>
      </c>
      <c r="CH111" s="33" t="n">
        <f aca="false">$F24*In_P50_Hours*(1-In_Curtailment)*(1-$E27)*(1-In_Degradation)^(CH108-1)*CH15*CH$6</f>
        <v>58437.7119981123</v>
      </c>
      <c r="CI111" s="33" t="n">
        <f aca="false">$F24*In_P50_Hours*(1-In_Curtailment)*(1-$E27)*(1-In_Degradation)^(CI108-1)*CI15*CI$6</f>
        <v>58262.398862118</v>
      </c>
      <c r="CJ111" s="33" t="n">
        <f aca="false">$F24*In_P50_Hours*(1-In_Curtailment)*(1-$E27)*(1-In_Degradation)^(CJ108-1)*CJ15*CJ$6</f>
        <v>56995.824973811</v>
      </c>
      <c r="CK111" s="33" t="n">
        <f aca="false">$F24*In_P50_Hours*(1-In_Curtailment)*(1-$E27)*(1-In_Degradation)^(CK108-1)*CK15*CK$6</f>
        <v>57629.1119179645</v>
      </c>
      <c r="CL111" s="33" t="n">
        <f aca="false">$F24*In_P50_Hours*(1-In_Curtailment)*(1-$E27)*(1-In_Degradation)^(CL108-1)*CL15*CL$6</f>
        <v>58262.398862118</v>
      </c>
      <c r="CM111" s="33" t="n">
        <f aca="false">$F24*In_P50_Hours*(1-In_Curtailment)*(1-$E27)*(1-In_Degradation)^(CM108-1)*CM15*CM$6</f>
        <v>58087.6116655316</v>
      </c>
      <c r="CN111" s="33" t="n">
        <f aca="false">$F24*In_P50_Hours*(1-In_Curtailment)*(1-$E27)*(1-In_Degradation)^(CN108-1)*CN15*CN$6</f>
        <v>56824.8374988896</v>
      </c>
      <c r="CO111" s="33" t="n">
        <f aca="false">$F24*In_P50_Hours*(1-In_Curtailment)*(1-$E27)*(1-In_Degradation)^(CO108-1)*CO15*CO$6</f>
        <v>57456.2245822106</v>
      </c>
      <c r="CP111" s="33" t="n">
        <f aca="false">$F24*In_P50_Hours*(1-In_Curtailment)*(1-$E27)*(1-In_Degradation)^(CP108-1)*CP15*CP$6</f>
        <v>58087.6116655316</v>
      </c>
      <c r="CQ111" s="33" t="n">
        <f aca="false">$F24*In_P50_Hours*(1-In_Curtailment)*(1-$E27)*(1-In_Degradation)^(CQ108-1)*CQ15*CQ$6</f>
        <v>57913.348830535</v>
      </c>
      <c r="CR111" s="33" t="n">
        <f aca="false">$F24*In_P50_Hours*(1-In_Curtailment)*(1-$E27)*(1-In_Degradation)^(CR108-1)*CR15*CR$6</f>
        <v>57283.855908464</v>
      </c>
      <c r="CS111" s="33" t="n">
        <f aca="false">$F24*In_P50_Hours*(1-In_Curtailment)*(1-$E27)*(1-In_Degradation)^(CS108-1)*CS15*CS$6</f>
        <v>57283.855908464</v>
      </c>
      <c r="CT111" s="33" t="n">
        <f aca="false">$F24*In_P50_Hours*(1-In_Curtailment)*(1-$E27)*(1-In_Degradation)^(CT108-1)*CT15*CT$6</f>
        <v>57913.348830535</v>
      </c>
      <c r="CU111" s="33" t="n">
        <f aca="false">$F24*In_P50_Hours*(1-In_Curtailment)*(1-$E27)*(1-In_Degradation)^(CU108-1)*CU15*CU$6</f>
        <v>57739.6087840434</v>
      </c>
      <c r="CV111" s="33" t="n">
        <f aca="false">$F24*In_P50_Hours*(1-In_Curtailment)*(1-$E27)*(1-In_Degradation)^(CV108-1)*CV15*CV$6</f>
        <v>56484.3998974337</v>
      </c>
      <c r="CW111" s="33" t="n">
        <f aca="false">$F24*In_P50_Hours*(1-In_Curtailment)*(1-$E27)*(1-In_Degradation)^(CW108-1)*CW15*CW$6</f>
        <v>57112.0043407386</v>
      </c>
      <c r="CX111" s="33" t="n">
        <f aca="false">$F24*In_P50_Hours*(1-In_Curtailment)*(1-$E27)*(1-In_Degradation)^(CX108-1)*CX15*CX$6</f>
        <v>57739.6087840434</v>
      </c>
      <c r="CY111" s="33" t="n">
        <f aca="false">$F24*In_P50_Hours*(1-In_Curtailment)*(1-$E27)*(1-In_Degradation)^(CY108-1)*CY15*CY$6</f>
        <v>57566.3899576913</v>
      </c>
      <c r="CZ111" s="33" t="n">
        <f aca="false">$F24*In_P50_Hours*(1-In_Curtailment)*(1-$E27)*(1-In_Degradation)^(CZ108-1)*CZ15*CZ$6</f>
        <v>56314.9466977414</v>
      </c>
      <c r="DA111" s="33" t="n">
        <f aca="false">$F24*In_P50_Hours*(1-In_Curtailment)*(1-$E27)*(1-In_Degradation)^(DA108-1)*DA15*DA$6</f>
        <v>56940.6683277164</v>
      </c>
      <c r="DB111" s="33" t="n">
        <f aca="false">$F24*In_P50_Hours*(1-In_Curtailment)*(1-$E27)*(1-In_Degradation)^(DB108-1)*DB15*DB$6</f>
        <v>57566.3899576913</v>
      </c>
      <c r="DC111" s="33" t="n">
        <f aca="false">$F24*In_P50_Hours*(1-In_Curtailment)*(1-$E27)*(1-In_Degradation)^(DC108-1)*DC15*DC$6</f>
        <v>57393.6907878182</v>
      </c>
      <c r="DD111" s="33" t="n">
        <f aca="false">$F24*In_P50_Hours*(1-In_Curtailment)*(1-$E27)*(1-In_Degradation)^(DD108-1)*DD15*DD$6</f>
        <v>56146.0018576482</v>
      </c>
      <c r="DE111" s="33" t="n">
        <f aca="false">$F24*In_P50_Hours*(1-In_Curtailment)*(1-$E27)*(1-In_Degradation)^(DE108-1)*DE15*DE$6</f>
        <v>56769.8463227332</v>
      </c>
      <c r="DF111" s="33" t="n">
        <f aca="false">$F24*In_P50_Hours*(1-In_Curtailment)*(1-$E27)*(1-In_Degradation)^(DF108-1)*DF15*DF$6</f>
        <v>57393.6907878182</v>
      </c>
      <c r="DG111" s="33" t="n">
        <f aca="false">$F24*In_P50_Hours*(1-In_Curtailment)*(1-$E27)*(1-In_Degradation)^(DG108-1)*DG15*DG$6</f>
        <v>57221.5097154547</v>
      </c>
      <c r="DH111" s="33" t="n">
        <f aca="false">$F24*In_P50_Hours*(1-In_Curtailment)*(1-$E27)*(1-In_Degradation)^(DH108-1)*DH15*DH$6</f>
        <v>56599.536783765</v>
      </c>
      <c r="DI111" s="33" t="n">
        <f aca="false">$F24*In_P50_Hours*(1-In_Curtailment)*(1-$E27)*(1-In_Degradation)^(DI108-1)*DI15*DI$6</f>
        <v>56599.536783765</v>
      </c>
      <c r="DJ111" s="33" t="n">
        <f aca="false">$F24*In_P50_Hours*(1-In_Curtailment)*(1-$E27)*(1-In_Degradation)^(DJ108-1)*DJ15*DJ$6</f>
        <v>57221.5097154547</v>
      </c>
      <c r="DK111" s="33" t="n">
        <f aca="false">$F24*In_P50_Hours*(1-In_Curtailment)*(1-$E27)*(1-In_Degradation)^(DK108-1)*DK15*DK$6</f>
        <v>57049.8451863084</v>
      </c>
      <c r="DL111" s="33" t="n">
        <f aca="false">$F24*In_P50_Hours*(1-In_Curtailment)*(1-$E27)*(1-In_Degradation)^(DL108-1)*DL15*DL$6</f>
        <v>55809.6311605191</v>
      </c>
      <c r="DM111" s="33" t="n">
        <f aca="false">$F24*In_P50_Hours*(1-In_Curtailment)*(1-$E27)*(1-In_Degradation)^(DM108-1)*DM15*DM$6</f>
        <v>56429.7381734137</v>
      </c>
      <c r="DN111" s="33" t="n">
        <f aca="false">$F24*In_P50_Hours*(1-In_Curtailment)*(1-$E27)*(1-In_Degradation)^(DN108-1)*DN15*DN$6</f>
        <v>57049.8451863084</v>
      </c>
      <c r="DO111" s="33" t="n">
        <f aca="false">$F24*In_P50_Hours*(1-In_Curtailment)*(1-$E27)*(1-In_Degradation)^(DO108-1)*DO15*DO$6</f>
        <v>56878.6956507494</v>
      </c>
      <c r="DP111" s="33" t="n">
        <f aca="false">$F24*In_P50_Hours*(1-In_Curtailment)*(1-$E27)*(1-In_Degradation)^(DP108-1)*DP15*DP$6</f>
        <v>55642.2022670375</v>
      </c>
      <c r="DQ111" s="33" t="n">
        <f aca="false">$F24*In_P50_Hours*(1-In_Curtailment)*(1-$E27)*(1-In_Degradation)^(DQ108-1)*DQ15*DQ$6</f>
        <v>56260.4489588935</v>
      </c>
      <c r="DR111" s="33" t="n">
        <f aca="false">$F24*In_P50_Hours*(1-In_Curtailment)*(1-$E27)*(1-In_Degradation)^(DR108-1)*DR15*DR$6</f>
        <v>56878.6956507494</v>
      </c>
      <c r="DS111" s="33" t="n">
        <f aca="false">$F24*In_P50_Hours*(1-In_Curtailment)*(1-$E27)*(1-In_Degradation)^(DS108-1)*DS15*DS$6</f>
        <v>56708.0595637972</v>
      </c>
      <c r="DT111" s="33" t="n">
        <f aca="false">$F24*In_P50_Hours*(1-In_Curtailment)*(1-$E27)*(1-In_Degradation)^(DT108-1)*DT15*DT$6</f>
        <v>55475.2756602364</v>
      </c>
      <c r="DU111" s="33" t="n">
        <f aca="false">$F24*In_P50_Hours*(1-In_Curtailment)*(1-$E27)*(1-In_Degradation)^(DU108-1)*DU15*DU$6</f>
        <v>56091.6676120168</v>
      </c>
      <c r="DV111" s="33" t="n">
        <f aca="false">$F24*In_P50_Hours*(1-In_Curtailment)*(1-$E27)*(1-In_Degradation)^(DV108-1)*DV15*DV$6</f>
        <v>56708.0595637972</v>
      </c>
      <c r="DW111" s="33" t="n">
        <f aca="false">$F24*In_P50_Hours*(1-In_Curtailment)*(1-$E27)*(1-In_Degradation)^(DW108-1)*DW15*DW$6</f>
        <v>56537.9353851058</v>
      </c>
      <c r="DX111" s="33" t="n">
        <f aca="false">$F24*In_P50_Hours*(1-In_Curtailment)*(1-$E27)*(1-In_Degradation)^(DX108-1)*DX15*DX$6</f>
        <v>55923.3926091807</v>
      </c>
      <c r="DY111" s="33" t="n">
        <f aca="false">$F24*In_P50_Hours*(1-In_Curtailment)*(1-$E27)*(1-In_Degradation)^(DY108-1)*DY15*DY$6</f>
        <v>55923.3926091807</v>
      </c>
      <c r="DZ111" s="33" t="n">
        <f aca="false">$F24*In_P50_Hours*(1-In_Curtailment)*(1-$E27)*(1-In_Degradation)^(DZ108-1)*DZ15*DZ$6</f>
        <v>56537.9353851058</v>
      </c>
      <c r="EA111" s="33" t="n">
        <f aca="false">$F24*In_P50_Hours*(1-In_Curtailment)*(1-$E27)*(1-In_Degradation)^(EA108-1)*EA15*EA$6</f>
        <v>56368.3215789505</v>
      </c>
      <c r="EB111" s="33" t="n">
        <f aca="false">$F24*In_P50_Hours*(1-In_Curtailment)*(1-$E27)*(1-In_Degradation)^(EB108-1)*EB15*EB$6</f>
        <v>55142.9232837559</v>
      </c>
      <c r="EC111" s="33" t="n">
        <f aca="false">$F24*In_P50_Hours*(1-In_Curtailment)*(1-$E27)*(1-In_Degradation)^(EC108-1)*EC15*EC$6</f>
        <v>55755.6224313532</v>
      </c>
      <c r="ED111" s="33" t="n">
        <f aca="false">$F24*In_P50_Hours*(1-In_Curtailment)*(1-$E27)*(1-In_Degradation)^(ED108-1)*ED15*ED$6</f>
        <v>56368.3215789505</v>
      </c>
      <c r="EE111" s="33" t="n">
        <f aca="false">$F24*In_P50_Hours*(1-In_Curtailment)*(1-$E27)*(1-In_Degradation)^(EE108-1)*EE15*EE$6</f>
        <v>56199.2166142136</v>
      </c>
      <c r="EF111" s="33" t="n">
        <f aca="false">$F24*In_P50_Hours*(1-In_Curtailment)*(1-$E27)*(1-In_Degradation)^(EF108-1)*EF15*EF$6</f>
        <v>54977.4945139046</v>
      </c>
      <c r="EG111" s="33" t="n">
        <f aca="false">$F24*In_P50_Hours*(1-In_Curtailment)*(1-$E27)*(1-In_Degradation)^(EG108-1)*EG15*EG$6</f>
        <v>55588.3555640591</v>
      </c>
      <c r="EH111" s="33" t="n">
        <f aca="false">$F24*In_P50_Hours*(1-In_Curtailment)*(1-$E27)*(1-In_Degradation)^(EH108-1)*EH15*EH$6</f>
        <v>56199.2166142136</v>
      </c>
      <c r="EI111" s="33" t="n">
        <f aca="false">$F24*In_P50_Hours*(1-In_Curtailment)*(1-$E27)*(1-In_Degradation)^(EI108-1)*EI15*EI$6</f>
        <v>56030.618964371</v>
      </c>
      <c r="EJ111" s="33" t="n">
        <f aca="false">$F24*In_P50_Hours*(1-In_Curtailment)*(1-$E27)*(1-In_Degradation)^(EJ108-1)*EJ15*EJ$6</f>
        <v>54812.5620303629</v>
      </c>
      <c r="EK111" s="33" t="n">
        <f aca="false">$F24*In_P50_Hours*(1-In_Curtailment)*(1-$E27)*(1-In_Degradation)^(EK108-1)*EK15*EK$6</f>
        <v>55421.590497367</v>
      </c>
      <c r="EL111" s="33" t="n">
        <f aca="false">$F24*In_P50_Hours*(1-In_Curtailment)*(1-$E27)*(1-In_Degradation)^(EL108-1)*EL15*EL$6</f>
        <v>56030.618964371</v>
      </c>
      <c r="EM111" s="33" t="n">
        <f aca="false">$F24*In_P50_Hours*(1-In_Curtailment)*(1-$E27)*(1-In_Degradation)^(EM108-1)*EM15*EM$6</f>
        <v>55862.5271074779</v>
      </c>
      <c r="EN111" s="33" t="n">
        <f aca="false">$F24*In_P50_Hours*(1-In_Curtailment)*(1-$E27)*(1-In_Degradation)^(EN108-1)*EN15*EN$6</f>
        <v>55255.3257258749</v>
      </c>
      <c r="EO111" s="33" t="n">
        <f aca="false">$F24*In_P50_Hours*(1-In_Curtailment)*(1-$E27)*(1-In_Degradation)^(EO108-1)*EO15*EO$6</f>
        <v>55255.3257258749</v>
      </c>
      <c r="EP111" s="33" t="n">
        <f aca="false">$F24*In_P50_Hours*(1-In_Curtailment)*(1-$E27)*(1-In_Degradation)^(EP108-1)*EP15*EP$6</f>
        <v>55862.5271074779</v>
      </c>
      <c r="EQ111" s="33" t="n">
        <f aca="false">$F24*In_P50_Hours*(1-In_Curtailment)*(1-$E27)*(1-In_Degradation)^(EQ108-1)*EQ15*EQ$6</f>
        <v>55694.9395261554</v>
      </c>
      <c r="ER111" s="33" t="n">
        <f aca="false">$F24*In_P50_Hours*(1-In_Curtailment)*(1-$E27)*(1-In_Degradation)^(ER108-1)*ER15*ER$6</f>
        <v>54484.179971239</v>
      </c>
      <c r="ES111" s="33" t="n">
        <f aca="false">$F24*In_P50_Hours*(1-In_Curtailment)*(1-$E27)*(1-In_Degradation)^(ES108-1)*ES15*ES$6</f>
        <v>55089.5597486972</v>
      </c>
      <c r="ET111" s="33" t="n">
        <f aca="false">$F24*In_P50_Hours*(1-In_Curtailment)*(1-$E27)*(1-In_Degradation)^(ET108-1)*ET15*ET$6</f>
        <v>55694.9395261554</v>
      </c>
    </row>
    <row r="112" customFormat="false" ht="15" hidden="false" customHeight="false" outlineLevel="0" collapsed="false">
      <c r="C112" s="0" t="s">
        <v>557</v>
      </c>
      <c r="D112" s="11" t="s">
        <v>247</v>
      </c>
      <c r="I112" s="33" t="n">
        <f aca="false">SUM(J112:ET112)</f>
        <v>727113.739439716</v>
      </c>
      <c r="J112" s="33" t="n">
        <f aca="false">J111*J110/Thousand</f>
        <v>0</v>
      </c>
      <c r="K112" s="33" t="n">
        <f aca="false">K111*K110/Thousand</f>
        <v>0</v>
      </c>
      <c r="L112" s="33" t="n">
        <f aca="false">L111*L110/Thousand</f>
        <v>0</v>
      </c>
      <c r="M112" s="33" t="n">
        <f aca="false">M111*M110/Thousand</f>
        <v>0</v>
      </c>
      <c r="N112" s="33" t="n">
        <f aca="false">N111*N110/Thousand</f>
        <v>0</v>
      </c>
      <c r="O112" s="33" t="n">
        <f aca="false">O111*O110/Thousand</f>
        <v>0</v>
      </c>
      <c r="P112" s="33" t="n">
        <f aca="false">P111*P110/Thousand</f>
        <v>0</v>
      </c>
      <c r="Q112" s="33" t="n">
        <f aca="false">Q111*Q110/Thousand</f>
        <v>0</v>
      </c>
      <c r="R112" s="33" t="n">
        <f aca="false">R111*R110/Thousand</f>
        <v>0</v>
      </c>
      <c r="S112" s="33" t="n">
        <f aca="false">S111*S110/Thousand</f>
        <v>0</v>
      </c>
      <c r="T112" s="33" t="n">
        <f aca="false">T111*T110/Thousand</f>
        <v>0</v>
      </c>
      <c r="U112" s="33" t="n">
        <f aca="false">U111*U110/Thousand</f>
        <v>0</v>
      </c>
      <c r="V112" s="33" t="n">
        <f aca="false">V111*V110/Thousand</f>
        <v>0</v>
      </c>
      <c r="W112" s="33" t="n">
        <f aca="false">W111*W110/Thousand</f>
        <v>0</v>
      </c>
      <c r="X112" s="33" t="n">
        <f aca="false">X111*X110/Thousand</f>
        <v>0</v>
      </c>
      <c r="Y112" s="33" t="n">
        <f aca="false">Y111*Y110/Thousand</f>
        <v>0</v>
      </c>
      <c r="Z112" s="33" t="n">
        <f aca="false">Z111*Z110/Thousand</f>
        <v>0</v>
      </c>
      <c r="AA112" s="33" t="n">
        <f aca="false">AA111*AA110/Thousand</f>
        <v>0</v>
      </c>
      <c r="AB112" s="33" t="n">
        <f aca="false">AB111*AB110/Thousand</f>
        <v>0</v>
      </c>
      <c r="AC112" s="33" t="n">
        <f aca="false">AC111*AC110/Thousand</f>
        <v>0</v>
      </c>
      <c r="AD112" s="33" t="n">
        <f aca="false">AD111*AD110/Thousand</f>
        <v>0</v>
      </c>
      <c r="AE112" s="33" t="n">
        <f aca="false">AE111*AE110/Thousand</f>
        <v>5468.88328767123</v>
      </c>
      <c r="AF112" s="33" t="n">
        <f aca="false">AF111*AF110/Thousand</f>
        <v>5463.53329315069</v>
      </c>
      <c r="AG112" s="33" t="n">
        <f aca="false">AG111*AG110/Thousand</f>
        <v>5463.53329315069</v>
      </c>
      <c r="AH112" s="33" t="n">
        <f aca="false">AH111*AH110/Thousand</f>
        <v>5523.57212054795</v>
      </c>
      <c r="AI112" s="33" t="n">
        <f aca="false">AI111*AI110/Thousand</f>
        <v>5507.0014041863</v>
      </c>
      <c r="AJ112" s="33" t="n">
        <f aca="false">AJ111*AJ110/Thousand</f>
        <v>5441.15682217973</v>
      </c>
      <c r="AK112" s="33" t="n">
        <f aca="false">AK111*AK110/Thousand</f>
        <v>5501.61412020395</v>
      </c>
      <c r="AL112" s="33" t="n">
        <f aca="false">AL111*AL110/Thousand</f>
        <v>5562.07141822817</v>
      </c>
      <c r="AM112" s="33" t="n">
        <f aca="false">AM111*AM110/Thousand</f>
        <v>5545.38520397348</v>
      </c>
      <c r="AN112" s="33" t="n">
        <f aca="false">AN111*AN110/Thousand</f>
        <v>5479.08168523032</v>
      </c>
      <c r="AO112" s="33" t="n">
        <f aca="false">AO111*AO110/Thousand</f>
        <v>5539.96037062177</v>
      </c>
      <c r="AP112" s="33" t="n">
        <f aca="false">AP111*AP110/Thousand</f>
        <v>5600.83905601322</v>
      </c>
      <c r="AQ112" s="33" t="n">
        <f aca="false">AQ111*AQ110/Thousand</f>
        <v>5584.03653884518</v>
      </c>
      <c r="AR112" s="33" t="n">
        <f aca="false">AR111*AR110/Thousand</f>
        <v>5517.27088457637</v>
      </c>
      <c r="AS112" s="33" t="n">
        <f aca="false">AS111*AS110/Thousand</f>
        <v>5578.573894405</v>
      </c>
      <c r="AT112" s="33" t="n">
        <f aca="false">AT111*AT110/Thousand</f>
        <v>5639.87690423363</v>
      </c>
      <c r="AU112" s="33" t="n">
        <f aca="false">AU111*AU110/Thousand</f>
        <v>5622.95727352093</v>
      </c>
      <c r="AV112" s="33" t="n">
        <f aca="false">AV111*AV110/Thousand</f>
        <v>5617.456554449</v>
      </c>
      <c r="AW112" s="33" t="n">
        <f aca="false">AW111*AW110/Thousand</f>
        <v>5617.456554449</v>
      </c>
      <c r="AX112" s="33" t="n">
        <f aca="false">AX111*AX110/Thousand</f>
        <v>5679.18684625614</v>
      </c>
      <c r="AY112" s="33" t="n">
        <f aca="false">AY111*AY110/Thousand</f>
        <v>5662.14928571737</v>
      </c>
      <c r="AZ112" s="33" t="n">
        <f aca="false">AZ111*AZ110/Thousand</f>
        <v>5594.44967469249</v>
      </c>
      <c r="BA112" s="33" t="n">
        <f aca="false">BA111*BA110/Thousand</f>
        <v>5656.61022663352</v>
      </c>
      <c r="BB112" s="33" t="n">
        <f aca="false">BB111*BB110/Thousand</f>
        <v>5718.77077857454</v>
      </c>
      <c r="BC112" s="33" t="n">
        <f aca="false">BC111*BC110/Thousand</f>
        <v>5701.61446623882</v>
      </c>
      <c r="BD112" s="33" t="n">
        <f aca="false">BD111*BD110/Thousand</f>
        <v>5633.44298892509</v>
      </c>
      <c r="BE112" s="33" t="n">
        <f aca="false">BE111*BE110/Thousand</f>
        <v>5696.03679991315</v>
      </c>
      <c r="BF112" s="33" t="n">
        <f aca="false">BF111*BF110/Thousand</f>
        <v>5758.63061090121</v>
      </c>
      <c r="BG112" s="33" t="n">
        <f aca="false">BG111*BG110/Thousand</f>
        <v>5741.3547190685</v>
      </c>
      <c r="BH112" s="33" t="n">
        <f aca="false">BH111*BH110/Thousand</f>
        <v>5672.7080865579</v>
      </c>
      <c r="BI112" s="33" t="n">
        <f aca="false">BI111*BI110/Thousand</f>
        <v>5735.73817640854</v>
      </c>
      <c r="BJ112" s="33" t="n">
        <f aca="false">BJ111*BJ110/Thousand</f>
        <v>5798.76826625919</v>
      </c>
      <c r="BK112" s="33" t="n">
        <f aca="false">BK111*BK110/Thousand</f>
        <v>5781.37196146041</v>
      </c>
      <c r="BL112" s="33" t="n">
        <f aca="false">BL111*BL110/Thousand</f>
        <v>5775.71627149811</v>
      </c>
      <c r="BM112" s="33" t="n">
        <f aca="false">BM111*BM110/Thousand</f>
        <v>5775.71627149811</v>
      </c>
      <c r="BN112" s="33" t="n">
        <f aca="false">BN111*BN110/Thousand</f>
        <v>5839.18568107501</v>
      </c>
      <c r="BO112" s="33" t="n">
        <f aca="false">BO111*BO110/Thousand</f>
        <v>5821.66812403179</v>
      </c>
      <c r="BP112" s="33" t="n">
        <f aca="false">BP111*BP110/Thousand</f>
        <v>5752.0612225488</v>
      </c>
      <c r="BQ112" s="33" t="n">
        <f aca="false">BQ111*BQ110/Thousand</f>
        <v>5815.97301391045</v>
      </c>
      <c r="BR112" s="33" t="n">
        <f aca="false">BR111*BR110/Thousand</f>
        <v>5879.88480527211</v>
      </c>
      <c r="BS112" s="33" t="n">
        <f aca="false">BS111*BS110/Thousand</f>
        <v>5862.24515085629</v>
      </c>
      <c r="BT112" s="33" t="n">
        <f aca="false">BT111*BT110/Thousand</f>
        <v>5792.15308926996</v>
      </c>
      <c r="BU112" s="33" t="n">
        <f aca="false">BU111*BU110/Thousand</f>
        <v>5856.51034581741</v>
      </c>
      <c r="BV112" s="33" t="n">
        <f aca="false">BV111*BV110/Thousand</f>
        <v>5920.86760236485</v>
      </c>
      <c r="BW112" s="33" t="n">
        <f aca="false">BW111*BW110/Thousand</f>
        <v>5903.10499955776</v>
      </c>
      <c r="BX112" s="33" t="n">
        <f aca="false">BX111*BX110/Thousand</f>
        <v>5832.52439630218</v>
      </c>
      <c r="BY112" s="33" t="n">
        <f aca="false">BY111*BY110/Thousand</f>
        <v>5897.33022292776</v>
      </c>
      <c r="BZ112" s="33" t="n">
        <f aca="false">BZ111*BZ110/Thousand</f>
        <v>5962.13604955334</v>
      </c>
      <c r="CA112" s="33" t="n">
        <f aca="false">CA111*CA110/Thousand</f>
        <v>5944.24964140468</v>
      </c>
      <c r="CB112" s="33" t="n">
        <f aca="false">CB111*CB110/Thousand</f>
        <v>5938.43461458156</v>
      </c>
      <c r="CC112" s="33" t="n">
        <f aca="false">CC111*CC110/Thousand</f>
        <v>5938.43461458156</v>
      </c>
      <c r="CD112" s="33" t="n">
        <f aca="false">CD111*CD110/Thousand</f>
        <v>6003.69213781872</v>
      </c>
      <c r="CE112" s="33" t="n">
        <f aca="false">CE111*CE110/Thousand</f>
        <v>5985.68106140527</v>
      </c>
      <c r="CF112" s="33" t="n">
        <f aca="false">CF111*CF110/Thousand</f>
        <v>5914.11313567107</v>
      </c>
      <c r="CG112" s="33" t="n">
        <f aca="false">CG111*CG110/Thousand</f>
        <v>5979.8255038452</v>
      </c>
      <c r="CH112" s="33" t="n">
        <f aca="false">CH111*CH110/Thousand</f>
        <v>6045.53787201932</v>
      </c>
      <c r="CI112" s="33" t="n">
        <f aca="false">CI111*CI110/Thousand</f>
        <v>6027.40125840326</v>
      </c>
      <c r="CJ112" s="33" t="n">
        <f aca="false">CJ111*CJ110/Thousand</f>
        <v>5955.3345042267</v>
      </c>
      <c r="CK112" s="33" t="n">
        <f aca="false">CK111*CK110/Thousand</f>
        <v>6021.504887607</v>
      </c>
      <c r="CL112" s="33" t="n">
        <f aca="false">CL111*CL110/Thousand</f>
        <v>6087.67527098729</v>
      </c>
      <c r="CM112" s="33" t="n">
        <f aca="false">CM111*CM110/Thousand</f>
        <v>6069.41224517433</v>
      </c>
      <c r="CN112" s="33" t="n">
        <f aca="false">CN111*CN110/Thousand</f>
        <v>5996.84318572116</v>
      </c>
      <c r="CO112" s="33" t="n">
        <f aca="false">CO111*CO110/Thousand</f>
        <v>6063.47477667362</v>
      </c>
      <c r="CP112" s="33" t="n">
        <f aca="false">CP111*CP110/Thousand</f>
        <v>6130.10636762608</v>
      </c>
      <c r="CQ112" s="33" t="n">
        <f aca="false">CQ111*CQ110/Thousand</f>
        <v>6111.7160485232</v>
      </c>
      <c r="CR112" s="33" t="n">
        <f aca="false">CR111*CR110/Thousand</f>
        <v>6105.73719586703</v>
      </c>
      <c r="CS112" s="33" t="n">
        <f aca="false">CS111*CS110/Thousand</f>
        <v>6105.73719586703</v>
      </c>
      <c r="CT112" s="33" t="n">
        <f aca="false">CT111*CT110/Thousand</f>
        <v>6172.83320900843</v>
      </c>
      <c r="CU112" s="33" t="n">
        <f aca="false">CU111*CU110/Thousand</f>
        <v>6154.3147093814</v>
      </c>
      <c r="CV112" s="33" t="n">
        <f aca="false">CV111*CV110/Thousand</f>
        <v>6080.73051176923</v>
      </c>
      <c r="CW112" s="33" t="n">
        <f aca="false">CW111*CW110/Thousand</f>
        <v>6148.29418412223</v>
      </c>
      <c r="CX112" s="33" t="n">
        <f aca="false">CX111*CX110/Thousand</f>
        <v>6215.85785647522</v>
      </c>
      <c r="CY112" s="33" t="n">
        <f aca="false">CY111*CY110/Thousand</f>
        <v>6197.21028290579</v>
      </c>
      <c r="CZ112" s="33" t="n">
        <f aca="false">CZ111*CZ110/Thousand</f>
        <v>6123.11320343627</v>
      </c>
      <c r="DA112" s="33" t="n">
        <f aca="false">DA111*DA110/Thousand</f>
        <v>6191.14779458556</v>
      </c>
      <c r="DB112" s="33" t="n">
        <f aca="false">DB111*DB110/Thousand</f>
        <v>6259.18238573485</v>
      </c>
      <c r="DC112" s="33" t="n">
        <f aca="false">DC111*DC110/Thousand</f>
        <v>6240.40483857765</v>
      </c>
      <c r="DD112" s="33" t="n">
        <f aca="false">DD111*DD110/Thousand</f>
        <v>6165.79130246422</v>
      </c>
      <c r="DE112" s="33" t="n">
        <f aca="false">DE111*DE110/Thousand</f>
        <v>6234.30009471382</v>
      </c>
      <c r="DF112" s="33" t="n">
        <f aca="false">DF111*DF110/Thousand</f>
        <v>6302.80888696342</v>
      </c>
      <c r="DG112" s="33" t="n">
        <f aca="false">DG111*DG110/Thousand</f>
        <v>6283.90046030253</v>
      </c>
      <c r="DH112" s="33" t="n">
        <f aca="false">DH111*DH110/Thousand</f>
        <v>6277.75316637398</v>
      </c>
      <c r="DI112" s="33" t="n">
        <f aca="false">DI111*DI110/Thousand</f>
        <v>6277.75316637398</v>
      </c>
      <c r="DJ112" s="33" t="n">
        <f aca="false">DJ111*DJ110/Thousand</f>
        <v>6346.73946490556</v>
      </c>
      <c r="DK112" s="33" t="n">
        <f aca="false">DK111*DK110/Thousand</f>
        <v>6327.69924651084</v>
      </c>
      <c r="DL112" s="33" t="n">
        <f aca="false">DL111*DL110/Thousand</f>
        <v>6252.04197291125</v>
      </c>
      <c r="DM112" s="33" t="n">
        <f aca="false">DM111*DM110/Thousand</f>
        <v>6321.5091059436</v>
      </c>
      <c r="DN112" s="33" t="n">
        <f aca="false">DN111*DN110/Thousand</f>
        <v>6390.97623897595</v>
      </c>
      <c r="DO112" s="33" t="n">
        <f aca="false">DO111*DO110/Thousand</f>
        <v>6371.80331025902</v>
      </c>
      <c r="DP112" s="33" t="n">
        <f aca="false">DP111*DP110/Thousand</f>
        <v>6295.61870546244</v>
      </c>
      <c r="DQ112" s="33" t="n">
        <f aca="false">DQ111*DQ110/Thousand</f>
        <v>6365.57002441203</v>
      </c>
      <c r="DR112" s="33" t="n">
        <f aca="false">DR111*DR110/Thousand</f>
        <v>6435.52134336161</v>
      </c>
      <c r="DS112" s="33" t="n">
        <f aca="false">DS111*DS110/Thousand</f>
        <v>6416.21477933153</v>
      </c>
      <c r="DT112" s="33" t="n">
        <f aca="false">DT111*DT110/Thousand</f>
        <v>6339.49916783952</v>
      </c>
      <c r="DU112" s="33" t="n">
        <f aca="false">DU111*DU110/Thousand</f>
        <v>6409.93804748218</v>
      </c>
      <c r="DV112" s="33" t="n">
        <f aca="false">DV111*DV110/Thousand</f>
        <v>6480.37692712484</v>
      </c>
      <c r="DW112" s="33" t="n">
        <f aca="false">DW111*DW110/Thousand</f>
        <v>6460.93579634347</v>
      </c>
      <c r="DX112" s="33" t="n">
        <f aca="false">DX111*DX110/Thousand</f>
        <v>6454.61531567313</v>
      </c>
      <c r="DY112" s="33" t="n">
        <f aca="false">DY111*DY110/Thousand</f>
        <v>6454.61531567313</v>
      </c>
      <c r="DZ112" s="33" t="n">
        <f aca="false">DZ111*DZ110/Thousand</f>
        <v>6525.5451543069</v>
      </c>
      <c r="EA112" s="33" t="n">
        <f aca="false">EA111*EA110/Thousand</f>
        <v>6505.96851884398</v>
      </c>
      <c r="EB112" s="33" t="n">
        <f aca="false">EB111*EB110/Thousand</f>
        <v>6428.17976481433</v>
      </c>
      <c r="EC112" s="33" t="n">
        <f aca="false">EC111*EC110/Thousand</f>
        <v>6499.60398442337</v>
      </c>
      <c r="ED112" s="33" t="n">
        <f aca="false">ED111*ED110/Thousand</f>
        <v>6571.02820403242</v>
      </c>
      <c r="EE112" s="33" t="n">
        <f aca="false">EE111*EE110/Thousand</f>
        <v>6551.31511942033</v>
      </c>
      <c r="EF112" s="33" t="n">
        <f aca="false">EF111*EF110/Thousand</f>
        <v>6472.98417777508</v>
      </c>
      <c r="EG112" s="33" t="n">
        <f aca="false">EG111*EG110/Thousand</f>
        <v>6544.90622419481</v>
      </c>
      <c r="EH112" s="33" t="n">
        <f aca="false">EH111*EH110/Thousand</f>
        <v>6616.82827061453</v>
      </c>
      <c r="EI112" s="33" t="n">
        <f aca="false">EI111*EI110/Thousand</f>
        <v>6596.97778580269</v>
      </c>
      <c r="EJ112" s="33" t="n">
        <f aca="false">EJ111*EJ110/Thousand</f>
        <v>6518.10087749417</v>
      </c>
      <c r="EK112" s="33" t="n">
        <f aca="false">EK111*EK110/Thousand</f>
        <v>6590.52422057744</v>
      </c>
      <c r="EL112" s="33" t="n">
        <f aca="false">EL111*EL110/Thousand</f>
        <v>6662.94756366071</v>
      </c>
      <c r="EM112" s="33" t="n">
        <f aca="false">EM111*EM110/Thousand</f>
        <v>6642.95872096973</v>
      </c>
      <c r="EN112" s="33" t="n">
        <f aca="false">EN111*EN110/Thousand</f>
        <v>6636.46017439487</v>
      </c>
      <c r="EO112" s="33" t="n">
        <f aca="false">EO111*EO110/Thousand</f>
        <v>6636.46017439487</v>
      </c>
      <c r="EP112" s="33" t="n">
        <f aca="false">EP111*EP110/Thousand</f>
        <v>6709.38830817943</v>
      </c>
      <c r="EQ112" s="33" t="n">
        <f aca="false">EQ111*EQ110/Thousand</f>
        <v>6689.26014325489</v>
      </c>
      <c r="ER112" s="33" t="n">
        <f aca="false">ER111*ER110/Thousand</f>
        <v>6609.27985893336</v>
      </c>
      <c r="ES112" s="33" t="n">
        <f aca="false">ES111*ES110/Thousand</f>
        <v>6682.7163018104</v>
      </c>
      <c r="ET112" s="33" t="n">
        <f aca="false">ET111*ET110/Thousand</f>
        <v>6756.15274468744</v>
      </c>
    </row>
    <row r="113" customFormat="false" ht="15" hidden="false" customHeight="false" outlineLevel="0" collapsed="false">
      <c r="C113" s="0" t="s">
        <v>558</v>
      </c>
      <c r="D113" s="11" t="s">
        <v>247</v>
      </c>
      <c r="I113" s="33" t="n">
        <f aca="false">SUM(J113:ET113)</f>
        <v>-51382.5373327149</v>
      </c>
      <c r="J113" s="33" t="n">
        <f aca="false">-In_Var_Opex*J111*J109/Thousand</f>
        <v>-0</v>
      </c>
      <c r="K113" s="33" t="n">
        <f aca="false">-In_Var_Opex*K111*K109/Thousand</f>
        <v>-0</v>
      </c>
      <c r="L113" s="33" t="n">
        <f aca="false">-In_Var_Opex*L111*L109/Thousand</f>
        <v>-0</v>
      </c>
      <c r="M113" s="33" t="n">
        <f aca="false">-In_Var_Opex*M111*M109/Thousand</f>
        <v>-0</v>
      </c>
      <c r="N113" s="33" t="n">
        <f aca="false">-In_Var_Opex*N111*N109/Thousand</f>
        <v>-0</v>
      </c>
      <c r="O113" s="33" t="n">
        <f aca="false">-In_Var_Opex*O111*O109/Thousand</f>
        <v>-0</v>
      </c>
      <c r="P113" s="33" t="n">
        <f aca="false">-In_Var_Opex*P111*P109/Thousand</f>
        <v>-0</v>
      </c>
      <c r="Q113" s="33" t="n">
        <f aca="false">-In_Var_Opex*Q111*Q109/Thousand</f>
        <v>-0</v>
      </c>
      <c r="R113" s="33" t="n">
        <f aca="false">-In_Var_Opex*R111*R109/Thousand</f>
        <v>-0</v>
      </c>
      <c r="S113" s="33" t="n">
        <f aca="false">-In_Var_Opex*S111*S109/Thousand</f>
        <v>-0</v>
      </c>
      <c r="T113" s="33" t="n">
        <f aca="false">-In_Var_Opex*T111*T109/Thousand</f>
        <v>-0</v>
      </c>
      <c r="U113" s="33" t="n">
        <f aca="false">-In_Var_Opex*U111*U109/Thousand</f>
        <v>-0</v>
      </c>
      <c r="V113" s="33" t="n">
        <f aca="false">-In_Var_Opex*V111*V109/Thousand</f>
        <v>-0</v>
      </c>
      <c r="W113" s="33" t="n">
        <f aca="false">-In_Var_Opex*W111*W109/Thousand</f>
        <v>-0</v>
      </c>
      <c r="X113" s="33" t="n">
        <f aca="false">-In_Var_Opex*X111*X109/Thousand</f>
        <v>-0</v>
      </c>
      <c r="Y113" s="33" t="n">
        <f aca="false">-In_Var_Opex*Y111*Y109/Thousand</f>
        <v>-0</v>
      </c>
      <c r="Z113" s="33" t="n">
        <f aca="false">-In_Var_Opex*Z111*Z109/Thousand</f>
        <v>-0</v>
      </c>
      <c r="AA113" s="33" t="n">
        <f aca="false">-In_Var_Opex*AA111*AA109/Thousand</f>
        <v>-0</v>
      </c>
      <c r="AB113" s="33" t="n">
        <f aca="false">-In_Var_Opex*AB111*AB109/Thousand</f>
        <v>-0</v>
      </c>
      <c r="AC113" s="33" t="n">
        <f aca="false">-In_Var_Opex*AC111*AC109/Thousand</f>
        <v>-0</v>
      </c>
      <c r="AD113" s="33" t="n">
        <f aca="false">-In_Var_Opex*AD111*AD109/Thousand</f>
        <v>-0</v>
      </c>
      <c r="AE113" s="33" t="n">
        <f aca="false">-In_Var_Opex*AE111*AE109/Thousand</f>
        <v>-303.826849315069</v>
      </c>
      <c r="AF113" s="33" t="n">
        <f aca="false">-In_Var_Opex*AF111*AF109/Thousand</f>
        <v>-308.037493150685</v>
      </c>
      <c r="AG113" s="33" t="n">
        <f aca="false">-In_Var_Opex*AG111*AG109/Thousand</f>
        <v>-308.037493150685</v>
      </c>
      <c r="AH113" s="33" t="n">
        <f aca="false">-In_Var_Opex*AH111*AH109/Thousand</f>
        <v>-311.422520547945</v>
      </c>
      <c r="AI113" s="33" t="n">
        <f aca="false">-In_Var_Opex*AI111*AI109/Thousand</f>
        <v>-310.488252986301</v>
      </c>
      <c r="AJ113" s="33" t="n">
        <f aca="false">-In_Var_Opex*AJ111*AJ109/Thousand</f>
        <v>-311.331971065068</v>
      </c>
      <c r="AK113" s="33" t="n">
        <f aca="false">-In_Var_Opex*AK111*AK109/Thousand</f>
        <v>-314.791215188014</v>
      </c>
      <c r="AL113" s="33" t="n">
        <f aca="false">-In_Var_Opex*AL111*AL109/Thousand</f>
        <v>-318.250459310959</v>
      </c>
      <c r="AM113" s="33" t="n">
        <f aca="false">-In_Var_Opex*AM111*AM109/Thousand</f>
        <v>-317.295707933026</v>
      </c>
      <c r="AN113" s="33" t="n">
        <f aca="false">-In_Var_Opex*AN111*AN109/Thousand</f>
        <v>-318.15792453067</v>
      </c>
      <c r="AO113" s="33" t="n">
        <f aca="false">-In_Var_Opex*AO111*AO109/Thousand</f>
        <v>-321.693012581011</v>
      </c>
      <c r="AP113" s="33" t="n">
        <f aca="false">-In_Var_Opex*AP111*AP109/Thousand</f>
        <v>-325.228100631352</v>
      </c>
      <c r="AQ113" s="33" t="n">
        <f aca="false">-In_Var_Opex*AQ111*AQ109/Thousand</f>
        <v>-324.252416329458</v>
      </c>
      <c r="AR113" s="33" t="n">
        <f aca="false">-In_Var_Opex*AR111*AR109/Thousand</f>
        <v>-325.133537026005</v>
      </c>
      <c r="AS113" s="33" t="n">
        <f aca="false">-In_Var_Opex*AS111*AS109/Thousand</f>
        <v>-328.746131881849</v>
      </c>
      <c r="AT113" s="33" t="n">
        <f aca="false">-In_Var_Opex*AT111*AT109/Thousand</f>
        <v>-332.358726737694</v>
      </c>
      <c r="AU113" s="33" t="n">
        <f aca="false">-In_Var_Opex*AU111*AU109/Thousand</f>
        <v>-331.361650557481</v>
      </c>
      <c r="AV113" s="33" t="n">
        <f aca="false">-In_Var_Opex*AV111*AV109/Thousand</f>
        <v>-335.953890823359</v>
      </c>
      <c r="AW113" s="33" t="n">
        <f aca="false">-In_Var_Opex*AW111*AW109/Thousand</f>
        <v>-335.953890823359</v>
      </c>
      <c r="AX113" s="33" t="n">
        <f aca="false">-In_Var_Opex*AX111*AX109/Thousand</f>
        <v>-339.645691821418</v>
      </c>
      <c r="AY113" s="33" t="n">
        <f aca="false">-In_Var_Opex*AY111*AY109/Thousand</f>
        <v>-338.626754745954</v>
      </c>
      <c r="AZ113" s="33" t="n">
        <f aca="false">-In_Var_Opex*AZ111*AZ109/Thousand</f>
        <v>-339.54693614472</v>
      </c>
      <c r="BA113" s="33" t="n">
        <f aca="false">-In_Var_Opex*BA111*BA109/Thousand</f>
        <v>-343.319679879661</v>
      </c>
      <c r="BB113" s="33" t="n">
        <f aca="false">-In_Var_Opex*BB111*BB109/Thousand</f>
        <v>-347.092423614602</v>
      </c>
      <c r="BC113" s="33" t="n">
        <f aca="false">-In_Var_Opex*BC111*BC109/Thousand</f>
        <v>-346.051146343759</v>
      </c>
      <c r="BD113" s="33" t="n">
        <f aca="false">-In_Var_Opex*BD111*BD109/Thousand</f>
        <v>-346.991502719693</v>
      </c>
      <c r="BE113" s="33" t="n">
        <f aca="false">-In_Var_Opex*BE111*BE109/Thousand</f>
        <v>-350.846963861023</v>
      </c>
      <c r="BF113" s="33" t="n">
        <f aca="false">-In_Var_Opex*BF111*BF109/Thousand</f>
        <v>-354.702425002353</v>
      </c>
      <c r="BG113" s="33" t="n">
        <f aca="false">-In_Var_Opex*BG111*BG109/Thousand</f>
        <v>-353.638317727346</v>
      </c>
      <c r="BH113" s="33" t="n">
        <f aca="false">-In_Var_Opex*BH111*BH109/Thousand</f>
        <v>-354.599291416822</v>
      </c>
      <c r="BI113" s="33" t="n">
        <f aca="false">-In_Var_Opex*BI111*BI109/Thousand</f>
        <v>-358.539283543675</v>
      </c>
      <c r="BJ113" s="33" t="n">
        <f aca="false">-In_Var_Opex*BJ111*BJ109/Thousand</f>
        <v>-362.479275670529</v>
      </c>
      <c r="BK113" s="33" t="n">
        <f aca="false">-In_Var_Opex*BK111*BK109/Thousand</f>
        <v>-361.391837843517</v>
      </c>
      <c r="BL113" s="33" t="n">
        <f aca="false">-In_Var_Opex*BL111*BL109/Thousand</f>
        <v>-366.400257335371</v>
      </c>
      <c r="BM113" s="33" t="n">
        <f aca="false">-In_Var_Opex*BM111*BM109/Thousand</f>
        <v>-366.400257335371</v>
      </c>
      <c r="BN113" s="33" t="n">
        <f aca="false">-In_Var_Opex*BN111*BN109/Thousand</f>
        <v>-370.426633789605</v>
      </c>
      <c r="BO113" s="33" t="n">
        <f aca="false">-In_Var_Opex*BO111*BO109/Thousand</f>
        <v>-369.315353888237</v>
      </c>
      <c r="BP113" s="33" t="n">
        <f aca="false">-In_Var_Opex*BP111*BP109/Thousand</f>
        <v>-370.318928219455</v>
      </c>
      <c r="BQ113" s="33" t="n">
        <f aca="false">-In_Var_Opex*BQ111*BQ109/Thousand</f>
        <v>-374.433582977449</v>
      </c>
      <c r="BR113" s="33" t="n">
        <f aca="false">-In_Var_Opex*BR111*BR109/Thousand</f>
        <v>-378.548237735442</v>
      </c>
      <c r="BS113" s="33" t="n">
        <f aca="false">-In_Var_Opex*BS111*BS109/Thousand</f>
        <v>-377.412593022236</v>
      </c>
      <c r="BT113" s="33" t="n">
        <f aca="false">-In_Var_Opex*BT111*BT109/Thousand</f>
        <v>-378.438170720666</v>
      </c>
      <c r="BU113" s="33" t="n">
        <f aca="false">-In_Var_Opex*BU111*BU109/Thousand</f>
        <v>-382.643039284229</v>
      </c>
      <c r="BV113" s="33" t="n">
        <f aca="false">-In_Var_Opex*BV111*BV109/Thousand</f>
        <v>-386.847907847792</v>
      </c>
      <c r="BW113" s="33" t="n">
        <f aca="false">-In_Var_Opex*BW111*BW109/Thousand</f>
        <v>-385.687364124249</v>
      </c>
      <c r="BX113" s="33" t="n">
        <f aca="false">-In_Var_Opex*BX111*BX109/Thousand</f>
        <v>-386.735427613717</v>
      </c>
      <c r="BY113" s="33" t="n">
        <f aca="false">-In_Var_Opex*BY111*BY109/Thousand</f>
        <v>-391.032487920536</v>
      </c>
      <c r="BZ113" s="33" t="n">
        <f aca="false">-In_Var_Opex*BZ111*BZ109/Thousand</f>
        <v>-395.329548227355</v>
      </c>
      <c r="CA113" s="33" t="n">
        <f aca="false">-In_Var_Opex*CA111*CA109/Thousand</f>
        <v>-394.143559582673</v>
      </c>
      <c r="CB113" s="33" t="n">
        <f aca="false">-In_Var_Opex*CB111*CB109/Thousand</f>
        <v>-399.605875218193</v>
      </c>
      <c r="CC113" s="33" t="n">
        <f aca="false">-In_Var_Opex*CC111*CC109/Thousand</f>
        <v>-399.605875218193</v>
      </c>
      <c r="CD113" s="33" t="n">
        <f aca="false">-In_Var_Opex*CD111*CD109/Thousand</f>
        <v>-403.99714857224</v>
      </c>
      <c r="CE113" s="33" t="n">
        <f aca="false">-In_Var_Opex*CE111*CE109/Thousand</f>
        <v>-402.785157126523</v>
      </c>
      <c r="CF113" s="33" t="n">
        <f aca="false">-In_Var_Opex*CF111*CF109/Thousand</f>
        <v>-403.879682010019</v>
      </c>
      <c r="CG113" s="33" t="n">
        <f aca="false">-In_Var_Opex*CG111*CG109/Thousand</f>
        <v>-408.367234032352</v>
      </c>
      <c r="CH113" s="33" t="n">
        <f aca="false">-In_Var_Opex*CH111*CH109/Thousand</f>
        <v>-412.854786054686</v>
      </c>
      <c r="CI113" s="33" t="n">
        <f aca="false">-In_Var_Opex*CI111*CI109/Thousand</f>
        <v>-411.616221696522</v>
      </c>
      <c r="CJ113" s="33" t="n">
        <f aca="false">-In_Var_Opex*CJ111*CJ109/Thousand</f>
        <v>-412.734744038088</v>
      </c>
      <c r="CK113" s="33" t="n">
        <f aca="false">-In_Var_Opex*CK111*CK109/Thousand</f>
        <v>-417.320685638512</v>
      </c>
      <c r="CL113" s="33" t="n">
        <f aca="false">-In_Var_Opex*CL111*CL109/Thousand</f>
        <v>-421.906627238935</v>
      </c>
      <c r="CM113" s="33" t="n">
        <f aca="false">-In_Var_Opex*CM111*CM109/Thousand</f>
        <v>-420.640907357218</v>
      </c>
      <c r="CN113" s="33" t="n">
        <f aca="false">-In_Var_Opex*CN111*CN109/Thousand</f>
        <v>-421.783953301123</v>
      </c>
      <c r="CO113" s="33" t="n">
        <f aca="false">-In_Var_Opex*CO111*CO109/Thousand</f>
        <v>-426.470441671136</v>
      </c>
      <c r="CP113" s="33" t="n">
        <f aca="false">-In_Var_Opex*CP111*CP109/Thousand</f>
        <v>-431.156930041149</v>
      </c>
      <c r="CQ113" s="33" t="n">
        <f aca="false">-In_Var_Opex*CQ111*CQ109/Thousand</f>
        <v>-429.863459251025</v>
      </c>
      <c r="CR113" s="33" t="n">
        <f aca="false">-In_Var_Opex*CR111*CR109/Thousand</f>
        <v>-435.820806104776</v>
      </c>
      <c r="CS113" s="33" t="n">
        <f aca="false">-In_Var_Opex*CS111*CS109/Thousand</f>
        <v>-435.820806104776</v>
      </c>
      <c r="CT113" s="33" t="n">
        <f aca="false">-In_Var_Opex*CT111*CT109/Thousand</f>
        <v>-440.610045732301</v>
      </c>
      <c r="CU113" s="33" t="n">
        <f aca="false">-In_Var_Opex*CU111*CU109/Thousand</f>
        <v>-439.288215595104</v>
      </c>
      <c r="CV113" s="33" t="n">
        <f aca="false">-In_Var_Opex*CV111*CV109/Thousand</f>
        <v>-440.481933572264</v>
      </c>
      <c r="CW113" s="33" t="n">
        <f aca="false">-In_Var_Opex*CW111*CW109/Thousand</f>
        <v>-445.376177278623</v>
      </c>
      <c r="CX113" s="33" t="n">
        <f aca="false">-In_Var_Opex*CX111*CX109/Thousand</f>
        <v>-450.270420984981</v>
      </c>
      <c r="CY113" s="33" t="n">
        <f aca="false">-In_Var_Opex*CY111*CY109/Thousand</f>
        <v>-448.919609722026</v>
      </c>
      <c r="CZ113" s="33" t="n">
        <f aca="false">-In_Var_Opex*CZ111*CZ109/Thousand</f>
        <v>-450.139499965836</v>
      </c>
      <c r="DA113" s="33" t="n">
        <f aca="false">-In_Var_Opex*DA111*DA109/Thousand</f>
        <v>-455.141049965457</v>
      </c>
      <c r="DB113" s="33" t="n">
        <f aca="false">-In_Var_Opex*DB111*DB109/Thousand</f>
        <v>-460.142599965077</v>
      </c>
      <c r="DC113" s="33" t="n">
        <f aca="false">-In_Var_Opex*DC111*DC109/Thousand</f>
        <v>-458.762172165182</v>
      </c>
      <c r="DD113" s="33" t="n">
        <f aca="false">-In_Var_Opex*DD111*DD109/Thousand</f>
        <v>-460.008808502587</v>
      </c>
      <c r="DE113" s="33" t="n">
        <f aca="false">-In_Var_Opex*DE111*DE109/Thousand</f>
        <v>-465.120017485949</v>
      </c>
      <c r="DF113" s="33" t="n">
        <f aca="false">-In_Var_Opex*DF111*DF109/Thousand</f>
        <v>-470.231226469311</v>
      </c>
      <c r="DG113" s="33" t="n">
        <f aca="false">-In_Var_Opex*DG111*DG109/Thousand</f>
        <v>-468.820532789903</v>
      </c>
      <c r="DH113" s="33" t="n">
        <f aca="false">-In_Var_Opex*DH111*DH109/Thousand</f>
        <v>-475.317773869328</v>
      </c>
      <c r="DI113" s="33" t="n">
        <f aca="false">-In_Var_Opex*DI111*DI109/Thousand</f>
        <v>-475.317773869328</v>
      </c>
      <c r="DJ113" s="33" t="n">
        <f aca="false">-In_Var_Opex*DJ111*DJ109/Thousand</f>
        <v>-480.541046109651</v>
      </c>
      <c r="DK113" s="33" t="n">
        <f aca="false">-In_Var_Opex*DK111*DK109/Thousand</f>
        <v>-479.099422971322</v>
      </c>
      <c r="DL113" s="33" t="n">
        <f aca="false">-In_Var_Opex*DL111*DL109/Thousand</f>
        <v>-480.401323577222</v>
      </c>
      <c r="DM113" s="33" t="n">
        <f aca="false">-In_Var_Opex*DM111*DM109/Thousand</f>
        <v>-485.739116061413</v>
      </c>
      <c r="DN113" s="33" t="n">
        <f aca="false">-In_Var_Opex*DN111*DN109/Thousand</f>
        <v>-491.076908545605</v>
      </c>
      <c r="DO113" s="33" t="n">
        <f aca="false">-In_Var_Opex*DO111*DO109/Thousand</f>
        <v>-489.603677819968</v>
      </c>
      <c r="DP113" s="33" t="n">
        <f aca="false">-In_Var_Opex*DP111*DP109/Thousand</f>
        <v>-490.934122596653</v>
      </c>
      <c r="DQ113" s="33" t="n">
        <f aca="false">-In_Var_Opex*DQ111*DQ109/Thousand</f>
        <v>-496.38894618106</v>
      </c>
      <c r="DR113" s="33" t="n">
        <f aca="false">-In_Var_Opex*DR111*DR109/Thousand</f>
        <v>-501.843769765467</v>
      </c>
      <c r="DS113" s="33" t="n">
        <f aca="false">-In_Var_Opex*DS111*DS109/Thousand</f>
        <v>-500.338238456171</v>
      </c>
      <c r="DT113" s="33" t="n">
        <f aca="false">-In_Var_Opex*DT111*DT109/Thousand</f>
        <v>-501.697853234584</v>
      </c>
      <c r="DU113" s="33" t="n">
        <f aca="false">-In_Var_Opex*DU111*DU109/Thousand</f>
        <v>-507.27227382608</v>
      </c>
      <c r="DV113" s="33" t="n">
        <f aca="false">-In_Var_Opex*DV111*DV109/Thousand</f>
        <v>-512.846694417575</v>
      </c>
      <c r="DW113" s="33" t="n">
        <f aca="false">-In_Var_Opex*DW111*DW109/Thousand</f>
        <v>-511.308154334322</v>
      </c>
      <c r="DX113" s="33" t="n">
        <f aca="false">-In_Var_Opex*DX111*DX109/Thousand</f>
        <v>-518.394218429716</v>
      </c>
      <c r="DY113" s="33" t="n">
        <f aca="false">-In_Var_Opex*DY111*DY109/Thousand</f>
        <v>-518.394218429716</v>
      </c>
      <c r="DZ113" s="33" t="n">
        <f aca="false">-In_Var_Opex*DZ111*DZ109/Thousand</f>
        <v>-524.09085819268</v>
      </c>
      <c r="EA113" s="33" t="n">
        <f aca="false">-In_Var_Opex*EA111*EA109/Thousand</f>
        <v>-522.518585618102</v>
      </c>
      <c r="EB113" s="33" t="n">
        <f aca="false">-In_Var_Opex*EB111*EB109/Thousand</f>
        <v>-523.938473079021</v>
      </c>
      <c r="EC113" s="33" t="n">
        <f aca="false">-In_Var_Opex*EC111*EC109/Thousand</f>
        <v>-529.760011668788</v>
      </c>
      <c r="ED113" s="33" t="n">
        <f aca="false">-In_Var_Opex*ED111*ED109/Thousand</f>
        <v>-535.581550258555</v>
      </c>
      <c r="EE113" s="33" t="n">
        <f aca="false">-In_Var_Opex*EE111*EE109/Thousand</f>
        <v>-533.974805607779</v>
      </c>
      <c r="EF113" s="33" t="n">
        <f aca="false">-In_Var_Opex*EF111*EF109/Thousand</f>
        <v>-535.425824101278</v>
      </c>
      <c r="EG113" s="33" t="n">
        <f aca="false">-In_Var_Opex*EG111*EG109/Thousand</f>
        <v>-541.374999924626</v>
      </c>
      <c r="EH113" s="33" t="n">
        <f aca="false">-In_Var_Opex*EH111*EH109/Thousand</f>
        <v>-547.324175747974</v>
      </c>
      <c r="EI113" s="33" t="n">
        <f aca="false">-In_Var_Opex*EI111*EI109/Thousand</f>
        <v>-545.68220322073</v>
      </c>
      <c r="EJ113" s="33" t="n">
        <f aca="false">-In_Var_Opex*EJ111*EJ109/Thousand</f>
        <v>-547.165035294699</v>
      </c>
      <c r="EK113" s="33" t="n">
        <f aca="false">-In_Var_Opex*EK111*EK109/Thousand</f>
        <v>-553.244646797973</v>
      </c>
      <c r="EL113" s="33" t="n">
        <f aca="false">-In_Var_Opex*EL111*EL109/Thousand</f>
        <v>-559.324258301248</v>
      </c>
      <c r="EM113" s="33" t="n">
        <f aca="false">-In_Var_Opex*EM111*EM109/Thousand</f>
        <v>-557.646285526344</v>
      </c>
      <c r="EN113" s="33" t="n">
        <f aca="false">-In_Var_Opex*EN111*EN109/Thousand</f>
        <v>-565.374535679019</v>
      </c>
      <c r="EO113" s="33" t="n">
        <f aca="false">-In_Var_Opex*EO111*EO109/Thousand</f>
        <v>-565.374535679019</v>
      </c>
      <c r="EP113" s="33" t="n">
        <f aca="false">-In_Var_Opex*EP111*EP109/Thousand</f>
        <v>-571.587442664503</v>
      </c>
      <c r="EQ113" s="33" t="n">
        <f aca="false">-In_Var_Opex*EQ111*EQ109/Thousand</f>
        <v>-569.872680336509</v>
      </c>
      <c r="ER113" s="33" t="n">
        <f aca="false">-In_Var_Opex*ER111*ER109/Thousand</f>
        <v>-571.421247402641</v>
      </c>
      <c r="ES113" s="33" t="n">
        <f aca="false">-In_Var_Opex*ES111*ES109/Thousand</f>
        <v>-577.770372373781</v>
      </c>
      <c r="ET113" s="33" t="n">
        <f aca="false">-In_Var_Opex*ET111*ET109/Thousand</f>
        <v>-584.119497344922</v>
      </c>
    </row>
    <row r="114" customFormat="false" ht="15" hidden="false" customHeight="false" outlineLevel="0" collapsed="false">
      <c r="C114" s="0" t="s">
        <v>559</v>
      </c>
      <c r="D114" s="11" t="s">
        <v>247</v>
      </c>
      <c r="I114" s="33" t="n">
        <f aca="false">SUM(J114:ET114)</f>
        <v>-105177.037405926</v>
      </c>
      <c r="J114" s="33" t="n">
        <f aca="false">-(In_Fixed_Opex*$F24+In_Admin)*J109*J15*J$6</f>
        <v>-0</v>
      </c>
      <c r="K114" s="33" t="n">
        <f aca="false">-(In_Fixed_Opex*$F24+In_Admin)*K109*K15*K$6</f>
        <v>-0</v>
      </c>
      <c r="L114" s="33" t="n">
        <f aca="false">-(In_Fixed_Opex*$F24+In_Admin)*L109*L15*L$6</f>
        <v>-0</v>
      </c>
      <c r="M114" s="33" t="n">
        <f aca="false">-(In_Fixed_Opex*$F24+In_Admin)*M109*M15*M$6</f>
        <v>-0</v>
      </c>
      <c r="N114" s="33" t="n">
        <f aca="false">-(In_Fixed_Opex*$F24+In_Admin)*N109*N15*N$6</f>
        <v>-0</v>
      </c>
      <c r="O114" s="33" t="n">
        <f aca="false">-(In_Fixed_Opex*$F24+In_Admin)*O109*O15*O$6</f>
        <v>-0</v>
      </c>
      <c r="P114" s="33" t="n">
        <f aca="false">-(In_Fixed_Opex*$F24+In_Admin)*P109*P15*P$6</f>
        <v>-0</v>
      </c>
      <c r="Q114" s="33" t="n">
        <f aca="false">-(In_Fixed_Opex*$F24+In_Admin)*Q109*Q15*Q$6</f>
        <v>-0</v>
      </c>
      <c r="R114" s="33" t="n">
        <f aca="false">-(In_Fixed_Opex*$F24+In_Admin)*R109*R15*R$6</f>
        <v>-0</v>
      </c>
      <c r="S114" s="33" t="n">
        <f aca="false">-(In_Fixed_Opex*$F24+In_Admin)*S109*S15*S$6</f>
        <v>-0</v>
      </c>
      <c r="T114" s="33" t="n">
        <f aca="false">-(In_Fixed_Opex*$F24+In_Admin)*T109*T15*T$6</f>
        <v>-0</v>
      </c>
      <c r="U114" s="33" t="n">
        <f aca="false">-(In_Fixed_Opex*$F24+In_Admin)*U109*U15*U$6</f>
        <v>-0</v>
      </c>
      <c r="V114" s="33" t="n">
        <f aca="false">-(In_Fixed_Opex*$F24+In_Admin)*V109*V15*V$6</f>
        <v>-0</v>
      </c>
      <c r="W114" s="33" t="n">
        <f aca="false">-(In_Fixed_Opex*$F24+In_Admin)*W109*W15*W$6</f>
        <v>-0</v>
      </c>
      <c r="X114" s="33" t="n">
        <f aca="false">-(In_Fixed_Opex*$F24+In_Admin)*X109*X15*X$6</f>
        <v>-0</v>
      </c>
      <c r="Y114" s="33" t="n">
        <f aca="false">-(In_Fixed_Opex*$F24+In_Admin)*Y109*Y15*Y$6</f>
        <v>-0</v>
      </c>
      <c r="Z114" s="33" t="n">
        <f aca="false">-(In_Fixed_Opex*$F24+In_Admin)*Z109*Z15*Z$6</f>
        <v>-0</v>
      </c>
      <c r="AA114" s="33" t="n">
        <f aca="false">-(In_Fixed_Opex*$F24+In_Admin)*AA109*AA15*AA$6</f>
        <v>-0</v>
      </c>
      <c r="AB114" s="33" t="n">
        <f aca="false">-(In_Fixed_Opex*$F24+In_Admin)*AB109*AB15*AB$6</f>
        <v>-0</v>
      </c>
      <c r="AC114" s="33" t="n">
        <f aca="false">-(In_Fixed_Opex*$F24+In_Admin)*AC109*AC15*AC$6</f>
        <v>-0</v>
      </c>
      <c r="AD114" s="33" t="n">
        <f aca="false">-(In_Fixed_Opex*$F24+In_Admin)*AD109*AD15*AD$6</f>
        <v>-0</v>
      </c>
      <c r="AE114" s="33" t="n">
        <f aca="false">-(In_Fixed_Opex*$F24+In_Admin)*AE109*AE15*AE$6</f>
        <v>-592.328767123288</v>
      </c>
      <c r="AF114" s="33" t="n">
        <f aca="false">-(In_Fixed_Opex*$F24+In_Admin)*AF109*AF15*AF$6</f>
        <v>-600.537671232877</v>
      </c>
      <c r="AG114" s="33" t="n">
        <f aca="false">-(In_Fixed_Opex*$F24+In_Admin)*AG109*AG15*AG$6</f>
        <v>-600.537671232877</v>
      </c>
      <c r="AH114" s="33" t="n">
        <f aca="false">-(In_Fixed_Opex*$F24+In_Admin)*AH109*AH15*AH$6</f>
        <v>-607.13698630137</v>
      </c>
      <c r="AI114" s="33" t="n">
        <f aca="false">-(In_Fixed_Opex*$F24+In_Admin)*AI109*AI15*AI$6</f>
        <v>-607.13698630137</v>
      </c>
      <c r="AJ114" s="33" t="n">
        <f aca="false">-(In_Fixed_Opex*$F24+In_Admin)*AJ109*AJ15*AJ$6</f>
        <v>-608.786815068493</v>
      </c>
      <c r="AK114" s="33" t="n">
        <f aca="false">-(In_Fixed_Opex*$F24+In_Admin)*AK109*AK15*AK$6</f>
        <v>-615.551113013699</v>
      </c>
      <c r="AL114" s="33" t="n">
        <f aca="false">-(In_Fixed_Opex*$F24+In_Admin)*AL109*AL15*AL$6</f>
        <v>-622.315410958904</v>
      </c>
      <c r="AM114" s="33" t="n">
        <f aca="false">-(In_Fixed_Opex*$F24+In_Admin)*AM109*AM15*AM$6</f>
        <v>-622.315410958904</v>
      </c>
      <c r="AN114" s="33" t="n">
        <f aca="false">-(In_Fixed_Opex*$F24+In_Admin)*AN109*AN15*AN$6</f>
        <v>-624.006485445205</v>
      </c>
      <c r="AO114" s="33" t="n">
        <f aca="false">-(In_Fixed_Opex*$F24+In_Admin)*AO109*AO15*AO$6</f>
        <v>-630.939890839041</v>
      </c>
      <c r="AP114" s="33" t="n">
        <f aca="false">-(In_Fixed_Opex*$F24+In_Admin)*AP109*AP15*AP$6</f>
        <v>-637.873296232877</v>
      </c>
      <c r="AQ114" s="33" t="n">
        <f aca="false">-(In_Fixed_Opex*$F24+In_Admin)*AQ109*AQ15*AQ$6</f>
        <v>-637.873296232877</v>
      </c>
      <c r="AR114" s="33" t="n">
        <f aca="false">-(In_Fixed_Opex*$F24+In_Admin)*AR109*AR15*AR$6</f>
        <v>-639.606647581335</v>
      </c>
      <c r="AS114" s="33" t="n">
        <f aca="false">-(In_Fixed_Opex*$F24+In_Admin)*AS109*AS15*AS$6</f>
        <v>-646.713388110017</v>
      </c>
      <c r="AT114" s="33" t="n">
        <f aca="false">-(In_Fixed_Opex*$F24+In_Admin)*AT109*AT15*AT$6</f>
        <v>-653.820128638698</v>
      </c>
      <c r="AU114" s="33" t="n">
        <f aca="false">-(In_Fixed_Opex*$F24+In_Admin)*AU109*AU15*AU$6</f>
        <v>-653.820128638698</v>
      </c>
      <c r="AV114" s="33" t="n">
        <f aca="false">-(In_Fixed_Opex*$F24+In_Admin)*AV109*AV15*AV$6</f>
        <v>-662.881222812767</v>
      </c>
      <c r="AW114" s="33" t="n">
        <f aca="false">-(In_Fixed_Opex*$F24+In_Admin)*AW109*AW15*AW$6</f>
        <v>-662.881222812767</v>
      </c>
      <c r="AX114" s="33" t="n">
        <f aca="false">-(In_Fixed_Opex*$F24+In_Admin)*AX109*AX15*AX$6</f>
        <v>-670.165631854666</v>
      </c>
      <c r="AY114" s="33" t="n">
        <f aca="false">-(In_Fixed_Opex*$F24+In_Admin)*AY109*AY15*AY$6</f>
        <v>-670.165631854666</v>
      </c>
      <c r="AZ114" s="33" t="n">
        <f aca="false">-(In_Fixed_Opex*$F24+In_Admin)*AZ109*AZ15*AZ$6</f>
        <v>-671.98673411514</v>
      </c>
      <c r="BA114" s="33" t="n">
        <f aca="false">-(In_Fixed_Opex*$F24+In_Admin)*BA109*BA15*BA$6</f>
        <v>-679.453253383086</v>
      </c>
      <c r="BB114" s="33" t="n">
        <f aca="false">-(In_Fixed_Opex*$F24+In_Admin)*BB109*BB15*BB$6</f>
        <v>-686.919772651032</v>
      </c>
      <c r="BC114" s="33" t="n">
        <f aca="false">-(In_Fixed_Opex*$F24+In_Admin)*BC109*BC15*BC$6</f>
        <v>-686.919772651032</v>
      </c>
      <c r="BD114" s="33" t="n">
        <f aca="false">-(In_Fixed_Opex*$F24+In_Admin)*BD109*BD15*BD$6</f>
        <v>-688.786402468019</v>
      </c>
      <c r="BE114" s="33" t="n">
        <f aca="false">-(In_Fixed_Opex*$F24+In_Admin)*BE109*BE15*BE$6</f>
        <v>-696.439584717664</v>
      </c>
      <c r="BF114" s="33" t="n">
        <f aca="false">-(In_Fixed_Opex*$F24+In_Admin)*BF109*BF15*BF$6</f>
        <v>-704.092766967308</v>
      </c>
      <c r="BG114" s="33" t="n">
        <f aca="false">-(In_Fixed_Opex*$F24+In_Admin)*BG109*BG15*BG$6</f>
        <v>-704.092766967308</v>
      </c>
      <c r="BH114" s="33" t="n">
        <f aca="false">-(In_Fixed_Opex*$F24+In_Admin)*BH109*BH15*BH$6</f>
        <v>-706.006062529719</v>
      </c>
      <c r="BI114" s="33" t="n">
        <f aca="false">-(In_Fixed_Opex*$F24+In_Admin)*BI109*BI15*BI$6</f>
        <v>-713.850574335605</v>
      </c>
      <c r="BJ114" s="33" t="n">
        <f aca="false">-(In_Fixed_Opex*$F24+In_Admin)*BJ109*BJ15*BJ$6</f>
        <v>-721.695086141491</v>
      </c>
      <c r="BK114" s="33" t="n">
        <f aca="false">-(In_Fixed_Opex*$F24+In_Admin)*BK109*BK15*BK$6</f>
        <v>-721.695086141491</v>
      </c>
      <c r="BL114" s="33" t="n">
        <f aca="false">-(In_Fixed_Opex*$F24+In_Admin)*BL109*BL15*BL$6</f>
        <v>-731.696838693995</v>
      </c>
      <c r="BM114" s="33" t="n">
        <f aca="false">-(In_Fixed_Opex*$F24+In_Admin)*BM109*BM15*BM$6</f>
        <v>-731.696838693995</v>
      </c>
      <c r="BN114" s="33" t="n">
        <f aca="false">-(In_Fixed_Opex*$F24+In_Admin)*BN109*BN15*BN$6</f>
        <v>-739.737463295028</v>
      </c>
      <c r="BO114" s="33" t="n">
        <f aca="false">-(In_Fixed_Opex*$F24+In_Admin)*BO109*BO15*BO$6</f>
        <v>-739.737463295028</v>
      </c>
      <c r="BP114" s="33" t="n">
        <f aca="false">-(In_Fixed_Opex*$F24+In_Admin)*BP109*BP15*BP$6</f>
        <v>-741.747619445286</v>
      </c>
      <c r="BQ114" s="33" t="n">
        <f aca="false">-(In_Fixed_Opex*$F24+In_Admin)*BQ109*BQ15*BQ$6</f>
        <v>-749.989259661345</v>
      </c>
      <c r="BR114" s="33" t="n">
        <f aca="false">-(In_Fixed_Opex*$F24+In_Admin)*BR109*BR15*BR$6</f>
        <v>-758.230899877404</v>
      </c>
      <c r="BS114" s="33" t="n">
        <f aca="false">-(In_Fixed_Opex*$F24+In_Admin)*BS109*BS15*BS$6</f>
        <v>-758.230899877404</v>
      </c>
      <c r="BT114" s="33" t="n">
        <f aca="false">-(In_Fixed_Opex*$F24+In_Admin)*BT109*BT15*BT$6</f>
        <v>-760.291309931418</v>
      </c>
      <c r="BU114" s="33" t="n">
        <f aca="false">-(In_Fixed_Opex*$F24+In_Admin)*BU109*BU15*BU$6</f>
        <v>-768.738991152879</v>
      </c>
      <c r="BV114" s="33" t="n">
        <f aca="false">-(In_Fixed_Opex*$F24+In_Admin)*BV109*BV15*BV$6</f>
        <v>-777.186672374339</v>
      </c>
      <c r="BW114" s="33" t="n">
        <f aca="false">-(In_Fixed_Opex*$F24+In_Admin)*BW109*BW15*BW$6</f>
        <v>-777.186672374339</v>
      </c>
      <c r="BX114" s="33" t="n">
        <f aca="false">-(In_Fixed_Opex*$F24+In_Admin)*BX109*BX15*BX$6</f>
        <v>-779.298592679704</v>
      </c>
      <c r="BY114" s="33" t="n">
        <f aca="false">-(In_Fixed_Opex*$F24+In_Admin)*BY109*BY15*BY$6</f>
        <v>-787.9574659317</v>
      </c>
      <c r="BZ114" s="33" t="n">
        <f aca="false">-(In_Fixed_Opex*$F24+In_Admin)*BZ109*BZ15*BZ$6</f>
        <v>-796.616339183697</v>
      </c>
      <c r="CA114" s="33" t="n">
        <f aca="false">-(In_Fixed_Opex*$F24+In_Admin)*CA109*CA15*CA$6</f>
        <v>-796.616339183697</v>
      </c>
      <c r="CB114" s="33" t="n">
        <f aca="false">-(In_Fixed_Opex*$F24+In_Admin)*CB109*CB15*CB$6</f>
        <v>-807.656402579993</v>
      </c>
      <c r="CC114" s="33" t="n">
        <f aca="false">-(In_Fixed_Opex*$F24+In_Admin)*CC109*CC15*CC$6</f>
        <v>-807.656402579993</v>
      </c>
      <c r="CD114" s="33" t="n">
        <f aca="false">-(In_Fixed_Opex*$F24+In_Admin)*CD109*CD15*CD$6</f>
        <v>-816.53174766329</v>
      </c>
      <c r="CE114" s="33" t="n">
        <f aca="false">-(In_Fixed_Opex*$F24+In_Admin)*CE109*CE15*CE$6</f>
        <v>-816.53174766329</v>
      </c>
      <c r="CF114" s="33" t="n">
        <f aca="false">-(In_Fixed_Opex*$F24+In_Admin)*CF109*CF15*CF$6</f>
        <v>-818.750583934114</v>
      </c>
      <c r="CG114" s="33" t="n">
        <f aca="false">-(In_Fixed_Opex*$F24+In_Admin)*CG109*CG15*CG$6</f>
        <v>-827.847812644493</v>
      </c>
      <c r="CH114" s="33" t="n">
        <f aca="false">-(In_Fixed_Opex*$F24+In_Admin)*CH109*CH15*CH$6</f>
        <v>-836.945041354872</v>
      </c>
      <c r="CI114" s="33" t="n">
        <f aca="false">-(In_Fixed_Opex*$F24+In_Admin)*CI109*CI15*CI$6</f>
        <v>-836.945041354872</v>
      </c>
      <c r="CJ114" s="33" t="n">
        <f aca="false">-(In_Fixed_Opex*$F24+In_Admin)*CJ109*CJ15*CJ$6</f>
        <v>-839.219348532466</v>
      </c>
      <c r="CK114" s="33" t="n">
        <f aca="false">-(In_Fixed_Opex*$F24+In_Admin)*CK109*CK15*CK$6</f>
        <v>-848.544007960605</v>
      </c>
      <c r="CL114" s="33" t="n">
        <f aca="false">-(In_Fixed_Opex*$F24+In_Admin)*CL109*CL15*CL$6</f>
        <v>-857.868667388743</v>
      </c>
      <c r="CM114" s="33" t="n">
        <f aca="false">-(In_Fixed_Opex*$F24+In_Admin)*CM109*CM15*CM$6</f>
        <v>-857.868667388743</v>
      </c>
      <c r="CN114" s="33" t="n">
        <f aca="false">-(In_Fixed_Opex*$F24+In_Admin)*CN109*CN15*CN$6</f>
        <v>-860.199832245778</v>
      </c>
      <c r="CO114" s="33" t="n">
        <f aca="false">-(In_Fixed_Opex*$F24+In_Admin)*CO109*CO15*CO$6</f>
        <v>-869.75760815962</v>
      </c>
      <c r="CP114" s="33" t="n">
        <f aca="false">-(In_Fixed_Opex*$F24+In_Admin)*CP109*CP15*CP$6</f>
        <v>-879.315384073462</v>
      </c>
      <c r="CQ114" s="33" t="n">
        <f aca="false">-(In_Fixed_Opex*$F24+In_Admin)*CQ109*CQ15*CQ$6</f>
        <v>-879.315384073462</v>
      </c>
      <c r="CR114" s="33" t="n">
        <f aca="false">-(In_Fixed_Opex*$F24+In_Admin)*CR109*CR15*CR$6</f>
        <v>-891.50154836361</v>
      </c>
      <c r="CS114" s="33" t="n">
        <f aca="false">-(In_Fixed_Opex*$F24+In_Admin)*CS109*CS15*CS$6</f>
        <v>-891.50154836361</v>
      </c>
      <c r="CT114" s="33" t="n">
        <f aca="false">-(In_Fixed_Opex*$F24+In_Admin)*CT109*CT15*CT$6</f>
        <v>-901.298268675298</v>
      </c>
      <c r="CU114" s="33" t="n">
        <f aca="false">-(In_Fixed_Opex*$F24+In_Admin)*CU109*CU15*CU$6</f>
        <v>-901.298268675298</v>
      </c>
      <c r="CV114" s="33" t="n">
        <f aca="false">-(In_Fixed_Opex*$F24+In_Admin)*CV109*CV15*CV$6</f>
        <v>-903.74744875322</v>
      </c>
      <c r="CW114" s="33" t="n">
        <f aca="false">-(In_Fixed_Opex*$F24+In_Admin)*CW109*CW15*CW$6</f>
        <v>-913.789087072701</v>
      </c>
      <c r="CX114" s="33" t="n">
        <f aca="false">-(In_Fixed_Opex*$F24+In_Admin)*CX109*CX15*CX$6</f>
        <v>-923.830725392181</v>
      </c>
      <c r="CY114" s="33" t="n">
        <f aca="false">-(In_Fixed_Opex*$F24+In_Admin)*CY109*CY15*CY$6</f>
        <v>-923.830725392181</v>
      </c>
      <c r="CZ114" s="33" t="n">
        <f aca="false">-(In_Fixed_Opex*$F24+In_Admin)*CZ109*CZ15*CZ$6</f>
        <v>-926.341134972051</v>
      </c>
      <c r="DA114" s="33" t="n">
        <f aca="false">-(In_Fixed_Opex*$F24+In_Admin)*DA109*DA15*DA$6</f>
        <v>-936.633814249518</v>
      </c>
      <c r="DB114" s="33" t="n">
        <f aca="false">-(In_Fixed_Opex*$F24+In_Admin)*DB109*DB15*DB$6</f>
        <v>-946.926493526985</v>
      </c>
      <c r="DC114" s="33" t="n">
        <f aca="false">-(In_Fixed_Opex*$F24+In_Admin)*DC109*DC15*DC$6</f>
        <v>-946.926493526985</v>
      </c>
      <c r="DD114" s="33" t="n">
        <f aca="false">-(In_Fixed_Opex*$F24+In_Admin)*DD109*DD15*DD$6</f>
        <v>-949.499663346352</v>
      </c>
      <c r="DE114" s="33" t="n">
        <f aca="false">-(In_Fixed_Opex*$F24+In_Admin)*DE109*DE15*DE$6</f>
        <v>-960.049659605756</v>
      </c>
      <c r="DF114" s="33" t="n">
        <f aca="false">-(In_Fixed_Opex*$F24+In_Admin)*DF109*DF15*DF$6</f>
        <v>-970.59965586516</v>
      </c>
      <c r="DG114" s="33" t="n">
        <f aca="false">-(In_Fixed_Opex*$F24+In_Admin)*DG109*DG15*DG$6</f>
        <v>-970.59965586516</v>
      </c>
      <c r="DH114" s="33" t="n">
        <f aca="false">-(In_Fixed_Opex*$F24+In_Admin)*DH109*DH15*DH$6</f>
        <v>-984.0509010959</v>
      </c>
      <c r="DI114" s="33" t="n">
        <f aca="false">-(In_Fixed_Opex*$F24+In_Admin)*DI109*DI15*DI$6</f>
        <v>-984.0509010959</v>
      </c>
      <c r="DJ114" s="33" t="n">
        <f aca="false">-(In_Fixed_Opex*$F24+In_Admin)*DJ109*DJ15*DJ$6</f>
        <v>-994.864647261789</v>
      </c>
      <c r="DK114" s="33" t="n">
        <f aca="false">-(In_Fixed_Opex*$F24+In_Admin)*DK109*DK15*DK$6</f>
        <v>-994.864647261789</v>
      </c>
      <c r="DL114" s="33" t="n">
        <f aca="false">-(In_Fixed_Opex*$F24+In_Admin)*DL109*DL15*DL$6</f>
        <v>-997.568083803261</v>
      </c>
      <c r="DM114" s="33" t="n">
        <f aca="false">-(In_Fixed_Opex*$F24+In_Admin)*DM109*DM15*DM$6</f>
        <v>-1008.6521736233</v>
      </c>
      <c r="DN114" s="33" t="n">
        <f aca="false">-(In_Fixed_Opex*$F24+In_Admin)*DN109*DN15*DN$6</f>
        <v>-1019.73626344333</v>
      </c>
      <c r="DO114" s="33" t="n">
        <f aca="false">-(In_Fixed_Opex*$F24+In_Admin)*DO109*DO15*DO$6</f>
        <v>-1019.73626344333</v>
      </c>
      <c r="DP114" s="33" t="n">
        <f aca="false">-(In_Fixed_Opex*$F24+In_Admin)*DP109*DP15*DP$6</f>
        <v>-1022.50728589834</v>
      </c>
      <c r="DQ114" s="33" t="n">
        <f aca="false">-(In_Fixed_Opex*$F24+In_Admin)*DQ109*DQ15*DQ$6</f>
        <v>-1033.86847796388</v>
      </c>
      <c r="DR114" s="33" t="n">
        <f aca="false">-(In_Fixed_Opex*$F24+In_Admin)*DR109*DR15*DR$6</f>
        <v>-1045.22967002942</v>
      </c>
      <c r="DS114" s="33" t="n">
        <f aca="false">-(In_Fixed_Opex*$F24+In_Admin)*DS109*DS15*DS$6</f>
        <v>-1045.22967002942</v>
      </c>
      <c r="DT114" s="33" t="n">
        <f aca="false">-(In_Fixed_Opex*$F24+In_Admin)*DT109*DT15*DT$6</f>
        <v>-1048.0699680458</v>
      </c>
      <c r="DU114" s="33" t="n">
        <f aca="false">-(In_Fixed_Opex*$F24+In_Admin)*DU109*DU15*DU$6</f>
        <v>-1059.71518991298</v>
      </c>
      <c r="DV114" s="33" t="n">
        <f aca="false">-(In_Fixed_Opex*$F24+In_Admin)*DV109*DV15*DV$6</f>
        <v>-1071.36041178015</v>
      </c>
      <c r="DW114" s="33" t="n">
        <f aca="false">-(In_Fixed_Opex*$F24+In_Admin)*DW109*DW15*DW$6</f>
        <v>-1071.36041178015</v>
      </c>
      <c r="DX114" s="33" t="n">
        <f aca="false">-(In_Fixed_Opex*$F24+In_Admin)*DX109*DX15*DX$6</f>
        <v>-1086.2080696608</v>
      </c>
      <c r="DY114" s="33" t="n">
        <f aca="false">-(In_Fixed_Opex*$F24+In_Admin)*DY109*DY15*DY$6</f>
        <v>-1086.2080696608</v>
      </c>
      <c r="DZ114" s="33" t="n">
        <f aca="false">-(In_Fixed_Opex*$F24+In_Admin)*DZ109*DZ15*DZ$6</f>
        <v>-1098.14442207466</v>
      </c>
      <c r="EA114" s="33" t="n">
        <f aca="false">-(In_Fixed_Opex*$F24+In_Admin)*EA109*EA15*EA$6</f>
        <v>-1098.14442207466</v>
      </c>
      <c r="EB114" s="33" t="n">
        <f aca="false">-(In_Fixed_Opex*$F24+In_Admin)*EB109*EB15*EB$6</f>
        <v>-1101.12851017812</v>
      </c>
      <c r="EC114" s="33" t="n">
        <f aca="false">-(In_Fixed_Opex*$F24+In_Admin)*EC109*EC15*EC$6</f>
        <v>-1113.36327140232</v>
      </c>
      <c r="ED114" s="33" t="n">
        <f aca="false">-(In_Fixed_Opex*$F24+In_Admin)*ED109*ED15*ED$6</f>
        <v>-1125.59803262652</v>
      </c>
      <c r="EE114" s="33" t="n">
        <f aca="false">-(In_Fixed_Opex*$F24+In_Admin)*EE109*EE15*EE$6</f>
        <v>-1125.59803262652</v>
      </c>
      <c r="EF114" s="33" t="n">
        <f aca="false">-(In_Fixed_Opex*$F24+In_Admin)*EF109*EF15*EF$6</f>
        <v>-1128.65672293257</v>
      </c>
      <c r="EG114" s="33" t="n">
        <f aca="false">-(In_Fixed_Opex*$F24+In_Admin)*EG109*EG15*EG$6</f>
        <v>-1141.19735318738</v>
      </c>
      <c r="EH114" s="33" t="n">
        <f aca="false">-(In_Fixed_Opex*$F24+In_Admin)*EH109*EH15*EH$6</f>
        <v>-1153.73798344218</v>
      </c>
      <c r="EI114" s="33" t="n">
        <f aca="false">-(In_Fixed_Opex*$F24+In_Admin)*EI109*EI15*EI$6</f>
        <v>-1153.73798344218</v>
      </c>
      <c r="EJ114" s="33" t="n">
        <f aca="false">-(In_Fixed_Opex*$F24+In_Admin)*EJ109*EJ15*EJ$6</f>
        <v>-1156.87314100589</v>
      </c>
      <c r="EK114" s="33" t="n">
        <f aca="false">-(In_Fixed_Opex*$F24+In_Admin)*EK109*EK15*EK$6</f>
        <v>-1169.72728701706</v>
      </c>
      <c r="EL114" s="33" t="n">
        <f aca="false">-(In_Fixed_Opex*$F24+In_Admin)*EL109*EL15*EL$6</f>
        <v>-1182.58143302824</v>
      </c>
      <c r="EM114" s="33" t="n">
        <f aca="false">-(In_Fixed_Opex*$F24+In_Admin)*EM109*EM15*EM$6</f>
        <v>-1182.58143302824</v>
      </c>
      <c r="EN114" s="33" t="n">
        <f aca="false">-(In_Fixed_Opex*$F24+In_Admin)*EN109*EN15*EN$6</f>
        <v>-1198.97046919249</v>
      </c>
      <c r="EO114" s="33" t="n">
        <f aca="false">-(In_Fixed_Opex*$F24+In_Admin)*EO109*EO15*EO$6</f>
        <v>-1198.97046919249</v>
      </c>
      <c r="EP114" s="33" t="n">
        <f aca="false">-(In_Fixed_Opex*$F24+In_Admin)*EP109*EP15*EP$6</f>
        <v>-1212.14596885395</v>
      </c>
      <c r="EQ114" s="33" t="n">
        <f aca="false">-(In_Fixed_Opex*$F24+In_Admin)*EQ109*EQ15*EQ$6</f>
        <v>-1212.14596885395</v>
      </c>
      <c r="ER114" s="33" t="n">
        <f aca="false">-(In_Fixed_Opex*$F24+In_Admin)*ER109*ER15*ER$6</f>
        <v>-1215.43984376931</v>
      </c>
      <c r="ES114" s="33" t="n">
        <f aca="false">-(In_Fixed_Opex*$F24+In_Admin)*ES109*ES15*ES$6</f>
        <v>-1228.9447309223</v>
      </c>
      <c r="ET114" s="33" t="n">
        <f aca="false">-(In_Fixed_Opex*$F24+In_Admin)*ET109*ET15*ET$6</f>
        <v>-1242.44961807529</v>
      </c>
    </row>
    <row r="115" customFormat="false" ht="15" hidden="false" customHeight="false" outlineLevel="0" collapsed="false">
      <c r="C115" s="0" t="s">
        <v>560</v>
      </c>
      <c r="D115" s="11" t="s">
        <v>247</v>
      </c>
      <c r="I115" s="33" t="n">
        <f aca="false">SUM(J115:ET115)</f>
        <v>-14015.8951421437</v>
      </c>
      <c r="J115" s="33" t="n">
        <f aca="false">-In_Lease*$F24*J109*J16*J$6</f>
        <v>-0</v>
      </c>
      <c r="K115" s="33" t="n">
        <f aca="false">-In_Lease*$F24*K109*K16*K$6</f>
        <v>-0</v>
      </c>
      <c r="L115" s="33" t="n">
        <f aca="false">-In_Lease*$F24*L109*L16*L$6</f>
        <v>-0</v>
      </c>
      <c r="M115" s="33" t="n">
        <f aca="false">-In_Lease*$F24*M109*M16*M$6</f>
        <v>-0</v>
      </c>
      <c r="N115" s="33" t="n">
        <f aca="false">-In_Lease*$F24*N109*N16*N$6</f>
        <v>-0</v>
      </c>
      <c r="O115" s="33" t="n">
        <f aca="false">-In_Lease*$F24*O109*O16*O$6</f>
        <v>-0</v>
      </c>
      <c r="P115" s="33" t="n">
        <f aca="false">-In_Lease*$F24*P109*P16*P$6</f>
        <v>-0</v>
      </c>
      <c r="Q115" s="33" t="n">
        <f aca="false">-In_Lease*$F24*Q109*Q16*Q$6</f>
        <v>-0</v>
      </c>
      <c r="R115" s="33" t="n">
        <f aca="false">-In_Lease*$F24*R109*R16*R$6</f>
        <v>-0</v>
      </c>
      <c r="S115" s="33" t="n">
        <f aca="false">-In_Lease*$F24*S109*S16*S$6</f>
        <v>-0</v>
      </c>
      <c r="T115" s="33" t="n">
        <f aca="false">-In_Lease*$F24*T109*T16*T$6</f>
        <v>-0</v>
      </c>
      <c r="U115" s="33" t="n">
        <f aca="false">-In_Lease*$F24*U109*U16*U$6</f>
        <v>-0</v>
      </c>
      <c r="V115" s="33" t="n">
        <f aca="false">-In_Lease*$F24*V109*V16*V$6</f>
        <v>-0</v>
      </c>
      <c r="W115" s="33" t="n">
        <f aca="false">-In_Lease*$F24*W109*W16*W$6</f>
        <v>-71.9728146162183</v>
      </c>
      <c r="X115" s="33" t="n">
        <f aca="false">-In_Lease*$F24*X109*X16*X$6</f>
        <v>-72.1683929168059</v>
      </c>
      <c r="Y115" s="33" t="n">
        <f aca="false">-In_Lease*$F24*Y109*Y16*Y$6</f>
        <v>-72.9702639492148</v>
      </c>
      <c r="Z115" s="33" t="n">
        <f aca="false">-In_Lease*$F24*Z109*Z16*Z$6</f>
        <v>-73.7721349816238</v>
      </c>
      <c r="AA115" s="33" t="n">
        <f aca="false">-In_Lease*$F24*AA109*AA16*AA$6</f>
        <v>-73.7721349816238</v>
      </c>
      <c r="AB115" s="33" t="n">
        <f aca="false">-In_Lease*$F24*AB109*AB16*AB$6</f>
        <v>-73.972602739726</v>
      </c>
      <c r="AC115" s="33" t="n">
        <f aca="false">-In_Lease*$F24*AC109*AC16*AC$6</f>
        <v>-74.7945205479452</v>
      </c>
      <c r="AD115" s="33" t="n">
        <f aca="false">-In_Lease*$F24*AD109*AD16*AD$6</f>
        <v>-75.6164383561644</v>
      </c>
      <c r="AE115" s="33" t="n">
        <f aca="false">-In_Lease*$F24*AE109*AE16*AE$6</f>
        <v>-75.6164383561644</v>
      </c>
      <c r="AF115" s="33" t="n">
        <f aca="false">-In_Lease*$F24*AF109*AF16*AF$6</f>
        <v>-76.6643835616438</v>
      </c>
      <c r="AG115" s="33" t="n">
        <f aca="false">-In_Lease*$F24*AG109*AG16*AG$6</f>
        <v>-76.6643835616438</v>
      </c>
      <c r="AH115" s="33" t="n">
        <f aca="false">-In_Lease*$F24*AH109*AH16*AH$6</f>
        <v>-77.5068493150685</v>
      </c>
      <c r="AI115" s="33" t="n">
        <f aca="false">-In_Lease*$F24*AI109*AI16*AI$6</f>
        <v>-77.5068493150685</v>
      </c>
      <c r="AJ115" s="33" t="n">
        <f aca="false">-In_Lease*$F24*AJ109*AJ16*AJ$6</f>
        <v>-77.7174657534247</v>
      </c>
      <c r="AK115" s="33" t="n">
        <f aca="false">-In_Lease*$F24*AK109*AK16*AK$6</f>
        <v>-78.5809931506849</v>
      </c>
      <c r="AL115" s="33" t="n">
        <f aca="false">-In_Lease*$F24*AL109*AL16*AL$6</f>
        <v>-79.4445205479452</v>
      </c>
      <c r="AM115" s="33" t="n">
        <f aca="false">-In_Lease*$F24*AM109*AM16*AM$6</f>
        <v>-79.4445205479452</v>
      </c>
      <c r="AN115" s="33" t="n">
        <f aca="false">-In_Lease*$F24*AN109*AN16*AN$6</f>
        <v>-79.6604023972602</v>
      </c>
      <c r="AO115" s="33" t="n">
        <f aca="false">-In_Lease*$F24*AO109*AO16*AO$6</f>
        <v>-80.545517979452</v>
      </c>
      <c r="AP115" s="33" t="n">
        <f aca="false">-In_Lease*$F24*AP109*AP16*AP$6</f>
        <v>-81.4306335616438</v>
      </c>
      <c r="AQ115" s="33" t="n">
        <f aca="false">-In_Lease*$F24*AQ109*AQ16*AQ$6</f>
        <v>-81.4306335616438</v>
      </c>
      <c r="AR115" s="33" t="n">
        <f aca="false">-In_Lease*$F24*AR109*AR16*AR$6</f>
        <v>-81.6519124571917</v>
      </c>
      <c r="AS115" s="33" t="n">
        <f aca="false">-In_Lease*$F24*AS109*AS16*AS$6</f>
        <v>-82.5591559289383</v>
      </c>
      <c r="AT115" s="33" t="n">
        <f aca="false">-In_Lease*$F24*AT109*AT16*AT$6</f>
        <v>-83.4663994006849</v>
      </c>
      <c r="AU115" s="33" t="n">
        <f aca="false">-In_Lease*$F24*AU109*AU16*AU$6</f>
        <v>-83.4663994006849</v>
      </c>
      <c r="AV115" s="33" t="n">
        <f aca="false">-In_Lease*$F24*AV109*AV16*AV$6</f>
        <v>-84.6231348271618</v>
      </c>
      <c r="AW115" s="33" t="n">
        <f aca="false">-In_Lease*$F24*AW109*AW16*AW$6</f>
        <v>-84.6231348271618</v>
      </c>
      <c r="AX115" s="33" t="n">
        <f aca="false">-In_Lease*$F24*AX109*AX16*AX$6</f>
        <v>-85.553059385702</v>
      </c>
      <c r="AY115" s="33" t="n">
        <f aca="false">-In_Lease*$F24*AY109*AY16*AY$6</f>
        <v>-85.553059385702</v>
      </c>
      <c r="AZ115" s="33" t="n">
        <f aca="false">-In_Lease*$F24*AZ109*AZ16*AZ$6</f>
        <v>-85.7855405253371</v>
      </c>
      <c r="BA115" s="33" t="n">
        <f aca="false">-In_Lease*$F24*BA109*BA16*BA$6</f>
        <v>-86.7387131978408</v>
      </c>
      <c r="BB115" s="33" t="n">
        <f aca="false">-In_Lease*$F24*BB109*BB16*BB$6</f>
        <v>-87.6918858703446</v>
      </c>
      <c r="BC115" s="33" t="n">
        <f aca="false">-In_Lease*$F24*BC109*BC16*BC$6</f>
        <v>-87.6918858703446</v>
      </c>
      <c r="BD115" s="33" t="n">
        <f aca="false">-In_Lease*$F24*BD109*BD16*BD$6</f>
        <v>-87.9301790384705</v>
      </c>
      <c r="BE115" s="33" t="n">
        <f aca="false">-In_Lease*$F24*BE109*BE16*BE$6</f>
        <v>-88.9071810277869</v>
      </c>
      <c r="BF115" s="33" t="n">
        <f aca="false">-In_Lease*$F24*BF109*BF16*BF$6</f>
        <v>-89.8841830171032</v>
      </c>
      <c r="BG115" s="33" t="n">
        <f aca="false">-In_Lease*$F24*BG109*BG16*BG$6</f>
        <v>-89.8841830171032</v>
      </c>
      <c r="BH115" s="33" t="n">
        <f aca="false">-In_Lease*$F24*BH109*BH16*BH$6</f>
        <v>-90.1284335144322</v>
      </c>
      <c r="BI115" s="33" t="n">
        <f aca="false">-In_Lease*$F24*BI109*BI16*BI$6</f>
        <v>-91.1298605534815</v>
      </c>
      <c r="BJ115" s="33" t="n">
        <f aca="false">-In_Lease*$F24*BJ109*BJ16*BJ$6</f>
        <v>-92.1312875925307</v>
      </c>
      <c r="BK115" s="33" t="n">
        <f aca="false">-In_Lease*$F24*BK109*BK16*BK$6</f>
        <v>-92.1312875925307</v>
      </c>
      <c r="BL115" s="33" t="n">
        <f aca="false">-In_Lease*$F24*BL109*BL16*BL$6</f>
        <v>-93.4081070673185</v>
      </c>
      <c r="BM115" s="33" t="n">
        <f aca="false">-In_Lease*$F24*BM109*BM16*BM$6</f>
        <v>-93.4081070673185</v>
      </c>
      <c r="BN115" s="33" t="n">
        <f aca="false">-In_Lease*$F24*BN109*BN16*BN$6</f>
        <v>-94.434569782344</v>
      </c>
      <c r="BO115" s="33" t="n">
        <f aca="false">-In_Lease*$F24*BO109*BO16*BO$6</f>
        <v>-94.434569782344</v>
      </c>
      <c r="BP115" s="33" t="n">
        <f aca="false">-In_Lease*$F24*BP109*BP16*BP$6</f>
        <v>-94.6911854611004</v>
      </c>
      <c r="BQ115" s="33" t="n">
        <f aca="false">-In_Lease*$F24*BQ109*BQ16*BQ$6</f>
        <v>-95.7433097440015</v>
      </c>
      <c r="BR115" s="33" t="n">
        <f aca="false">-In_Lease*$F24*BR109*BR16*BR$6</f>
        <v>-96.7954340269026</v>
      </c>
      <c r="BS115" s="33" t="n">
        <f aca="false">-In_Lease*$F24*BS109*BS16*BS$6</f>
        <v>-96.7954340269026</v>
      </c>
      <c r="BT115" s="33" t="n">
        <f aca="false">-In_Lease*$F24*BT109*BT16*BT$6</f>
        <v>-97.0584650976279</v>
      </c>
      <c r="BU115" s="33" t="n">
        <f aca="false">-In_Lease*$F24*BU109*BU16*BU$6</f>
        <v>-98.1368924876015</v>
      </c>
      <c r="BV115" s="33" t="n">
        <f aca="false">-In_Lease*$F24*BV109*BV16*BV$6</f>
        <v>-99.2153198775752</v>
      </c>
      <c r="BW115" s="33" t="n">
        <f aca="false">-In_Lease*$F24*BW109*BW16*BW$6</f>
        <v>-99.2153198775752</v>
      </c>
      <c r="BX115" s="33" t="n">
        <f aca="false">-In_Lease*$F24*BX109*BX16*BX$6</f>
        <v>-99.4849267250686</v>
      </c>
      <c r="BY115" s="33" t="n">
        <f aca="false">-In_Lease*$F24*BY109*BY16*BY$6</f>
        <v>-100.590314799792</v>
      </c>
      <c r="BZ115" s="33" t="n">
        <f aca="false">-In_Lease*$F24*BZ109*BZ16*BZ$6</f>
        <v>-101.695702874515</v>
      </c>
      <c r="CA115" s="33" t="n">
        <f aca="false">-In_Lease*$F24*CA109*CA16*CA$6</f>
        <v>-101.695702874515</v>
      </c>
      <c r="CB115" s="33" t="n">
        <f aca="false">-In_Lease*$F24*CB109*CB16*CB$6</f>
        <v>-103.105072669786</v>
      </c>
      <c r="CC115" s="33" t="n">
        <f aca="false">-In_Lease*$F24*CC109*CC16*CC$6</f>
        <v>-103.105072669786</v>
      </c>
      <c r="CD115" s="33" t="n">
        <f aca="false">-In_Lease*$F24*CD109*CD16*CD$6</f>
        <v>-104.238095446377</v>
      </c>
      <c r="CE115" s="33" t="n">
        <f aca="false">-In_Lease*$F24*CE109*CE16*CE$6</f>
        <v>-104.238095446377</v>
      </c>
      <c r="CF115" s="33" t="n">
        <f aca="false">-In_Lease*$F24*CF109*CF16*CF$6</f>
        <v>-104.521351140525</v>
      </c>
      <c r="CG115" s="33" t="n">
        <f aca="false">-In_Lease*$F24*CG109*CG16*CG$6</f>
        <v>-105.682699486531</v>
      </c>
      <c r="CH115" s="33" t="n">
        <f aca="false">-In_Lease*$F24*CH109*CH16*CH$6</f>
        <v>-106.844047832537</v>
      </c>
      <c r="CI115" s="33" t="n">
        <f aca="false">-In_Lease*$F24*CI109*CI16*CI$6</f>
        <v>-106.844047832537</v>
      </c>
      <c r="CJ115" s="33" t="n">
        <f aca="false">-In_Lease*$F24*CJ109*CJ16*CJ$6</f>
        <v>-107.134384919038</v>
      </c>
      <c r="CK115" s="33" t="n">
        <f aca="false">-In_Lease*$F24*CK109*CK16*CK$6</f>
        <v>-108.324766973694</v>
      </c>
      <c r="CL115" s="33" t="n">
        <f aca="false">-In_Lease*$F24*CL109*CL16*CL$6</f>
        <v>-109.51514902835</v>
      </c>
      <c r="CM115" s="33" t="n">
        <f aca="false">-In_Lease*$F24*CM109*CM16*CM$6</f>
        <v>-109.51514902835</v>
      </c>
      <c r="CN115" s="33" t="n">
        <f aca="false">-In_Lease*$F24*CN109*CN16*CN$6</f>
        <v>-109.812744542014</v>
      </c>
      <c r="CO115" s="33" t="n">
        <f aca="false">-In_Lease*$F24*CO109*CO16*CO$6</f>
        <v>-111.032886148037</v>
      </c>
      <c r="CP115" s="33" t="n">
        <f aca="false">-In_Lease*$F24*CP109*CP16*CP$6</f>
        <v>-112.253027754059</v>
      </c>
      <c r="CQ115" s="33" t="n">
        <f aca="false">-In_Lease*$F24*CQ109*CQ16*CQ$6</f>
        <v>-112.253027754059</v>
      </c>
      <c r="CR115" s="33" t="n">
        <f aca="false">-In_Lease*$F24*CR109*CR16*CR$6</f>
        <v>-113.808708301737</v>
      </c>
      <c r="CS115" s="33" t="n">
        <f aca="false">-In_Lease*$F24*CS109*CS16*CS$6</f>
        <v>-113.808708301737</v>
      </c>
      <c r="CT115" s="33" t="n">
        <f aca="false">-In_Lease*$F24*CT109*CT16*CT$6</f>
        <v>-115.05935344791</v>
      </c>
      <c r="CU115" s="33" t="n">
        <f aca="false">-In_Lease*$F24*CU109*CU16*CU$6</f>
        <v>-115.05935344791</v>
      </c>
      <c r="CV115" s="33" t="n">
        <f aca="false">-In_Lease*$F24*CV109*CV16*CV$6</f>
        <v>-115.372014734454</v>
      </c>
      <c r="CW115" s="33" t="n">
        <f aca="false">-In_Lease*$F24*CW109*CW16*CW$6</f>
        <v>-116.653926009281</v>
      </c>
      <c r="CX115" s="33" t="n">
        <f aca="false">-In_Lease*$F24*CX109*CX16*CX$6</f>
        <v>-117.935837284108</v>
      </c>
      <c r="CY115" s="33" t="n">
        <f aca="false">-In_Lease*$F24*CY109*CY16*CY$6</f>
        <v>-117.935837284108</v>
      </c>
      <c r="CZ115" s="33" t="n">
        <f aca="false">-In_Lease*$F24*CZ109*CZ16*CZ$6</f>
        <v>-118.256315102815</v>
      </c>
      <c r="DA115" s="33" t="n">
        <f aca="false">-In_Lease*$F24*DA109*DA16*DA$6</f>
        <v>-119.570274159513</v>
      </c>
      <c r="DB115" s="33" t="n">
        <f aca="false">-In_Lease*$F24*DB109*DB16*DB$6</f>
        <v>-120.884233216211</v>
      </c>
      <c r="DC115" s="33" t="n">
        <f aca="false">-In_Lease*$F24*DC109*DC16*DC$6</f>
        <v>-120.884233216211</v>
      </c>
      <c r="DD115" s="33" t="n">
        <f aca="false">-In_Lease*$F24*DD109*DD16*DD$6</f>
        <v>-121.212722980385</v>
      </c>
      <c r="DE115" s="33" t="n">
        <f aca="false">-In_Lease*$F24*DE109*DE16*DE$6</f>
        <v>-122.559531013501</v>
      </c>
      <c r="DF115" s="33" t="n">
        <f aca="false">-In_Lease*$F24*DF109*DF16*DF$6</f>
        <v>-123.906339046616</v>
      </c>
      <c r="DG115" s="33" t="n">
        <f aca="false">-In_Lease*$F24*DG109*DG16*DG$6</f>
        <v>-123.906339046616</v>
      </c>
      <c r="DH115" s="33" t="n">
        <f aca="false">-In_Lease*$F24*DH109*DH16*DH$6</f>
        <v>-125.623519288838</v>
      </c>
      <c r="DI115" s="33" t="n">
        <f aca="false">-In_Lease*$F24*DI109*DI16*DI$6</f>
        <v>-125.623519288838</v>
      </c>
      <c r="DJ115" s="33" t="n">
        <f aca="false">-In_Lease*$F24*DJ109*DJ16*DJ$6</f>
        <v>-127.003997522782</v>
      </c>
      <c r="DK115" s="33" t="n">
        <f aca="false">-In_Lease*$F24*DK109*DK16*DK$6</f>
        <v>-127.003997522782</v>
      </c>
      <c r="DL115" s="33" t="n">
        <f aca="false">-In_Lease*$F24*DL109*DL16*DL$6</f>
        <v>-127.349117081267</v>
      </c>
      <c r="DM115" s="33" t="n">
        <f aca="false">-In_Lease*$F24*DM109*DM16*DM$6</f>
        <v>-128.764107271059</v>
      </c>
      <c r="DN115" s="33" t="n">
        <f aca="false">-In_Lease*$F24*DN109*DN16*DN$6</f>
        <v>-130.179097460851</v>
      </c>
      <c r="DO115" s="33" t="n">
        <f aca="false">-In_Lease*$F24*DO109*DO16*DO$6</f>
        <v>-130.179097460851</v>
      </c>
      <c r="DP115" s="33" t="n">
        <f aca="false">-In_Lease*$F24*DP109*DP16*DP$6</f>
        <v>-130.532845008299</v>
      </c>
      <c r="DQ115" s="33" t="n">
        <f aca="false">-In_Lease*$F24*DQ109*DQ16*DQ$6</f>
        <v>-131.983209952836</v>
      </c>
      <c r="DR115" s="33" t="n">
        <f aca="false">-In_Lease*$F24*DR109*DR16*DR$6</f>
        <v>-133.433574897372</v>
      </c>
      <c r="DS115" s="33" t="n">
        <f aca="false">-In_Lease*$F24*DS109*DS16*DS$6</f>
        <v>-133.433574897372</v>
      </c>
      <c r="DT115" s="33" t="n">
        <f aca="false">-In_Lease*$F24*DT109*DT16*DT$6</f>
        <v>-133.796166133506</v>
      </c>
      <c r="DU115" s="33" t="n">
        <f aca="false">-In_Lease*$F24*DU109*DU16*DU$6</f>
        <v>-135.282790201657</v>
      </c>
      <c r="DV115" s="33" t="n">
        <f aca="false">-In_Lease*$F24*DV109*DV16*DV$6</f>
        <v>-136.769414269807</v>
      </c>
      <c r="DW115" s="33" t="n">
        <f aca="false">-In_Lease*$F24*DW109*DW16*DW$6</f>
        <v>-136.769414269807</v>
      </c>
      <c r="DX115" s="33" t="n">
        <f aca="false">-In_Lease*$F24*DX109*DX16*DX$6</f>
        <v>-138.664859956698</v>
      </c>
      <c r="DY115" s="33" t="n">
        <f aca="false">-In_Lease*$F24*DY109*DY16*DY$6</f>
        <v>-138.664859956698</v>
      </c>
      <c r="DZ115" s="33" t="n">
        <f aca="false">-In_Lease*$F24*DZ109*DZ16*DZ$6</f>
        <v>-140.188649626552</v>
      </c>
      <c r="EA115" s="33" t="n">
        <f aca="false">-In_Lease*$F24*EA109*EA16*EA$6</f>
        <v>-140.188649626552</v>
      </c>
      <c r="EB115" s="33" t="n">
        <f aca="false">-In_Lease*$F24*EB109*EB16*EB$6</f>
        <v>-140.569597044015</v>
      </c>
      <c r="EC115" s="33" t="n">
        <f aca="false">-In_Lease*$F24*EC109*EC16*EC$6</f>
        <v>-142.131481455615</v>
      </c>
      <c r="ED115" s="33" t="n">
        <f aca="false">-In_Lease*$F24*ED109*ED16*ED$6</f>
        <v>-143.693365867216</v>
      </c>
      <c r="EE115" s="33" t="n">
        <f aca="false">-In_Lease*$F24*EE109*EE16*EE$6</f>
        <v>-143.693365867216</v>
      </c>
      <c r="EF115" s="33" t="n">
        <f aca="false">-In_Lease*$F24*EF109*EF16*EF$6</f>
        <v>-144.083836970116</v>
      </c>
      <c r="EG115" s="33" t="n">
        <f aca="false">-In_Lease*$F24*EG109*EG16*EG$6</f>
        <v>-145.684768492006</v>
      </c>
      <c r="EH115" s="33" t="n">
        <f aca="false">-In_Lease*$F24*EH109*EH16*EH$6</f>
        <v>-147.285700013896</v>
      </c>
      <c r="EI115" s="33" t="n">
        <f aca="false">-In_Lease*$F24*EI109*EI16*EI$6</f>
        <v>-147.285700013896</v>
      </c>
      <c r="EJ115" s="33" t="n">
        <f aca="false">-In_Lease*$F24*EJ109*EJ16*EJ$6</f>
        <v>-147.685932894368</v>
      </c>
      <c r="EK115" s="33" t="n">
        <f aca="false">-In_Lease*$F24*EK109*EK16*EK$6</f>
        <v>-149.326887704306</v>
      </c>
      <c r="EL115" s="33" t="n">
        <f aca="false">-In_Lease*$F24*EL109*EL16*EL$6</f>
        <v>-150.967842514243</v>
      </c>
      <c r="EM115" s="33" t="n">
        <f aca="false">-In_Lease*$F24*EM109*EM16*EM$6</f>
        <v>-150.967842514243</v>
      </c>
      <c r="EN115" s="33" t="n">
        <f aca="false">-In_Lease*$F24*EN109*EN16*EN$6</f>
        <v>-153.060059896914</v>
      </c>
      <c r="EO115" s="33" t="n">
        <f aca="false">-In_Lease*$F24*EO109*EO16*EO$6</f>
        <v>-153.060059896914</v>
      </c>
      <c r="EP115" s="33" t="n">
        <f aca="false">-In_Lease*$F24*EP109*EP16*EP$6</f>
        <v>-154.742038577099</v>
      </c>
      <c r="EQ115" s="33" t="n">
        <f aca="false">-In_Lease*$F24*EQ109*EQ16*EQ$6</f>
        <v>-154.742038577099</v>
      </c>
      <c r="ER115" s="33" t="n">
        <f aca="false">-In_Lease*$F24*ER109*ER16*ER$6</f>
        <v>-155.162533247146</v>
      </c>
      <c r="ES115" s="33" t="n">
        <f aca="false">-In_Lease*$F24*ES109*ES16*ES$6</f>
        <v>-156.886561394336</v>
      </c>
      <c r="ET115" s="33" t="n">
        <f aca="false">-In_Lease*$F24*ET109*ET16*ET$6</f>
        <v>-158.610589541527</v>
      </c>
    </row>
    <row r="116" customFormat="false" ht="15" hidden="false" customHeight="false" outlineLevel="0" collapsed="false">
      <c r="C116" s="0" t="s">
        <v>561</v>
      </c>
      <c r="D116" s="11" t="s">
        <v>247</v>
      </c>
      <c r="I116" s="33" t="n">
        <f aca="false">SUM(J116:ET116)</f>
        <v>-15269.388528234</v>
      </c>
      <c r="J116" s="33" t="n">
        <f aca="false">-J112*(In_MEKH+In_HIPA)</f>
        <v>-0</v>
      </c>
      <c r="K116" s="33" t="n">
        <f aca="false">-K112*(In_MEKH+In_HIPA)</f>
        <v>-0</v>
      </c>
      <c r="L116" s="33" t="n">
        <f aca="false">-L112*(In_MEKH+In_HIPA)</f>
        <v>-0</v>
      </c>
      <c r="M116" s="33" t="n">
        <f aca="false">-M112*(In_MEKH+In_HIPA)</f>
        <v>-0</v>
      </c>
      <c r="N116" s="33" t="n">
        <f aca="false">-N112*(In_MEKH+In_HIPA)</f>
        <v>-0</v>
      </c>
      <c r="O116" s="33" t="n">
        <f aca="false">-O112*(In_MEKH+In_HIPA)</f>
        <v>-0</v>
      </c>
      <c r="P116" s="33" t="n">
        <f aca="false">-P112*(In_MEKH+In_HIPA)</f>
        <v>-0</v>
      </c>
      <c r="Q116" s="33" t="n">
        <f aca="false">-Q112*(In_MEKH+In_HIPA)</f>
        <v>-0</v>
      </c>
      <c r="R116" s="33" t="n">
        <f aca="false">-R112*(In_MEKH+In_HIPA)</f>
        <v>-0</v>
      </c>
      <c r="S116" s="33" t="n">
        <f aca="false">-S112*(In_MEKH+In_HIPA)</f>
        <v>-0</v>
      </c>
      <c r="T116" s="33" t="n">
        <f aca="false">-T112*(In_MEKH+In_HIPA)</f>
        <v>-0</v>
      </c>
      <c r="U116" s="33" t="n">
        <f aca="false">-U112*(In_MEKH+In_HIPA)</f>
        <v>-0</v>
      </c>
      <c r="V116" s="33" t="n">
        <f aca="false">-V112*(In_MEKH+In_HIPA)</f>
        <v>-0</v>
      </c>
      <c r="W116" s="33" t="n">
        <f aca="false">-W112*(In_MEKH+In_HIPA)</f>
        <v>-0</v>
      </c>
      <c r="X116" s="33" t="n">
        <f aca="false">-X112*(In_MEKH+In_HIPA)</f>
        <v>-0</v>
      </c>
      <c r="Y116" s="33" t="n">
        <f aca="false">-Y112*(In_MEKH+In_HIPA)</f>
        <v>-0</v>
      </c>
      <c r="Z116" s="33" t="n">
        <f aca="false">-Z112*(In_MEKH+In_HIPA)</f>
        <v>-0</v>
      </c>
      <c r="AA116" s="33" t="n">
        <f aca="false">-AA112*(In_MEKH+In_HIPA)</f>
        <v>-0</v>
      </c>
      <c r="AB116" s="33" t="n">
        <f aca="false">-AB112*(In_MEKH+In_HIPA)</f>
        <v>-0</v>
      </c>
      <c r="AC116" s="33" t="n">
        <f aca="false">-AC112*(In_MEKH+In_HIPA)</f>
        <v>-0</v>
      </c>
      <c r="AD116" s="33" t="n">
        <f aca="false">-AD112*(In_MEKH+In_HIPA)</f>
        <v>-0</v>
      </c>
      <c r="AE116" s="33" t="n">
        <f aca="false">-AE112*(In_MEKH+In_HIPA)</f>
        <v>-114.846549041096</v>
      </c>
      <c r="AF116" s="33" t="n">
        <f aca="false">-AF112*(In_MEKH+In_HIPA)</f>
        <v>-114.734199156164</v>
      </c>
      <c r="AG116" s="33" t="n">
        <f aca="false">-AG112*(In_MEKH+In_HIPA)</f>
        <v>-114.734199156164</v>
      </c>
      <c r="AH116" s="33" t="n">
        <f aca="false">-AH112*(In_MEKH+In_HIPA)</f>
        <v>-115.995014531507</v>
      </c>
      <c r="AI116" s="33" t="n">
        <f aca="false">-AI112*(In_MEKH+In_HIPA)</f>
        <v>-115.647029487912</v>
      </c>
      <c r="AJ116" s="33" t="n">
        <f aca="false">-AJ112*(In_MEKH+In_HIPA)</f>
        <v>-114.264293265774</v>
      </c>
      <c r="AK116" s="33" t="n">
        <f aca="false">-AK112*(In_MEKH+In_HIPA)</f>
        <v>-115.533896524283</v>
      </c>
      <c r="AL116" s="33" t="n">
        <f aca="false">-AL112*(In_MEKH+In_HIPA)</f>
        <v>-116.803499782791</v>
      </c>
      <c r="AM116" s="33" t="n">
        <f aca="false">-AM112*(In_MEKH+In_HIPA)</f>
        <v>-116.453089283443</v>
      </c>
      <c r="AN116" s="33" t="n">
        <f aca="false">-AN112*(In_MEKH+In_HIPA)</f>
        <v>-115.060715389837</v>
      </c>
      <c r="AO116" s="33" t="n">
        <f aca="false">-AO112*(In_MEKH+In_HIPA)</f>
        <v>-116.339167783057</v>
      </c>
      <c r="AP116" s="33" t="n">
        <f aca="false">-AP112*(In_MEKH+In_HIPA)</f>
        <v>-117.617620176278</v>
      </c>
      <c r="AQ116" s="33" t="n">
        <f aca="false">-AQ112*(In_MEKH+In_HIPA)</f>
        <v>-117.264767315749</v>
      </c>
      <c r="AR116" s="33" t="n">
        <f aca="false">-AR112*(In_MEKH+In_HIPA)</f>
        <v>-115.862688576104</v>
      </c>
      <c r="AS116" s="33" t="n">
        <f aca="false">-AS112*(In_MEKH+In_HIPA)</f>
        <v>-117.150051782505</v>
      </c>
      <c r="AT116" s="33" t="n">
        <f aca="false">-AT112*(In_MEKH+In_HIPA)</f>
        <v>-118.437414988906</v>
      </c>
      <c r="AU116" s="33" t="n">
        <f aca="false">-AU112*(In_MEKH+In_HIPA)</f>
        <v>-118.082102743939</v>
      </c>
      <c r="AV116" s="33" t="n">
        <f aca="false">-AV112*(In_MEKH+In_HIPA)</f>
        <v>-117.966587643429</v>
      </c>
      <c r="AW116" s="33" t="n">
        <f aca="false">-AW112*(In_MEKH+In_HIPA)</f>
        <v>-117.966587643429</v>
      </c>
      <c r="AX116" s="33" t="n">
        <f aca="false">-AX112*(In_MEKH+In_HIPA)</f>
        <v>-119.262923771379</v>
      </c>
      <c r="AY116" s="33" t="n">
        <f aca="false">-AY112*(In_MEKH+In_HIPA)</f>
        <v>-118.905135000065</v>
      </c>
      <c r="AZ116" s="33" t="n">
        <f aca="false">-AZ112*(In_MEKH+In_HIPA)</f>
        <v>-117.483443168542</v>
      </c>
      <c r="BA116" s="33" t="n">
        <f aca="false">-BA112*(In_MEKH+In_HIPA)</f>
        <v>-118.788814759304</v>
      </c>
      <c r="BB116" s="33" t="n">
        <f aca="false">-BB112*(In_MEKH+In_HIPA)</f>
        <v>-120.094186350065</v>
      </c>
      <c r="BC116" s="33" t="n">
        <f aca="false">-BC112*(In_MEKH+In_HIPA)</f>
        <v>-119.733903791015</v>
      </c>
      <c r="BD116" s="33" t="n">
        <f aca="false">-BD112*(In_MEKH+In_HIPA)</f>
        <v>-118.302302767427</v>
      </c>
      <c r="BE116" s="33" t="n">
        <f aca="false">-BE112*(In_MEKH+In_HIPA)</f>
        <v>-119.616772798176</v>
      </c>
      <c r="BF116" s="33" t="n">
        <f aca="false">-BF112*(In_MEKH+In_HIPA)</f>
        <v>-120.931242828925</v>
      </c>
      <c r="BG116" s="33" t="n">
        <f aca="false">-BG112*(In_MEKH+In_HIPA)</f>
        <v>-120.568449100439</v>
      </c>
      <c r="BH116" s="33" t="n">
        <f aca="false">-BH112*(In_MEKH+In_HIPA)</f>
        <v>-119.126869817716</v>
      </c>
      <c r="BI116" s="33" t="n">
        <f aca="false">-BI112*(In_MEKH+In_HIPA)</f>
        <v>-120.450501704579</v>
      </c>
      <c r="BJ116" s="33" t="n">
        <f aca="false">-BJ112*(In_MEKH+In_HIPA)</f>
        <v>-121.774133591443</v>
      </c>
      <c r="BK116" s="33" t="n">
        <f aca="false">-BK112*(In_MEKH+In_HIPA)</f>
        <v>-121.408811190669</v>
      </c>
      <c r="BL116" s="33" t="n">
        <f aca="false">-BL112*(In_MEKH+In_HIPA)</f>
        <v>-121.29004170146</v>
      </c>
      <c r="BM116" s="33" t="n">
        <f aca="false">-BM112*(In_MEKH+In_HIPA)</f>
        <v>-121.29004170146</v>
      </c>
      <c r="BN116" s="33" t="n">
        <f aca="false">-BN112*(In_MEKH+In_HIPA)</f>
        <v>-122.622899302575</v>
      </c>
      <c r="BO116" s="33" t="n">
        <f aca="false">-BO112*(In_MEKH+In_HIPA)</f>
        <v>-122.255030604668</v>
      </c>
      <c r="BP116" s="33" t="n">
        <f aca="false">-BP112*(In_MEKH+In_HIPA)</f>
        <v>-120.793285673525</v>
      </c>
      <c r="BQ116" s="33" t="n">
        <f aca="false">-BQ112*(In_MEKH+In_HIPA)</f>
        <v>-122.13543329212</v>
      </c>
      <c r="BR116" s="33" t="n">
        <f aca="false">-BR112*(In_MEKH+In_HIPA)</f>
        <v>-123.477580910714</v>
      </c>
      <c r="BS116" s="33" t="n">
        <f aca="false">-BS112*(In_MEKH+In_HIPA)</f>
        <v>-123.107148167982</v>
      </c>
      <c r="BT116" s="33" t="n">
        <f aca="false">-BT112*(In_MEKH+In_HIPA)</f>
        <v>-121.635214874669</v>
      </c>
      <c r="BU116" s="33" t="n">
        <f aca="false">-BU112*(In_MEKH+In_HIPA)</f>
        <v>-122.986717262166</v>
      </c>
      <c r="BV116" s="33" t="n">
        <f aca="false">-BV112*(In_MEKH+In_HIPA)</f>
        <v>-124.338219649662</v>
      </c>
      <c r="BW116" s="33" t="n">
        <f aca="false">-BW112*(In_MEKH+In_HIPA)</f>
        <v>-123.965204990713</v>
      </c>
      <c r="BX116" s="33" t="n">
        <f aca="false">-BX112*(In_MEKH+In_HIPA)</f>
        <v>-122.483012322346</v>
      </c>
      <c r="BY116" s="33" t="n">
        <f aca="false">-BY112*(In_MEKH+In_HIPA)</f>
        <v>-123.843934681483</v>
      </c>
      <c r="BZ116" s="33" t="n">
        <f aca="false">-BZ112*(In_MEKH+In_HIPA)</f>
        <v>-125.20485704062</v>
      </c>
      <c r="CA116" s="33" t="n">
        <f aca="false">-CA112*(In_MEKH+In_HIPA)</f>
        <v>-124.829242469498</v>
      </c>
      <c r="CB116" s="33" t="n">
        <f aca="false">-CB112*(In_MEKH+In_HIPA)</f>
        <v>-124.707126906213</v>
      </c>
      <c r="CC116" s="33" t="n">
        <f aca="false">-CC112*(In_MEKH+In_HIPA)</f>
        <v>-124.707126906213</v>
      </c>
      <c r="CD116" s="33" t="n">
        <f aca="false">-CD112*(In_MEKH+In_HIPA)</f>
        <v>-126.077534894193</v>
      </c>
      <c r="CE116" s="33" t="n">
        <f aca="false">-CE112*(In_MEKH+In_HIPA)</f>
        <v>-125.699302289511</v>
      </c>
      <c r="CF116" s="33" t="n">
        <f aca="false">-CF112*(In_MEKH+In_HIPA)</f>
        <v>-124.196375849093</v>
      </c>
      <c r="CG116" s="33" t="n">
        <f aca="false">-CG112*(In_MEKH+In_HIPA)</f>
        <v>-125.576335580749</v>
      </c>
      <c r="CH116" s="33" t="n">
        <f aca="false">-CH112*(In_MEKH+In_HIPA)</f>
        <v>-126.956295312406</v>
      </c>
      <c r="CI116" s="33" t="n">
        <f aca="false">-CI112*(In_MEKH+In_HIPA)</f>
        <v>-126.575426426469</v>
      </c>
      <c r="CJ116" s="33" t="n">
        <f aca="false">-CJ112*(In_MEKH+In_HIPA)</f>
        <v>-125.062024588761</v>
      </c>
      <c r="CK116" s="33" t="n">
        <f aca="false">-CK112*(In_MEKH+In_HIPA)</f>
        <v>-126.451602639747</v>
      </c>
      <c r="CL116" s="33" t="n">
        <f aca="false">-CL112*(In_MEKH+In_HIPA)</f>
        <v>-127.841180690733</v>
      </c>
      <c r="CM116" s="33" t="n">
        <f aca="false">-CM112*(In_MEKH+In_HIPA)</f>
        <v>-127.457657148661</v>
      </c>
      <c r="CN116" s="33" t="n">
        <f aca="false">-CN112*(In_MEKH+In_HIPA)</f>
        <v>-125.933706900144</v>
      </c>
      <c r="CO116" s="33" t="n">
        <f aca="false">-CO112*(In_MEKH+In_HIPA)</f>
        <v>-127.332970310146</v>
      </c>
      <c r="CP116" s="33" t="n">
        <f aca="false">-CP112*(In_MEKH+In_HIPA)</f>
        <v>-128.732233720148</v>
      </c>
      <c r="CQ116" s="33" t="n">
        <f aca="false">-CQ112*(In_MEKH+In_HIPA)</f>
        <v>-128.346037018987</v>
      </c>
      <c r="CR116" s="33" t="n">
        <f aca="false">-CR112*(In_MEKH+In_HIPA)</f>
        <v>-128.220481113208</v>
      </c>
      <c r="CS116" s="33" t="n">
        <f aca="false">-CS112*(In_MEKH+In_HIPA)</f>
        <v>-128.220481113208</v>
      </c>
      <c r="CT116" s="33" t="n">
        <f aca="false">-CT112*(In_MEKH+In_HIPA)</f>
        <v>-129.629497389177</v>
      </c>
      <c r="CU116" s="33" t="n">
        <f aca="false">-CU112*(In_MEKH+In_HIPA)</f>
        <v>-129.240608897009</v>
      </c>
      <c r="CV116" s="33" t="n">
        <f aca="false">-CV112*(In_MEKH+In_HIPA)</f>
        <v>-127.695340747154</v>
      </c>
      <c r="CW116" s="33" t="n">
        <f aca="false">-CW112*(In_MEKH+In_HIPA)</f>
        <v>-129.114177866567</v>
      </c>
      <c r="CX116" s="33" t="n">
        <f aca="false">-CX112*(In_MEKH+In_HIPA)</f>
        <v>-130.53301498598</v>
      </c>
      <c r="CY116" s="33" t="n">
        <f aca="false">-CY112*(In_MEKH+In_HIPA)</f>
        <v>-130.141415941022</v>
      </c>
      <c r="CZ116" s="33" t="n">
        <f aca="false">-CZ112*(In_MEKH+In_HIPA)</f>
        <v>-128.585377272162</v>
      </c>
      <c r="DA116" s="33" t="n">
        <f aca="false">-DA112*(In_MEKH+In_HIPA)</f>
        <v>-130.014103686297</v>
      </c>
      <c r="DB116" s="33" t="n">
        <f aca="false">-DB112*(In_MEKH+In_HIPA)</f>
        <v>-131.442830100432</v>
      </c>
      <c r="DC116" s="33" t="n">
        <f aca="false">-DC112*(In_MEKH+In_HIPA)</f>
        <v>-131.048501610131</v>
      </c>
      <c r="DD116" s="33" t="n">
        <f aca="false">-DD112*(In_MEKH+In_HIPA)</f>
        <v>-129.481617351749</v>
      </c>
      <c r="DE116" s="33" t="n">
        <f aca="false">-DE112*(In_MEKH+In_HIPA)</f>
        <v>-130.92030198899</v>
      </c>
      <c r="DF116" s="33" t="n">
        <f aca="false">-DF112*(In_MEKH+In_HIPA)</f>
        <v>-132.358986626232</v>
      </c>
      <c r="DG116" s="33" t="n">
        <f aca="false">-DG112*(In_MEKH+In_HIPA)</f>
        <v>-131.961909666353</v>
      </c>
      <c r="DH116" s="33" t="n">
        <f aca="false">-DH112*(In_MEKH+In_HIPA)</f>
        <v>-131.832816493854</v>
      </c>
      <c r="DI116" s="33" t="n">
        <f aca="false">-DI112*(In_MEKH+In_HIPA)</f>
        <v>-131.832816493854</v>
      </c>
      <c r="DJ116" s="33" t="n">
        <f aca="false">-DJ112*(In_MEKH+In_HIPA)</f>
        <v>-133.281528763017</v>
      </c>
      <c r="DK116" s="33" t="n">
        <f aca="false">-DK112*(In_MEKH+In_HIPA)</f>
        <v>-132.881684176728</v>
      </c>
      <c r="DL116" s="33" t="n">
        <f aca="false">-DL112*(In_MEKH+In_HIPA)</f>
        <v>-131.292881431136</v>
      </c>
      <c r="DM116" s="33" t="n">
        <f aca="false">-DM112*(In_MEKH+In_HIPA)</f>
        <v>-132.751691224816</v>
      </c>
      <c r="DN116" s="33" t="n">
        <f aca="false">-DN112*(In_MEKH+In_HIPA)</f>
        <v>-134.210501018495</v>
      </c>
      <c r="DO116" s="33" t="n">
        <f aca="false">-DO112*(In_MEKH+In_HIPA)</f>
        <v>-133.807869515439</v>
      </c>
      <c r="DP116" s="33" t="n">
        <f aca="false">-DP112*(In_MEKH+In_HIPA)</f>
        <v>-132.207992814711</v>
      </c>
      <c r="DQ116" s="33" t="n">
        <f aca="false">-DQ112*(In_MEKH+In_HIPA)</f>
        <v>-133.676970512653</v>
      </c>
      <c r="DR116" s="33" t="n">
        <f aca="false">-DR112*(In_MEKH+In_HIPA)</f>
        <v>-135.145948210594</v>
      </c>
      <c r="DS116" s="33" t="n">
        <f aca="false">-DS112*(In_MEKH+In_HIPA)</f>
        <v>-134.740510365962</v>
      </c>
      <c r="DT116" s="33" t="n">
        <f aca="false">-DT112*(In_MEKH+In_HIPA)</f>
        <v>-133.12948252463</v>
      </c>
      <c r="DU116" s="33" t="n">
        <f aca="false">-DU112*(In_MEKH+In_HIPA)</f>
        <v>-134.608698997126</v>
      </c>
      <c r="DV116" s="33" t="n">
        <f aca="false">-DV112*(In_MEKH+In_HIPA)</f>
        <v>-136.087915469622</v>
      </c>
      <c r="DW116" s="33" t="n">
        <f aca="false">-DW112*(In_MEKH+In_HIPA)</f>
        <v>-135.679651723213</v>
      </c>
      <c r="DX116" s="33" t="n">
        <f aca="false">-DX112*(In_MEKH+In_HIPA)</f>
        <v>-135.546921629136</v>
      </c>
      <c r="DY116" s="33" t="n">
        <f aca="false">-DY112*(In_MEKH+In_HIPA)</f>
        <v>-135.546921629136</v>
      </c>
      <c r="DZ116" s="33" t="n">
        <f aca="false">-DZ112*(In_MEKH+In_HIPA)</f>
        <v>-137.036448240445</v>
      </c>
      <c r="EA116" s="33" t="n">
        <f aca="false">-EA112*(In_MEKH+In_HIPA)</f>
        <v>-136.625338895724</v>
      </c>
      <c r="EB116" s="33" t="n">
        <f aca="false">-EB112*(In_MEKH+In_HIPA)</f>
        <v>-134.991775061101</v>
      </c>
      <c r="EC116" s="33" t="n">
        <f aca="false">-EC112*(In_MEKH+In_HIPA)</f>
        <v>-136.491683672891</v>
      </c>
      <c r="ED116" s="33" t="n">
        <f aca="false">-ED112*(In_MEKH+In_HIPA)</f>
        <v>-137.991592284681</v>
      </c>
      <c r="EE116" s="33" t="n">
        <f aca="false">-EE112*(In_MEKH+In_HIPA)</f>
        <v>-137.577617507827</v>
      </c>
      <c r="EF116" s="33" t="n">
        <f aca="false">-EF112*(In_MEKH+In_HIPA)</f>
        <v>-135.932667733277</v>
      </c>
      <c r="EG116" s="33" t="n">
        <f aca="false">-EG112*(In_MEKH+In_HIPA)</f>
        <v>-137.443030708091</v>
      </c>
      <c r="EH116" s="33" t="n">
        <f aca="false">-EH112*(In_MEKH+In_HIPA)</f>
        <v>-138.953393682905</v>
      </c>
      <c r="EI116" s="33" t="n">
        <f aca="false">-EI112*(In_MEKH+In_HIPA)</f>
        <v>-138.536533501856</v>
      </c>
      <c r="EJ116" s="33" t="n">
        <f aca="false">-EJ112*(In_MEKH+In_HIPA)</f>
        <v>-136.880118427378</v>
      </c>
      <c r="EK116" s="33" t="n">
        <f aca="false">-EK112*(In_MEKH+In_HIPA)</f>
        <v>-138.401008632126</v>
      </c>
      <c r="EL116" s="33" t="n">
        <f aca="false">-EL112*(In_MEKH+In_HIPA)</f>
        <v>-139.921898836875</v>
      </c>
      <c r="EM116" s="33" t="n">
        <f aca="false">-EM112*(In_MEKH+In_HIPA)</f>
        <v>-139.502133140364</v>
      </c>
      <c r="EN116" s="33" t="n">
        <f aca="false">-EN112*(In_MEKH+In_HIPA)</f>
        <v>-139.365663662292</v>
      </c>
      <c r="EO116" s="33" t="n">
        <f aca="false">-EO112*(In_MEKH+In_HIPA)</f>
        <v>-139.365663662292</v>
      </c>
      <c r="EP116" s="33" t="n">
        <f aca="false">-EP112*(In_MEKH+In_HIPA)</f>
        <v>-140.897154471768</v>
      </c>
      <c r="EQ116" s="33" t="n">
        <f aca="false">-EQ112*(In_MEKH+In_HIPA)</f>
        <v>-140.474463008353</v>
      </c>
      <c r="ER116" s="33" t="n">
        <f aca="false">-ER112*(In_MEKH+In_HIPA)</f>
        <v>-138.794877037601</v>
      </c>
      <c r="ES116" s="33" t="n">
        <f aca="false">-ES112*(In_MEKH+In_HIPA)</f>
        <v>-140.337042338018</v>
      </c>
      <c r="ET116" s="33" t="n">
        <f aca="false">-ET112*(In_MEKH+In_HIPA)</f>
        <v>-141.879207638436</v>
      </c>
    </row>
    <row r="117" customFormat="false" ht="15" hidden="false" customHeight="false" outlineLevel="0" collapsed="false">
      <c r="C117" s="0" t="s">
        <v>382</v>
      </c>
      <c r="D117" s="11" t="s">
        <v>247</v>
      </c>
      <c r="I117" s="33" t="n">
        <f aca="false">SUM(J117:ET117)</f>
        <v>-8565.12918101122</v>
      </c>
      <c r="J117" s="33" t="n">
        <f aca="false">In_Opex_Contingency*(J113+J114+J115-J112*In_MEKH)</f>
        <v>-0</v>
      </c>
      <c r="K117" s="33" t="n">
        <f aca="false">In_Opex_Contingency*(K113+K114+K115-K112*In_MEKH)</f>
        <v>-0</v>
      </c>
      <c r="L117" s="33" t="n">
        <f aca="false">In_Opex_Contingency*(L113+L114+L115-L112*In_MEKH)</f>
        <v>-0</v>
      </c>
      <c r="M117" s="33" t="n">
        <f aca="false">In_Opex_Contingency*(M113+M114+M115-M112*In_MEKH)</f>
        <v>-0</v>
      </c>
      <c r="N117" s="33" t="n">
        <f aca="false">In_Opex_Contingency*(N113+N114+N115-N112*In_MEKH)</f>
        <v>-0</v>
      </c>
      <c r="O117" s="33" t="n">
        <f aca="false">In_Opex_Contingency*(O113+O114+O115-O112*In_MEKH)</f>
        <v>-0</v>
      </c>
      <c r="P117" s="33" t="n">
        <f aca="false">In_Opex_Contingency*(P113+P114+P115-P112*In_MEKH)</f>
        <v>-0</v>
      </c>
      <c r="Q117" s="33" t="n">
        <f aca="false">In_Opex_Contingency*(Q113+Q114+Q115-Q112*In_MEKH)</f>
        <v>-0</v>
      </c>
      <c r="R117" s="33" t="n">
        <f aca="false">In_Opex_Contingency*(R113+R114+R115-R112*In_MEKH)</f>
        <v>-0</v>
      </c>
      <c r="S117" s="33" t="n">
        <f aca="false">In_Opex_Contingency*(S113+S114+S115-S112*In_MEKH)</f>
        <v>-0</v>
      </c>
      <c r="T117" s="33" t="n">
        <f aca="false">In_Opex_Contingency*(T113+T114+T115-T112*In_MEKH)</f>
        <v>-0</v>
      </c>
      <c r="U117" s="33" t="n">
        <f aca="false">In_Opex_Contingency*(U113+U114+U115-U112*In_MEKH)</f>
        <v>-0</v>
      </c>
      <c r="V117" s="33" t="n">
        <f aca="false">In_Opex_Contingency*(V113+V114+V115-V112*In_MEKH)</f>
        <v>-0</v>
      </c>
      <c r="W117" s="33" t="n">
        <f aca="false">In_Opex_Contingency*(W113+W114+W115-W112*In_MEKH)</f>
        <v>-3.59864073081092</v>
      </c>
      <c r="X117" s="33" t="n">
        <f aca="false">In_Opex_Contingency*(X113+X114+X115-X112*In_MEKH)</f>
        <v>-3.60841964584029</v>
      </c>
      <c r="Y117" s="33" t="n">
        <f aca="false">In_Opex_Contingency*(Y113+Y114+Y115-Y112*In_MEKH)</f>
        <v>-3.64851319746074</v>
      </c>
      <c r="Z117" s="33" t="n">
        <f aca="false">In_Opex_Contingency*(Z113+Z114+Z115-Z112*In_MEKH)</f>
        <v>-3.68860674908119</v>
      </c>
      <c r="AA117" s="33" t="n">
        <f aca="false">In_Opex_Contingency*(AA113+AA114+AA115-AA112*In_MEKH)</f>
        <v>-3.68860674908119</v>
      </c>
      <c r="AB117" s="33" t="n">
        <f aca="false">In_Opex_Contingency*(AB113+AB114+AB115-AB112*In_MEKH)</f>
        <v>-3.6986301369863</v>
      </c>
      <c r="AC117" s="33" t="n">
        <f aca="false">In_Opex_Contingency*(AC113+AC114+AC115-AC112*In_MEKH)</f>
        <v>-3.73972602739726</v>
      </c>
      <c r="AD117" s="33" t="n">
        <f aca="false">In_Opex_Contingency*(AD113+AD114+AD115-AD112*In_MEKH)</f>
        <v>-3.78082191780822</v>
      </c>
      <c r="AE117" s="33" t="n">
        <f aca="false">In_Opex_Contingency*(AE113+AE114+AE115-AE112*In_MEKH)</f>
        <v>-48.8620469041096</v>
      </c>
      <c r="AF117" s="33" t="n">
        <f aca="false">In_Opex_Contingency*(AF113+AF114+AF115-AF112*In_MEKH)</f>
        <v>-49.5351540619178</v>
      </c>
      <c r="AG117" s="33" t="n">
        <f aca="false">In_Opex_Contingency*(AG113+AG114+AG115-AG112*In_MEKH)</f>
        <v>-49.5351540619178</v>
      </c>
      <c r="AH117" s="33" t="n">
        <f aca="false">In_Opex_Contingency*(AH113+AH114+AH115-AH112*In_MEKH)</f>
        <v>-50.0794964142466</v>
      </c>
      <c r="AI117" s="33" t="n">
        <f aca="false">In_Opex_Contingency*(AI113+AI114+AI115-AI112*In_MEKH)</f>
        <v>-50.0319545003463</v>
      </c>
      <c r="AJ117" s="33" t="n">
        <f aca="false">In_Opex_Contingency*(AJ113+AJ114+AJ115-AJ112*In_MEKH)</f>
        <v>-50.1638704354583</v>
      </c>
      <c r="AK117" s="33" t="n">
        <f aca="false">In_Opex_Contingency*(AK113+AK114+AK115-AK112*In_MEKH)</f>
        <v>-50.7212467736301</v>
      </c>
      <c r="AL117" s="33" t="n">
        <f aca="false">In_Opex_Contingency*(AL113+AL114+AL115-AL112*In_MEKH)</f>
        <v>-51.2786231118018</v>
      </c>
      <c r="AM117" s="33" t="n">
        <f aca="false">In_Opex_Contingency*(AM113+AM114+AM115-AM112*In_MEKH)</f>
        <v>-51.2300512321924</v>
      </c>
      <c r="AN117" s="33" t="n">
        <f aca="false">In_Opex_Contingency*(AN113+AN114+AN115-AN112*In_MEKH)</f>
        <v>-51.3651947029183</v>
      </c>
      <c r="AO117" s="33" t="n">
        <f aca="false">In_Opex_Contingency*(AO113+AO114+AO115-AO112*In_MEKH)</f>
        <v>-51.9359190885063</v>
      </c>
      <c r="AP117" s="33" t="n">
        <f aca="false">In_Opex_Contingency*(AP113+AP114+AP115-AP112*In_MEKH)</f>
        <v>-52.5066434740943</v>
      </c>
      <c r="AQ117" s="33" t="n">
        <f aca="false">In_Opex_Contingency*(AQ113+AQ114+AQ115-AQ112*In_MEKH)</f>
        <v>-52.4570191331412</v>
      </c>
      <c r="AR117" s="33" t="n">
        <f aca="false">In_Opex_Contingency*(AR113+AR114+AR115-AR112*In_MEKH)</f>
        <v>-52.5954683974554</v>
      </c>
      <c r="AS117" s="33" t="n">
        <f aca="false">In_Opex_Contingency*(AS113+AS114+AS115-AS112*In_MEKH)</f>
        <v>-53.1798624907605</v>
      </c>
      <c r="AT117" s="33" t="n">
        <f aca="false">In_Opex_Contingency*(AT113+AT114+AT115-AT112*In_MEKH)</f>
        <v>-53.7642565840656</v>
      </c>
      <c r="AU117" s="33" t="n">
        <f aca="false">In_Opex_Contingency*(AU113+AU114+AU115-AU112*In_MEKH)</f>
        <v>-53.7135567935193</v>
      </c>
      <c r="AV117" s="33" t="n">
        <f aca="false">In_Opex_Contingency*(AV113+AV114+AV115-AV112*In_MEKH)</f>
        <v>-54.4537852508869</v>
      </c>
      <c r="AW117" s="33" t="n">
        <f aca="false">In_Opex_Contingency*(AW113+AW114+AW115-AW112*In_MEKH)</f>
        <v>-54.4537852508869</v>
      </c>
      <c r="AX117" s="33" t="n">
        <f aca="false">In_Opex_Contingency*(AX113+AX114+AX115-AX112*In_MEKH)</f>
        <v>-55.0521784954021</v>
      </c>
      <c r="AY117" s="33" t="n">
        <f aca="false">In_Opex_Contingency*(AY113+AY114+AY115-AY112*In_MEKH)</f>
        <v>-55.0003797636019</v>
      </c>
      <c r="AZ117" s="33" t="n">
        <f aca="false">In_Opex_Contingency*(AZ113+AZ114+AZ115-AZ112*In_MEKH)</f>
        <v>-55.1456830229945</v>
      </c>
      <c r="BA117" s="33" t="n">
        <f aca="false">In_Opex_Contingency*(BA113+BA114+BA115-BA112*In_MEKH)</f>
        <v>-55.7584128343611</v>
      </c>
      <c r="BB117" s="33" t="n">
        <f aca="false">In_Opex_Contingency*(BB113+BB114+BB115-BB112*In_MEKH)</f>
        <v>-56.3711426457277</v>
      </c>
      <c r="BC117" s="33" t="n">
        <f aca="false">In_Opex_Contingency*(BC113+BC114+BC115-BC112*In_MEKH)</f>
        <v>-56.3182209665687</v>
      </c>
      <c r="BD117" s="33" t="n">
        <f aca="false">In_Opex_Contingency*(BD113+BD114+BD115-BD112*In_MEKH)</f>
        <v>-56.4670763607554</v>
      </c>
      <c r="BE117" s="33" t="n">
        <f aca="false">In_Opex_Contingency*(BE113+BE114+BE115-BE112*In_MEKH)</f>
        <v>-57.0944883203193</v>
      </c>
      <c r="BF117" s="33" t="n">
        <f aca="false">In_Opex_Contingency*(BF113+BF114+BF115-BF112*In_MEKH)</f>
        <v>-57.7219002798833</v>
      </c>
      <c r="BG117" s="33" t="n">
        <f aca="false">In_Opex_Contingency*(BG113+BG114+BG115-BG112*In_MEKH)</f>
        <v>-57.6678311215413</v>
      </c>
      <c r="BH117" s="33" t="n">
        <f aca="false">In_Opex_Contingency*(BH113+BH114+BH115-BH112*In_MEKH)</f>
        <v>-57.8203247773766</v>
      </c>
      <c r="BI117" s="33" t="n">
        <f aca="false">In_Opex_Contingency*(BI113+BI114+BI115-BI112*In_MEKH)</f>
        <v>-58.4627728304585</v>
      </c>
      <c r="BJ117" s="33" t="n">
        <f aca="false">In_Opex_Contingency*(BJ113+BJ114+BJ115-BJ112*In_MEKH)</f>
        <v>-59.1052208835405</v>
      </c>
      <c r="BK117" s="33" t="n">
        <f aca="false">In_Opex_Contingency*(BK113+BK114+BK115-BK112*In_MEKH)</f>
        <v>-59.04997917695</v>
      </c>
      <c r="BL117" s="33" t="n">
        <f aca="false">In_Opex_Contingency*(BL113+BL114+BL115-BL112*In_MEKH)</f>
        <v>-59.8640459684091</v>
      </c>
      <c r="BM117" s="33" t="n">
        <f aca="false">In_Opex_Contingency*(BM113+BM114+BM115-BM112*In_MEKH)</f>
        <v>-59.8640459684091</v>
      </c>
      <c r="BN117" s="33" t="n">
        <f aca="false">In_Opex_Contingency*(BN113+BN114+BN115-BN112*In_MEKH)</f>
        <v>-60.5218926274026</v>
      </c>
      <c r="BO117" s="33" t="n">
        <f aca="false">In_Opex_Contingency*(BO113+BO114+BO115-BO112*In_MEKH)</f>
        <v>-60.465452754482</v>
      </c>
      <c r="BP117" s="33" t="n">
        <f aca="false">In_Opex_Contingency*(BP113+BP114+BP115-BP112*In_MEKH)</f>
        <v>-60.6254897174195</v>
      </c>
      <c r="BQ117" s="33" t="n">
        <f aca="false">In_Opex_Contingency*(BQ113+BQ114+BQ115-BQ112*In_MEKH)</f>
        <v>-61.2991062698353</v>
      </c>
      <c r="BR117" s="33" t="n">
        <f aca="false">In_Opex_Contingency*(BR113+BR114+BR115-BR112*In_MEKH)</f>
        <v>-61.972722822251</v>
      </c>
      <c r="BS117" s="33" t="n">
        <f aca="false">In_Opex_Contingency*(BS113+BS114+BS115-BS112*In_MEKH)</f>
        <v>-61.9150586038699</v>
      </c>
      <c r="BT117" s="33" t="n">
        <f aca="false">In_Opex_Contingency*(BT113+BT114+BT115-BT112*In_MEKH)</f>
        <v>-62.0790049419491</v>
      </c>
      <c r="BU117" s="33" t="n">
        <f aca="false">In_Opex_Contingency*(BU113+BU114+BU115-BU112*In_MEKH)</f>
        <v>-62.7687716635263</v>
      </c>
      <c r="BV117" s="33" t="n">
        <f aca="false">In_Opex_Contingency*(BV113+BV114+BV115-BV112*In_MEKH)</f>
        <v>-63.4585383851035</v>
      </c>
      <c r="BW117" s="33" t="n">
        <f aca="false">In_Opex_Contingency*(BW113+BW114+BW115-BW112*In_MEKH)</f>
        <v>-63.399623068786</v>
      </c>
      <c r="BX117" s="33" t="n">
        <f aca="false">In_Opex_Contingency*(BX113+BX114+BX115-BX112*In_MEKH)</f>
        <v>-63.5675735707396</v>
      </c>
      <c r="BY117" s="33" t="n">
        <f aca="false">In_Opex_Contingency*(BY113+BY114+BY115-BY112*In_MEKH)</f>
        <v>-64.2738799437478</v>
      </c>
      <c r="BZ117" s="33" t="n">
        <f aca="false">In_Opex_Contingency*(BZ113+BZ114+BZ115-BZ112*In_MEKH)</f>
        <v>-64.980186316756</v>
      </c>
      <c r="CA117" s="33" t="n">
        <f aca="false">In_Opex_Contingency*(CA113+CA114+CA115-CA112*In_MEKH)</f>
        <v>-64.9199925641145</v>
      </c>
      <c r="CB117" s="33" t="n">
        <f aca="false">In_Opex_Contingency*(CB113+CB114+CB115-CB112*In_MEKH)</f>
        <v>-65.8152892541277</v>
      </c>
      <c r="CC117" s="33" t="n">
        <f aca="false">In_Opex_Contingency*(CC113+CC114+CC115-CC112*In_MEKH)</f>
        <v>-65.8152892541277</v>
      </c>
      <c r="CD117" s="33" t="n">
        <f aca="false">In_Opex_Contingency*(CD113+CD114+CD115-CD112*In_MEKH)</f>
        <v>-66.5385341909863</v>
      </c>
      <c r="CE117" s="33" t="n">
        <f aca="false">In_Opex_Contingency*(CE113+CE114+CE115-CE112*In_MEKH)</f>
        <v>-66.4770340648798</v>
      </c>
      <c r="CF117" s="33" t="n">
        <f aca="false">In_Opex_Contingency*(CF113+CF114+CF115-CF112*In_MEKH)</f>
        <v>-66.6532865110164</v>
      </c>
      <c r="CG117" s="33" t="n">
        <f aca="false">In_Opex_Contingency*(CG113+CG114+CG115-CG112*In_MEKH)</f>
        <v>-67.3938785833611</v>
      </c>
      <c r="CH117" s="33" t="n">
        <f aca="false">In_Opex_Contingency*(CH113+CH114+CH115-CH112*In_MEKH)</f>
        <v>-68.1344706557057</v>
      </c>
      <c r="CI117" s="33" t="n">
        <f aca="false">In_Opex_Contingency*(CI113+CI114+CI115-CI112*In_MEKH)</f>
        <v>-68.0716356071167</v>
      </c>
      <c r="CJ117" s="33" t="n">
        <f aca="false">In_Opex_Contingency*(CJ113+CJ114+CJ115-CJ112*In_MEKH)</f>
        <v>-68.252190599691</v>
      </c>
      <c r="CK117" s="33" t="n">
        <f aca="false">In_Opex_Contingency*(CK113+CK114+CK115-CK112*In_MEKH)</f>
        <v>-69.0105482730209</v>
      </c>
      <c r="CL117" s="33" t="n">
        <f aca="false">In_Opex_Contingency*(CL113+CL114+CL115-CL112*In_MEKH)</f>
        <v>-69.7689059463508</v>
      </c>
      <c r="CM117" s="33" t="n">
        <f aca="false">In_Opex_Contingency*(CM113+CM114+CM115-CM112*In_MEKH)</f>
        <v>-69.7047068009743</v>
      </c>
      <c r="CN117" s="33" t="n">
        <f aca="false">In_Opex_Contingency*(CN113+CN114+CN115-CN112*In_MEKH)</f>
        <v>-69.8896686637318</v>
      </c>
      <c r="CO117" s="33" t="n">
        <f aca="false">In_Opex_Contingency*(CO113+CO114+CO115-CO112*In_MEKH)</f>
        <v>-70.6662205377733</v>
      </c>
      <c r="CP117" s="33" t="n">
        <f aca="false">In_Opex_Contingency*(CP113+CP114+CP115-CP112*In_MEKH)</f>
        <v>-71.4427724118148</v>
      </c>
      <c r="CQ117" s="33" t="n">
        <f aca="false">In_Opex_Contingency*(CQ113+CQ114+CQ115-CQ112*In_MEKH)</f>
        <v>-71.3771793563535</v>
      </c>
      <c r="CR117" s="33" t="n">
        <f aca="false">In_Opex_Contingency*(CR113+CR114+CR115-CR112*In_MEKH)</f>
        <v>-72.3618399982995</v>
      </c>
      <c r="CS117" s="33" t="n">
        <f aca="false">In_Opex_Contingency*(CS113+CS114+CS115-CS112*In_MEKH)</f>
        <v>-72.3618399982995</v>
      </c>
      <c r="CT117" s="33" t="n">
        <f aca="false">In_Opex_Contingency*(CT113+CT114+CT115-CT112*In_MEKH)</f>
        <v>-73.1570250532259</v>
      </c>
      <c r="CU117" s="33" t="n">
        <f aca="false">In_Opex_Contingency*(CU113+CU114+CU115-CU112*In_MEKH)</f>
        <v>-73.0900076213847</v>
      </c>
      <c r="CV117" s="33" t="n">
        <f aca="false">In_Opex_Contingency*(CV113+CV114+CV115-CV112*In_MEKH)</f>
        <v>-73.2841063785854</v>
      </c>
      <c r="CW117" s="33" t="n">
        <f aca="false">In_Opex_Contingency*(CW113+CW114+CW115-CW112*In_MEKH)</f>
        <v>-74.0983742272363</v>
      </c>
      <c r="CX117" s="33" t="n">
        <f aca="false">In_Opex_Contingency*(CX113+CX114+CX115-CX112*In_MEKH)</f>
        <v>-74.9126420758873</v>
      </c>
      <c r="CY117" s="33" t="n">
        <f aca="false">In_Opex_Contingency*(CY113+CY114+CY115-CY112*In_MEKH)</f>
        <v>-74.8441691340611</v>
      </c>
      <c r="CZ117" s="33" t="n">
        <f aca="false">In_Opex_Contingency*(CZ113+CZ114+CZ115-CZ112*In_MEKH)</f>
        <v>-75.0430031622069</v>
      </c>
      <c r="DA117" s="33" t="n">
        <f aca="false">In_Opex_Contingency*(DA113+DA114+DA115-DA112*In_MEKH)</f>
        <v>-75.8768143084537</v>
      </c>
      <c r="DB117" s="33" t="n">
        <f aca="false">In_Opex_Contingency*(DB113+DB114+DB115-DB112*In_MEKH)</f>
        <v>-76.7106254547004</v>
      </c>
      <c r="DC117" s="33" t="n">
        <f aca="false">In_Opex_Contingency*(DC113+DC114+DC115-DC112*In_MEKH)</f>
        <v>-76.6406651873478</v>
      </c>
      <c r="DD117" s="33" t="n">
        <f aca="false">In_Opex_Contingency*(DD113+DD114+DD115-DD112*In_MEKH)</f>
        <v>-76.8443493065894</v>
      </c>
      <c r="DE117" s="33" t="n">
        <f aca="false">In_Opex_Contingency*(DE113+DE114+DE115-DE112*In_MEKH)</f>
        <v>-77.698175409996</v>
      </c>
      <c r="DF117" s="33" t="n">
        <f aca="false">In_Opex_Contingency*(DF113+DF114+DF115-DF112*In_MEKH)</f>
        <v>-78.5520015134025</v>
      </c>
      <c r="DG117" s="33" t="n">
        <f aca="false">In_Opex_Contingency*(DG113+DG114+DG115-DG112*In_MEKH)</f>
        <v>-78.4805214080991</v>
      </c>
      <c r="DH117" s="33" t="n">
        <f aca="false">In_Opex_Contingency*(DH113+DH114+DH115-DH112*In_MEKH)</f>
        <v>-79.563497371022</v>
      </c>
      <c r="DI117" s="33" t="n">
        <f aca="false">In_Opex_Contingency*(DI113+DI114+DI115-DI112*In_MEKH)</f>
        <v>-79.563497371022</v>
      </c>
      <c r="DJ117" s="33" t="n">
        <f aca="false">In_Opex_Contingency*(DJ113+DJ114+DJ115-DJ112*In_MEKH)</f>
        <v>-80.4378215179563</v>
      </c>
      <c r="DK117" s="33" t="n">
        <f aca="false">In_Opex_Contingency*(DK113+DK114+DK115-DK112*In_MEKH)</f>
        <v>-80.3647883501201</v>
      </c>
      <c r="DL117" s="33" t="n">
        <f aca="false">In_Opex_Contingency*(DL113+DL114+DL115-DL112*In_MEKH)</f>
        <v>-80.5785283217331</v>
      </c>
      <c r="DM117" s="33" t="n">
        <f aca="false">In_Opex_Contingency*(DM113+DM114+DM115-DM112*In_MEKH)</f>
        <v>-81.4738453030857</v>
      </c>
      <c r="DN117" s="33" t="n">
        <f aca="false">In_Opex_Contingency*(DN113+DN114+DN115-DN112*In_MEKH)</f>
        <v>-82.3691622844383</v>
      </c>
      <c r="DO117" s="33" t="n">
        <f aca="false">In_Opex_Contingency*(DO113+DO114+DO115-DO112*In_MEKH)</f>
        <v>-82.2945421017206</v>
      </c>
      <c r="DP117" s="33" t="n">
        <f aca="false">In_Opex_Contingency*(DP113+DP114+DP115-DP112*In_MEKH)</f>
        <v>-82.5134936104378</v>
      </c>
      <c r="DQ117" s="33" t="n">
        <f aca="false">In_Opex_Contingency*(DQ113+DQ114+DQ115-DQ112*In_MEKH)</f>
        <v>-83.4303102061093</v>
      </c>
      <c r="DR117" s="33" t="n">
        <f aca="false">In_Opex_Contingency*(DR113+DR114+DR115-DR112*In_MEKH)</f>
        <v>-84.3471268017809</v>
      </c>
      <c r="DS117" s="33" t="n">
        <f aca="false">In_Opex_Contingency*(DS113+DS114+DS115-DS112*In_MEKH)</f>
        <v>-84.2708849081146</v>
      </c>
      <c r="DT117" s="33" t="n">
        <f aca="false">In_Opex_Contingency*(DT113+DT114+DT115-DT112*In_MEKH)</f>
        <v>-84.4951743290865</v>
      </c>
      <c r="DU117" s="33" t="n">
        <f aca="false">In_Opex_Contingency*(DU113+DU114+DU115-DU112*In_MEKH)</f>
        <v>-85.4340095994097</v>
      </c>
      <c r="DV117" s="33" t="n">
        <f aca="false">In_Opex_Contingency*(DV113+DV114+DV115-DV112*In_MEKH)</f>
        <v>-86.3728448697329</v>
      </c>
      <c r="DW117" s="33" t="n">
        <f aca="false">In_Opex_Contingency*(DW113+DW114+DW115-DW112*In_MEKH)</f>
        <v>-86.2949458090312</v>
      </c>
      <c r="DX117" s="33" t="n">
        <f aca="false">In_Opex_Contingency*(DX113+DX114+DX115-DX112*In_MEKH)</f>
        <v>-87.4860881681444</v>
      </c>
      <c r="DY117" s="33" t="n">
        <f aca="false">In_Opex_Contingency*(DY113+DY114+DY115-DY112*In_MEKH)</f>
        <v>-87.4860881681444</v>
      </c>
      <c r="DZ117" s="33" t="n">
        <f aca="false">In_Opex_Contingency*(DZ113+DZ114+DZ115-DZ112*In_MEKH)</f>
        <v>-88.4474737524097</v>
      </c>
      <c r="EA117" s="33" t="n">
        <f aca="false">In_Opex_Contingency*(EA113+EA114+EA115-EA112*In_MEKH)</f>
        <v>-88.3678812919077</v>
      </c>
      <c r="EB117" s="33" t="n">
        <f aca="false">In_Opex_Contingency*(EB113+EB114+EB115-EB112*In_MEKH)</f>
        <v>-88.6032380032985</v>
      </c>
      <c r="EC117" s="33" t="n">
        <f aca="false">In_Opex_Contingency*(EC113+EC114+EC115-EC112*In_MEKH)</f>
        <v>-89.5877184255573</v>
      </c>
      <c r="ED117" s="33" t="n">
        <f aca="false">In_Opex_Contingency*(ED113+ED114+ED115-ED112*In_MEKH)</f>
        <v>-90.5721988478162</v>
      </c>
      <c r="EE117" s="33" t="n">
        <f aca="false">In_Opex_Contingency*(EE113+EE114+EE115-EE112*In_MEKH)</f>
        <v>-90.4908759610468</v>
      </c>
      <c r="EF117" s="33" t="n">
        <f aca="false">In_Opex_Contingency*(EF113+EF114+EF115-EF112*In_MEKH)</f>
        <v>-90.731968409087</v>
      </c>
      <c r="EG117" s="33" t="n">
        <f aca="false">In_Opex_Contingency*(EG113+EG114+EG115-EG112*In_MEKH)</f>
        <v>-91.7401013914103</v>
      </c>
      <c r="EH117" s="33" t="n">
        <f aca="false">In_Opex_Contingency*(EH113+EH114+EH115-EH112*In_MEKH)</f>
        <v>-92.7482343737334</v>
      </c>
      <c r="EI117" s="33" t="n">
        <f aca="false">In_Opex_Contingency*(EI113+EI114+EI115-EI112*In_MEKH)</f>
        <v>-92.6651432231306</v>
      </c>
      <c r="EJ117" s="33" t="n">
        <f aca="false">In_Opex_Contingency*(EJ113+EJ114+EJ115-EJ112*In_MEKH)</f>
        <v>-92.9121105036224</v>
      </c>
      <c r="EK117" s="33" t="n">
        <f aca="false">In_Opex_Contingency*(EK113+EK114+EK115-EK112*In_MEKH)</f>
        <v>-93.944467286996</v>
      </c>
      <c r="EL117" s="33" t="n">
        <f aca="false">In_Opex_Contingency*(EL113+EL114+EL115-EL112*In_MEKH)</f>
        <v>-94.9768240703696</v>
      </c>
      <c r="EM117" s="33" t="n">
        <f aca="false">In_Opex_Contingency*(EM113+EM114+EM115-EM112*In_MEKH)</f>
        <v>-94.8919259894898</v>
      </c>
      <c r="EN117" s="33" t="n">
        <f aca="false">In_Opex_Contingency*(EN113+EN114+EN115-EN112*In_MEKH)</f>
        <v>-96.2020762471408</v>
      </c>
      <c r="EO117" s="33" t="n">
        <f aca="false">In_Opex_Contingency*(EO113+EO114+EO115-EO112*In_MEKH)</f>
        <v>-96.2020762471408</v>
      </c>
      <c r="EP117" s="33" t="n">
        <f aca="false">In_Opex_Contingency*(EP113+EP114+EP115-EP112*In_MEKH)</f>
        <v>-97.2592419201863</v>
      </c>
      <c r="EQ117" s="33" t="n">
        <f aca="false">In_Opex_Contingency*(EQ113+EQ114+EQ115-EQ112*In_MEKH)</f>
        <v>-97.1724973955404</v>
      </c>
      <c r="ER117" s="33" t="n">
        <f aca="false">In_Opex_Contingency*(ER113+ER114+ER115-ER112*In_MEKH)</f>
        <v>-97.4316452139015</v>
      </c>
      <c r="ES117" s="33" t="n">
        <f aca="false">In_Opex_Contingency*(ES113+ES114+ES115-ES112*In_MEKH)</f>
        <v>-98.5142190496114</v>
      </c>
      <c r="ET117" s="33" t="n">
        <f aca="false">In_Opex_Contingency*(ET113+ET114+ET115-ET112*In_MEKH)</f>
        <v>-99.5967928853215</v>
      </c>
    </row>
    <row r="118" customFormat="false" ht="15" hidden="false" customHeight="false" outlineLevel="0" collapsed="false">
      <c r="C118" s="0" t="s">
        <v>31</v>
      </c>
      <c r="D118" s="11" t="s">
        <v>247</v>
      </c>
      <c r="I118" s="33" t="n">
        <f aca="false">SUM(J118:ET118)</f>
        <v>-20794.4767338331</v>
      </c>
      <c r="J118" s="33" t="n">
        <f aca="false">-$E31*J111/Thousand</f>
        <v>-0</v>
      </c>
      <c r="K118" s="33" t="n">
        <f aca="false">-$E31*K111/Thousand</f>
        <v>-0</v>
      </c>
      <c r="L118" s="33" t="n">
        <f aca="false">-$E31*L111/Thousand</f>
        <v>-0</v>
      </c>
      <c r="M118" s="33" t="n">
        <f aca="false">-$E31*M111/Thousand</f>
        <v>-0</v>
      </c>
      <c r="N118" s="33" t="n">
        <f aca="false">-$E31*N111/Thousand</f>
        <v>-0</v>
      </c>
      <c r="O118" s="33" t="n">
        <f aca="false">-$E31*O111/Thousand</f>
        <v>-0</v>
      </c>
      <c r="P118" s="33" t="n">
        <f aca="false">-$E31*P111/Thousand</f>
        <v>-0</v>
      </c>
      <c r="Q118" s="33" t="n">
        <f aca="false">-$E31*Q111/Thousand</f>
        <v>-0</v>
      </c>
      <c r="R118" s="33" t="n">
        <f aca="false">-$E31*R111/Thousand</f>
        <v>-0</v>
      </c>
      <c r="S118" s="33" t="n">
        <f aca="false">-$E31*S111/Thousand</f>
        <v>-0</v>
      </c>
      <c r="T118" s="33" t="n">
        <f aca="false">-$E31*T111/Thousand</f>
        <v>-0</v>
      </c>
      <c r="U118" s="33" t="n">
        <f aca="false">-$E31*U111/Thousand</f>
        <v>-0</v>
      </c>
      <c r="V118" s="33" t="n">
        <f aca="false">-$E31*V111/Thousand</f>
        <v>-0</v>
      </c>
      <c r="W118" s="33" t="n">
        <f aca="false">-$E31*W111/Thousand</f>
        <v>-0</v>
      </c>
      <c r="X118" s="33" t="n">
        <f aca="false">-$E31*X111/Thousand</f>
        <v>-0</v>
      </c>
      <c r="Y118" s="33" t="n">
        <f aca="false">-$E31*Y111/Thousand</f>
        <v>-0</v>
      </c>
      <c r="Z118" s="33" t="n">
        <f aca="false">-$E31*Z111/Thousand</f>
        <v>-0</v>
      </c>
      <c r="AA118" s="33" t="n">
        <f aca="false">-$E31*AA111/Thousand</f>
        <v>-0</v>
      </c>
      <c r="AB118" s="33" t="n">
        <f aca="false">-$E31*AB111/Thousand</f>
        <v>-0</v>
      </c>
      <c r="AC118" s="33" t="n">
        <f aca="false">-$E31*AC111/Thousand</f>
        <v>-0</v>
      </c>
      <c r="AD118" s="33" t="n">
        <f aca="false">-$E31*AD111/Thousand</f>
        <v>-0</v>
      </c>
      <c r="AE118" s="33" t="n">
        <f aca="false">-$E31*AE111/Thousand</f>
        <v>-182.296109589041</v>
      </c>
      <c r="AF118" s="33" t="n">
        <f aca="false">-$E31*AF111/Thousand</f>
        <v>-180.314630136986</v>
      </c>
      <c r="AG118" s="33" t="n">
        <f aca="false">-$E31*AG111/Thousand</f>
        <v>-180.314630136986</v>
      </c>
      <c r="AH118" s="33" t="n">
        <f aca="false">-$E31*AH111/Thousand</f>
        <v>-182.296109589041</v>
      </c>
      <c r="AI118" s="33" t="n">
        <f aca="false">-$E31*AI111/Thousand</f>
        <v>-181.749221260274</v>
      </c>
      <c r="AJ118" s="33" t="n">
        <f aca="false">-$E31*AJ111/Thousand</f>
        <v>-177.798151232877</v>
      </c>
      <c r="AK118" s="33" t="n">
        <f aca="false">-$E31*AK111/Thousand</f>
        <v>-179.773686246575</v>
      </c>
      <c r="AL118" s="33" t="n">
        <f aca="false">-$E31*AL111/Thousand</f>
        <v>-181.749221260274</v>
      </c>
      <c r="AM118" s="33" t="n">
        <f aca="false">-$E31*AM111/Thousand</f>
        <v>-181.203973596493</v>
      </c>
      <c r="AN118" s="33" t="n">
        <f aca="false">-$E31*AN111/Thousand</f>
        <v>-177.264756779178</v>
      </c>
      <c r="AO118" s="33" t="n">
        <f aca="false">-$E31*AO111/Thousand</f>
        <v>-179.234365187836</v>
      </c>
      <c r="AP118" s="33" t="n">
        <f aca="false">-$E31*AP111/Thousand</f>
        <v>-181.203973596493</v>
      </c>
      <c r="AQ118" s="33" t="n">
        <f aca="false">-$E31*AQ111/Thousand</f>
        <v>-180.660361675704</v>
      </c>
      <c r="AR118" s="33" t="n">
        <f aca="false">-$E31*AR111/Thousand</f>
        <v>-176.732962508841</v>
      </c>
      <c r="AS118" s="33" t="n">
        <f aca="false">-$E31*AS111/Thousand</f>
        <v>-178.696662092272</v>
      </c>
      <c r="AT118" s="33" t="n">
        <f aca="false">-$E31*AT111/Thousand</f>
        <v>-180.660361675704</v>
      </c>
      <c r="AU118" s="33" t="n">
        <f aca="false">-$E31*AU111/Thousand</f>
        <v>-180.118380590677</v>
      </c>
      <c r="AV118" s="33" t="n">
        <f aca="false">-$E31*AV111/Thousand</f>
        <v>-178.160572105995</v>
      </c>
      <c r="AW118" s="33" t="n">
        <f aca="false">-$E31*AW111/Thousand</f>
        <v>-178.160572105995</v>
      </c>
      <c r="AX118" s="33" t="n">
        <f aca="false">-$E31*AX111/Thousand</f>
        <v>-180.118380590677</v>
      </c>
      <c r="AY118" s="33" t="n">
        <f aca="false">-$E31*AY111/Thousand</f>
        <v>-179.578025448905</v>
      </c>
      <c r="AZ118" s="33" t="n">
        <f aca="false">-$E31*AZ111/Thousand</f>
        <v>-175.67415533045</v>
      </c>
      <c r="BA118" s="33" t="n">
        <f aca="false">-$E31*BA111/Thousand</f>
        <v>-177.626090389677</v>
      </c>
      <c r="BB118" s="33" t="n">
        <f aca="false">-$E31*BB111/Thousand</f>
        <v>-179.578025448905</v>
      </c>
      <c r="BC118" s="33" t="n">
        <f aca="false">-$E31*BC111/Thousand</f>
        <v>-179.039291372558</v>
      </c>
      <c r="BD118" s="33" t="n">
        <f aca="false">-$E31*BD111/Thousand</f>
        <v>-175.147132864459</v>
      </c>
      <c r="BE118" s="33" t="n">
        <f aca="false">-$E31*BE111/Thousand</f>
        <v>-177.093212118508</v>
      </c>
      <c r="BF118" s="33" t="n">
        <f aca="false">-$E31*BF111/Thousand</f>
        <v>-179.039291372558</v>
      </c>
      <c r="BG118" s="33" t="n">
        <f aca="false">-$E31*BG111/Thousand</f>
        <v>-178.50217349844</v>
      </c>
      <c r="BH118" s="33" t="n">
        <f aca="false">-$E31*BH111/Thousand</f>
        <v>-174.621691465865</v>
      </c>
      <c r="BI118" s="33" t="n">
        <f aca="false">-$E31*BI111/Thousand</f>
        <v>-176.561932482153</v>
      </c>
      <c r="BJ118" s="33" t="n">
        <f aca="false">-$E31*BJ111/Thousand</f>
        <v>-178.50217349844</v>
      </c>
      <c r="BK118" s="33" t="n">
        <f aca="false">-$E31*BK111/Thousand</f>
        <v>-177.966666977945</v>
      </c>
      <c r="BL118" s="33" t="n">
        <f aca="false">-$E31*BL111/Thousand</f>
        <v>-176.032246684706</v>
      </c>
      <c r="BM118" s="33" t="n">
        <f aca="false">-$E31*BM111/Thousand</f>
        <v>-176.032246684706</v>
      </c>
      <c r="BN118" s="33" t="n">
        <f aca="false">-$E31*BN111/Thousand</f>
        <v>-177.966666977945</v>
      </c>
      <c r="BO118" s="33" t="n">
        <f aca="false">-$E31*BO111/Thousand</f>
        <v>-177.432766977011</v>
      </c>
      <c r="BP118" s="33" t="n">
        <f aca="false">-$E31*BP111/Thousand</f>
        <v>-173.575532912293</v>
      </c>
      <c r="BQ118" s="33" t="n">
        <f aca="false">-$E31*BQ111/Thousand</f>
        <v>-175.504149944652</v>
      </c>
      <c r="BR118" s="33" t="n">
        <f aca="false">-$E31*BR111/Thousand</f>
        <v>-177.432766977011</v>
      </c>
      <c r="BS118" s="33" t="n">
        <f aca="false">-$E31*BS111/Thousand</f>
        <v>-176.90046867608</v>
      </c>
      <c r="BT118" s="33" t="n">
        <f aca="false">-$E31*BT111/Thousand</f>
        <v>-173.054806313556</v>
      </c>
      <c r="BU118" s="33" t="n">
        <f aca="false">-$E31*BU111/Thousand</f>
        <v>-174.977637494818</v>
      </c>
      <c r="BV118" s="33" t="n">
        <f aca="false">-$E31*BV111/Thousand</f>
        <v>-176.90046867608</v>
      </c>
      <c r="BW118" s="33" t="n">
        <f aca="false">-$E31*BW111/Thousand</f>
        <v>-176.369767270052</v>
      </c>
      <c r="BX118" s="33" t="n">
        <f aca="false">-$E31*BX111/Thousand</f>
        <v>-172.535641894616</v>
      </c>
      <c r="BY118" s="33" t="n">
        <f aca="false">-$E31*BY111/Thousand</f>
        <v>-174.452704582334</v>
      </c>
      <c r="BZ118" s="33" t="n">
        <f aca="false">-$E31*BZ111/Thousand</f>
        <v>-176.369767270052</v>
      </c>
      <c r="CA118" s="33" t="n">
        <f aca="false">-$E31*CA111/Thousand</f>
        <v>-175.840657968242</v>
      </c>
      <c r="CB118" s="33" t="n">
        <f aca="false">-$E31*CB111/Thousand</f>
        <v>-173.929346468587</v>
      </c>
      <c r="CC118" s="33" t="n">
        <f aca="false">-$E31*CC111/Thousand</f>
        <v>-173.929346468587</v>
      </c>
      <c r="CD118" s="33" t="n">
        <f aca="false">-$E31*CD111/Thousand</f>
        <v>-175.840657968242</v>
      </c>
      <c r="CE118" s="33" t="n">
        <f aca="false">-$E31*CE111/Thousand</f>
        <v>-175.313135994337</v>
      </c>
      <c r="CF118" s="33" t="n">
        <f aca="false">-$E31*CF111/Thousand</f>
        <v>-171.501980864025</v>
      </c>
      <c r="CG118" s="33" t="n">
        <f aca="false">-$E31*CG111/Thousand</f>
        <v>-173.407558429181</v>
      </c>
      <c r="CH118" s="33" t="n">
        <f aca="false">-$E31*CH111/Thousand</f>
        <v>-175.313135994337</v>
      </c>
      <c r="CI118" s="33" t="n">
        <f aca="false">-$E31*CI111/Thousand</f>
        <v>-174.787196586354</v>
      </c>
      <c r="CJ118" s="33" t="n">
        <f aca="false">-$E31*CJ111/Thousand</f>
        <v>-170.987474921433</v>
      </c>
      <c r="CK118" s="33" t="n">
        <f aca="false">-$E31*CK111/Thousand</f>
        <v>-172.887335753893</v>
      </c>
      <c r="CL118" s="33" t="n">
        <f aca="false">-$E31*CL111/Thousand</f>
        <v>-174.787196586354</v>
      </c>
      <c r="CM118" s="33" t="n">
        <f aca="false">-$E31*CM111/Thousand</f>
        <v>-174.262834996595</v>
      </c>
      <c r="CN118" s="33" t="n">
        <f aca="false">-$E31*CN111/Thousand</f>
        <v>-170.474512496669</v>
      </c>
      <c r="CO118" s="33" t="n">
        <f aca="false">-$E31*CO111/Thousand</f>
        <v>-172.368673746632</v>
      </c>
      <c r="CP118" s="33" t="n">
        <f aca="false">-$E31*CP111/Thousand</f>
        <v>-174.262834996595</v>
      </c>
      <c r="CQ118" s="33" t="n">
        <f aca="false">-$E31*CQ111/Thousand</f>
        <v>-173.740046491605</v>
      </c>
      <c r="CR118" s="33" t="n">
        <f aca="false">-$E31*CR111/Thousand</f>
        <v>-171.851567725392</v>
      </c>
      <c r="CS118" s="33" t="n">
        <f aca="false">-$E31*CS111/Thousand</f>
        <v>-171.851567725392</v>
      </c>
      <c r="CT118" s="33" t="n">
        <f aca="false">-$E31*CT111/Thousand</f>
        <v>-173.740046491605</v>
      </c>
      <c r="CU118" s="33" t="n">
        <f aca="false">-$E31*CU111/Thousand</f>
        <v>-173.21882635213</v>
      </c>
      <c r="CV118" s="33" t="n">
        <f aca="false">-$E31*CV111/Thousand</f>
        <v>-169.453199692301</v>
      </c>
      <c r="CW118" s="33" t="n">
        <f aca="false">-$E31*CW111/Thousand</f>
        <v>-171.336013022216</v>
      </c>
      <c r="CX118" s="33" t="n">
        <f aca="false">-$E31*CX111/Thousand</f>
        <v>-173.21882635213</v>
      </c>
      <c r="CY118" s="33" t="n">
        <f aca="false">-$E31*CY111/Thousand</f>
        <v>-172.699169873074</v>
      </c>
      <c r="CZ118" s="33" t="n">
        <f aca="false">-$E31*CZ111/Thousand</f>
        <v>-168.944840093224</v>
      </c>
      <c r="DA118" s="33" t="n">
        <f aca="false">-$E31*DA111/Thousand</f>
        <v>-170.822004983149</v>
      </c>
      <c r="DB118" s="33" t="n">
        <f aca="false">-$E31*DB111/Thousand</f>
        <v>-172.699169873074</v>
      </c>
      <c r="DC118" s="33" t="n">
        <f aca="false">-$E31*DC111/Thousand</f>
        <v>-172.181072363455</v>
      </c>
      <c r="DD118" s="33" t="n">
        <f aca="false">-$E31*DD111/Thousand</f>
        <v>-168.438005572945</v>
      </c>
      <c r="DE118" s="33" t="n">
        <f aca="false">-$E31*DE111/Thousand</f>
        <v>-170.3095389682</v>
      </c>
      <c r="DF118" s="33" t="n">
        <f aca="false">-$E31*DF111/Thousand</f>
        <v>-172.181072363455</v>
      </c>
      <c r="DG118" s="33" t="n">
        <f aca="false">-$E31*DG111/Thousand</f>
        <v>-171.664529146364</v>
      </c>
      <c r="DH118" s="33" t="n">
        <f aca="false">-$E31*DH111/Thousand</f>
        <v>-169.798610351295</v>
      </c>
      <c r="DI118" s="33" t="n">
        <f aca="false">-$E31*DI111/Thousand</f>
        <v>-169.798610351295</v>
      </c>
      <c r="DJ118" s="33" t="n">
        <f aca="false">-$E31*DJ111/Thousand</f>
        <v>-171.664529146364</v>
      </c>
      <c r="DK118" s="33" t="n">
        <f aca="false">-$E31*DK111/Thousand</f>
        <v>-171.149535558925</v>
      </c>
      <c r="DL118" s="33" t="n">
        <f aca="false">-$E31*DL111/Thousand</f>
        <v>-167.428893481557</v>
      </c>
      <c r="DM118" s="33" t="n">
        <f aca="false">-$E31*DM111/Thousand</f>
        <v>-169.289214520241</v>
      </c>
      <c r="DN118" s="33" t="n">
        <f aca="false">-$E31*DN111/Thousand</f>
        <v>-171.149535558925</v>
      </c>
      <c r="DO118" s="33" t="n">
        <f aca="false">-$E31*DO111/Thousand</f>
        <v>-170.636086952248</v>
      </c>
      <c r="DP118" s="33" t="n">
        <f aca="false">-$E31*DP111/Thousand</f>
        <v>-166.926606801112</v>
      </c>
      <c r="DQ118" s="33" t="n">
        <f aca="false">-$E31*DQ111/Thousand</f>
        <v>-168.78134687668</v>
      </c>
      <c r="DR118" s="33" t="n">
        <f aca="false">-$E31*DR111/Thousand</f>
        <v>-170.636086952248</v>
      </c>
      <c r="DS118" s="33" t="n">
        <f aca="false">-$E31*DS111/Thousand</f>
        <v>-170.124178691392</v>
      </c>
      <c r="DT118" s="33" t="n">
        <f aca="false">-$E31*DT111/Thousand</f>
        <v>-166.425826980709</v>
      </c>
      <c r="DU118" s="33" t="n">
        <f aca="false">-$E31*DU111/Thousand</f>
        <v>-168.27500283605</v>
      </c>
      <c r="DV118" s="33" t="n">
        <f aca="false">-$E31*DV111/Thousand</f>
        <v>-170.124178691392</v>
      </c>
      <c r="DW118" s="33" t="n">
        <f aca="false">-$E31*DW111/Thousand</f>
        <v>-169.613806155317</v>
      </c>
      <c r="DX118" s="33" t="n">
        <f aca="false">-$E31*DX111/Thousand</f>
        <v>-167.770177827542</v>
      </c>
      <c r="DY118" s="33" t="n">
        <f aca="false">-$E31*DY111/Thousand</f>
        <v>-167.770177827542</v>
      </c>
      <c r="DZ118" s="33" t="n">
        <f aca="false">-$E31*DZ111/Thousand</f>
        <v>-169.613806155317</v>
      </c>
      <c r="EA118" s="33" t="n">
        <f aca="false">-$E31*EA111/Thousand</f>
        <v>-169.104964736851</v>
      </c>
      <c r="EB118" s="33" t="n">
        <f aca="false">-$E31*EB111/Thousand</f>
        <v>-165.428769851268</v>
      </c>
      <c r="EC118" s="33" t="n">
        <f aca="false">-$E31*EC111/Thousand</f>
        <v>-167.26686729406</v>
      </c>
      <c r="ED118" s="33" t="n">
        <f aca="false">-$E31*ED111/Thousand</f>
        <v>-169.104964736851</v>
      </c>
      <c r="EE118" s="33" t="n">
        <f aca="false">-$E31*EE111/Thousand</f>
        <v>-168.597649842641</v>
      </c>
      <c r="EF118" s="33" t="n">
        <f aca="false">-$E31*EF111/Thousand</f>
        <v>-164.932483541714</v>
      </c>
      <c r="EG118" s="33" t="n">
        <f aca="false">-$E31*EG111/Thousand</f>
        <v>-166.765066692177</v>
      </c>
      <c r="EH118" s="33" t="n">
        <f aca="false">-$E31*EH111/Thousand</f>
        <v>-168.597649842641</v>
      </c>
      <c r="EI118" s="33" t="n">
        <f aca="false">-$E31*EI111/Thousand</f>
        <v>-168.091856893113</v>
      </c>
      <c r="EJ118" s="33" t="n">
        <f aca="false">-$E31*EJ111/Thousand</f>
        <v>-164.437686091089</v>
      </c>
      <c r="EK118" s="33" t="n">
        <f aca="false">-$E31*EK111/Thousand</f>
        <v>-166.264771492101</v>
      </c>
      <c r="EL118" s="33" t="n">
        <f aca="false">-$E31*EL111/Thousand</f>
        <v>-168.091856893113</v>
      </c>
      <c r="EM118" s="33" t="n">
        <f aca="false">-$E31*EM111/Thousand</f>
        <v>-167.587581322434</v>
      </c>
      <c r="EN118" s="33" t="n">
        <f aca="false">-$E31*EN111/Thousand</f>
        <v>-165.765977177625</v>
      </c>
      <c r="EO118" s="33" t="n">
        <f aca="false">-$E31*EO111/Thousand</f>
        <v>-165.765977177625</v>
      </c>
      <c r="EP118" s="33" t="n">
        <f aca="false">-$E31*EP111/Thousand</f>
        <v>-167.587581322434</v>
      </c>
      <c r="EQ118" s="33" t="n">
        <f aca="false">-$E31*EQ111/Thousand</f>
        <v>-167.084818578466</v>
      </c>
      <c r="ER118" s="33" t="n">
        <f aca="false">-$E31*ER111/Thousand</f>
        <v>-163.452539913717</v>
      </c>
      <c r="ES118" s="33" t="n">
        <f aca="false">-$E31*ES111/Thousand</f>
        <v>-165.268679246092</v>
      </c>
      <c r="ET118" s="33" t="n">
        <f aca="false">-$E31*ET111/Thousand</f>
        <v>-167.084818578466</v>
      </c>
    </row>
    <row r="119" customFormat="false" ht="15" hidden="false" customHeight="false" outlineLevel="0" collapsed="false">
      <c r="C119" s="30" t="s">
        <v>562</v>
      </c>
      <c r="D119" s="11" t="s">
        <v>247</v>
      </c>
      <c r="I119" s="35" t="n">
        <f aca="false">SUM(J119:ET119)</f>
        <v>511909.275115853</v>
      </c>
      <c r="J119" s="35" t="n">
        <f aca="false">SUM(J112:J118)</f>
        <v>0</v>
      </c>
      <c r="K119" s="35" t="n">
        <f aca="false">SUM(K112:K118)</f>
        <v>0</v>
      </c>
      <c r="L119" s="35" t="n">
        <f aca="false">SUM(L112:L118)</f>
        <v>0</v>
      </c>
      <c r="M119" s="35" t="n">
        <f aca="false">SUM(M112:M118)</f>
        <v>0</v>
      </c>
      <c r="N119" s="35" t="n">
        <f aca="false">SUM(N112:N118)</f>
        <v>0</v>
      </c>
      <c r="O119" s="35" t="n">
        <f aca="false">SUM(O112:O118)</f>
        <v>0</v>
      </c>
      <c r="P119" s="35" t="n">
        <f aca="false">SUM(P112:P118)</f>
        <v>0</v>
      </c>
      <c r="Q119" s="35" t="n">
        <f aca="false">SUM(Q112:Q118)</f>
        <v>0</v>
      </c>
      <c r="R119" s="35" t="n">
        <f aca="false">SUM(R112:R118)</f>
        <v>0</v>
      </c>
      <c r="S119" s="35" t="n">
        <f aca="false">SUM(S112:S118)</f>
        <v>0</v>
      </c>
      <c r="T119" s="35" t="n">
        <f aca="false">SUM(T112:T118)</f>
        <v>0</v>
      </c>
      <c r="U119" s="35" t="n">
        <f aca="false">SUM(U112:U118)</f>
        <v>0</v>
      </c>
      <c r="V119" s="35" t="n">
        <f aca="false">SUM(V112:V118)</f>
        <v>0</v>
      </c>
      <c r="W119" s="35" t="n">
        <f aca="false">SUM(W112:W118)</f>
        <v>-75.5714553470293</v>
      </c>
      <c r="X119" s="35" t="n">
        <f aca="false">SUM(X112:X118)</f>
        <v>-75.7768125626462</v>
      </c>
      <c r="Y119" s="35" t="n">
        <f aca="false">SUM(Y112:Y118)</f>
        <v>-76.6187771466756</v>
      </c>
      <c r="Z119" s="35" t="n">
        <f aca="false">SUM(Z112:Z118)</f>
        <v>-77.460741730705</v>
      </c>
      <c r="AA119" s="35" t="n">
        <f aca="false">SUM(AA112:AA118)</f>
        <v>-77.460741730705</v>
      </c>
      <c r="AB119" s="35" t="n">
        <f aca="false">SUM(AB112:AB118)</f>
        <v>-77.6712328767123</v>
      </c>
      <c r="AC119" s="35" t="n">
        <f aca="false">SUM(AC112:AC118)</f>
        <v>-78.5342465753425</v>
      </c>
      <c r="AD119" s="35" t="n">
        <f aca="false">SUM(AD112:AD118)</f>
        <v>-79.3972602739726</v>
      </c>
      <c r="AE119" s="35" t="n">
        <f aca="false">SUM(AE112:AE118)</f>
        <v>4151.10652734247</v>
      </c>
      <c r="AF119" s="35" t="n">
        <f aca="false">SUM(AF112:AF118)</f>
        <v>4133.70976185041</v>
      </c>
      <c r="AG119" s="35" t="n">
        <f aca="false">SUM(AG112:AG118)</f>
        <v>4133.70976185041</v>
      </c>
      <c r="AH119" s="35" t="n">
        <f aca="false">SUM(AH112:AH118)</f>
        <v>4179.13514384877</v>
      </c>
      <c r="AI119" s="35" t="n">
        <f aca="false">SUM(AI112:AI118)</f>
        <v>4164.44111033503</v>
      </c>
      <c r="AJ119" s="35" t="n">
        <f aca="false">SUM(AJ112:AJ118)</f>
        <v>4101.09425535863</v>
      </c>
      <c r="AK119" s="35" t="n">
        <f aca="false">SUM(AK112:AK118)</f>
        <v>4146.66196930706</v>
      </c>
      <c r="AL119" s="35" t="n">
        <f aca="false">SUM(AL112:AL118)</f>
        <v>4192.22968325549</v>
      </c>
      <c r="AM119" s="35" t="n">
        <f aca="false">SUM(AM112:AM118)</f>
        <v>4177.44245042148</v>
      </c>
      <c r="AN119" s="35" t="n">
        <f aca="false">SUM(AN112:AN118)</f>
        <v>4113.56620598525</v>
      </c>
      <c r="AO119" s="35" t="n">
        <f aca="false">SUM(AO112:AO118)</f>
        <v>4159.27249716287</v>
      </c>
      <c r="AP119" s="35" t="n">
        <f aca="false">SUM(AP112:AP118)</f>
        <v>4204.97878834048</v>
      </c>
      <c r="AQ119" s="35" t="n">
        <f aca="false">SUM(AQ112:AQ118)</f>
        <v>4190.09804459661</v>
      </c>
      <c r="AR119" s="35" t="n">
        <f aca="false">SUM(AR112:AR118)</f>
        <v>4125.68766802944</v>
      </c>
      <c r="AS119" s="35" t="n">
        <f aca="false">SUM(AS112:AS118)</f>
        <v>4171.52864211866</v>
      </c>
      <c r="AT119" s="35" t="n">
        <f aca="false">SUM(AT112:AT118)</f>
        <v>4217.36961620788</v>
      </c>
      <c r="AU119" s="35" t="n">
        <f aca="false">SUM(AU112:AU118)</f>
        <v>4202.39505479593</v>
      </c>
      <c r="AV119" s="35" t="n">
        <f aca="false">SUM(AV112:AV118)</f>
        <v>4183.41736098541</v>
      </c>
      <c r="AW119" s="35" t="n">
        <f aca="false">SUM(AW112:AW118)</f>
        <v>4183.41736098541</v>
      </c>
      <c r="AX119" s="35" t="n">
        <f aca="false">SUM(AX112:AX118)</f>
        <v>4229.38898033689</v>
      </c>
      <c r="AY119" s="35" t="n">
        <f aca="false">SUM(AY112:AY118)</f>
        <v>4214.32029951848</v>
      </c>
      <c r="AZ119" s="35" t="n">
        <f aca="false">SUM(AZ112:AZ118)</f>
        <v>4148.8271823853</v>
      </c>
      <c r="BA119" s="35" t="n">
        <f aca="false">SUM(BA112:BA118)</f>
        <v>4194.92526218958</v>
      </c>
      <c r="BB119" s="35" t="n">
        <f aca="false">SUM(BB112:BB118)</f>
        <v>4241.02334199387</v>
      </c>
      <c r="BC119" s="35" t="n">
        <f aca="false">SUM(BC112:BC118)</f>
        <v>4225.86024524354</v>
      </c>
      <c r="BD119" s="35" t="n">
        <f aca="false">SUM(BD112:BD118)</f>
        <v>4159.81839270627</v>
      </c>
      <c r="BE119" s="35" t="n">
        <f aca="false">SUM(BE112:BE118)</f>
        <v>4206.03859706967</v>
      </c>
      <c r="BF119" s="35" t="n">
        <f aca="false">SUM(BF112:BF118)</f>
        <v>4252.25880143308</v>
      </c>
      <c r="BG119" s="35" t="n">
        <f aca="false">SUM(BG112:BG118)</f>
        <v>4237.00099763633</v>
      </c>
      <c r="BH119" s="35" t="n">
        <f aca="false">SUM(BH112:BH118)</f>
        <v>4170.40541303597</v>
      </c>
      <c r="BI119" s="35" t="n">
        <f aca="false">SUM(BI112:BI118)</f>
        <v>4216.74325095859</v>
      </c>
      <c r="BJ119" s="35" t="n">
        <f aca="false">SUM(BJ112:BJ118)</f>
        <v>4263.08108888121</v>
      </c>
      <c r="BK119" s="35" t="n">
        <f aca="false">SUM(BK112:BK118)</f>
        <v>4247.72829253731</v>
      </c>
      <c r="BL119" s="35" t="n">
        <f aca="false">SUM(BL112:BL118)</f>
        <v>4227.02473404685</v>
      </c>
      <c r="BM119" s="35" t="n">
        <f aca="false">SUM(BM112:BM118)</f>
        <v>4227.02473404685</v>
      </c>
      <c r="BN119" s="35" t="n">
        <f aca="false">SUM(BN112:BN118)</f>
        <v>4273.47555530011</v>
      </c>
      <c r="BO119" s="35" t="n">
        <f aca="false">SUM(BO112:BO118)</f>
        <v>4258.02748673002</v>
      </c>
      <c r="BP119" s="35" t="n">
        <f aca="false">SUM(BP112:BP118)</f>
        <v>4190.30918111972</v>
      </c>
      <c r="BQ119" s="35" t="n">
        <f aca="false">SUM(BQ112:BQ118)</f>
        <v>4236.86817202105</v>
      </c>
      <c r="BR119" s="35" t="n">
        <f aca="false">SUM(BR112:BR118)</f>
        <v>4283.42716292238</v>
      </c>
      <c r="BS119" s="35" t="n">
        <f aca="false">SUM(BS112:BS118)</f>
        <v>4267.88354848182</v>
      </c>
      <c r="BT119" s="35" t="n">
        <f aca="false">SUM(BT112:BT118)</f>
        <v>4199.59611739008</v>
      </c>
      <c r="BU119" s="35" t="n">
        <f aca="false">SUM(BU112:BU118)</f>
        <v>4246.25829647219</v>
      </c>
      <c r="BV119" s="35" t="n">
        <f aca="false">SUM(BV112:BV118)</f>
        <v>4292.9204755543</v>
      </c>
      <c r="BW119" s="35" t="n">
        <f aca="false">SUM(BW112:BW118)</f>
        <v>4277.28104785204</v>
      </c>
      <c r="BX119" s="35" t="n">
        <f aca="false">SUM(BX112:BX118)</f>
        <v>4208.41922149599</v>
      </c>
      <c r="BY119" s="35" t="n">
        <f aca="false">SUM(BY112:BY118)</f>
        <v>4255.17943506817</v>
      </c>
      <c r="BZ119" s="35" t="n">
        <f aca="false">SUM(BZ112:BZ118)</f>
        <v>4301.93964864034</v>
      </c>
      <c r="CA119" s="35" t="n">
        <f aca="false">SUM(CA112:CA118)</f>
        <v>4286.20414676194</v>
      </c>
      <c r="CB119" s="35" t="n">
        <f aca="false">SUM(CB112:CB118)</f>
        <v>4263.61550148466</v>
      </c>
      <c r="CC119" s="35" t="n">
        <f aca="false">SUM(CC112:CC118)</f>
        <v>4263.61550148466</v>
      </c>
      <c r="CD119" s="35" t="n">
        <f aca="false">SUM(CD112:CD118)</f>
        <v>4310.4684190834</v>
      </c>
      <c r="CE119" s="35" t="n">
        <f aca="false">SUM(CE112:CE118)</f>
        <v>4294.63658882035</v>
      </c>
      <c r="CF119" s="35" t="n">
        <f aca="false">SUM(CF112:CF118)</f>
        <v>4224.60987536228</v>
      </c>
      <c r="CG119" s="35" t="n">
        <f aca="false">SUM(CG112:CG118)</f>
        <v>4271.54998508853</v>
      </c>
      <c r="CH119" s="35" t="n">
        <f aca="false">SUM(CH112:CH118)</f>
        <v>4318.49009481478</v>
      </c>
      <c r="CI119" s="35" t="n">
        <f aca="false">SUM(CI112:CI118)</f>
        <v>4302.56168889939</v>
      </c>
      <c r="CJ119" s="35" t="n">
        <f aca="false">SUM(CJ112:CJ118)</f>
        <v>4231.94433662722</v>
      </c>
      <c r="CK119" s="35" t="n">
        <f aca="false">SUM(CK112:CK118)</f>
        <v>4278.96594036753</v>
      </c>
      <c r="CL119" s="35" t="n">
        <f aca="false">SUM(CL112:CL118)</f>
        <v>4325.98754410783</v>
      </c>
      <c r="CM119" s="35" t="n">
        <f aca="false">SUM(CM112:CM118)</f>
        <v>4309.96232245379</v>
      </c>
      <c r="CN119" s="35" t="n">
        <f aca="false">SUM(CN112:CN118)</f>
        <v>4238.7487675717</v>
      </c>
      <c r="CO119" s="35" t="n">
        <f aca="false">SUM(CO112:CO118)</f>
        <v>4285.84597610028</v>
      </c>
      <c r="CP119" s="35" t="n">
        <f aca="false">SUM(CP112:CP118)</f>
        <v>4332.94318462885</v>
      </c>
      <c r="CQ119" s="35" t="n">
        <f aca="false">SUM(CQ112:CQ118)</f>
        <v>4316.82091457771</v>
      </c>
      <c r="CR119" s="35" t="n">
        <f aca="false">SUM(CR112:CR118)</f>
        <v>4292.17224426001</v>
      </c>
      <c r="CS119" s="35" t="n">
        <f aca="false">SUM(CS112:CS118)</f>
        <v>4292.17224426001</v>
      </c>
      <c r="CT119" s="35" t="n">
        <f aca="false">SUM(CT112:CT118)</f>
        <v>4339.33897221891</v>
      </c>
      <c r="CU119" s="35" t="n">
        <f aca="false">SUM(CU112:CU118)</f>
        <v>4323.11942879257</v>
      </c>
      <c r="CV119" s="35" t="n">
        <f aca="false">SUM(CV112:CV118)</f>
        <v>4250.69646789126</v>
      </c>
      <c r="CW119" s="35" t="n">
        <f aca="false">SUM(CW112:CW118)</f>
        <v>4297.9264286456</v>
      </c>
      <c r="CX119" s="35" t="n">
        <f aca="false">SUM(CX112:CX118)</f>
        <v>4345.15638939995</v>
      </c>
      <c r="CY119" s="35" t="n">
        <f aca="false">SUM(CY112:CY118)</f>
        <v>4328.83935555932</v>
      </c>
      <c r="CZ119" s="35" t="n">
        <f aca="false">SUM(CZ112:CZ118)</f>
        <v>4255.80303286797</v>
      </c>
      <c r="DA119" s="35" t="n">
        <f aca="false">SUM(DA112:DA118)</f>
        <v>4303.08973323317</v>
      </c>
      <c r="DB119" s="35" t="n">
        <f aca="false">SUM(DB112:DB118)</f>
        <v>4350.37643359837</v>
      </c>
      <c r="DC119" s="35" t="n">
        <f aca="false">SUM(DC112:DC118)</f>
        <v>4333.96170050834</v>
      </c>
      <c r="DD119" s="35" t="n">
        <f aca="false">SUM(DD112:DD118)</f>
        <v>4260.30613540361</v>
      </c>
      <c r="DE119" s="35" t="n">
        <f aca="false">SUM(DE112:DE118)</f>
        <v>4307.64287024143</v>
      </c>
      <c r="DF119" s="35" t="n">
        <f aca="false">SUM(DF112:DF118)</f>
        <v>4354.97960507925</v>
      </c>
      <c r="DG119" s="35" t="n">
        <f aca="false">SUM(DG112:DG118)</f>
        <v>4338.46697238004</v>
      </c>
      <c r="DH119" s="35" t="n">
        <f aca="false">SUM(DH112:DH118)</f>
        <v>4311.56604790374</v>
      </c>
      <c r="DI119" s="35" t="n">
        <f aca="false">SUM(DI112:DI118)</f>
        <v>4311.56604790374</v>
      </c>
      <c r="DJ119" s="35" t="n">
        <f aca="false">SUM(DJ112:DJ118)</f>
        <v>4358.945894584</v>
      </c>
      <c r="DK119" s="35" t="n">
        <f aca="false">SUM(DK112:DK118)</f>
        <v>4342.33517066918</v>
      </c>
      <c r="DL119" s="35" t="n">
        <f aca="false">SUM(DL112:DL118)</f>
        <v>4267.42314521508</v>
      </c>
      <c r="DM119" s="35" t="n">
        <f aca="false">SUM(DM112:DM118)</f>
        <v>4314.83895793969</v>
      </c>
      <c r="DN119" s="35" t="n">
        <f aca="false">SUM(DN112:DN118)</f>
        <v>4362.2547706643</v>
      </c>
      <c r="DO119" s="35" t="n">
        <f aca="false">SUM(DO112:DO118)</f>
        <v>4345.54577296546</v>
      </c>
      <c r="DP119" s="35" t="n">
        <f aca="false">SUM(DP112:DP118)</f>
        <v>4269.99635873289</v>
      </c>
      <c r="DQ119" s="35" t="n">
        <f aca="false">SUM(DQ112:DQ118)</f>
        <v>4317.44076271881</v>
      </c>
      <c r="DR119" s="35" t="n">
        <f aca="false">SUM(DR112:DR118)</f>
        <v>4364.88516670473</v>
      </c>
      <c r="DS119" s="35" t="n">
        <f aca="false">SUM(DS112:DS118)</f>
        <v>4348.0777219831</v>
      </c>
      <c r="DT119" s="35" t="n">
        <f aca="false">SUM(DT112:DT118)</f>
        <v>4271.8846965912</v>
      </c>
      <c r="DU119" s="35" t="n">
        <f aca="false">SUM(DU112:DU118)</f>
        <v>4319.35008210888</v>
      </c>
      <c r="DV119" s="35" t="n">
        <f aca="false">SUM(DV112:DV118)</f>
        <v>4366.81546762656</v>
      </c>
      <c r="DW119" s="35" t="n">
        <f aca="false">SUM(DW112:DW118)</f>
        <v>4349.90941227163</v>
      </c>
      <c r="DX119" s="35" t="n">
        <f aca="false">SUM(DX112:DX118)</f>
        <v>4320.54498000109</v>
      </c>
      <c r="DY119" s="35" t="n">
        <f aca="false">SUM(DY112:DY118)</f>
        <v>4320.54498000109</v>
      </c>
      <c r="DZ119" s="35" t="n">
        <f aca="false">SUM(DZ112:DZ118)</f>
        <v>4368.02349626484</v>
      </c>
      <c r="EA119" s="35" t="n">
        <f aca="false">SUM(EA112:EA118)</f>
        <v>4351.01867660019</v>
      </c>
      <c r="EB119" s="35" t="n">
        <f aca="false">SUM(EB112:EB118)</f>
        <v>4273.5194015975</v>
      </c>
      <c r="EC119" s="35" t="n">
        <f aca="false">SUM(EC112:EC118)</f>
        <v>4321.00295050414</v>
      </c>
      <c r="ED119" s="35" t="n">
        <f aca="false">SUM(ED112:ED118)</f>
        <v>4368.48649941078</v>
      </c>
      <c r="EE119" s="35" t="n">
        <f aca="false">SUM(EE112:EE118)</f>
        <v>4351.38277200729</v>
      </c>
      <c r="EF119" s="35" t="n">
        <f aca="false">SUM(EF112:EF118)</f>
        <v>4273.22067408704</v>
      </c>
      <c r="EG119" s="35" t="n">
        <f aca="false">SUM(EG112:EG118)</f>
        <v>4320.70090379912</v>
      </c>
      <c r="EH119" s="35" t="n">
        <f aca="false">SUM(EH112:EH118)</f>
        <v>4368.1811335112</v>
      </c>
      <c r="EI119" s="35" t="n">
        <f aca="false">SUM(EI112:EI118)</f>
        <v>4350.97836550777</v>
      </c>
      <c r="EJ119" s="35" t="n">
        <f aca="false">SUM(EJ112:EJ118)</f>
        <v>4272.14685327713</v>
      </c>
      <c r="EK119" s="35" t="n">
        <f aca="false">SUM(EK112:EK118)</f>
        <v>4319.61515164688</v>
      </c>
      <c r="EL119" s="35" t="n">
        <f aca="false">SUM(EL112:EL118)</f>
        <v>4367.08345001662</v>
      </c>
      <c r="EM119" s="35" t="n">
        <f aca="false">SUM(EM112:EM118)</f>
        <v>4349.78151944861</v>
      </c>
      <c r="EN119" s="35" t="n">
        <f aca="false">SUM(EN112:EN118)</f>
        <v>4317.72139253939</v>
      </c>
      <c r="EO119" s="35" t="n">
        <f aca="false">SUM(EO112:EO118)</f>
        <v>4317.72139253939</v>
      </c>
      <c r="EP119" s="35" t="n">
        <f aca="false">SUM(EP112:EP118)</f>
        <v>4365.16888036949</v>
      </c>
      <c r="EQ119" s="35" t="n">
        <f aca="false">SUM(EQ112:EQ118)</f>
        <v>4347.76767650498</v>
      </c>
      <c r="ER119" s="35" t="n">
        <f aca="false">SUM(ER112:ER118)</f>
        <v>4267.57717234905</v>
      </c>
      <c r="ES119" s="35" t="n">
        <f aca="false">SUM(ES112:ES118)</f>
        <v>4314.99469648626</v>
      </c>
      <c r="ET119" s="35" t="n">
        <f aca="false">SUM(ET112:ET118)</f>
        <v>4362.41222062347</v>
      </c>
    </row>
    <row r="121" customFormat="false" ht="15" hidden="false" customHeight="false" outlineLevel="0" collapsed="false">
      <c r="A121" s="9" t="s">
        <v>13</v>
      </c>
      <c r="B121" s="9"/>
      <c r="C121" s="9" t="s">
        <v>563</v>
      </c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</row>
    <row r="122" customFormat="false" ht="15" hidden="false" customHeight="false" outlineLevel="0" collapsed="false">
      <c r="C122" s="0" t="s">
        <v>564</v>
      </c>
      <c r="D122" s="11" t="s">
        <v>247</v>
      </c>
      <c r="E122" s="33" t="n">
        <f aca="false">$I99-($I94+$I53+$I95+$I50)</f>
        <v>155571.135598186</v>
      </c>
      <c r="I122" s="33" t="n">
        <f aca="false">SUM(J122:ET122)</f>
        <v>-155571.135598186</v>
      </c>
      <c r="J122" s="33" t="n">
        <f aca="false">-$E122*J18</f>
        <v>-0</v>
      </c>
      <c r="K122" s="33" t="n">
        <f aca="false">-$E122*K18</f>
        <v>-0</v>
      </c>
      <c r="L122" s="33" t="n">
        <f aca="false">-$E122*L18</f>
        <v>-0</v>
      </c>
      <c r="M122" s="33" t="n">
        <f aca="false">-$E122*M18</f>
        <v>-0</v>
      </c>
      <c r="N122" s="33" t="n">
        <f aca="false">-$E122*N18</f>
        <v>-0</v>
      </c>
      <c r="O122" s="33" t="n">
        <f aca="false">-$E122*O18</f>
        <v>-0</v>
      </c>
      <c r="P122" s="33" t="n">
        <f aca="false">-$E122*P18</f>
        <v>-0</v>
      </c>
      <c r="Q122" s="33" t="n">
        <f aca="false">-$E122*Q18</f>
        <v>-0</v>
      </c>
      <c r="R122" s="33" t="n">
        <f aca="false">-$E122*R18</f>
        <v>-0</v>
      </c>
      <c r="S122" s="33" t="n">
        <f aca="false">-$E122*S18</f>
        <v>-0</v>
      </c>
      <c r="T122" s="33" t="n">
        <f aca="false">-$E122*T18</f>
        <v>-0</v>
      </c>
      <c r="U122" s="33" t="n">
        <f aca="false">-$E122*U18</f>
        <v>-0</v>
      </c>
      <c r="V122" s="33" t="n">
        <f aca="false">-$E122*V18</f>
        <v>-0</v>
      </c>
      <c r="W122" s="33" t="n">
        <f aca="false">-$E122*W18</f>
        <v>-0</v>
      </c>
      <c r="X122" s="33" t="n">
        <f aca="false">-$E122*X18</f>
        <v>-0</v>
      </c>
      <c r="Y122" s="33" t="n">
        <f aca="false">-$E122*Y18</f>
        <v>-0</v>
      </c>
      <c r="Z122" s="33" t="n">
        <f aca="false">-$E122*Z18</f>
        <v>-0</v>
      </c>
      <c r="AA122" s="33" t="n">
        <f aca="false">-$E122*AA18</f>
        <v>-0</v>
      </c>
      <c r="AB122" s="33" t="n">
        <f aca="false">-$E122*AB18</f>
        <v>-0</v>
      </c>
      <c r="AC122" s="33" t="n">
        <f aca="false">-$E122*AC18</f>
        <v>-0</v>
      </c>
      <c r="AD122" s="33" t="n">
        <f aca="false">-$E122*AD18</f>
        <v>-0</v>
      </c>
      <c r="AE122" s="33" t="n">
        <f aca="false">-$E122*AE18</f>
        <v>-1959.28055784163</v>
      </c>
      <c r="AF122" s="33" t="n">
        <f aca="false">-$E122*AF18</f>
        <v>-1937.984030039</v>
      </c>
      <c r="AG122" s="33" t="n">
        <f aca="false">-$E122*AG18</f>
        <v>-1937.984030039</v>
      </c>
      <c r="AH122" s="33" t="n">
        <f aca="false">-$E122*AH18</f>
        <v>-1959.28055784163</v>
      </c>
      <c r="AI122" s="33" t="n">
        <f aca="false">-$E122*AI18</f>
        <v>-1959.28055784163</v>
      </c>
      <c r="AJ122" s="33" t="n">
        <f aca="false">-$E122*AJ18</f>
        <v>-1916.68750223638</v>
      </c>
      <c r="AK122" s="33" t="n">
        <f aca="false">-$E122*AK18</f>
        <v>-1937.984030039</v>
      </c>
      <c r="AL122" s="33" t="n">
        <f aca="false">-$E122*AL18</f>
        <v>-1959.28055784163</v>
      </c>
      <c r="AM122" s="33" t="n">
        <f aca="false">-$E122*AM18</f>
        <v>-1959.28055784163</v>
      </c>
      <c r="AN122" s="33" t="n">
        <f aca="false">-$E122*AN18</f>
        <v>-1916.68750223638</v>
      </c>
      <c r="AO122" s="33" t="n">
        <f aca="false">-$E122*AO18</f>
        <v>-1937.984030039</v>
      </c>
      <c r="AP122" s="33" t="n">
        <f aca="false">-$E122*AP18</f>
        <v>-1959.28055784163</v>
      </c>
      <c r="AQ122" s="33" t="n">
        <f aca="false">-$E122*AQ18</f>
        <v>-1959.28055784163</v>
      </c>
      <c r="AR122" s="33" t="n">
        <f aca="false">-$E122*AR18</f>
        <v>-1916.68750223638</v>
      </c>
      <c r="AS122" s="33" t="n">
        <f aca="false">-$E122*AS18</f>
        <v>-1937.984030039</v>
      </c>
      <c r="AT122" s="33" t="n">
        <f aca="false">-$E122*AT18</f>
        <v>-1959.28055784163</v>
      </c>
      <c r="AU122" s="33" t="n">
        <f aca="false">-$E122*AU18</f>
        <v>-1959.28055784163</v>
      </c>
      <c r="AV122" s="33" t="n">
        <f aca="false">-$E122*AV18</f>
        <v>-1937.984030039</v>
      </c>
      <c r="AW122" s="33" t="n">
        <f aca="false">-$E122*AW18</f>
        <v>-1937.984030039</v>
      </c>
      <c r="AX122" s="33" t="n">
        <f aca="false">-$E122*AX18</f>
        <v>-1959.28055784163</v>
      </c>
      <c r="AY122" s="33" t="n">
        <f aca="false">-$E122*AY18</f>
        <v>-1959.28055784163</v>
      </c>
      <c r="AZ122" s="33" t="n">
        <f aca="false">-$E122*AZ18</f>
        <v>-1916.68750223638</v>
      </c>
      <c r="BA122" s="33" t="n">
        <f aca="false">-$E122*BA18</f>
        <v>-1937.984030039</v>
      </c>
      <c r="BB122" s="33" t="n">
        <f aca="false">-$E122*BB18</f>
        <v>-1959.28055784163</v>
      </c>
      <c r="BC122" s="33" t="n">
        <f aca="false">-$E122*BC18</f>
        <v>-1959.28055784163</v>
      </c>
      <c r="BD122" s="33" t="n">
        <f aca="false">-$E122*BD18</f>
        <v>-1916.68750223638</v>
      </c>
      <c r="BE122" s="33" t="n">
        <f aca="false">-$E122*BE18</f>
        <v>-1937.984030039</v>
      </c>
      <c r="BF122" s="33" t="n">
        <f aca="false">-$E122*BF18</f>
        <v>-1959.28055784163</v>
      </c>
      <c r="BG122" s="33" t="n">
        <f aca="false">-$E122*BG18</f>
        <v>-1959.28055784163</v>
      </c>
      <c r="BH122" s="33" t="n">
        <f aca="false">-$E122*BH18</f>
        <v>-1916.68750223638</v>
      </c>
      <c r="BI122" s="33" t="n">
        <f aca="false">-$E122*BI18</f>
        <v>-1937.984030039</v>
      </c>
      <c r="BJ122" s="33" t="n">
        <f aca="false">-$E122*BJ18</f>
        <v>-1959.28055784163</v>
      </c>
      <c r="BK122" s="33" t="n">
        <f aca="false">-$E122*BK18</f>
        <v>-1959.28055784163</v>
      </c>
      <c r="BL122" s="33" t="n">
        <f aca="false">-$E122*BL18</f>
        <v>-1937.984030039</v>
      </c>
      <c r="BM122" s="33" t="n">
        <f aca="false">-$E122*BM18</f>
        <v>-1937.984030039</v>
      </c>
      <c r="BN122" s="33" t="n">
        <f aca="false">-$E122*BN18</f>
        <v>-1959.28055784163</v>
      </c>
      <c r="BO122" s="33" t="n">
        <f aca="false">-$E122*BO18</f>
        <v>-1959.28055784163</v>
      </c>
      <c r="BP122" s="33" t="n">
        <f aca="false">-$E122*BP18</f>
        <v>-1916.68750223638</v>
      </c>
      <c r="BQ122" s="33" t="n">
        <f aca="false">-$E122*BQ18</f>
        <v>-1937.984030039</v>
      </c>
      <c r="BR122" s="33" t="n">
        <f aca="false">-$E122*BR18</f>
        <v>-1959.28055784163</v>
      </c>
      <c r="BS122" s="33" t="n">
        <f aca="false">-$E122*BS18</f>
        <v>-1959.28055784163</v>
      </c>
      <c r="BT122" s="33" t="n">
        <f aca="false">-$E122*BT18</f>
        <v>-1916.68750223638</v>
      </c>
      <c r="BU122" s="33" t="n">
        <f aca="false">-$E122*BU18</f>
        <v>-1937.984030039</v>
      </c>
      <c r="BV122" s="33" t="n">
        <f aca="false">-$E122*BV18</f>
        <v>-1959.28055784163</v>
      </c>
      <c r="BW122" s="33" t="n">
        <f aca="false">-$E122*BW18</f>
        <v>-1959.28055784163</v>
      </c>
      <c r="BX122" s="33" t="n">
        <f aca="false">-$E122*BX18</f>
        <v>-1916.68750223638</v>
      </c>
      <c r="BY122" s="33" t="n">
        <f aca="false">-$E122*BY18</f>
        <v>-1937.984030039</v>
      </c>
      <c r="BZ122" s="33" t="n">
        <f aca="false">-$E122*BZ18</f>
        <v>-1959.28055784163</v>
      </c>
      <c r="CA122" s="33" t="n">
        <f aca="false">-$E122*CA18</f>
        <v>-1959.28055784163</v>
      </c>
      <c r="CB122" s="33" t="n">
        <f aca="false">-$E122*CB18</f>
        <v>-1937.984030039</v>
      </c>
      <c r="CC122" s="33" t="n">
        <f aca="false">-$E122*CC18</f>
        <v>-1937.984030039</v>
      </c>
      <c r="CD122" s="33" t="n">
        <f aca="false">-$E122*CD18</f>
        <v>-1959.28055784163</v>
      </c>
      <c r="CE122" s="33" t="n">
        <f aca="false">-$E122*CE18</f>
        <v>-1959.28055784163</v>
      </c>
      <c r="CF122" s="33" t="n">
        <f aca="false">-$E122*CF18</f>
        <v>-1916.68750223638</v>
      </c>
      <c r="CG122" s="33" t="n">
        <f aca="false">-$E122*CG18</f>
        <v>-1937.984030039</v>
      </c>
      <c r="CH122" s="33" t="n">
        <f aca="false">-$E122*CH18</f>
        <v>-1959.28055784163</v>
      </c>
      <c r="CI122" s="33" t="n">
        <f aca="false">-$E122*CI18</f>
        <v>-1959.28055784163</v>
      </c>
      <c r="CJ122" s="33" t="n">
        <f aca="false">-$E122*CJ18</f>
        <v>-1916.68750223638</v>
      </c>
      <c r="CK122" s="33" t="n">
        <f aca="false">-$E122*CK18</f>
        <v>-1937.984030039</v>
      </c>
      <c r="CL122" s="33" t="n">
        <f aca="false">-$E122*CL18</f>
        <v>-1959.28055784163</v>
      </c>
      <c r="CM122" s="33" t="n">
        <f aca="false">-$E122*CM18</f>
        <v>-1959.28055784163</v>
      </c>
      <c r="CN122" s="33" t="n">
        <f aca="false">-$E122*CN18</f>
        <v>-1916.68750223638</v>
      </c>
      <c r="CO122" s="33" t="n">
        <f aca="false">-$E122*CO18</f>
        <v>-1937.984030039</v>
      </c>
      <c r="CP122" s="33" t="n">
        <f aca="false">-$E122*CP18</f>
        <v>-1959.28055784163</v>
      </c>
      <c r="CQ122" s="33" t="n">
        <f aca="false">-$E122*CQ18</f>
        <v>-1959.28055784163</v>
      </c>
      <c r="CR122" s="33" t="n">
        <f aca="false">-$E122*CR18</f>
        <v>-1937.984030039</v>
      </c>
      <c r="CS122" s="33" t="n">
        <f aca="false">-$E122*CS18</f>
        <v>-1937.984030039</v>
      </c>
      <c r="CT122" s="33" t="n">
        <f aca="false">-$E122*CT18</f>
        <v>-1959.28055784163</v>
      </c>
      <c r="CU122" s="33" t="n">
        <f aca="false">-$E122*CU18</f>
        <v>-1959.28055784163</v>
      </c>
      <c r="CV122" s="33" t="n">
        <f aca="false">-$E122*CV18</f>
        <v>-1916.68750223638</v>
      </c>
      <c r="CW122" s="33" t="n">
        <f aca="false">-$E122*CW18</f>
        <v>-1937.984030039</v>
      </c>
      <c r="CX122" s="33" t="n">
        <f aca="false">-$E122*CX18</f>
        <v>-1959.28055784163</v>
      </c>
      <c r="CY122" s="33" t="n">
        <f aca="false">-$E122*CY18</f>
        <v>-1959.28055784163</v>
      </c>
      <c r="CZ122" s="33" t="n">
        <f aca="false">-$E122*CZ18</f>
        <v>-1916.68750223638</v>
      </c>
      <c r="DA122" s="33" t="n">
        <f aca="false">-$E122*DA18</f>
        <v>-1937.984030039</v>
      </c>
      <c r="DB122" s="33" t="n">
        <f aca="false">-$E122*DB18</f>
        <v>-1959.28055784163</v>
      </c>
      <c r="DC122" s="33" t="n">
        <f aca="false">-$E122*DC18</f>
        <v>-1959.28055784163</v>
      </c>
      <c r="DD122" s="33" t="n">
        <f aca="false">-$E122*DD18</f>
        <v>-1916.68750223638</v>
      </c>
      <c r="DE122" s="33" t="n">
        <f aca="false">-$E122*DE18</f>
        <v>-1937.984030039</v>
      </c>
      <c r="DF122" s="33" t="n">
        <f aca="false">-$E122*DF18</f>
        <v>-1959.28055784163</v>
      </c>
      <c r="DG122" s="33" t="n">
        <f aca="false">-$E122*DG18</f>
        <v>-0</v>
      </c>
      <c r="DH122" s="33" t="n">
        <f aca="false">-$E122*DH18</f>
        <v>-0</v>
      </c>
      <c r="DI122" s="33" t="n">
        <f aca="false">-$E122*DI18</f>
        <v>-0</v>
      </c>
      <c r="DJ122" s="33" t="n">
        <f aca="false">-$E122*DJ18</f>
        <v>-0</v>
      </c>
      <c r="DK122" s="33" t="n">
        <f aca="false">-$E122*DK18</f>
        <v>-0</v>
      </c>
      <c r="DL122" s="33" t="n">
        <f aca="false">-$E122*DL18</f>
        <v>-0</v>
      </c>
      <c r="DM122" s="33" t="n">
        <f aca="false">-$E122*DM18</f>
        <v>-0</v>
      </c>
      <c r="DN122" s="33" t="n">
        <f aca="false">-$E122*DN18</f>
        <v>-0</v>
      </c>
      <c r="DO122" s="33" t="n">
        <f aca="false">-$E122*DO18</f>
        <v>-0</v>
      </c>
      <c r="DP122" s="33" t="n">
        <f aca="false">-$E122*DP18</f>
        <v>-0</v>
      </c>
      <c r="DQ122" s="33" t="n">
        <f aca="false">-$E122*DQ18</f>
        <v>-0</v>
      </c>
      <c r="DR122" s="33" t="n">
        <f aca="false">-$E122*DR18</f>
        <v>-0</v>
      </c>
      <c r="DS122" s="33" t="n">
        <f aca="false">-$E122*DS18</f>
        <v>-0</v>
      </c>
      <c r="DT122" s="33" t="n">
        <f aca="false">-$E122*DT18</f>
        <v>-0</v>
      </c>
      <c r="DU122" s="33" t="n">
        <f aca="false">-$E122*DU18</f>
        <v>-0</v>
      </c>
      <c r="DV122" s="33" t="n">
        <f aca="false">-$E122*DV18</f>
        <v>-0</v>
      </c>
      <c r="DW122" s="33" t="n">
        <f aca="false">-$E122*DW18</f>
        <v>-0</v>
      </c>
      <c r="DX122" s="33" t="n">
        <f aca="false">-$E122*DX18</f>
        <v>-0</v>
      </c>
      <c r="DY122" s="33" t="n">
        <f aca="false">-$E122*DY18</f>
        <v>-0</v>
      </c>
      <c r="DZ122" s="33" t="n">
        <f aca="false">-$E122*DZ18</f>
        <v>-0</v>
      </c>
      <c r="EA122" s="33" t="n">
        <f aca="false">-$E122*EA18</f>
        <v>-0</v>
      </c>
      <c r="EB122" s="33" t="n">
        <f aca="false">-$E122*EB18</f>
        <v>-0</v>
      </c>
      <c r="EC122" s="33" t="n">
        <f aca="false">-$E122*EC18</f>
        <v>-0</v>
      </c>
      <c r="ED122" s="33" t="n">
        <f aca="false">-$E122*ED18</f>
        <v>-0</v>
      </c>
      <c r="EE122" s="33" t="n">
        <f aca="false">-$E122*EE18</f>
        <v>-0</v>
      </c>
      <c r="EF122" s="33" t="n">
        <f aca="false">-$E122*EF18</f>
        <v>-0</v>
      </c>
      <c r="EG122" s="33" t="n">
        <f aca="false">-$E122*EG18</f>
        <v>-0</v>
      </c>
      <c r="EH122" s="33" t="n">
        <f aca="false">-$E122*EH18</f>
        <v>-0</v>
      </c>
      <c r="EI122" s="33" t="n">
        <f aca="false">-$E122*EI18</f>
        <v>-0</v>
      </c>
      <c r="EJ122" s="33" t="n">
        <f aca="false">-$E122*EJ18</f>
        <v>-0</v>
      </c>
      <c r="EK122" s="33" t="n">
        <f aca="false">-$E122*EK18</f>
        <v>-0</v>
      </c>
      <c r="EL122" s="33" t="n">
        <f aca="false">-$E122*EL18</f>
        <v>-0</v>
      </c>
      <c r="EM122" s="33" t="n">
        <f aca="false">-$E122*EM18</f>
        <v>-0</v>
      </c>
      <c r="EN122" s="33" t="n">
        <f aca="false">-$E122*EN18</f>
        <v>-0</v>
      </c>
      <c r="EO122" s="33" t="n">
        <f aca="false">-$E122*EO18</f>
        <v>-0</v>
      </c>
      <c r="EP122" s="33" t="n">
        <f aca="false">-$E122*EP18</f>
        <v>-0</v>
      </c>
      <c r="EQ122" s="33" t="n">
        <f aca="false">-$E122*EQ18</f>
        <v>-0</v>
      </c>
      <c r="ER122" s="33" t="n">
        <f aca="false">-$E122*ER18</f>
        <v>-0</v>
      </c>
      <c r="ES122" s="33" t="n">
        <f aca="false">-$E122*ES18</f>
        <v>-0</v>
      </c>
      <c r="ET122" s="33" t="n">
        <f aca="false">-$E122*ET18</f>
        <v>-0</v>
      </c>
    </row>
    <row r="123" customFormat="false" ht="15" hidden="false" customHeight="false" outlineLevel="0" collapsed="false">
      <c r="C123" s="0" t="s">
        <v>565</v>
      </c>
      <c r="D123" s="11" t="s">
        <v>247</v>
      </c>
      <c r="I123" s="33" t="n">
        <f aca="false">SUM(J123:ET123)</f>
        <v>324641.812905154</v>
      </c>
      <c r="J123" s="33" t="n">
        <f aca="false">J119+J122+J102+J103+J104+J57</f>
        <v>0</v>
      </c>
      <c r="K123" s="33" t="n">
        <f aca="false">K119+K122+K102+K103+K104+K57</f>
        <v>-178.520547945205</v>
      </c>
      <c r="L123" s="33" t="n">
        <f aca="false">L119+L122+L102+L103+L104+L57</f>
        <v>-588.444520547945</v>
      </c>
      <c r="M123" s="33" t="n">
        <f aca="false">M119+M122+M102+M103+M104+M57</f>
        <v>-43.8356164383562</v>
      </c>
      <c r="N123" s="33" t="n">
        <f aca="false">N119+N122+N102+N103+N104+N57</f>
        <v>-43.8356164383562</v>
      </c>
      <c r="O123" s="33" t="n">
        <f aca="false">O119+O122+O102+O103+O104+O57</f>
        <v>-184.361643835616</v>
      </c>
      <c r="P123" s="33" t="n">
        <f aca="false">P119+P122+P102+P103+P104+P57</f>
        <v>-1290.04179480011</v>
      </c>
      <c r="Q123" s="33" t="n">
        <f aca="false">Q119+Q122+Q102+Q103+Q104+Q57</f>
        <v>-4.60958904109589</v>
      </c>
      <c r="R123" s="33" t="n">
        <f aca="false">R119+R122+R102+R103+R104+R57</f>
        <v>-164.091509980431</v>
      </c>
      <c r="S123" s="33" t="n">
        <f aca="false">S119+S122+S102+S103+S104+S57</f>
        <v>-317.226138697232</v>
      </c>
      <c r="T123" s="33" t="n">
        <f aca="false">T119+T122+T102+T103+T104+T57</f>
        <v>-304.657534246575</v>
      </c>
      <c r="U123" s="33" t="n">
        <f aca="false">U119+U122+U102+U103+U104+U57</f>
        <v>0</v>
      </c>
      <c r="V123" s="33" t="n">
        <f aca="false">V119+V122+V102+V103+V104+V57</f>
        <v>0</v>
      </c>
      <c r="W123" s="33" t="n">
        <f aca="false">W119+W122+W102+W103+W104+W57</f>
        <v>-1858.22759618649</v>
      </c>
      <c r="X123" s="33" t="n">
        <f aca="false">X119+X122+X102+X103+X104+X57</f>
        <v>-250.674467337995</v>
      </c>
      <c r="Y123" s="33" t="n">
        <f aca="false">Y119+Y122+Y102+Y103+Y104+Y57</f>
        <v>-228.513521980133</v>
      </c>
      <c r="Z123" s="33" t="n">
        <f aca="false">Z119+Z122+Z102+Z103+Z104+Z57</f>
        <v>-205.524081984532</v>
      </c>
      <c r="AA123" s="33" t="n">
        <f aca="false">AA119+AA122+AA102+AA103+AA104+AA57</f>
        <v>-179.743278257285</v>
      </c>
      <c r="AB123" s="33" t="n">
        <f aca="false">AB119+AB122+AB102+AB103+AB104+AB57</f>
        <v>-152.509884528233</v>
      </c>
      <c r="AC123" s="33" t="n">
        <f aca="false">AC119+AC122+AC102+AC103+AC104+AC57</f>
        <v>-129.258221583595</v>
      </c>
      <c r="AD123" s="33" t="n">
        <f aca="false">AD119+AD122+AD102+AD103+AD104+AD57</f>
        <v>-105.17806400122</v>
      </c>
      <c r="AE123" s="33" t="n">
        <f aca="false">AE119+AE122+AE102+AE103+AE104+AE57</f>
        <v>1014.06967046872</v>
      </c>
      <c r="AF123" s="33" t="n">
        <f aca="false">AF119+AF122+AF102+AF103+AF104+AF57</f>
        <v>1040.84312534623</v>
      </c>
      <c r="AG123" s="33" t="n">
        <f aca="false">AG119+AG122+AG102+AG103+AG104+AG57</f>
        <v>1064.00273907026</v>
      </c>
      <c r="AH123" s="33" t="n">
        <f aca="false">AH119+AH122+AH102+AH103+AH104+AH57</f>
        <v>1111.58070216157</v>
      </c>
      <c r="AI123" s="33" t="n">
        <f aca="false">AI119+AI122+AI102+AI103+AI104+AI57</f>
        <v>1120.6288914046</v>
      </c>
      <c r="AJ123" s="33" t="n">
        <f aca="false">AJ119+AJ122+AJ102+AJ103+AJ104+AJ57</f>
        <v>1123.91409257469</v>
      </c>
      <c r="AK123" s="33" t="n">
        <f aca="false">AK119+AK122+AK102+AK103+AK104+AK57</f>
        <v>1172.52476676849</v>
      </c>
      <c r="AL123" s="33" t="n">
        <f aca="false">AL119+AL122+AL102+AL103+AL104+AL57</f>
        <v>1221.43968456289</v>
      </c>
      <c r="AM123" s="33" t="n">
        <f aca="false">AM119+AM122+AM102+AM103+AM104+AM57</f>
        <v>1231.60423002308</v>
      </c>
      <c r="AN123" s="33" t="n">
        <f aca="false">AN119+AN122+AN102+AN103+AN104+AN57</f>
        <v>1235.58471671499</v>
      </c>
      <c r="AO123" s="33" t="n">
        <f aca="false">AO119+AO122+AO102+AO103+AO104+AO57</f>
        <v>1285.5739515569</v>
      </c>
      <c r="AP123" s="33" t="n">
        <f aca="false">AP119+AP122+AP102+AP103+AP104+AP57</f>
        <v>1335.88292979214</v>
      </c>
      <c r="AQ123" s="33" t="n">
        <f aca="false">AQ119+AQ122+AQ102+AQ103+AQ104+AQ57</f>
        <v>1347.22514109428</v>
      </c>
      <c r="AR123" s="33" t="n">
        <f aca="false">AR119+AR122+AR102+AR103+AR104+AR57</f>
        <v>1351.95856211645</v>
      </c>
      <c r="AS123" s="33" t="n">
        <f aca="false">AS119+AS122+AS102+AS103+AS104+AS57</f>
        <v>1403.38563466193</v>
      </c>
      <c r="AT123" s="33" t="n">
        <f aca="false">AT119+AT122+AT102+AT103+AT104+AT57</f>
        <v>1455.14874003564</v>
      </c>
      <c r="AU123" s="33" t="n">
        <f aca="false">AU119+AU122+AU102+AU103+AU104+AU57</f>
        <v>1467.7330709494</v>
      </c>
      <c r="AV123" s="33" t="n">
        <f aca="false">AV119+AV122+AV102+AV103+AV104+AV57</f>
        <v>1497.95528342129</v>
      </c>
      <c r="AW123" s="33" t="n">
        <f aca="false">AW119+AW122+AW102+AW103+AW104+AW57</f>
        <v>1526.20745413206</v>
      </c>
      <c r="AX123" s="33" t="n">
        <f aca="false">AX119+AX122+AX102+AX103+AX104+AX57</f>
        <v>1579.48786852559</v>
      </c>
      <c r="AY123" s="33" t="n">
        <f aca="false">AY119+AY122+AY102+AY103+AY104+AY57</f>
        <v>1593.38207708739</v>
      </c>
      <c r="AZ123" s="33" t="n">
        <f aca="false">AZ119+AZ122+AZ102+AZ103+AZ104+AZ57</f>
        <v>1599.80694105695</v>
      </c>
      <c r="BA123" s="33" t="n">
        <f aca="false">BA119+BA122+BA102+BA103+BA104+BA57</f>
        <v>1654.29998012479</v>
      </c>
      <c r="BB123" s="33" t="n">
        <f aca="false">BB119+BB122+BB102+BB103+BB104+BB57</f>
        <v>1709.16416278097</v>
      </c>
      <c r="BC123" s="33" t="n">
        <f aca="false">BC119+BC122+BC102+BC103+BC104+BC57</f>
        <v>1724.43947956835</v>
      </c>
      <c r="BD123" s="33" t="n">
        <f aca="false">BD119+BD122+BD102+BD103+BD104+BD57</f>
        <v>1731.80957634325</v>
      </c>
      <c r="BE123" s="33" t="n">
        <f aca="false">BE119+BE122+BE102+BE103+BE104+BE57</f>
        <v>1787.93738278229</v>
      </c>
      <c r="BF123" s="33" t="n">
        <f aca="false">BF119+BF122+BF102+BF103+BF104+BF57</f>
        <v>1844.4552408448</v>
      </c>
      <c r="BG123" s="33" t="n">
        <f aca="false">BG119+BG122+BG102+BG103+BG104+BG57</f>
        <v>1861.18654581856</v>
      </c>
      <c r="BH123" s="33" t="n">
        <f aca="false">BH119+BH122+BH102+BH103+BH104+BH57</f>
        <v>1869.5729894536</v>
      </c>
      <c r="BI123" s="33" t="n">
        <f aca="false">BI119+BI122+BI102+BI103+BI104+BI57</f>
        <v>1927.40813436161</v>
      </c>
      <c r="BJ123" s="33" t="n">
        <f aca="false">BJ119+BJ122+BJ102+BJ103+BJ104+BJ57</f>
        <v>1985.65320220448</v>
      </c>
      <c r="BK123" s="33" t="n">
        <f aca="false">BK119+BK122+BK102+BK103+BK104+BK57</f>
        <v>2003.91921055497</v>
      </c>
      <c r="BL123" s="33" t="n">
        <f aca="false">BL119+BL122+BL102+BL103+BL104+BL57</f>
        <v>2038.55121962023</v>
      </c>
      <c r="BM123" s="33" t="n">
        <f aca="false">BM119+BM122+BM102+BM103+BM104+BM57</f>
        <v>2073.01574737022</v>
      </c>
      <c r="BN123" s="33" t="n">
        <f aca="false">BN119+BN122+BN102+BN103+BN104+BN57</f>
        <v>2133.06537516773</v>
      </c>
      <c r="BO123" s="33" t="n">
        <f aca="false">BO119+BO122+BO102+BO103+BO104+BO57</f>
        <v>2152.94883262385</v>
      </c>
      <c r="BP123" s="33" t="n">
        <f aca="false">BP119+BP122+BP102+BP103+BP104+BP57</f>
        <v>2163.59675272034</v>
      </c>
      <c r="BQ123" s="33" t="n">
        <f aca="false">BQ119+BQ122+BQ102+BQ103+BQ104+BQ57</f>
        <v>2225.07955054684</v>
      </c>
      <c r="BR123" s="33" t="n">
        <f aca="false">BR119+BR122+BR102+BR103+BR104+BR57</f>
        <v>2287.01510255745</v>
      </c>
      <c r="BS123" s="33" t="n">
        <f aca="false">BS119+BS122+BS102+BS103+BS104+BS57</f>
        <v>2308.60299064019</v>
      </c>
      <c r="BT123" s="33" t="n">
        <f aca="false">BT119+BT122+BT102+BT103+BT104+BT57</f>
        <v>2282.9086151537</v>
      </c>
      <c r="BU123" s="33" t="n">
        <f aca="false">BU119+BU122+BU102+BU103+BU104+BU57</f>
        <v>2308.27426643319</v>
      </c>
      <c r="BV123" s="33" t="n">
        <f aca="false">BV119+BV122+BV102+BV103+BV104+BV57</f>
        <v>2333.63991771267</v>
      </c>
      <c r="BW123" s="33" t="n">
        <f aca="false">BW119+BW122+BW102+BW103+BW104+BW57</f>
        <v>2318.00049001042</v>
      </c>
      <c r="BX123" s="33" t="n">
        <f aca="false">BX119+BX122+BX102+BX103+BX104+BX57</f>
        <v>2291.73171925961</v>
      </c>
      <c r="BY123" s="33" t="n">
        <f aca="false">BY119+BY122+BY102+BY103+BY104+BY57</f>
        <v>2317.19540502916</v>
      </c>
      <c r="BZ123" s="33" t="n">
        <f aca="false">BZ119+BZ122+BZ102+BZ103+BZ104+BZ57</f>
        <v>2342.65909079871</v>
      </c>
      <c r="CA123" s="33" t="n">
        <f aca="false">CA119+CA122+CA102+CA103+CA104+CA57</f>
        <v>2326.92358892031</v>
      </c>
      <c r="CB123" s="33" t="n">
        <f aca="false">CB119+CB122+CB102+CB103+CB104+CB57</f>
        <v>2325.63147144566</v>
      </c>
      <c r="CC123" s="33" t="n">
        <f aca="false">CC119+CC122+CC102+CC103+CC104+CC57</f>
        <v>2325.63147144566</v>
      </c>
      <c r="CD123" s="33" t="n">
        <f aca="false">CD119+CD122+CD102+CD103+CD104+CD57</f>
        <v>2351.18786124177</v>
      </c>
      <c r="CE123" s="33" t="n">
        <f aca="false">CE119+CE122+CE102+CE103+CE104+CE57</f>
        <v>2335.35603097872</v>
      </c>
      <c r="CF123" s="33" t="n">
        <f aca="false">CF119+CF122+CF102+CF103+CF104+CF57</f>
        <v>2307.92237312591</v>
      </c>
      <c r="CG123" s="33" t="n">
        <f aca="false">CG119+CG122+CG102+CG103+CG104+CG57</f>
        <v>2333.56595504953</v>
      </c>
      <c r="CH123" s="33" t="n">
        <f aca="false">CH119+CH122+CH102+CH103+CH104+CH57</f>
        <v>2359.20953697315</v>
      </c>
      <c r="CI123" s="33" t="n">
        <f aca="false">CI119+CI122+CI102+CI103+CI104+CI57</f>
        <v>2343.28113105777</v>
      </c>
      <c r="CJ123" s="33" t="n">
        <f aca="false">CJ119+CJ122+CJ102+CJ103+CJ104+CJ57</f>
        <v>2315.25683439085</v>
      </c>
      <c r="CK123" s="33" t="n">
        <f aca="false">CK119+CK122+CK102+CK103+CK104+CK57</f>
        <v>2340.98191032852</v>
      </c>
      <c r="CL123" s="33" t="n">
        <f aca="false">CL119+CL122+CL102+CL103+CL104+CL57</f>
        <v>2366.7069862662</v>
      </c>
      <c r="CM123" s="33" t="n">
        <f aca="false">CM119+CM122+CM102+CM103+CM104+CM57</f>
        <v>2350.68176461216</v>
      </c>
      <c r="CN123" s="33" t="n">
        <f aca="false">CN119+CN122+CN102+CN103+CN104+CN57</f>
        <v>2322.06126533532</v>
      </c>
      <c r="CO123" s="33" t="n">
        <f aca="false">CO119+CO122+CO102+CO103+CO104+CO57</f>
        <v>2347.86194606127</v>
      </c>
      <c r="CP123" s="33" t="n">
        <f aca="false">CP119+CP122+CP102+CP103+CP104+CP57</f>
        <v>2373.66262678722</v>
      </c>
      <c r="CQ123" s="33" t="n">
        <f aca="false">CQ119+CQ122+CQ102+CQ103+CQ104+CQ57</f>
        <v>2357.54035673608</v>
      </c>
      <c r="CR123" s="33" t="n">
        <f aca="false">CR119+CR122+CR102+CR103+CR104+CR57</f>
        <v>2354.18821422101</v>
      </c>
      <c r="CS123" s="33" t="n">
        <f aca="false">CS119+CS122+CS102+CS103+CS104+CS57</f>
        <v>2354.18821422101</v>
      </c>
      <c r="CT123" s="33" t="n">
        <f aca="false">CT119+CT122+CT102+CT103+CT104+CT57</f>
        <v>2380.05841437728</v>
      </c>
      <c r="CU123" s="33" t="n">
        <f aca="false">CU119+CU122+CU102+CU103+CU104+CU57</f>
        <v>2363.83887095094</v>
      </c>
      <c r="CV123" s="33" t="n">
        <f aca="false">CV119+CV122+CV102+CV103+CV104+CV57</f>
        <v>2334.00896565488</v>
      </c>
      <c r="CW123" s="33" t="n">
        <f aca="false">CW119+CW122+CW102+CW103+CW104+CW57</f>
        <v>2359.9423986066</v>
      </c>
      <c r="CX123" s="33" t="n">
        <f aca="false">CX119+CX122+CX102+CX103+CX104+CX57</f>
        <v>2385.87583155832</v>
      </c>
      <c r="CY123" s="33" t="n">
        <f aca="false">CY119+CY122+CY102+CY103+CY104+CY57</f>
        <v>2369.55879771769</v>
      </c>
      <c r="CZ123" s="33" t="n">
        <f aca="false">CZ119+CZ122+CZ102+CZ103+CZ104+CZ57</f>
        <v>2339.1155306316</v>
      </c>
      <c r="DA123" s="33" t="n">
        <f aca="false">DA119+DA122+DA102+DA103+DA104+DA57</f>
        <v>2365.10570319417</v>
      </c>
      <c r="DB123" s="33" t="n">
        <f aca="false">DB119+DB122+DB102+DB103+DB104+DB57</f>
        <v>2391.09587575674</v>
      </c>
      <c r="DC123" s="33" t="n">
        <f aca="false">DC119+DC122+DC102+DC103+DC104+DC57</f>
        <v>2374.68114266671</v>
      </c>
      <c r="DD123" s="33" t="n">
        <f aca="false">DD119+DD122+DD102+DD103+DD104+DD57</f>
        <v>2343.61863316723</v>
      </c>
      <c r="DE123" s="33" t="n">
        <f aca="false">DE119+DE122+DE102+DE103+DE104+DE57</f>
        <v>2369.65884020243</v>
      </c>
      <c r="DF123" s="33" t="n">
        <f aca="false">DF119+DF122+DF102+DF103+DF104+DF57</f>
        <v>2395.69904723762</v>
      </c>
      <c r="DG123" s="33" t="n">
        <f aca="false">DG119+DG122+DG102+DG103+DG104+DG57</f>
        <v>4338.46697238004</v>
      </c>
      <c r="DH123" s="33" t="n">
        <f aca="false">DH119+DH122+DH102+DH103+DH104+DH57</f>
        <v>4311.56604790374</v>
      </c>
      <c r="DI123" s="33" t="n">
        <f aca="false">DI119+DI122+DI102+DI103+DI104+DI57</f>
        <v>4311.56604790374</v>
      </c>
      <c r="DJ123" s="33" t="n">
        <f aca="false">DJ119+DJ122+DJ102+DJ103+DJ104+DJ57</f>
        <v>4358.945894584</v>
      </c>
      <c r="DK123" s="33" t="n">
        <f aca="false">DK119+DK122+DK102+DK103+DK104+DK57</f>
        <v>4342.33517066918</v>
      </c>
      <c r="DL123" s="33" t="n">
        <f aca="false">DL119+DL122+DL102+DL103+DL104+DL57</f>
        <v>4267.42314521508</v>
      </c>
      <c r="DM123" s="33" t="n">
        <f aca="false">DM119+DM122+DM102+DM103+DM104+DM57</f>
        <v>4314.83895793969</v>
      </c>
      <c r="DN123" s="33" t="n">
        <f aca="false">DN119+DN122+DN102+DN103+DN104+DN57</f>
        <v>4362.2547706643</v>
      </c>
      <c r="DO123" s="33" t="n">
        <f aca="false">DO119+DO122+DO102+DO103+DO104+DO57</f>
        <v>4345.54577296546</v>
      </c>
      <c r="DP123" s="33" t="n">
        <f aca="false">DP119+DP122+DP102+DP103+DP104+DP57</f>
        <v>4269.99635873289</v>
      </c>
      <c r="DQ123" s="33" t="n">
        <f aca="false">DQ119+DQ122+DQ102+DQ103+DQ104+DQ57</f>
        <v>4317.44076271881</v>
      </c>
      <c r="DR123" s="33" t="n">
        <f aca="false">DR119+DR122+DR102+DR103+DR104+DR57</f>
        <v>4364.88516670473</v>
      </c>
      <c r="DS123" s="33" t="n">
        <f aca="false">DS119+DS122+DS102+DS103+DS104+DS57</f>
        <v>4348.0777219831</v>
      </c>
      <c r="DT123" s="33" t="n">
        <f aca="false">DT119+DT122+DT102+DT103+DT104+DT57</f>
        <v>4271.8846965912</v>
      </c>
      <c r="DU123" s="33" t="n">
        <f aca="false">DU119+DU122+DU102+DU103+DU104+DU57</f>
        <v>4319.35008210888</v>
      </c>
      <c r="DV123" s="33" t="n">
        <f aca="false">DV119+DV122+DV102+DV103+DV104+DV57</f>
        <v>4366.81546762656</v>
      </c>
      <c r="DW123" s="33" t="n">
        <f aca="false">DW119+DW122+DW102+DW103+DW104+DW57</f>
        <v>4349.90941227163</v>
      </c>
      <c r="DX123" s="33" t="n">
        <f aca="false">DX119+DX122+DX102+DX103+DX104+DX57</f>
        <v>4320.54498000109</v>
      </c>
      <c r="DY123" s="33" t="n">
        <f aca="false">DY119+DY122+DY102+DY103+DY104+DY57</f>
        <v>4320.54498000109</v>
      </c>
      <c r="DZ123" s="33" t="n">
        <f aca="false">DZ119+DZ122+DZ102+DZ103+DZ104+DZ57</f>
        <v>4368.02349626484</v>
      </c>
      <c r="EA123" s="33" t="n">
        <f aca="false">EA119+EA122+EA102+EA103+EA104+EA57</f>
        <v>4351.01867660019</v>
      </c>
      <c r="EB123" s="33" t="n">
        <f aca="false">EB119+EB122+EB102+EB103+EB104+EB57</f>
        <v>4273.5194015975</v>
      </c>
      <c r="EC123" s="33" t="n">
        <f aca="false">EC119+EC122+EC102+EC103+EC104+EC57</f>
        <v>4321.00295050414</v>
      </c>
      <c r="ED123" s="33" t="n">
        <f aca="false">ED119+ED122+ED102+ED103+ED104+ED57</f>
        <v>4368.48649941078</v>
      </c>
      <c r="EE123" s="33" t="n">
        <f aca="false">EE119+EE122+EE102+EE103+EE104+EE57</f>
        <v>4351.38277200729</v>
      </c>
      <c r="EF123" s="33" t="n">
        <f aca="false">EF119+EF122+EF102+EF103+EF104+EF57</f>
        <v>4273.22067408704</v>
      </c>
      <c r="EG123" s="33" t="n">
        <f aca="false">EG119+EG122+EG102+EG103+EG104+EG57</f>
        <v>4320.70090379912</v>
      </c>
      <c r="EH123" s="33" t="n">
        <f aca="false">EH119+EH122+EH102+EH103+EH104+EH57</f>
        <v>4368.1811335112</v>
      </c>
      <c r="EI123" s="33" t="n">
        <f aca="false">EI119+EI122+EI102+EI103+EI104+EI57</f>
        <v>4350.97836550777</v>
      </c>
      <c r="EJ123" s="33" t="n">
        <f aca="false">EJ119+EJ122+EJ102+EJ103+EJ104+EJ57</f>
        <v>4272.14685327713</v>
      </c>
      <c r="EK123" s="33" t="n">
        <f aca="false">EK119+EK122+EK102+EK103+EK104+EK57</f>
        <v>4319.61515164688</v>
      </c>
      <c r="EL123" s="33" t="n">
        <f aca="false">EL119+EL122+EL102+EL103+EL104+EL57</f>
        <v>4367.08345001662</v>
      </c>
      <c r="EM123" s="33" t="n">
        <f aca="false">EM119+EM122+EM102+EM103+EM104+EM57</f>
        <v>4349.78151944861</v>
      </c>
      <c r="EN123" s="33" t="n">
        <f aca="false">EN119+EN122+EN102+EN103+EN104+EN57</f>
        <v>4317.72139253939</v>
      </c>
      <c r="EO123" s="33" t="n">
        <f aca="false">EO119+EO122+EO102+EO103+EO104+EO57</f>
        <v>4317.72139253939</v>
      </c>
      <c r="EP123" s="33" t="n">
        <f aca="false">EP119+EP122+EP102+EP103+EP104+EP57</f>
        <v>4365.16888036949</v>
      </c>
      <c r="EQ123" s="33" t="n">
        <f aca="false">EQ119+EQ122+EQ102+EQ103+EQ104+EQ57</f>
        <v>4347.76767650498</v>
      </c>
      <c r="ER123" s="33" t="n">
        <f aca="false">ER119+ER122+ER102+ER103+ER104+ER57</f>
        <v>4267.57717234905</v>
      </c>
      <c r="ES123" s="33" t="n">
        <f aca="false">ES119+ES122+ES102+ES103+ES104+ES57</f>
        <v>4314.99469648626</v>
      </c>
      <c r="ET123" s="33" t="n">
        <f aca="false">ET119+ET122+ET102+ET103+ET104+ET57</f>
        <v>4362.41222062347</v>
      </c>
    </row>
    <row r="124" customFormat="false" ht="15" hidden="false" customHeight="false" outlineLevel="0" collapsed="false">
      <c r="C124" s="0" t="s">
        <v>566</v>
      </c>
      <c r="D124" s="11" t="s">
        <v>247</v>
      </c>
      <c r="J124" s="22" t="n">
        <f aca="false">I127</f>
        <v>0</v>
      </c>
      <c r="K124" s="22" t="n">
        <f aca="false">J127</f>
        <v>0</v>
      </c>
      <c r="L124" s="22" t="n">
        <f aca="false">K127</f>
        <v>178.520547945205</v>
      </c>
      <c r="M124" s="22" t="n">
        <f aca="false">L127</f>
        <v>766.965068493151</v>
      </c>
      <c r="N124" s="22" t="n">
        <f aca="false">M127</f>
        <v>810.800684931507</v>
      </c>
      <c r="O124" s="22" t="n">
        <f aca="false">N127</f>
        <v>854.636301369863</v>
      </c>
      <c r="P124" s="22" t="n">
        <f aca="false">O127</f>
        <v>1038.99794520548</v>
      </c>
      <c r="Q124" s="22" t="n">
        <f aca="false">P127</f>
        <v>2329.03974000559</v>
      </c>
      <c r="R124" s="22" t="n">
        <f aca="false">Q127</f>
        <v>2333.64932904669</v>
      </c>
      <c r="S124" s="22" t="n">
        <f aca="false">R127</f>
        <v>2497.74083902712</v>
      </c>
      <c r="T124" s="22" t="n">
        <f aca="false">S127</f>
        <v>2814.96697772435</v>
      </c>
      <c r="U124" s="22" t="n">
        <f aca="false">T127</f>
        <v>3119.62451197093</v>
      </c>
      <c r="V124" s="22" t="n">
        <f aca="false">U127</f>
        <v>3119.62451197093</v>
      </c>
      <c r="W124" s="22" t="n">
        <f aca="false">V127</f>
        <v>3119.62451197093</v>
      </c>
      <c r="X124" s="22" t="n">
        <f aca="false">W127</f>
        <v>4977.85210815742</v>
      </c>
      <c r="Y124" s="22" t="n">
        <f aca="false">X127</f>
        <v>5228.52657549541</v>
      </c>
      <c r="Z124" s="22" t="n">
        <f aca="false">Y127</f>
        <v>5457.04009747554</v>
      </c>
      <c r="AA124" s="22" t="n">
        <f aca="false">Z127</f>
        <v>5662.56417946008</v>
      </c>
      <c r="AB124" s="22" t="n">
        <f aca="false">AA127</f>
        <v>5842.30745771736</v>
      </c>
      <c r="AC124" s="22" t="n">
        <f aca="false">AB127</f>
        <v>5994.81734224559</v>
      </c>
      <c r="AD124" s="22" t="n">
        <f aca="false">AC127</f>
        <v>6124.07556382919</v>
      </c>
      <c r="AE124" s="22" t="n">
        <f aca="false">AD127</f>
        <v>6229.25362783041</v>
      </c>
      <c r="AF124" s="22" t="n">
        <f aca="false">AE127</f>
        <v>5215.18395736169</v>
      </c>
      <c r="AG124" s="22" t="n">
        <f aca="false">AF127</f>
        <v>4174.34083201546</v>
      </c>
      <c r="AH124" s="22" t="n">
        <f aca="false">AG127</f>
        <v>3110.3380929452</v>
      </c>
      <c r="AI124" s="22" t="n">
        <f aca="false">AH127</f>
        <v>1998.75739078363</v>
      </c>
      <c r="AJ124" s="22" t="n">
        <f aca="false">AI127</f>
        <v>878.128499379028</v>
      </c>
      <c r="AK124" s="22" t="n">
        <f aca="false">AJ127</f>
        <v>0</v>
      </c>
      <c r="AL124" s="22" t="n">
        <f aca="false">AK127</f>
        <v>0</v>
      </c>
      <c r="AM124" s="22" t="n">
        <f aca="false">AL127</f>
        <v>0</v>
      </c>
      <c r="AN124" s="22" t="n">
        <f aca="false">AM127</f>
        <v>0</v>
      </c>
      <c r="AO124" s="22" t="n">
        <f aca="false">AN127</f>
        <v>0</v>
      </c>
      <c r="AP124" s="22" t="n">
        <f aca="false">AO127</f>
        <v>0</v>
      </c>
      <c r="AQ124" s="22" t="n">
        <f aca="false">AP127</f>
        <v>0</v>
      </c>
      <c r="AR124" s="22" t="n">
        <f aca="false">AQ127</f>
        <v>0</v>
      </c>
      <c r="AS124" s="22" t="n">
        <f aca="false">AR127</f>
        <v>0</v>
      </c>
      <c r="AT124" s="22" t="n">
        <f aca="false">AS127</f>
        <v>0</v>
      </c>
      <c r="AU124" s="22" t="n">
        <f aca="false">AT127</f>
        <v>0</v>
      </c>
      <c r="AV124" s="22" t="n">
        <f aca="false">AU127</f>
        <v>0</v>
      </c>
      <c r="AW124" s="22" t="n">
        <f aca="false">AV127</f>
        <v>0</v>
      </c>
      <c r="AX124" s="22" t="n">
        <f aca="false">AW127</f>
        <v>0</v>
      </c>
      <c r="AY124" s="22" t="n">
        <f aca="false">AX127</f>
        <v>0</v>
      </c>
      <c r="AZ124" s="22" t="n">
        <f aca="false">AY127</f>
        <v>0</v>
      </c>
      <c r="BA124" s="22" t="n">
        <f aca="false">AZ127</f>
        <v>0</v>
      </c>
      <c r="BB124" s="22" t="n">
        <f aca="false">BA127</f>
        <v>0</v>
      </c>
      <c r="BC124" s="22" t="n">
        <f aca="false">BB127</f>
        <v>0</v>
      </c>
      <c r="BD124" s="22" t="n">
        <f aca="false">BC127</f>
        <v>0</v>
      </c>
      <c r="BE124" s="22" t="n">
        <f aca="false">BD127</f>
        <v>0</v>
      </c>
      <c r="BF124" s="22" t="n">
        <f aca="false">BE127</f>
        <v>0</v>
      </c>
      <c r="BG124" s="22" t="n">
        <f aca="false">BF127</f>
        <v>0</v>
      </c>
      <c r="BH124" s="22" t="n">
        <f aca="false">BG127</f>
        <v>0</v>
      </c>
      <c r="BI124" s="22" t="n">
        <f aca="false">BH127</f>
        <v>0</v>
      </c>
      <c r="BJ124" s="22" t="n">
        <f aca="false">BI127</f>
        <v>0</v>
      </c>
      <c r="BK124" s="22" t="n">
        <f aca="false">BJ127</f>
        <v>0</v>
      </c>
      <c r="BL124" s="22" t="n">
        <f aca="false">BK127</f>
        <v>0</v>
      </c>
      <c r="BM124" s="22" t="n">
        <f aca="false">BL127</f>
        <v>0</v>
      </c>
      <c r="BN124" s="22" t="n">
        <f aca="false">BM127</f>
        <v>0</v>
      </c>
      <c r="BO124" s="22" t="n">
        <f aca="false">BN127</f>
        <v>0</v>
      </c>
      <c r="BP124" s="22" t="n">
        <f aca="false">BO127</f>
        <v>0</v>
      </c>
      <c r="BQ124" s="22" t="n">
        <f aca="false">BP127</f>
        <v>0</v>
      </c>
      <c r="BR124" s="22" t="n">
        <f aca="false">BQ127</f>
        <v>0</v>
      </c>
      <c r="BS124" s="22" t="n">
        <f aca="false">BR127</f>
        <v>0</v>
      </c>
      <c r="BT124" s="22" t="n">
        <f aca="false">BS127</f>
        <v>0</v>
      </c>
      <c r="BU124" s="22" t="n">
        <f aca="false">BT127</f>
        <v>0</v>
      </c>
      <c r="BV124" s="22" t="n">
        <f aca="false">BU127</f>
        <v>0</v>
      </c>
      <c r="BW124" s="22" t="n">
        <f aca="false">BV127</f>
        <v>0</v>
      </c>
      <c r="BX124" s="22" t="n">
        <f aca="false">BW127</f>
        <v>0</v>
      </c>
      <c r="BY124" s="22" t="n">
        <f aca="false">BX127</f>
        <v>0</v>
      </c>
      <c r="BZ124" s="22" t="n">
        <f aca="false">BY127</f>
        <v>0</v>
      </c>
      <c r="CA124" s="22" t="n">
        <f aca="false">BZ127</f>
        <v>0</v>
      </c>
      <c r="CB124" s="22" t="n">
        <f aca="false">CA127</f>
        <v>0</v>
      </c>
      <c r="CC124" s="22" t="n">
        <f aca="false">CB127</f>
        <v>0</v>
      </c>
      <c r="CD124" s="22" t="n">
        <f aca="false">CC127</f>
        <v>0</v>
      </c>
      <c r="CE124" s="22" t="n">
        <f aca="false">CD127</f>
        <v>0</v>
      </c>
      <c r="CF124" s="22" t="n">
        <f aca="false">CE127</f>
        <v>0</v>
      </c>
      <c r="CG124" s="22" t="n">
        <f aca="false">CF127</f>
        <v>0</v>
      </c>
      <c r="CH124" s="22" t="n">
        <f aca="false">CG127</f>
        <v>0</v>
      </c>
      <c r="CI124" s="22" t="n">
        <f aca="false">CH127</f>
        <v>0</v>
      </c>
      <c r="CJ124" s="22" t="n">
        <f aca="false">CI127</f>
        <v>0</v>
      </c>
      <c r="CK124" s="22" t="n">
        <f aca="false">CJ127</f>
        <v>0</v>
      </c>
      <c r="CL124" s="22" t="n">
        <f aca="false">CK127</f>
        <v>0</v>
      </c>
      <c r="CM124" s="22" t="n">
        <f aca="false">CL127</f>
        <v>0</v>
      </c>
      <c r="CN124" s="22" t="n">
        <f aca="false">CM127</f>
        <v>0</v>
      </c>
      <c r="CO124" s="22" t="n">
        <f aca="false">CN127</f>
        <v>0</v>
      </c>
      <c r="CP124" s="22" t="n">
        <f aca="false">CO127</f>
        <v>0</v>
      </c>
      <c r="CQ124" s="22" t="n">
        <f aca="false">CP127</f>
        <v>0</v>
      </c>
      <c r="CR124" s="22" t="n">
        <f aca="false">CQ127</f>
        <v>0</v>
      </c>
      <c r="CS124" s="22" t="n">
        <f aca="false">CR127</f>
        <v>0</v>
      </c>
      <c r="CT124" s="22" t="n">
        <f aca="false">CS127</f>
        <v>0</v>
      </c>
      <c r="CU124" s="22" t="n">
        <f aca="false">CT127</f>
        <v>0</v>
      </c>
      <c r="CV124" s="22" t="n">
        <f aca="false">CU127</f>
        <v>0</v>
      </c>
      <c r="CW124" s="22" t="n">
        <f aca="false">CV127</f>
        <v>0</v>
      </c>
      <c r="CX124" s="22" t="n">
        <f aca="false">CW127</f>
        <v>0</v>
      </c>
      <c r="CY124" s="22" t="n">
        <f aca="false">CX127</f>
        <v>0</v>
      </c>
      <c r="CZ124" s="22" t="n">
        <f aca="false">CY127</f>
        <v>0</v>
      </c>
      <c r="DA124" s="22" t="n">
        <f aca="false">CZ127</f>
        <v>0</v>
      </c>
      <c r="DB124" s="22" t="n">
        <f aca="false">DA127</f>
        <v>0</v>
      </c>
      <c r="DC124" s="22" t="n">
        <f aca="false">DB127</f>
        <v>0</v>
      </c>
      <c r="DD124" s="22" t="n">
        <f aca="false">DC127</f>
        <v>0</v>
      </c>
      <c r="DE124" s="22" t="n">
        <f aca="false">DD127</f>
        <v>0</v>
      </c>
      <c r="DF124" s="22" t="n">
        <f aca="false">DE127</f>
        <v>0</v>
      </c>
      <c r="DG124" s="22" t="n">
        <f aca="false">DF127</f>
        <v>0</v>
      </c>
      <c r="DH124" s="22" t="n">
        <f aca="false">DG127</f>
        <v>0</v>
      </c>
      <c r="DI124" s="22" t="n">
        <f aca="false">DH127</f>
        <v>0</v>
      </c>
      <c r="DJ124" s="22" t="n">
        <f aca="false">DI127</f>
        <v>0</v>
      </c>
      <c r="DK124" s="22" t="n">
        <f aca="false">DJ127</f>
        <v>0</v>
      </c>
      <c r="DL124" s="22" t="n">
        <f aca="false">DK127</f>
        <v>0</v>
      </c>
      <c r="DM124" s="22" t="n">
        <f aca="false">DL127</f>
        <v>0</v>
      </c>
      <c r="DN124" s="22" t="n">
        <f aca="false">DM127</f>
        <v>0</v>
      </c>
      <c r="DO124" s="22" t="n">
        <f aca="false">DN127</f>
        <v>0</v>
      </c>
      <c r="DP124" s="22" t="n">
        <f aca="false">DO127</f>
        <v>0</v>
      </c>
      <c r="DQ124" s="22" t="n">
        <f aca="false">DP127</f>
        <v>0</v>
      </c>
      <c r="DR124" s="22" t="n">
        <f aca="false">DQ127</f>
        <v>0</v>
      </c>
      <c r="DS124" s="22" t="n">
        <f aca="false">DR127</f>
        <v>0</v>
      </c>
      <c r="DT124" s="22" t="n">
        <f aca="false">DS127</f>
        <v>0</v>
      </c>
      <c r="DU124" s="22" t="n">
        <f aca="false">DT127</f>
        <v>0</v>
      </c>
      <c r="DV124" s="22" t="n">
        <f aca="false">DU127</f>
        <v>0</v>
      </c>
      <c r="DW124" s="22" t="n">
        <f aca="false">DV127</f>
        <v>0</v>
      </c>
      <c r="DX124" s="22" t="n">
        <f aca="false">DW127</f>
        <v>0</v>
      </c>
      <c r="DY124" s="22" t="n">
        <f aca="false">DX127</f>
        <v>0</v>
      </c>
      <c r="DZ124" s="22" t="n">
        <f aca="false">DY127</f>
        <v>0</v>
      </c>
      <c r="EA124" s="22" t="n">
        <f aca="false">DZ127</f>
        <v>0</v>
      </c>
      <c r="EB124" s="22" t="n">
        <f aca="false">EA127</f>
        <v>0</v>
      </c>
      <c r="EC124" s="22" t="n">
        <f aca="false">EB127</f>
        <v>0</v>
      </c>
      <c r="ED124" s="22" t="n">
        <f aca="false">EC127</f>
        <v>0</v>
      </c>
      <c r="EE124" s="22" t="n">
        <f aca="false">ED127</f>
        <v>0</v>
      </c>
      <c r="EF124" s="22" t="n">
        <f aca="false">EE127</f>
        <v>0</v>
      </c>
      <c r="EG124" s="22" t="n">
        <f aca="false">EF127</f>
        <v>0</v>
      </c>
      <c r="EH124" s="22" t="n">
        <f aca="false">EG127</f>
        <v>0</v>
      </c>
      <c r="EI124" s="22" t="n">
        <f aca="false">EH127</f>
        <v>0</v>
      </c>
      <c r="EJ124" s="22" t="n">
        <f aca="false">EI127</f>
        <v>0</v>
      </c>
      <c r="EK124" s="22" t="n">
        <f aca="false">EJ127</f>
        <v>0</v>
      </c>
      <c r="EL124" s="22" t="n">
        <f aca="false">EK127</f>
        <v>0</v>
      </c>
      <c r="EM124" s="22" t="n">
        <f aca="false">EL127</f>
        <v>0</v>
      </c>
      <c r="EN124" s="22" t="n">
        <f aca="false">EM127</f>
        <v>0</v>
      </c>
      <c r="EO124" s="22" t="n">
        <f aca="false">EN127</f>
        <v>0</v>
      </c>
      <c r="EP124" s="22" t="n">
        <f aca="false">EO127</f>
        <v>0</v>
      </c>
      <c r="EQ124" s="22" t="n">
        <f aca="false">EP127</f>
        <v>0</v>
      </c>
      <c r="ER124" s="22" t="n">
        <f aca="false">EQ127</f>
        <v>0</v>
      </c>
      <c r="ES124" s="22" t="n">
        <f aca="false">ER127</f>
        <v>0</v>
      </c>
      <c r="ET124" s="22" t="n">
        <f aca="false">ES127</f>
        <v>0</v>
      </c>
    </row>
    <row r="125" customFormat="false" ht="15" hidden="false" customHeight="false" outlineLevel="0" collapsed="false">
      <c r="C125" s="0" t="s">
        <v>567</v>
      </c>
      <c r="D125" s="11" t="s">
        <v>247</v>
      </c>
      <c r="I125" s="33" t="n">
        <f aca="false">SUM(J125:ET125)</f>
        <v>6229.25362783041</v>
      </c>
      <c r="J125" s="33" t="n">
        <f aca="false">MAX(0,-J123)</f>
        <v>-0</v>
      </c>
      <c r="K125" s="33" t="n">
        <f aca="false">MAX(0,-K123)</f>
        <v>178.520547945205</v>
      </c>
      <c r="L125" s="33" t="n">
        <f aca="false">MAX(0,-L123)</f>
        <v>588.444520547945</v>
      </c>
      <c r="M125" s="33" t="n">
        <f aca="false">MAX(0,-M123)</f>
        <v>43.8356164383562</v>
      </c>
      <c r="N125" s="33" t="n">
        <f aca="false">MAX(0,-N123)</f>
        <v>43.8356164383562</v>
      </c>
      <c r="O125" s="33" t="n">
        <f aca="false">MAX(0,-O123)</f>
        <v>184.361643835616</v>
      </c>
      <c r="P125" s="33" t="n">
        <f aca="false">MAX(0,-P123)</f>
        <v>1290.04179480011</v>
      </c>
      <c r="Q125" s="33" t="n">
        <f aca="false">MAX(0,-Q123)</f>
        <v>4.60958904109589</v>
      </c>
      <c r="R125" s="33" t="n">
        <f aca="false">MAX(0,-R123)</f>
        <v>164.091509980431</v>
      </c>
      <c r="S125" s="33" t="n">
        <f aca="false">MAX(0,-S123)</f>
        <v>317.226138697232</v>
      </c>
      <c r="T125" s="33" t="n">
        <f aca="false">MAX(0,-T123)</f>
        <v>304.657534246575</v>
      </c>
      <c r="U125" s="33" t="n">
        <f aca="false">MAX(0,-U123)</f>
        <v>-0</v>
      </c>
      <c r="V125" s="33" t="n">
        <f aca="false">MAX(0,-V123)</f>
        <v>-0</v>
      </c>
      <c r="W125" s="33" t="n">
        <f aca="false">MAX(0,-W123)</f>
        <v>1858.22759618649</v>
      </c>
      <c r="X125" s="33" t="n">
        <f aca="false">MAX(0,-X123)</f>
        <v>250.674467337995</v>
      </c>
      <c r="Y125" s="33" t="n">
        <f aca="false">MAX(0,-Y123)</f>
        <v>228.513521980133</v>
      </c>
      <c r="Z125" s="33" t="n">
        <f aca="false">MAX(0,-Z123)</f>
        <v>205.524081984532</v>
      </c>
      <c r="AA125" s="33" t="n">
        <f aca="false">MAX(0,-AA123)</f>
        <v>179.743278257285</v>
      </c>
      <c r="AB125" s="33" t="n">
        <f aca="false">MAX(0,-AB123)</f>
        <v>152.509884528233</v>
      </c>
      <c r="AC125" s="33" t="n">
        <f aca="false">MAX(0,-AC123)</f>
        <v>129.258221583595</v>
      </c>
      <c r="AD125" s="33" t="n">
        <f aca="false">MAX(0,-AD123)</f>
        <v>105.17806400122</v>
      </c>
      <c r="AE125" s="33" t="n">
        <f aca="false">MAX(0,-AE123)</f>
        <v>0</v>
      </c>
      <c r="AF125" s="33" t="n">
        <f aca="false">MAX(0,-AF123)</f>
        <v>0</v>
      </c>
      <c r="AG125" s="33" t="n">
        <f aca="false">MAX(0,-AG123)</f>
        <v>0</v>
      </c>
      <c r="AH125" s="33" t="n">
        <f aca="false">MAX(0,-AH123)</f>
        <v>0</v>
      </c>
      <c r="AI125" s="33" t="n">
        <f aca="false">MAX(0,-AI123)</f>
        <v>0</v>
      </c>
      <c r="AJ125" s="33" t="n">
        <f aca="false">MAX(0,-AJ123)</f>
        <v>0</v>
      </c>
      <c r="AK125" s="33" t="n">
        <f aca="false">MAX(0,-AK123)</f>
        <v>0</v>
      </c>
      <c r="AL125" s="33" t="n">
        <f aca="false">MAX(0,-AL123)</f>
        <v>0</v>
      </c>
      <c r="AM125" s="33" t="n">
        <f aca="false">MAX(0,-AM123)</f>
        <v>0</v>
      </c>
      <c r="AN125" s="33" t="n">
        <f aca="false">MAX(0,-AN123)</f>
        <v>0</v>
      </c>
      <c r="AO125" s="33" t="n">
        <f aca="false">MAX(0,-AO123)</f>
        <v>0</v>
      </c>
      <c r="AP125" s="33" t="n">
        <f aca="false">MAX(0,-AP123)</f>
        <v>0</v>
      </c>
      <c r="AQ125" s="33" t="n">
        <f aca="false">MAX(0,-AQ123)</f>
        <v>0</v>
      </c>
      <c r="AR125" s="33" t="n">
        <f aca="false">MAX(0,-AR123)</f>
        <v>0</v>
      </c>
      <c r="AS125" s="33" t="n">
        <f aca="false">MAX(0,-AS123)</f>
        <v>0</v>
      </c>
      <c r="AT125" s="33" t="n">
        <f aca="false">MAX(0,-AT123)</f>
        <v>0</v>
      </c>
      <c r="AU125" s="33" t="n">
        <f aca="false">MAX(0,-AU123)</f>
        <v>0</v>
      </c>
      <c r="AV125" s="33" t="n">
        <f aca="false">MAX(0,-AV123)</f>
        <v>0</v>
      </c>
      <c r="AW125" s="33" t="n">
        <f aca="false">MAX(0,-AW123)</f>
        <v>0</v>
      </c>
      <c r="AX125" s="33" t="n">
        <f aca="false">MAX(0,-AX123)</f>
        <v>0</v>
      </c>
      <c r="AY125" s="33" t="n">
        <f aca="false">MAX(0,-AY123)</f>
        <v>0</v>
      </c>
      <c r="AZ125" s="33" t="n">
        <f aca="false">MAX(0,-AZ123)</f>
        <v>0</v>
      </c>
      <c r="BA125" s="33" t="n">
        <f aca="false">MAX(0,-BA123)</f>
        <v>0</v>
      </c>
      <c r="BB125" s="33" t="n">
        <f aca="false">MAX(0,-BB123)</f>
        <v>0</v>
      </c>
      <c r="BC125" s="33" t="n">
        <f aca="false">MAX(0,-BC123)</f>
        <v>0</v>
      </c>
      <c r="BD125" s="33" t="n">
        <f aca="false">MAX(0,-BD123)</f>
        <v>0</v>
      </c>
      <c r="BE125" s="33" t="n">
        <f aca="false">MAX(0,-BE123)</f>
        <v>0</v>
      </c>
      <c r="BF125" s="33" t="n">
        <f aca="false">MAX(0,-BF123)</f>
        <v>0</v>
      </c>
      <c r="BG125" s="33" t="n">
        <f aca="false">MAX(0,-BG123)</f>
        <v>0</v>
      </c>
      <c r="BH125" s="33" t="n">
        <f aca="false">MAX(0,-BH123)</f>
        <v>0</v>
      </c>
      <c r="BI125" s="33" t="n">
        <f aca="false">MAX(0,-BI123)</f>
        <v>0</v>
      </c>
      <c r="BJ125" s="33" t="n">
        <f aca="false">MAX(0,-BJ123)</f>
        <v>0</v>
      </c>
      <c r="BK125" s="33" t="n">
        <f aca="false">MAX(0,-BK123)</f>
        <v>0</v>
      </c>
      <c r="BL125" s="33" t="n">
        <f aca="false">MAX(0,-BL123)</f>
        <v>0</v>
      </c>
      <c r="BM125" s="33" t="n">
        <f aca="false">MAX(0,-BM123)</f>
        <v>0</v>
      </c>
      <c r="BN125" s="33" t="n">
        <f aca="false">MAX(0,-BN123)</f>
        <v>0</v>
      </c>
      <c r="BO125" s="33" t="n">
        <f aca="false">MAX(0,-BO123)</f>
        <v>0</v>
      </c>
      <c r="BP125" s="33" t="n">
        <f aca="false">MAX(0,-BP123)</f>
        <v>0</v>
      </c>
      <c r="BQ125" s="33" t="n">
        <f aca="false">MAX(0,-BQ123)</f>
        <v>0</v>
      </c>
      <c r="BR125" s="33" t="n">
        <f aca="false">MAX(0,-BR123)</f>
        <v>0</v>
      </c>
      <c r="BS125" s="33" t="n">
        <f aca="false">MAX(0,-BS123)</f>
        <v>0</v>
      </c>
      <c r="BT125" s="33" t="n">
        <f aca="false">MAX(0,-BT123)</f>
        <v>0</v>
      </c>
      <c r="BU125" s="33" t="n">
        <f aca="false">MAX(0,-BU123)</f>
        <v>0</v>
      </c>
      <c r="BV125" s="33" t="n">
        <f aca="false">MAX(0,-BV123)</f>
        <v>0</v>
      </c>
      <c r="BW125" s="33" t="n">
        <f aca="false">MAX(0,-BW123)</f>
        <v>0</v>
      </c>
      <c r="BX125" s="33" t="n">
        <f aca="false">MAX(0,-BX123)</f>
        <v>0</v>
      </c>
      <c r="BY125" s="33" t="n">
        <f aca="false">MAX(0,-BY123)</f>
        <v>0</v>
      </c>
      <c r="BZ125" s="33" t="n">
        <f aca="false">MAX(0,-BZ123)</f>
        <v>0</v>
      </c>
      <c r="CA125" s="33" t="n">
        <f aca="false">MAX(0,-CA123)</f>
        <v>0</v>
      </c>
      <c r="CB125" s="33" t="n">
        <f aca="false">MAX(0,-CB123)</f>
        <v>0</v>
      </c>
      <c r="CC125" s="33" t="n">
        <f aca="false">MAX(0,-CC123)</f>
        <v>0</v>
      </c>
      <c r="CD125" s="33" t="n">
        <f aca="false">MAX(0,-CD123)</f>
        <v>0</v>
      </c>
      <c r="CE125" s="33" t="n">
        <f aca="false">MAX(0,-CE123)</f>
        <v>0</v>
      </c>
      <c r="CF125" s="33" t="n">
        <f aca="false">MAX(0,-CF123)</f>
        <v>0</v>
      </c>
      <c r="CG125" s="33" t="n">
        <f aca="false">MAX(0,-CG123)</f>
        <v>0</v>
      </c>
      <c r="CH125" s="33" t="n">
        <f aca="false">MAX(0,-CH123)</f>
        <v>0</v>
      </c>
      <c r="CI125" s="33" t="n">
        <f aca="false">MAX(0,-CI123)</f>
        <v>0</v>
      </c>
      <c r="CJ125" s="33" t="n">
        <f aca="false">MAX(0,-CJ123)</f>
        <v>0</v>
      </c>
      <c r="CK125" s="33" t="n">
        <f aca="false">MAX(0,-CK123)</f>
        <v>0</v>
      </c>
      <c r="CL125" s="33" t="n">
        <f aca="false">MAX(0,-CL123)</f>
        <v>0</v>
      </c>
      <c r="CM125" s="33" t="n">
        <f aca="false">MAX(0,-CM123)</f>
        <v>0</v>
      </c>
      <c r="CN125" s="33" t="n">
        <f aca="false">MAX(0,-CN123)</f>
        <v>0</v>
      </c>
      <c r="CO125" s="33" t="n">
        <f aca="false">MAX(0,-CO123)</f>
        <v>0</v>
      </c>
      <c r="CP125" s="33" t="n">
        <f aca="false">MAX(0,-CP123)</f>
        <v>0</v>
      </c>
      <c r="CQ125" s="33" t="n">
        <f aca="false">MAX(0,-CQ123)</f>
        <v>0</v>
      </c>
      <c r="CR125" s="33" t="n">
        <f aca="false">MAX(0,-CR123)</f>
        <v>0</v>
      </c>
      <c r="CS125" s="33" t="n">
        <f aca="false">MAX(0,-CS123)</f>
        <v>0</v>
      </c>
      <c r="CT125" s="33" t="n">
        <f aca="false">MAX(0,-CT123)</f>
        <v>0</v>
      </c>
      <c r="CU125" s="33" t="n">
        <f aca="false">MAX(0,-CU123)</f>
        <v>0</v>
      </c>
      <c r="CV125" s="33" t="n">
        <f aca="false">MAX(0,-CV123)</f>
        <v>0</v>
      </c>
      <c r="CW125" s="33" t="n">
        <f aca="false">MAX(0,-CW123)</f>
        <v>0</v>
      </c>
      <c r="CX125" s="33" t="n">
        <f aca="false">MAX(0,-CX123)</f>
        <v>0</v>
      </c>
      <c r="CY125" s="33" t="n">
        <f aca="false">MAX(0,-CY123)</f>
        <v>0</v>
      </c>
      <c r="CZ125" s="33" t="n">
        <f aca="false">MAX(0,-CZ123)</f>
        <v>0</v>
      </c>
      <c r="DA125" s="33" t="n">
        <f aca="false">MAX(0,-DA123)</f>
        <v>0</v>
      </c>
      <c r="DB125" s="33" t="n">
        <f aca="false">MAX(0,-DB123)</f>
        <v>0</v>
      </c>
      <c r="DC125" s="33" t="n">
        <f aca="false">MAX(0,-DC123)</f>
        <v>0</v>
      </c>
      <c r="DD125" s="33" t="n">
        <f aca="false">MAX(0,-DD123)</f>
        <v>0</v>
      </c>
      <c r="DE125" s="33" t="n">
        <f aca="false">MAX(0,-DE123)</f>
        <v>0</v>
      </c>
      <c r="DF125" s="33" t="n">
        <f aca="false">MAX(0,-DF123)</f>
        <v>0</v>
      </c>
      <c r="DG125" s="33" t="n">
        <f aca="false">MAX(0,-DG123)</f>
        <v>0</v>
      </c>
      <c r="DH125" s="33" t="n">
        <f aca="false">MAX(0,-DH123)</f>
        <v>0</v>
      </c>
      <c r="DI125" s="33" t="n">
        <f aca="false">MAX(0,-DI123)</f>
        <v>0</v>
      </c>
      <c r="DJ125" s="33" t="n">
        <f aca="false">MAX(0,-DJ123)</f>
        <v>0</v>
      </c>
      <c r="DK125" s="33" t="n">
        <f aca="false">MAX(0,-DK123)</f>
        <v>0</v>
      </c>
      <c r="DL125" s="33" t="n">
        <f aca="false">MAX(0,-DL123)</f>
        <v>0</v>
      </c>
      <c r="DM125" s="33" t="n">
        <f aca="false">MAX(0,-DM123)</f>
        <v>0</v>
      </c>
      <c r="DN125" s="33" t="n">
        <f aca="false">MAX(0,-DN123)</f>
        <v>0</v>
      </c>
      <c r="DO125" s="33" t="n">
        <f aca="false">MAX(0,-DO123)</f>
        <v>0</v>
      </c>
      <c r="DP125" s="33" t="n">
        <f aca="false">MAX(0,-DP123)</f>
        <v>0</v>
      </c>
      <c r="DQ125" s="33" t="n">
        <f aca="false">MAX(0,-DQ123)</f>
        <v>0</v>
      </c>
      <c r="DR125" s="33" t="n">
        <f aca="false">MAX(0,-DR123)</f>
        <v>0</v>
      </c>
      <c r="DS125" s="33" t="n">
        <f aca="false">MAX(0,-DS123)</f>
        <v>0</v>
      </c>
      <c r="DT125" s="33" t="n">
        <f aca="false">MAX(0,-DT123)</f>
        <v>0</v>
      </c>
      <c r="DU125" s="33" t="n">
        <f aca="false">MAX(0,-DU123)</f>
        <v>0</v>
      </c>
      <c r="DV125" s="33" t="n">
        <f aca="false">MAX(0,-DV123)</f>
        <v>0</v>
      </c>
      <c r="DW125" s="33" t="n">
        <f aca="false">MAX(0,-DW123)</f>
        <v>0</v>
      </c>
      <c r="DX125" s="33" t="n">
        <f aca="false">MAX(0,-DX123)</f>
        <v>0</v>
      </c>
      <c r="DY125" s="33" t="n">
        <f aca="false">MAX(0,-DY123)</f>
        <v>0</v>
      </c>
      <c r="DZ125" s="33" t="n">
        <f aca="false">MAX(0,-DZ123)</f>
        <v>0</v>
      </c>
      <c r="EA125" s="33" t="n">
        <f aca="false">MAX(0,-EA123)</f>
        <v>0</v>
      </c>
      <c r="EB125" s="33" t="n">
        <f aca="false">MAX(0,-EB123)</f>
        <v>0</v>
      </c>
      <c r="EC125" s="33" t="n">
        <f aca="false">MAX(0,-EC123)</f>
        <v>0</v>
      </c>
      <c r="ED125" s="33" t="n">
        <f aca="false">MAX(0,-ED123)</f>
        <v>0</v>
      </c>
      <c r="EE125" s="33" t="n">
        <f aca="false">MAX(0,-EE123)</f>
        <v>0</v>
      </c>
      <c r="EF125" s="33" t="n">
        <f aca="false">MAX(0,-EF123)</f>
        <v>0</v>
      </c>
      <c r="EG125" s="33" t="n">
        <f aca="false">MAX(0,-EG123)</f>
        <v>0</v>
      </c>
      <c r="EH125" s="33" t="n">
        <f aca="false">MAX(0,-EH123)</f>
        <v>0</v>
      </c>
      <c r="EI125" s="33" t="n">
        <f aca="false">MAX(0,-EI123)</f>
        <v>0</v>
      </c>
      <c r="EJ125" s="33" t="n">
        <f aca="false">MAX(0,-EJ123)</f>
        <v>0</v>
      </c>
      <c r="EK125" s="33" t="n">
        <f aca="false">MAX(0,-EK123)</f>
        <v>0</v>
      </c>
      <c r="EL125" s="33" t="n">
        <f aca="false">MAX(0,-EL123)</f>
        <v>0</v>
      </c>
      <c r="EM125" s="33" t="n">
        <f aca="false">MAX(0,-EM123)</f>
        <v>0</v>
      </c>
      <c r="EN125" s="33" t="n">
        <f aca="false">MAX(0,-EN123)</f>
        <v>0</v>
      </c>
      <c r="EO125" s="33" t="n">
        <f aca="false">MAX(0,-EO123)</f>
        <v>0</v>
      </c>
      <c r="EP125" s="33" t="n">
        <f aca="false">MAX(0,-EP123)</f>
        <v>0</v>
      </c>
      <c r="EQ125" s="33" t="n">
        <f aca="false">MAX(0,-EQ123)</f>
        <v>0</v>
      </c>
      <c r="ER125" s="33" t="n">
        <f aca="false">MAX(0,-ER123)</f>
        <v>0</v>
      </c>
      <c r="ES125" s="33" t="n">
        <f aca="false">MAX(0,-ES123)</f>
        <v>0</v>
      </c>
      <c r="ET125" s="33" t="n">
        <f aca="false">MAX(0,-ET123)</f>
        <v>0</v>
      </c>
    </row>
    <row r="126" customFormat="false" ht="15" hidden="false" customHeight="false" outlineLevel="0" collapsed="false">
      <c r="C126" s="0" t="s">
        <v>568</v>
      </c>
      <c r="D126" s="11" t="s">
        <v>247</v>
      </c>
      <c r="I126" s="33" t="n">
        <f aca="false">SUM(J126:ET126)</f>
        <v>-6229.25362783041</v>
      </c>
      <c r="J126" s="33" t="n">
        <f aca="false">-MIN(J124,MAX(0,J123))</f>
        <v>-0</v>
      </c>
      <c r="K126" s="33" t="n">
        <f aca="false">-MIN(K124,MAX(0,K123))</f>
        <v>-0</v>
      </c>
      <c r="L126" s="33" t="n">
        <f aca="false">-MIN(L124,MAX(0,L123))</f>
        <v>-0</v>
      </c>
      <c r="M126" s="33" t="n">
        <f aca="false">-MIN(M124,MAX(0,M123))</f>
        <v>-0</v>
      </c>
      <c r="N126" s="33" t="n">
        <f aca="false">-MIN(N124,MAX(0,N123))</f>
        <v>-0</v>
      </c>
      <c r="O126" s="33" t="n">
        <f aca="false">-MIN(O124,MAX(0,O123))</f>
        <v>-0</v>
      </c>
      <c r="P126" s="33" t="n">
        <f aca="false">-MIN(P124,MAX(0,P123))</f>
        <v>-0</v>
      </c>
      <c r="Q126" s="33" t="n">
        <f aca="false">-MIN(Q124,MAX(0,Q123))</f>
        <v>-0</v>
      </c>
      <c r="R126" s="33" t="n">
        <f aca="false">-MIN(R124,MAX(0,R123))</f>
        <v>-0</v>
      </c>
      <c r="S126" s="33" t="n">
        <f aca="false">-MIN(S124,MAX(0,S123))</f>
        <v>-0</v>
      </c>
      <c r="T126" s="33" t="n">
        <f aca="false">-MIN(T124,MAX(0,T123))</f>
        <v>-0</v>
      </c>
      <c r="U126" s="33" t="n">
        <f aca="false">-MIN(U124,MAX(0,U123))</f>
        <v>-0</v>
      </c>
      <c r="V126" s="33" t="n">
        <f aca="false">-MIN(V124,MAX(0,V123))</f>
        <v>-0</v>
      </c>
      <c r="W126" s="33" t="n">
        <f aca="false">-MIN(W124,MAX(0,W123))</f>
        <v>-0</v>
      </c>
      <c r="X126" s="33" t="n">
        <f aca="false">-MIN(X124,MAX(0,X123))</f>
        <v>-0</v>
      </c>
      <c r="Y126" s="33" t="n">
        <f aca="false">-MIN(Y124,MAX(0,Y123))</f>
        <v>-0</v>
      </c>
      <c r="Z126" s="33" t="n">
        <f aca="false">-MIN(Z124,MAX(0,Z123))</f>
        <v>-0</v>
      </c>
      <c r="AA126" s="33" t="n">
        <f aca="false">-MIN(AA124,MAX(0,AA123))</f>
        <v>-0</v>
      </c>
      <c r="AB126" s="33" t="n">
        <f aca="false">-MIN(AB124,MAX(0,AB123))</f>
        <v>-0</v>
      </c>
      <c r="AC126" s="33" t="n">
        <f aca="false">-MIN(AC124,MAX(0,AC123))</f>
        <v>-0</v>
      </c>
      <c r="AD126" s="33" t="n">
        <f aca="false">-MIN(AD124,MAX(0,AD123))</f>
        <v>-0</v>
      </c>
      <c r="AE126" s="33" t="n">
        <f aca="false">-MIN(AE124,MAX(0,AE123))</f>
        <v>-1014.06967046872</v>
      </c>
      <c r="AF126" s="33" t="n">
        <f aca="false">-MIN(AF124,MAX(0,AF123))</f>
        <v>-1040.84312534623</v>
      </c>
      <c r="AG126" s="33" t="n">
        <f aca="false">-MIN(AG124,MAX(0,AG123))</f>
        <v>-1064.00273907026</v>
      </c>
      <c r="AH126" s="33" t="n">
        <f aca="false">-MIN(AH124,MAX(0,AH123))</f>
        <v>-1111.58070216157</v>
      </c>
      <c r="AI126" s="33" t="n">
        <f aca="false">-MIN(AI124,MAX(0,AI123))</f>
        <v>-1120.6288914046</v>
      </c>
      <c r="AJ126" s="33" t="n">
        <f aca="false">-MIN(AJ124,MAX(0,AJ123))</f>
        <v>-878.128499379028</v>
      </c>
      <c r="AK126" s="33" t="n">
        <f aca="false">-MIN(AK124,MAX(0,AK123))</f>
        <v>-0</v>
      </c>
      <c r="AL126" s="33" t="n">
        <f aca="false">-MIN(AL124,MAX(0,AL123))</f>
        <v>-0</v>
      </c>
      <c r="AM126" s="33" t="n">
        <f aca="false">-MIN(AM124,MAX(0,AM123))</f>
        <v>-0</v>
      </c>
      <c r="AN126" s="33" t="n">
        <f aca="false">-MIN(AN124,MAX(0,AN123))</f>
        <v>-0</v>
      </c>
      <c r="AO126" s="33" t="n">
        <f aca="false">-MIN(AO124,MAX(0,AO123))</f>
        <v>-0</v>
      </c>
      <c r="AP126" s="33" t="n">
        <f aca="false">-MIN(AP124,MAX(0,AP123))</f>
        <v>-0</v>
      </c>
      <c r="AQ126" s="33" t="n">
        <f aca="false">-MIN(AQ124,MAX(0,AQ123))</f>
        <v>-0</v>
      </c>
      <c r="AR126" s="33" t="n">
        <f aca="false">-MIN(AR124,MAX(0,AR123))</f>
        <v>-0</v>
      </c>
      <c r="AS126" s="33" t="n">
        <f aca="false">-MIN(AS124,MAX(0,AS123))</f>
        <v>-0</v>
      </c>
      <c r="AT126" s="33" t="n">
        <f aca="false">-MIN(AT124,MAX(0,AT123))</f>
        <v>-0</v>
      </c>
      <c r="AU126" s="33" t="n">
        <f aca="false">-MIN(AU124,MAX(0,AU123))</f>
        <v>-0</v>
      </c>
      <c r="AV126" s="33" t="n">
        <f aca="false">-MIN(AV124,MAX(0,AV123))</f>
        <v>-0</v>
      </c>
      <c r="AW126" s="33" t="n">
        <f aca="false">-MIN(AW124,MAX(0,AW123))</f>
        <v>-0</v>
      </c>
      <c r="AX126" s="33" t="n">
        <f aca="false">-MIN(AX124,MAX(0,AX123))</f>
        <v>-0</v>
      </c>
      <c r="AY126" s="33" t="n">
        <f aca="false">-MIN(AY124,MAX(0,AY123))</f>
        <v>-0</v>
      </c>
      <c r="AZ126" s="33" t="n">
        <f aca="false">-MIN(AZ124,MAX(0,AZ123))</f>
        <v>-0</v>
      </c>
      <c r="BA126" s="33" t="n">
        <f aca="false">-MIN(BA124,MAX(0,BA123))</f>
        <v>-0</v>
      </c>
      <c r="BB126" s="33" t="n">
        <f aca="false">-MIN(BB124,MAX(0,BB123))</f>
        <v>-0</v>
      </c>
      <c r="BC126" s="33" t="n">
        <f aca="false">-MIN(BC124,MAX(0,BC123))</f>
        <v>-0</v>
      </c>
      <c r="BD126" s="33" t="n">
        <f aca="false">-MIN(BD124,MAX(0,BD123))</f>
        <v>-0</v>
      </c>
      <c r="BE126" s="33" t="n">
        <f aca="false">-MIN(BE124,MAX(0,BE123))</f>
        <v>-0</v>
      </c>
      <c r="BF126" s="33" t="n">
        <f aca="false">-MIN(BF124,MAX(0,BF123))</f>
        <v>-0</v>
      </c>
      <c r="BG126" s="33" t="n">
        <f aca="false">-MIN(BG124,MAX(0,BG123))</f>
        <v>-0</v>
      </c>
      <c r="BH126" s="33" t="n">
        <f aca="false">-MIN(BH124,MAX(0,BH123))</f>
        <v>-0</v>
      </c>
      <c r="BI126" s="33" t="n">
        <f aca="false">-MIN(BI124,MAX(0,BI123))</f>
        <v>-0</v>
      </c>
      <c r="BJ126" s="33" t="n">
        <f aca="false">-MIN(BJ124,MAX(0,BJ123))</f>
        <v>-0</v>
      </c>
      <c r="BK126" s="33" t="n">
        <f aca="false">-MIN(BK124,MAX(0,BK123))</f>
        <v>-0</v>
      </c>
      <c r="BL126" s="33" t="n">
        <f aca="false">-MIN(BL124,MAX(0,BL123))</f>
        <v>-0</v>
      </c>
      <c r="BM126" s="33" t="n">
        <f aca="false">-MIN(BM124,MAX(0,BM123))</f>
        <v>-0</v>
      </c>
      <c r="BN126" s="33" t="n">
        <f aca="false">-MIN(BN124,MAX(0,BN123))</f>
        <v>-0</v>
      </c>
      <c r="BO126" s="33" t="n">
        <f aca="false">-MIN(BO124,MAX(0,BO123))</f>
        <v>-0</v>
      </c>
      <c r="BP126" s="33" t="n">
        <f aca="false">-MIN(BP124,MAX(0,BP123))</f>
        <v>-0</v>
      </c>
      <c r="BQ126" s="33" t="n">
        <f aca="false">-MIN(BQ124,MAX(0,BQ123))</f>
        <v>-0</v>
      </c>
      <c r="BR126" s="33" t="n">
        <f aca="false">-MIN(BR124,MAX(0,BR123))</f>
        <v>-0</v>
      </c>
      <c r="BS126" s="33" t="n">
        <f aca="false">-MIN(BS124,MAX(0,BS123))</f>
        <v>-0</v>
      </c>
      <c r="BT126" s="33" t="n">
        <f aca="false">-MIN(BT124,MAX(0,BT123))</f>
        <v>-0</v>
      </c>
      <c r="BU126" s="33" t="n">
        <f aca="false">-MIN(BU124,MAX(0,BU123))</f>
        <v>-0</v>
      </c>
      <c r="BV126" s="33" t="n">
        <f aca="false">-MIN(BV124,MAX(0,BV123))</f>
        <v>-0</v>
      </c>
      <c r="BW126" s="33" t="n">
        <f aca="false">-MIN(BW124,MAX(0,BW123))</f>
        <v>-0</v>
      </c>
      <c r="BX126" s="33" t="n">
        <f aca="false">-MIN(BX124,MAX(0,BX123))</f>
        <v>-0</v>
      </c>
      <c r="BY126" s="33" t="n">
        <f aca="false">-MIN(BY124,MAX(0,BY123))</f>
        <v>-0</v>
      </c>
      <c r="BZ126" s="33" t="n">
        <f aca="false">-MIN(BZ124,MAX(0,BZ123))</f>
        <v>-0</v>
      </c>
      <c r="CA126" s="33" t="n">
        <f aca="false">-MIN(CA124,MAX(0,CA123))</f>
        <v>-0</v>
      </c>
      <c r="CB126" s="33" t="n">
        <f aca="false">-MIN(CB124,MAX(0,CB123))</f>
        <v>-0</v>
      </c>
      <c r="CC126" s="33" t="n">
        <f aca="false">-MIN(CC124,MAX(0,CC123))</f>
        <v>-0</v>
      </c>
      <c r="CD126" s="33" t="n">
        <f aca="false">-MIN(CD124,MAX(0,CD123))</f>
        <v>-0</v>
      </c>
      <c r="CE126" s="33" t="n">
        <f aca="false">-MIN(CE124,MAX(0,CE123))</f>
        <v>-0</v>
      </c>
      <c r="CF126" s="33" t="n">
        <f aca="false">-MIN(CF124,MAX(0,CF123))</f>
        <v>-0</v>
      </c>
      <c r="CG126" s="33" t="n">
        <f aca="false">-MIN(CG124,MAX(0,CG123))</f>
        <v>-0</v>
      </c>
      <c r="CH126" s="33" t="n">
        <f aca="false">-MIN(CH124,MAX(0,CH123))</f>
        <v>-0</v>
      </c>
      <c r="CI126" s="33" t="n">
        <f aca="false">-MIN(CI124,MAX(0,CI123))</f>
        <v>-0</v>
      </c>
      <c r="CJ126" s="33" t="n">
        <f aca="false">-MIN(CJ124,MAX(0,CJ123))</f>
        <v>-0</v>
      </c>
      <c r="CK126" s="33" t="n">
        <f aca="false">-MIN(CK124,MAX(0,CK123))</f>
        <v>-0</v>
      </c>
      <c r="CL126" s="33" t="n">
        <f aca="false">-MIN(CL124,MAX(0,CL123))</f>
        <v>-0</v>
      </c>
      <c r="CM126" s="33" t="n">
        <f aca="false">-MIN(CM124,MAX(0,CM123))</f>
        <v>-0</v>
      </c>
      <c r="CN126" s="33" t="n">
        <f aca="false">-MIN(CN124,MAX(0,CN123))</f>
        <v>-0</v>
      </c>
      <c r="CO126" s="33" t="n">
        <f aca="false">-MIN(CO124,MAX(0,CO123))</f>
        <v>-0</v>
      </c>
      <c r="CP126" s="33" t="n">
        <f aca="false">-MIN(CP124,MAX(0,CP123))</f>
        <v>-0</v>
      </c>
      <c r="CQ126" s="33" t="n">
        <f aca="false">-MIN(CQ124,MAX(0,CQ123))</f>
        <v>-0</v>
      </c>
      <c r="CR126" s="33" t="n">
        <f aca="false">-MIN(CR124,MAX(0,CR123))</f>
        <v>-0</v>
      </c>
      <c r="CS126" s="33" t="n">
        <f aca="false">-MIN(CS124,MAX(0,CS123))</f>
        <v>-0</v>
      </c>
      <c r="CT126" s="33" t="n">
        <f aca="false">-MIN(CT124,MAX(0,CT123))</f>
        <v>-0</v>
      </c>
      <c r="CU126" s="33" t="n">
        <f aca="false">-MIN(CU124,MAX(0,CU123))</f>
        <v>-0</v>
      </c>
      <c r="CV126" s="33" t="n">
        <f aca="false">-MIN(CV124,MAX(0,CV123))</f>
        <v>-0</v>
      </c>
      <c r="CW126" s="33" t="n">
        <f aca="false">-MIN(CW124,MAX(0,CW123))</f>
        <v>-0</v>
      </c>
      <c r="CX126" s="33" t="n">
        <f aca="false">-MIN(CX124,MAX(0,CX123))</f>
        <v>-0</v>
      </c>
      <c r="CY126" s="33" t="n">
        <f aca="false">-MIN(CY124,MAX(0,CY123))</f>
        <v>-0</v>
      </c>
      <c r="CZ126" s="33" t="n">
        <f aca="false">-MIN(CZ124,MAX(0,CZ123))</f>
        <v>-0</v>
      </c>
      <c r="DA126" s="33" t="n">
        <f aca="false">-MIN(DA124,MAX(0,DA123))</f>
        <v>-0</v>
      </c>
      <c r="DB126" s="33" t="n">
        <f aca="false">-MIN(DB124,MAX(0,DB123))</f>
        <v>-0</v>
      </c>
      <c r="DC126" s="33" t="n">
        <f aca="false">-MIN(DC124,MAX(0,DC123))</f>
        <v>-0</v>
      </c>
      <c r="DD126" s="33" t="n">
        <f aca="false">-MIN(DD124,MAX(0,DD123))</f>
        <v>-0</v>
      </c>
      <c r="DE126" s="33" t="n">
        <f aca="false">-MIN(DE124,MAX(0,DE123))</f>
        <v>-0</v>
      </c>
      <c r="DF126" s="33" t="n">
        <f aca="false">-MIN(DF124,MAX(0,DF123))</f>
        <v>-0</v>
      </c>
      <c r="DG126" s="33" t="n">
        <f aca="false">-MIN(DG124,MAX(0,DG123))</f>
        <v>-0</v>
      </c>
      <c r="DH126" s="33" t="n">
        <f aca="false">-MIN(DH124,MAX(0,DH123))</f>
        <v>-0</v>
      </c>
      <c r="DI126" s="33" t="n">
        <f aca="false">-MIN(DI124,MAX(0,DI123))</f>
        <v>-0</v>
      </c>
      <c r="DJ126" s="33" t="n">
        <f aca="false">-MIN(DJ124,MAX(0,DJ123))</f>
        <v>-0</v>
      </c>
      <c r="DK126" s="33" t="n">
        <f aca="false">-MIN(DK124,MAX(0,DK123))</f>
        <v>-0</v>
      </c>
      <c r="DL126" s="33" t="n">
        <f aca="false">-MIN(DL124,MAX(0,DL123))</f>
        <v>-0</v>
      </c>
      <c r="DM126" s="33" t="n">
        <f aca="false">-MIN(DM124,MAX(0,DM123))</f>
        <v>-0</v>
      </c>
      <c r="DN126" s="33" t="n">
        <f aca="false">-MIN(DN124,MAX(0,DN123))</f>
        <v>-0</v>
      </c>
      <c r="DO126" s="33" t="n">
        <f aca="false">-MIN(DO124,MAX(0,DO123))</f>
        <v>-0</v>
      </c>
      <c r="DP126" s="33" t="n">
        <f aca="false">-MIN(DP124,MAX(0,DP123))</f>
        <v>-0</v>
      </c>
      <c r="DQ126" s="33" t="n">
        <f aca="false">-MIN(DQ124,MAX(0,DQ123))</f>
        <v>-0</v>
      </c>
      <c r="DR126" s="33" t="n">
        <f aca="false">-MIN(DR124,MAX(0,DR123))</f>
        <v>-0</v>
      </c>
      <c r="DS126" s="33" t="n">
        <f aca="false">-MIN(DS124,MAX(0,DS123))</f>
        <v>-0</v>
      </c>
      <c r="DT126" s="33" t="n">
        <f aca="false">-MIN(DT124,MAX(0,DT123))</f>
        <v>-0</v>
      </c>
      <c r="DU126" s="33" t="n">
        <f aca="false">-MIN(DU124,MAX(0,DU123))</f>
        <v>-0</v>
      </c>
      <c r="DV126" s="33" t="n">
        <f aca="false">-MIN(DV124,MAX(0,DV123))</f>
        <v>-0</v>
      </c>
      <c r="DW126" s="33" t="n">
        <f aca="false">-MIN(DW124,MAX(0,DW123))</f>
        <v>-0</v>
      </c>
      <c r="DX126" s="33" t="n">
        <f aca="false">-MIN(DX124,MAX(0,DX123))</f>
        <v>-0</v>
      </c>
      <c r="DY126" s="33" t="n">
        <f aca="false">-MIN(DY124,MAX(0,DY123))</f>
        <v>-0</v>
      </c>
      <c r="DZ126" s="33" t="n">
        <f aca="false">-MIN(DZ124,MAX(0,DZ123))</f>
        <v>-0</v>
      </c>
      <c r="EA126" s="33" t="n">
        <f aca="false">-MIN(EA124,MAX(0,EA123))</f>
        <v>-0</v>
      </c>
      <c r="EB126" s="33" t="n">
        <f aca="false">-MIN(EB124,MAX(0,EB123))</f>
        <v>-0</v>
      </c>
      <c r="EC126" s="33" t="n">
        <f aca="false">-MIN(EC124,MAX(0,EC123))</f>
        <v>-0</v>
      </c>
      <c r="ED126" s="33" t="n">
        <f aca="false">-MIN(ED124,MAX(0,ED123))</f>
        <v>-0</v>
      </c>
      <c r="EE126" s="33" t="n">
        <f aca="false">-MIN(EE124,MAX(0,EE123))</f>
        <v>-0</v>
      </c>
      <c r="EF126" s="33" t="n">
        <f aca="false">-MIN(EF124,MAX(0,EF123))</f>
        <v>-0</v>
      </c>
      <c r="EG126" s="33" t="n">
        <f aca="false">-MIN(EG124,MAX(0,EG123))</f>
        <v>-0</v>
      </c>
      <c r="EH126" s="33" t="n">
        <f aca="false">-MIN(EH124,MAX(0,EH123))</f>
        <v>-0</v>
      </c>
      <c r="EI126" s="33" t="n">
        <f aca="false">-MIN(EI124,MAX(0,EI123))</f>
        <v>-0</v>
      </c>
      <c r="EJ126" s="33" t="n">
        <f aca="false">-MIN(EJ124,MAX(0,EJ123))</f>
        <v>-0</v>
      </c>
      <c r="EK126" s="33" t="n">
        <f aca="false">-MIN(EK124,MAX(0,EK123))</f>
        <v>-0</v>
      </c>
      <c r="EL126" s="33" t="n">
        <f aca="false">-MIN(EL124,MAX(0,EL123))</f>
        <v>-0</v>
      </c>
      <c r="EM126" s="33" t="n">
        <f aca="false">-MIN(EM124,MAX(0,EM123))</f>
        <v>-0</v>
      </c>
      <c r="EN126" s="33" t="n">
        <f aca="false">-MIN(EN124,MAX(0,EN123))</f>
        <v>-0</v>
      </c>
      <c r="EO126" s="33" t="n">
        <f aca="false">-MIN(EO124,MAX(0,EO123))</f>
        <v>-0</v>
      </c>
      <c r="EP126" s="33" t="n">
        <f aca="false">-MIN(EP124,MAX(0,EP123))</f>
        <v>-0</v>
      </c>
      <c r="EQ126" s="33" t="n">
        <f aca="false">-MIN(EQ124,MAX(0,EQ123))</f>
        <v>-0</v>
      </c>
      <c r="ER126" s="33" t="n">
        <f aca="false">-MIN(ER124,MAX(0,ER123))</f>
        <v>-0</v>
      </c>
      <c r="ES126" s="33" t="n">
        <f aca="false">-MIN(ES124,MAX(0,ES123))</f>
        <v>-0</v>
      </c>
      <c r="ET126" s="33" t="n">
        <f aca="false">-MIN(ET124,MAX(0,ET123))</f>
        <v>-0</v>
      </c>
    </row>
    <row r="127" customFormat="false" ht="15" hidden="false" customHeight="false" outlineLevel="0" collapsed="false">
      <c r="C127" s="0" t="s">
        <v>569</v>
      </c>
      <c r="D127" s="11" t="s">
        <v>247</v>
      </c>
      <c r="I127" s="54"/>
      <c r="J127" s="33" t="n">
        <f aca="false">SUM(J124:J126)</f>
        <v>0</v>
      </c>
      <c r="K127" s="33" t="n">
        <f aca="false">SUM(K124:K126)</f>
        <v>178.520547945205</v>
      </c>
      <c r="L127" s="33" t="n">
        <f aca="false">SUM(L124:L126)</f>
        <v>766.965068493151</v>
      </c>
      <c r="M127" s="33" t="n">
        <f aca="false">SUM(M124:M126)</f>
        <v>810.800684931507</v>
      </c>
      <c r="N127" s="33" t="n">
        <f aca="false">SUM(N124:N126)</f>
        <v>854.636301369863</v>
      </c>
      <c r="O127" s="33" t="n">
        <f aca="false">SUM(O124:O126)</f>
        <v>1038.99794520548</v>
      </c>
      <c r="P127" s="33" t="n">
        <f aca="false">SUM(P124:P126)</f>
        <v>2329.03974000559</v>
      </c>
      <c r="Q127" s="33" t="n">
        <f aca="false">SUM(Q124:Q126)</f>
        <v>2333.64932904669</v>
      </c>
      <c r="R127" s="33" t="n">
        <f aca="false">SUM(R124:R126)</f>
        <v>2497.74083902712</v>
      </c>
      <c r="S127" s="33" t="n">
        <f aca="false">SUM(S124:S126)</f>
        <v>2814.96697772435</v>
      </c>
      <c r="T127" s="33" t="n">
        <f aca="false">SUM(T124:T126)</f>
        <v>3119.62451197093</v>
      </c>
      <c r="U127" s="33" t="n">
        <f aca="false">SUM(U124:U126)</f>
        <v>3119.62451197093</v>
      </c>
      <c r="V127" s="33" t="n">
        <f aca="false">SUM(V124:V126)</f>
        <v>3119.62451197093</v>
      </c>
      <c r="W127" s="33" t="n">
        <f aca="false">SUM(W124:W126)</f>
        <v>4977.85210815742</v>
      </c>
      <c r="X127" s="33" t="n">
        <f aca="false">SUM(X124:X126)</f>
        <v>5228.52657549541</v>
      </c>
      <c r="Y127" s="33" t="n">
        <f aca="false">SUM(Y124:Y126)</f>
        <v>5457.04009747554</v>
      </c>
      <c r="Z127" s="33" t="n">
        <f aca="false">SUM(Z124:Z126)</f>
        <v>5662.56417946008</v>
      </c>
      <c r="AA127" s="33" t="n">
        <f aca="false">SUM(AA124:AA126)</f>
        <v>5842.30745771736</v>
      </c>
      <c r="AB127" s="33" t="n">
        <f aca="false">SUM(AB124:AB126)</f>
        <v>5994.81734224559</v>
      </c>
      <c r="AC127" s="33" t="n">
        <f aca="false">SUM(AC124:AC126)</f>
        <v>6124.07556382919</v>
      </c>
      <c r="AD127" s="33" t="n">
        <f aca="false">SUM(AD124:AD126)</f>
        <v>6229.25362783041</v>
      </c>
      <c r="AE127" s="33" t="n">
        <f aca="false">SUM(AE124:AE126)</f>
        <v>5215.18395736169</v>
      </c>
      <c r="AF127" s="33" t="n">
        <f aca="false">SUM(AF124:AF126)</f>
        <v>4174.34083201546</v>
      </c>
      <c r="AG127" s="33" t="n">
        <f aca="false">SUM(AG124:AG126)</f>
        <v>3110.3380929452</v>
      </c>
      <c r="AH127" s="33" t="n">
        <f aca="false">SUM(AH124:AH126)</f>
        <v>1998.75739078363</v>
      </c>
      <c r="AI127" s="33" t="n">
        <f aca="false">SUM(AI124:AI126)</f>
        <v>878.128499379028</v>
      </c>
      <c r="AJ127" s="33" t="n">
        <f aca="false">SUM(AJ124:AJ126)</f>
        <v>0</v>
      </c>
      <c r="AK127" s="33" t="n">
        <f aca="false">SUM(AK124:AK126)</f>
        <v>0</v>
      </c>
      <c r="AL127" s="33" t="n">
        <f aca="false">SUM(AL124:AL126)</f>
        <v>0</v>
      </c>
      <c r="AM127" s="33" t="n">
        <f aca="false">SUM(AM124:AM126)</f>
        <v>0</v>
      </c>
      <c r="AN127" s="33" t="n">
        <f aca="false">SUM(AN124:AN126)</f>
        <v>0</v>
      </c>
      <c r="AO127" s="33" t="n">
        <f aca="false">SUM(AO124:AO126)</f>
        <v>0</v>
      </c>
      <c r="AP127" s="33" t="n">
        <f aca="false">SUM(AP124:AP126)</f>
        <v>0</v>
      </c>
      <c r="AQ127" s="33" t="n">
        <f aca="false">SUM(AQ124:AQ126)</f>
        <v>0</v>
      </c>
      <c r="AR127" s="33" t="n">
        <f aca="false">SUM(AR124:AR126)</f>
        <v>0</v>
      </c>
      <c r="AS127" s="33" t="n">
        <f aca="false">SUM(AS124:AS126)</f>
        <v>0</v>
      </c>
      <c r="AT127" s="33" t="n">
        <f aca="false">SUM(AT124:AT126)</f>
        <v>0</v>
      </c>
      <c r="AU127" s="33" t="n">
        <f aca="false">SUM(AU124:AU126)</f>
        <v>0</v>
      </c>
      <c r="AV127" s="33" t="n">
        <f aca="false">SUM(AV124:AV126)</f>
        <v>0</v>
      </c>
      <c r="AW127" s="33" t="n">
        <f aca="false">SUM(AW124:AW126)</f>
        <v>0</v>
      </c>
      <c r="AX127" s="33" t="n">
        <f aca="false">SUM(AX124:AX126)</f>
        <v>0</v>
      </c>
      <c r="AY127" s="33" t="n">
        <f aca="false">SUM(AY124:AY126)</f>
        <v>0</v>
      </c>
      <c r="AZ127" s="33" t="n">
        <f aca="false">SUM(AZ124:AZ126)</f>
        <v>0</v>
      </c>
      <c r="BA127" s="33" t="n">
        <f aca="false">SUM(BA124:BA126)</f>
        <v>0</v>
      </c>
      <c r="BB127" s="33" t="n">
        <f aca="false">SUM(BB124:BB126)</f>
        <v>0</v>
      </c>
      <c r="BC127" s="33" t="n">
        <f aca="false">SUM(BC124:BC126)</f>
        <v>0</v>
      </c>
      <c r="BD127" s="33" t="n">
        <f aca="false">SUM(BD124:BD126)</f>
        <v>0</v>
      </c>
      <c r="BE127" s="33" t="n">
        <f aca="false">SUM(BE124:BE126)</f>
        <v>0</v>
      </c>
      <c r="BF127" s="33" t="n">
        <f aca="false">SUM(BF124:BF126)</f>
        <v>0</v>
      </c>
      <c r="BG127" s="33" t="n">
        <f aca="false">SUM(BG124:BG126)</f>
        <v>0</v>
      </c>
      <c r="BH127" s="33" t="n">
        <f aca="false">SUM(BH124:BH126)</f>
        <v>0</v>
      </c>
      <c r="BI127" s="33" t="n">
        <f aca="false">SUM(BI124:BI126)</f>
        <v>0</v>
      </c>
      <c r="BJ127" s="33" t="n">
        <f aca="false">SUM(BJ124:BJ126)</f>
        <v>0</v>
      </c>
      <c r="BK127" s="33" t="n">
        <f aca="false">SUM(BK124:BK126)</f>
        <v>0</v>
      </c>
      <c r="BL127" s="33" t="n">
        <f aca="false">SUM(BL124:BL126)</f>
        <v>0</v>
      </c>
      <c r="BM127" s="33" t="n">
        <f aca="false">SUM(BM124:BM126)</f>
        <v>0</v>
      </c>
      <c r="BN127" s="33" t="n">
        <f aca="false">SUM(BN124:BN126)</f>
        <v>0</v>
      </c>
      <c r="BO127" s="33" t="n">
        <f aca="false">SUM(BO124:BO126)</f>
        <v>0</v>
      </c>
      <c r="BP127" s="33" t="n">
        <f aca="false">SUM(BP124:BP126)</f>
        <v>0</v>
      </c>
      <c r="BQ127" s="33" t="n">
        <f aca="false">SUM(BQ124:BQ126)</f>
        <v>0</v>
      </c>
      <c r="BR127" s="33" t="n">
        <f aca="false">SUM(BR124:BR126)</f>
        <v>0</v>
      </c>
      <c r="BS127" s="33" t="n">
        <f aca="false">SUM(BS124:BS126)</f>
        <v>0</v>
      </c>
      <c r="BT127" s="33" t="n">
        <f aca="false">SUM(BT124:BT126)</f>
        <v>0</v>
      </c>
      <c r="BU127" s="33" t="n">
        <f aca="false">SUM(BU124:BU126)</f>
        <v>0</v>
      </c>
      <c r="BV127" s="33" t="n">
        <f aca="false">SUM(BV124:BV126)</f>
        <v>0</v>
      </c>
      <c r="BW127" s="33" t="n">
        <f aca="false">SUM(BW124:BW126)</f>
        <v>0</v>
      </c>
      <c r="BX127" s="33" t="n">
        <f aca="false">SUM(BX124:BX126)</f>
        <v>0</v>
      </c>
      <c r="BY127" s="33" t="n">
        <f aca="false">SUM(BY124:BY126)</f>
        <v>0</v>
      </c>
      <c r="BZ127" s="33" t="n">
        <f aca="false">SUM(BZ124:BZ126)</f>
        <v>0</v>
      </c>
      <c r="CA127" s="33" t="n">
        <f aca="false">SUM(CA124:CA126)</f>
        <v>0</v>
      </c>
      <c r="CB127" s="33" t="n">
        <f aca="false">SUM(CB124:CB126)</f>
        <v>0</v>
      </c>
      <c r="CC127" s="33" t="n">
        <f aca="false">SUM(CC124:CC126)</f>
        <v>0</v>
      </c>
      <c r="CD127" s="33" t="n">
        <f aca="false">SUM(CD124:CD126)</f>
        <v>0</v>
      </c>
      <c r="CE127" s="33" t="n">
        <f aca="false">SUM(CE124:CE126)</f>
        <v>0</v>
      </c>
      <c r="CF127" s="33" t="n">
        <f aca="false">SUM(CF124:CF126)</f>
        <v>0</v>
      </c>
      <c r="CG127" s="33" t="n">
        <f aca="false">SUM(CG124:CG126)</f>
        <v>0</v>
      </c>
      <c r="CH127" s="33" t="n">
        <f aca="false">SUM(CH124:CH126)</f>
        <v>0</v>
      </c>
      <c r="CI127" s="33" t="n">
        <f aca="false">SUM(CI124:CI126)</f>
        <v>0</v>
      </c>
      <c r="CJ127" s="33" t="n">
        <f aca="false">SUM(CJ124:CJ126)</f>
        <v>0</v>
      </c>
      <c r="CK127" s="33" t="n">
        <f aca="false">SUM(CK124:CK126)</f>
        <v>0</v>
      </c>
      <c r="CL127" s="33" t="n">
        <f aca="false">SUM(CL124:CL126)</f>
        <v>0</v>
      </c>
      <c r="CM127" s="33" t="n">
        <f aca="false">SUM(CM124:CM126)</f>
        <v>0</v>
      </c>
      <c r="CN127" s="33" t="n">
        <f aca="false">SUM(CN124:CN126)</f>
        <v>0</v>
      </c>
      <c r="CO127" s="33" t="n">
        <f aca="false">SUM(CO124:CO126)</f>
        <v>0</v>
      </c>
      <c r="CP127" s="33" t="n">
        <f aca="false">SUM(CP124:CP126)</f>
        <v>0</v>
      </c>
      <c r="CQ127" s="33" t="n">
        <f aca="false">SUM(CQ124:CQ126)</f>
        <v>0</v>
      </c>
      <c r="CR127" s="33" t="n">
        <f aca="false">SUM(CR124:CR126)</f>
        <v>0</v>
      </c>
      <c r="CS127" s="33" t="n">
        <f aca="false">SUM(CS124:CS126)</f>
        <v>0</v>
      </c>
      <c r="CT127" s="33" t="n">
        <f aca="false">SUM(CT124:CT126)</f>
        <v>0</v>
      </c>
      <c r="CU127" s="33" t="n">
        <f aca="false">SUM(CU124:CU126)</f>
        <v>0</v>
      </c>
      <c r="CV127" s="33" t="n">
        <f aca="false">SUM(CV124:CV126)</f>
        <v>0</v>
      </c>
      <c r="CW127" s="33" t="n">
        <f aca="false">SUM(CW124:CW126)</f>
        <v>0</v>
      </c>
      <c r="CX127" s="33" t="n">
        <f aca="false">SUM(CX124:CX126)</f>
        <v>0</v>
      </c>
      <c r="CY127" s="33" t="n">
        <f aca="false">SUM(CY124:CY126)</f>
        <v>0</v>
      </c>
      <c r="CZ127" s="33" t="n">
        <f aca="false">SUM(CZ124:CZ126)</f>
        <v>0</v>
      </c>
      <c r="DA127" s="33" t="n">
        <f aca="false">SUM(DA124:DA126)</f>
        <v>0</v>
      </c>
      <c r="DB127" s="33" t="n">
        <f aca="false">SUM(DB124:DB126)</f>
        <v>0</v>
      </c>
      <c r="DC127" s="33" t="n">
        <f aca="false">SUM(DC124:DC126)</f>
        <v>0</v>
      </c>
      <c r="DD127" s="33" t="n">
        <f aca="false">SUM(DD124:DD126)</f>
        <v>0</v>
      </c>
      <c r="DE127" s="33" t="n">
        <f aca="false">SUM(DE124:DE126)</f>
        <v>0</v>
      </c>
      <c r="DF127" s="33" t="n">
        <f aca="false">SUM(DF124:DF126)</f>
        <v>0</v>
      </c>
      <c r="DG127" s="33" t="n">
        <f aca="false">SUM(DG124:DG126)</f>
        <v>0</v>
      </c>
      <c r="DH127" s="33" t="n">
        <f aca="false">SUM(DH124:DH126)</f>
        <v>0</v>
      </c>
      <c r="DI127" s="33" t="n">
        <f aca="false">SUM(DI124:DI126)</f>
        <v>0</v>
      </c>
      <c r="DJ127" s="33" t="n">
        <f aca="false">SUM(DJ124:DJ126)</f>
        <v>0</v>
      </c>
      <c r="DK127" s="33" t="n">
        <f aca="false">SUM(DK124:DK126)</f>
        <v>0</v>
      </c>
      <c r="DL127" s="33" t="n">
        <f aca="false">SUM(DL124:DL126)</f>
        <v>0</v>
      </c>
      <c r="DM127" s="33" t="n">
        <f aca="false">SUM(DM124:DM126)</f>
        <v>0</v>
      </c>
      <c r="DN127" s="33" t="n">
        <f aca="false">SUM(DN124:DN126)</f>
        <v>0</v>
      </c>
      <c r="DO127" s="33" t="n">
        <f aca="false">SUM(DO124:DO126)</f>
        <v>0</v>
      </c>
      <c r="DP127" s="33" t="n">
        <f aca="false">SUM(DP124:DP126)</f>
        <v>0</v>
      </c>
      <c r="DQ127" s="33" t="n">
        <f aca="false">SUM(DQ124:DQ126)</f>
        <v>0</v>
      </c>
      <c r="DR127" s="33" t="n">
        <f aca="false">SUM(DR124:DR126)</f>
        <v>0</v>
      </c>
      <c r="DS127" s="33" t="n">
        <f aca="false">SUM(DS124:DS126)</f>
        <v>0</v>
      </c>
      <c r="DT127" s="33" t="n">
        <f aca="false">SUM(DT124:DT126)</f>
        <v>0</v>
      </c>
      <c r="DU127" s="33" t="n">
        <f aca="false">SUM(DU124:DU126)</f>
        <v>0</v>
      </c>
      <c r="DV127" s="33" t="n">
        <f aca="false">SUM(DV124:DV126)</f>
        <v>0</v>
      </c>
      <c r="DW127" s="33" t="n">
        <f aca="false">SUM(DW124:DW126)</f>
        <v>0</v>
      </c>
      <c r="DX127" s="33" t="n">
        <f aca="false">SUM(DX124:DX126)</f>
        <v>0</v>
      </c>
      <c r="DY127" s="33" t="n">
        <f aca="false">SUM(DY124:DY126)</f>
        <v>0</v>
      </c>
      <c r="DZ127" s="33" t="n">
        <f aca="false">SUM(DZ124:DZ126)</f>
        <v>0</v>
      </c>
      <c r="EA127" s="33" t="n">
        <f aca="false">SUM(EA124:EA126)</f>
        <v>0</v>
      </c>
      <c r="EB127" s="33" t="n">
        <f aca="false">SUM(EB124:EB126)</f>
        <v>0</v>
      </c>
      <c r="EC127" s="33" t="n">
        <f aca="false">SUM(EC124:EC126)</f>
        <v>0</v>
      </c>
      <c r="ED127" s="33" t="n">
        <f aca="false">SUM(ED124:ED126)</f>
        <v>0</v>
      </c>
      <c r="EE127" s="33" t="n">
        <f aca="false">SUM(EE124:EE126)</f>
        <v>0</v>
      </c>
      <c r="EF127" s="33" t="n">
        <f aca="false">SUM(EF124:EF126)</f>
        <v>0</v>
      </c>
      <c r="EG127" s="33" t="n">
        <f aca="false">SUM(EG124:EG126)</f>
        <v>0</v>
      </c>
      <c r="EH127" s="33" t="n">
        <f aca="false">SUM(EH124:EH126)</f>
        <v>0</v>
      </c>
      <c r="EI127" s="33" t="n">
        <f aca="false">SUM(EI124:EI126)</f>
        <v>0</v>
      </c>
      <c r="EJ127" s="33" t="n">
        <f aca="false">SUM(EJ124:EJ126)</f>
        <v>0</v>
      </c>
      <c r="EK127" s="33" t="n">
        <f aca="false">SUM(EK124:EK126)</f>
        <v>0</v>
      </c>
      <c r="EL127" s="33" t="n">
        <f aca="false">SUM(EL124:EL126)</f>
        <v>0</v>
      </c>
      <c r="EM127" s="33" t="n">
        <f aca="false">SUM(EM124:EM126)</f>
        <v>0</v>
      </c>
      <c r="EN127" s="33" t="n">
        <f aca="false">SUM(EN124:EN126)</f>
        <v>0</v>
      </c>
      <c r="EO127" s="33" t="n">
        <f aca="false">SUM(EO124:EO126)</f>
        <v>0</v>
      </c>
      <c r="EP127" s="33" t="n">
        <f aca="false">SUM(EP124:EP126)</f>
        <v>0</v>
      </c>
      <c r="EQ127" s="33" t="n">
        <f aca="false">SUM(EQ124:EQ126)</f>
        <v>0</v>
      </c>
      <c r="ER127" s="33" t="n">
        <f aca="false">SUM(ER124:ER126)</f>
        <v>0</v>
      </c>
      <c r="ES127" s="33" t="n">
        <f aca="false">SUM(ES124:ES126)</f>
        <v>0</v>
      </c>
      <c r="ET127" s="33" t="n">
        <f aca="false">SUM(ET124:ET126)</f>
        <v>0</v>
      </c>
    </row>
    <row r="128" customFormat="false" ht="15" hidden="false" customHeight="false" outlineLevel="0" collapsed="false">
      <c r="C128" s="30" t="s">
        <v>244</v>
      </c>
      <c r="D128" s="11" t="s">
        <v>247</v>
      </c>
      <c r="I128" s="35" t="n">
        <f aca="false">SUM(J128:ET128)</f>
        <v>-29217.7631614638</v>
      </c>
      <c r="J128" s="35" t="n">
        <f aca="false">-In_CIT*(MAX(0,J123)+J126)</f>
        <v>-0</v>
      </c>
      <c r="K128" s="35" t="n">
        <f aca="false">-In_CIT*(MAX(0,K123)+K126)</f>
        <v>-0</v>
      </c>
      <c r="L128" s="35" t="n">
        <f aca="false">-In_CIT*(MAX(0,L123)+L126)</f>
        <v>-0</v>
      </c>
      <c r="M128" s="35" t="n">
        <f aca="false">-In_CIT*(MAX(0,M123)+M126)</f>
        <v>-0</v>
      </c>
      <c r="N128" s="35" t="n">
        <f aca="false">-In_CIT*(MAX(0,N123)+N126)</f>
        <v>-0</v>
      </c>
      <c r="O128" s="35" t="n">
        <f aca="false">-In_CIT*(MAX(0,O123)+O126)</f>
        <v>-0</v>
      </c>
      <c r="P128" s="35" t="n">
        <f aca="false">-In_CIT*(MAX(0,P123)+P126)</f>
        <v>-0</v>
      </c>
      <c r="Q128" s="35" t="n">
        <f aca="false">-In_CIT*(MAX(0,Q123)+Q126)</f>
        <v>-0</v>
      </c>
      <c r="R128" s="35" t="n">
        <f aca="false">-In_CIT*(MAX(0,R123)+R126)</f>
        <v>-0</v>
      </c>
      <c r="S128" s="35" t="n">
        <f aca="false">-In_CIT*(MAX(0,S123)+S126)</f>
        <v>-0</v>
      </c>
      <c r="T128" s="35" t="n">
        <f aca="false">-In_CIT*(MAX(0,T123)+T126)</f>
        <v>-0</v>
      </c>
      <c r="U128" s="35" t="n">
        <f aca="false">-In_CIT*(MAX(0,U123)+U126)</f>
        <v>-0</v>
      </c>
      <c r="V128" s="35" t="n">
        <f aca="false">-In_CIT*(MAX(0,V123)+V126)</f>
        <v>-0</v>
      </c>
      <c r="W128" s="35" t="n">
        <f aca="false">-In_CIT*(MAX(0,W123)+W126)</f>
        <v>-0</v>
      </c>
      <c r="X128" s="35" t="n">
        <f aca="false">-In_CIT*(MAX(0,X123)+X126)</f>
        <v>-0</v>
      </c>
      <c r="Y128" s="35" t="n">
        <f aca="false">-In_CIT*(MAX(0,Y123)+Y126)</f>
        <v>-0</v>
      </c>
      <c r="Z128" s="35" t="n">
        <f aca="false">-In_CIT*(MAX(0,Z123)+Z126)</f>
        <v>-0</v>
      </c>
      <c r="AA128" s="35" t="n">
        <f aca="false">-In_CIT*(MAX(0,AA123)+AA126)</f>
        <v>-0</v>
      </c>
      <c r="AB128" s="35" t="n">
        <f aca="false">-In_CIT*(MAX(0,AB123)+AB126)</f>
        <v>-0</v>
      </c>
      <c r="AC128" s="35" t="n">
        <f aca="false">-In_CIT*(MAX(0,AC123)+AC126)</f>
        <v>-0</v>
      </c>
      <c r="AD128" s="35" t="n">
        <f aca="false">-In_CIT*(MAX(0,AD123)+AD126)</f>
        <v>-0</v>
      </c>
      <c r="AE128" s="35" t="n">
        <f aca="false">-In_CIT*(MAX(0,AE123)+AE126)</f>
        <v>-0</v>
      </c>
      <c r="AF128" s="35" t="n">
        <f aca="false">-In_CIT*(MAX(0,AF123)+AF126)</f>
        <v>-0</v>
      </c>
      <c r="AG128" s="35" t="n">
        <f aca="false">-In_CIT*(MAX(0,AG123)+AG126)</f>
        <v>-0</v>
      </c>
      <c r="AH128" s="35" t="n">
        <f aca="false">-In_CIT*(MAX(0,AH123)+AH126)</f>
        <v>-0</v>
      </c>
      <c r="AI128" s="35" t="n">
        <f aca="false">-In_CIT*(MAX(0,AI123)+AI126)</f>
        <v>-0</v>
      </c>
      <c r="AJ128" s="35" t="n">
        <f aca="false">-In_CIT*(MAX(0,AJ123)+AJ126)</f>
        <v>-22.1207033876094</v>
      </c>
      <c r="AK128" s="35" t="n">
        <f aca="false">-In_CIT*(MAX(0,AK123)+AK126)</f>
        <v>-105.527229009164</v>
      </c>
      <c r="AL128" s="35" t="n">
        <f aca="false">-In_CIT*(MAX(0,AL123)+AL126)</f>
        <v>-109.92957161066</v>
      </c>
      <c r="AM128" s="35" t="n">
        <f aca="false">-In_CIT*(MAX(0,AM123)+AM126)</f>
        <v>-110.844380702077</v>
      </c>
      <c r="AN128" s="35" t="n">
        <f aca="false">-In_CIT*(MAX(0,AN123)+AN126)</f>
        <v>-111.202624504349</v>
      </c>
      <c r="AO128" s="35" t="n">
        <f aca="false">-In_CIT*(MAX(0,AO123)+AO126)</f>
        <v>-115.701655640121</v>
      </c>
      <c r="AP128" s="35" t="n">
        <f aca="false">-In_CIT*(MAX(0,AP123)+AP126)</f>
        <v>-120.229463681293</v>
      </c>
      <c r="AQ128" s="35" t="n">
        <f aca="false">-In_CIT*(MAX(0,AQ123)+AQ126)</f>
        <v>-121.250262698485</v>
      </c>
      <c r="AR128" s="35" t="n">
        <f aca="false">-In_CIT*(MAX(0,AR123)+AR126)</f>
        <v>-121.676270590481</v>
      </c>
      <c r="AS128" s="35" t="n">
        <f aca="false">-In_CIT*(MAX(0,AS123)+AS126)</f>
        <v>-126.304707119573</v>
      </c>
      <c r="AT128" s="35" t="n">
        <f aca="false">-In_CIT*(MAX(0,AT123)+AT126)</f>
        <v>-130.963386603207</v>
      </c>
      <c r="AU128" s="35" t="n">
        <f aca="false">-In_CIT*(MAX(0,AU123)+AU126)</f>
        <v>-132.095976385446</v>
      </c>
      <c r="AV128" s="35" t="n">
        <f aca="false">-In_CIT*(MAX(0,AV123)+AV126)</f>
        <v>-134.815975507916</v>
      </c>
      <c r="AW128" s="35" t="n">
        <f aca="false">-In_CIT*(MAX(0,AW123)+AW126)</f>
        <v>-137.358670871886</v>
      </c>
      <c r="AX128" s="35" t="n">
        <f aca="false">-In_CIT*(MAX(0,AX123)+AX126)</f>
        <v>-142.153908167303</v>
      </c>
      <c r="AY128" s="35" t="n">
        <f aca="false">-In_CIT*(MAX(0,AY123)+AY126)</f>
        <v>-143.404386937865</v>
      </c>
      <c r="AZ128" s="35" t="n">
        <f aca="false">-In_CIT*(MAX(0,AZ123)+AZ126)</f>
        <v>-143.982624695125</v>
      </c>
      <c r="BA128" s="35" t="n">
        <f aca="false">-In_CIT*(MAX(0,BA123)+BA126)</f>
        <v>-148.886998211232</v>
      </c>
      <c r="BB128" s="35" t="n">
        <f aca="false">-In_CIT*(MAX(0,BB123)+BB126)</f>
        <v>-153.824774650287</v>
      </c>
      <c r="BC128" s="35" t="n">
        <f aca="false">-In_CIT*(MAX(0,BC123)+BC126)</f>
        <v>-155.199553161151</v>
      </c>
      <c r="BD128" s="35" t="n">
        <f aca="false">-In_CIT*(MAX(0,BD123)+BD126)</f>
        <v>-155.862861870893</v>
      </c>
      <c r="BE128" s="35" t="n">
        <f aca="false">-In_CIT*(MAX(0,BE123)+BE126)</f>
        <v>-160.914364450406</v>
      </c>
      <c r="BF128" s="35" t="n">
        <f aca="false">-In_CIT*(MAX(0,BF123)+BF126)</f>
        <v>-166.000971676032</v>
      </c>
      <c r="BG128" s="35" t="n">
        <f aca="false">-In_CIT*(MAX(0,BG123)+BG126)</f>
        <v>-167.506789123671</v>
      </c>
      <c r="BH128" s="35" t="n">
        <f aca="false">-In_CIT*(MAX(0,BH123)+BH126)</f>
        <v>-168.261569050824</v>
      </c>
      <c r="BI128" s="35" t="n">
        <f aca="false">-In_CIT*(MAX(0,BI123)+BI126)</f>
        <v>-173.466732092545</v>
      </c>
      <c r="BJ128" s="35" t="n">
        <f aca="false">-In_CIT*(MAX(0,BJ123)+BJ126)</f>
        <v>-178.708788198403</v>
      </c>
      <c r="BK128" s="35" t="n">
        <f aca="false">-In_CIT*(MAX(0,BK123)+BK126)</f>
        <v>-180.352728949948</v>
      </c>
      <c r="BL128" s="35" t="n">
        <f aca="false">-In_CIT*(MAX(0,BL123)+BL126)</f>
        <v>-183.46960976582</v>
      </c>
      <c r="BM128" s="35" t="n">
        <f aca="false">-In_CIT*(MAX(0,BM123)+BM126)</f>
        <v>-186.57141726332</v>
      </c>
      <c r="BN128" s="35" t="n">
        <f aca="false">-In_CIT*(MAX(0,BN123)+BN126)</f>
        <v>-191.975883765096</v>
      </c>
      <c r="BO128" s="35" t="n">
        <f aca="false">-In_CIT*(MAX(0,BO123)+BO126)</f>
        <v>-193.765394936146</v>
      </c>
      <c r="BP128" s="35" t="n">
        <f aca="false">-In_CIT*(MAX(0,BP123)+BP126)</f>
        <v>-194.72370774483</v>
      </c>
      <c r="BQ128" s="35" t="n">
        <f aca="false">-In_CIT*(MAX(0,BQ123)+BQ126)</f>
        <v>-200.257159549216</v>
      </c>
      <c r="BR128" s="35" t="n">
        <f aca="false">-In_CIT*(MAX(0,BR123)+BR126)</f>
        <v>-205.831359230171</v>
      </c>
      <c r="BS128" s="35" t="n">
        <f aca="false">-In_CIT*(MAX(0,BS123)+BS126)</f>
        <v>-207.774269157617</v>
      </c>
      <c r="BT128" s="35" t="n">
        <f aca="false">-In_CIT*(MAX(0,BT123)+BT126)</f>
        <v>-205.461775363833</v>
      </c>
      <c r="BU128" s="35" t="n">
        <f aca="false">-In_CIT*(MAX(0,BU123)+BU126)</f>
        <v>-207.744683978987</v>
      </c>
      <c r="BV128" s="35" t="n">
        <f aca="false">-In_CIT*(MAX(0,BV123)+BV126)</f>
        <v>-210.02759259414</v>
      </c>
      <c r="BW128" s="35" t="n">
        <f aca="false">-In_CIT*(MAX(0,BW123)+BW126)</f>
        <v>-208.620044100937</v>
      </c>
      <c r="BX128" s="35" t="n">
        <f aca="false">-In_CIT*(MAX(0,BX123)+BX126)</f>
        <v>-206.255854733365</v>
      </c>
      <c r="BY128" s="35" t="n">
        <f aca="false">-In_CIT*(MAX(0,BY123)+BY126)</f>
        <v>-208.547586452625</v>
      </c>
      <c r="BZ128" s="35" t="n">
        <f aca="false">-In_CIT*(MAX(0,BZ123)+BZ126)</f>
        <v>-210.839318171884</v>
      </c>
      <c r="CA128" s="35" t="n">
        <f aca="false">-In_CIT*(MAX(0,CA123)+CA126)</f>
        <v>-209.423123002828</v>
      </c>
      <c r="CB128" s="35" t="n">
        <f aca="false">-In_CIT*(MAX(0,CB123)+CB126)</f>
        <v>-209.30683243011</v>
      </c>
      <c r="CC128" s="35" t="n">
        <f aca="false">-In_CIT*(MAX(0,CC123)+CC126)</f>
        <v>-209.30683243011</v>
      </c>
      <c r="CD128" s="35" t="n">
        <f aca="false">-In_CIT*(MAX(0,CD123)+CD126)</f>
        <v>-211.606907511759</v>
      </c>
      <c r="CE128" s="35" t="n">
        <f aca="false">-In_CIT*(MAX(0,CE123)+CE126)</f>
        <v>-210.182042788085</v>
      </c>
      <c r="CF128" s="35" t="n">
        <f aca="false">-In_CIT*(MAX(0,CF123)+CF126)</f>
        <v>-207.713013581331</v>
      </c>
      <c r="CG128" s="35" t="n">
        <f aca="false">-In_CIT*(MAX(0,CG123)+CG126)</f>
        <v>-210.020935954457</v>
      </c>
      <c r="CH128" s="35" t="n">
        <f aca="false">-In_CIT*(MAX(0,CH123)+CH126)</f>
        <v>-212.328858327583</v>
      </c>
      <c r="CI128" s="35" t="n">
        <f aca="false">-In_CIT*(MAX(0,CI123)+CI126)</f>
        <v>-210.895301795199</v>
      </c>
      <c r="CJ128" s="35" t="n">
        <f aca="false">-In_CIT*(MAX(0,CJ123)+CJ126)</f>
        <v>-208.373115095176</v>
      </c>
      <c r="CK128" s="35" t="n">
        <f aca="false">-In_CIT*(MAX(0,CK123)+CK126)</f>
        <v>-210.688371929567</v>
      </c>
      <c r="CL128" s="35" t="n">
        <f aca="false">-In_CIT*(MAX(0,CL123)+CL126)</f>
        <v>-213.003628763958</v>
      </c>
      <c r="CM128" s="35" t="n">
        <f aca="false">-In_CIT*(MAX(0,CM123)+CM126)</f>
        <v>-211.561358815095</v>
      </c>
      <c r="CN128" s="35" t="n">
        <f aca="false">-In_CIT*(MAX(0,CN123)+CN126)</f>
        <v>-208.985513880179</v>
      </c>
      <c r="CO128" s="35" t="n">
        <f aca="false">-In_CIT*(MAX(0,CO123)+CO126)</f>
        <v>-211.307575145515</v>
      </c>
      <c r="CP128" s="35" t="n">
        <f aca="false">-In_CIT*(MAX(0,CP123)+CP126)</f>
        <v>-213.62963641085</v>
      </c>
      <c r="CQ128" s="35" t="n">
        <f aca="false">-In_CIT*(MAX(0,CQ123)+CQ126)</f>
        <v>-212.178632106247</v>
      </c>
      <c r="CR128" s="35" t="n">
        <f aca="false">-In_CIT*(MAX(0,CR123)+CR126)</f>
        <v>-211.876939279891</v>
      </c>
      <c r="CS128" s="35" t="n">
        <f aca="false">-In_CIT*(MAX(0,CS123)+CS126)</f>
        <v>-211.876939279891</v>
      </c>
      <c r="CT128" s="35" t="n">
        <f aca="false">-In_CIT*(MAX(0,CT123)+CT126)</f>
        <v>-214.205257293956</v>
      </c>
      <c r="CU128" s="35" t="n">
        <f aca="false">-In_CIT*(MAX(0,CU123)+CU126)</f>
        <v>-212.745498385584</v>
      </c>
      <c r="CV128" s="35" t="n">
        <f aca="false">-In_CIT*(MAX(0,CV123)+CV126)</f>
        <v>-210.060806908939</v>
      </c>
      <c r="CW128" s="35" t="n">
        <f aca="false">-In_CIT*(MAX(0,CW123)+CW126)</f>
        <v>-212.394815874594</v>
      </c>
      <c r="CX128" s="35" t="n">
        <f aca="false">-In_CIT*(MAX(0,CX123)+CX126)</f>
        <v>-214.728824840249</v>
      </c>
      <c r="CY128" s="35" t="n">
        <f aca="false">-In_CIT*(MAX(0,CY123)+CY126)</f>
        <v>-213.260291794592</v>
      </c>
      <c r="CZ128" s="35" t="n">
        <f aca="false">-In_CIT*(MAX(0,CZ123)+CZ126)</f>
        <v>-210.520397756844</v>
      </c>
      <c r="DA128" s="35" t="n">
        <f aca="false">-In_CIT*(MAX(0,DA123)+DA126)</f>
        <v>-212.859513287475</v>
      </c>
      <c r="DB128" s="35" t="n">
        <f aca="false">-In_CIT*(MAX(0,DB123)+DB126)</f>
        <v>-215.198628818107</v>
      </c>
      <c r="DC128" s="35" t="n">
        <f aca="false">-In_CIT*(MAX(0,DC123)+DC126)</f>
        <v>-213.721302840004</v>
      </c>
      <c r="DD128" s="35" t="n">
        <f aca="false">-In_CIT*(MAX(0,DD123)+DD126)</f>
        <v>-210.925676985051</v>
      </c>
      <c r="DE128" s="35" t="n">
        <f aca="false">-In_CIT*(MAX(0,DE123)+DE126)</f>
        <v>-213.269295618218</v>
      </c>
      <c r="DF128" s="35" t="n">
        <f aca="false">-In_CIT*(MAX(0,DF123)+DF126)</f>
        <v>-215.612914251386</v>
      </c>
      <c r="DG128" s="35" t="n">
        <f aca="false">-In_CIT*(MAX(0,DG123)+DG126)</f>
        <v>-390.462027514203</v>
      </c>
      <c r="DH128" s="35" t="n">
        <f aca="false">-In_CIT*(MAX(0,DH123)+DH126)</f>
        <v>-388.040944311337</v>
      </c>
      <c r="DI128" s="35" t="n">
        <f aca="false">-In_CIT*(MAX(0,DI123)+DI126)</f>
        <v>-388.040944311337</v>
      </c>
      <c r="DJ128" s="35" t="n">
        <f aca="false">-In_CIT*(MAX(0,DJ123)+DJ126)</f>
        <v>-392.30513051256</v>
      </c>
      <c r="DK128" s="35" t="n">
        <f aca="false">-In_CIT*(MAX(0,DK123)+DK126)</f>
        <v>-390.810165360226</v>
      </c>
      <c r="DL128" s="35" t="n">
        <f aca="false">-In_CIT*(MAX(0,DL123)+DL126)</f>
        <v>-384.068083069357</v>
      </c>
      <c r="DM128" s="35" t="n">
        <f aca="false">-In_CIT*(MAX(0,DM123)+DM126)</f>
        <v>-388.335506214572</v>
      </c>
      <c r="DN128" s="35" t="n">
        <f aca="false">-In_CIT*(MAX(0,DN123)+DN126)</f>
        <v>-392.602929359787</v>
      </c>
      <c r="DO128" s="35" t="n">
        <f aca="false">-In_CIT*(MAX(0,DO123)+DO126)</f>
        <v>-391.099119566891</v>
      </c>
      <c r="DP128" s="35" t="n">
        <f aca="false">-In_CIT*(MAX(0,DP123)+DP126)</f>
        <v>-384.29967228596</v>
      </c>
      <c r="DQ128" s="35" t="n">
        <f aca="false">-In_CIT*(MAX(0,DQ123)+DQ126)</f>
        <v>-388.569668644693</v>
      </c>
      <c r="DR128" s="35" t="n">
        <f aca="false">-In_CIT*(MAX(0,DR123)+DR126)</f>
        <v>-392.839665003426</v>
      </c>
      <c r="DS128" s="35" t="n">
        <f aca="false">-In_CIT*(MAX(0,DS123)+DS126)</f>
        <v>-391.326994978479</v>
      </c>
      <c r="DT128" s="35" t="n">
        <f aca="false">-In_CIT*(MAX(0,DT123)+DT126)</f>
        <v>-384.469622693208</v>
      </c>
      <c r="DU128" s="35" t="n">
        <f aca="false">-In_CIT*(MAX(0,DU123)+DU126)</f>
        <v>-388.741507389799</v>
      </c>
      <c r="DV128" s="35" t="n">
        <f aca="false">-In_CIT*(MAX(0,DV123)+DV126)</f>
        <v>-393.013392086391</v>
      </c>
      <c r="DW128" s="35" t="n">
        <f aca="false">-In_CIT*(MAX(0,DW123)+DW126)</f>
        <v>-391.491847104446</v>
      </c>
      <c r="DX128" s="35" t="n">
        <f aca="false">-In_CIT*(MAX(0,DX123)+DX126)</f>
        <v>-388.849048200098</v>
      </c>
      <c r="DY128" s="35" t="n">
        <f aca="false">-In_CIT*(MAX(0,DY123)+DY126)</f>
        <v>-388.849048200098</v>
      </c>
      <c r="DZ128" s="35" t="n">
        <f aca="false">-In_CIT*(MAX(0,DZ123)+DZ126)</f>
        <v>-393.122114663836</v>
      </c>
      <c r="EA128" s="35" t="n">
        <f aca="false">-In_CIT*(MAX(0,EA123)+EA126)</f>
        <v>-391.591680894017</v>
      </c>
      <c r="EB128" s="35" t="n">
        <f aca="false">-In_CIT*(MAX(0,EB123)+EB126)</f>
        <v>-384.616746143775</v>
      </c>
      <c r="EC128" s="35" t="n">
        <f aca="false">-In_CIT*(MAX(0,EC123)+EC126)</f>
        <v>-388.890265545373</v>
      </c>
      <c r="ED128" s="35" t="n">
        <f aca="false">-In_CIT*(MAX(0,ED123)+ED126)</f>
        <v>-393.16378494697</v>
      </c>
      <c r="EE128" s="35" t="n">
        <f aca="false">-In_CIT*(MAX(0,EE123)+EE126)</f>
        <v>-391.624449480656</v>
      </c>
      <c r="EF128" s="35" t="n">
        <f aca="false">-In_CIT*(MAX(0,EF123)+EF126)</f>
        <v>-384.589860667834</v>
      </c>
      <c r="EG128" s="35" t="n">
        <f aca="false">-In_CIT*(MAX(0,EG123)+EG126)</f>
        <v>-388.86308134192</v>
      </c>
      <c r="EH128" s="35" t="n">
        <f aca="false">-In_CIT*(MAX(0,EH123)+EH126)</f>
        <v>-393.136302016008</v>
      </c>
      <c r="EI128" s="35" t="n">
        <f aca="false">-In_CIT*(MAX(0,EI123)+EI126)</f>
        <v>-391.5880528957</v>
      </c>
      <c r="EJ128" s="35" t="n">
        <f aca="false">-In_CIT*(MAX(0,EJ123)+EJ126)</f>
        <v>-384.493216794942</v>
      </c>
      <c r="EK128" s="35" t="n">
        <f aca="false">-In_CIT*(MAX(0,EK123)+EK126)</f>
        <v>-388.765363648219</v>
      </c>
      <c r="EL128" s="35" t="n">
        <f aca="false">-In_CIT*(MAX(0,EL123)+EL126)</f>
        <v>-393.037510501496</v>
      </c>
      <c r="EM128" s="35" t="n">
        <f aca="false">-In_CIT*(MAX(0,EM123)+EM126)</f>
        <v>-391.480336750375</v>
      </c>
      <c r="EN128" s="35" t="n">
        <f aca="false">-In_CIT*(MAX(0,EN123)+EN126)</f>
        <v>-388.594925328545</v>
      </c>
      <c r="EO128" s="35" t="n">
        <f aca="false">-In_CIT*(MAX(0,EO123)+EO126)</f>
        <v>-388.594925328545</v>
      </c>
      <c r="EP128" s="35" t="n">
        <f aca="false">-In_CIT*(MAX(0,EP123)+EP126)</f>
        <v>-392.865199233254</v>
      </c>
      <c r="EQ128" s="35" t="n">
        <f aca="false">-In_CIT*(MAX(0,EQ123)+EQ126)</f>
        <v>-391.299090885448</v>
      </c>
      <c r="ER128" s="35" t="n">
        <f aca="false">-In_CIT*(MAX(0,ER123)+ER126)</f>
        <v>-384.081945511414</v>
      </c>
      <c r="ES128" s="35" t="n">
        <f aca="false">-In_CIT*(MAX(0,ES123)+ES126)</f>
        <v>-388.349522683763</v>
      </c>
      <c r="ET128" s="35" t="n">
        <f aca="false">-In_CIT*(MAX(0,ET123)+ET126)</f>
        <v>-392.617099856112</v>
      </c>
    </row>
    <row r="130" customFormat="false" ht="15" hidden="false" customHeight="false" outlineLevel="0" collapsed="false">
      <c r="A130" s="9" t="s">
        <v>13</v>
      </c>
      <c r="B130" s="9"/>
      <c r="C130" s="9" t="s">
        <v>479</v>
      </c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</row>
    <row r="131" customFormat="false" ht="15" hidden="false" customHeight="false" outlineLevel="0" collapsed="false">
      <c r="C131" s="30" t="s">
        <v>45</v>
      </c>
      <c r="D131" s="11" t="s">
        <v>247</v>
      </c>
      <c r="E131" s="35" t="n">
        <f aca="false">In_RtB_Premium*In_MVA</f>
        <v>15000</v>
      </c>
    </row>
    <row r="132" customFormat="false" ht="15" hidden="false" customHeight="false" outlineLevel="0" collapsed="false">
      <c r="A132" s="55"/>
      <c r="B132" s="55"/>
      <c r="C132" s="55" t="s">
        <v>570</v>
      </c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55"/>
      <c r="BA132" s="55"/>
      <c r="BB132" s="55"/>
      <c r="BC132" s="55"/>
      <c r="BD132" s="55"/>
      <c r="BE132" s="55"/>
      <c r="BF132" s="55"/>
      <c r="BG132" s="55"/>
      <c r="BH132" s="55"/>
      <c r="BI132" s="55"/>
      <c r="BJ132" s="55"/>
      <c r="BK132" s="55"/>
      <c r="BL132" s="55"/>
      <c r="BM132" s="55"/>
      <c r="BN132" s="55"/>
      <c r="BO132" s="55"/>
      <c r="BP132" s="55"/>
      <c r="BQ132" s="55"/>
      <c r="BR132" s="55"/>
      <c r="BS132" s="55"/>
      <c r="BT132" s="55"/>
      <c r="BU132" s="55"/>
      <c r="BV132" s="55"/>
      <c r="BW132" s="55"/>
      <c r="BX132" s="55"/>
      <c r="BY132" s="55"/>
      <c r="BZ132" s="55"/>
      <c r="CA132" s="55"/>
      <c r="CB132" s="55"/>
      <c r="CC132" s="55"/>
      <c r="CD132" s="55"/>
      <c r="CE132" s="55"/>
      <c r="CF132" s="55"/>
      <c r="CG132" s="55"/>
      <c r="CH132" s="55"/>
      <c r="CI132" s="55"/>
      <c r="CJ132" s="55"/>
      <c r="CK132" s="55"/>
      <c r="CL132" s="55"/>
      <c r="CM132" s="55"/>
      <c r="CN132" s="55"/>
      <c r="CO132" s="55"/>
      <c r="CP132" s="55"/>
      <c r="CQ132" s="55"/>
      <c r="CR132" s="55"/>
      <c r="CS132" s="55"/>
      <c r="CT132" s="55"/>
      <c r="CU132" s="55"/>
      <c r="CV132" s="55"/>
      <c r="CW132" s="55"/>
      <c r="CX132" s="55"/>
      <c r="CY132" s="55"/>
      <c r="CZ132" s="55"/>
      <c r="DA132" s="55"/>
      <c r="DB132" s="55"/>
      <c r="DC132" s="55"/>
      <c r="DD132" s="55"/>
      <c r="DE132" s="55"/>
      <c r="DF132" s="55"/>
      <c r="DG132" s="55"/>
      <c r="DH132" s="55"/>
      <c r="DI132" s="55"/>
      <c r="DJ132" s="55"/>
      <c r="DK132" s="55"/>
      <c r="DL132" s="55"/>
      <c r="DM132" s="55"/>
      <c r="DN132" s="55"/>
      <c r="DO132" s="55"/>
      <c r="DP132" s="55"/>
      <c r="DQ132" s="55"/>
      <c r="DR132" s="55"/>
      <c r="DS132" s="55"/>
      <c r="DT132" s="55"/>
      <c r="DU132" s="55"/>
      <c r="DV132" s="55"/>
      <c r="DW132" s="55"/>
      <c r="DX132" s="55"/>
      <c r="DY132" s="55"/>
      <c r="DZ132" s="55"/>
      <c r="EA132" s="55"/>
      <c r="EB132" s="55"/>
      <c r="EC132" s="55"/>
      <c r="ED132" s="55"/>
      <c r="EE132" s="55"/>
      <c r="EF132" s="55"/>
      <c r="EG132" s="55"/>
      <c r="EH132" s="55"/>
      <c r="EI132" s="55"/>
      <c r="EJ132" s="55"/>
      <c r="EK132" s="55"/>
      <c r="EL132" s="55"/>
      <c r="EM132" s="55"/>
      <c r="EN132" s="55"/>
      <c r="EO132" s="55"/>
      <c r="EP132" s="55"/>
      <c r="EQ132" s="55"/>
      <c r="ER132" s="55"/>
      <c r="ES132" s="55"/>
      <c r="ET132" s="55"/>
    </row>
    <row r="133" customFormat="false" ht="15" hidden="false" customHeight="false" outlineLevel="0" collapsed="false">
      <c r="C133" s="0" t="s">
        <v>571</v>
      </c>
      <c r="D133" s="11" t="s">
        <v>247</v>
      </c>
      <c r="E133" s="33" t="n">
        <f aca="false">$E65+$E55</f>
        <v>21842.7086410959</v>
      </c>
      <c r="F133" s="33" t="n">
        <f aca="false">MAX(0,$E131+$E133)</f>
        <v>36842.7086410959</v>
      </c>
    </row>
    <row r="134" customFormat="false" ht="15" hidden="false" customHeight="false" outlineLevel="0" collapsed="false">
      <c r="C134" s="0" t="s">
        <v>572</v>
      </c>
      <c r="D134" s="11" t="s">
        <v>247</v>
      </c>
      <c r="E134" s="22" t="n">
        <f aca="false">In_Sale_Costs</f>
        <v>500</v>
      </c>
      <c r="F134" s="33" t="n">
        <f aca="false">MIN($E134,$F133)</f>
        <v>500</v>
      </c>
    </row>
    <row r="135" customFormat="false" ht="15" hidden="false" customHeight="false" outlineLevel="0" collapsed="false">
      <c r="C135" s="0" t="s">
        <v>573</v>
      </c>
      <c r="D135" s="11" t="s">
        <v>247</v>
      </c>
      <c r="E135" s="33" t="n">
        <f aca="false">$E65</f>
        <v>21412.2641205479</v>
      </c>
      <c r="F135" s="33" t="n">
        <f aca="false">MIN($E135,$F133-SUM($F134:$F134))</f>
        <v>21412.2641205479</v>
      </c>
    </row>
    <row r="136" customFormat="false" ht="15" hidden="false" customHeight="false" outlineLevel="0" collapsed="false">
      <c r="C136" s="0" t="s">
        <v>574</v>
      </c>
      <c r="D136" s="11" t="s">
        <v>247</v>
      </c>
      <c r="E136" s="33" t="n">
        <f aca="false">$E68</f>
        <v>1564.53664418093</v>
      </c>
      <c r="F136" s="33" t="n">
        <f aca="false">MIN($E136,$F133-SUM($F134:$F135))</f>
        <v>1564.53664418093</v>
      </c>
    </row>
    <row r="137" customFormat="false" ht="15" hidden="false" customHeight="false" outlineLevel="0" collapsed="false">
      <c r="C137" s="0" t="s">
        <v>575</v>
      </c>
      <c r="D137" s="11" t="s">
        <v>247</v>
      </c>
      <c r="E137" s="33" t="n">
        <f aca="false">$E55</f>
        <v>430.444520547945</v>
      </c>
      <c r="F137" s="33" t="n">
        <f aca="false">MIN($E137,$F133-SUM($F134:$F136))</f>
        <v>430.444520547945</v>
      </c>
    </row>
    <row r="138" customFormat="false" ht="15" hidden="false" customHeight="false" outlineLevel="0" collapsed="false">
      <c r="C138" s="0" t="s">
        <v>576</v>
      </c>
      <c r="D138" s="11" t="s">
        <v>247</v>
      </c>
      <c r="E138" s="33" t="n">
        <f aca="false">$E79</f>
        <v>3119.62451197093</v>
      </c>
      <c r="F138" s="33" t="n">
        <f aca="false">MIN($E138,$F133-SUM($F134:$F137))</f>
        <v>3119.62451197093</v>
      </c>
    </row>
    <row r="139" customFormat="false" ht="15" hidden="false" customHeight="false" outlineLevel="0" collapsed="false">
      <c r="C139" s="0" t="s">
        <v>577</v>
      </c>
      <c r="D139" s="11" t="s">
        <v>247</v>
      </c>
      <c r="E139" s="33" t="n">
        <f aca="false">$E73</f>
        <v>1120.48016110676</v>
      </c>
      <c r="F139" s="33" t="n">
        <f aca="false">MIN($E139,$F133-SUM($F134:$F138))</f>
        <v>1120.48016110676</v>
      </c>
    </row>
    <row r="140" customFormat="false" ht="15" hidden="false" customHeight="false" outlineLevel="0" collapsed="false">
      <c r="C140" s="0" t="s">
        <v>578</v>
      </c>
      <c r="D140" s="11" t="s">
        <v>247</v>
      </c>
      <c r="E140" s="33" t="n">
        <f aca="false">MIN(In_DSA_Cap,In_DSA_Rate*YEARFRAC(In_Signing_Date,$E12,0))*$E24</f>
        <v>1200.65972222222</v>
      </c>
      <c r="F140" s="33" t="n">
        <f aca="false">MIN($E140,$F133-SUM($F134:$F139))</f>
        <v>1200.65972222222</v>
      </c>
    </row>
    <row r="141" customFormat="false" ht="15" hidden="false" customHeight="false" outlineLevel="0" collapsed="false">
      <c r="C141" s="30" t="s">
        <v>161</v>
      </c>
      <c r="D141" s="11" t="s">
        <v>247</v>
      </c>
      <c r="F141" s="35" t="n">
        <f aca="false">MAX(0,$F133-SUM($E134:$E140))</f>
        <v>7494.69896051916</v>
      </c>
    </row>
    <row r="142" customFormat="false" ht="15" hidden="false" customHeight="false" outlineLevel="0" collapsed="false">
      <c r="C142" s="30" t="s">
        <v>579</v>
      </c>
      <c r="D142" s="11" t="s">
        <v>247</v>
      </c>
      <c r="F142" s="35" t="n">
        <f aca="false">SUM($F135:$F139)+In_FEP_Share*$F141</f>
        <v>32893.6392307179</v>
      </c>
    </row>
    <row r="143" customFormat="false" ht="15" hidden="false" customHeight="false" outlineLevel="0" collapsed="false">
      <c r="C143" s="0" t="s">
        <v>580</v>
      </c>
      <c r="D143" s="11" t="s">
        <v>247</v>
      </c>
      <c r="F143" s="33" t="n">
        <f aca="false">$F140+(1-In_FEP_Share)*$F141</f>
        <v>3449.06941037797</v>
      </c>
    </row>
    <row r="144" customFormat="false" ht="15" hidden="false" customHeight="false" outlineLevel="0" collapsed="false">
      <c r="A144" s="55"/>
      <c r="B144" s="55"/>
      <c r="C144" s="55" t="s">
        <v>581</v>
      </c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55"/>
      <c r="BI144" s="55"/>
      <c r="BJ144" s="55"/>
      <c r="BK144" s="55"/>
      <c r="BL144" s="55"/>
      <c r="BM144" s="55"/>
      <c r="BN144" s="55"/>
      <c r="BO144" s="55"/>
      <c r="BP144" s="55"/>
      <c r="BQ144" s="55"/>
      <c r="BR144" s="55"/>
      <c r="BS144" s="55"/>
      <c r="BT144" s="55"/>
      <c r="BU144" s="55"/>
      <c r="BV144" s="55"/>
      <c r="BW144" s="55"/>
      <c r="BX144" s="55"/>
      <c r="BY144" s="55"/>
      <c r="BZ144" s="55"/>
      <c r="CA144" s="55"/>
      <c r="CB144" s="55"/>
      <c r="CC144" s="55"/>
      <c r="CD144" s="55"/>
      <c r="CE144" s="55"/>
      <c r="CF144" s="55"/>
      <c r="CG144" s="55"/>
      <c r="CH144" s="55"/>
      <c r="CI144" s="55"/>
      <c r="CJ144" s="55"/>
      <c r="CK144" s="55"/>
      <c r="CL144" s="55"/>
      <c r="CM144" s="55"/>
      <c r="CN144" s="55"/>
      <c r="CO144" s="55"/>
      <c r="CP144" s="55"/>
      <c r="CQ144" s="55"/>
      <c r="CR144" s="55"/>
      <c r="CS144" s="55"/>
      <c r="CT144" s="55"/>
      <c r="CU144" s="55"/>
      <c r="CV144" s="55"/>
      <c r="CW144" s="55"/>
      <c r="CX144" s="55"/>
      <c r="CY144" s="55"/>
      <c r="CZ144" s="55"/>
      <c r="DA144" s="55"/>
      <c r="DB144" s="55"/>
      <c r="DC144" s="55"/>
      <c r="DD144" s="55"/>
      <c r="DE144" s="55"/>
      <c r="DF144" s="55"/>
      <c r="DG144" s="55"/>
      <c r="DH144" s="55"/>
      <c r="DI144" s="55"/>
      <c r="DJ144" s="55"/>
      <c r="DK144" s="55"/>
      <c r="DL144" s="55"/>
      <c r="DM144" s="55"/>
      <c r="DN144" s="55"/>
      <c r="DO144" s="55"/>
      <c r="DP144" s="55"/>
      <c r="DQ144" s="55"/>
      <c r="DR144" s="55"/>
      <c r="DS144" s="55"/>
      <c r="DT144" s="55"/>
      <c r="DU144" s="55"/>
      <c r="DV144" s="55"/>
      <c r="DW144" s="55"/>
      <c r="DX144" s="55"/>
      <c r="DY144" s="55"/>
      <c r="DZ144" s="55"/>
      <c r="EA144" s="55"/>
      <c r="EB144" s="55"/>
      <c r="EC144" s="55"/>
      <c r="ED144" s="55"/>
      <c r="EE144" s="55"/>
      <c r="EF144" s="55"/>
      <c r="EG144" s="55"/>
      <c r="EH144" s="55"/>
      <c r="EI144" s="55"/>
      <c r="EJ144" s="55"/>
      <c r="EK144" s="55"/>
      <c r="EL144" s="55"/>
      <c r="EM144" s="55"/>
      <c r="EN144" s="55"/>
      <c r="EO144" s="55"/>
      <c r="EP144" s="55"/>
      <c r="EQ144" s="55"/>
      <c r="ER144" s="55"/>
      <c r="ES144" s="55"/>
      <c r="ET144" s="55"/>
    </row>
    <row r="145" customFormat="false" ht="15" hidden="false" customHeight="false" outlineLevel="0" collapsed="false">
      <c r="C145" s="0" t="s">
        <v>582</v>
      </c>
      <c r="D145" s="11" t="s">
        <v>247</v>
      </c>
      <c r="E145" s="33" t="n">
        <f aca="false">$F135+$F137</f>
        <v>21842.7086410959</v>
      </c>
      <c r="F145" s="33" t="n">
        <f aca="false">In_FEP_Share*$F141</f>
        <v>5246.28927236341</v>
      </c>
    </row>
    <row r="146" customFormat="false" ht="15" hidden="false" customHeight="false" outlineLevel="0" collapsed="false">
      <c r="C146" s="0" t="s">
        <v>583</v>
      </c>
      <c r="D146" s="11" t="s">
        <v>247</v>
      </c>
      <c r="E146" s="33" t="n">
        <f aca="false">$E55-$E57-$E47</f>
        <v>-2697.39916950517</v>
      </c>
    </row>
    <row r="147" customFormat="false" ht="15" hidden="false" customHeight="false" outlineLevel="0" collapsed="false">
      <c r="C147" s="30" t="s">
        <v>584</v>
      </c>
      <c r="D147" s="11" t="s">
        <v>247</v>
      </c>
      <c r="E147" s="35" t="n">
        <f aca="false">$F136+$F138+$F139</f>
        <v>5804.64131725861</v>
      </c>
      <c r="F147" s="35" t="n">
        <f aca="false">$E147+$F145+$E146</f>
        <v>8353.53142011685</v>
      </c>
    </row>
    <row r="148" customFormat="false" ht="15" hidden="false" customHeight="false" outlineLevel="0" collapsed="false">
      <c r="C148" s="0" t="s">
        <v>585</v>
      </c>
      <c r="D148" s="11" t="s">
        <v>247</v>
      </c>
      <c r="E148" s="33" t="n">
        <f aca="false">(1-In_FEP_Share)*$F141</f>
        <v>2248.40968815575</v>
      </c>
    </row>
    <row r="149" customFormat="false" ht="15" hidden="false" customHeight="false" outlineLevel="0" collapsed="false">
      <c r="C149" s="0" t="s">
        <v>586</v>
      </c>
      <c r="D149" s="11" t="s">
        <v>27</v>
      </c>
      <c r="E149" s="32" t="n">
        <f aca="false">$F147/$E24</f>
        <v>55.3214001332242</v>
      </c>
      <c r="F149" s="32" t="n">
        <f aca="false">$F143/$E24</f>
        <v>22.8415192740263</v>
      </c>
    </row>
    <row r="150" customFormat="false" ht="15" hidden="false" customHeight="false" outlineLevel="0" collapsed="false">
      <c r="A150" s="55"/>
      <c r="B150" s="55"/>
      <c r="C150" s="55" t="s">
        <v>587</v>
      </c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  <c r="BJ150" s="55"/>
      <c r="BK150" s="55"/>
      <c r="BL150" s="55"/>
      <c r="BM150" s="55"/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5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55"/>
      <c r="CO150" s="55"/>
      <c r="CP150" s="55"/>
      <c r="CQ150" s="55"/>
      <c r="CR150" s="55"/>
      <c r="CS150" s="55"/>
      <c r="CT150" s="55"/>
      <c r="CU150" s="55"/>
      <c r="CV150" s="55"/>
      <c r="CW150" s="55"/>
      <c r="CX150" s="55"/>
      <c r="CY150" s="55"/>
      <c r="CZ150" s="55"/>
      <c r="DA150" s="55"/>
      <c r="DB150" s="55"/>
      <c r="DC150" s="55"/>
      <c r="DD150" s="55"/>
      <c r="DE150" s="55"/>
      <c r="DF150" s="55"/>
      <c r="DG150" s="55"/>
      <c r="DH150" s="55"/>
      <c r="DI150" s="55"/>
      <c r="DJ150" s="55"/>
      <c r="DK150" s="55"/>
      <c r="DL150" s="55"/>
      <c r="DM150" s="55"/>
      <c r="DN150" s="55"/>
      <c r="DO150" s="55"/>
      <c r="DP150" s="55"/>
      <c r="DQ150" s="55"/>
      <c r="DR150" s="55"/>
      <c r="DS150" s="55"/>
      <c r="DT150" s="55"/>
      <c r="DU150" s="55"/>
      <c r="DV150" s="55"/>
      <c r="DW150" s="55"/>
      <c r="DX150" s="55"/>
      <c r="DY150" s="55"/>
      <c r="DZ150" s="55"/>
      <c r="EA150" s="55"/>
      <c r="EB150" s="55"/>
      <c r="EC150" s="55"/>
      <c r="ED150" s="55"/>
      <c r="EE150" s="55"/>
      <c r="EF150" s="55"/>
      <c r="EG150" s="55"/>
      <c r="EH150" s="55"/>
      <c r="EI150" s="55"/>
      <c r="EJ150" s="55"/>
      <c r="EK150" s="55"/>
      <c r="EL150" s="55"/>
      <c r="EM150" s="55"/>
      <c r="EN150" s="55"/>
      <c r="EO150" s="55"/>
      <c r="EP150" s="55"/>
      <c r="EQ150" s="55"/>
      <c r="ER150" s="55"/>
      <c r="ES150" s="55"/>
      <c r="ET150" s="55"/>
    </row>
    <row r="151" customFormat="false" ht="15" hidden="false" customHeight="false" outlineLevel="0" collapsed="false">
      <c r="C151" s="0" t="s">
        <v>588</v>
      </c>
      <c r="D151" s="11" t="s">
        <v>247</v>
      </c>
      <c r="E151" s="33" t="n">
        <f aca="false">-In_CIT*MAX(0,$I151-In_FEP_Share*$F141)</f>
        <v>-128.61785929143</v>
      </c>
      <c r="I151" s="33" t="n">
        <f aca="false">SUM(J151:ET151)</f>
        <v>6675.37659782375</v>
      </c>
      <c r="J151" s="33" t="n">
        <f aca="false">(J60+J53)*(J$4&lt;=$E12)+$F142*J12</f>
        <v>-400</v>
      </c>
      <c r="K151" s="33" t="n">
        <f aca="false">(K60+K53)*(K$4&lt;=$E12)+$F142*K12</f>
        <v>-1437.78053818728</v>
      </c>
      <c r="L151" s="33" t="n">
        <f aca="false">(L60+L53)*(L$4&lt;=$E12)+$F142*L12</f>
        <v>-691.910911990993</v>
      </c>
      <c r="M151" s="33" t="n">
        <f aca="false">(M60+M53)*(M$4&lt;=$E12)+$F142*M12</f>
        <v>-148.451634452993</v>
      </c>
      <c r="N151" s="33" t="n">
        <f aca="false">(N60+N53)*(N$4&lt;=$E12)+$F142*N12</f>
        <v>-149.601261024582</v>
      </c>
      <c r="O151" s="33" t="n">
        <f aca="false">(O60+O53)*(O$4&lt;=$E12)+$F142*O12</f>
        <v>-290.127288421843</v>
      </c>
      <c r="P151" s="33" t="n">
        <f aca="false">(P60+P53)*(P$4&lt;=$E12)+$F142*P12</f>
        <v>-1394.65781281475</v>
      </c>
      <c r="Q151" s="33" t="n">
        <f aca="false">(Q60+Q53)*(Q$4&lt;=$E12)+$F142*Q12</f>
        <v>-109.225607055733</v>
      </c>
      <c r="R151" s="33" t="n">
        <f aca="false">(R60+R53)*(R$4&lt;=$E12)+$F142*R12</f>
        <v>-269.857154566657</v>
      </c>
      <c r="S151" s="33" t="n">
        <f aca="false">(S60+S53)*(S$4&lt;=$E12)+$F142*S12</f>
        <v>-422.991783283459</v>
      </c>
      <c r="T151" s="33" t="n">
        <f aca="false">(T60+T53)*(T$4&lt;=$E12)+$F142*T12</f>
        <v>-20587.5113339088</v>
      </c>
      <c r="U151" s="33" t="n">
        <f aca="false">(U60+U53)*(U$4&lt;=$E12)+$F142*U12</f>
        <v>-104.616018014637</v>
      </c>
      <c r="V151" s="33" t="n">
        <f aca="false">(V60+V53)*(V$4&lt;=$E12)+$F142*V12</f>
        <v>-105.765644586226</v>
      </c>
      <c r="W151" s="33" t="n">
        <f aca="false">(W60+W53)*(W$4&lt;=$E12)+$F142*W12</f>
        <v>32787.8735861317</v>
      </c>
      <c r="X151" s="33" t="n">
        <f aca="false">(X60+X53)*(X$4&lt;=$E12)+$F142*X12</f>
        <v>0</v>
      </c>
      <c r="Y151" s="33" t="n">
        <f aca="false">(Y60+Y53)*(Y$4&lt;=$E12)+$F142*Y12</f>
        <v>0</v>
      </c>
      <c r="Z151" s="33" t="n">
        <f aca="false">(Z60+Z53)*(Z$4&lt;=$E12)+$F142*Z12</f>
        <v>0</v>
      </c>
      <c r="AA151" s="33" t="n">
        <f aca="false">(AA60+AA53)*(AA$4&lt;=$E12)+$F142*AA12</f>
        <v>0</v>
      </c>
      <c r="AB151" s="33" t="n">
        <f aca="false">(AB60+AB53)*(AB$4&lt;=$E12)+$F142*AB12</f>
        <v>0</v>
      </c>
      <c r="AC151" s="33" t="n">
        <f aca="false">(AC60+AC53)*(AC$4&lt;=$E12)+$F142*AC12</f>
        <v>0</v>
      </c>
      <c r="AD151" s="33" t="n">
        <f aca="false">(AD60+AD53)*(AD$4&lt;=$E12)+$F142*AD12</f>
        <v>0</v>
      </c>
      <c r="AE151" s="33" t="n">
        <f aca="false">(AE60+AE53)*(AE$4&lt;=$E12)+$F142*AE12</f>
        <v>0</v>
      </c>
      <c r="AF151" s="33" t="n">
        <f aca="false">(AF60+AF53)*(AF$4&lt;=$E12)+$F142*AF12</f>
        <v>0</v>
      </c>
      <c r="AG151" s="33" t="n">
        <f aca="false">(AG60+AG53)*(AG$4&lt;=$E12)+$F142*AG12</f>
        <v>0</v>
      </c>
      <c r="AH151" s="33" t="n">
        <f aca="false">(AH60+AH53)*(AH$4&lt;=$E12)+$F142*AH12</f>
        <v>0</v>
      </c>
      <c r="AI151" s="33" t="n">
        <f aca="false">(AI60+AI53)*(AI$4&lt;=$E12)+$F142*AI12</f>
        <v>0</v>
      </c>
      <c r="AJ151" s="33" t="n">
        <f aca="false">(AJ60+AJ53)*(AJ$4&lt;=$E12)+$F142*AJ12</f>
        <v>0</v>
      </c>
      <c r="AK151" s="33" t="n">
        <f aca="false">(AK60+AK53)*(AK$4&lt;=$E12)+$F142*AK12</f>
        <v>0</v>
      </c>
      <c r="AL151" s="33" t="n">
        <f aca="false">(AL60+AL53)*(AL$4&lt;=$E12)+$F142*AL12</f>
        <v>0</v>
      </c>
      <c r="AM151" s="33" t="n">
        <f aca="false">(AM60+AM53)*(AM$4&lt;=$E12)+$F142*AM12</f>
        <v>0</v>
      </c>
      <c r="AN151" s="33" t="n">
        <f aca="false">(AN60+AN53)*(AN$4&lt;=$E12)+$F142*AN12</f>
        <v>0</v>
      </c>
      <c r="AO151" s="33" t="n">
        <f aca="false">(AO60+AO53)*(AO$4&lt;=$E12)+$F142*AO12</f>
        <v>0</v>
      </c>
      <c r="AP151" s="33" t="n">
        <f aca="false">(AP60+AP53)*(AP$4&lt;=$E12)+$F142*AP12</f>
        <v>0</v>
      </c>
      <c r="AQ151" s="33" t="n">
        <f aca="false">(AQ60+AQ53)*(AQ$4&lt;=$E12)+$F142*AQ12</f>
        <v>0</v>
      </c>
      <c r="AR151" s="33" t="n">
        <f aca="false">(AR60+AR53)*(AR$4&lt;=$E12)+$F142*AR12</f>
        <v>0</v>
      </c>
      <c r="AS151" s="33" t="n">
        <f aca="false">(AS60+AS53)*(AS$4&lt;=$E12)+$F142*AS12</f>
        <v>0</v>
      </c>
      <c r="AT151" s="33" t="n">
        <f aca="false">(AT60+AT53)*(AT$4&lt;=$E12)+$F142*AT12</f>
        <v>0</v>
      </c>
      <c r="AU151" s="33" t="n">
        <f aca="false">(AU60+AU53)*(AU$4&lt;=$E12)+$F142*AU12</f>
        <v>0</v>
      </c>
      <c r="AV151" s="33" t="n">
        <f aca="false">(AV60+AV53)*(AV$4&lt;=$E12)+$F142*AV12</f>
        <v>0</v>
      </c>
      <c r="AW151" s="33" t="n">
        <f aca="false">(AW60+AW53)*(AW$4&lt;=$E12)+$F142*AW12</f>
        <v>0</v>
      </c>
      <c r="AX151" s="33" t="n">
        <f aca="false">(AX60+AX53)*(AX$4&lt;=$E12)+$F142*AX12</f>
        <v>0</v>
      </c>
      <c r="AY151" s="33" t="n">
        <f aca="false">(AY60+AY53)*(AY$4&lt;=$E12)+$F142*AY12</f>
        <v>0</v>
      </c>
      <c r="AZ151" s="33" t="n">
        <f aca="false">(AZ60+AZ53)*(AZ$4&lt;=$E12)+$F142*AZ12</f>
        <v>0</v>
      </c>
      <c r="BA151" s="33" t="n">
        <f aca="false">(BA60+BA53)*(BA$4&lt;=$E12)+$F142*BA12</f>
        <v>0</v>
      </c>
      <c r="BB151" s="33" t="n">
        <f aca="false">(BB60+BB53)*(BB$4&lt;=$E12)+$F142*BB12</f>
        <v>0</v>
      </c>
      <c r="BC151" s="33" t="n">
        <f aca="false">(BC60+BC53)*(BC$4&lt;=$E12)+$F142*BC12</f>
        <v>0</v>
      </c>
      <c r="BD151" s="33" t="n">
        <f aca="false">(BD60+BD53)*(BD$4&lt;=$E12)+$F142*BD12</f>
        <v>0</v>
      </c>
      <c r="BE151" s="33" t="n">
        <f aca="false">(BE60+BE53)*(BE$4&lt;=$E12)+$F142*BE12</f>
        <v>0</v>
      </c>
      <c r="BF151" s="33" t="n">
        <f aca="false">(BF60+BF53)*(BF$4&lt;=$E12)+$F142*BF12</f>
        <v>0</v>
      </c>
      <c r="BG151" s="33" t="n">
        <f aca="false">(BG60+BG53)*(BG$4&lt;=$E12)+$F142*BG12</f>
        <v>0</v>
      </c>
      <c r="BH151" s="33" t="n">
        <f aca="false">(BH60+BH53)*(BH$4&lt;=$E12)+$F142*BH12</f>
        <v>0</v>
      </c>
      <c r="BI151" s="33" t="n">
        <f aca="false">(BI60+BI53)*(BI$4&lt;=$E12)+$F142*BI12</f>
        <v>0</v>
      </c>
      <c r="BJ151" s="33" t="n">
        <f aca="false">(BJ60+BJ53)*(BJ$4&lt;=$E12)+$F142*BJ12</f>
        <v>0</v>
      </c>
      <c r="BK151" s="33" t="n">
        <f aca="false">(BK60+BK53)*(BK$4&lt;=$E12)+$F142*BK12</f>
        <v>0</v>
      </c>
      <c r="BL151" s="33" t="n">
        <f aca="false">(BL60+BL53)*(BL$4&lt;=$E12)+$F142*BL12</f>
        <v>0</v>
      </c>
      <c r="BM151" s="33" t="n">
        <f aca="false">(BM60+BM53)*(BM$4&lt;=$E12)+$F142*BM12</f>
        <v>0</v>
      </c>
      <c r="BN151" s="33" t="n">
        <f aca="false">(BN60+BN53)*(BN$4&lt;=$E12)+$F142*BN12</f>
        <v>0</v>
      </c>
      <c r="BO151" s="33" t="n">
        <f aca="false">(BO60+BO53)*(BO$4&lt;=$E12)+$F142*BO12</f>
        <v>0</v>
      </c>
      <c r="BP151" s="33" t="n">
        <f aca="false">(BP60+BP53)*(BP$4&lt;=$E12)+$F142*BP12</f>
        <v>0</v>
      </c>
      <c r="BQ151" s="33" t="n">
        <f aca="false">(BQ60+BQ53)*(BQ$4&lt;=$E12)+$F142*BQ12</f>
        <v>0</v>
      </c>
      <c r="BR151" s="33" t="n">
        <f aca="false">(BR60+BR53)*(BR$4&lt;=$E12)+$F142*BR12</f>
        <v>0</v>
      </c>
      <c r="BS151" s="33" t="n">
        <f aca="false">(BS60+BS53)*(BS$4&lt;=$E12)+$F142*BS12</f>
        <v>0</v>
      </c>
      <c r="BT151" s="33" t="n">
        <f aca="false">(BT60+BT53)*(BT$4&lt;=$E12)+$F142*BT12</f>
        <v>0</v>
      </c>
      <c r="BU151" s="33" t="n">
        <f aca="false">(BU60+BU53)*(BU$4&lt;=$E12)+$F142*BU12</f>
        <v>0</v>
      </c>
      <c r="BV151" s="33" t="n">
        <f aca="false">(BV60+BV53)*(BV$4&lt;=$E12)+$F142*BV12</f>
        <v>0</v>
      </c>
      <c r="BW151" s="33" t="n">
        <f aca="false">(BW60+BW53)*(BW$4&lt;=$E12)+$F142*BW12</f>
        <v>0</v>
      </c>
      <c r="BX151" s="33" t="n">
        <f aca="false">(BX60+BX53)*(BX$4&lt;=$E12)+$F142*BX12</f>
        <v>0</v>
      </c>
      <c r="BY151" s="33" t="n">
        <f aca="false">(BY60+BY53)*(BY$4&lt;=$E12)+$F142*BY12</f>
        <v>0</v>
      </c>
      <c r="BZ151" s="33" t="n">
        <f aca="false">(BZ60+BZ53)*(BZ$4&lt;=$E12)+$F142*BZ12</f>
        <v>0</v>
      </c>
      <c r="CA151" s="33" t="n">
        <f aca="false">(CA60+CA53)*(CA$4&lt;=$E12)+$F142*CA12</f>
        <v>0</v>
      </c>
      <c r="CB151" s="33" t="n">
        <f aca="false">(CB60+CB53)*(CB$4&lt;=$E12)+$F142*CB12</f>
        <v>0</v>
      </c>
      <c r="CC151" s="33" t="n">
        <f aca="false">(CC60+CC53)*(CC$4&lt;=$E12)+$F142*CC12</f>
        <v>0</v>
      </c>
      <c r="CD151" s="33" t="n">
        <f aca="false">(CD60+CD53)*(CD$4&lt;=$E12)+$F142*CD12</f>
        <v>0</v>
      </c>
      <c r="CE151" s="33" t="n">
        <f aca="false">(CE60+CE53)*(CE$4&lt;=$E12)+$F142*CE12</f>
        <v>0</v>
      </c>
      <c r="CF151" s="33" t="n">
        <f aca="false">(CF60+CF53)*(CF$4&lt;=$E12)+$F142*CF12</f>
        <v>0</v>
      </c>
      <c r="CG151" s="33" t="n">
        <f aca="false">(CG60+CG53)*(CG$4&lt;=$E12)+$F142*CG12</f>
        <v>0</v>
      </c>
      <c r="CH151" s="33" t="n">
        <f aca="false">(CH60+CH53)*(CH$4&lt;=$E12)+$F142*CH12</f>
        <v>0</v>
      </c>
      <c r="CI151" s="33" t="n">
        <f aca="false">(CI60+CI53)*(CI$4&lt;=$E12)+$F142*CI12</f>
        <v>0</v>
      </c>
      <c r="CJ151" s="33" t="n">
        <f aca="false">(CJ60+CJ53)*(CJ$4&lt;=$E12)+$F142*CJ12</f>
        <v>0</v>
      </c>
      <c r="CK151" s="33" t="n">
        <f aca="false">(CK60+CK53)*(CK$4&lt;=$E12)+$F142*CK12</f>
        <v>0</v>
      </c>
      <c r="CL151" s="33" t="n">
        <f aca="false">(CL60+CL53)*(CL$4&lt;=$E12)+$F142*CL12</f>
        <v>0</v>
      </c>
      <c r="CM151" s="33" t="n">
        <f aca="false">(CM60+CM53)*(CM$4&lt;=$E12)+$F142*CM12</f>
        <v>0</v>
      </c>
      <c r="CN151" s="33" t="n">
        <f aca="false">(CN60+CN53)*(CN$4&lt;=$E12)+$F142*CN12</f>
        <v>0</v>
      </c>
      <c r="CO151" s="33" t="n">
        <f aca="false">(CO60+CO53)*(CO$4&lt;=$E12)+$F142*CO12</f>
        <v>0</v>
      </c>
      <c r="CP151" s="33" t="n">
        <f aca="false">(CP60+CP53)*(CP$4&lt;=$E12)+$F142*CP12</f>
        <v>0</v>
      </c>
      <c r="CQ151" s="33" t="n">
        <f aca="false">(CQ60+CQ53)*(CQ$4&lt;=$E12)+$F142*CQ12</f>
        <v>0</v>
      </c>
      <c r="CR151" s="33" t="n">
        <f aca="false">(CR60+CR53)*(CR$4&lt;=$E12)+$F142*CR12</f>
        <v>0</v>
      </c>
      <c r="CS151" s="33" t="n">
        <f aca="false">(CS60+CS53)*(CS$4&lt;=$E12)+$F142*CS12</f>
        <v>0</v>
      </c>
      <c r="CT151" s="33" t="n">
        <f aca="false">(CT60+CT53)*(CT$4&lt;=$E12)+$F142*CT12</f>
        <v>0</v>
      </c>
      <c r="CU151" s="33" t="n">
        <f aca="false">(CU60+CU53)*(CU$4&lt;=$E12)+$F142*CU12</f>
        <v>0</v>
      </c>
      <c r="CV151" s="33" t="n">
        <f aca="false">(CV60+CV53)*(CV$4&lt;=$E12)+$F142*CV12</f>
        <v>0</v>
      </c>
      <c r="CW151" s="33" t="n">
        <f aca="false">(CW60+CW53)*(CW$4&lt;=$E12)+$F142*CW12</f>
        <v>0</v>
      </c>
      <c r="CX151" s="33" t="n">
        <f aca="false">(CX60+CX53)*(CX$4&lt;=$E12)+$F142*CX12</f>
        <v>0</v>
      </c>
      <c r="CY151" s="33" t="n">
        <f aca="false">(CY60+CY53)*(CY$4&lt;=$E12)+$F142*CY12</f>
        <v>0</v>
      </c>
      <c r="CZ151" s="33" t="n">
        <f aca="false">(CZ60+CZ53)*(CZ$4&lt;=$E12)+$F142*CZ12</f>
        <v>0</v>
      </c>
      <c r="DA151" s="33" t="n">
        <f aca="false">(DA60+DA53)*(DA$4&lt;=$E12)+$F142*DA12</f>
        <v>0</v>
      </c>
      <c r="DB151" s="33" t="n">
        <f aca="false">(DB60+DB53)*(DB$4&lt;=$E12)+$F142*DB12</f>
        <v>0</v>
      </c>
      <c r="DC151" s="33" t="n">
        <f aca="false">(DC60+DC53)*(DC$4&lt;=$E12)+$F142*DC12</f>
        <v>0</v>
      </c>
      <c r="DD151" s="33" t="n">
        <f aca="false">(DD60+DD53)*(DD$4&lt;=$E12)+$F142*DD12</f>
        <v>0</v>
      </c>
      <c r="DE151" s="33" t="n">
        <f aca="false">(DE60+DE53)*(DE$4&lt;=$E12)+$F142*DE12</f>
        <v>0</v>
      </c>
      <c r="DF151" s="33" t="n">
        <f aca="false">(DF60+DF53)*(DF$4&lt;=$E12)+$F142*DF12</f>
        <v>0</v>
      </c>
      <c r="DG151" s="33" t="n">
        <f aca="false">(DG60+DG53)*(DG$4&lt;=$E12)+$F142*DG12</f>
        <v>0</v>
      </c>
      <c r="DH151" s="33" t="n">
        <f aca="false">(DH60+DH53)*(DH$4&lt;=$E12)+$F142*DH12</f>
        <v>0</v>
      </c>
      <c r="DI151" s="33" t="n">
        <f aca="false">(DI60+DI53)*(DI$4&lt;=$E12)+$F142*DI12</f>
        <v>0</v>
      </c>
      <c r="DJ151" s="33" t="n">
        <f aca="false">(DJ60+DJ53)*(DJ$4&lt;=$E12)+$F142*DJ12</f>
        <v>0</v>
      </c>
      <c r="DK151" s="33" t="n">
        <f aca="false">(DK60+DK53)*(DK$4&lt;=$E12)+$F142*DK12</f>
        <v>0</v>
      </c>
      <c r="DL151" s="33" t="n">
        <f aca="false">(DL60+DL53)*(DL$4&lt;=$E12)+$F142*DL12</f>
        <v>0</v>
      </c>
      <c r="DM151" s="33" t="n">
        <f aca="false">(DM60+DM53)*(DM$4&lt;=$E12)+$F142*DM12</f>
        <v>0</v>
      </c>
      <c r="DN151" s="33" t="n">
        <f aca="false">(DN60+DN53)*(DN$4&lt;=$E12)+$F142*DN12</f>
        <v>0</v>
      </c>
      <c r="DO151" s="33" t="n">
        <f aca="false">(DO60+DO53)*(DO$4&lt;=$E12)+$F142*DO12</f>
        <v>0</v>
      </c>
      <c r="DP151" s="33" t="n">
        <f aca="false">(DP60+DP53)*(DP$4&lt;=$E12)+$F142*DP12</f>
        <v>0</v>
      </c>
      <c r="DQ151" s="33" t="n">
        <f aca="false">(DQ60+DQ53)*(DQ$4&lt;=$E12)+$F142*DQ12</f>
        <v>0</v>
      </c>
      <c r="DR151" s="33" t="n">
        <f aca="false">(DR60+DR53)*(DR$4&lt;=$E12)+$F142*DR12</f>
        <v>0</v>
      </c>
      <c r="DS151" s="33" t="n">
        <f aca="false">(DS60+DS53)*(DS$4&lt;=$E12)+$F142*DS12</f>
        <v>0</v>
      </c>
      <c r="DT151" s="33" t="n">
        <f aca="false">(DT60+DT53)*(DT$4&lt;=$E12)+$F142*DT12</f>
        <v>0</v>
      </c>
      <c r="DU151" s="33" t="n">
        <f aca="false">(DU60+DU53)*(DU$4&lt;=$E12)+$F142*DU12</f>
        <v>0</v>
      </c>
      <c r="DV151" s="33" t="n">
        <f aca="false">(DV60+DV53)*(DV$4&lt;=$E12)+$F142*DV12</f>
        <v>0</v>
      </c>
      <c r="DW151" s="33" t="n">
        <f aca="false">(DW60+DW53)*(DW$4&lt;=$E12)+$F142*DW12</f>
        <v>0</v>
      </c>
      <c r="DX151" s="33" t="n">
        <f aca="false">(DX60+DX53)*(DX$4&lt;=$E12)+$F142*DX12</f>
        <v>0</v>
      </c>
      <c r="DY151" s="33" t="n">
        <f aca="false">(DY60+DY53)*(DY$4&lt;=$E12)+$F142*DY12</f>
        <v>0</v>
      </c>
      <c r="DZ151" s="33" t="n">
        <f aca="false">(DZ60+DZ53)*(DZ$4&lt;=$E12)+$F142*DZ12</f>
        <v>0</v>
      </c>
      <c r="EA151" s="33" t="n">
        <f aca="false">(EA60+EA53)*(EA$4&lt;=$E12)+$F142*EA12</f>
        <v>0</v>
      </c>
      <c r="EB151" s="33" t="n">
        <f aca="false">(EB60+EB53)*(EB$4&lt;=$E12)+$F142*EB12</f>
        <v>0</v>
      </c>
      <c r="EC151" s="33" t="n">
        <f aca="false">(EC60+EC53)*(EC$4&lt;=$E12)+$F142*EC12</f>
        <v>0</v>
      </c>
      <c r="ED151" s="33" t="n">
        <f aca="false">(ED60+ED53)*(ED$4&lt;=$E12)+$F142*ED12</f>
        <v>0</v>
      </c>
      <c r="EE151" s="33" t="n">
        <f aca="false">(EE60+EE53)*(EE$4&lt;=$E12)+$F142*EE12</f>
        <v>0</v>
      </c>
      <c r="EF151" s="33" t="n">
        <f aca="false">(EF60+EF53)*(EF$4&lt;=$E12)+$F142*EF12</f>
        <v>0</v>
      </c>
      <c r="EG151" s="33" t="n">
        <f aca="false">(EG60+EG53)*(EG$4&lt;=$E12)+$F142*EG12</f>
        <v>0</v>
      </c>
      <c r="EH151" s="33" t="n">
        <f aca="false">(EH60+EH53)*(EH$4&lt;=$E12)+$F142*EH12</f>
        <v>0</v>
      </c>
      <c r="EI151" s="33" t="n">
        <f aca="false">(EI60+EI53)*(EI$4&lt;=$E12)+$F142*EI12</f>
        <v>0</v>
      </c>
      <c r="EJ151" s="33" t="n">
        <f aca="false">(EJ60+EJ53)*(EJ$4&lt;=$E12)+$F142*EJ12</f>
        <v>0</v>
      </c>
      <c r="EK151" s="33" t="n">
        <f aca="false">(EK60+EK53)*(EK$4&lt;=$E12)+$F142*EK12</f>
        <v>0</v>
      </c>
      <c r="EL151" s="33" t="n">
        <f aca="false">(EL60+EL53)*(EL$4&lt;=$E12)+$F142*EL12</f>
        <v>0</v>
      </c>
      <c r="EM151" s="33" t="n">
        <f aca="false">(EM60+EM53)*(EM$4&lt;=$E12)+$F142*EM12</f>
        <v>0</v>
      </c>
      <c r="EN151" s="33" t="n">
        <f aca="false">(EN60+EN53)*(EN$4&lt;=$E12)+$F142*EN12</f>
        <v>0</v>
      </c>
      <c r="EO151" s="33" t="n">
        <f aca="false">(EO60+EO53)*(EO$4&lt;=$E12)+$F142*EO12</f>
        <v>0</v>
      </c>
      <c r="EP151" s="33" t="n">
        <f aca="false">(EP60+EP53)*(EP$4&lt;=$E12)+$F142*EP12</f>
        <v>0</v>
      </c>
      <c r="EQ151" s="33" t="n">
        <f aca="false">(EQ60+EQ53)*(EQ$4&lt;=$E12)+$F142*EQ12</f>
        <v>0</v>
      </c>
      <c r="ER151" s="33" t="n">
        <f aca="false">(ER60+ER53)*(ER$4&lt;=$E12)+$F142*ER12</f>
        <v>0</v>
      </c>
      <c r="ES151" s="33" t="n">
        <f aca="false">(ES60+ES53)*(ES$4&lt;=$E12)+$F142*ES12</f>
        <v>0</v>
      </c>
      <c r="ET151" s="33" t="n">
        <f aca="false">(ET60+ET53)*(ET$4&lt;=$E12)+$F142*ET12</f>
        <v>0</v>
      </c>
    </row>
    <row r="152" customFormat="false" ht="15" hidden="false" customHeight="false" outlineLevel="0" collapsed="false">
      <c r="C152" s="30" t="s">
        <v>589</v>
      </c>
      <c r="D152" s="11" t="s">
        <v>247</v>
      </c>
      <c r="I152" s="35" t="n">
        <f aca="false">SUM(J152:ET152)</f>
        <v>6546.75873853232</v>
      </c>
      <c r="J152" s="35" t="n">
        <f aca="false">J151+$E151*J12</f>
        <v>-400</v>
      </c>
      <c r="K152" s="35" t="n">
        <f aca="false">K151+$E151*K12</f>
        <v>-1437.78053818728</v>
      </c>
      <c r="L152" s="35" t="n">
        <f aca="false">L151+$E151*L12</f>
        <v>-691.910911990993</v>
      </c>
      <c r="M152" s="35" t="n">
        <f aca="false">M151+$E151*M12</f>
        <v>-148.451634452993</v>
      </c>
      <c r="N152" s="35" t="n">
        <f aca="false">N151+$E151*N12</f>
        <v>-149.601261024582</v>
      </c>
      <c r="O152" s="35" t="n">
        <f aca="false">O151+$E151*O12</f>
        <v>-290.127288421843</v>
      </c>
      <c r="P152" s="35" t="n">
        <f aca="false">P151+$E151*P12</f>
        <v>-1394.65781281475</v>
      </c>
      <c r="Q152" s="35" t="n">
        <f aca="false">Q151+$E151*Q12</f>
        <v>-109.225607055733</v>
      </c>
      <c r="R152" s="35" t="n">
        <f aca="false">R151+$E151*R12</f>
        <v>-269.857154566657</v>
      </c>
      <c r="S152" s="35" t="n">
        <f aca="false">S151+$E151*S12</f>
        <v>-422.991783283459</v>
      </c>
      <c r="T152" s="35" t="n">
        <f aca="false">T151+$E151*T12</f>
        <v>-20587.5113339088</v>
      </c>
      <c r="U152" s="35" t="n">
        <f aca="false">U151+$E151*U12</f>
        <v>-104.616018014637</v>
      </c>
      <c r="V152" s="35" t="n">
        <f aca="false">V151+$E151*V12</f>
        <v>-105.765644586226</v>
      </c>
      <c r="W152" s="35" t="n">
        <f aca="false">W151+$E151*W12</f>
        <v>32659.2557268403</v>
      </c>
      <c r="X152" s="35" t="n">
        <f aca="false">X151+$E151*X12</f>
        <v>0</v>
      </c>
      <c r="Y152" s="35" t="n">
        <f aca="false">Y151+$E151*Y12</f>
        <v>0</v>
      </c>
      <c r="Z152" s="35" t="n">
        <f aca="false">Z151+$E151*Z12</f>
        <v>0</v>
      </c>
      <c r="AA152" s="35" t="n">
        <f aca="false">AA151+$E151*AA12</f>
        <v>0</v>
      </c>
      <c r="AB152" s="35" t="n">
        <f aca="false">AB151+$E151*AB12</f>
        <v>0</v>
      </c>
      <c r="AC152" s="35" t="n">
        <f aca="false">AC151+$E151*AC12</f>
        <v>0</v>
      </c>
      <c r="AD152" s="35" t="n">
        <f aca="false">AD151+$E151*AD12</f>
        <v>0</v>
      </c>
      <c r="AE152" s="35" t="n">
        <f aca="false">AE151+$E151*AE12</f>
        <v>0</v>
      </c>
      <c r="AF152" s="35" t="n">
        <f aca="false">AF151+$E151*AF12</f>
        <v>0</v>
      </c>
      <c r="AG152" s="35" t="n">
        <f aca="false">AG151+$E151*AG12</f>
        <v>0</v>
      </c>
      <c r="AH152" s="35" t="n">
        <f aca="false">AH151+$E151*AH12</f>
        <v>0</v>
      </c>
      <c r="AI152" s="35" t="n">
        <f aca="false">AI151+$E151*AI12</f>
        <v>0</v>
      </c>
      <c r="AJ152" s="35" t="n">
        <f aca="false">AJ151+$E151*AJ12</f>
        <v>0</v>
      </c>
      <c r="AK152" s="35" t="n">
        <f aca="false">AK151+$E151*AK12</f>
        <v>0</v>
      </c>
      <c r="AL152" s="35" t="n">
        <f aca="false">AL151+$E151*AL12</f>
        <v>0</v>
      </c>
      <c r="AM152" s="35" t="n">
        <f aca="false">AM151+$E151*AM12</f>
        <v>0</v>
      </c>
      <c r="AN152" s="35" t="n">
        <f aca="false">AN151+$E151*AN12</f>
        <v>0</v>
      </c>
      <c r="AO152" s="35" t="n">
        <f aca="false">AO151+$E151*AO12</f>
        <v>0</v>
      </c>
      <c r="AP152" s="35" t="n">
        <f aca="false">AP151+$E151*AP12</f>
        <v>0</v>
      </c>
      <c r="AQ152" s="35" t="n">
        <f aca="false">AQ151+$E151*AQ12</f>
        <v>0</v>
      </c>
      <c r="AR152" s="35" t="n">
        <f aca="false">AR151+$E151*AR12</f>
        <v>0</v>
      </c>
      <c r="AS152" s="35" t="n">
        <f aca="false">AS151+$E151*AS12</f>
        <v>0</v>
      </c>
      <c r="AT152" s="35" t="n">
        <f aca="false">AT151+$E151*AT12</f>
        <v>0</v>
      </c>
      <c r="AU152" s="35" t="n">
        <f aca="false">AU151+$E151*AU12</f>
        <v>0</v>
      </c>
      <c r="AV152" s="35" t="n">
        <f aca="false">AV151+$E151*AV12</f>
        <v>0</v>
      </c>
      <c r="AW152" s="35" t="n">
        <f aca="false">AW151+$E151*AW12</f>
        <v>0</v>
      </c>
      <c r="AX152" s="35" t="n">
        <f aca="false">AX151+$E151*AX12</f>
        <v>0</v>
      </c>
      <c r="AY152" s="35" t="n">
        <f aca="false">AY151+$E151*AY12</f>
        <v>0</v>
      </c>
      <c r="AZ152" s="35" t="n">
        <f aca="false">AZ151+$E151*AZ12</f>
        <v>0</v>
      </c>
      <c r="BA152" s="35" t="n">
        <f aca="false">BA151+$E151*BA12</f>
        <v>0</v>
      </c>
      <c r="BB152" s="35" t="n">
        <f aca="false">BB151+$E151*BB12</f>
        <v>0</v>
      </c>
      <c r="BC152" s="35" t="n">
        <f aca="false">BC151+$E151*BC12</f>
        <v>0</v>
      </c>
      <c r="BD152" s="35" t="n">
        <f aca="false">BD151+$E151*BD12</f>
        <v>0</v>
      </c>
      <c r="BE152" s="35" t="n">
        <f aca="false">BE151+$E151*BE12</f>
        <v>0</v>
      </c>
      <c r="BF152" s="35" t="n">
        <f aca="false">BF151+$E151*BF12</f>
        <v>0</v>
      </c>
      <c r="BG152" s="35" t="n">
        <f aca="false">BG151+$E151*BG12</f>
        <v>0</v>
      </c>
      <c r="BH152" s="35" t="n">
        <f aca="false">BH151+$E151*BH12</f>
        <v>0</v>
      </c>
      <c r="BI152" s="35" t="n">
        <f aca="false">BI151+$E151*BI12</f>
        <v>0</v>
      </c>
      <c r="BJ152" s="35" t="n">
        <f aca="false">BJ151+$E151*BJ12</f>
        <v>0</v>
      </c>
      <c r="BK152" s="35" t="n">
        <f aca="false">BK151+$E151*BK12</f>
        <v>0</v>
      </c>
      <c r="BL152" s="35" t="n">
        <f aca="false">BL151+$E151*BL12</f>
        <v>0</v>
      </c>
      <c r="BM152" s="35" t="n">
        <f aca="false">BM151+$E151*BM12</f>
        <v>0</v>
      </c>
      <c r="BN152" s="35" t="n">
        <f aca="false">BN151+$E151*BN12</f>
        <v>0</v>
      </c>
      <c r="BO152" s="35" t="n">
        <f aca="false">BO151+$E151*BO12</f>
        <v>0</v>
      </c>
      <c r="BP152" s="35" t="n">
        <f aca="false">BP151+$E151*BP12</f>
        <v>0</v>
      </c>
      <c r="BQ152" s="35" t="n">
        <f aca="false">BQ151+$E151*BQ12</f>
        <v>0</v>
      </c>
      <c r="BR152" s="35" t="n">
        <f aca="false">BR151+$E151*BR12</f>
        <v>0</v>
      </c>
      <c r="BS152" s="35" t="n">
        <f aca="false">BS151+$E151*BS12</f>
        <v>0</v>
      </c>
      <c r="BT152" s="35" t="n">
        <f aca="false">BT151+$E151*BT12</f>
        <v>0</v>
      </c>
      <c r="BU152" s="35" t="n">
        <f aca="false">BU151+$E151*BU12</f>
        <v>0</v>
      </c>
      <c r="BV152" s="35" t="n">
        <f aca="false">BV151+$E151*BV12</f>
        <v>0</v>
      </c>
      <c r="BW152" s="35" t="n">
        <f aca="false">BW151+$E151*BW12</f>
        <v>0</v>
      </c>
      <c r="BX152" s="35" t="n">
        <f aca="false">BX151+$E151*BX12</f>
        <v>0</v>
      </c>
      <c r="BY152" s="35" t="n">
        <f aca="false">BY151+$E151*BY12</f>
        <v>0</v>
      </c>
      <c r="BZ152" s="35" t="n">
        <f aca="false">BZ151+$E151*BZ12</f>
        <v>0</v>
      </c>
      <c r="CA152" s="35" t="n">
        <f aca="false">CA151+$E151*CA12</f>
        <v>0</v>
      </c>
      <c r="CB152" s="35" t="n">
        <f aca="false">CB151+$E151*CB12</f>
        <v>0</v>
      </c>
      <c r="CC152" s="35" t="n">
        <f aca="false">CC151+$E151*CC12</f>
        <v>0</v>
      </c>
      <c r="CD152" s="35" t="n">
        <f aca="false">CD151+$E151*CD12</f>
        <v>0</v>
      </c>
      <c r="CE152" s="35" t="n">
        <f aca="false">CE151+$E151*CE12</f>
        <v>0</v>
      </c>
      <c r="CF152" s="35" t="n">
        <f aca="false">CF151+$E151*CF12</f>
        <v>0</v>
      </c>
      <c r="CG152" s="35" t="n">
        <f aca="false">CG151+$E151*CG12</f>
        <v>0</v>
      </c>
      <c r="CH152" s="35" t="n">
        <f aca="false">CH151+$E151*CH12</f>
        <v>0</v>
      </c>
      <c r="CI152" s="35" t="n">
        <f aca="false">CI151+$E151*CI12</f>
        <v>0</v>
      </c>
      <c r="CJ152" s="35" t="n">
        <f aca="false">CJ151+$E151*CJ12</f>
        <v>0</v>
      </c>
      <c r="CK152" s="35" t="n">
        <f aca="false">CK151+$E151*CK12</f>
        <v>0</v>
      </c>
      <c r="CL152" s="35" t="n">
        <f aca="false">CL151+$E151*CL12</f>
        <v>0</v>
      </c>
      <c r="CM152" s="35" t="n">
        <f aca="false">CM151+$E151*CM12</f>
        <v>0</v>
      </c>
      <c r="CN152" s="35" t="n">
        <f aca="false">CN151+$E151*CN12</f>
        <v>0</v>
      </c>
      <c r="CO152" s="35" t="n">
        <f aca="false">CO151+$E151*CO12</f>
        <v>0</v>
      </c>
      <c r="CP152" s="35" t="n">
        <f aca="false">CP151+$E151*CP12</f>
        <v>0</v>
      </c>
      <c r="CQ152" s="35" t="n">
        <f aca="false">CQ151+$E151*CQ12</f>
        <v>0</v>
      </c>
      <c r="CR152" s="35" t="n">
        <f aca="false">CR151+$E151*CR12</f>
        <v>0</v>
      </c>
      <c r="CS152" s="35" t="n">
        <f aca="false">CS151+$E151*CS12</f>
        <v>0</v>
      </c>
      <c r="CT152" s="35" t="n">
        <f aca="false">CT151+$E151*CT12</f>
        <v>0</v>
      </c>
      <c r="CU152" s="35" t="n">
        <f aca="false">CU151+$E151*CU12</f>
        <v>0</v>
      </c>
      <c r="CV152" s="35" t="n">
        <f aca="false">CV151+$E151*CV12</f>
        <v>0</v>
      </c>
      <c r="CW152" s="35" t="n">
        <f aca="false">CW151+$E151*CW12</f>
        <v>0</v>
      </c>
      <c r="CX152" s="35" t="n">
        <f aca="false">CX151+$E151*CX12</f>
        <v>0</v>
      </c>
      <c r="CY152" s="35" t="n">
        <f aca="false">CY151+$E151*CY12</f>
        <v>0</v>
      </c>
      <c r="CZ152" s="35" t="n">
        <f aca="false">CZ151+$E151*CZ12</f>
        <v>0</v>
      </c>
      <c r="DA152" s="35" t="n">
        <f aca="false">DA151+$E151*DA12</f>
        <v>0</v>
      </c>
      <c r="DB152" s="35" t="n">
        <f aca="false">DB151+$E151*DB12</f>
        <v>0</v>
      </c>
      <c r="DC152" s="35" t="n">
        <f aca="false">DC151+$E151*DC12</f>
        <v>0</v>
      </c>
      <c r="DD152" s="35" t="n">
        <f aca="false">DD151+$E151*DD12</f>
        <v>0</v>
      </c>
      <c r="DE152" s="35" t="n">
        <f aca="false">DE151+$E151*DE12</f>
        <v>0</v>
      </c>
      <c r="DF152" s="35" t="n">
        <f aca="false">DF151+$E151*DF12</f>
        <v>0</v>
      </c>
      <c r="DG152" s="35" t="n">
        <f aca="false">DG151+$E151*DG12</f>
        <v>0</v>
      </c>
      <c r="DH152" s="35" t="n">
        <f aca="false">DH151+$E151*DH12</f>
        <v>0</v>
      </c>
      <c r="DI152" s="35" t="n">
        <f aca="false">DI151+$E151*DI12</f>
        <v>0</v>
      </c>
      <c r="DJ152" s="35" t="n">
        <f aca="false">DJ151+$E151*DJ12</f>
        <v>0</v>
      </c>
      <c r="DK152" s="35" t="n">
        <f aca="false">DK151+$E151*DK12</f>
        <v>0</v>
      </c>
      <c r="DL152" s="35" t="n">
        <f aca="false">DL151+$E151*DL12</f>
        <v>0</v>
      </c>
      <c r="DM152" s="35" t="n">
        <f aca="false">DM151+$E151*DM12</f>
        <v>0</v>
      </c>
      <c r="DN152" s="35" t="n">
        <f aca="false">DN151+$E151*DN12</f>
        <v>0</v>
      </c>
      <c r="DO152" s="35" t="n">
        <f aca="false">DO151+$E151*DO12</f>
        <v>0</v>
      </c>
      <c r="DP152" s="35" t="n">
        <f aca="false">DP151+$E151*DP12</f>
        <v>0</v>
      </c>
      <c r="DQ152" s="35" t="n">
        <f aca="false">DQ151+$E151*DQ12</f>
        <v>0</v>
      </c>
      <c r="DR152" s="35" t="n">
        <f aca="false">DR151+$E151*DR12</f>
        <v>0</v>
      </c>
      <c r="DS152" s="35" t="n">
        <f aca="false">DS151+$E151*DS12</f>
        <v>0</v>
      </c>
      <c r="DT152" s="35" t="n">
        <f aca="false">DT151+$E151*DT12</f>
        <v>0</v>
      </c>
      <c r="DU152" s="35" t="n">
        <f aca="false">DU151+$E151*DU12</f>
        <v>0</v>
      </c>
      <c r="DV152" s="35" t="n">
        <f aca="false">DV151+$E151*DV12</f>
        <v>0</v>
      </c>
      <c r="DW152" s="35" t="n">
        <f aca="false">DW151+$E151*DW12</f>
        <v>0</v>
      </c>
      <c r="DX152" s="35" t="n">
        <f aca="false">DX151+$E151*DX12</f>
        <v>0</v>
      </c>
      <c r="DY152" s="35" t="n">
        <f aca="false">DY151+$E151*DY12</f>
        <v>0</v>
      </c>
      <c r="DZ152" s="35" t="n">
        <f aca="false">DZ151+$E151*DZ12</f>
        <v>0</v>
      </c>
      <c r="EA152" s="35" t="n">
        <f aca="false">EA151+$E151*EA12</f>
        <v>0</v>
      </c>
      <c r="EB152" s="35" t="n">
        <f aca="false">EB151+$E151*EB12</f>
        <v>0</v>
      </c>
      <c r="EC152" s="35" t="n">
        <f aca="false">EC151+$E151*EC12</f>
        <v>0</v>
      </c>
      <c r="ED152" s="35" t="n">
        <f aca="false">ED151+$E151*ED12</f>
        <v>0</v>
      </c>
      <c r="EE152" s="35" t="n">
        <f aca="false">EE151+$E151*EE12</f>
        <v>0</v>
      </c>
      <c r="EF152" s="35" t="n">
        <f aca="false">EF151+$E151*EF12</f>
        <v>0</v>
      </c>
      <c r="EG152" s="35" t="n">
        <f aca="false">EG151+$E151*EG12</f>
        <v>0</v>
      </c>
      <c r="EH152" s="35" t="n">
        <f aca="false">EH151+$E151*EH12</f>
        <v>0</v>
      </c>
      <c r="EI152" s="35" t="n">
        <f aca="false">EI151+$E151*EI12</f>
        <v>0</v>
      </c>
      <c r="EJ152" s="35" t="n">
        <f aca="false">EJ151+$E151*EJ12</f>
        <v>0</v>
      </c>
      <c r="EK152" s="35" t="n">
        <f aca="false">EK151+$E151*EK12</f>
        <v>0</v>
      </c>
      <c r="EL152" s="35" t="n">
        <f aca="false">EL151+$E151*EL12</f>
        <v>0</v>
      </c>
      <c r="EM152" s="35" t="n">
        <f aca="false">EM151+$E151*EM12</f>
        <v>0</v>
      </c>
      <c r="EN152" s="35" t="n">
        <f aca="false">EN151+$E151*EN12</f>
        <v>0</v>
      </c>
      <c r="EO152" s="35" t="n">
        <f aca="false">EO151+$E151*EO12</f>
        <v>0</v>
      </c>
      <c r="EP152" s="35" t="n">
        <f aca="false">EP151+$E151*EP12</f>
        <v>0</v>
      </c>
      <c r="EQ152" s="35" t="n">
        <f aca="false">EQ151+$E151*EQ12</f>
        <v>0</v>
      </c>
      <c r="ER152" s="35" t="n">
        <f aca="false">ER151+$E151*ER12</f>
        <v>0</v>
      </c>
      <c r="ES152" s="35" t="n">
        <f aca="false">ES151+$E151*ES12</f>
        <v>0</v>
      </c>
      <c r="ET152" s="35" t="n">
        <f aca="false">ET151+$E151*ET12</f>
        <v>0</v>
      </c>
    </row>
    <row r="153" customFormat="false" ht="15" hidden="false" customHeight="false" outlineLevel="0" collapsed="false">
      <c r="C153" s="0" t="s">
        <v>167</v>
      </c>
      <c r="D153" s="11" t="s">
        <v>247</v>
      </c>
      <c r="E153" s="33" t="n">
        <f aca="false">$E59+$I46+$E151</f>
        <v>-1806.77268158454</v>
      </c>
    </row>
    <row r="154" customFormat="false" ht="15" hidden="false" customHeight="false" outlineLevel="0" collapsed="false">
      <c r="C154" s="30" t="s">
        <v>75</v>
      </c>
      <c r="D154" s="11" t="s">
        <v>35</v>
      </c>
      <c r="E154" s="57" t="n">
        <f aca="false">IFERROR(XIRR($J152:$ET152,$J$4:$ET$4),"n/a")</f>
        <v>0.221510760619134</v>
      </c>
    </row>
    <row r="155" customFormat="false" ht="15" hidden="false" customHeight="false" outlineLevel="0" collapsed="false">
      <c r="C155" s="30" t="s">
        <v>590</v>
      </c>
      <c r="D155" s="11" t="s">
        <v>13</v>
      </c>
      <c r="E155" s="58" t="n">
        <f aca="false">($F142+$E151)/($F142-$I151)</f>
        <v>1.24970223352323</v>
      </c>
    </row>
    <row r="156" customFormat="false" ht="15" hidden="false" customHeight="false" outlineLevel="0" collapsed="false">
      <c r="C156" s="30" t="s">
        <v>169</v>
      </c>
      <c r="D156" s="11" t="s">
        <v>247</v>
      </c>
      <c r="E156" s="35" t="n">
        <f aca="false">XNPV(In_Discount_Rate,$J152:$ET152,$J$4:$ET$4)</f>
        <v>3328.54248477583</v>
      </c>
    </row>
    <row r="158" customFormat="false" ht="15" hidden="false" customHeight="false" outlineLevel="0" collapsed="false">
      <c r="A158" s="9" t="s">
        <v>13</v>
      </c>
      <c r="B158" s="9"/>
      <c r="C158" s="9" t="s">
        <v>170</v>
      </c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</row>
    <row r="159" customFormat="false" ht="15" hidden="false" customHeight="false" outlineLevel="0" collapsed="false">
      <c r="C159" s="0" t="s">
        <v>591</v>
      </c>
      <c r="D159" s="11" t="s">
        <v>247</v>
      </c>
      <c r="I159" s="33" t="n">
        <f aca="false">SUM(J159:ET159)</f>
        <v>-69999.7210564962</v>
      </c>
      <c r="J159" s="33" t="n">
        <f aca="false">(J60+J105+J98+J119)*(J$4&lt;=In_COD)</f>
        <v>-400</v>
      </c>
      <c r="K159" s="33" t="n">
        <f aca="false">(K60+K105+K98+K119)*(K$4&lt;=In_COD)</f>
        <v>-1437.78053818728</v>
      </c>
      <c r="L159" s="33" t="n">
        <f aca="false">(L60+L105+L98+L119)*(L$4&lt;=In_COD)</f>
        <v>-691.910911990993</v>
      </c>
      <c r="M159" s="33" t="n">
        <f aca="false">(M60+M105+M98+M119)*(M$4&lt;=In_COD)</f>
        <v>-148.451634452993</v>
      </c>
      <c r="N159" s="33" t="n">
        <f aca="false">(N60+N105+N98+N119)*(N$4&lt;=In_COD)</f>
        <v>-149.601261024582</v>
      </c>
      <c r="O159" s="33" t="n">
        <f aca="false">(O60+O105+O98+O119)*(O$4&lt;=In_COD)</f>
        <v>-290.127288421843</v>
      </c>
      <c r="P159" s="33" t="n">
        <f aca="false">(P60+P105+P98+P119)*(P$4&lt;=In_COD)</f>
        <v>-1394.65781281475</v>
      </c>
      <c r="Q159" s="33" t="n">
        <f aca="false">(Q60+Q105+Q98+Q119)*(Q$4&lt;=In_COD)</f>
        <v>-109.225607055733</v>
      </c>
      <c r="R159" s="33" t="n">
        <f aca="false">(R60+R105+R98+R119)*(R$4&lt;=In_COD)</f>
        <v>-269.857154566657</v>
      </c>
      <c r="S159" s="33" t="n">
        <f aca="false">(S60+S105+S98+S119)*(S$4&lt;=In_COD)</f>
        <v>-422.991783283459</v>
      </c>
      <c r="T159" s="33" t="n">
        <f aca="false">(T60+T105+T98+T119)*(T$4&lt;=In_COD)</f>
        <v>-20587.5113339088</v>
      </c>
      <c r="U159" s="33" t="n">
        <f aca="false">(U60+U105+U98+U119)*(U$4&lt;=In_COD)</f>
        <v>-104.616018014637</v>
      </c>
      <c r="V159" s="33" t="n">
        <f aca="false">(V60+V105+V98+V119)*(V$4&lt;=In_COD)</f>
        <v>-105.765644586226</v>
      </c>
      <c r="W159" s="33" t="n">
        <f aca="false">(W60+W105+W98+W119)*(W$4&lt;=In_COD)</f>
        <v>-6367.1847682608</v>
      </c>
      <c r="X159" s="33" t="n">
        <f aca="false">(X60+X105+X98+X119)*(X$4&lt;=In_COD)</f>
        <v>-4661.61083132373</v>
      </c>
      <c r="Y159" s="33" t="n">
        <f aca="false">(Y60+Y105+Y98+Y119)*(Y$4&lt;=In_COD)</f>
        <v>-4688.46029001015</v>
      </c>
      <c r="Z159" s="33" t="n">
        <f aca="false">(Z60+Z105+Z98+Z119)*(Z$4&lt;=In_COD)</f>
        <v>-4714.48125405884</v>
      </c>
      <c r="AA159" s="33" t="n">
        <f aca="false">(AA60+AA105+AA98+AA119)*(AA$4&lt;=In_COD)</f>
        <v>-4688.7004503316</v>
      </c>
      <c r="AB159" s="33" t="n">
        <f aca="false">(AB60+AB105+AB98+AB119)*(AB$4&lt;=In_COD)</f>
        <v>-4563.44624851397</v>
      </c>
      <c r="AC159" s="33" t="n">
        <f aca="false">(AC60+AC105+AC98+AC119)*(AC$4&lt;=In_COD)</f>
        <v>-4589.20498961362</v>
      </c>
      <c r="AD159" s="33" t="n">
        <f aca="false">(AD60+AD105+AD98+AD119)*(AD$4&lt;=In_COD)</f>
        <v>-9614.13523607553</v>
      </c>
      <c r="AE159" s="33" t="n">
        <f aca="false">(AE60+AE105+AE98+AE119)*(AE$4&lt;=In_COD)</f>
        <v>0</v>
      </c>
      <c r="AF159" s="33" t="n">
        <f aca="false">(AF60+AF105+AF98+AF119)*(AF$4&lt;=In_COD)</f>
        <v>0</v>
      </c>
      <c r="AG159" s="33" t="n">
        <f aca="false">(AG60+AG105+AG98+AG119)*(AG$4&lt;=In_COD)</f>
        <v>0</v>
      </c>
      <c r="AH159" s="33" t="n">
        <f aca="false">(AH60+AH105+AH98+AH119)*(AH$4&lt;=In_COD)</f>
        <v>0</v>
      </c>
      <c r="AI159" s="33" t="n">
        <f aca="false">(AI60+AI105+AI98+AI119)*(AI$4&lt;=In_COD)</f>
        <v>0</v>
      </c>
      <c r="AJ159" s="33" t="n">
        <f aca="false">(AJ60+AJ105+AJ98+AJ119)*(AJ$4&lt;=In_COD)</f>
        <v>0</v>
      </c>
      <c r="AK159" s="33" t="n">
        <f aca="false">(AK60+AK105+AK98+AK119)*(AK$4&lt;=In_COD)</f>
        <v>0</v>
      </c>
      <c r="AL159" s="33" t="n">
        <f aca="false">(AL60+AL105+AL98+AL119)*(AL$4&lt;=In_COD)</f>
        <v>0</v>
      </c>
      <c r="AM159" s="33" t="n">
        <f aca="false">(AM60+AM105+AM98+AM119)*(AM$4&lt;=In_COD)</f>
        <v>0</v>
      </c>
      <c r="AN159" s="33" t="n">
        <f aca="false">(AN60+AN105+AN98+AN119)*(AN$4&lt;=In_COD)</f>
        <v>0</v>
      </c>
      <c r="AO159" s="33" t="n">
        <f aca="false">(AO60+AO105+AO98+AO119)*(AO$4&lt;=In_COD)</f>
        <v>0</v>
      </c>
      <c r="AP159" s="33" t="n">
        <f aca="false">(AP60+AP105+AP98+AP119)*(AP$4&lt;=In_COD)</f>
        <v>0</v>
      </c>
      <c r="AQ159" s="33" t="n">
        <f aca="false">(AQ60+AQ105+AQ98+AQ119)*(AQ$4&lt;=In_COD)</f>
        <v>0</v>
      </c>
      <c r="AR159" s="33" t="n">
        <f aca="false">(AR60+AR105+AR98+AR119)*(AR$4&lt;=In_COD)</f>
        <v>0</v>
      </c>
      <c r="AS159" s="33" t="n">
        <f aca="false">(AS60+AS105+AS98+AS119)*(AS$4&lt;=In_COD)</f>
        <v>0</v>
      </c>
      <c r="AT159" s="33" t="n">
        <f aca="false">(AT60+AT105+AT98+AT119)*(AT$4&lt;=In_COD)</f>
        <v>0</v>
      </c>
      <c r="AU159" s="33" t="n">
        <f aca="false">(AU60+AU105+AU98+AU119)*(AU$4&lt;=In_COD)</f>
        <v>0</v>
      </c>
      <c r="AV159" s="33" t="n">
        <f aca="false">(AV60+AV105+AV98+AV119)*(AV$4&lt;=In_COD)</f>
        <v>0</v>
      </c>
      <c r="AW159" s="33" t="n">
        <f aca="false">(AW60+AW105+AW98+AW119)*(AW$4&lt;=In_COD)</f>
        <v>0</v>
      </c>
      <c r="AX159" s="33" t="n">
        <f aca="false">(AX60+AX105+AX98+AX119)*(AX$4&lt;=In_COD)</f>
        <v>0</v>
      </c>
      <c r="AY159" s="33" t="n">
        <f aca="false">(AY60+AY105+AY98+AY119)*(AY$4&lt;=In_COD)</f>
        <v>0</v>
      </c>
      <c r="AZ159" s="33" t="n">
        <f aca="false">(AZ60+AZ105+AZ98+AZ119)*(AZ$4&lt;=In_COD)</f>
        <v>0</v>
      </c>
      <c r="BA159" s="33" t="n">
        <f aca="false">(BA60+BA105+BA98+BA119)*(BA$4&lt;=In_COD)</f>
        <v>0</v>
      </c>
      <c r="BB159" s="33" t="n">
        <f aca="false">(BB60+BB105+BB98+BB119)*(BB$4&lt;=In_COD)</f>
        <v>0</v>
      </c>
      <c r="BC159" s="33" t="n">
        <f aca="false">(BC60+BC105+BC98+BC119)*(BC$4&lt;=In_COD)</f>
        <v>0</v>
      </c>
      <c r="BD159" s="33" t="n">
        <f aca="false">(BD60+BD105+BD98+BD119)*(BD$4&lt;=In_COD)</f>
        <v>0</v>
      </c>
      <c r="BE159" s="33" t="n">
        <f aca="false">(BE60+BE105+BE98+BE119)*(BE$4&lt;=In_COD)</f>
        <v>0</v>
      </c>
      <c r="BF159" s="33" t="n">
        <f aca="false">(BF60+BF105+BF98+BF119)*(BF$4&lt;=In_COD)</f>
        <v>0</v>
      </c>
      <c r="BG159" s="33" t="n">
        <f aca="false">(BG60+BG105+BG98+BG119)*(BG$4&lt;=In_COD)</f>
        <v>0</v>
      </c>
      <c r="BH159" s="33" t="n">
        <f aca="false">(BH60+BH105+BH98+BH119)*(BH$4&lt;=In_COD)</f>
        <v>0</v>
      </c>
      <c r="BI159" s="33" t="n">
        <f aca="false">(BI60+BI105+BI98+BI119)*(BI$4&lt;=In_COD)</f>
        <v>0</v>
      </c>
      <c r="BJ159" s="33" t="n">
        <f aca="false">(BJ60+BJ105+BJ98+BJ119)*(BJ$4&lt;=In_COD)</f>
        <v>0</v>
      </c>
      <c r="BK159" s="33" t="n">
        <f aca="false">(BK60+BK105+BK98+BK119)*(BK$4&lt;=In_COD)</f>
        <v>0</v>
      </c>
      <c r="BL159" s="33" t="n">
        <f aca="false">(BL60+BL105+BL98+BL119)*(BL$4&lt;=In_COD)</f>
        <v>0</v>
      </c>
      <c r="BM159" s="33" t="n">
        <f aca="false">(BM60+BM105+BM98+BM119)*(BM$4&lt;=In_COD)</f>
        <v>0</v>
      </c>
      <c r="BN159" s="33" t="n">
        <f aca="false">(BN60+BN105+BN98+BN119)*(BN$4&lt;=In_COD)</f>
        <v>0</v>
      </c>
      <c r="BO159" s="33" t="n">
        <f aca="false">(BO60+BO105+BO98+BO119)*(BO$4&lt;=In_COD)</f>
        <v>0</v>
      </c>
      <c r="BP159" s="33" t="n">
        <f aca="false">(BP60+BP105+BP98+BP119)*(BP$4&lt;=In_COD)</f>
        <v>0</v>
      </c>
      <c r="BQ159" s="33" t="n">
        <f aca="false">(BQ60+BQ105+BQ98+BQ119)*(BQ$4&lt;=In_COD)</f>
        <v>0</v>
      </c>
      <c r="BR159" s="33" t="n">
        <f aca="false">(BR60+BR105+BR98+BR119)*(BR$4&lt;=In_COD)</f>
        <v>0</v>
      </c>
      <c r="BS159" s="33" t="n">
        <f aca="false">(BS60+BS105+BS98+BS119)*(BS$4&lt;=In_COD)</f>
        <v>0</v>
      </c>
      <c r="BT159" s="33" t="n">
        <f aca="false">(BT60+BT105+BT98+BT119)*(BT$4&lt;=In_COD)</f>
        <v>0</v>
      </c>
      <c r="BU159" s="33" t="n">
        <f aca="false">(BU60+BU105+BU98+BU119)*(BU$4&lt;=In_COD)</f>
        <v>0</v>
      </c>
      <c r="BV159" s="33" t="n">
        <f aca="false">(BV60+BV105+BV98+BV119)*(BV$4&lt;=In_COD)</f>
        <v>0</v>
      </c>
      <c r="BW159" s="33" t="n">
        <f aca="false">(BW60+BW105+BW98+BW119)*(BW$4&lt;=In_COD)</f>
        <v>0</v>
      </c>
      <c r="BX159" s="33" t="n">
        <f aca="false">(BX60+BX105+BX98+BX119)*(BX$4&lt;=In_COD)</f>
        <v>0</v>
      </c>
      <c r="BY159" s="33" t="n">
        <f aca="false">(BY60+BY105+BY98+BY119)*(BY$4&lt;=In_COD)</f>
        <v>0</v>
      </c>
      <c r="BZ159" s="33" t="n">
        <f aca="false">(BZ60+BZ105+BZ98+BZ119)*(BZ$4&lt;=In_COD)</f>
        <v>0</v>
      </c>
      <c r="CA159" s="33" t="n">
        <f aca="false">(CA60+CA105+CA98+CA119)*(CA$4&lt;=In_COD)</f>
        <v>0</v>
      </c>
      <c r="CB159" s="33" t="n">
        <f aca="false">(CB60+CB105+CB98+CB119)*(CB$4&lt;=In_COD)</f>
        <v>0</v>
      </c>
      <c r="CC159" s="33" t="n">
        <f aca="false">(CC60+CC105+CC98+CC119)*(CC$4&lt;=In_COD)</f>
        <v>0</v>
      </c>
      <c r="CD159" s="33" t="n">
        <f aca="false">(CD60+CD105+CD98+CD119)*(CD$4&lt;=In_COD)</f>
        <v>0</v>
      </c>
      <c r="CE159" s="33" t="n">
        <f aca="false">(CE60+CE105+CE98+CE119)*(CE$4&lt;=In_COD)</f>
        <v>0</v>
      </c>
      <c r="CF159" s="33" t="n">
        <f aca="false">(CF60+CF105+CF98+CF119)*(CF$4&lt;=In_COD)</f>
        <v>0</v>
      </c>
      <c r="CG159" s="33" t="n">
        <f aca="false">(CG60+CG105+CG98+CG119)*(CG$4&lt;=In_COD)</f>
        <v>0</v>
      </c>
      <c r="CH159" s="33" t="n">
        <f aca="false">(CH60+CH105+CH98+CH119)*(CH$4&lt;=In_COD)</f>
        <v>0</v>
      </c>
      <c r="CI159" s="33" t="n">
        <f aca="false">(CI60+CI105+CI98+CI119)*(CI$4&lt;=In_COD)</f>
        <v>0</v>
      </c>
      <c r="CJ159" s="33" t="n">
        <f aca="false">(CJ60+CJ105+CJ98+CJ119)*(CJ$4&lt;=In_COD)</f>
        <v>0</v>
      </c>
      <c r="CK159" s="33" t="n">
        <f aca="false">(CK60+CK105+CK98+CK119)*(CK$4&lt;=In_COD)</f>
        <v>0</v>
      </c>
      <c r="CL159" s="33" t="n">
        <f aca="false">(CL60+CL105+CL98+CL119)*(CL$4&lt;=In_COD)</f>
        <v>0</v>
      </c>
      <c r="CM159" s="33" t="n">
        <f aca="false">(CM60+CM105+CM98+CM119)*(CM$4&lt;=In_COD)</f>
        <v>0</v>
      </c>
      <c r="CN159" s="33" t="n">
        <f aca="false">(CN60+CN105+CN98+CN119)*(CN$4&lt;=In_COD)</f>
        <v>0</v>
      </c>
      <c r="CO159" s="33" t="n">
        <f aca="false">(CO60+CO105+CO98+CO119)*(CO$4&lt;=In_COD)</f>
        <v>0</v>
      </c>
      <c r="CP159" s="33" t="n">
        <f aca="false">(CP60+CP105+CP98+CP119)*(CP$4&lt;=In_COD)</f>
        <v>0</v>
      </c>
      <c r="CQ159" s="33" t="n">
        <f aca="false">(CQ60+CQ105+CQ98+CQ119)*(CQ$4&lt;=In_COD)</f>
        <v>0</v>
      </c>
      <c r="CR159" s="33" t="n">
        <f aca="false">(CR60+CR105+CR98+CR119)*(CR$4&lt;=In_COD)</f>
        <v>0</v>
      </c>
      <c r="CS159" s="33" t="n">
        <f aca="false">(CS60+CS105+CS98+CS119)*(CS$4&lt;=In_COD)</f>
        <v>0</v>
      </c>
      <c r="CT159" s="33" t="n">
        <f aca="false">(CT60+CT105+CT98+CT119)*(CT$4&lt;=In_COD)</f>
        <v>0</v>
      </c>
      <c r="CU159" s="33" t="n">
        <f aca="false">(CU60+CU105+CU98+CU119)*(CU$4&lt;=In_COD)</f>
        <v>0</v>
      </c>
      <c r="CV159" s="33" t="n">
        <f aca="false">(CV60+CV105+CV98+CV119)*(CV$4&lt;=In_COD)</f>
        <v>0</v>
      </c>
      <c r="CW159" s="33" t="n">
        <f aca="false">(CW60+CW105+CW98+CW119)*(CW$4&lt;=In_COD)</f>
        <v>0</v>
      </c>
      <c r="CX159" s="33" t="n">
        <f aca="false">(CX60+CX105+CX98+CX119)*(CX$4&lt;=In_COD)</f>
        <v>0</v>
      </c>
      <c r="CY159" s="33" t="n">
        <f aca="false">(CY60+CY105+CY98+CY119)*(CY$4&lt;=In_COD)</f>
        <v>0</v>
      </c>
      <c r="CZ159" s="33" t="n">
        <f aca="false">(CZ60+CZ105+CZ98+CZ119)*(CZ$4&lt;=In_COD)</f>
        <v>0</v>
      </c>
      <c r="DA159" s="33" t="n">
        <f aca="false">(DA60+DA105+DA98+DA119)*(DA$4&lt;=In_COD)</f>
        <v>0</v>
      </c>
      <c r="DB159" s="33" t="n">
        <f aca="false">(DB60+DB105+DB98+DB119)*(DB$4&lt;=In_COD)</f>
        <v>0</v>
      </c>
      <c r="DC159" s="33" t="n">
        <f aca="false">(DC60+DC105+DC98+DC119)*(DC$4&lt;=In_COD)</f>
        <v>0</v>
      </c>
      <c r="DD159" s="33" t="n">
        <f aca="false">(DD60+DD105+DD98+DD119)*(DD$4&lt;=In_COD)</f>
        <v>0</v>
      </c>
      <c r="DE159" s="33" t="n">
        <f aca="false">(DE60+DE105+DE98+DE119)*(DE$4&lt;=In_COD)</f>
        <v>0</v>
      </c>
      <c r="DF159" s="33" t="n">
        <f aca="false">(DF60+DF105+DF98+DF119)*(DF$4&lt;=In_COD)</f>
        <v>0</v>
      </c>
      <c r="DG159" s="33" t="n">
        <f aca="false">(DG60+DG105+DG98+DG119)*(DG$4&lt;=In_COD)</f>
        <v>0</v>
      </c>
      <c r="DH159" s="33" t="n">
        <f aca="false">(DH60+DH105+DH98+DH119)*(DH$4&lt;=In_COD)</f>
        <v>0</v>
      </c>
      <c r="DI159" s="33" t="n">
        <f aca="false">(DI60+DI105+DI98+DI119)*(DI$4&lt;=In_COD)</f>
        <v>0</v>
      </c>
      <c r="DJ159" s="33" t="n">
        <f aca="false">(DJ60+DJ105+DJ98+DJ119)*(DJ$4&lt;=In_COD)</f>
        <v>0</v>
      </c>
      <c r="DK159" s="33" t="n">
        <f aca="false">(DK60+DK105+DK98+DK119)*(DK$4&lt;=In_COD)</f>
        <v>0</v>
      </c>
      <c r="DL159" s="33" t="n">
        <f aca="false">(DL60+DL105+DL98+DL119)*(DL$4&lt;=In_COD)</f>
        <v>0</v>
      </c>
      <c r="DM159" s="33" t="n">
        <f aca="false">(DM60+DM105+DM98+DM119)*(DM$4&lt;=In_COD)</f>
        <v>0</v>
      </c>
      <c r="DN159" s="33" t="n">
        <f aca="false">(DN60+DN105+DN98+DN119)*(DN$4&lt;=In_COD)</f>
        <v>0</v>
      </c>
      <c r="DO159" s="33" t="n">
        <f aca="false">(DO60+DO105+DO98+DO119)*(DO$4&lt;=In_COD)</f>
        <v>0</v>
      </c>
      <c r="DP159" s="33" t="n">
        <f aca="false">(DP60+DP105+DP98+DP119)*(DP$4&lt;=In_COD)</f>
        <v>0</v>
      </c>
      <c r="DQ159" s="33" t="n">
        <f aca="false">(DQ60+DQ105+DQ98+DQ119)*(DQ$4&lt;=In_COD)</f>
        <v>0</v>
      </c>
      <c r="DR159" s="33" t="n">
        <f aca="false">(DR60+DR105+DR98+DR119)*(DR$4&lt;=In_COD)</f>
        <v>0</v>
      </c>
      <c r="DS159" s="33" t="n">
        <f aca="false">(DS60+DS105+DS98+DS119)*(DS$4&lt;=In_COD)</f>
        <v>0</v>
      </c>
      <c r="DT159" s="33" t="n">
        <f aca="false">(DT60+DT105+DT98+DT119)*(DT$4&lt;=In_COD)</f>
        <v>0</v>
      </c>
      <c r="DU159" s="33" t="n">
        <f aca="false">(DU60+DU105+DU98+DU119)*(DU$4&lt;=In_COD)</f>
        <v>0</v>
      </c>
      <c r="DV159" s="33" t="n">
        <f aca="false">(DV60+DV105+DV98+DV119)*(DV$4&lt;=In_COD)</f>
        <v>0</v>
      </c>
      <c r="DW159" s="33" t="n">
        <f aca="false">(DW60+DW105+DW98+DW119)*(DW$4&lt;=In_COD)</f>
        <v>0</v>
      </c>
      <c r="DX159" s="33" t="n">
        <f aca="false">(DX60+DX105+DX98+DX119)*(DX$4&lt;=In_COD)</f>
        <v>0</v>
      </c>
      <c r="DY159" s="33" t="n">
        <f aca="false">(DY60+DY105+DY98+DY119)*(DY$4&lt;=In_COD)</f>
        <v>0</v>
      </c>
      <c r="DZ159" s="33" t="n">
        <f aca="false">(DZ60+DZ105+DZ98+DZ119)*(DZ$4&lt;=In_COD)</f>
        <v>0</v>
      </c>
      <c r="EA159" s="33" t="n">
        <f aca="false">(EA60+EA105+EA98+EA119)*(EA$4&lt;=In_COD)</f>
        <v>0</v>
      </c>
      <c r="EB159" s="33" t="n">
        <f aca="false">(EB60+EB105+EB98+EB119)*(EB$4&lt;=In_COD)</f>
        <v>0</v>
      </c>
      <c r="EC159" s="33" t="n">
        <f aca="false">(EC60+EC105+EC98+EC119)*(EC$4&lt;=In_COD)</f>
        <v>0</v>
      </c>
      <c r="ED159" s="33" t="n">
        <f aca="false">(ED60+ED105+ED98+ED119)*(ED$4&lt;=In_COD)</f>
        <v>0</v>
      </c>
      <c r="EE159" s="33" t="n">
        <f aca="false">(EE60+EE105+EE98+EE119)*(EE$4&lt;=In_COD)</f>
        <v>0</v>
      </c>
      <c r="EF159" s="33" t="n">
        <f aca="false">(EF60+EF105+EF98+EF119)*(EF$4&lt;=In_COD)</f>
        <v>0</v>
      </c>
      <c r="EG159" s="33" t="n">
        <f aca="false">(EG60+EG105+EG98+EG119)*(EG$4&lt;=In_COD)</f>
        <v>0</v>
      </c>
      <c r="EH159" s="33" t="n">
        <f aca="false">(EH60+EH105+EH98+EH119)*(EH$4&lt;=In_COD)</f>
        <v>0</v>
      </c>
      <c r="EI159" s="33" t="n">
        <f aca="false">(EI60+EI105+EI98+EI119)*(EI$4&lt;=In_COD)</f>
        <v>0</v>
      </c>
      <c r="EJ159" s="33" t="n">
        <f aca="false">(EJ60+EJ105+EJ98+EJ119)*(EJ$4&lt;=In_COD)</f>
        <v>0</v>
      </c>
      <c r="EK159" s="33" t="n">
        <f aca="false">(EK60+EK105+EK98+EK119)*(EK$4&lt;=In_COD)</f>
        <v>0</v>
      </c>
      <c r="EL159" s="33" t="n">
        <f aca="false">(EL60+EL105+EL98+EL119)*(EL$4&lt;=In_COD)</f>
        <v>0</v>
      </c>
      <c r="EM159" s="33" t="n">
        <f aca="false">(EM60+EM105+EM98+EM119)*(EM$4&lt;=In_COD)</f>
        <v>0</v>
      </c>
      <c r="EN159" s="33" t="n">
        <f aca="false">(EN60+EN105+EN98+EN119)*(EN$4&lt;=In_COD)</f>
        <v>0</v>
      </c>
      <c r="EO159" s="33" t="n">
        <f aca="false">(EO60+EO105+EO98+EO119)*(EO$4&lt;=In_COD)</f>
        <v>0</v>
      </c>
      <c r="EP159" s="33" t="n">
        <f aca="false">(EP60+EP105+EP98+EP119)*(EP$4&lt;=In_COD)</f>
        <v>0</v>
      </c>
      <c r="EQ159" s="33" t="n">
        <f aca="false">(EQ60+EQ105+EQ98+EQ119)*(EQ$4&lt;=In_COD)</f>
        <v>0</v>
      </c>
      <c r="ER159" s="33" t="n">
        <f aca="false">(ER60+ER105+ER98+ER119)*(ER$4&lt;=In_COD)</f>
        <v>0</v>
      </c>
      <c r="ES159" s="33" t="n">
        <f aca="false">(ES60+ES105+ES98+ES119)*(ES$4&lt;=In_COD)</f>
        <v>0</v>
      </c>
      <c r="ET159" s="33" t="n">
        <f aca="false">(ET60+ET105+ET98+ET119)*(ET$4&lt;=In_COD)</f>
        <v>0</v>
      </c>
    </row>
    <row r="160" customFormat="false" ht="15" hidden="false" customHeight="false" outlineLevel="0" collapsed="false">
      <c r="C160" s="0" t="s">
        <v>592</v>
      </c>
      <c r="D160" s="11" t="s">
        <v>247</v>
      </c>
      <c r="E160" s="33" t="n">
        <f aca="false">SUMPRODUCT($J160:$ET160,$J21:$ET21)</f>
        <v>-2474.54304721128</v>
      </c>
      <c r="I160" s="33" t="n">
        <f aca="false">SUM(J160:ET160)</f>
        <v>-6307.65794259604</v>
      </c>
      <c r="J160" s="33" t="n">
        <f aca="false">-($E31-In_Ref_Community)*J111*(1-In_CIT)/Thousand</f>
        <v>-0</v>
      </c>
      <c r="K160" s="33" t="n">
        <f aca="false">-($E31-In_Ref_Community)*K111*(1-In_CIT)/Thousand</f>
        <v>-0</v>
      </c>
      <c r="L160" s="33" t="n">
        <f aca="false">-($E31-In_Ref_Community)*L111*(1-In_CIT)/Thousand</f>
        <v>-0</v>
      </c>
      <c r="M160" s="33" t="n">
        <f aca="false">-($E31-In_Ref_Community)*M111*(1-In_CIT)/Thousand</f>
        <v>-0</v>
      </c>
      <c r="N160" s="33" t="n">
        <f aca="false">-($E31-In_Ref_Community)*N111*(1-In_CIT)/Thousand</f>
        <v>-0</v>
      </c>
      <c r="O160" s="33" t="n">
        <f aca="false">-($E31-In_Ref_Community)*O111*(1-In_CIT)/Thousand</f>
        <v>-0</v>
      </c>
      <c r="P160" s="33" t="n">
        <f aca="false">-($E31-In_Ref_Community)*P111*(1-In_CIT)/Thousand</f>
        <v>-0</v>
      </c>
      <c r="Q160" s="33" t="n">
        <f aca="false">-($E31-In_Ref_Community)*Q111*(1-In_CIT)/Thousand</f>
        <v>-0</v>
      </c>
      <c r="R160" s="33" t="n">
        <f aca="false">-($E31-In_Ref_Community)*R111*(1-In_CIT)/Thousand</f>
        <v>-0</v>
      </c>
      <c r="S160" s="33" t="n">
        <f aca="false">-($E31-In_Ref_Community)*S111*(1-In_CIT)/Thousand</f>
        <v>-0</v>
      </c>
      <c r="T160" s="33" t="n">
        <f aca="false">-($E31-In_Ref_Community)*T111*(1-In_CIT)/Thousand</f>
        <v>-0</v>
      </c>
      <c r="U160" s="33" t="n">
        <f aca="false">-($E31-In_Ref_Community)*U111*(1-In_CIT)/Thousand</f>
        <v>-0</v>
      </c>
      <c r="V160" s="33" t="n">
        <f aca="false">-($E31-In_Ref_Community)*V111*(1-In_CIT)/Thousand</f>
        <v>-0</v>
      </c>
      <c r="W160" s="33" t="n">
        <f aca="false">-($E31-In_Ref_Community)*W111*(1-In_CIT)/Thousand</f>
        <v>-0</v>
      </c>
      <c r="X160" s="33" t="n">
        <f aca="false">-($E31-In_Ref_Community)*X111*(1-In_CIT)/Thousand</f>
        <v>-0</v>
      </c>
      <c r="Y160" s="33" t="n">
        <f aca="false">-($E31-In_Ref_Community)*Y111*(1-In_CIT)/Thousand</f>
        <v>-0</v>
      </c>
      <c r="Z160" s="33" t="n">
        <f aca="false">-($E31-In_Ref_Community)*Z111*(1-In_CIT)/Thousand</f>
        <v>-0</v>
      </c>
      <c r="AA160" s="33" t="n">
        <f aca="false">-($E31-In_Ref_Community)*AA111*(1-In_CIT)/Thousand</f>
        <v>-0</v>
      </c>
      <c r="AB160" s="33" t="n">
        <f aca="false">-($E31-In_Ref_Community)*AB111*(1-In_CIT)/Thousand</f>
        <v>-0</v>
      </c>
      <c r="AC160" s="33" t="n">
        <f aca="false">-($E31-In_Ref_Community)*AC111*(1-In_CIT)/Thousand</f>
        <v>-0</v>
      </c>
      <c r="AD160" s="33" t="n">
        <f aca="false">-($E31-In_Ref_Community)*AD111*(1-In_CIT)/Thousand</f>
        <v>-0</v>
      </c>
      <c r="AE160" s="33" t="n">
        <f aca="false">-($E31-In_Ref_Community)*AE111*(1-In_CIT)/Thousand</f>
        <v>-55.2964865753425</v>
      </c>
      <c r="AF160" s="33" t="n">
        <f aca="false">-($E31-In_Ref_Community)*AF111*(1-In_CIT)/Thousand</f>
        <v>-54.6954378082192</v>
      </c>
      <c r="AG160" s="33" t="n">
        <f aca="false">-($E31-In_Ref_Community)*AG111*(1-In_CIT)/Thousand</f>
        <v>-54.6954378082192</v>
      </c>
      <c r="AH160" s="33" t="n">
        <f aca="false">-($E31-In_Ref_Community)*AH111*(1-In_CIT)/Thousand</f>
        <v>-55.2964865753425</v>
      </c>
      <c r="AI160" s="33" t="n">
        <f aca="false">-($E31-In_Ref_Community)*AI111*(1-In_CIT)/Thousand</f>
        <v>-55.1305971156164</v>
      </c>
      <c r="AJ160" s="33" t="n">
        <f aca="false">-($E31-In_Ref_Community)*AJ111*(1-In_CIT)/Thousand</f>
        <v>-53.9321058739726</v>
      </c>
      <c r="AK160" s="33" t="n">
        <f aca="false">-($E31-In_Ref_Community)*AK111*(1-In_CIT)/Thousand</f>
        <v>-54.5313514947945</v>
      </c>
      <c r="AL160" s="33" t="n">
        <f aca="false">-($E31-In_Ref_Community)*AL111*(1-In_CIT)/Thousand</f>
        <v>-55.1305971156164</v>
      </c>
      <c r="AM160" s="33" t="n">
        <f aca="false">-($E31-In_Ref_Community)*AM111*(1-In_CIT)/Thousand</f>
        <v>-54.9652053242696</v>
      </c>
      <c r="AN160" s="33" t="n">
        <f aca="false">-($E31-In_Ref_Community)*AN111*(1-In_CIT)/Thousand</f>
        <v>-53.7703095563507</v>
      </c>
      <c r="AO160" s="33" t="n">
        <f aca="false">-($E31-In_Ref_Community)*AO111*(1-In_CIT)/Thousand</f>
        <v>-54.3677574403101</v>
      </c>
      <c r="AP160" s="33" t="n">
        <f aca="false">-($E31-In_Ref_Community)*AP111*(1-In_CIT)/Thousand</f>
        <v>-54.9652053242696</v>
      </c>
      <c r="AQ160" s="33" t="n">
        <f aca="false">-($E31-In_Ref_Community)*AQ111*(1-In_CIT)/Thousand</f>
        <v>-54.8003097082968</v>
      </c>
      <c r="AR160" s="33" t="n">
        <f aca="false">-($E31-In_Ref_Community)*AR111*(1-In_CIT)/Thousand</f>
        <v>-53.6089986276816</v>
      </c>
      <c r="AS160" s="33" t="n">
        <f aca="false">-($E31-In_Ref_Community)*AS111*(1-In_CIT)/Thousand</f>
        <v>-54.2046541679892</v>
      </c>
      <c r="AT160" s="33" t="n">
        <f aca="false">-($E31-In_Ref_Community)*AT111*(1-In_CIT)/Thousand</f>
        <v>-54.8003097082968</v>
      </c>
      <c r="AU160" s="33" t="n">
        <f aca="false">-($E31-In_Ref_Community)*AU111*(1-In_CIT)/Thousand</f>
        <v>-54.6359087791719</v>
      </c>
      <c r="AV160" s="33" t="n">
        <f aca="false">-($E31-In_Ref_Community)*AV111*(1-In_CIT)/Thousand</f>
        <v>-54.0420402054852</v>
      </c>
      <c r="AW160" s="33" t="n">
        <f aca="false">-($E31-In_Ref_Community)*AW111*(1-In_CIT)/Thousand</f>
        <v>-54.0420402054852</v>
      </c>
      <c r="AX160" s="33" t="n">
        <f aca="false">-($E31-In_Ref_Community)*AX111*(1-In_CIT)/Thousand</f>
        <v>-54.6359087791719</v>
      </c>
      <c r="AY160" s="33" t="n">
        <f aca="false">-($E31-In_Ref_Community)*AY111*(1-In_CIT)/Thousand</f>
        <v>-54.4720010528344</v>
      </c>
      <c r="AZ160" s="33" t="n">
        <f aca="false">-($E31-In_Ref_Community)*AZ111*(1-In_CIT)/Thousand</f>
        <v>-53.2878271169032</v>
      </c>
      <c r="BA160" s="33" t="n">
        <f aca="false">-($E31-In_Ref_Community)*BA111*(1-In_CIT)/Thousand</f>
        <v>-53.8799140848688</v>
      </c>
      <c r="BB160" s="33" t="n">
        <f aca="false">-($E31-In_Ref_Community)*BB111*(1-In_CIT)/Thousand</f>
        <v>-54.4720010528344</v>
      </c>
      <c r="BC160" s="33" t="n">
        <f aca="false">-($E31-In_Ref_Community)*BC111*(1-In_CIT)/Thousand</f>
        <v>-54.3085850496759</v>
      </c>
      <c r="BD160" s="33" t="n">
        <f aca="false">-($E31-In_Ref_Community)*BD111*(1-In_CIT)/Thousand</f>
        <v>-53.1279636355525</v>
      </c>
      <c r="BE160" s="33" t="n">
        <f aca="false">-($E31-In_Ref_Community)*BE111*(1-In_CIT)/Thousand</f>
        <v>-53.7182743426142</v>
      </c>
      <c r="BF160" s="33" t="n">
        <f aca="false">-($E31-In_Ref_Community)*BF111*(1-In_CIT)/Thousand</f>
        <v>-54.3085850496759</v>
      </c>
      <c r="BG160" s="33" t="n">
        <f aca="false">-($E31-In_Ref_Community)*BG111*(1-In_CIT)/Thousand</f>
        <v>-54.1456592945269</v>
      </c>
      <c r="BH160" s="33" t="n">
        <f aca="false">-($E31-In_Ref_Community)*BH111*(1-In_CIT)/Thousand</f>
        <v>-52.9685797446458</v>
      </c>
      <c r="BI160" s="33" t="n">
        <f aca="false">-($E31-In_Ref_Community)*BI111*(1-In_CIT)/Thousand</f>
        <v>-53.5571195195863</v>
      </c>
      <c r="BJ160" s="33" t="n">
        <f aca="false">-($E31-In_Ref_Community)*BJ111*(1-In_CIT)/Thousand</f>
        <v>-54.1456592945269</v>
      </c>
      <c r="BK160" s="33" t="n">
        <f aca="false">-($E31-In_Ref_Community)*BK111*(1-In_CIT)/Thousand</f>
        <v>-53.9832223166433</v>
      </c>
      <c r="BL160" s="33" t="n">
        <f aca="false">-($E31-In_Ref_Community)*BL111*(1-In_CIT)/Thousand</f>
        <v>-53.3964481610276</v>
      </c>
      <c r="BM160" s="33" t="n">
        <f aca="false">-($E31-In_Ref_Community)*BM111*(1-In_CIT)/Thousand</f>
        <v>-53.3964481610276</v>
      </c>
      <c r="BN160" s="33" t="n">
        <f aca="false">-($E31-In_Ref_Community)*BN111*(1-In_CIT)/Thousand</f>
        <v>-53.9832223166433</v>
      </c>
      <c r="BO160" s="33" t="n">
        <f aca="false">-($E31-In_Ref_Community)*BO111*(1-In_CIT)/Thousand</f>
        <v>-53.8212726496933</v>
      </c>
      <c r="BP160" s="33" t="n">
        <f aca="false">-($E31-In_Ref_Community)*BP111*(1-In_CIT)/Thousand</f>
        <v>-52.6512449833957</v>
      </c>
      <c r="BQ160" s="33" t="n">
        <f aca="false">-($E31-In_Ref_Community)*BQ111*(1-In_CIT)/Thousand</f>
        <v>-53.2362588165445</v>
      </c>
      <c r="BR160" s="33" t="n">
        <f aca="false">-($E31-In_Ref_Community)*BR111*(1-In_CIT)/Thousand</f>
        <v>-53.8212726496933</v>
      </c>
      <c r="BS160" s="33" t="n">
        <f aca="false">-($E31-In_Ref_Community)*BS111*(1-In_CIT)/Thousand</f>
        <v>-53.6598088317443</v>
      </c>
      <c r="BT160" s="33" t="n">
        <f aca="false">-($E31-In_Ref_Community)*BT111*(1-In_CIT)/Thousand</f>
        <v>-52.4932912484455</v>
      </c>
      <c r="BU160" s="33" t="n">
        <f aca="false">-($E31-In_Ref_Community)*BU111*(1-In_CIT)/Thousand</f>
        <v>-53.0765500400949</v>
      </c>
      <c r="BV160" s="33" t="n">
        <f aca="false">-($E31-In_Ref_Community)*BV111*(1-In_CIT)/Thousand</f>
        <v>-53.6598088317443</v>
      </c>
      <c r="BW160" s="33" t="n">
        <f aca="false">-($E31-In_Ref_Community)*BW111*(1-In_CIT)/Thousand</f>
        <v>-53.498829405249</v>
      </c>
      <c r="BX160" s="33" t="n">
        <f aca="false">-($E31-In_Ref_Community)*BX111*(1-In_CIT)/Thousand</f>
        <v>-52.3358113747001</v>
      </c>
      <c r="BY160" s="33" t="n">
        <f aca="false">-($E31-In_Ref_Community)*BY111*(1-In_CIT)/Thousand</f>
        <v>-52.9173203899746</v>
      </c>
      <c r="BZ160" s="33" t="n">
        <f aca="false">-($E31-In_Ref_Community)*BZ111*(1-In_CIT)/Thousand</f>
        <v>-53.498829405249</v>
      </c>
      <c r="CA160" s="33" t="n">
        <f aca="false">-($E31-In_Ref_Community)*CA111*(1-In_CIT)/Thousand</f>
        <v>-53.3383329170333</v>
      </c>
      <c r="CB160" s="33" t="n">
        <f aca="false">-($E31-In_Ref_Community)*CB111*(1-In_CIT)/Thousand</f>
        <v>-52.7585684288047</v>
      </c>
      <c r="CC160" s="33" t="n">
        <f aca="false">-($E31-In_Ref_Community)*CC111*(1-In_CIT)/Thousand</f>
        <v>-52.7585684288047</v>
      </c>
      <c r="CD160" s="33" t="n">
        <f aca="false">-($E31-In_Ref_Community)*CD111*(1-In_CIT)/Thousand</f>
        <v>-53.3383329170333</v>
      </c>
      <c r="CE160" s="33" t="n">
        <f aca="false">-($E31-In_Ref_Community)*CE111*(1-In_CIT)/Thousand</f>
        <v>-53.1783179182822</v>
      </c>
      <c r="CF160" s="33" t="n">
        <f aca="false">-($E31-In_Ref_Community)*CF111*(1-In_CIT)/Thousand</f>
        <v>-52.0222675287543</v>
      </c>
      <c r="CG160" s="33" t="n">
        <f aca="false">-($E31-In_Ref_Community)*CG111*(1-In_CIT)/Thousand</f>
        <v>-52.6002927235182</v>
      </c>
      <c r="CH160" s="33" t="n">
        <f aca="false">-($E31-In_Ref_Community)*CH111*(1-In_CIT)/Thousand</f>
        <v>-53.1783179182822</v>
      </c>
      <c r="CI160" s="33" t="n">
        <f aca="false">-($E31-In_Ref_Community)*CI111*(1-In_CIT)/Thousand</f>
        <v>-53.0187829645273</v>
      </c>
      <c r="CJ160" s="33" t="n">
        <f aca="false">-($E31-In_Ref_Community)*CJ111*(1-In_CIT)/Thousand</f>
        <v>-51.866200726168</v>
      </c>
      <c r="CK160" s="33" t="n">
        <f aca="false">-($E31-In_Ref_Community)*CK111*(1-In_CIT)/Thousand</f>
        <v>-52.4424918453477</v>
      </c>
      <c r="CL160" s="33" t="n">
        <f aca="false">-($E31-In_Ref_Community)*CL111*(1-In_CIT)/Thousand</f>
        <v>-53.0187829645273</v>
      </c>
      <c r="CM160" s="33" t="n">
        <f aca="false">-($E31-In_Ref_Community)*CM111*(1-In_CIT)/Thousand</f>
        <v>-52.8597266156338</v>
      </c>
      <c r="CN160" s="33" t="n">
        <f aca="false">-($E31-In_Ref_Community)*CN111*(1-In_CIT)/Thousand</f>
        <v>-51.7106021239895</v>
      </c>
      <c r="CO160" s="33" t="n">
        <f aca="false">-($E31-In_Ref_Community)*CO111*(1-In_CIT)/Thousand</f>
        <v>-52.2851643698116</v>
      </c>
      <c r="CP160" s="33" t="n">
        <f aca="false">-($E31-In_Ref_Community)*CP111*(1-In_CIT)/Thousand</f>
        <v>-52.8597266156338</v>
      </c>
      <c r="CQ160" s="33" t="n">
        <f aca="false">-($E31-In_Ref_Community)*CQ111*(1-In_CIT)/Thousand</f>
        <v>-52.7011474357869</v>
      </c>
      <c r="CR160" s="33" t="n">
        <f aca="false">-($E31-In_Ref_Community)*CR111*(1-In_CIT)/Thousand</f>
        <v>-52.1283088767022</v>
      </c>
      <c r="CS160" s="33" t="n">
        <f aca="false">-($E31-In_Ref_Community)*CS111*(1-In_CIT)/Thousand</f>
        <v>-52.1283088767022</v>
      </c>
      <c r="CT160" s="33" t="n">
        <f aca="false">-($E31-In_Ref_Community)*CT111*(1-In_CIT)/Thousand</f>
        <v>-52.7011474357869</v>
      </c>
      <c r="CU160" s="33" t="n">
        <f aca="false">-($E31-In_Ref_Community)*CU111*(1-In_CIT)/Thousand</f>
        <v>-52.5430439934795</v>
      </c>
      <c r="CV160" s="33" t="n">
        <f aca="false">-($E31-In_Ref_Community)*CV111*(1-In_CIT)/Thousand</f>
        <v>-51.4008039066647</v>
      </c>
      <c r="CW160" s="33" t="n">
        <f aca="false">-($E31-In_Ref_Community)*CW111*(1-In_CIT)/Thousand</f>
        <v>-51.9719239500721</v>
      </c>
      <c r="CX160" s="33" t="n">
        <f aca="false">-($E31-In_Ref_Community)*CX111*(1-In_CIT)/Thousand</f>
        <v>-52.5430439934795</v>
      </c>
      <c r="CY160" s="33" t="n">
        <f aca="false">-($E31-In_Ref_Community)*CY111*(1-In_CIT)/Thousand</f>
        <v>-52.3854148614991</v>
      </c>
      <c r="CZ160" s="33" t="n">
        <f aca="false">-($E31-In_Ref_Community)*CZ111*(1-In_CIT)/Thousand</f>
        <v>-51.2466014949447</v>
      </c>
      <c r="DA160" s="33" t="n">
        <f aca="false">-($E31-In_Ref_Community)*DA111*(1-In_CIT)/Thousand</f>
        <v>-51.8160081782219</v>
      </c>
      <c r="DB160" s="33" t="n">
        <f aca="false">-($E31-In_Ref_Community)*DB111*(1-In_CIT)/Thousand</f>
        <v>-52.3854148614991</v>
      </c>
      <c r="DC160" s="33" t="n">
        <f aca="false">-($E31-In_Ref_Community)*DC111*(1-In_CIT)/Thousand</f>
        <v>-52.2282586169146</v>
      </c>
      <c r="DD160" s="33" t="n">
        <f aca="false">-($E31-In_Ref_Community)*DD111*(1-In_CIT)/Thousand</f>
        <v>-51.0928616904599</v>
      </c>
      <c r="DE160" s="33" t="n">
        <f aca="false">-($E31-In_Ref_Community)*DE111*(1-In_CIT)/Thousand</f>
        <v>-51.6605601536872</v>
      </c>
      <c r="DF160" s="33" t="n">
        <f aca="false">-($E31-In_Ref_Community)*DF111*(1-In_CIT)/Thousand</f>
        <v>-52.2282586169146</v>
      </c>
      <c r="DG160" s="33" t="n">
        <f aca="false">-($E31-In_Ref_Community)*DG111*(1-In_CIT)/Thousand</f>
        <v>-52.0715738410638</v>
      </c>
      <c r="DH160" s="33" t="n">
        <f aca="false">-($E31-In_Ref_Community)*DH111*(1-In_CIT)/Thousand</f>
        <v>-51.5055784732262</v>
      </c>
      <c r="DI160" s="33" t="n">
        <f aca="false">-($E31-In_Ref_Community)*DI111*(1-In_CIT)/Thousand</f>
        <v>-51.5055784732262</v>
      </c>
      <c r="DJ160" s="33" t="n">
        <f aca="false">-($E31-In_Ref_Community)*DJ111*(1-In_CIT)/Thousand</f>
        <v>-52.0715738410638</v>
      </c>
      <c r="DK160" s="33" t="n">
        <f aca="false">-($E31-In_Ref_Community)*DK111*(1-In_CIT)/Thousand</f>
        <v>-51.9153591195406</v>
      </c>
      <c r="DL160" s="33" t="n">
        <f aca="false">-($E31-In_Ref_Community)*DL111*(1-In_CIT)/Thousand</f>
        <v>-50.7867643560723</v>
      </c>
      <c r="DM160" s="33" t="n">
        <f aca="false">-($E31-In_Ref_Community)*DM111*(1-In_CIT)/Thousand</f>
        <v>-51.3510617378065</v>
      </c>
      <c r="DN160" s="33" t="n">
        <f aca="false">-($E31-In_Ref_Community)*DN111*(1-In_CIT)/Thousand</f>
        <v>-51.9153591195406</v>
      </c>
      <c r="DO160" s="33" t="n">
        <f aca="false">-($E31-In_Ref_Community)*DO111*(1-In_CIT)/Thousand</f>
        <v>-51.759613042182</v>
      </c>
      <c r="DP160" s="33" t="n">
        <f aca="false">-($E31-In_Ref_Community)*DP111*(1-In_CIT)/Thousand</f>
        <v>-50.6344040630041</v>
      </c>
      <c r="DQ160" s="33" t="n">
        <f aca="false">-($E31-In_Ref_Community)*DQ111*(1-In_CIT)/Thousand</f>
        <v>-51.1970085525931</v>
      </c>
      <c r="DR160" s="33" t="n">
        <f aca="false">-($E31-In_Ref_Community)*DR111*(1-In_CIT)/Thousand</f>
        <v>-51.759613042182</v>
      </c>
      <c r="DS160" s="33" t="n">
        <f aca="false">-($E31-In_Ref_Community)*DS111*(1-In_CIT)/Thousand</f>
        <v>-51.6043342030555</v>
      </c>
      <c r="DT160" s="33" t="n">
        <f aca="false">-($E31-In_Ref_Community)*DT111*(1-In_CIT)/Thousand</f>
        <v>-50.4825008508151</v>
      </c>
      <c r="DU160" s="33" t="n">
        <f aca="false">-($E31-In_Ref_Community)*DU111*(1-In_CIT)/Thousand</f>
        <v>-51.0434175269353</v>
      </c>
      <c r="DV160" s="33" t="n">
        <f aca="false">-($E31-In_Ref_Community)*DV111*(1-In_CIT)/Thousand</f>
        <v>-51.6043342030555</v>
      </c>
      <c r="DW160" s="33" t="n">
        <f aca="false">-($E31-In_Ref_Community)*DW111*(1-In_CIT)/Thousand</f>
        <v>-51.4495212004463</v>
      </c>
      <c r="DX160" s="33" t="n">
        <f aca="false">-($E31-In_Ref_Community)*DX111*(1-In_CIT)/Thousand</f>
        <v>-50.8902872743545</v>
      </c>
      <c r="DY160" s="33" t="n">
        <f aca="false">-($E31-In_Ref_Community)*DY111*(1-In_CIT)/Thousand</f>
        <v>-50.8902872743545</v>
      </c>
      <c r="DZ160" s="33" t="n">
        <f aca="false">-($E31-In_Ref_Community)*DZ111*(1-In_CIT)/Thousand</f>
        <v>-51.4495212004463</v>
      </c>
      <c r="EA160" s="33" t="n">
        <f aca="false">-($E31-In_Ref_Community)*EA111*(1-In_CIT)/Thousand</f>
        <v>-51.2951726368449</v>
      </c>
      <c r="EB160" s="33" t="n">
        <f aca="false">-($E31-In_Ref_Community)*EB111*(1-In_CIT)/Thousand</f>
        <v>-50.1800601882179</v>
      </c>
      <c r="EC160" s="33" t="n">
        <f aca="false">-($E31-In_Ref_Community)*EC111*(1-In_CIT)/Thousand</f>
        <v>-50.7376164125314</v>
      </c>
      <c r="ED160" s="33" t="n">
        <f aca="false">-($E31-In_Ref_Community)*ED111*(1-In_CIT)/Thousand</f>
        <v>-51.2951726368449</v>
      </c>
      <c r="EE160" s="33" t="n">
        <f aca="false">-($E31-In_Ref_Community)*EE111*(1-In_CIT)/Thousand</f>
        <v>-51.1412871189344</v>
      </c>
      <c r="EF160" s="33" t="n">
        <f aca="false">-($E31-In_Ref_Community)*EF111*(1-In_CIT)/Thousand</f>
        <v>-50.0295200076532</v>
      </c>
      <c r="EG160" s="33" t="n">
        <f aca="false">-($E31-In_Ref_Community)*EG111*(1-In_CIT)/Thousand</f>
        <v>-50.5854035632938</v>
      </c>
      <c r="EH160" s="33" t="n">
        <f aca="false">-($E31-In_Ref_Community)*EH111*(1-In_CIT)/Thousand</f>
        <v>-51.1412871189344</v>
      </c>
      <c r="EI160" s="33" t="n">
        <f aca="false">-($E31-In_Ref_Community)*EI111*(1-In_CIT)/Thousand</f>
        <v>-50.9878632575776</v>
      </c>
      <c r="EJ160" s="33" t="n">
        <f aca="false">-($E31-In_Ref_Community)*EJ111*(1-In_CIT)/Thousand</f>
        <v>-49.8794314476303</v>
      </c>
      <c r="EK160" s="33" t="n">
        <f aca="false">-($E31-In_Ref_Community)*EK111*(1-In_CIT)/Thousand</f>
        <v>-50.4336473526039</v>
      </c>
      <c r="EL160" s="33" t="n">
        <f aca="false">-($E31-In_Ref_Community)*EL111*(1-In_CIT)/Thousand</f>
        <v>-50.9878632575776</v>
      </c>
      <c r="EM160" s="33" t="n">
        <f aca="false">-($E31-In_Ref_Community)*EM111*(1-In_CIT)/Thousand</f>
        <v>-50.8348996678049</v>
      </c>
      <c r="EN160" s="33" t="n">
        <f aca="false">-($E31-In_Ref_Community)*EN111*(1-In_CIT)/Thousand</f>
        <v>-50.2823464105461</v>
      </c>
      <c r="EO160" s="33" t="n">
        <f aca="false">-($E31-In_Ref_Community)*EO111*(1-In_CIT)/Thousand</f>
        <v>-50.2823464105461</v>
      </c>
      <c r="EP160" s="33" t="n">
        <f aca="false">-($E31-In_Ref_Community)*EP111*(1-In_CIT)/Thousand</f>
        <v>-50.8348996678049</v>
      </c>
      <c r="EQ160" s="33" t="n">
        <f aca="false">-($E31-In_Ref_Community)*EQ111*(1-In_CIT)/Thousand</f>
        <v>-50.6823949688015</v>
      </c>
      <c r="ER160" s="33" t="n">
        <f aca="false">-($E31-In_Ref_Community)*ER111*(1-In_CIT)/Thousand</f>
        <v>-49.5806037738275</v>
      </c>
      <c r="ES160" s="33" t="n">
        <f aca="false">-($E31-In_Ref_Community)*ES111*(1-In_CIT)/Thousand</f>
        <v>-50.1314993713145</v>
      </c>
      <c r="ET160" s="33" t="n">
        <f aca="false">-($E31-In_Ref_Community)*ET111*(1-In_CIT)/Thousand</f>
        <v>-50.6823949688015</v>
      </c>
    </row>
    <row r="161" customFormat="false" ht="15" hidden="false" customHeight="false" outlineLevel="0" collapsed="false">
      <c r="C161" s="0" t="s">
        <v>593</v>
      </c>
      <c r="D161" s="11" t="s">
        <v>247</v>
      </c>
      <c r="E161" s="33" t="n">
        <f aca="false">IF(In_CN_Turbine=1,In_COD_Price_CN,In_COD_Price)*$F24*(1-$E27)</f>
        <v>245000</v>
      </c>
      <c r="F161" s="33" t="n">
        <f aca="false">In_Pass_Through*($E160+SUMPRODUCT($J87:$ET87,$J21:$ET21))</f>
        <v>-3839.08122210466</v>
      </c>
    </row>
    <row r="162" customFormat="false" ht="15" hidden="false" customHeight="false" outlineLevel="0" collapsed="false">
      <c r="A162" s="55"/>
      <c r="B162" s="55"/>
      <c r="C162" s="55" t="s">
        <v>594</v>
      </c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55"/>
      <c r="CO162" s="55"/>
      <c r="CP162" s="55"/>
      <c r="CQ162" s="55"/>
      <c r="CR162" s="55"/>
      <c r="CS162" s="55"/>
      <c r="CT162" s="55"/>
      <c r="CU162" s="55"/>
      <c r="CV162" s="55"/>
      <c r="CW162" s="55"/>
      <c r="CX162" s="55"/>
      <c r="CY162" s="55"/>
      <c r="CZ162" s="55"/>
      <c r="DA162" s="55"/>
      <c r="DB162" s="55"/>
      <c r="DC162" s="55"/>
      <c r="DD162" s="55"/>
      <c r="DE162" s="55"/>
      <c r="DF162" s="55"/>
      <c r="DG162" s="55"/>
      <c r="DH162" s="55"/>
      <c r="DI162" s="55"/>
      <c r="DJ162" s="55"/>
      <c r="DK162" s="55"/>
      <c r="DL162" s="55"/>
      <c r="DM162" s="55"/>
      <c r="DN162" s="55"/>
      <c r="DO162" s="55"/>
      <c r="DP162" s="55"/>
      <c r="DQ162" s="55"/>
      <c r="DR162" s="55"/>
      <c r="DS162" s="55"/>
      <c r="DT162" s="55"/>
      <c r="DU162" s="55"/>
      <c r="DV162" s="55"/>
      <c r="DW162" s="55"/>
      <c r="DX162" s="55"/>
      <c r="DY162" s="55"/>
      <c r="DZ162" s="55"/>
      <c r="EA162" s="55"/>
      <c r="EB162" s="55"/>
      <c r="EC162" s="55"/>
      <c r="ED162" s="55"/>
      <c r="EE162" s="55"/>
      <c r="EF162" s="55"/>
      <c r="EG162" s="55"/>
      <c r="EH162" s="55"/>
      <c r="EI162" s="55"/>
      <c r="EJ162" s="55"/>
      <c r="EK162" s="55"/>
      <c r="EL162" s="55"/>
      <c r="EM162" s="55"/>
      <c r="EN162" s="55"/>
      <c r="EO162" s="55"/>
      <c r="EP162" s="55"/>
      <c r="EQ162" s="55"/>
      <c r="ER162" s="55"/>
      <c r="ES162" s="55"/>
      <c r="ET162" s="55"/>
    </row>
    <row r="163" customFormat="false" ht="15" hidden="false" customHeight="false" outlineLevel="0" collapsed="false">
      <c r="C163" s="0" t="s">
        <v>595</v>
      </c>
      <c r="D163" s="11" t="s">
        <v>247</v>
      </c>
      <c r="E163" s="33" t="n">
        <f aca="false">$I98+$I99</f>
        <v>94220.5039225694</v>
      </c>
      <c r="F163" s="33" t="n">
        <f aca="false">MAX(0,$E161+$F161-$E163)</f>
        <v>146940.414855326</v>
      </c>
    </row>
    <row r="164" customFormat="false" ht="15" hidden="false" customHeight="false" outlineLevel="0" collapsed="false">
      <c r="C164" s="0" t="s">
        <v>572</v>
      </c>
      <c r="D164" s="11" t="s">
        <v>247</v>
      </c>
      <c r="E164" s="22" t="n">
        <f aca="false">In_Sale_Costs</f>
        <v>500</v>
      </c>
      <c r="F164" s="33" t="n">
        <f aca="false">MIN($E164,$F163)</f>
        <v>500</v>
      </c>
    </row>
    <row r="165" customFormat="false" ht="15" hidden="false" customHeight="false" outlineLevel="0" collapsed="false">
      <c r="C165" s="0" t="s">
        <v>596</v>
      </c>
      <c r="D165" s="11" t="s">
        <v>247</v>
      </c>
      <c r="E165" s="33" t="n">
        <f aca="false">-$I159+$I46+$I54+$I56+$I47+$F59</f>
        <v>64890.7053120239</v>
      </c>
      <c r="F165" s="33" t="n">
        <f aca="false">MIN($E165,$F163-SUM($F164:$F164))</f>
        <v>64890.7053120239</v>
      </c>
    </row>
    <row r="166" customFormat="false" ht="15" hidden="false" customHeight="false" outlineLevel="0" collapsed="false">
      <c r="C166" s="0" t="s">
        <v>597</v>
      </c>
      <c r="D166" s="11" t="s">
        <v>247</v>
      </c>
      <c r="E166" s="33" t="n">
        <f aca="false">$F68+$F73+$F79</f>
        <v>11746.2079961624</v>
      </c>
      <c r="F166" s="33" t="n">
        <f aca="false">MIN($E166,$F163-SUM($F164:$F165))</f>
        <v>11746.2079961624</v>
      </c>
    </row>
    <row r="167" customFormat="false" ht="15" hidden="false" customHeight="false" outlineLevel="0" collapsed="false">
      <c r="C167" s="0" t="s">
        <v>578</v>
      </c>
      <c r="D167" s="11" t="s">
        <v>247</v>
      </c>
      <c r="E167" s="33" t="n">
        <f aca="false">MIN(In_DSA_Cap,In_DSA_Rate*YEARFRAC(In_Signing_Date,In_COD,0))*$E24</f>
        <v>1510</v>
      </c>
      <c r="F167" s="33" t="n">
        <f aca="false">MIN($E167,$F163-SUM($F164:$F166))</f>
        <v>1510</v>
      </c>
    </row>
    <row r="168" customFormat="false" ht="15" hidden="false" customHeight="false" outlineLevel="0" collapsed="false">
      <c r="C168" s="30" t="s">
        <v>161</v>
      </c>
      <c r="D168" s="11" t="s">
        <v>247</v>
      </c>
      <c r="F168" s="35" t="n">
        <f aca="false">MAX(0,$F163-SUM($E164:$E167))</f>
        <v>68293.5015471397</v>
      </c>
    </row>
    <row r="169" customFormat="false" ht="15" hidden="false" customHeight="false" outlineLevel="0" collapsed="false">
      <c r="C169" s="30" t="s">
        <v>174</v>
      </c>
      <c r="D169" s="11" t="s">
        <v>247</v>
      </c>
      <c r="F169" s="35" t="n">
        <f aca="false">$F165+$F166+In_FEP_Share*$F168</f>
        <v>124442.364391184</v>
      </c>
    </row>
    <row r="170" customFormat="false" ht="15" hidden="false" customHeight="false" outlineLevel="0" collapsed="false">
      <c r="C170" s="30" t="s">
        <v>598</v>
      </c>
      <c r="D170" s="11" t="s">
        <v>247</v>
      </c>
      <c r="I170" s="35" t="n">
        <f aca="false">SUM(J170:ET170)</f>
        <v>54442.6433346878</v>
      </c>
      <c r="J170" s="35" t="n">
        <f aca="false">J159+$F169*J14</f>
        <v>-400</v>
      </c>
      <c r="K170" s="35" t="n">
        <f aca="false">K159+$F169*K14</f>
        <v>-1437.78053818728</v>
      </c>
      <c r="L170" s="35" t="n">
        <f aca="false">L159+$F169*L14</f>
        <v>-691.910911990993</v>
      </c>
      <c r="M170" s="35" t="n">
        <f aca="false">M159+$F169*M14</f>
        <v>-148.451634452993</v>
      </c>
      <c r="N170" s="35" t="n">
        <f aca="false">N159+$F169*N14</f>
        <v>-149.601261024582</v>
      </c>
      <c r="O170" s="35" t="n">
        <f aca="false">O159+$F169*O14</f>
        <v>-290.127288421843</v>
      </c>
      <c r="P170" s="35" t="n">
        <f aca="false">P159+$F169*P14</f>
        <v>-1394.65781281475</v>
      </c>
      <c r="Q170" s="35" t="n">
        <f aca="false">Q159+$F169*Q14</f>
        <v>-109.225607055733</v>
      </c>
      <c r="R170" s="35" t="n">
        <f aca="false">R159+$F169*R14</f>
        <v>-269.857154566657</v>
      </c>
      <c r="S170" s="35" t="n">
        <f aca="false">S159+$F169*S14</f>
        <v>-422.991783283459</v>
      </c>
      <c r="T170" s="35" t="n">
        <f aca="false">T159+$F169*T14</f>
        <v>-20587.5113339088</v>
      </c>
      <c r="U170" s="35" t="n">
        <f aca="false">U159+$F169*U14</f>
        <v>-104.616018014637</v>
      </c>
      <c r="V170" s="35" t="n">
        <f aca="false">V159+$F169*V14</f>
        <v>-105.765644586226</v>
      </c>
      <c r="W170" s="35" t="n">
        <f aca="false">W159+$F169*W14</f>
        <v>-6367.1847682608</v>
      </c>
      <c r="X170" s="35" t="n">
        <f aca="false">X159+$F169*X14</f>
        <v>-4661.61083132373</v>
      </c>
      <c r="Y170" s="35" t="n">
        <f aca="false">Y159+$F169*Y14</f>
        <v>-4688.46029001015</v>
      </c>
      <c r="Z170" s="35" t="n">
        <f aca="false">Z159+$F169*Z14</f>
        <v>-4714.48125405884</v>
      </c>
      <c r="AA170" s="35" t="n">
        <f aca="false">AA159+$F169*AA14</f>
        <v>-4688.7004503316</v>
      </c>
      <c r="AB170" s="35" t="n">
        <f aca="false">AB159+$F169*AB14</f>
        <v>-4563.44624851397</v>
      </c>
      <c r="AC170" s="35" t="n">
        <f aca="false">AC159+$F169*AC14</f>
        <v>-4589.20498961362</v>
      </c>
      <c r="AD170" s="35" t="n">
        <f aca="false">AD159+$F169*AD14</f>
        <v>114828.229155109</v>
      </c>
      <c r="AE170" s="35" t="n">
        <f aca="false">AE159+$F169*AE14</f>
        <v>0</v>
      </c>
      <c r="AF170" s="35" t="n">
        <f aca="false">AF159+$F169*AF14</f>
        <v>0</v>
      </c>
      <c r="AG170" s="35" t="n">
        <f aca="false">AG159+$F169*AG14</f>
        <v>0</v>
      </c>
      <c r="AH170" s="35" t="n">
        <f aca="false">AH159+$F169*AH14</f>
        <v>0</v>
      </c>
      <c r="AI170" s="35" t="n">
        <f aca="false">AI159+$F169*AI14</f>
        <v>0</v>
      </c>
      <c r="AJ170" s="35" t="n">
        <f aca="false">AJ159+$F169*AJ14</f>
        <v>0</v>
      </c>
      <c r="AK170" s="35" t="n">
        <f aca="false">AK159+$F169*AK14</f>
        <v>0</v>
      </c>
      <c r="AL170" s="35" t="n">
        <f aca="false">AL159+$F169*AL14</f>
        <v>0</v>
      </c>
      <c r="AM170" s="35" t="n">
        <f aca="false">AM159+$F169*AM14</f>
        <v>0</v>
      </c>
      <c r="AN170" s="35" t="n">
        <f aca="false">AN159+$F169*AN14</f>
        <v>0</v>
      </c>
      <c r="AO170" s="35" t="n">
        <f aca="false">AO159+$F169*AO14</f>
        <v>0</v>
      </c>
      <c r="AP170" s="35" t="n">
        <f aca="false">AP159+$F169*AP14</f>
        <v>0</v>
      </c>
      <c r="AQ170" s="35" t="n">
        <f aca="false">AQ159+$F169*AQ14</f>
        <v>0</v>
      </c>
      <c r="AR170" s="35" t="n">
        <f aca="false">AR159+$F169*AR14</f>
        <v>0</v>
      </c>
      <c r="AS170" s="35" t="n">
        <f aca="false">AS159+$F169*AS14</f>
        <v>0</v>
      </c>
      <c r="AT170" s="35" t="n">
        <f aca="false">AT159+$F169*AT14</f>
        <v>0</v>
      </c>
      <c r="AU170" s="35" t="n">
        <f aca="false">AU159+$F169*AU14</f>
        <v>0</v>
      </c>
      <c r="AV170" s="35" t="n">
        <f aca="false">AV159+$F169*AV14</f>
        <v>0</v>
      </c>
      <c r="AW170" s="35" t="n">
        <f aca="false">AW159+$F169*AW14</f>
        <v>0</v>
      </c>
      <c r="AX170" s="35" t="n">
        <f aca="false">AX159+$F169*AX14</f>
        <v>0</v>
      </c>
      <c r="AY170" s="35" t="n">
        <f aca="false">AY159+$F169*AY14</f>
        <v>0</v>
      </c>
      <c r="AZ170" s="35" t="n">
        <f aca="false">AZ159+$F169*AZ14</f>
        <v>0</v>
      </c>
      <c r="BA170" s="35" t="n">
        <f aca="false">BA159+$F169*BA14</f>
        <v>0</v>
      </c>
      <c r="BB170" s="35" t="n">
        <f aca="false">BB159+$F169*BB14</f>
        <v>0</v>
      </c>
      <c r="BC170" s="35" t="n">
        <f aca="false">BC159+$F169*BC14</f>
        <v>0</v>
      </c>
      <c r="BD170" s="35" t="n">
        <f aca="false">BD159+$F169*BD14</f>
        <v>0</v>
      </c>
      <c r="BE170" s="35" t="n">
        <f aca="false">BE159+$F169*BE14</f>
        <v>0</v>
      </c>
      <c r="BF170" s="35" t="n">
        <f aca="false">BF159+$F169*BF14</f>
        <v>0</v>
      </c>
      <c r="BG170" s="35" t="n">
        <f aca="false">BG159+$F169*BG14</f>
        <v>0</v>
      </c>
      <c r="BH170" s="35" t="n">
        <f aca="false">BH159+$F169*BH14</f>
        <v>0</v>
      </c>
      <c r="BI170" s="35" t="n">
        <f aca="false">BI159+$F169*BI14</f>
        <v>0</v>
      </c>
      <c r="BJ170" s="35" t="n">
        <f aca="false">BJ159+$F169*BJ14</f>
        <v>0</v>
      </c>
      <c r="BK170" s="35" t="n">
        <f aca="false">BK159+$F169*BK14</f>
        <v>0</v>
      </c>
      <c r="BL170" s="35" t="n">
        <f aca="false">BL159+$F169*BL14</f>
        <v>0</v>
      </c>
      <c r="BM170" s="35" t="n">
        <f aca="false">BM159+$F169*BM14</f>
        <v>0</v>
      </c>
      <c r="BN170" s="35" t="n">
        <f aca="false">BN159+$F169*BN14</f>
        <v>0</v>
      </c>
      <c r="BO170" s="35" t="n">
        <f aca="false">BO159+$F169*BO14</f>
        <v>0</v>
      </c>
      <c r="BP170" s="35" t="n">
        <f aca="false">BP159+$F169*BP14</f>
        <v>0</v>
      </c>
      <c r="BQ170" s="35" t="n">
        <f aca="false">BQ159+$F169*BQ14</f>
        <v>0</v>
      </c>
      <c r="BR170" s="35" t="n">
        <f aca="false">BR159+$F169*BR14</f>
        <v>0</v>
      </c>
      <c r="BS170" s="35" t="n">
        <f aca="false">BS159+$F169*BS14</f>
        <v>0</v>
      </c>
      <c r="BT170" s="35" t="n">
        <f aca="false">BT159+$F169*BT14</f>
        <v>0</v>
      </c>
      <c r="BU170" s="35" t="n">
        <f aca="false">BU159+$F169*BU14</f>
        <v>0</v>
      </c>
      <c r="BV170" s="35" t="n">
        <f aca="false">BV159+$F169*BV14</f>
        <v>0</v>
      </c>
      <c r="BW170" s="35" t="n">
        <f aca="false">BW159+$F169*BW14</f>
        <v>0</v>
      </c>
      <c r="BX170" s="35" t="n">
        <f aca="false">BX159+$F169*BX14</f>
        <v>0</v>
      </c>
      <c r="BY170" s="35" t="n">
        <f aca="false">BY159+$F169*BY14</f>
        <v>0</v>
      </c>
      <c r="BZ170" s="35" t="n">
        <f aca="false">BZ159+$F169*BZ14</f>
        <v>0</v>
      </c>
      <c r="CA170" s="35" t="n">
        <f aca="false">CA159+$F169*CA14</f>
        <v>0</v>
      </c>
      <c r="CB170" s="35" t="n">
        <f aca="false">CB159+$F169*CB14</f>
        <v>0</v>
      </c>
      <c r="CC170" s="35" t="n">
        <f aca="false">CC159+$F169*CC14</f>
        <v>0</v>
      </c>
      <c r="CD170" s="35" t="n">
        <f aca="false">CD159+$F169*CD14</f>
        <v>0</v>
      </c>
      <c r="CE170" s="35" t="n">
        <f aca="false">CE159+$F169*CE14</f>
        <v>0</v>
      </c>
      <c r="CF170" s="35" t="n">
        <f aca="false">CF159+$F169*CF14</f>
        <v>0</v>
      </c>
      <c r="CG170" s="35" t="n">
        <f aca="false">CG159+$F169*CG14</f>
        <v>0</v>
      </c>
      <c r="CH170" s="35" t="n">
        <f aca="false">CH159+$F169*CH14</f>
        <v>0</v>
      </c>
      <c r="CI170" s="35" t="n">
        <f aca="false">CI159+$F169*CI14</f>
        <v>0</v>
      </c>
      <c r="CJ170" s="35" t="n">
        <f aca="false">CJ159+$F169*CJ14</f>
        <v>0</v>
      </c>
      <c r="CK170" s="35" t="n">
        <f aca="false">CK159+$F169*CK14</f>
        <v>0</v>
      </c>
      <c r="CL170" s="35" t="n">
        <f aca="false">CL159+$F169*CL14</f>
        <v>0</v>
      </c>
      <c r="CM170" s="35" t="n">
        <f aca="false">CM159+$F169*CM14</f>
        <v>0</v>
      </c>
      <c r="CN170" s="35" t="n">
        <f aca="false">CN159+$F169*CN14</f>
        <v>0</v>
      </c>
      <c r="CO170" s="35" t="n">
        <f aca="false">CO159+$F169*CO14</f>
        <v>0</v>
      </c>
      <c r="CP170" s="35" t="n">
        <f aca="false">CP159+$F169*CP14</f>
        <v>0</v>
      </c>
      <c r="CQ170" s="35" t="n">
        <f aca="false">CQ159+$F169*CQ14</f>
        <v>0</v>
      </c>
      <c r="CR170" s="35" t="n">
        <f aca="false">CR159+$F169*CR14</f>
        <v>0</v>
      </c>
      <c r="CS170" s="35" t="n">
        <f aca="false">CS159+$F169*CS14</f>
        <v>0</v>
      </c>
      <c r="CT170" s="35" t="n">
        <f aca="false">CT159+$F169*CT14</f>
        <v>0</v>
      </c>
      <c r="CU170" s="35" t="n">
        <f aca="false">CU159+$F169*CU14</f>
        <v>0</v>
      </c>
      <c r="CV170" s="35" t="n">
        <f aca="false">CV159+$F169*CV14</f>
        <v>0</v>
      </c>
      <c r="CW170" s="35" t="n">
        <f aca="false">CW159+$F169*CW14</f>
        <v>0</v>
      </c>
      <c r="CX170" s="35" t="n">
        <f aca="false">CX159+$F169*CX14</f>
        <v>0</v>
      </c>
      <c r="CY170" s="35" t="n">
        <f aca="false">CY159+$F169*CY14</f>
        <v>0</v>
      </c>
      <c r="CZ170" s="35" t="n">
        <f aca="false">CZ159+$F169*CZ14</f>
        <v>0</v>
      </c>
      <c r="DA170" s="35" t="n">
        <f aca="false">DA159+$F169*DA14</f>
        <v>0</v>
      </c>
      <c r="DB170" s="35" t="n">
        <f aca="false">DB159+$F169*DB14</f>
        <v>0</v>
      </c>
      <c r="DC170" s="35" t="n">
        <f aca="false">DC159+$F169*DC14</f>
        <v>0</v>
      </c>
      <c r="DD170" s="35" t="n">
        <f aca="false">DD159+$F169*DD14</f>
        <v>0</v>
      </c>
      <c r="DE170" s="35" t="n">
        <f aca="false">DE159+$F169*DE14</f>
        <v>0</v>
      </c>
      <c r="DF170" s="35" t="n">
        <f aca="false">DF159+$F169*DF14</f>
        <v>0</v>
      </c>
      <c r="DG170" s="35" t="n">
        <f aca="false">DG159+$F169*DG14</f>
        <v>0</v>
      </c>
      <c r="DH170" s="35" t="n">
        <f aca="false">DH159+$F169*DH14</f>
        <v>0</v>
      </c>
      <c r="DI170" s="35" t="n">
        <f aca="false">DI159+$F169*DI14</f>
        <v>0</v>
      </c>
      <c r="DJ170" s="35" t="n">
        <f aca="false">DJ159+$F169*DJ14</f>
        <v>0</v>
      </c>
      <c r="DK170" s="35" t="n">
        <f aca="false">DK159+$F169*DK14</f>
        <v>0</v>
      </c>
      <c r="DL170" s="35" t="n">
        <f aca="false">DL159+$F169*DL14</f>
        <v>0</v>
      </c>
      <c r="DM170" s="35" t="n">
        <f aca="false">DM159+$F169*DM14</f>
        <v>0</v>
      </c>
      <c r="DN170" s="35" t="n">
        <f aca="false">DN159+$F169*DN14</f>
        <v>0</v>
      </c>
      <c r="DO170" s="35" t="n">
        <f aca="false">DO159+$F169*DO14</f>
        <v>0</v>
      </c>
      <c r="DP170" s="35" t="n">
        <f aca="false">DP159+$F169*DP14</f>
        <v>0</v>
      </c>
      <c r="DQ170" s="35" t="n">
        <f aca="false">DQ159+$F169*DQ14</f>
        <v>0</v>
      </c>
      <c r="DR170" s="35" t="n">
        <f aca="false">DR159+$F169*DR14</f>
        <v>0</v>
      </c>
      <c r="DS170" s="35" t="n">
        <f aca="false">DS159+$F169*DS14</f>
        <v>0</v>
      </c>
      <c r="DT170" s="35" t="n">
        <f aca="false">DT159+$F169*DT14</f>
        <v>0</v>
      </c>
      <c r="DU170" s="35" t="n">
        <f aca="false">DU159+$F169*DU14</f>
        <v>0</v>
      </c>
      <c r="DV170" s="35" t="n">
        <f aca="false">DV159+$F169*DV14</f>
        <v>0</v>
      </c>
      <c r="DW170" s="35" t="n">
        <f aca="false">DW159+$F169*DW14</f>
        <v>0</v>
      </c>
      <c r="DX170" s="35" t="n">
        <f aca="false">DX159+$F169*DX14</f>
        <v>0</v>
      </c>
      <c r="DY170" s="35" t="n">
        <f aca="false">DY159+$F169*DY14</f>
        <v>0</v>
      </c>
      <c r="DZ170" s="35" t="n">
        <f aca="false">DZ159+$F169*DZ14</f>
        <v>0</v>
      </c>
      <c r="EA170" s="35" t="n">
        <f aca="false">EA159+$F169*EA14</f>
        <v>0</v>
      </c>
      <c r="EB170" s="35" t="n">
        <f aca="false">EB159+$F169*EB14</f>
        <v>0</v>
      </c>
      <c r="EC170" s="35" t="n">
        <f aca="false">EC159+$F169*EC14</f>
        <v>0</v>
      </c>
      <c r="ED170" s="35" t="n">
        <f aca="false">ED159+$F169*ED14</f>
        <v>0</v>
      </c>
      <c r="EE170" s="35" t="n">
        <f aca="false">EE159+$F169*EE14</f>
        <v>0</v>
      </c>
      <c r="EF170" s="35" t="n">
        <f aca="false">EF159+$F169*EF14</f>
        <v>0</v>
      </c>
      <c r="EG170" s="35" t="n">
        <f aca="false">EG159+$F169*EG14</f>
        <v>0</v>
      </c>
      <c r="EH170" s="35" t="n">
        <f aca="false">EH159+$F169*EH14</f>
        <v>0</v>
      </c>
      <c r="EI170" s="35" t="n">
        <f aca="false">EI159+$F169*EI14</f>
        <v>0</v>
      </c>
      <c r="EJ170" s="35" t="n">
        <f aca="false">EJ159+$F169*EJ14</f>
        <v>0</v>
      </c>
      <c r="EK170" s="35" t="n">
        <f aca="false">EK159+$F169*EK14</f>
        <v>0</v>
      </c>
      <c r="EL170" s="35" t="n">
        <f aca="false">EL159+$F169*EL14</f>
        <v>0</v>
      </c>
      <c r="EM170" s="35" t="n">
        <f aca="false">EM159+$F169*EM14</f>
        <v>0</v>
      </c>
      <c r="EN170" s="35" t="n">
        <f aca="false">EN159+$F169*EN14</f>
        <v>0</v>
      </c>
      <c r="EO170" s="35" t="n">
        <f aca="false">EO159+$F169*EO14</f>
        <v>0</v>
      </c>
      <c r="EP170" s="35" t="n">
        <f aca="false">EP159+$F169*EP14</f>
        <v>0</v>
      </c>
      <c r="EQ170" s="35" t="n">
        <f aca="false">EQ159+$F169*EQ14</f>
        <v>0</v>
      </c>
      <c r="ER170" s="35" t="n">
        <f aca="false">ER159+$F169*ER14</f>
        <v>0</v>
      </c>
      <c r="ES170" s="35" t="n">
        <f aca="false">ES159+$F169*ES14</f>
        <v>0</v>
      </c>
      <c r="ET170" s="35" t="n">
        <f aca="false">ET159+$F169*ET14</f>
        <v>0</v>
      </c>
    </row>
    <row r="171" customFormat="false" ht="15" hidden="false" customHeight="false" outlineLevel="0" collapsed="false">
      <c r="C171" s="30" t="s">
        <v>77</v>
      </c>
      <c r="D171" s="11" t="s">
        <v>35</v>
      </c>
      <c r="E171" s="57" t="n">
        <f aca="false">XIRR($J170:$ET170,$J$4:$ET$4)</f>
        <v>0.378454368531697</v>
      </c>
    </row>
    <row r="172" customFormat="false" ht="15" hidden="false" customHeight="false" outlineLevel="0" collapsed="false">
      <c r="C172" s="30" t="s">
        <v>599</v>
      </c>
      <c r="D172" s="11" t="s">
        <v>13</v>
      </c>
      <c r="E172" s="58" t="n">
        <f aca="false">$F169/-$I159</f>
        <v>1.77775514692048</v>
      </c>
    </row>
    <row r="173" customFormat="false" ht="15" hidden="false" customHeight="false" outlineLevel="0" collapsed="false">
      <c r="C173" s="30" t="s">
        <v>79</v>
      </c>
      <c r="D173" s="11" t="s">
        <v>247</v>
      </c>
      <c r="E173" s="35" t="n">
        <f aca="false">XNPV(In_Discount_Rate,$J170:$ET170,$J$4:$ET$4)</f>
        <v>30754.8631039482</v>
      </c>
    </row>
    <row r="174" customFormat="false" ht="15" hidden="false" customHeight="false" outlineLevel="0" collapsed="false">
      <c r="A174" s="55"/>
      <c r="B174" s="55"/>
      <c r="C174" s="55" t="s">
        <v>600</v>
      </c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55"/>
      <c r="BK174" s="55"/>
      <c r="BL174" s="55"/>
      <c r="BM174" s="55"/>
      <c r="BN174" s="55"/>
      <c r="BO174" s="55"/>
      <c r="BP174" s="55"/>
      <c r="BQ174" s="55"/>
      <c r="BR174" s="55"/>
      <c r="BS174" s="55"/>
      <c r="BT174" s="55"/>
      <c r="BU174" s="55"/>
      <c r="BV174" s="55"/>
      <c r="BW174" s="55"/>
      <c r="BX174" s="5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55"/>
      <c r="CO174" s="55"/>
      <c r="CP174" s="55"/>
      <c r="CQ174" s="55"/>
      <c r="CR174" s="55"/>
      <c r="CS174" s="55"/>
      <c r="CT174" s="55"/>
      <c r="CU174" s="55"/>
      <c r="CV174" s="55"/>
      <c r="CW174" s="55"/>
      <c r="CX174" s="55"/>
      <c r="CY174" s="55"/>
      <c r="CZ174" s="55"/>
      <c r="DA174" s="55"/>
      <c r="DB174" s="55"/>
      <c r="DC174" s="55"/>
      <c r="DD174" s="55"/>
      <c r="DE174" s="55"/>
      <c r="DF174" s="55"/>
      <c r="DG174" s="55"/>
      <c r="DH174" s="55"/>
      <c r="DI174" s="55"/>
      <c r="DJ174" s="55"/>
      <c r="DK174" s="55"/>
      <c r="DL174" s="55"/>
      <c r="DM174" s="55"/>
      <c r="DN174" s="55"/>
      <c r="DO174" s="55"/>
      <c r="DP174" s="55"/>
      <c r="DQ174" s="55"/>
      <c r="DR174" s="55"/>
      <c r="DS174" s="55"/>
      <c r="DT174" s="55"/>
      <c r="DU174" s="55"/>
      <c r="DV174" s="55"/>
      <c r="DW174" s="55"/>
      <c r="DX174" s="55"/>
      <c r="DY174" s="55"/>
      <c r="DZ174" s="55"/>
      <c r="EA174" s="55"/>
      <c r="EB174" s="55"/>
      <c r="EC174" s="55"/>
      <c r="ED174" s="55"/>
      <c r="EE174" s="55"/>
      <c r="EF174" s="55"/>
      <c r="EG174" s="55"/>
      <c r="EH174" s="55"/>
      <c r="EI174" s="55"/>
      <c r="EJ174" s="55"/>
      <c r="EK174" s="55"/>
      <c r="EL174" s="55"/>
      <c r="EM174" s="55"/>
      <c r="EN174" s="55"/>
      <c r="EO174" s="55"/>
      <c r="EP174" s="55"/>
      <c r="EQ174" s="55"/>
      <c r="ER174" s="55"/>
      <c r="ES174" s="55"/>
      <c r="ET174" s="55"/>
    </row>
    <row r="175" customFormat="false" ht="15" hidden="false" customHeight="false" outlineLevel="0" collapsed="false">
      <c r="C175" s="0" t="s">
        <v>601</v>
      </c>
      <c r="D175" s="11" t="s">
        <v>247</v>
      </c>
      <c r="E175" s="33" t="n">
        <f aca="false">$E92*$F24</f>
        <v>60000</v>
      </c>
      <c r="F175" s="33" t="n">
        <f aca="false">In_Installation*$F24</f>
        <v>8000</v>
      </c>
    </row>
    <row r="176" customFormat="false" ht="15" hidden="false" customHeight="false" outlineLevel="0" collapsed="false">
      <c r="C176" s="0" t="s">
        <v>602</v>
      </c>
      <c r="D176" s="11" t="s">
        <v>247</v>
      </c>
      <c r="E176" s="33" t="n">
        <f aca="false">In_Foundations*$F24</f>
        <v>9000</v>
      </c>
      <c r="F176" s="33" t="n">
        <f aca="false">In_BoP*$F24</f>
        <v>13000</v>
      </c>
    </row>
    <row r="177" customFormat="false" ht="15" hidden="false" customHeight="false" outlineLevel="0" collapsed="false">
      <c r="C177" s="0" t="s">
        <v>603</v>
      </c>
      <c r="D177" s="11" t="s">
        <v>247</v>
      </c>
      <c r="E177" s="33" t="n">
        <f aca="false">In_Owner*$F24</f>
        <v>4000</v>
      </c>
      <c r="F177" s="33" t="n">
        <f aca="false">In_Easements*$F24-SUMIF($J$4:$ET$4,"&lt;="&amp;In_COD,$J119:$ET119)</f>
        <v>2118.49126824379</v>
      </c>
    </row>
    <row r="178" customFormat="false" ht="15" hidden="false" customHeight="false" outlineLevel="0" collapsed="false">
      <c r="C178" s="0" t="s">
        <v>604</v>
      </c>
      <c r="D178" s="11" t="s">
        <v>247</v>
      </c>
      <c r="E178" s="33" t="n">
        <f aca="false">In_Capex_Contingency*(($E92+$F92)*$F24+$E93)</f>
        <v>5375</v>
      </c>
      <c r="F178" s="33" t="n">
        <f aca="false">$E93</f>
        <v>12000</v>
      </c>
    </row>
    <row r="179" customFormat="false" ht="15" hidden="false" customHeight="false" outlineLevel="0" collapsed="false">
      <c r="C179" s="0" t="s">
        <v>605</v>
      </c>
      <c r="D179" s="11" t="s">
        <v>247</v>
      </c>
      <c r="E179" s="33" t="n">
        <f aca="false">In_BESS_Capex*$F25</f>
        <v>12240</v>
      </c>
      <c r="F179" s="33" t="n">
        <f aca="false">-$I53</f>
        <v>20179.3874082192</v>
      </c>
    </row>
    <row r="180" customFormat="false" ht="15" hidden="false" customHeight="false" outlineLevel="0" collapsed="false">
      <c r="C180" s="0" t="s">
        <v>606</v>
      </c>
      <c r="D180" s="11" t="s">
        <v>247</v>
      </c>
      <c r="E180" s="33" t="n">
        <f aca="false">-$I95</f>
        <v>5000</v>
      </c>
      <c r="F180" s="33" t="n">
        <f aca="false">-($I57+$I46+$I47+$I50)</f>
        <v>4760.72040238188</v>
      </c>
    </row>
    <row r="181" customFormat="false" ht="15" hidden="false" customHeight="false" outlineLevel="0" collapsed="false">
      <c r="C181" s="0" t="s">
        <v>118</v>
      </c>
      <c r="D181" s="11" t="s">
        <v>247</v>
      </c>
      <c r="E181" s="33" t="n">
        <f aca="false">$I99-$I103-$I104-$F59</f>
        <v>8546.62590022075</v>
      </c>
    </row>
    <row r="182" customFormat="false" ht="15" hidden="false" customHeight="false" outlineLevel="0" collapsed="false">
      <c r="C182" s="30" t="s">
        <v>607</v>
      </c>
      <c r="D182" s="11" t="s">
        <v>247</v>
      </c>
      <c r="E182" s="35" t="n">
        <f aca="false">SUM($E175:$F181)</f>
        <v>164220.224979066</v>
      </c>
      <c r="F182" s="35" t="n">
        <f aca="false">$I98+$I99-$I159</f>
        <v>164220.224979066</v>
      </c>
    </row>
    <row r="183" customFormat="false" ht="15" hidden="false" customHeight="false" outlineLevel="0" collapsed="false">
      <c r="C183" s="0" t="s">
        <v>608</v>
      </c>
      <c r="D183" s="11" t="s">
        <v>247</v>
      </c>
      <c r="E183" s="33" t="n">
        <f aca="false">-($I94+$I98)-SUMIF($J$4:$ET$4,"&lt;="&amp;In_COD,$J119:$ET119)</f>
        <v>35556.8588233123</v>
      </c>
      <c r="F183" s="33" t="n">
        <f aca="false">-($I103+$I104)</f>
        <v>2491.1378476157</v>
      </c>
    </row>
    <row r="184" customFormat="false" ht="15" hidden="false" customHeight="false" outlineLevel="0" collapsed="false">
      <c r="A184" s="55"/>
      <c r="B184" s="55"/>
      <c r="C184" s="55" t="s">
        <v>609</v>
      </c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  <c r="AX184" s="55"/>
      <c r="AY184" s="55"/>
      <c r="AZ184" s="55"/>
      <c r="BA184" s="55"/>
      <c r="BB184" s="55"/>
      <c r="BC184" s="55"/>
      <c r="BD184" s="55"/>
      <c r="BE184" s="55"/>
      <c r="BF184" s="55"/>
      <c r="BG184" s="55"/>
      <c r="BH184" s="55"/>
      <c r="BI184" s="55"/>
      <c r="BJ184" s="55"/>
      <c r="BK184" s="55"/>
      <c r="BL184" s="55"/>
      <c r="BM184" s="55"/>
      <c r="BN184" s="55"/>
      <c r="BO184" s="55"/>
      <c r="BP184" s="55"/>
      <c r="BQ184" s="55"/>
      <c r="BR184" s="55"/>
      <c r="BS184" s="55"/>
      <c r="BT184" s="55"/>
      <c r="BU184" s="55"/>
      <c r="BV184" s="55"/>
      <c r="BW184" s="55"/>
      <c r="BX184" s="55"/>
      <c r="BY184" s="55"/>
      <c r="BZ184" s="55"/>
      <c r="CA184" s="55"/>
      <c r="CB184" s="55"/>
      <c r="CC184" s="55"/>
      <c r="CD184" s="55"/>
      <c r="CE184" s="55"/>
      <c r="CF184" s="55"/>
      <c r="CG184" s="55"/>
      <c r="CH184" s="55"/>
      <c r="CI184" s="55"/>
      <c r="CJ184" s="55"/>
      <c r="CK184" s="55"/>
      <c r="CL184" s="55"/>
      <c r="CM184" s="55"/>
      <c r="CN184" s="55"/>
      <c r="CO184" s="55"/>
      <c r="CP184" s="55"/>
      <c r="CQ184" s="55"/>
      <c r="CR184" s="55"/>
      <c r="CS184" s="55"/>
      <c r="CT184" s="55"/>
      <c r="CU184" s="55"/>
      <c r="CV184" s="55"/>
      <c r="CW184" s="55"/>
      <c r="CX184" s="55"/>
      <c r="CY184" s="55"/>
      <c r="CZ184" s="55"/>
      <c r="DA184" s="55"/>
      <c r="DB184" s="55"/>
      <c r="DC184" s="55"/>
      <c r="DD184" s="55"/>
      <c r="DE184" s="55"/>
      <c r="DF184" s="55"/>
      <c r="DG184" s="55"/>
      <c r="DH184" s="55"/>
      <c r="DI184" s="55"/>
      <c r="DJ184" s="55"/>
      <c r="DK184" s="55"/>
      <c r="DL184" s="55"/>
      <c r="DM184" s="55"/>
      <c r="DN184" s="55"/>
      <c r="DO184" s="55"/>
      <c r="DP184" s="55"/>
      <c r="DQ184" s="55"/>
      <c r="DR184" s="55"/>
      <c r="DS184" s="55"/>
      <c r="DT184" s="55"/>
      <c r="DU184" s="55"/>
      <c r="DV184" s="55"/>
      <c r="DW184" s="55"/>
      <c r="DX184" s="55"/>
      <c r="DY184" s="55"/>
      <c r="DZ184" s="55"/>
      <c r="EA184" s="55"/>
      <c r="EB184" s="55"/>
      <c r="EC184" s="55"/>
      <c r="ED184" s="55"/>
      <c r="EE184" s="55"/>
      <c r="EF184" s="55"/>
      <c r="EG184" s="55"/>
      <c r="EH184" s="55"/>
      <c r="EI184" s="55"/>
      <c r="EJ184" s="55"/>
      <c r="EK184" s="55"/>
      <c r="EL184" s="55"/>
      <c r="EM184" s="55"/>
      <c r="EN184" s="55"/>
      <c r="EO184" s="55"/>
      <c r="EP184" s="55"/>
      <c r="EQ184" s="55"/>
      <c r="ER184" s="55"/>
      <c r="ES184" s="55"/>
      <c r="ET184" s="55"/>
    </row>
    <row r="185" customFormat="false" ht="15" hidden="false" customHeight="false" outlineLevel="0" collapsed="false">
      <c r="C185" s="0" t="s">
        <v>142</v>
      </c>
      <c r="D185" s="11" t="s">
        <v>247</v>
      </c>
      <c r="E185" s="33" t="n">
        <f aca="false">$E49-$I47-$I50</f>
        <v>8234.65753424658</v>
      </c>
    </row>
    <row r="186" customFormat="false" ht="15" hidden="false" customHeight="false" outlineLevel="0" collapsed="false">
      <c r="C186" s="30" t="s">
        <v>610</v>
      </c>
      <c r="D186" s="11" t="s">
        <v>247</v>
      </c>
      <c r="E186" s="35" t="n">
        <f aca="false">$E182+$E49</f>
        <v>171213.786622901</v>
      </c>
    </row>
    <row r="187" customFormat="false" ht="15" hidden="false" customHeight="false" outlineLevel="0" collapsed="false">
      <c r="C187" s="0" t="s">
        <v>611</v>
      </c>
      <c r="D187" s="11" t="s">
        <v>247</v>
      </c>
      <c r="E187" s="33" t="n">
        <f aca="false">-$I87</f>
        <v>1418.21917808219</v>
      </c>
      <c r="F187" s="33" t="n">
        <f aca="false">$F86</f>
        <v>6993.56164383562</v>
      </c>
    </row>
    <row r="189" customFormat="false" ht="15" hidden="false" customHeight="false" outlineLevel="0" collapsed="false">
      <c r="A189" s="9" t="s">
        <v>13</v>
      </c>
      <c r="B189" s="9"/>
      <c r="C189" s="9" t="s">
        <v>177</v>
      </c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</row>
    <row r="190" customFormat="false" ht="15" hidden="false" customHeight="false" outlineLevel="0" collapsed="false">
      <c r="C190" s="30" t="s">
        <v>612</v>
      </c>
      <c r="D190" s="11" t="s">
        <v>247</v>
      </c>
      <c r="I190" s="35" t="n">
        <f aca="false">SUM(J190:ET190)</f>
        <v>287506.93004095</v>
      </c>
      <c r="J190" s="35" t="n">
        <f aca="false">J60+J105+J98+J119+J102+J100+J128+J87-$F143*J12</f>
        <v>-400</v>
      </c>
      <c r="K190" s="35" t="n">
        <f aca="false">K60+K105+K98+K119+K102+K100+K128+K87-$F143*K12</f>
        <v>-1437.78053818728</v>
      </c>
      <c r="L190" s="35" t="n">
        <f aca="false">L60+L105+L98+L119+L102+L100+L128+L87-$F143*L12</f>
        <v>-691.910911990993</v>
      </c>
      <c r="M190" s="35" t="n">
        <f aca="false">M60+M105+M98+M119+M102+M100+M128+M87-$F143*M12</f>
        <v>-148.451634452993</v>
      </c>
      <c r="N190" s="35" t="n">
        <f aca="false">N60+N105+N98+N119+N102+N100+N128+N87-$F143*N12</f>
        <v>-149.601261024582</v>
      </c>
      <c r="O190" s="35" t="n">
        <f aca="false">O60+O105+O98+O119+O102+O100+O128+O87-$F143*O12</f>
        <v>-290.127288421843</v>
      </c>
      <c r="P190" s="35" t="n">
        <f aca="false">P60+P105+P98+P119+P102+P100+P128+P87-$F143*P12</f>
        <v>-1394.65781281475</v>
      </c>
      <c r="Q190" s="35" t="n">
        <f aca="false">Q60+Q105+Q98+Q119+Q102+Q100+Q128+Q87-$F143*Q12</f>
        <v>-109.225607055733</v>
      </c>
      <c r="R190" s="35" t="n">
        <f aca="false">R60+R105+R98+R119+R102+R100+R128+R87-$F143*R12</f>
        <v>-269.857154566657</v>
      </c>
      <c r="S190" s="35" t="n">
        <f aca="false">S60+S105+S98+S119+S102+S100+S128+S87-$F143*S12</f>
        <v>-422.991783283459</v>
      </c>
      <c r="T190" s="35" t="n">
        <f aca="false">T60+T105+T98+T119+T102+T100+T128+T87-$F143*T12</f>
        <v>-20587.5113339088</v>
      </c>
      <c r="U190" s="35" t="n">
        <f aca="false">U60+U105+U98+U119+U102+U100+U128+U87-$F143*U12</f>
        <v>-104.616018014637</v>
      </c>
      <c r="V190" s="35" t="n">
        <f aca="false">V60+V105+V98+V119+V102+V100+V128+V87-$F143*V12</f>
        <v>-105.765644586226</v>
      </c>
      <c r="W190" s="35" t="n">
        <f aca="false">W60+W105+W98+W119+W102+W100+W128+W87-$F143*W12</f>
        <v>-9816.25417863877</v>
      </c>
      <c r="X190" s="35" t="n">
        <f aca="false">X60+X105+X98+X119+X102+X100+X128+X87-$F143*X12</f>
        <v>-4661.61083132373</v>
      </c>
      <c r="Y190" s="35" t="n">
        <f aca="false">Y60+Y105+Y98+Y119+Y102+Y100+Y128+Y87-$F143*Y12</f>
        <v>-4688.46029001015</v>
      </c>
      <c r="Z190" s="35" t="n">
        <f aca="false">Z60+Z105+Z98+Z119+Z102+Z100+Z128+Z87-$F143*Z12</f>
        <v>-4714.48125405884</v>
      </c>
      <c r="AA190" s="35" t="n">
        <f aca="false">AA60+AA105+AA98+AA119+AA102+AA100+AA128+AA87-$F143*AA12</f>
        <v>-4688.7004503316</v>
      </c>
      <c r="AB190" s="35" t="n">
        <f aca="false">AB60+AB105+AB98+AB119+AB102+AB100+AB128+AB87-$F143*AB12</f>
        <v>-4563.44624851397</v>
      </c>
      <c r="AC190" s="35" t="n">
        <f aca="false">AC60+AC105+AC98+AC119+AC102+AC100+AC128+AC87-$F143*AC12</f>
        <v>-4589.20498961362</v>
      </c>
      <c r="AD190" s="35" t="n">
        <f aca="false">AD60+AD105+AD98+AD119+AD102+AD100+AD128+AD87-$F143*AD12</f>
        <v>-9614.13523607553</v>
      </c>
      <c r="AE190" s="35" t="n">
        <f aca="false">AE60+AE105+AE98+AE119+AE102+AE100+AE128+AE87-$F143*AE12</f>
        <v>1037.68917836884</v>
      </c>
      <c r="AF190" s="35" t="n">
        <f aca="false">AF60+AF105+AF98+AF119+AF102+AF100+AF128+AF87-$F143*AF12</f>
        <v>-396.777138633818</v>
      </c>
      <c r="AG190" s="35" t="n">
        <f aca="false">AG60+AG105+AG98+AG119+AG102+AG100+AG128+AG87-$F143*AG12</f>
        <v>1021.44203944837</v>
      </c>
      <c r="AH190" s="35" t="n">
        <f aca="false">AH60+AH105+AH98+AH119+AH102+AH100+AH128+AH87-$F143*AH12</f>
        <v>1065.71779487514</v>
      </c>
      <c r="AI190" s="35" t="n">
        <f aca="false">AI60+AI105+AI98+AI119+AI102+AI100+AI128+AI87-$F143*AI12</f>
        <v>1051.0237613614</v>
      </c>
      <c r="AJ190" s="35" t="n">
        <f aca="false">AJ60+AJ105+AJ98+AJ119+AJ102+AJ100+AJ128+AJ87-$F143*AJ12</f>
        <v>967.855456140572</v>
      </c>
      <c r="AK190" s="35" t="n">
        <f aca="false">AK60+AK105+AK98+AK119+AK102+AK100+AK128+AK87-$F143*AK12</f>
        <v>1033.4830359105</v>
      </c>
      <c r="AL190" s="35" t="n">
        <f aca="false">AL60+AL105+AL98+AL119+AL102+AL100+AL128+AL87-$F143*AL12</f>
        <v>1074.64840725743</v>
      </c>
      <c r="AM190" s="35" t="n">
        <f aca="false">AM60+AM105+AM98+AM119+AM102+AM100+AM128+AM87-$F143*AM12</f>
        <v>1058.946365332</v>
      </c>
      <c r="AN190" s="35" t="n">
        <f aca="false">AN60+AN105+AN98+AN119+AN102+AN100+AN128+AN87-$F143*AN12</f>
        <v>994.711877093503</v>
      </c>
      <c r="AO190" s="35" t="n">
        <f aca="false">AO60+AO105+AO98+AO119+AO102+AO100+AO128+AO87-$F143*AO12</f>
        <v>1035.91913713534</v>
      </c>
      <c r="AP190" s="35" t="n">
        <f aca="false">AP60+AP105+AP98+AP119+AP102+AP100+AP128+AP87-$F143*AP12</f>
        <v>1077.09762027179</v>
      </c>
      <c r="AQ190" s="35" t="n">
        <f aca="false">AQ60+AQ105+AQ98+AQ119+AQ102+AQ100+AQ128+AQ87-$F143*AQ12</f>
        <v>1061.19607751072</v>
      </c>
      <c r="AR190" s="35" t="n">
        <f aca="false">AR60+AR105+AR98+AR119+AR102+AR100+AR128+AR87-$F143*AR12</f>
        <v>996.359693051562</v>
      </c>
      <c r="AS190" s="35" t="n">
        <f aca="false">AS60+AS105+AS98+AS119+AS102+AS100+AS128+AS87-$F143*AS12</f>
        <v>1037.57223061168</v>
      </c>
      <c r="AT190" s="35" t="n">
        <f aca="false">AT60+AT105+AT98+AT119+AT102+AT100+AT128+AT87-$F143*AT12</f>
        <v>1078.75452521727</v>
      </c>
      <c r="AU190" s="35" t="n">
        <f aca="false">AU60+AU105+AU98+AU119+AU102+AU100+AU128+AU87-$F143*AU12</f>
        <v>1062.64737402308</v>
      </c>
      <c r="AV190" s="35" t="n">
        <f aca="false">AV60+AV105+AV98+AV119+AV102+AV100+AV128+AV87-$F143*AV12</f>
        <v>1040.94968109009</v>
      </c>
      <c r="AW190" s="35" t="n">
        <f aca="false">AW60+AW105+AW98+AW119+AW102+AW100+AW128+AW87-$F143*AW12</f>
        <v>1038.40698572612</v>
      </c>
      <c r="AX190" s="35" t="n">
        <f aca="false">AX60+AX105+AX98+AX119+AX102+AX100+AX128+AX87-$F143*AX12</f>
        <v>1079.58336778219</v>
      </c>
      <c r="AY190" s="35" t="n">
        <f aca="false">AY60+AY105+AY98+AY119+AY102+AY100+AY128+AY87-$F143*AY12</f>
        <v>1063.26420819321</v>
      </c>
      <c r="AZ190" s="35" t="n">
        <f aca="false">AZ60+AZ105+AZ98+AZ119+AZ102+AZ100+AZ128+AZ87-$F143*AZ12</f>
        <v>997.192853302776</v>
      </c>
      <c r="BA190" s="35" t="n">
        <f aca="false">BA60+BA105+BA98+BA119+BA102+BA100+BA128+BA87-$F143*BA12</f>
        <v>1038.38655959095</v>
      </c>
      <c r="BB190" s="35" t="n">
        <f aca="false">BB60+BB105+BB98+BB119+BB102+BB100+BB128+BB87-$F143*BB12</f>
        <v>1079.54686295618</v>
      </c>
      <c r="BC190" s="35" t="n">
        <f aca="false">BC60+BC105+BC98+BC119+BC102+BC100+BC128+BC87-$F143*BC12</f>
        <v>1063.00898769499</v>
      </c>
      <c r="BD190" s="35" t="n">
        <f aca="false">BD60+BD105+BD98+BD119+BD102+BD100+BD128+BD87-$F143*BD12</f>
        <v>996.303826447978</v>
      </c>
      <c r="BE190" s="35" t="n">
        <f aca="false">BE60+BE105+BE98+BE119+BE102+BE100+BE128+BE87-$F143*BE12</f>
        <v>1037.47252823187</v>
      </c>
      <c r="BF190" s="35" t="n">
        <f aca="false">BF60+BF105+BF98+BF119+BF102+BF100+BF128+BF87-$F143*BF12</f>
        <v>1078.60612536964</v>
      </c>
      <c r="BG190" s="35" t="n">
        <f aca="false">BG60+BG105+BG98+BG119+BG102+BG100+BG128+BG87-$F143*BG12</f>
        <v>1061.84250412526</v>
      </c>
      <c r="BH190" s="35" t="n">
        <f aca="false">BH60+BH105+BH98+BH119+BH102+BH100+BH128+BH87-$F143*BH12</f>
        <v>994.492139597744</v>
      </c>
      <c r="BI190" s="35" t="n">
        <f aca="false">BI60+BI105+BI98+BI119+BI102+BI100+BI128+BI87-$F143*BI12</f>
        <v>1035.62481447865</v>
      </c>
      <c r="BJ190" s="35" t="n">
        <f aca="false">BJ60+BJ105+BJ98+BJ119+BJ102+BJ100+BJ128+BJ87-$F143*BJ12</f>
        <v>1076.72059629541</v>
      </c>
      <c r="BK190" s="35" t="n">
        <f aca="false">BK60+BK105+BK98+BK119+BK102+BK100+BK128+BK87-$F143*BK12</f>
        <v>1059.72385919996</v>
      </c>
      <c r="BL190" s="35" t="n">
        <f aca="false">BL60+BL105+BL98+BL119+BL102+BL100+BL128+BL87-$F143*BL12</f>
        <v>1035.90341989363</v>
      </c>
      <c r="BM190" s="35" t="n">
        <f aca="false">BM60+BM105+BM98+BM119+BM102+BM100+BM128+BM87-$F143*BM12</f>
        <v>1032.80161239613</v>
      </c>
      <c r="BN190" s="35" t="n">
        <f aca="false">BN60+BN105+BN98+BN119+BN102+BN100+BN128+BN87-$F143*BN12</f>
        <v>1073.84796714762</v>
      </c>
      <c r="BO190" s="35" t="n">
        <f aca="false">BO60+BO105+BO98+BO119+BO102+BO100+BO128+BO87-$F143*BO12</f>
        <v>1056.61038740647</v>
      </c>
      <c r="BP190" s="35" t="n">
        <f aca="false">BP60+BP105+BP98+BP119+BP102+BP100+BP128+BP87-$F143*BP12</f>
        <v>987.933768987489</v>
      </c>
      <c r="BQ190" s="35" t="n">
        <f aca="false">BQ60+BQ105+BQ98+BQ119+BQ102+BQ100+BQ128+BQ87-$F143*BQ12</f>
        <v>1028.95930808444</v>
      </c>
      <c r="BR190" s="35" t="n">
        <f aca="false">BR60+BR105+BR98+BR119+BR102+BR100+BR128+BR87-$F143*BR12</f>
        <v>1069.94409930481</v>
      </c>
      <c r="BS190" s="35" t="n">
        <f aca="false">BS60+BS105+BS98+BS119+BS102+BS100+BS128+BS87-$F143*BS12</f>
        <v>4060.1092793242</v>
      </c>
      <c r="BT190" s="35" t="n">
        <f aca="false">BT60+BT105+BT98+BT119+BT102+BT100+BT128+BT87-$F143*BT12</f>
        <v>3994.13434202624</v>
      </c>
      <c r="BU190" s="35" t="n">
        <f aca="false">BU60+BU105+BU98+BU119+BU102+BU100+BU128+BU87-$F143*BU12</f>
        <v>4038.5136124932</v>
      </c>
      <c r="BV190" s="35" t="n">
        <f aca="false">BV60+BV105+BV98+BV119+BV102+BV100+BV128+BV87-$F143*BV12</f>
        <v>4082.89288296016</v>
      </c>
      <c r="BW190" s="35" t="n">
        <f aca="false">BW60+BW105+BW98+BW119+BW102+BW100+BW128+BW87-$F143*BW12</f>
        <v>4068.66100375111</v>
      </c>
      <c r="BX190" s="35" t="n">
        <f aca="false">BX60+BX105+BX98+BX119+BX102+BX100+BX128+BX87-$F143*BX12</f>
        <v>4002.16336676262</v>
      </c>
      <c r="BY190" s="35" t="n">
        <f aca="false">BY60+BY105+BY98+BY119+BY102+BY100+BY128+BY87-$F143*BY12</f>
        <v>4046.63184861554</v>
      </c>
      <c r="BZ190" s="35" t="n">
        <f aca="false">BZ60+BZ105+BZ98+BZ119+BZ102+BZ100+BZ128+BZ87-$F143*BZ12</f>
        <v>4091.10033046846</v>
      </c>
      <c r="CA190" s="35" t="n">
        <f aca="false">CA60+CA105+CA98+CA119+CA102+CA100+CA128+CA87-$F143*CA12</f>
        <v>4076.78102375911</v>
      </c>
      <c r="CB190" s="35" t="n">
        <f aca="false">CB60+CB105+CB98+CB119+CB102+CB100+CB128+CB87-$F143*CB12</f>
        <v>4054.30866905455</v>
      </c>
      <c r="CC190" s="35" t="n">
        <f aca="false">CC60+CC105+CC98+CC119+CC102+CC100+CC128+CC87-$F143*CC12</f>
        <v>4054.30866905455</v>
      </c>
      <c r="CD190" s="35" t="n">
        <f aca="false">CD60+CD105+CD98+CD119+CD102+CD100+CD128+CD87-$F143*CD12</f>
        <v>4098.86151157164</v>
      </c>
      <c r="CE190" s="35" t="n">
        <f aca="false">CE60+CE105+CE98+CE119+CE102+CE100+CE128+CE87-$F143*CE12</f>
        <v>4084.45454603226</v>
      </c>
      <c r="CF190" s="35" t="n">
        <f aca="false">CF60+CF105+CF98+CF119+CF102+CF100+CF128+CF87-$F143*CF12</f>
        <v>4016.89686178095</v>
      </c>
      <c r="CG190" s="35" t="n">
        <f aca="false">CG60+CG105+CG98+CG119+CG102+CG100+CG128+CG87-$F143*CG12</f>
        <v>4061.52904913407</v>
      </c>
      <c r="CH190" s="35" t="n">
        <f aca="false">CH60+CH105+CH98+CH119+CH102+CH100+CH128+CH87-$F143*CH12</f>
        <v>4106.16123648719</v>
      </c>
      <c r="CI190" s="35" t="n">
        <f aca="false">CI60+CI105+CI98+CI119+CI102+CI100+CI128+CI87-$F143*CI12</f>
        <v>4091.66638710419</v>
      </c>
      <c r="CJ190" s="35" t="n">
        <f aca="false">CJ60+CJ105+CJ98+CJ119+CJ102+CJ100+CJ128+CJ87-$F143*CJ12</f>
        <v>4023.57122153205</v>
      </c>
      <c r="CK190" s="35" t="n">
        <f aca="false">CK60+CK105+CK98+CK119+CK102+CK100+CK128+CK87-$F143*CK12</f>
        <v>4068.27756843796</v>
      </c>
      <c r="CL190" s="35" t="n">
        <f aca="false">CL60+CL105+CL98+CL119+CL102+CL100+CL128+CL87-$F143*CL12</f>
        <v>4112.98391534387</v>
      </c>
      <c r="CM190" s="35" t="n">
        <f aca="false">CM60+CM105+CM98+CM119+CM102+CM100+CM128+CM87-$F143*CM12</f>
        <v>4098.4009636387</v>
      </c>
      <c r="CN190" s="35" t="n">
        <f aca="false">CN60+CN105+CN98+CN119+CN102+CN100+CN128+CN87-$F143*CN12</f>
        <v>4029.76325369152</v>
      </c>
      <c r="CO190" s="35" t="n">
        <f aca="false">CO60+CO105+CO98+CO119+CO102+CO100+CO128+CO87-$F143*CO12</f>
        <v>4074.53840095476</v>
      </c>
      <c r="CP190" s="35" t="n">
        <f aca="false">CP60+CP105+CP98+CP119+CP102+CP100+CP128+CP87-$F143*CP12</f>
        <v>4119.313548218</v>
      </c>
      <c r="CQ190" s="35" t="n">
        <f aca="false">CQ60+CQ105+CQ98+CQ119+CQ102+CQ100+CQ128+CQ87-$F143*CQ12</f>
        <v>4104.64228247146</v>
      </c>
      <c r="CR190" s="35" t="n">
        <f aca="false">CR60+CR105+CR98+CR119+CR102+CR100+CR128+CR87-$F143*CR12</f>
        <v>4080.29530498012</v>
      </c>
      <c r="CS190" s="35" t="n">
        <f aca="false">CS60+CS105+CS98+CS119+CS102+CS100+CS128+CS87-$F143*CS12</f>
        <v>4080.29530498012</v>
      </c>
      <c r="CT190" s="35" t="n">
        <f aca="false">CT60+CT105+CT98+CT119+CT102+CT100+CT128+CT87-$F143*CT12</f>
        <v>4125.13371492496</v>
      </c>
      <c r="CU190" s="35" t="n">
        <f aca="false">CU60+CU105+CU98+CU119+CU102+CU100+CU128+CU87-$F143*CU12</f>
        <v>4110.37393040698</v>
      </c>
      <c r="CV190" s="35" t="n">
        <f aca="false">CV60+CV105+CV98+CV119+CV102+CV100+CV128+CV87-$F143*CV12</f>
        <v>4040.63566098232</v>
      </c>
      <c r="CW190" s="35" t="n">
        <f aca="false">CW60+CW105+CW98+CW119+CW102+CW100+CW128+CW87-$F143*CW12</f>
        <v>4085.53161277101</v>
      </c>
      <c r="CX190" s="35" t="n">
        <f aca="false">CX60+CX105+CX98+CX119+CX102+CX100+CX128+CX87-$F143*CX12</f>
        <v>4130.4275645597</v>
      </c>
      <c r="CY190" s="35" t="n">
        <f aca="false">CY60+CY105+CY98+CY119+CY102+CY100+CY128+CY87-$F143*CY12</f>
        <v>4115.57906376473</v>
      </c>
      <c r="CZ190" s="35" t="n">
        <f aca="false">CZ60+CZ105+CZ98+CZ119+CZ102+CZ100+CZ128+CZ87-$F143*CZ12</f>
        <v>4045.28263511113</v>
      </c>
      <c r="DA190" s="35" t="n">
        <f aca="false">DA60+DA105+DA98+DA119+DA102+DA100+DA128+DA87-$F143*DA12</f>
        <v>4090.2302199457</v>
      </c>
      <c r="DB190" s="35" t="n">
        <f aca="false">DB60+DB105+DB98+DB119+DB102+DB100+DB128+DB87-$F143*DB12</f>
        <v>4135.17780478027</v>
      </c>
      <c r="DC190" s="35" t="n">
        <f aca="false">DC60+DC105+DC98+DC119+DC102+DC100+DC128+DC87-$F143*DC12</f>
        <v>4120.24039766833</v>
      </c>
      <c r="DD190" s="35" t="n">
        <f aca="false">DD60+DD105+DD98+DD119+DD102+DD100+DD128+DD87-$F143*DD12</f>
        <v>4049.38045841856</v>
      </c>
      <c r="DE190" s="35" t="n">
        <f aca="false">DE60+DE105+DE98+DE119+DE102+DE100+DE128+DE87-$F143*DE12</f>
        <v>4094.37357462321</v>
      </c>
      <c r="DF190" s="35" t="n">
        <f aca="false">DF60+DF105+DF98+DF119+DF102+DF100+DF128+DF87-$F143*DF12</f>
        <v>4139.36669082786</v>
      </c>
      <c r="DG190" s="35" t="n">
        <f aca="false">DG60+DG105+DG98+DG119+DG102+DG100+DG128+DG87-$F143*DG12</f>
        <v>3948.00494486583</v>
      </c>
      <c r="DH190" s="35" t="n">
        <f aca="false">DH60+DH105+DH98+DH119+DH102+DH100+DH128+DH87-$F143*DH12</f>
        <v>3923.5251035924</v>
      </c>
      <c r="DI190" s="35" t="n">
        <f aca="false">DI60+DI105+DI98+DI119+DI102+DI100+DI128+DI87-$F143*DI12</f>
        <v>3923.5251035924</v>
      </c>
      <c r="DJ190" s="35" t="n">
        <f aca="false">DJ60+DJ105+DJ98+DJ119+DJ102+DJ100+DJ128+DJ87-$F143*DJ12</f>
        <v>3966.64076407144</v>
      </c>
      <c r="DK190" s="35" t="n">
        <f aca="false">DK60+DK105+DK98+DK119+DK102+DK100+DK128+DK87-$F143*DK12</f>
        <v>3951.52500530895</v>
      </c>
      <c r="DL190" s="35" t="n">
        <f aca="false">DL60+DL105+DL98+DL119+DL102+DL100+DL128+DL87-$F143*DL12</f>
        <v>3883.35506214572</v>
      </c>
      <c r="DM190" s="35" t="n">
        <f aca="false">DM60+DM105+DM98+DM119+DM102+DM100+DM128+DM87-$F143*DM12</f>
        <v>3926.50345172512</v>
      </c>
      <c r="DN190" s="35" t="n">
        <f aca="false">DN60+DN105+DN98+DN119+DN102+DN100+DN128+DN87-$F143*DN12</f>
        <v>3969.65184130451</v>
      </c>
      <c r="DO190" s="35" t="n">
        <f aca="false">DO60+DO105+DO98+DO119+DO102+DO100+DO128+DO87-$F143*DO12</f>
        <v>3954.44665339857</v>
      </c>
      <c r="DP190" s="35" t="n">
        <f aca="false">DP60+DP105+DP98+DP119+DP102+DP100+DP128+DP87-$F143*DP12</f>
        <v>3885.69668644693</v>
      </c>
      <c r="DQ190" s="35" t="n">
        <f aca="false">DQ60+DQ105+DQ98+DQ119+DQ102+DQ100+DQ128+DQ87-$F143*DQ12</f>
        <v>3928.87109407412</v>
      </c>
      <c r="DR190" s="35" t="n">
        <f aca="false">DR60+DR105+DR98+DR119+DR102+DR100+DR128+DR87-$F143*DR12</f>
        <v>3972.04550170131</v>
      </c>
      <c r="DS190" s="35" t="n">
        <f aca="false">DS60+DS105+DS98+DS119+DS102+DS100+DS128+DS87-$F143*DS12</f>
        <v>3956.75072700462</v>
      </c>
      <c r="DT190" s="35" t="n">
        <f aca="false">DT60+DT105+DT98+DT119+DT102+DT100+DT128+DT87-$F143*DT12</f>
        <v>3887.415073898</v>
      </c>
      <c r="DU190" s="35" t="n">
        <f aca="false">DU60+DU105+DU98+DU119+DU102+DU100+DU128+DU87-$F143*DU12</f>
        <v>3930.60857471908</v>
      </c>
      <c r="DV190" s="35" t="n">
        <f aca="false">DV60+DV105+DV98+DV119+DV102+DV100+DV128+DV87-$F143*DV12</f>
        <v>3973.80207554017</v>
      </c>
      <c r="DW190" s="35" t="n">
        <f aca="false">DW60+DW105+DW98+DW119+DW102+DW100+DW128+DW87-$F143*DW12</f>
        <v>3958.41756516718</v>
      </c>
      <c r="DX190" s="35" t="n">
        <f aca="false">DX60+DX105+DX98+DX119+DX102+DX100+DX128+DX87-$F143*DX12</f>
        <v>3931.695931801</v>
      </c>
      <c r="DY190" s="35" t="n">
        <f aca="false">DY60+DY105+DY98+DY119+DY102+DY100+DY128+DY87-$F143*DY12</f>
        <v>3931.695931801</v>
      </c>
      <c r="DZ190" s="35" t="n">
        <f aca="false">DZ60+DZ105+DZ98+DZ119+DZ102+DZ100+DZ128+DZ87-$F143*DZ12</f>
        <v>3974.90138160101</v>
      </c>
      <c r="EA190" s="35" t="n">
        <f aca="false">EA60+EA105+EA98+EA119+EA102+EA100+EA128+EA87-$F143*EA12</f>
        <v>3959.42699570617</v>
      </c>
      <c r="EB190" s="35" t="n">
        <f aca="false">EB60+EB105+EB98+EB119+EB102+EB100+EB128+EB87-$F143*EB12</f>
        <v>3888.90265545373</v>
      </c>
      <c r="EC190" s="35" t="n">
        <f aca="false">EC60+EC105+EC98+EC119+EC102+EC100+EC128+EC87-$F143*EC12</f>
        <v>3932.11268495877</v>
      </c>
      <c r="ED190" s="35" t="n">
        <f aca="false">ED60+ED105+ED98+ED119+ED102+ED100+ED128+ED87-$F143*ED12</f>
        <v>3975.32271446381</v>
      </c>
      <c r="EE190" s="35" t="n">
        <f aca="false">EE60+EE105+EE98+EE119+EE102+EE100+EE128+EE87-$F143*EE12</f>
        <v>3959.75832252664</v>
      </c>
      <c r="EF190" s="35" t="n">
        <f aca="false">EF60+EF105+EF98+EF119+EF102+EF100+EF128+EF87-$F143*EF12</f>
        <v>3888.63081341921</v>
      </c>
      <c r="EG190" s="35" t="n">
        <f aca="false">EG60+EG105+EG98+EG119+EG102+EG100+EG128+EG87-$F143*EG12</f>
        <v>3931.8378224572</v>
      </c>
      <c r="EH190" s="35" t="n">
        <f aca="false">EH60+EH105+EH98+EH119+EH102+EH100+EH128+EH87-$F143*EH12</f>
        <v>3975.04483149519</v>
      </c>
      <c r="EI190" s="35" t="n">
        <f aca="false">EI60+EI105+EI98+EI119+EI102+EI100+EI128+EI87-$F143*EI12</f>
        <v>3959.39031261208</v>
      </c>
      <c r="EJ190" s="35" t="n">
        <f aca="false">EJ60+EJ105+EJ98+EJ119+EJ102+EJ100+EJ128+EJ87-$F143*EJ12</f>
        <v>3887.65363648219</v>
      </c>
      <c r="EK190" s="35" t="n">
        <f aca="false">EK60+EK105+EK98+EK119+EK102+EK100+EK128+EK87-$F143*EK12</f>
        <v>3930.84978799866</v>
      </c>
      <c r="EL190" s="35" t="n">
        <f aca="false">EL60+EL105+EL98+EL119+EL102+EL100+EL128+EL87-$F143*EL12</f>
        <v>3974.04593951513</v>
      </c>
      <c r="EM190" s="35" t="n">
        <f aca="false">EM60+EM105+EM98+EM119+EM102+EM100+EM128+EM87-$F143*EM12</f>
        <v>3958.30118269824</v>
      </c>
      <c r="EN190" s="35" t="n">
        <f aca="false">EN60+EN105+EN98+EN119+EN102+EN100+EN128+EN87-$F143*EN12</f>
        <v>3929.12646721084</v>
      </c>
      <c r="EO190" s="35" t="n">
        <f aca="false">EO60+EO105+EO98+EO119+EO102+EO100+EO128+EO87-$F143*EO12</f>
        <v>3929.12646721084</v>
      </c>
      <c r="EP190" s="35" t="n">
        <f aca="false">EP60+EP105+EP98+EP119+EP102+EP100+EP128+EP87-$F143*EP12</f>
        <v>3972.30368113624</v>
      </c>
      <c r="EQ190" s="35" t="n">
        <f aca="false">EQ60+EQ105+EQ98+EQ119+EQ102+EQ100+EQ128+EQ87-$F143*EQ12</f>
        <v>3956.46858561953</v>
      </c>
      <c r="ER190" s="35" t="n">
        <f aca="false">ER60+ER105+ER98+ER119+ER102+ER100+ER128+ER87-$F143*ER12</f>
        <v>3883.49522683763</v>
      </c>
      <c r="ES190" s="35" t="n">
        <f aca="false">ES60+ES105+ES98+ES119+ES102+ES100+ES128+ES87-$F143*ES12</f>
        <v>3926.6451738025</v>
      </c>
      <c r="ET190" s="35" t="n">
        <f aca="false">ET60+ET105+ET98+ET119+ET102+ET100+ET128+ET87-$F143*ET12</f>
        <v>3969.79512076736</v>
      </c>
    </row>
    <row r="191" customFormat="false" ht="15" hidden="false" customHeight="false" outlineLevel="0" collapsed="false">
      <c r="C191" s="30" t="s">
        <v>81</v>
      </c>
      <c r="D191" s="11" t="s">
        <v>35</v>
      </c>
      <c r="E191" s="57" t="n">
        <f aca="false">XIRR($J190:$ET190,$J$4:$ET$4)</f>
        <v>0.0949073005175575</v>
      </c>
    </row>
    <row r="192" customFormat="false" ht="15" hidden="false" customHeight="false" outlineLevel="0" collapsed="false">
      <c r="C192" s="30" t="s">
        <v>178</v>
      </c>
      <c r="D192" s="11" t="s">
        <v>13</v>
      </c>
      <c r="E192" s="58" t="n">
        <f aca="false">SUMIF($J190:$ET190,"&gt;0")/-SUMIF($J190:$ET190,"&lt;0")</f>
        <v>4.89335391904422</v>
      </c>
    </row>
    <row r="193" customFormat="false" ht="15" hidden="false" customHeight="false" outlineLevel="0" collapsed="false">
      <c r="C193" s="30" t="s">
        <v>82</v>
      </c>
      <c r="D193" s="11" t="s">
        <v>247</v>
      </c>
      <c r="E193" s="35" t="n">
        <f aca="false">XNPV(In_Discount_Rate,$J190:$ET190,$J$4:$ET$4)</f>
        <v>13363.1648488628</v>
      </c>
    </row>
    <row r="194" customFormat="false" ht="15" hidden="false" customHeight="false" outlineLevel="0" collapsed="false">
      <c r="C194" s="0" t="s">
        <v>613</v>
      </c>
      <c r="D194" s="11" t="s">
        <v>13</v>
      </c>
      <c r="E194" s="50" t="n">
        <f aca="false">MIN($J194:$ET194)</f>
        <v>1.32847346238474</v>
      </c>
      <c r="J194" s="50" t="str">
        <f aca="false">IF(J102+J100&lt;0,(J119+J128)/-(J102+J100),"")</f>
        <v/>
      </c>
      <c r="K194" s="50" t="str">
        <f aca="false">IF(K102+K100&lt;0,(K119+K128)/-(K102+K100),"")</f>
        <v/>
      </c>
      <c r="L194" s="50" t="str">
        <f aca="false">IF(L102+L100&lt;0,(L119+L128)/-(L102+L100),"")</f>
        <v/>
      </c>
      <c r="M194" s="50" t="str">
        <f aca="false">IF(M102+M100&lt;0,(M119+M128)/-(M102+M100),"")</f>
        <v/>
      </c>
      <c r="N194" s="50" t="str">
        <f aca="false">IF(N102+N100&lt;0,(N119+N128)/-(N102+N100),"")</f>
        <v/>
      </c>
      <c r="O194" s="50" t="str">
        <f aca="false">IF(O102+O100&lt;0,(O119+O128)/-(O102+O100),"")</f>
        <v/>
      </c>
      <c r="P194" s="50" t="str">
        <f aca="false">IF(P102+P100&lt;0,(P119+P128)/-(P102+P100),"")</f>
        <v/>
      </c>
      <c r="Q194" s="50" t="str">
        <f aca="false">IF(Q102+Q100&lt;0,(Q119+Q128)/-(Q102+Q100),"")</f>
        <v/>
      </c>
      <c r="R194" s="50" t="str">
        <f aca="false">IF(R102+R100&lt;0,(R119+R128)/-(R102+R100),"")</f>
        <v/>
      </c>
      <c r="S194" s="50" t="str">
        <f aca="false">IF(S102+S100&lt;0,(S119+S128)/-(S102+S100),"")</f>
        <v/>
      </c>
      <c r="T194" s="50" t="str">
        <f aca="false">IF(T102+T100&lt;0,(T119+T128)/-(T102+T100),"")</f>
        <v/>
      </c>
      <c r="U194" s="50" t="str">
        <f aca="false">IF(U102+U100&lt;0,(U119+U128)/-(U102+U100),"")</f>
        <v/>
      </c>
      <c r="V194" s="50" t="str">
        <f aca="false">IF(V102+V100&lt;0,(V119+V128)/-(V102+V100),"")</f>
        <v/>
      </c>
      <c r="W194" s="50" t="str">
        <f aca="false">IF(W102+W100&lt;0,(W119+W128)/-(W102+W100),"")</f>
        <v/>
      </c>
      <c r="X194" s="50" t="str">
        <f aca="false">IF(X102+X100&lt;0,(X119+X128)/-(X102+X100),"")</f>
        <v/>
      </c>
      <c r="Y194" s="50" t="str">
        <f aca="false">IF(Y102+Y100&lt;0,(Y119+Y128)/-(Y102+Y100),"")</f>
        <v/>
      </c>
      <c r="Z194" s="50" t="str">
        <f aca="false">IF(Z102+Z100&lt;0,(Z119+Z128)/-(Z102+Z100),"")</f>
        <v/>
      </c>
      <c r="AA194" s="50" t="str">
        <f aca="false">IF(AA102+AA100&lt;0,(AA119+AA128)/-(AA102+AA100),"")</f>
        <v/>
      </c>
      <c r="AB194" s="50" t="str">
        <f aca="false">IF(AB102+AB100&lt;0,(AB119+AB128)/-(AB102+AB100),"")</f>
        <v/>
      </c>
      <c r="AC194" s="50" t="str">
        <f aca="false">IF(AC102+AC100&lt;0,(AC119+AC128)/-(AC102+AC100),"")</f>
        <v/>
      </c>
      <c r="AD194" s="50" t="str">
        <f aca="false">IF(AD102+AD100&lt;0,(AD119+AD128)/-(AD102+AD100),"")</f>
        <v/>
      </c>
      <c r="AE194" s="50" t="n">
        <f aca="false">IF(AE102+AE100&lt;0,(AE119+AE128)/-(AE102+AE100),"")</f>
        <v>1.38018192774351</v>
      </c>
      <c r="AF194" s="50" t="n">
        <f aca="false">IF(AF102+AF100&lt;0,(AF119+AF128)/-(AF102+AF100),"")</f>
        <v>1.37439775882971</v>
      </c>
      <c r="AG194" s="50" t="n">
        <f aca="false">IF(AG102+AG100&lt;0,(AG119+AG128)/-(AG102+AG100),"")</f>
        <v>1.37439775882971</v>
      </c>
      <c r="AH194" s="50" t="n">
        <f aca="false">IF(AH102+AH100&lt;0,(AH119+AH128)/-(AH102+AH100),"")</f>
        <v>1.38950103090477</v>
      </c>
      <c r="AI194" s="50" t="n">
        <f aca="false">IF(AI102+AI100&lt;0,(AI119+AI128)/-(AI102+AI100),"")</f>
        <v>1.38461548066226</v>
      </c>
      <c r="AJ194" s="50" t="n">
        <f aca="false">IF(AJ102+AJ100&lt;0,(AJ119+AJ128)/-(AJ102+AJ100),"")</f>
        <v>1.35619877328909</v>
      </c>
      <c r="AK194" s="50" t="n">
        <f aca="false">IF(AK102+AK100&lt;0,(AK119+AK128)/-(AK102+AK100),"")</f>
        <v>1.34361792437698</v>
      </c>
      <c r="AL194" s="50" t="n">
        <f aca="false">IF(AL102+AL100&lt;0,(AL119+AL128)/-(AL102+AL100),"")</f>
        <v>1.35730480550317</v>
      </c>
      <c r="AM194" s="50" t="n">
        <f aca="false">IF(AM102+AM100&lt;0,(AM119+AM128)/-(AM102+AM100),"")</f>
        <v>1.35208410727454</v>
      </c>
      <c r="AN194" s="50" t="n">
        <f aca="false">IF(AN102+AN100&lt;0,(AN119+AN128)/-(AN102+AN100),"")</f>
        <v>1.33072708373861</v>
      </c>
      <c r="AO194" s="50" t="n">
        <f aca="false">IF(AO102+AO100&lt;0,(AO119+AO128)/-(AO102+AO100),"")</f>
        <v>1.34442789224038</v>
      </c>
      <c r="AP194" s="50" t="n">
        <f aca="false">IF(AP102+AP100&lt;0,(AP119+AP128)/-(AP102+AP100),"")</f>
        <v>1.35811913284393</v>
      </c>
      <c r="AQ194" s="50" t="n">
        <f aca="false">IF(AQ102+AQ100&lt;0,(AQ119+AQ128)/-(AQ102+AQ100),"")</f>
        <v>1.35283210351874</v>
      </c>
      <c r="AR194" s="50" t="n">
        <f aca="false">IF(AR102+AR100&lt;0,(AR119+AR128)/-(AR102+AR100),"")</f>
        <v>1.33127495833315</v>
      </c>
      <c r="AS194" s="50" t="n">
        <f aca="false">IF(AS102+AS100&lt;0,(AS119+AS128)/-(AS102+AS100),"")</f>
        <v>1.34497752153221</v>
      </c>
      <c r="AT194" s="50" t="n">
        <f aca="false">IF(AT102+AT100&lt;0,(AT119+AT128)/-(AT102+AT100),"")</f>
        <v>1.35867002939324</v>
      </c>
      <c r="AU194" s="50" t="n">
        <f aca="false">IF(AU102+AU100&lt;0,(AU119+AU128)/-(AU102+AU100),"")</f>
        <v>1.35331463828506</v>
      </c>
      <c r="AV194" s="50" t="n">
        <f aca="false">IF(AV102+AV100&lt;0,(AV119+AV128)/-(AV102+AV100),"")</f>
        <v>1.34610047419108</v>
      </c>
      <c r="AW194" s="50" t="n">
        <f aca="false">IF(AW102+AW100&lt;0,(AW119+AW128)/-(AW102+AW100),"")</f>
        <v>1.34525506534262</v>
      </c>
      <c r="AX194" s="50" t="n">
        <f aca="false">IF(AX102+AX100&lt;0,(AX119+AX128)/-(AX102+AX100),"")</f>
        <v>1.35894560736782</v>
      </c>
      <c r="AY194" s="50" t="n">
        <f aca="false">IF(AY102+AY100&lt;0,(AY119+AY128)/-(AY102+AY100),"")</f>
        <v>1.35351972658343</v>
      </c>
      <c r="AZ194" s="50" t="n">
        <f aca="false">IF(AZ102+AZ100&lt;0,(AZ119+AZ128)/-(AZ102+AZ100),"")</f>
        <v>1.33155197187498</v>
      </c>
      <c r="BA194" s="50" t="n">
        <f aca="false">IF(BA102+BA100&lt;0,(BA119+BA128)/-(BA102+BA100),"")</f>
        <v>1.3452482739528</v>
      </c>
      <c r="BB194" s="50" t="n">
        <f aca="false">IF(BB102+BB100&lt;0,(BB119+BB128)/-(BB102+BB100),"")</f>
        <v>1.35893347004954</v>
      </c>
      <c r="BC194" s="50" t="n">
        <f aca="false">IF(BC102+BC100&lt;0,(BC119+BC128)/-(BC102+BC100),"")</f>
        <v>1.35343486951775</v>
      </c>
      <c r="BD194" s="50" t="n">
        <f aca="false">IF(BD102+BD100&lt;0,(BD119+BD128)/-(BD102+BD100),"")</f>
        <v>1.33125638350831</v>
      </c>
      <c r="BE194" s="50" t="n">
        <f aca="false">IF(BE102+BE100&lt;0,(BE119+BE128)/-(BE102+BE100),"")</f>
        <v>1.34494437195585</v>
      </c>
      <c r="BF194" s="50" t="n">
        <f aca="false">IF(BF102+BF100&lt;0,(BF119+BF128)/-(BF102+BF100),"")</f>
        <v>1.35862068862436</v>
      </c>
      <c r="BG194" s="50" t="n">
        <f aca="false">IF(BG102+BG100&lt;0,(BG119+BG128)/-(BG102+BG100),"")</f>
        <v>1.35304703087006</v>
      </c>
      <c r="BH194" s="50" t="n">
        <f aca="false">IF(BH102+BH100&lt;0,(BH119+BH128)/-(BH102+BH100),"")</f>
        <v>1.33065402424989</v>
      </c>
      <c r="BI194" s="50" t="n">
        <f aca="false">IF(BI102+BI100&lt;0,(BI119+BI128)/-(BI102+BI100),"")</f>
        <v>1.34433003428154</v>
      </c>
      <c r="BJ194" s="50" t="n">
        <f aca="false">IF(BJ102+BJ100&lt;0,(BJ119+BJ128)/-(BJ102+BJ100),"")</f>
        <v>1.35799377791143</v>
      </c>
      <c r="BK194" s="50" t="n">
        <f aca="false">IF(BK102+BK100&lt;0,(BK119+BK128)/-(BK102+BK100),"")</f>
        <v>1.35234261256185</v>
      </c>
      <c r="BL194" s="50" t="n">
        <f aca="false">IF(BL102+BL100&lt;0,(BL119+BL128)/-(BL102+BL100),"")</f>
        <v>1.34442266648845</v>
      </c>
      <c r="BM194" s="50" t="n">
        <f aca="false">IF(BM102+BM100&lt;0,(BM119+BM128)/-(BM102+BM100),"")</f>
        <v>1.34339136107068</v>
      </c>
      <c r="BN194" s="50" t="n">
        <f aca="false">IF(BN102+BN100&lt;0,(BN119+BN128)/-(BN102+BN100),"")</f>
        <v>1.3570386709276</v>
      </c>
      <c r="BO194" s="50" t="n">
        <f aca="false">IF(BO102+BO100&lt;0,(BO119+BO128)/-(BO102+BO100),"")</f>
        <v>1.35130742893705</v>
      </c>
      <c r="BP194" s="50" t="n">
        <f aca="false">IF(BP102+BP100&lt;0,(BP119+BP128)/-(BP102+BP100),"")</f>
        <v>1.32847346238474</v>
      </c>
      <c r="BQ194" s="50" t="n">
        <f aca="false">IF(BQ102+BQ100&lt;0,(BQ119+BQ128)/-(BQ102+BQ100),"")</f>
        <v>1.34211385134238</v>
      </c>
      <c r="BR194" s="50" t="n">
        <f aca="false">IF(BR102+BR100&lt;0,(BR119+BR128)/-(BR102+BR100),"")</f>
        <v>1.35574069222977</v>
      </c>
      <c r="BS194" s="50" t="str">
        <f aca="false">IF(BS102+BS100&lt;0,(BS119+BS128)/-(BS102+BS100),"")</f>
        <v/>
      </c>
      <c r="BT194" s="50" t="str">
        <f aca="false">IF(BT102+BT100&lt;0,(BT119+BT128)/-(BT102+BT100),"")</f>
        <v/>
      </c>
      <c r="BU194" s="50" t="str">
        <f aca="false">IF(BU102+BU100&lt;0,(BU119+BU128)/-(BU102+BU100),"")</f>
        <v/>
      </c>
      <c r="BV194" s="50" t="str">
        <f aca="false">IF(BV102+BV100&lt;0,(BV119+BV128)/-(BV102+BV100),"")</f>
        <v/>
      </c>
      <c r="BW194" s="50" t="str">
        <f aca="false">IF(BW102+BW100&lt;0,(BW119+BW128)/-(BW102+BW100),"")</f>
        <v/>
      </c>
      <c r="BX194" s="50" t="str">
        <f aca="false">IF(BX102+BX100&lt;0,(BX119+BX128)/-(BX102+BX100),"")</f>
        <v/>
      </c>
      <c r="BY194" s="50" t="str">
        <f aca="false">IF(BY102+BY100&lt;0,(BY119+BY128)/-(BY102+BY100),"")</f>
        <v/>
      </c>
      <c r="BZ194" s="50" t="str">
        <f aca="false">IF(BZ102+BZ100&lt;0,(BZ119+BZ128)/-(BZ102+BZ100),"")</f>
        <v/>
      </c>
      <c r="CA194" s="50" t="str">
        <f aca="false">IF(CA102+CA100&lt;0,(CA119+CA128)/-(CA102+CA100),"")</f>
        <v/>
      </c>
      <c r="CB194" s="50" t="str">
        <f aca="false">IF(CB102+CB100&lt;0,(CB119+CB128)/-(CB102+CB100),"")</f>
        <v/>
      </c>
      <c r="CC194" s="50" t="str">
        <f aca="false">IF(CC102+CC100&lt;0,(CC119+CC128)/-(CC102+CC100),"")</f>
        <v/>
      </c>
      <c r="CD194" s="50" t="str">
        <f aca="false">IF(CD102+CD100&lt;0,(CD119+CD128)/-(CD102+CD100),"")</f>
        <v/>
      </c>
      <c r="CE194" s="50" t="str">
        <f aca="false">IF(CE102+CE100&lt;0,(CE119+CE128)/-(CE102+CE100),"")</f>
        <v/>
      </c>
      <c r="CF194" s="50" t="str">
        <f aca="false">IF(CF102+CF100&lt;0,(CF119+CF128)/-(CF102+CF100),"")</f>
        <v/>
      </c>
      <c r="CG194" s="50" t="str">
        <f aca="false">IF(CG102+CG100&lt;0,(CG119+CG128)/-(CG102+CG100),"")</f>
        <v/>
      </c>
      <c r="CH194" s="50" t="str">
        <f aca="false">IF(CH102+CH100&lt;0,(CH119+CH128)/-(CH102+CH100),"")</f>
        <v/>
      </c>
      <c r="CI194" s="50" t="str">
        <f aca="false">IF(CI102+CI100&lt;0,(CI119+CI128)/-(CI102+CI100),"")</f>
        <v/>
      </c>
      <c r="CJ194" s="50" t="str">
        <f aca="false">IF(CJ102+CJ100&lt;0,(CJ119+CJ128)/-(CJ102+CJ100),"")</f>
        <v/>
      </c>
      <c r="CK194" s="50" t="str">
        <f aca="false">IF(CK102+CK100&lt;0,(CK119+CK128)/-(CK102+CK100),"")</f>
        <v/>
      </c>
      <c r="CL194" s="50" t="str">
        <f aca="false">IF(CL102+CL100&lt;0,(CL119+CL128)/-(CL102+CL100),"")</f>
        <v/>
      </c>
      <c r="CM194" s="50" t="str">
        <f aca="false">IF(CM102+CM100&lt;0,(CM119+CM128)/-(CM102+CM100),"")</f>
        <v/>
      </c>
      <c r="CN194" s="50" t="str">
        <f aca="false">IF(CN102+CN100&lt;0,(CN119+CN128)/-(CN102+CN100),"")</f>
        <v/>
      </c>
      <c r="CO194" s="50" t="str">
        <f aca="false">IF(CO102+CO100&lt;0,(CO119+CO128)/-(CO102+CO100),"")</f>
        <v/>
      </c>
      <c r="CP194" s="50" t="str">
        <f aca="false">IF(CP102+CP100&lt;0,(CP119+CP128)/-(CP102+CP100),"")</f>
        <v/>
      </c>
      <c r="CQ194" s="50" t="str">
        <f aca="false">IF(CQ102+CQ100&lt;0,(CQ119+CQ128)/-(CQ102+CQ100),"")</f>
        <v/>
      </c>
      <c r="CR194" s="50" t="str">
        <f aca="false">IF(CR102+CR100&lt;0,(CR119+CR128)/-(CR102+CR100),"")</f>
        <v/>
      </c>
      <c r="CS194" s="50" t="str">
        <f aca="false">IF(CS102+CS100&lt;0,(CS119+CS128)/-(CS102+CS100),"")</f>
        <v/>
      </c>
      <c r="CT194" s="50" t="str">
        <f aca="false">IF(CT102+CT100&lt;0,(CT119+CT128)/-(CT102+CT100),"")</f>
        <v/>
      </c>
      <c r="CU194" s="50" t="str">
        <f aca="false">IF(CU102+CU100&lt;0,(CU119+CU128)/-(CU102+CU100),"")</f>
        <v/>
      </c>
      <c r="CV194" s="50" t="str">
        <f aca="false">IF(CV102+CV100&lt;0,(CV119+CV128)/-(CV102+CV100),"")</f>
        <v/>
      </c>
      <c r="CW194" s="50" t="str">
        <f aca="false">IF(CW102+CW100&lt;0,(CW119+CW128)/-(CW102+CW100),"")</f>
        <v/>
      </c>
      <c r="CX194" s="50" t="str">
        <f aca="false">IF(CX102+CX100&lt;0,(CX119+CX128)/-(CX102+CX100),"")</f>
        <v/>
      </c>
      <c r="CY194" s="50" t="str">
        <f aca="false">IF(CY102+CY100&lt;0,(CY119+CY128)/-(CY102+CY100),"")</f>
        <v/>
      </c>
      <c r="CZ194" s="50" t="str">
        <f aca="false">IF(CZ102+CZ100&lt;0,(CZ119+CZ128)/-(CZ102+CZ100),"")</f>
        <v/>
      </c>
      <c r="DA194" s="50" t="str">
        <f aca="false">IF(DA102+DA100&lt;0,(DA119+DA128)/-(DA102+DA100),"")</f>
        <v/>
      </c>
      <c r="DB194" s="50" t="str">
        <f aca="false">IF(DB102+DB100&lt;0,(DB119+DB128)/-(DB102+DB100),"")</f>
        <v/>
      </c>
      <c r="DC194" s="50" t="str">
        <f aca="false">IF(DC102+DC100&lt;0,(DC119+DC128)/-(DC102+DC100),"")</f>
        <v/>
      </c>
      <c r="DD194" s="50" t="str">
        <f aca="false">IF(DD102+DD100&lt;0,(DD119+DD128)/-(DD102+DD100),"")</f>
        <v/>
      </c>
      <c r="DE194" s="50" t="str">
        <f aca="false">IF(DE102+DE100&lt;0,(DE119+DE128)/-(DE102+DE100),"")</f>
        <v/>
      </c>
      <c r="DF194" s="50" t="str">
        <f aca="false">IF(DF102+DF100&lt;0,(DF119+DF128)/-(DF102+DF100),"")</f>
        <v/>
      </c>
      <c r="DG194" s="50" t="str">
        <f aca="false">IF(DG102+DG100&lt;0,(DG119+DG128)/-(DG102+DG100),"")</f>
        <v/>
      </c>
      <c r="DH194" s="50" t="str">
        <f aca="false">IF(DH102+DH100&lt;0,(DH119+DH128)/-(DH102+DH100),"")</f>
        <v/>
      </c>
      <c r="DI194" s="50" t="str">
        <f aca="false">IF(DI102+DI100&lt;0,(DI119+DI128)/-(DI102+DI100),"")</f>
        <v/>
      </c>
      <c r="DJ194" s="50" t="str">
        <f aca="false">IF(DJ102+DJ100&lt;0,(DJ119+DJ128)/-(DJ102+DJ100),"")</f>
        <v/>
      </c>
      <c r="DK194" s="50" t="str">
        <f aca="false">IF(DK102+DK100&lt;0,(DK119+DK128)/-(DK102+DK100),"")</f>
        <v/>
      </c>
      <c r="DL194" s="50" t="str">
        <f aca="false">IF(DL102+DL100&lt;0,(DL119+DL128)/-(DL102+DL100),"")</f>
        <v/>
      </c>
      <c r="DM194" s="50" t="str">
        <f aca="false">IF(DM102+DM100&lt;0,(DM119+DM128)/-(DM102+DM100),"")</f>
        <v/>
      </c>
      <c r="DN194" s="50" t="str">
        <f aca="false">IF(DN102+DN100&lt;0,(DN119+DN128)/-(DN102+DN100),"")</f>
        <v/>
      </c>
      <c r="DO194" s="50" t="str">
        <f aca="false">IF(DO102+DO100&lt;0,(DO119+DO128)/-(DO102+DO100),"")</f>
        <v/>
      </c>
      <c r="DP194" s="50" t="str">
        <f aca="false">IF(DP102+DP100&lt;0,(DP119+DP128)/-(DP102+DP100),"")</f>
        <v/>
      </c>
      <c r="DQ194" s="50" t="str">
        <f aca="false">IF(DQ102+DQ100&lt;0,(DQ119+DQ128)/-(DQ102+DQ100),"")</f>
        <v/>
      </c>
      <c r="DR194" s="50" t="str">
        <f aca="false">IF(DR102+DR100&lt;0,(DR119+DR128)/-(DR102+DR100),"")</f>
        <v/>
      </c>
      <c r="DS194" s="50" t="str">
        <f aca="false">IF(DS102+DS100&lt;0,(DS119+DS128)/-(DS102+DS100),"")</f>
        <v/>
      </c>
      <c r="DT194" s="50" t="str">
        <f aca="false">IF(DT102+DT100&lt;0,(DT119+DT128)/-(DT102+DT100),"")</f>
        <v/>
      </c>
      <c r="DU194" s="50" t="str">
        <f aca="false">IF(DU102+DU100&lt;0,(DU119+DU128)/-(DU102+DU100),"")</f>
        <v/>
      </c>
      <c r="DV194" s="50" t="str">
        <f aca="false">IF(DV102+DV100&lt;0,(DV119+DV128)/-(DV102+DV100),"")</f>
        <v/>
      </c>
      <c r="DW194" s="50" t="str">
        <f aca="false">IF(DW102+DW100&lt;0,(DW119+DW128)/-(DW102+DW100),"")</f>
        <v/>
      </c>
      <c r="DX194" s="50" t="str">
        <f aca="false">IF(DX102+DX100&lt;0,(DX119+DX128)/-(DX102+DX100),"")</f>
        <v/>
      </c>
      <c r="DY194" s="50" t="str">
        <f aca="false">IF(DY102+DY100&lt;0,(DY119+DY128)/-(DY102+DY100),"")</f>
        <v/>
      </c>
      <c r="DZ194" s="50" t="str">
        <f aca="false">IF(DZ102+DZ100&lt;0,(DZ119+DZ128)/-(DZ102+DZ100),"")</f>
        <v/>
      </c>
      <c r="EA194" s="50" t="str">
        <f aca="false">IF(EA102+EA100&lt;0,(EA119+EA128)/-(EA102+EA100),"")</f>
        <v/>
      </c>
      <c r="EB194" s="50" t="str">
        <f aca="false">IF(EB102+EB100&lt;0,(EB119+EB128)/-(EB102+EB100),"")</f>
        <v/>
      </c>
      <c r="EC194" s="50" t="str">
        <f aca="false">IF(EC102+EC100&lt;0,(EC119+EC128)/-(EC102+EC100),"")</f>
        <v/>
      </c>
      <c r="ED194" s="50" t="str">
        <f aca="false">IF(ED102+ED100&lt;0,(ED119+ED128)/-(ED102+ED100),"")</f>
        <v/>
      </c>
      <c r="EE194" s="50" t="str">
        <f aca="false">IF(EE102+EE100&lt;0,(EE119+EE128)/-(EE102+EE100),"")</f>
        <v/>
      </c>
      <c r="EF194" s="50" t="str">
        <f aca="false">IF(EF102+EF100&lt;0,(EF119+EF128)/-(EF102+EF100),"")</f>
        <v/>
      </c>
      <c r="EG194" s="50" t="str">
        <f aca="false">IF(EG102+EG100&lt;0,(EG119+EG128)/-(EG102+EG100),"")</f>
        <v/>
      </c>
      <c r="EH194" s="50" t="str">
        <f aca="false">IF(EH102+EH100&lt;0,(EH119+EH128)/-(EH102+EH100),"")</f>
        <v/>
      </c>
      <c r="EI194" s="50" t="str">
        <f aca="false">IF(EI102+EI100&lt;0,(EI119+EI128)/-(EI102+EI100),"")</f>
        <v/>
      </c>
      <c r="EJ194" s="50" t="str">
        <f aca="false">IF(EJ102+EJ100&lt;0,(EJ119+EJ128)/-(EJ102+EJ100),"")</f>
        <v/>
      </c>
      <c r="EK194" s="50" t="str">
        <f aca="false">IF(EK102+EK100&lt;0,(EK119+EK128)/-(EK102+EK100),"")</f>
        <v/>
      </c>
      <c r="EL194" s="50" t="str">
        <f aca="false">IF(EL102+EL100&lt;0,(EL119+EL128)/-(EL102+EL100),"")</f>
        <v/>
      </c>
      <c r="EM194" s="50" t="str">
        <f aca="false">IF(EM102+EM100&lt;0,(EM119+EM128)/-(EM102+EM100),"")</f>
        <v/>
      </c>
      <c r="EN194" s="50" t="str">
        <f aca="false">IF(EN102+EN100&lt;0,(EN119+EN128)/-(EN102+EN100),"")</f>
        <v/>
      </c>
      <c r="EO194" s="50" t="str">
        <f aca="false">IF(EO102+EO100&lt;0,(EO119+EO128)/-(EO102+EO100),"")</f>
        <v/>
      </c>
      <c r="EP194" s="50" t="str">
        <f aca="false">IF(EP102+EP100&lt;0,(EP119+EP128)/-(EP102+EP100),"")</f>
        <v/>
      </c>
      <c r="EQ194" s="50" t="str">
        <f aca="false">IF(EQ102+EQ100&lt;0,(EQ119+EQ128)/-(EQ102+EQ100),"")</f>
        <v/>
      </c>
      <c r="ER194" s="50" t="str">
        <f aca="false">IF(ER102+ER100&lt;0,(ER119+ER128)/-(ER102+ER100),"")</f>
        <v/>
      </c>
      <c r="ES194" s="50" t="str">
        <f aca="false">IF(ES102+ES100&lt;0,(ES119+ES128)/-(ES102+ES100),"")</f>
        <v/>
      </c>
      <c r="ET194" s="50" t="str">
        <f aca="false">IF(ET102+ET100&lt;0,(ET119+ET128)/-(ET102+ET100),"")</f>
        <v/>
      </c>
    </row>
    <row r="196" customFormat="false" ht="15" hidden="false" customHeight="false" outlineLevel="0" collapsed="false">
      <c r="C196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4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471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614</v>
      </c>
      <c r="F9" s="8" t="s">
        <v>615</v>
      </c>
    </row>
    <row r="11" customFormat="false" ht="15" hidden="false" customHeight="false" outlineLevel="0" collapsed="false">
      <c r="A11" s="9" t="s">
        <v>13</v>
      </c>
      <c r="B11" s="9"/>
      <c r="C11" s="9" t="s">
        <v>616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617</v>
      </c>
      <c r="D12" s="11" t="s">
        <v>41</v>
      </c>
      <c r="E12" s="36" t="str">
        <f aca="false">IF(F12=0,"OK","CHECK")</f>
        <v>OK</v>
      </c>
      <c r="F12" s="46" t="n">
        <f aca="false">N(Calc_1!$E42+Calc_1!$F42&gt;0)</f>
        <v>0</v>
      </c>
    </row>
    <row r="13" customFormat="false" ht="15" hidden="false" customHeight="false" outlineLevel="0" collapsed="false">
      <c r="C13" s="0" t="s">
        <v>618</v>
      </c>
      <c r="D13" s="11" t="s">
        <v>41</v>
      </c>
      <c r="E13" s="36" t="str">
        <f aca="false">IF(F13=0,"OK","CHECK")</f>
        <v>OK</v>
      </c>
      <c r="F13" s="46" t="n">
        <f aca="false">N(Calc_2!$E42+Calc_2!$F42&gt;0)</f>
        <v>0</v>
      </c>
    </row>
    <row r="14" customFormat="false" ht="15" hidden="false" customHeight="false" outlineLevel="0" collapsed="false">
      <c r="C14" s="0" t="s">
        <v>619</v>
      </c>
      <c r="D14" s="11" t="s">
        <v>41</v>
      </c>
      <c r="E14" s="36" t="str">
        <f aca="false">IF(F14=0,"OK","CHECK")</f>
        <v>OK</v>
      </c>
      <c r="F14" s="46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620</v>
      </c>
      <c r="D15" s="11" t="s">
        <v>41</v>
      </c>
      <c r="E15" s="36" t="str">
        <f aca="false">IF(F15=0,"OK","CHECK")</f>
        <v>OK</v>
      </c>
      <c r="F15" s="46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621</v>
      </c>
      <c r="D16" s="11" t="s">
        <v>41</v>
      </c>
      <c r="E16" s="36" t="str">
        <f aca="false">IF(F16=0,"OK","CHECK")</f>
        <v>OK</v>
      </c>
      <c r="F16" s="46" t="n">
        <f aca="false">N(ABS(Calc_1!$E61-Calc_1!$E133-Calc_1!$E47)&gt;Tolerance)</f>
        <v>0</v>
      </c>
    </row>
    <row r="17" customFormat="false" ht="15" hidden="false" customHeight="false" outlineLevel="0" collapsed="false">
      <c r="C17" s="0" t="s">
        <v>622</v>
      </c>
      <c r="D17" s="11" t="s">
        <v>41</v>
      </c>
      <c r="E17" s="36" t="str">
        <f aca="false">IF(F17=0,"OK","CHECK")</f>
        <v>OK</v>
      </c>
      <c r="F17" s="46" t="n">
        <f aca="false">N(ABS(Calc_2!$E61-Calc_2!$E133-Calc_2!$E47)&gt;Tolerance)</f>
        <v>0</v>
      </c>
    </row>
    <row r="18" customFormat="false" ht="15" hidden="false" customHeight="false" outlineLevel="0" collapsed="false">
      <c r="C18" s="0" t="s">
        <v>623</v>
      </c>
      <c r="D18" s="11" t="s">
        <v>41</v>
      </c>
      <c r="E18" s="36" t="str">
        <f aca="false">IF(F18=0,"OK","CHECK")</f>
        <v>OK</v>
      </c>
      <c r="F18" s="46" t="n">
        <f aca="false">N(ABS(Calc_1!$F142+Calc_1!$F143+Calc_1!$F134-Calc_1!$F133)&gt;Tolerance)</f>
        <v>0</v>
      </c>
    </row>
    <row r="19" customFormat="false" ht="15" hidden="false" customHeight="false" outlineLevel="0" collapsed="false">
      <c r="C19" s="0" t="s">
        <v>624</v>
      </c>
      <c r="D19" s="11" t="s">
        <v>41</v>
      </c>
      <c r="E19" s="36" t="str">
        <f aca="false">IF(F19=0,"OK","CHECK")</f>
        <v>OK</v>
      </c>
      <c r="F19" s="46" t="n">
        <f aca="false">N(ABS(Calc_2!$F142+Calc_2!$F143+Calc_2!$F134-Calc_2!$F133)&gt;Tolerance)</f>
        <v>0</v>
      </c>
    </row>
    <row r="20" customFormat="false" ht="15" hidden="false" customHeight="false" outlineLevel="0" collapsed="false">
      <c r="C20" s="0" t="s">
        <v>625</v>
      </c>
      <c r="D20" s="11" t="s">
        <v>41</v>
      </c>
      <c r="E20" s="36" t="str">
        <f aca="false">IF(F20=0,"OK","CHECK")</f>
        <v>OK</v>
      </c>
      <c r="F20" s="46" t="n">
        <f aca="false">N(ABS(Calc_1!$F147+Calc_1!$E153-Calc_1!$I152)&gt;Tolerance)</f>
        <v>0</v>
      </c>
    </row>
    <row r="21" customFormat="false" ht="15" hidden="false" customHeight="false" outlineLevel="0" collapsed="false">
      <c r="C21" s="0" t="s">
        <v>626</v>
      </c>
      <c r="D21" s="11" t="s">
        <v>41</v>
      </c>
      <c r="E21" s="36" t="str">
        <f aca="false">IF(F21=0,"OK","CHECK")</f>
        <v>OK</v>
      </c>
      <c r="F21" s="46" t="n">
        <f aca="false">N(ABS(Calc_2!$F147+Calc_2!$E153-Calc_2!$I152)&gt;Tolerance)</f>
        <v>0</v>
      </c>
    </row>
    <row r="22" customFormat="false" ht="15" hidden="false" customHeight="false" outlineLevel="0" collapsed="false">
      <c r="C22" s="0" t="s">
        <v>627</v>
      </c>
      <c r="D22" s="11" t="s">
        <v>41</v>
      </c>
      <c r="E22" s="36" t="str">
        <f aca="false">IF(F22=0,"OK","CHECK")</f>
        <v>OK</v>
      </c>
      <c r="F22" s="46" t="n">
        <f aca="false">N(SUMPRODUCT(--(Calc_1!$F134:$F140&gt;Calc_1!$E134:$E140+Tolerance))&gt;0)</f>
        <v>0</v>
      </c>
    </row>
    <row r="23" customFormat="false" ht="15" hidden="false" customHeight="false" outlineLevel="0" collapsed="false">
      <c r="C23" s="0" t="s">
        <v>628</v>
      </c>
      <c r="D23" s="11" t="s">
        <v>41</v>
      </c>
      <c r="E23" s="36" t="str">
        <f aca="false">IF(F23=0,"OK","CHECK")</f>
        <v>OK</v>
      </c>
      <c r="F23" s="46" t="n">
        <f aca="false">N(SUMPRODUCT(--(Calc_2!$F134:$F140&gt;Calc_2!$E134:$E140+Tolerance))&gt;0)</f>
        <v>0</v>
      </c>
    </row>
    <row r="24" customFormat="false" ht="15" hidden="false" customHeight="false" outlineLevel="0" collapsed="false">
      <c r="C24" s="0" t="s">
        <v>629</v>
      </c>
      <c r="D24" s="11" t="s">
        <v>41</v>
      </c>
      <c r="E24" s="36" t="str">
        <f aca="false">IF(F24=0,"OK","CHECK")</f>
        <v>OK</v>
      </c>
      <c r="F24" s="46" t="n">
        <f aca="false">N(Calc_1!$F168&lt;-Tolerance)+N(SUM(Calc_1!$F164:$F167)&gt;Calc_1!$F163+Tolerance)</f>
        <v>0</v>
      </c>
    </row>
    <row r="25" customFormat="false" ht="15" hidden="false" customHeight="false" outlineLevel="0" collapsed="false">
      <c r="C25" s="0" t="s">
        <v>630</v>
      </c>
      <c r="D25" s="11" t="s">
        <v>41</v>
      </c>
      <c r="E25" s="36" t="str">
        <f aca="false">IF(F25=0,"OK","CHECK")</f>
        <v>OK</v>
      </c>
      <c r="F25" s="46" t="n">
        <f aca="false">N(Calc_2!$F168&lt;-Tolerance)+N(SUM(Calc_2!$F164:$F167)&gt;Calc_2!$F163+Tolerance)</f>
        <v>0</v>
      </c>
    </row>
    <row r="26" customFormat="false" ht="15" hidden="false" customHeight="false" outlineLevel="0" collapsed="false">
      <c r="C26" s="0" t="s">
        <v>631</v>
      </c>
      <c r="D26" s="11" t="s">
        <v>41</v>
      </c>
      <c r="E26" s="36" t="str">
        <f aca="false">IF(F26=0,"OK","CHECK")</f>
        <v>OK</v>
      </c>
      <c r="F26" s="46" t="n">
        <f aca="false">N(ABS(Calc_1!$E182-Calc_1!$F182)&gt;Tolerance)</f>
        <v>0</v>
      </c>
    </row>
    <row r="27" customFormat="false" ht="15" hidden="false" customHeight="false" outlineLevel="0" collapsed="false">
      <c r="C27" s="0" t="s">
        <v>632</v>
      </c>
      <c r="D27" s="11" t="s">
        <v>41</v>
      </c>
      <c r="E27" s="36" t="str">
        <f aca="false">IF(F27=0,"OK","CHECK")</f>
        <v>OK</v>
      </c>
      <c r="F27" s="46" t="n">
        <f aca="false">N(ABS(Calc_2!$E182-Calc_2!$F182)&gt;Tolerance)</f>
        <v>0</v>
      </c>
    </row>
    <row r="28" customFormat="false" ht="15" hidden="false" customHeight="false" outlineLevel="0" collapsed="false">
      <c r="C28" s="0" t="s">
        <v>633</v>
      </c>
      <c r="D28" s="11" t="s">
        <v>41</v>
      </c>
      <c r="E28" s="36" t="str">
        <f aca="false">IF(F28=0,"OK","CHECK")</f>
        <v>OK</v>
      </c>
      <c r="F28" s="46" t="n">
        <f aca="false">N(ABS(Funding_Cum_Last-Out_Funding_Equity_To_COD)&gt;Tolerance)</f>
        <v>0</v>
      </c>
    </row>
    <row r="29" customFormat="false" ht="15" hidden="false" customHeight="false" outlineLevel="0" collapsed="false">
      <c r="C29" s="0" t="s">
        <v>634</v>
      </c>
      <c r="D29" s="11" t="s">
        <v>41</v>
      </c>
      <c r="E29" s="36" t="str">
        <f aca="false">IF(F29=0,"OK","CHECK")</f>
        <v>OK</v>
      </c>
      <c r="F29" s="46" t="n">
        <f aca="false">N(SUM(Capex_Items)-Out_Capex_Total&gt;Tolerance)+N(Out_Capex_Total-SUM(Capex_Items)&gt;Tolerance)</f>
        <v>0</v>
      </c>
    </row>
    <row r="30" customFormat="false" ht="15" hidden="false" customHeight="false" outlineLevel="0" collapsed="false">
      <c r="C30" s="0" t="s">
        <v>635</v>
      </c>
      <c r="D30" s="11" t="s">
        <v>41</v>
      </c>
      <c r="E30" s="36" t="str">
        <f aca="false">IF(F30=0,"OK","CHECK")</f>
        <v>OK</v>
      </c>
      <c r="F30" s="46" t="n">
        <f aca="false">SUM(J30:ET30)</f>
        <v>0</v>
      </c>
      <c r="J30" s="46" t="n">
        <f aca="false">N((Calc_1!J$4&gt;=Calc_1!$F17)*ABS(Calc_1!J101)&gt;Tolerance)</f>
        <v>0</v>
      </c>
      <c r="K30" s="46" t="n">
        <f aca="false">N((Calc_1!K$4&gt;=Calc_1!$F17)*ABS(Calc_1!K101)&gt;Tolerance)</f>
        <v>0</v>
      </c>
      <c r="L30" s="46" t="n">
        <f aca="false">N((Calc_1!L$4&gt;=Calc_1!$F17)*ABS(Calc_1!L101)&gt;Tolerance)</f>
        <v>0</v>
      </c>
      <c r="M30" s="46" t="n">
        <f aca="false">N((Calc_1!M$4&gt;=Calc_1!$F17)*ABS(Calc_1!M101)&gt;Tolerance)</f>
        <v>0</v>
      </c>
      <c r="N30" s="46" t="n">
        <f aca="false">N((Calc_1!N$4&gt;=Calc_1!$F17)*ABS(Calc_1!N101)&gt;Tolerance)</f>
        <v>0</v>
      </c>
      <c r="O30" s="46" t="n">
        <f aca="false">N((Calc_1!O$4&gt;=Calc_1!$F17)*ABS(Calc_1!O101)&gt;Tolerance)</f>
        <v>0</v>
      </c>
      <c r="P30" s="46" t="n">
        <f aca="false">N((Calc_1!P$4&gt;=Calc_1!$F17)*ABS(Calc_1!P101)&gt;Tolerance)</f>
        <v>0</v>
      </c>
      <c r="Q30" s="46" t="n">
        <f aca="false">N((Calc_1!Q$4&gt;=Calc_1!$F17)*ABS(Calc_1!Q101)&gt;Tolerance)</f>
        <v>0</v>
      </c>
      <c r="R30" s="46" t="n">
        <f aca="false">N((Calc_1!R$4&gt;=Calc_1!$F17)*ABS(Calc_1!R101)&gt;Tolerance)</f>
        <v>0</v>
      </c>
      <c r="S30" s="46" t="n">
        <f aca="false">N((Calc_1!S$4&gt;=Calc_1!$F17)*ABS(Calc_1!S101)&gt;Tolerance)</f>
        <v>0</v>
      </c>
      <c r="T30" s="46" t="n">
        <f aca="false">N((Calc_1!T$4&gt;=Calc_1!$F17)*ABS(Calc_1!T101)&gt;Tolerance)</f>
        <v>0</v>
      </c>
      <c r="U30" s="46" t="n">
        <f aca="false">N((Calc_1!U$4&gt;=Calc_1!$F17)*ABS(Calc_1!U101)&gt;Tolerance)</f>
        <v>0</v>
      </c>
      <c r="V30" s="46" t="n">
        <f aca="false">N((Calc_1!V$4&gt;=Calc_1!$F17)*ABS(Calc_1!V101)&gt;Tolerance)</f>
        <v>0</v>
      </c>
      <c r="W30" s="46" t="n">
        <f aca="false">N((Calc_1!W$4&gt;=Calc_1!$F17)*ABS(Calc_1!W101)&gt;Tolerance)</f>
        <v>0</v>
      </c>
      <c r="X30" s="46" t="n">
        <f aca="false">N((Calc_1!X$4&gt;=Calc_1!$F17)*ABS(Calc_1!X101)&gt;Tolerance)</f>
        <v>0</v>
      </c>
      <c r="Y30" s="46" t="n">
        <f aca="false">N((Calc_1!Y$4&gt;=Calc_1!$F17)*ABS(Calc_1!Y101)&gt;Tolerance)</f>
        <v>0</v>
      </c>
      <c r="Z30" s="46" t="n">
        <f aca="false">N((Calc_1!Z$4&gt;=Calc_1!$F17)*ABS(Calc_1!Z101)&gt;Tolerance)</f>
        <v>0</v>
      </c>
      <c r="AA30" s="46" t="n">
        <f aca="false">N((Calc_1!AA$4&gt;=Calc_1!$F17)*ABS(Calc_1!AA101)&gt;Tolerance)</f>
        <v>0</v>
      </c>
      <c r="AB30" s="46" t="n">
        <f aca="false">N((Calc_1!AB$4&gt;=Calc_1!$F17)*ABS(Calc_1!AB101)&gt;Tolerance)</f>
        <v>0</v>
      </c>
      <c r="AC30" s="46" t="n">
        <f aca="false">N((Calc_1!AC$4&gt;=Calc_1!$F17)*ABS(Calc_1!AC101)&gt;Tolerance)</f>
        <v>0</v>
      </c>
      <c r="AD30" s="46" t="n">
        <f aca="false">N((Calc_1!AD$4&gt;=Calc_1!$F17)*ABS(Calc_1!AD101)&gt;Tolerance)</f>
        <v>0</v>
      </c>
      <c r="AE30" s="46" t="n">
        <f aca="false">N((Calc_1!AE$4&gt;=Calc_1!$F17)*ABS(Calc_1!AE101)&gt;Tolerance)</f>
        <v>0</v>
      </c>
      <c r="AF30" s="46" t="n">
        <f aca="false">N((Calc_1!AF$4&gt;=Calc_1!$F17)*ABS(Calc_1!AF101)&gt;Tolerance)</f>
        <v>0</v>
      </c>
      <c r="AG30" s="46" t="n">
        <f aca="false">N((Calc_1!AG$4&gt;=Calc_1!$F17)*ABS(Calc_1!AG101)&gt;Tolerance)</f>
        <v>0</v>
      </c>
      <c r="AH30" s="46" t="n">
        <f aca="false">N((Calc_1!AH$4&gt;=Calc_1!$F17)*ABS(Calc_1!AH101)&gt;Tolerance)</f>
        <v>0</v>
      </c>
      <c r="AI30" s="46" t="n">
        <f aca="false">N((Calc_1!AI$4&gt;=Calc_1!$F17)*ABS(Calc_1!AI101)&gt;Tolerance)</f>
        <v>0</v>
      </c>
      <c r="AJ30" s="46" t="n">
        <f aca="false">N((Calc_1!AJ$4&gt;=Calc_1!$F17)*ABS(Calc_1!AJ101)&gt;Tolerance)</f>
        <v>0</v>
      </c>
      <c r="AK30" s="46" t="n">
        <f aca="false">N((Calc_1!AK$4&gt;=Calc_1!$F17)*ABS(Calc_1!AK101)&gt;Tolerance)</f>
        <v>0</v>
      </c>
      <c r="AL30" s="46" t="n">
        <f aca="false">N((Calc_1!AL$4&gt;=Calc_1!$F17)*ABS(Calc_1!AL101)&gt;Tolerance)</f>
        <v>0</v>
      </c>
      <c r="AM30" s="46" t="n">
        <f aca="false">N((Calc_1!AM$4&gt;=Calc_1!$F17)*ABS(Calc_1!AM101)&gt;Tolerance)</f>
        <v>0</v>
      </c>
      <c r="AN30" s="46" t="n">
        <f aca="false">N((Calc_1!AN$4&gt;=Calc_1!$F17)*ABS(Calc_1!AN101)&gt;Tolerance)</f>
        <v>0</v>
      </c>
      <c r="AO30" s="46" t="n">
        <f aca="false">N((Calc_1!AO$4&gt;=Calc_1!$F17)*ABS(Calc_1!AO101)&gt;Tolerance)</f>
        <v>0</v>
      </c>
      <c r="AP30" s="46" t="n">
        <f aca="false">N((Calc_1!AP$4&gt;=Calc_1!$F17)*ABS(Calc_1!AP101)&gt;Tolerance)</f>
        <v>0</v>
      </c>
      <c r="AQ30" s="46" t="n">
        <f aca="false">N((Calc_1!AQ$4&gt;=Calc_1!$F17)*ABS(Calc_1!AQ101)&gt;Tolerance)</f>
        <v>0</v>
      </c>
      <c r="AR30" s="46" t="n">
        <f aca="false">N((Calc_1!AR$4&gt;=Calc_1!$F17)*ABS(Calc_1!AR101)&gt;Tolerance)</f>
        <v>0</v>
      </c>
      <c r="AS30" s="46" t="n">
        <f aca="false">N((Calc_1!AS$4&gt;=Calc_1!$F17)*ABS(Calc_1!AS101)&gt;Tolerance)</f>
        <v>0</v>
      </c>
      <c r="AT30" s="46" t="n">
        <f aca="false">N((Calc_1!AT$4&gt;=Calc_1!$F17)*ABS(Calc_1!AT101)&gt;Tolerance)</f>
        <v>0</v>
      </c>
      <c r="AU30" s="46" t="n">
        <f aca="false">N((Calc_1!AU$4&gt;=Calc_1!$F17)*ABS(Calc_1!AU101)&gt;Tolerance)</f>
        <v>0</v>
      </c>
      <c r="AV30" s="46" t="n">
        <f aca="false">N((Calc_1!AV$4&gt;=Calc_1!$F17)*ABS(Calc_1!AV101)&gt;Tolerance)</f>
        <v>0</v>
      </c>
      <c r="AW30" s="46" t="n">
        <f aca="false">N((Calc_1!AW$4&gt;=Calc_1!$F17)*ABS(Calc_1!AW101)&gt;Tolerance)</f>
        <v>0</v>
      </c>
      <c r="AX30" s="46" t="n">
        <f aca="false">N((Calc_1!AX$4&gt;=Calc_1!$F17)*ABS(Calc_1!AX101)&gt;Tolerance)</f>
        <v>0</v>
      </c>
      <c r="AY30" s="46" t="n">
        <f aca="false">N((Calc_1!AY$4&gt;=Calc_1!$F17)*ABS(Calc_1!AY101)&gt;Tolerance)</f>
        <v>0</v>
      </c>
      <c r="AZ30" s="46" t="n">
        <f aca="false">N((Calc_1!AZ$4&gt;=Calc_1!$F17)*ABS(Calc_1!AZ101)&gt;Tolerance)</f>
        <v>0</v>
      </c>
      <c r="BA30" s="46" t="n">
        <f aca="false">N((Calc_1!BA$4&gt;=Calc_1!$F17)*ABS(Calc_1!BA101)&gt;Tolerance)</f>
        <v>0</v>
      </c>
      <c r="BB30" s="46" t="n">
        <f aca="false">N((Calc_1!BB$4&gt;=Calc_1!$F17)*ABS(Calc_1!BB101)&gt;Tolerance)</f>
        <v>0</v>
      </c>
      <c r="BC30" s="46" t="n">
        <f aca="false">N((Calc_1!BC$4&gt;=Calc_1!$F17)*ABS(Calc_1!BC101)&gt;Tolerance)</f>
        <v>0</v>
      </c>
      <c r="BD30" s="46" t="n">
        <f aca="false">N((Calc_1!BD$4&gt;=Calc_1!$F17)*ABS(Calc_1!BD101)&gt;Tolerance)</f>
        <v>0</v>
      </c>
      <c r="BE30" s="46" t="n">
        <f aca="false">N((Calc_1!BE$4&gt;=Calc_1!$F17)*ABS(Calc_1!BE101)&gt;Tolerance)</f>
        <v>0</v>
      </c>
      <c r="BF30" s="46" t="n">
        <f aca="false">N((Calc_1!BF$4&gt;=Calc_1!$F17)*ABS(Calc_1!BF101)&gt;Tolerance)</f>
        <v>0</v>
      </c>
      <c r="BG30" s="46" t="n">
        <f aca="false">N((Calc_1!BG$4&gt;=Calc_1!$F17)*ABS(Calc_1!BG101)&gt;Tolerance)</f>
        <v>0</v>
      </c>
      <c r="BH30" s="46" t="n">
        <f aca="false">N((Calc_1!BH$4&gt;=Calc_1!$F17)*ABS(Calc_1!BH101)&gt;Tolerance)</f>
        <v>0</v>
      </c>
      <c r="BI30" s="46" t="n">
        <f aca="false">N((Calc_1!BI$4&gt;=Calc_1!$F17)*ABS(Calc_1!BI101)&gt;Tolerance)</f>
        <v>0</v>
      </c>
      <c r="BJ30" s="46" t="n">
        <f aca="false">N((Calc_1!BJ$4&gt;=Calc_1!$F17)*ABS(Calc_1!BJ101)&gt;Tolerance)</f>
        <v>0</v>
      </c>
      <c r="BK30" s="46" t="n">
        <f aca="false">N((Calc_1!BK$4&gt;=Calc_1!$F17)*ABS(Calc_1!BK101)&gt;Tolerance)</f>
        <v>0</v>
      </c>
      <c r="BL30" s="46" t="n">
        <f aca="false">N((Calc_1!BL$4&gt;=Calc_1!$F17)*ABS(Calc_1!BL101)&gt;Tolerance)</f>
        <v>0</v>
      </c>
      <c r="BM30" s="46" t="n">
        <f aca="false">N((Calc_1!BM$4&gt;=Calc_1!$F17)*ABS(Calc_1!BM101)&gt;Tolerance)</f>
        <v>0</v>
      </c>
      <c r="BN30" s="46" t="n">
        <f aca="false">N((Calc_1!BN$4&gt;=Calc_1!$F17)*ABS(Calc_1!BN101)&gt;Tolerance)</f>
        <v>0</v>
      </c>
      <c r="BO30" s="46" t="n">
        <f aca="false">N((Calc_1!BO$4&gt;=Calc_1!$F17)*ABS(Calc_1!BO101)&gt;Tolerance)</f>
        <v>0</v>
      </c>
      <c r="BP30" s="46" t="n">
        <f aca="false">N((Calc_1!BP$4&gt;=Calc_1!$F17)*ABS(Calc_1!BP101)&gt;Tolerance)</f>
        <v>0</v>
      </c>
      <c r="BQ30" s="46" t="n">
        <f aca="false">N((Calc_1!BQ$4&gt;=Calc_1!$F17)*ABS(Calc_1!BQ101)&gt;Tolerance)</f>
        <v>0</v>
      </c>
      <c r="BR30" s="46" t="n">
        <f aca="false">N((Calc_1!BR$4&gt;=Calc_1!$F17)*ABS(Calc_1!BR101)&gt;Tolerance)</f>
        <v>0</v>
      </c>
      <c r="BS30" s="46" t="n">
        <f aca="false">N((Calc_1!BS$4&gt;=Calc_1!$F17)*ABS(Calc_1!BS101)&gt;Tolerance)</f>
        <v>0</v>
      </c>
      <c r="BT30" s="46" t="n">
        <f aca="false">N((Calc_1!BT$4&gt;=Calc_1!$F17)*ABS(Calc_1!BT101)&gt;Tolerance)</f>
        <v>0</v>
      </c>
      <c r="BU30" s="46" t="n">
        <f aca="false">N((Calc_1!BU$4&gt;=Calc_1!$F17)*ABS(Calc_1!BU101)&gt;Tolerance)</f>
        <v>0</v>
      </c>
      <c r="BV30" s="46" t="n">
        <f aca="false">N((Calc_1!BV$4&gt;=Calc_1!$F17)*ABS(Calc_1!BV101)&gt;Tolerance)</f>
        <v>0</v>
      </c>
      <c r="BW30" s="46" t="n">
        <f aca="false">N((Calc_1!BW$4&gt;=Calc_1!$F17)*ABS(Calc_1!BW101)&gt;Tolerance)</f>
        <v>0</v>
      </c>
      <c r="BX30" s="46" t="n">
        <f aca="false">N((Calc_1!BX$4&gt;=Calc_1!$F17)*ABS(Calc_1!BX101)&gt;Tolerance)</f>
        <v>0</v>
      </c>
      <c r="BY30" s="46" t="n">
        <f aca="false">N((Calc_1!BY$4&gt;=Calc_1!$F17)*ABS(Calc_1!BY101)&gt;Tolerance)</f>
        <v>0</v>
      </c>
      <c r="BZ30" s="46" t="n">
        <f aca="false">N((Calc_1!BZ$4&gt;=Calc_1!$F17)*ABS(Calc_1!BZ101)&gt;Tolerance)</f>
        <v>0</v>
      </c>
      <c r="CA30" s="46" t="n">
        <f aca="false">N((Calc_1!CA$4&gt;=Calc_1!$F17)*ABS(Calc_1!CA101)&gt;Tolerance)</f>
        <v>0</v>
      </c>
      <c r="CB30" s="46" t="n">
        <f aca="false">N((Calc_1!CB$4&gt;=Calc_1!$F17)*ABS(Calc_1!CB101)&gt;Tolerance)</f>
        <v>0</v>
      </c>
      <c r="CC30" s="46" t="n">
        <f aca="false">N((Calc_1!CC$4&gt;=Calc_1!$F17)*ABS(Calc_1!CC101)&gt;Tolerance)</f>
        <v>0</v>
      </c>
      <c r="CD30" s="46" t="n">
        <f aca="false">N((Calc_1!CD$4&gt;=Calc_1!$F17)*ABS(Calc_1!CD101)&gt;Tolerance)</f>
        <v>0</v>
      </c>
      <c r="CE30" s="46" t="n">
        <f aca="false">N((Calc_1!CE$4&gt;=Calc_1!$F17)*ABS(Calc_1!CE101)&gt;Tolerance)</f>
        <v>0</v>
      </c>
      <c r="CF30" s="46" t="n">
        <f aca="false">N((Calc_1!CF$4&gt;=Calc_1!$F17)*ABS(Calc_1!CF101)&gt;Tolerance)</f>
        <v>0</v>
      </c>
      <c r="CG30" s="46" t="n">
        <f aca="false">N((Calc_1!CG$4&gt;=Calc_1!$F17)*ABS(Calc_1!CG101)&gt;Tolerance)</f>
        <v>0</v>
      </c>
      <c r="CH30" s="46" t="n">
        <f aca="false">N((Calc_1!CH$4&gt;=Calc_1!$F17)*ABS(Calc_1!CH101)&gt;Tolerance)</f>
        <v>0</v>
      </c>
      <c r="CI30" s="46" t="n">
        <f aca="false">N((Calc_1!CI$4&gt;=Calc_1!$F17)*ABS(Calc_1!CI101)&gt;Tolerance)</f>
        <v>0</v>
      </c>
      <c r="CJ30" s="46" t="n">
        <f aca="false">N((Calc_1!CJ$4&gt;=Calc_1!$F17)*ABS(Calc_1!CJ101)&gt;Tolerance)</f>
        <v>0</v>
      </c>
      <c r="CK30" s="46" t="n">
        <f aca="false">N((Calc_1!CK$4&gt;=Calc_1!$F17)*ABS(Calc_1!CK101)&gt;Tolerance)</f>
        <v>0</v>
      </c>
      <c r="CL30" s="46" t="n">
        <f aca="false">N((Calc_1!CL$4&gt;=Calc_1!$F17)*ABS(Calc_1!CL101)&gt;Tolerance)</f>
        <v>0</v>
      </c>
      <c r="CM30" s="46" t="n">
        <f aca="false">N((Calc_1!CM$4&gt;=Calc_1!$F17)*ABS(Calc_1!CM101)&gt;Tolerance)</f>
        <v>0</v>
      </c>
      <c r="CN30" s="46" t="n">
        <f aca="false">N((Calc_1!CN$4&gt;=Calc_1!$F17)*ABS(Calc_1!CN101)&gt;Tolerance)</f>
        <v>0</v>
      </c>
      <c r="CO30" s="46" t="n">
        <f aca="false">N((Calc_1!CO$4&gt;=Calc_1!$F17)*ABS(Calc_1!CO101)&gt;Tolerance)</f>
        <v>0</v>
      </c>
      <c r="CP30" s="46" t="n">
        <f aca="false">N((Calc_1!CP$4&gt;=Calc_1!$F17)*ABS(Calc_1!CP101)&gt;Tolerance)</f>
        <v>0</v>
      </c>
      <c r="CQ30" s="46" t="n">
        <f aca="false">N((Calc_1!CQ$4&gt;=Calc_1!$F17)*ABS(Calc_1!CQ101)&gt;Tolerance)</f>
        <v>0</v>
      </c>
      <c r="CR30" s="46" t="n">
        <f aca="false">N((Calc_1!CR$4&gt;=Calc_1!$F17)*ABS(Calc_1!CR101)&gt;Tolerance)</f>
        <v>0</v>
      </c>
      <c r="CS30" s="46" t="n">
        <f aca="false">N((Calc_1!CS$4&gt;=Calc_1!$F17)*ABS(Calc_1!CS101)&gt;Tolerance)</f>
        <v>0</v>
      </c>
      <c r="CT30" s="46" t="n">
        <f aca="false">N((Calc_1!CT$4&gt;=Calc_1!$F17)*ABS(Calc_1!CT101)&gt;Tolerance)</f>
        <v>0</v>
      </c>
      <c r="CU30" s="46" t="n">
        <f aca="false">N((Calc_1!CU$4&gt;=Calc_1!$F17)*ABS(Calc_1!CU101)&gt;Tolerance)</f>
        <v>0</v>
      </c>
      <c r="CV30" s="46" t="n">
        <f aca="false">N((Calc_1!CV$4&gt;=Calc_1!$F17)*ABS(Calc_1!CV101)&gt;Tolerance)</f>
        <v>0</v>
      </c>
      <c r="CW30" s="46" t="n">
        <f aca="false">N((Calc_1!CW$4&gt;=Calc_1!$F17)*ABS(Calc_1!CW101)&gt;Tolerance)</f>
        <v>0</v>
      </c>
      <c r="CX30" s="46" t="n">
        <f aca="false">N((Calc_1!CX$4&gt;=Calc_1!$F17)*ABS(Calc_1!CX101)&gt;Tolerance)</f>
        <v>0</v>
      </c>
      <c r="CY30" s="46" t="n">
        <f aca="false">N((Calc_1!CY$4&gt;=Calc_1!$F17)*ABS(Calc_1!CY101)&gt;Tolerance)</f>
        <v>0</v>
      </c>
      <c r="CZ30" s="46" t="n">
        <f aca="false">N((Calc_1!CZ$4&gt;=Calc_1!$F17)*ABS(Calc_1!CZ101)&gt;Tolerance)</f>
        <v>0</v>
      </c>
      <c r="DA30" s="46" t="n">
        <f aca="false">N((Calc_1!DA$4&gt;=Calc_1!$F17)*ABS(Calc_1!DA101)&gt;Tolerance)</f>
        <v>0</v>
      </c>
      <c r="DB30" s="46" t="n">
        <f aca="false">N((Calc_1!DB$4&gt;=Calc_1!$F17)*ABS(Calc_1!DB101)&gt;Tolerance)</f>
        <v>0</v>
      </c>
      <c r="DC30" s="46" t="n">
        <f aca="false">N((Calc_1!DC$4&gt;=Calc_1!$F17)*ABS(Calc_1!DC101)&gt;Tolerance)</f>
        <v>0</v>
      </c>
      <c r="DD30" s="46" t="n">
        <f aca="false">N((Calc_1!DD$4&gt;=Calc_1!$F17)*ABS(Calc_1!DD101)&gt;Tolerance)</f>
        <v>0</v>
      </c>
      <c r="DE30" s="46" t="n">
        <f aca="false">N((Calc_1!DE$4&gt;=Calc_1!$F17)*ABS(Calc_1!DE101)&gt;Tolerance)</f>
        <v>0</v>
      </c>
      <c r="DF30" s="46" t="n">
        <f aca="false">N((Calc_1!DF$4&gt;=Calc_1!$F17)*ABS(Calc_1!DF101)&gt;Tolerance)</f>
        <v>0</v>
      </c>
      <c r="DG30" s="46" t="n">
        <f aca="false">N((Calc_1!DG$4&gt;=Calc_1!$F17)*ABS(Calc_1!DG101)&gt;Tolerance)</f>
        <v>0</v>
      </c>
      <c r="DH30" s="46" t="n">
        <f aca="false">N((Calc_1!DH$4&gt;=Calc_1!$F17)*ABS(Calc_1!DH101)&gt;Tolerance)</f>
        <v>0</v>
      </c>
      <c r="DI30" s="46" t="n">
        <f aca="false">N((Calc_1!DI$4&gt;=Calc_1!$F17)*ABS(Calc_1!DI101)&gt;Tolerance)</f>
        <v>0</v>
      </c>
      <c r="DJ30" s="46" t="n">
        <f aca="false">N((Calc_1!DJ$4&gt;=Calc_1!$F17)*ABS(Calc_1!DJ101)&gt;Tolerance)</f>
        <v>0</v>
      </c>
      <c r="DK30" s="46" t="n">
        <f aca="false">N((Calc_1!DK$4&gt;=Calc_1!$F17)*ABS(Calc_1!DK101)&gt;Tolerance)</f>
        <v>0</v>
      </c>
      <c r="DL30" s="46" t="n">
        <f aca="false">N((Calc_1!DL$4&gt;=Calc_1!$F17)*ABS(Calc_1!DL101)&gt;Tolerance)</f>
        <v>0</v>
      </c>
      <c r="DM30" s="46" t="n">
        <f aca="false">N((Calc_1!DM$4&gt;=Calc_1!$F17)*ABS(Calc_1!DM101)&gt;Tolerance)</f>
        <v>0</v>
      </c>
      <c r="DN30" s="46" t="n">
        <f aca="false">N((Calc_1!DN$4&gt;=Calc_1!$F17)*ABS(Calc_1!DN101)&gt;Tolerance)</f>
        <v>0</v>
      </c>
      <c r="DO30" s="46" t="n">
        <f aca="false">N((Calc_1!DO$4&gt;=Calc_1!$F17)*ABS(Calc_1!DO101)&gt;Tolerance)</f>
        <v>0</v>
      </c>
      <c r="DP30" s="46" t="n">
        <f aca="false">N((Calc_1!DP$4&gt;=Calc_1!$F17)*ABS(Calc_1!DP101)&gt;Tolerance)</f>
        <v>0</v>
      </c>
      <c r="DQ30" s="46" t="n">
        <f aca="false">N((Calc_1!DQ$4&gt;=Calc_1!$F17)*ABS(Calc_1!DQ101)&gt;Tolerance)</f>
        <v>0</v>
      </c>
      <c r="DR30" s="46" t="n">
        <f aca="false">N((Calc_1!DR$4&gt;=Calc_1!$F17)*ABS(Calc_1!DR101)&gt;Tolerance)</f>
        <v>0</v>
      </c>
      <c r="DS30" s="46" t="n">
        <f aca="false">N((Calc_1!DS$4&gt;=Calc_1!$F17)*ABS(Calc_1!DS101)&gt;Tolerance)</f>
        <v>0</v>
      </c>
      <c r="DT30" s="46" t="n">
        <f aca="false">N((Calc_1!DT$4&gt;=Calc_1!$F17)*ABS(Calc_1!DT101)&gt;Tolerance)</f>
        <v>0</v>
      </c>
      <c r="DU30" s="46" t="n">
        <f aca="false">N((Calc_1!DU$4&gt;=Calc_1!$F17)*ABS(Calc_1!DU101)&gt;Tolerance)</f>
        <v>0</v>
      </c>
      <c r="DV30" s="46" t="n">
        <f aca="false">N((Calc_1!DV$4&gt;=Calc_1!$F17)*ABS(Calc_1!DV101)&gt;Tolerance)</f>
        <v>0</v>
      </c>
      <c r="DW30" s="46" t="n">
        <f aca="false">N((Calc_1!DW$4&gt;=Calc_1!$F17)*ABS(Calc_1!DW101)&gt;Tolerance)</f>
        <v>0</v>
      </c>
      <c r="DX30" s="46" t="n">
        <f aca="false">N((Calc_1!DX$4&gt;=Calc_1!$F17)*ABS(Calc_1!DX101)&gt;Tolerance)</f>
        <v>0</v>
      </c>
      <c r="DY30" s="46" t="n">
        <f aca="false">N((Calc_1!DY$4&gt;=Calc_1!$F17)*ABS(Calc_1!DY101)&gt;Tolerance)</f>
        <v>0</v>
      </c>
      <c r="DZ30" s="46" t="n">
        <f aca="false">N((Calc_1!DZ$4&gt;=Calc_1!$F17)*ABS(Calc_1!DZ101)&gt;Tolerance)</f>
        <v>0</v>
      </c>
      <c r="EA30" s="46" t="n">
        <f aca="false">N((Calc_1!EA$4&gt;=Calc_1!$F17)*ABS(Calc_1!EA101)&gt;Tolerance)</f>
        <v>0</v>
      </c>
      <c r="EB30" s="46" t="n">
        <f aca="false">N((Calc_1!EB$4&gt;=Calc_1!$F17)*ABS(Calc_1!EB101)&gt;Tolerance)</f>
        <v>0</v>
      </c>
      <c r="EC30" s="46" t="n">
        <f aca="false">N((Calc_1!EC$4&gt;=Calc_1!$F17)*ABS(Calc_1!EC101)&gt;Tolerance)</f>
        <v>0</v>
      </c>
      <c r="ED30" s="46" t="n">
        <f aca="false">N((Calc_1!ED$4&gt;=Calc_1!$F17)*ABS(Calc_1!ED101)&gt;Tolerance)</f>
        <v>0</v>
      </c>
      <c r="EE30" s="46" t="n">
        <f aca="false">N((Calc_1!EE$4&gt;=Calc_1!$F17)*ABS(Calc_1!EE101)&gt;Tolerance)</f>
        <v>0</v>
      </c>
      <c r="EF30" s="46" t="n">
        <f aca="false">N((Calc_1!EF$4&gt;=Calc_1!$F17)*ABS(Calc_1!EF101)&gt;Tolerance)</f>
        <v>0</v>
      </c>
      <c r="EG30" s="46" t="n">
        <f aca="false">N((Calc_1!EG$4&gt;=Calc_1!$F17)*ABS(Calc_1!EG101)&gt;Tolerance)</f>
        <v>0</v>
      </c>
      <c r="EH30" s="46" t="n">
        <f aca="false">N((Calc_1!EH$4&gt;=Calc_1!$F17)*ABS(Calc_1!EH101)&gt;Tolerance)</f>
        <v>0</v>
      </c>
      <c r="EI30" s="46" t="n">
        <f aca="false">N((Calc_1!EI$4&gt;=Calc_1!$F17)*ABS(Calc_1!EI101)&gt;Tolerance)</f>
        <v>0</v>
      </c>
      <c r="EJ30" s="46" t="n">
        <f aca="false">N((Calc_1!EJ$4&gt;=Calc_1!$F17)*ABS(Calc_1!EJ101)&gt;Tolerance)</f>
        <v>0</v>
      </c>
      <c r="EK30" s="46" t="n">
        <f aca="false">N((Calc_1!EK$4&gt;=Calc_1!$F17)*ABS(Calc_1!EK101)&gt;Tolerance)</f>
        <v>0</v>
      </c>
      <c r="EL30" s="46" t="n">
        <f aca="false">N((Calc_1!EL$4&gt;=Calc_1!$F17)*ABS(Calc_1!EL101)&gt;Tolerance)</f>
        <v>0</v>
      </c>
      <c r="EM30" s="46" t="n">
        <f aca="false">N((Calc_1!EM$4&gt;=Calc_1!$F17)*ABS(Calc_1!EM101)&gt;Tolerance)</f>
        <v>0</v>
      </c>
      <c r="EN30" s="46" t="n">
        <f aca="false">N((Calc_1!EN$4&gt;=Calc_1!$F17)*ABS(Calc_1!EN101)&gt;Tolerance)</f>
        <v>0</v>
      </c>
      <c r="EO30" s="46" t="n">
        <f aca="false">N((Calc_1!EO$4&gt;=Calc_1!$F17)*ABS(Calc_1!EO101)&gt;Tolerance)</f>
        <v>0</v>
      </c>
      <c r="EP30" s="46" t="n">
        <f aca="false">N((Calc_1!EP$4&gt;=Calc_1!$F17)*ABS(Calc_1!EP101)&gt;Tolerance)</f>
        <v>0</v>
      </c>
      <c r="EQ30" s="46" t="n">
        <f aca="false">N((Calc_1!EQ$4&gt;=Calc_1!$F17)*ABS(Calc_1!EQ101)&gt;Tolerance)</f>
        <v>0</v>
      </c>
      <c r="ER30" s="46" t="n">
        <f aca="false">N((Calc_1!ER$4&gt;=Calc_1!$F17)*ABS(Calc_1!ER101)&gt;Tolerance)</f>
        <v>0</v>
      </c>
      <c r="ES30" s="46" t="n">
        <f aca="false">N((Calc_1!ES$4&gt;=Calc_1!$F17)*ABS(Calc_1!ES101)&gt;Tolerance)</f>
        <v>0</v>
      </c>
      <c r="ET30" s="46" t="n">
        <f aca="false">N((Calc_1!ET$4&gt;=Calc_1!$F17)*ABS(Calc_1!ET101)&gt;Tolerance)</f>
        <v>0</v>
      </c>
    </row>
    <row r="31" customFormat="false" ht="15" hidden="false" customHeight="false" outlineLevel="0" collapsed="false">
      <c r="C31" s="0" t="s">
        <v>636</v>
      </c>
      <c r="D31" s="11" t="s">
        <v>41</v>
      </c>
      <c r="E31" s="36" t="str">
        <f aca="false">IF(F31=0,"OK","CHECK")</f>
        <v>OK</v>
      </c>
      <c r="F31" s="46" t="n">
        <f aca="false">SUM(J31:ET31)</f>
        <v>0</v>
      </c>
      <c r="J31" s="46" t="n">
        <f aca="false">N((Calc_2!J$4&gt;=Calc_2!$F17)*ABS(Calc_2!J101)&gt;Tolerance)</f>
        <v>0</v>
      </c>
      <c r="K31" s="46" t="n">
        <f aca="false">N((Calc_2!K$4&gt;=Calc_2!$F17)*ABS(Calc_2!K101)&gt;Tolerance)</f>
        <v>0</v>
      </c>
      <c r="L31" s="46" t="n">
        <f aca="false">N((Calc_2!L$4&gt;=Calc_2!$F17)*ABS(Calc_2!L101)&gt;Tolerance)</f>
        <v>0</v>
      </c>
      <c r="M31" s="46" t="n">
        <f aca="false">N((Calc_2!M$4&gt;=Calc_2!$F17)*ABS(Calc_2!M101)&gt;Tolerance)</f>
        <v>0</v>
      </c>
      <c r="N31" s="46" t="n">
        <f aca="false">N((Calc_2!N$4&gt;=Calc_2!$F17)*ABS(Calc_2!N101)&gt;Tolerance)</f>
        <v>0</v>
      </c>
      <c r="O31" s="46" t="n">
        <f aca="false">N((Calc_2!O$4&gt;=Calc_2!$F17)*ABS(Calc_2!O101)&gt;Tolerance)</f>
        <v>0</v>
      </c>
      <c r="P31" s="46" t="n">
        <f aca="false">N((Calc_2!P$4&gt;=Calc_2!$F17)*ABS(Calc_2!P101)&gt;Tolerance)</f>
        <v>0</v>
      </c>
      <c r="Q31" s="46" t="n">
        <f aca="false">N((Calc_2!Q$4&gt;=Calc_2!$F17)*ABS(Calc_2!Q101)&gt;Tolerance)</f>
        <v>0</v>
      </c>
      <c r="R31" s="46" t="n">
        <f aca="false">N((Calc_2!R$4&gt;=Calc_2!$F17)*ABS(Calc_2!R101)&gt;Tolerance)</f>
        <v>0</v>
      </c>
      <c r="S31" s="46" t="n">
        <f aca="false">N((Calc_2!S$4&gt;=Calc_2!$F17)*ABS(Calc_2!S101)&gt;Tolerance)</f>
        <v>0</v>
      </c>
      <c r="T31" s="46" t="n">
        <f aca="false">N((Calc_2!T$4&gt;=Calc_2!$F17)*ABS(Calc_2!T101)&gt;Tolerance)</f>
        <v>0</v>
      </c>
      <c r="U31" s="46" t="n">
        <f aca="false">N((Calc_2!U$4&gt;=Calc_2!$F17)*ABS(Calc_2!U101)&gt;Tolerance)</f>
        <v>0</v>
      </c>
      <c r="V31" s="46" t="n">
        <f aca="false">N((Calc_2!V$4&gt;=Calc_2!$F17)*ABS(Calc_2!V101)&gt;Tolerance)</f>
        <v>0</v>
      </c>
      <c r="W31" s="46" t="n">
        <f aca="false">N((Calc_2!W$4&gt;=Calc_2!$F17)*ABS(Calc_2!W101)&gt;Tolerance)</f>
        <v>0</v>
      </c>
      <c r="X31" s="46" t="n">
        <f aca="false">N((Calc_2!X$4&gt;=Calc_2!$F17)*ABS(Calc_2!X101)&gt;Tolerance)</f>
        <v>0</v>
      </c>
      <c r="Y31" s="46" t="n">
        <f aca="false">N((Calc_2!Y$4&gt;=Calc_2!$F17)*ABS(Calc_2!Y101)&gt;Tolerance)</f>
        <v>0</v>
      </c>
      <c r="Z31" s="46" t="n">
        <f aca="false">N((Calc_2!Z$4&gt;=Calc_2!$F17)*ABS(Calc_2!Z101)&gt;Tolerance)</f>
        <v>0</v>
      </c>
      <c r="AA31" s="46" t="n">
        <f aca="false">N((Calc_2!AA$4&gt;=Calc_2!$F17)*ABS(Calc_2!AA101)&gt;Tolerance)</f>
        <v>0</v>
      </c>
      <c r="AB31" s="46" t="n">
        <f aca="false">N((Calc_2!AB$4&gt;=Calc_2!$F17)*ABS(Calc_2!AB101)&gt;Tolerance)</f>
        <v>0</v>
      </c>
      <c r="AC31" s="46" t="n">
        <f aca="false">N((Calc_2!AC$4&gt;=Calc_2!$F17)*ABS(Calc_2!AC101)&gt;Tolerance)</f>
        <v>0</v>
      </c>
      <c r="AD31" s="46" t="n">
        <f aca="false">N((Calc_2!AD$4&gt;=Calc_2!$F17)*ABS(Calc_2!AD101)&gt;Tolerance)</f>
        <v>0</v>
      </c>
      <c r="AE31" s="46" t="n">
        <f aca="false">N((Calc_2!AE$4&gt;=Calc_2!$F17)*ABS(Calc_2!AE101)&gt;Tolerance)</f>
        <v>0</v>
      </c>
      <c r="AF31" s="46" t="n">
        <f aca="false">N((Calc_2!AF$4&gt;=Calc_2!$F17)*ABS(Calc_2!AF101)&gt;Tolerance)</f>
        <v>0</v>
      </c>
      <c r="AG31" s="46" t="n">
        <f aca="false">N((Calc_2!AG$4&gt;=Calc_2!$F17)*ABS(Calc_2!AG101)&gt;Tolerance)</f>
        <v>0</v>
      </c>
      <c r="AH31" s="46" t="n">
        <f aca="false">N((Calc_2!AH$4&gt;=Calc_2!$F17)*ABS(Calc_2!AH101)&gt;Tolerance)</f>
        <v>0</v>
      </c>
      <c r="AI31" s="46" t="n">
        <f aca="false">N((Calc_2!AI$4&gt;=Calc_2!$F17)*ABS(Calc_2!AI101)&gt;Tolerance)</f>
        <v>0</v>
      </c>
      <c r="AJ31" s="46" t="n">
        <f aca="false">N((Calc_2!AJ$4&gt;=Calc_2!$F17)*ABS(Calc_2!AJ101)&gt;Tolerance)</f>
        <v>0</v>
      </c>
      <c r="AK31" s="46" t="n">
        <f aca="false">N((Calc_2!AK$4&gt;=Calc_2!$F17)*ABS(Calc_2!AK101)&gt;Tolerance)</f>
        <v>0</v>
      </c>
      <c r="AL31" s="46" t="n">
        <f aca="false">N((Calc_2!AL$4&gt;=Calc_2!$F17)*ABS(Calc_2!AL101)&gt;Tolerance)</f>
        <v>0</v>
      </c>
      <c r="AM31" s="46" t="n">
        <f aca="false">N((Calc_2!AM$4&gt;=Calc_2!$F17)*ABS(Calc_2!AM101)&gt;Tolerance)</f>
        <v>0</v>
      </c>
      <c r="AN31" s="46" t="n">
        <f aca="false">N((Calc_2!AN$4&gt;=Calc_2!$F17)*ABS(Calc_2!AN101)&gt;Tolerance)</f>
        <v>0</v>
      </c>
      <c r="AO31" s="46" t="n">
        <f aca="false">N((Calc_2!AO$4&gt;=Calc_2!$F17)*ABS(Calc_2!AO101)&gt;Tolerance)</f>
        <v>0</v>
      </c>
      <c r="AP31" s="46" t="n">
        <f aca="false">N((Calc_2!AP$4&gt;=Calc_2!$F17)*ABS(Calc_2!AP101)&gt;Tolerance)</f>
        <v>0</v>
      </c>
      <c r="AQ31" s="46" t="n">
        <f aca="false">N((Calc_2!AQ$4&gt;=Calc_2!$F17)*ABS(Calc_2!AQ101)&gt;Tolerance)</f>
        <v>0</v>
      </c>
      <c r="AR31" s="46" t="n">
        <f aca="false">N((Calc_2!AR$4&gt;=Calc_2!$F17)*ABS(Calc_2!AR101)&gt;Tolerance)</f>
        <v>0</v>
      </c>
      <c r="AS31" s="46" t="n">
        <f aca="false">N((Calc_2!AS$4&gt;=Calc_2!$F17)*ABS(Calc_2!AS101)&gt;Tolerance)</f>
        <v>0</v>
      </c>
      <c r="AT31" s="46" t="n">
        <f aca="false">N((Calc_2!AT$4&gt;=Calc_2!$F17)*ABS(Calc_2!AT101)&gt;Tolerance)</f>
        <v>0</v>
      </c>
      <c r="AU31" s="46" t="n">
        <f aca="false">N((Calc_2!AU$4&gt;=Calc_2!$F17)*ABS(Calc_2!AU101)&gt;Tolerance)</f>
        <v>0</v>
      </c>
      <c r="AV31" s="46" t="n">
        <f aca="false">N((Calc_2!AV$4&gt;=Calc_2!$F17)*ABS(Calc_2!AV101)&gt;Tolerance)</f>
        <v>0</v>
      </c>
      <c r="AW31" s="46" t="n">
        <f aca="false">N((Calc_2!AW$4&gt;=Calc_2!$F17)*ABS(Calc_2!AW101)&gt;Tolerance)</f>
        <v>0</v>
      </c>
      <c r="AX31" s="46" t="n">
        <f aca="false">N((Calc_2!AX$4&gt;=Calc_2!$F17)*ABS(Calc_2!AX101)&gt;Tolerance)</f>
        <v>0</v>
      </c>
      <c r="AY31" s="46" t="n">
        <f aca="false">N((Calc_2!AY$4&gt;=Calc_2!$F17)*ABS(Calc_2!AY101)&gt;Tolerance)</f>
        <v>0</v>
      </c>
      <c r="AZ31" s="46" t="n">
        <f aca="false">N((Calc_2!AZ$4&gt;=Calc_2!$F17)*ABS(Calc_2!AZ101)&gt;Tolerance)</f>
        <v>0</v>
      </c>
      <c r="BA31" s="46" t="n">
        <f aca="false">N((Calc_2!BA$4&gt;=Calc_2!$F17)*ABS(Calc_2!BA101)&gt;Tolerance)</f>
        <v>0</v>
      </c>
      <c r="BB31" s="46" t="n">
        <f aca="false">N((Calc_2!BB$4&gt;=Calc_2!$F17)*ABS(Calc_2!BB101)&gt;Tolerance)</f>
        <v>0</v>
      </c>
      <c r="BC31" s="46" t="n">
        <f aca="false">N((Calc_2!BC$4&gt;=Calc_2!$F17)*ABS(Calc_2!BC101)&gt;Tolerance)</f>
        <v>0</v>
      </c>
      <c r="BD31" s="46" t="n">
        <f aca="false">N((Calc_2!BD$4&gt;=Calc_2!$F17)*ABS(Calc_2!BD101)&gt;Tolerance)</f>
        <v>0</v>
      </c>
      <c r="BE31" s="46" t="n">
        <f aca="false">N((Calc_2!BE$4&gt;=Calc_2!$F17)*ABS(Calc_2!BE101)&gt;Tolerance)</f>
        <v>0</v>
      </c>
      <c r="BF31" s="46" t="n">
        <f aca="false">N((Calc_2!BF$4&gt;=Calc_2!$F17)*ABS(Calc_2!BF101)&gt;Tolerance)</f>
        <v>0</v>
      </c>
      <c r="BG31" s="46" t="n">
        <f aca="false">N((Calc_2!BG$4&gt;=Calc_2!$F17)*ABS(Calc_2!BG101)&gt;Tolerance)</f>
        <v>0</v>
      </c>
      <c r="BH31" s="46" t="n">
        <f aca="false">N((Calc_2!BH$4&gt;=Calc_2!$F17)*ABS(Calc_2!BH101)&gt;Tolerance)</f>
        <v>0</v>
      </c>
      <c r="BI31" s="46" t="n">
        <f aca="false">N((Calc_2!BI$4&gt;=Calc_2!$F17)*ABS(Calc_2!BI101)&gt;Tolerance)</f>
        <v>0</v>
      </c>
      <c r="BJ31" s="46" t="n">
        <f aca="false">N((Calc_2!BJ$4&gt;=Calc_2!$F17)*ABS(Calc_2!BJ101)&gt;Tolerance)</f>
        <v>0</v>
      </c>
      <c r="BK31" s="46" t="n">
        <f aca="false">N((Calc_2!BK$4&gt;=Calc_2!$F17)*ABS(Calc_2!BK101)&gt;Tolerance)</f>
        <v>0</v>
      </c>
      <c r="BL31" s="46" t="n">
        <f aca="false">N((Calc_2!BL$4&gt;=Calc_2!$F17)*ABS(Calc_2!BL101)&gt;Tolerance)</f>
        <v>0</v>
      </c>
      <c r="BM31" s="46" t="n">
        <f aca="false">N((Calc_2!BM$4&gt;=Calc_2!$F17)*ABS(Calc_2!BM101)&gt;Tolerance)</f>
        <v>0</v>
      </c>
      <c r="BN31" s="46" t="n">
        <f aca="false">N((Calc_2!BN$4&gt;=Calc_2!$F17)*ABS(Calc_2!BN101)&gt;Tolerance)</f>
        <v>0</v>
      </c>
      <c r="BO31" s="46" t="n">
        <f aca="false">N((Calc_2!BO$4&gt;=Calc_2!$F17)*ABS(Calc_2!BO101)&gt;Tolerance)</f>
        <v>0</v>
      </c>
      <c r="BP31" s="46" t="n">
        <f aca="false">N((Calc_2!BP$4&gt;=Calc_2!$F17)*ABS(Calc_2!BP101)&gt;Tolerance)</f>
        <v>0</v>
      </c>
      <c r="BQ31" s="46" t="n">
        <f aca="false">N((Calc_2!BQ$4&gt;=Calc_2!$F17)*ABS(Calc_2!BQ101)&gt;Tolerance)</f>
        <v>0</v>
      </c>
      <c r="BR31" s="46" t="n">
        <f aca="false">N((Calc_2!BR$4&gt;=Calc_2!$F17)*ABS(Calc_2!BR101)&gt;Tolerance)</f>
        <v>0</v>
      </c>
      <c r="BS31" s="46" t="n">
        <f aca="false">N((Calc_2!BS$4&gt;=Calc_2!$F17)*ABS(Calc_2!BS101)&gt;Tolerance)</f>
        <v>0</v>
      </c>
      <c r="BT31" s="46" t="n">
        <f aca="false">N((Calc_2!BT$4&gt;=Calc_2!$F17)*ABS(Calc_2!BT101)&gt;Tolerance)</f>
        <v>0</v>
      </c>
      <c r="BU31" s="46" t="n">
        <f aca="false">N((Calc_2!BU$4&gt;=Calc_2!$F17)*ABS(Calc_2!BU101)&gt;Tolerance)</f>
        <v>0</v>
      </c>
      <c r="BV31" s="46" t="n">
        <f aca="false">N((Calc_2!BV$4&gt;=Calc_2!$F17)*ABS(Calc_2!BV101)&gt;Tolerance)</f>
        <v>0</v>
      </c>
      <c r="BW31" s="46" t="n">
        <f aca="false">N((Calc_2!BW$4&gt;=Calc_2!$F17)*ABS(Calc_2!BW101)&gt;Tolerance)</f>
        <v>0</v>
      </c>
      <c r="BX31" s="46" t="n">
        <f aca="false">N((Calc_2!BX$4&gt;=Calc_2!$F17)*ABS(Calc_2!BX101)&gt;Tolerance)</f>
        <v>0</v>
      </c>
      <c r="BY31" s="46" t="n">
        <f aca="false">N((Calc_2!BY$4&gt;=Calc_2!$F17)*ABS(Calc_2!BY101)&gt;Tolerance)</f>
        <v>0</v>
      </c>
      <c r="BZ31" s="46" t="n">
        <f aca="false">N((Calc_2!BZ$4&gt;=Calc_2!$F17)*ABS(Calc_2!BZ101)&gt;Tolerance)</f>
        <v>0</v>
      </c>
      <c r="CA31" s="46" t="n">
        <f aca="false">N((Calc_2!CA$4&gt;=Calc_2!$F17)*ABS(Calc_2!CA101)&gt;Tolerance)</f>
        <v>0</v>
      </c>
      <c r="CB31" s="46" t="n">
        <f aca="false">N((Calc_2!CB$4&gt;=Calc_2!$F17)*ABS(Calc_2!CB101)&gt;Tolerance)</f>
        <v>0</v>
      </c>
      <c r="CC31" s="46" t="n">
        <f aca="false">N((Calc_2!CC$4&gt;=Calc_2!$F17)*ABS(Calc_2!CC101)&gt;Tolerance)</f>
        <v>0</v>
      </c>
      <c r="CD31" s="46" t="n">
        <f aca="false">N((Calc_2!CD$4&gt;=Calc_2!$F17)*ABS(Calc_2!CD101)&gt;Tolerance)</f>
        <v>0</v>
      </c>
      <c r="CE31" s="46" t="n">
        <f aca="false">N((Calc_2!CE$4&gt;=Calc_2!$F17)*ABS(Calc_2!CE101)&gt;Tolerance)</f>
        <v>0</v>
      </c>
      <c r="CF31" s="46" t="n">
        <f aca="false">N((Calc_2!CF$4&gt;=Calc_2!$F17)*ABS(Calc_2!CF101)&gt;Tolerance)</f>
        <v>0</v>
      </c>
      <c r="CG31" s="46" t="n">
        <f aca="false">N((Calc_2!CG$4&gt;=Calc_2!$F17)*ABS(Calc_2!CG101)&gt;Tolerance)</f>
        <v>0</v>
      </c>
      <c r="CH31" s="46" t="n">
        <f aca="false">N((Calc_2!CH$4&gt;=Calc_2!$F17)*ABS(Calc_2!CH101)&gt;Tolerance)</f>
        <v>0</v>
      </c>
      <c r="CI31" s="46" t="n">
        <f aca="false">N((Calc_2!CI$4&gt;=Calc_2!$F17)*ABS(Calc_2!CI101)&gt;Tolerance)</f>
        <v>0</v>
      </c>
      <c r="CJ31" s="46" t="n">
        <f aca="false">N((Calc_2!CJ$4&gt;=Calc_2!$F17)*ABS(Calc_2!CJ101)&gt;Tolerance)</f>
        <v>0</v>
      </c>
      <c r="CK31" s="46" t="n">
        <f aca="false">N((Calc_2!CK$4&gt;=Calc_2!$F17)*ABS(Calc_2!CK101)&gt;Tolerance)</f>
        <v>0</v>
      </c>
      <c r="CL31" s="46" t="n">
        <f aca="false">N((Calc_2!CL$4&gt;=Calc_2!$F17)*ABS(Calc_2!CL101)&gt;Tolerance)</f>
        <v>0</v>
      </c>
      <c r="CM31" s="46" t="n">
        <f aca="false">N((Calc_2!CM$4&gt;=Calc_2!$F17)*ABS(Calc_2!CM101)&gt;Tolerance)</f>
        <v>0</v>
      </c>
      <c r="CN31" s="46" t="n">
        <f aca="false">N((Calc_2!CN$4&gt;=Calc_2!$F17)*ABS(Calc_2!CN101)&gt;Tolerance)</f>
        <v>0</v>
      </c>
      <c r="CO31" s="46" t="n">
        <f aca="false">N((Calc_2!CO$4&gt;=Calc_2!$F17)*ABS(Calc_2!CO101)&gt;Tolerance)</f>
        <v>0</v>
      </c>
      <c r="CP31" s="46" t="n">
        <f aca="false">N((Calc_2!CP$4&gt;=Calc_2!$F17)*ABS(Calc_2!CP101)&gt;Tolerance)</f>
        <v>0</v>
      </c>
      <c r="CQ31" s="46" t="n">
        <f aca="false">N((Calc_2!CQ$4&gt;=Calc_2!$F17)*ABS(Calc_2!CQ101)&gt;Tolerance)</f>
        <v>0</v>
      </c>
      <c r="CR31" s="46" t="n">
        <f aca="false">N((Calc_2!CR$4&gt;=Calc_2!$F17)*ABS(Calc_2!CR101)&gt;Tolerance)</f>
        <v>0</v>
      </c>
      <c r="CS31" s="46" t="n">
        <f aca="false">N((Calc_2!CS$4&gt;=Calc_2!$F17)*ABS(Calc_2!CS101)&gt;Tolerance)</f>
        <v>0</v>
      </c>
      <c r="CT31" s="46" t="n">
        <f aca="false">N((Calc_2!CT$4&gt;=Calc_2!$F17)*ABS(Calc_2!CT101)&gt;Tolerance)</f>
        <v>0</v>
      </c>
      <c r="CU31" s="46" t="n">
        <f aca="false">N((Calc_2!CU$4&gt;=Calc_2!$F17)*ABS(Calc_2!CU101)&gt;Tolerance)</f>
        <v>0</v>
      </c>
      <c r="CV31" s="46" t="n">
        <f aca="false">N((Calc_2!CV$4&gt;=Calc_2!$F17)*ABS(Calc_2!CV101)&gt;Tolerance)</f>
        <v>0</v>
      </c>
      <c r="CW31" s="46" t="n">
        <f aca="false">N((Calc_2!CW$4&gt;=Calc_2!$F17)*ABS(Calc_2!CW101)&gt;Tolerance)</f>
        <v>0</v>
      </c>
      <c r="CX31" s="46" t="n">
        <f aca="false">N((Calc_2!CX$4&gt;=Calc_2!$F17)*ABS(Calc_2!CX101)&gt;Tolerance)</f>
        <v>0</v>
      </c>
      <c r="CY31" s="46" t="n">
        <f aca="false">N((Calc_2!CY$4&gt;=Calc_2!$F17)*ABS(Calc_2!CY101)&gt;Tolerance)</f>
        <v>0</v>
      </c>
      <c r="CZ31" s="46" t="n">
        <f aca="false">N((Calc_2!CZ$4&gt;=Calc_2!$F17)*ABS(Calc_2!CZ101)&gt;Tolerance)</f>
        <v>0</v>
      </c>
      <c r="DA31" s="46" t="n">
        <f aca="false">N((Calc_2!DA$4&gt;=Calc_2!$F17)*ABS(Calc_2!DA101)&gt;Tolerance)</f>
        <v>0</v>
      </c>
      <c r="DB31" s="46" t="n">
        <f aca="false">N((Calc_2!DB$4&gt;=Calc_2!$F17)*ABS(Calc_2!DB101)&gt;Tolerance)</f>
        <v>0</v>
      </c>
      <c r="DC31" s="46" t="n">
        <f aca="false">N((Calc_2!DC$4&gt;=Calc_2!$F17)*ABS(Calc_2!DC101)&gt;Tolerance)</f>
        <v>0</v>
      </c>
      <c r="DD31" s="46" t="n">
        <f aca="false">N((Calc_2!DD$4&gt;=Calc_2!$F17)*ABS(Calc_2!DD101)&gt;Tolerance)</f>
        <v>0</v>
      </c>
      <c r="DE31" s="46" t="n">
        <f aca="false">N((Calc_2!DE$4&gt;=Calc_2!$F17)*ABS(Calc_2!DE101)&gt;Tolerance)</f>
        <v>0</v>
      </c>
      <c r="DF31" s="46" t="n">
        <f aca="false">N((Calc_2!DF$4&gt;=Calc_2!$F17)*ABS(Calc_2!DF101)&gt;Tolerance)</f>
        <v>0</v>
      </c>
      <c r="DG31" s="46" t="n">
        <f aca="false">N((Calc_2!DG$4&gt;=Calc_2!$F17)*ABS(Calc_2!DG101)&gt;Tolerance)</f>
        <v>0</v>
      </c>
      <c r="DH31" s="46" t="n">
        <f aca="false">N((Calc_2!DH$4&gt;=Calc_2!$F17)*ABS(Calc_2!DH101)&gt;Tolerance)</f>
        <v>0</v>
      </c>
      <c r="DI31" s="46" t="n">
        <f aca="false">N((Calc_2!DI$4&gt;=Calc_2!$F17)*ABS(Calc_2!DI101)&gt;Tolerance)</f>
        <v>0</v>
      </c>
      <c r="DJ31" s="46" t="n">
        <f aca="false">N((Calc_2!DJ$4&gt;=Calc_2!$F17)*ABS(Calc_2!DJ101)&gt;Tolerance)</f>
        <v>0</v>
      </c>
      <c r="DK31" s="46" t="n">
        <f aca="false">N((Calc_2!DK$4&gt;=Calc_2!$F17)*ABS(Calc_2!DK101)&gt;Tolerance)</f>
        <v>0</v>
      </c>
      <c r="DL31" s="46" t="n">
        <f aca="false">N((Calc_2!DL$4&gt;=Calc_2!$F17)*ABS(Calc_2!DL101)&gt;Tolerance)</f>
        <v>0</v>
      </c>
      <c r="DM31" s="46" t="n">
        <f aca="false">N((Calc_2!DM$4&gt;=Calc_2!$F17)*ABS(Calc_2!DM101)&gt;Tolerance)</f>
        <v>0</v>
      </c>
      <c r="DN31" s="46" t="n">
        <f aca="false">N((Calc_2!DN$4&gt;=Calc_2!$F17)*ABS(Calc_2!DN101)&gt;Tolerance)</f>
        <v>0</v>
      </c>
      <c r="DO31" s="46" t="n">
        <f aca="false">N((Calc_2!DO$4&gt;=Calc_2!$F17)*ABS(Calc_2!DO101)&gt;Tolerance)</f>
        <v>0</v>
      </c>
      <c r="DP31" s="46" t="n">
        <f aca="false">N((Calc_2!DP$4&gt;=Calc_2!$F17)*ABS(Calc_2!DP101)&gt;Tolerance)</f>
        <v>0</v>
      </c>
      <c r="DQ31" s="46" t="n">
        <f aca="false">N((Calc_2!DQ$4&gt;=Calc_2!$F17)*ABS(Calc_2!DQ101)&gt;Tolerance)</f>
        <v>0</v>
      </c>
      <c r="DR31" s="46" t="n">
        <f aca="false">N((Calc_2!DR$4&gt;=Calc_2!$F17)*ABS(Calc_2!DR101)&gt;Tolerance)</f>
        <v>0</v>
      </c>
      <c r="DS31" s="46" t="n">
        <f aca="false">N((Calc_2!DS$4&gt;=Calc_2!$F17)*ABS(Calc_2!DS101)&gt;Tolerance)</f>
        <v>0</v>
      </c>
      <c r="DT31" s="46" t="n">
        <f aca="false">N((Calc_2!DT$4&gt;=Calc_2!$F17)*ABS(Calc_2!DT101)&gt;Tolerance)</f>
        <v>0</v>
      </c>
      <c r="DU31" s="46" t="n">
        <f aca="false">N((Calc_2!DU$4&gt;=Calc_2!$F17)*ABS(Calc_2!DU101)&gt;Tolerance)</f>
        <v>0</v>
      </c>
      <c r="DV31" s="46" t="n">
        <f aca="false">N((Calc_2!DV$4&gt;=Calc_2!$F17)*ABS(Calc_2!DV101)&gt;Tolerance)</f>
        <v>0</v>
      </c>
      <c r="DW31" s="46" t="n">
        <f aca="false">N((Calc_2!DW$4&gt;=Calc_2!$F17)*ABS(Calc_2!DW101)&gt;Tolerance)</f>
        <v>0</v>
      </c>
      <c r="DX31" s="46" t="n">
        <f aca="false">N((Calc_2!DX$4&gt;=Calc_2!$F17)*ABS(Calc_2!DX101)&gt;Tolerance)</f>
        <v>0</v>
      </c>
      <c r="DY31" s="46" t="n">
        <f aca="false">N((Calc_2!DY$4&gt;=Calc_2!$F17)*ABS(Calc_2!DY101)&gt;Tolerance)</f>
        <v>0</v>
      </c>
      <c r="DZ31" s="46" t="n">
        <f aca="false">N((Calc_2!DZ$4&gt;=Calc_2!$F17)*ABS(Calc_2!DZ101)&gt;Tolerance)</f>
        <v>0</v>
      </c>
      <c r="EA31" s="46" t="n">
        <f aca="false">N((Calc_2!EA$4&gt;=Calc_2!$F17)*ABS(Calc_2!EA101)&gt;Tolerance)</f>
        <v>0</v>
      </c>
      <c r="EB31" s="46" t="n">
        <f aca="false">N((Calc_2!EB$4&gt;=Calc_2!$F17)*ABS(Calc_2!EB101)&gt;Tolerance)</f>
        <v>0</v>
      </c>
      <c r="EC31" s="46" t="n">
        <f aca="false">N((Calc_2!EC$4&gt;=Calc_2!$F17)*ABS(Calc_2!EC101)&gt;Tolerance)</f>
        <v>0</v>
      </c>
      <c r="ED31" s="46" t="n">
        <f aca="false">N((Calc_2!ED$4&gt;=Calc_2!$F17)*ABS(Calc_2!ED101)&gt;Tolerance)</f>
        <v>0</v>
      </c>
      <c r="EE31" s="46" t="n">
        <f aca="false">N((Calc_2!EE$4&gt;=Calc_2!$F17)*ABS(Calc_2!EE101)&gt;Tolerance)</f>
        <v>0</v>
      </c>
      <c r="EF31" s="46" t="n">
        <f aca="false">N((Calc_2!EF$4&gt;=Calc_2!$F17)*ABS(Calc_2!EF101)&gt;Tolerance)</f>
        <v>0</v>
      </c>
      <c r="EG31" s="46" t="n">
        <f aca="false">N((Calc_2!EG$4&gt;=Calc_2!$F17)*ABS(Calc_2!EG101)&gt;Tolerance)</f>
        <v>0</v>
      </c>
      <c r="EH31" s="46" t="n">
        <f aca="false">N((Calc_2!EH$4&gt;=Calc_2!$F17)*ABS(Calc_2!EH101)&gt;Tolerance)</f>
        <v>0</v>
      </c>
      <c r="EI31" s="46" t="n">
        <f aca="false">N((Calc_2!EI$4&gt;=Calc_2!$F17)*ABS(Calc_2!EI101)&gt;Tolerance)</f>
        <v>0</v>
      </c>
      <c r="EJ31" s="46" t="n">
        <f aca="false">N((Calc_2!EJ$4&gt;=Calc_2!$F17)*ABS(Calc_2!EJ101)&gt;Tolerance)</f>
        <v>0</v>
      </c>
      <c r="EK31" s="46" t="n">
        <f aca="false">N((Calc_2!EK$4&gt;=Calc_2!$F17)*ABS(Calc_2!EK101)&gt;Tolerance)</f>
        <v>0</v>
      </c>
      <c r="EL31" s="46" t="n">
        <f aca="false">N((Calc_2!EL$4&gt;=Calc_2!$F17)*ABS(Calc_2!EL101)&gt;Tolerance)</f>
        <v>0</v>
      </c>
      <c r="EM31" s="46" t="n">
        <f aca="false">N((Calc_2!EM$4&gt;=Calc_2!$F17)*ABS(Calc_2!EM101)&gt;Tolerance)</f>
        <v>0</v>
      </c>
      <c r="EN31" s="46" t="n">
        <f aca="false">N((Calc_2!EN$4&gt;=Calc_2!$F17)*ABS(Calc_2!EN101)&gt;Tolerance)</f>
        <v>0</v>
      </c>
      <c r="EO31" s="46" t="n">
        <f aca="false">N((Calc_2!EO$4&gt;=Calc_2!$F17)*ABS(Calc_2!EO101)&gt;Tolerance)</f>
        <v>0</v>
      </c>
      <c r="EP31" s="46" t="n">
        <f aca="false">N((Calc_2!EP$4&gt;=Calc_2!$F17)*ABS(Calc_2!EP101)&gt;Tolerance)</f>
        <v>0</v>
      </c>
      <c r="EQ31" s="46" t="n">
        <f aca="false">N((Calc_2!EQ$4&gt;=Calc_2!$F17)*ABS(Calc_2!EQ101)&gt;Tolerance)</f>
        <v>0</v>
      </c>
      <c r="ER31" s="46" t="n">
        <f aca="false">N((Calc_2!ER$4&gt;=Calc_2!$F17)*ABS(Calc_2!ER101)&gt;Tolerance)</f>
        <v>0</v>
      </c>
      <c r="ES31" s="46" t="n">
        <f aca="false">N((Calc_2!ES$4&gt;=Calc_2!$F17)*ABS(Calc_2!ES101)&gt;Tolerance)</f>
        <v>0</v>
      </c>
      <c r="ET31" s="46" t="n">
        <f aca="false">N((Calc_2!ET$4&gt;=Calc_2!$F17)*ABS(Calc_2!ET101)&gt;Tolerance)</f>
        <v>0</v>
      </c>
    </row>
    <row r="32" customFormat="false" ht="15" hidden="false" customHeight="false" outlineLevel="0" collapsed="false">
      <c r="C32" s="0" t="s">
        <v>637</v>
      </c>
      <c r="D32" s="11" t="s">
        <v>41</v>
      </c>
      <c r="E32" s="36" t="str">
        <f aca="false">IF(F32=0,"OK","CHECK")</f>
        <v>OK</v>
      </c>
      <c r="F32" s="46" t="n">
        <f aca="false">N(ISTEXT(Calc_1!$E154))+N(ISERROR(Calc_1!$E191))+N(ISERROR(Calc_1!$E171))</f>
        <v>0</v>
      </c>
    </row>
    <row r="33" customFormat="false" ht="15" hidden="false" customHeight="false" outlineLevel="0" collapsed="false">
      <c r="C33" s="0" t="s">
        <v>638</v>
      </c>
      <c r="D33" s="11" t="s">
        <v>41</v>
      </c>
      <c r="E33" s="36" t="str">
        <f aca="false">IF(F33=0,"OK","CHECK")</f>
        <v>OK</v>
      </c>
      <c r="F33" s="46" t="n">
        <f aca="false">N(ISTEXT(Calc_2!$E154))+N(ISERROR(Calc_2!$E191))+N(ISERROR(Calc_2!$E171))</f>
        <v>0</v>
      </c>
    </row>
    <row r="34" customFormat="false" ht="15" hidden="false" customHeight="false" outlineLevel="0" collapsed="false">
      <c r="C34" s="0" t="s">
        <v>639</v>
      </c>
      <c r="D34" s="11" t="s">
        <v>41</v>
      </c>
      <c r="E34" s="36" t="str">
        <f aca="false">IF(F34=0,"OK","CHECK")</f>
        <v>OK</v>
      </c>
      <c r="F34" s="46" t="n">
        <f aca="false">(Scenario_Selected=1)*(SUMPRODUCT(ABS(ZB_Live_1-ZB_Zero_Stored-ZB_Delta_1_Stored))&gt;Tolerance)</f>
        <v>0</v>
      </c>
    </row>
    <row r="35" customFormat="false" ht="15" hidden="false" customHeight="false" outlineLevel="0" collapsed="false">
      <c r="C35" s="0" t="s">
        <v>640</v>
      </c>
      <c r="D35" s="11" t="s">
        <v>41</v>
      </c>
      <c r="E35" s="36" t="str">
        <f aca="false">IF(F35=0,"OK","CHECK")</f>
        <v>OK</v>
      </c>
      <c r="F35" s="46" t="n">
        <f aca="false">(Scenario_Selected=1)*(SUMPRODUCT(ABS(ZB_Live_2-ZB_Zero_Stored-ZB_Delta_2_Stored))&gt;Tolerance)</f>
        <v>0</v>
      </c>
    </row>
    <row r="36" customFormat="false" ht="15" hidden="false" customHeight="false" outlineLevel="0" collapsed="false">
      <c r="C36" s="0" t="s">
        <v>641</v>
      </c>
      <c r="D36" s="11" t="s">
        <v>41</v>
      </c>
      <c r="E36" s="36" t="str">
        <f aca="false">IF(F36=0,"OK","CHECK")</f>
        <v>OK</v>
      </c>
      <c r="F36" s="46" t="n">
        <f aca="false">--(SUMPRODUCT(ABS(Stored_Results-Live_Results)*(Scenario_Names=Scenario_Name))&gt;Tolerance)</f>
        <v>0</v>
      </c>
    </row>
    <row r="38" customFormat="false" ht="15" hidden="false" customHeight="false" outlineLevel="0" collapsed="false">
      <c r="C38" s="30" t="s">
        <v>6</v>
      </c>
      <c r="E38" s="59" t="str">
        <f aca="false">IF(F38=0,"OK","CHECK")</f>
        <v>OK</v>
      </c>
      <c r="F38" s="60" t="n">
        <f aca="false">SUMPRODUCT(ABS(F12:F36))</f>
        <v>0</v>
      </c>
    </row>
    <row r="40" customFormat="false" ht="15" hidden="false" customHeight="false" outlineLevel="0" collapsed="false">
      <c r="C40" s="40" t="s">
        <v>193</v>
      </c>
    </row>
  </sheetData>
  <conditionalFormatting sqref="E12:E38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2026-10-14T07:32:32Z</dcterms:created>
  <dc:creator>openpyxl</dc:creator>
  <dc:description/>
  <dc:language>en-US</dc:language>
  <cp:lastModifiedBy/>
  <dcterms:modified xsi:type="dcterms:W3CDTF">2026-10-14T07:32:47Z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