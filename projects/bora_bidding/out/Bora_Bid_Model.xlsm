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Dashboard!$H$99:$M$99</definedName>
    <definedName function="false" hidden="false" name="COD_IRR_2_Stored" vbProcedure="false">Dashboard!$H$100:$M$100</definedName>
    <definedName function="false" hidden="false" name="Cost_To_COD_1_Stored" vbProcedure="false">Dashboard!$H$105:$M$105</definedName>
    <definedName function="false" hidden="false" name="Cost_To_COD_2_Stored" vbProcedure="false">Dashboard!$H$106:$M$106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Dashboard!$H$103:$M$103</definedName>
    <definedName function="false" hidden="false" name="Distributable_2_Stored" vbProcedure="false">Dashboard!$H$104:$M$104</definedName>
    <definedName function="false" hidden="false" name="HTM_IRR_1_Stored" vbProcedure="false">Dashboard!$H$101:$M$101</definedName>
    <definedName function="false" hidden="false" name="HTM_IRR_2_Stored" vbProcedure="false">Dashboard!$H$102:$M$102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Dashboard!$E$95:$E$106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Dashboard!$E$85</definedName>
    <definedName function="false" hidden="false" name="Out_COD_Debt_2" vbProcedure="false">Dashboard!$F$85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Dashboard!$E$88</definedName>
    <definedName function="false" hidden="false" name="Out_COD_MOIC_2" vbProcedure="false">Dashboard!$F$88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Dashboard!$E$83</definedName>
    <definedName function="false" hidden="false" name="Out_COD_Price_2" vbProcedure="false">Dashboard!$F$83</definedName>
    <definedName function="false" hidden="false" name="Out_COD_Price_Effect_1" vbProcedure="false">Dashboard!$E$84</definedName>
    <definedName function="false" hidden="false" name="Out_COD_Price_Effect_2" vbProcedure="false">Dashboard!$F$84</definedName>
    <definedName function="false" hidden="false" name="Out_COD_Proceeds_1" vbProcedure="false">Dashboard!$E$86</definedName>
    <definedName function="false" hidden="false" name="Out_COD_Proceeds_2" vbProcedure="false">Dashboard!$F$86</definedName>
    <definedName function="false" hidden="false" name="Out_COD_Profit_1" vbProcedure="false">Dashboard!$E$87</definedName>
    <definedName function="false" hidden="false" name="Out_COD_Profit_2" vbProcedure="false">Dashboard!$F$87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Dashboard!$E$81</definedName>
    <definedName function="false" hidden="false" name="Out_Cost_To_COD_2" vbProcedure="false">Dashboard!$F$81</definedName>
    <definedName function="false" hidden="false" name="Out_Cost_To_COD_MW_1" vbProcedure="false">Dashboard!$E$82</definedName>
    <definedName function="false" hidden="false" name="Out_Cost_To_COD_MW_2" vbProcedure="false">Dashboard!$F$82</definedName>
    <definedName function="false" hidden="false" name="Out_Distributable_1" vbProcedure="false">Dashboard!$E$69</definedName>
    <definedName function="false" hidden="false" name="Out_Distributable_2" vbProcedure="false">Dashboard!$F$69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Exit_ARES_30_1" vbProcedure="false">Dashboard!$E$73</definedName>
    <definedName function="false" hidden="false" name="Out_Exit_ARES_30_2" vbProcedure="false">Dashboard!$F$73</definedName>
    <definedName function="false" hidden="false" name="Out_Exit_ARES_Total_1" vbProcedure="false">Dashboard!$E$74</definedName>
    <definedName function="false" hidden="false" name="Out_Exit_ARES_Total_2" vbProcedure="false">Dashboard!$F$74</definedName>
    <definedName function="false" hidden="false" name="Out_Exit_ARES_Total_MW_1" vbProcedure="false">Dashboard!$I$74</definedName>
    <definedName function="false" hidden="false" name="Out_Exit_ARES_Total_MW_2" vbProcedure="false">Dashboard!$J$74</definedName>
    <definedName function="false" hidden="false" name="Out_Exit_Claims_1" vbProcedure="false">Dashboard!$E$67</definedName>
    <definedName function="false" hidden="false" name="Out_Exit_Claims_2" vbProcedure="false">Dashboard!$F$67</definedName>
    <definedName function="false" hidden="false" name="Out_Exit_FEP_70_1" vbProcedure="false">Dashboard!$E$70</definedName>
    <definedName function="false" hidden="false" name="Out_Exit_FEP_70_2" vbProcedure="false">Dashboard!$F$70</definedName>
    <definedName function="false" hidden="false" name="Out_Exit_FEP_Devex_1" vbProcedure="false">Dashboard!$E$71</definedName>
    <definedName function="false" hidden="false" name="Out_Exit_FEP_Devex_2" vbProcedure="false">Dashboard!$F$71</definedName>
    <definedName function="false" hidden="false" name="Out_Exit_FEP_Net_1" vbProcedure="false">Dashboard!$E$72</definedName>
    <definedName function="false" hidden="false" name="Out_Exit_FEP_Net_2" vbProcedure="false">Dashboard!$F$72</definedName>
    <definedName function="false" hidden="false" name="Out_Exit_FEP_Net_MW_1" vbProcedure="false">Dashboard!$I$72</definedName>
    <definedName function="false" hidden="false" name="Out_Exit_FEP_Net_MW_2" vbProcedure="false">Dashboard!$J$72</definedName>
    <definedName function="false" hidden="false" name="Out_Exit_Reimbursement_1" vbProcedure="false">Dashboard!$E$61</definedName>
    <definedName function="false" hidden="false" name="Out_Exit_Reimbursement_2" vbProcedure="false">Dashboard!$F$61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Dashboard!$E$91</definedName>
    <definedName function="false" hidden="false" name="Out_HTM_MOIC_2" vbProcedure="false">Dashboard!$F$91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Dashboard!$E$92</definedName>
    <definedName function="false" hidden="false" name="Out_Min_DSCR_2" vbProcedure="false">Dashboard!$F$92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Dashboard!$E$77</definedName>
    <definedName function="false" hidden="false" name="Out_RtB_MOIC_2" vbProcedure="false">Dashboard!$F$77</definedName>
    <definedName function="false" hidden="false" name="Out_RtB_NPV_1" vbProcedure="false">Dashboard!$E$78</definedName>
    <definedName function="false" hidden="false" name="Out_RtB_NPV_2" vbProcedure="false">Dashboard!$F$78</definedName>
    <definedName function="false" hidden="false" name="Out_RtB_Price_1" vbProcedure="false">Dashboard!$E$62</definedName>
    <definedName function="false" hidden="false" name="Out_RtB_Price_2" vbProcedure="false">Dashboard!$F$62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Dashboard!$E$76</definedName>
    <definedName function="false" hidden="false" name="Out_RtB_Profit_Buildup_2" vbProcedure="false">Dashboard!$F$76</definedName>
    <definedName function="false" hidden="false" name="Out_RtB_Route_Costs_1" vbProcedure="false">Dashboard!$E$75</definedName>
    <definedName function="false" hidden="false" name="Out_RtB_Route_Costs_2" vbProcedure="false">Dashboard!$F$75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WF_DSA_1" vbProcedure="false">Dashboard!$E$68</definedName>
    <definedName function="false" hidden="false" name="Out_WF_DSA_2" vbProcedure="false">Dashboard!$F$68</definedName>
    <definedName function="false" hidden="false" name="Out_WF_Return_12_1" vbProcedure="false">Dashboard!$E$64</definedName>
    <definedName function="false" hidden="false" name="Out_WF_Return_12_2" vbProcedure="false">Dashboard!$F$64</definedName>
    <definedName function="false" hidden="false" name="Out_WF_Return_6_1" vbProcedure="false">Dashboard!$E$66</definedName>
    <definedName function="false" hidden="false" name="Out_WF_Return_6_2" vbProcedure="false">Dashboard!$F$66</definedName>
    <definedName function="false" hidden="false" name="Out_WF_Return_AtRisk_1" vbProcedure="false">Dashboard!$E$65</definedName>
    <definedName function="false" hidden="false" name="Out_WF_Return_AtRisk_2" vbProcedure="false">Dashboard!$F$65</definedName>
    <definedName function="false" hidden="false" name="Out_WF_Sale_Costs_1" vbProcedure="false">Dashboard!$E$63</definedName>
    <definedName function="false" hidden="false" name="Out_WF_Sale_Costs_2" vbProcedure="false">Dashboard!$F$63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Dashboard!$H$95:$M$95</definedName>
    <definedName function="false" hidden="false" name="Points_2_Stored" vbProcedure="false">Dashboard!$H$96:$M$96</definedName>
    <definedName function="false" hidden="false" name="Points_Decimals" vbProcedure="false">Inputs!$F$42</definedName>
    <definedName function="false" hidden="false" name="RtB_Profit_1_Stored" vbProcedure="false">Dashboard!$H$97:$M$97</definedName>
    <definedName function="false" hidden="false" name="RtB_Profit_2_Stored" vbProcedure="false">Dashboard!$H$98:$M$98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Dashboard!$H$95:$M$106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<sst xmlns="http://schemas.openxmlformats.org/spreadsheetml/2006/main" count="1409" uniqueCount="596">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</sst>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0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-0.0650761204818859</v>
      </c>
      <c r="N15" s="16" t="n">
        <v>-0.0650761204818859</v>
      </c>
      <c r="O15" s="16" t="n">
        <v>-0.012392661209204</v>
      </c>
      <c r="P15" s="16" t="n">
        <v>-0.012392661209204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Calc_1!$E153</f>
        <v>0.221510760619134</v>
      </c>
      <c r="F27" s="26" t="n">
        <f aca="false">Calc_2!$E153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Calc_1!$E170</f>
        <v>0.378454368531697</v>
      </c>
      <c r="F28" s="26" t="n">
        <f aca="false">Calc_2!$E170</f>
        <v>0.378454368531697</v>
      </c>
      <c r="H28" s="29" t="n">
        <v>0.495635416758283</v>
      </c>
      <c r="I28" s="29" t="n">
        <v>-0.117181048226587</v>
      </c>
      <c r="J28" s="29" t="n">
        <v>-0.117181048226587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Calc_1!$E172/Thousand</f>
        <v>30.7548631039482</v>
      </c>
      <c r="F29" s="28" t="n">
        <f aca="false">Calc_2!$E172/Thousand</f>
        <v>30.7548631039482</v>
      </c>
      <c r="H29" s="15" t="n">
        <v>44.6105521842832</v>
      </c>
      <c r="I29" s="15" t="n">
        <v>-13.855689080335</v>
      </c>
      <c r="J29" s="15" t="n">
        <v>-13.855689080335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Calc_1!$E185</f>
        <v>0.0949073005175575</v>
      </c>
      <c r="F30" s="26" t="n">
        <f aca="false">Calc_2!$E185</f>
        <v>0.0949073005175575</v>
      </c>
      <c r="H30" s="29" t="n">
        <v>0.118654233690466</v>
      </c>
      <c r="I30" s="29" t="n">
        <v>-0.0237469331729081</v>
      </c>
      <c r="J30" s="29" t="n">
        <v>-0.0237469331729081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Calc_1!$E187/Thousand</f>
        <v>13.3631648488628</v>
      </c>
      <c r="F31" s="28" t="n">
        <f aca="false">Calc_2!$E187/Thousand</f>
        <v>13.3631648488628</v>
      </c>
      <c r="H31" s="15" t="n">
        <v>31.4248287787171</v>
      </c>
      <c r="I31" s="15" t="n">
        <v>-18.0616639298542</v>
      </c>
      <c r="J31" s="15" t="n">
        <v>-18.0616639298542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Calc_1!$E178/Thousand</f>
        <v>171.213786622901</v>
      </c>
      <c r="F32" s="31" t="n">
        <f aca="false">Calc_2!$E178/Thousand</f>
        <v>171.213786622901</v>
      </c>
      <c r="H32" s="15" t="n">
        <v>147.799682151735</v>
      </c>
      <c r="I32" s="15" t="n">
        <v>23.4141044711663</v>
      </c>
      <c r="J32" s="15" t="n">
        <v>23.4141044711663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Calc_1!$E174/Thousand</f>
        <v>8.23465753424658</v>
      </c>
      <c r="F35" s="28" t="n">
        <f aca="false">Calc_2!$E174/Thousand</f>
        <v>8.23465753424658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Calc_1!$E175/Thousand</f>
        <v>3.51962451197093</v>
      </c>
      <c r="F36" s="28" t="n">
        <f aca="false">Calc_2!$E175/Thousand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Calc_1!$E176/Thousand</f>
        <v>150.912878676463</v>
      </c>
      <c r="F37" s="28" t="n">
        <f aca="false">Calc_2!$E176/Thousand</f>
        <v>150.912878676463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Calc_1!$E177/Thousand</f>
        <v>8.54662590022075</v>
      </c>
      <c r="F38" s="28" t="n">
        <f aca="false">Calc_2!$E177/Thousand</f>
        <v>8.54662590022075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Calc_1!$E179/Thousand</f>
        <v>1.41821917808219</v>
      </c>
      <c r="F39" s="28" t="n">
        <f aca="false">Calc_2!$E179/Thousand</f>
        <v>1.41821917808219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Calc_1!$F179/Thousand</f>
        <v>6.99356164383562</v>
      </c>
      <c r="F40" s="28" t="n">
        <f aca="false">Calc_2!$F179/Thousand</f>
        <v>6.99356164383562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151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51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1.39871232876712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6.99356164383562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33.7748344370861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10" t="s">
        <v>117</v>
      </c>
      <c r="I59" s="10" t="s">
        <v>118</v>
      </c>
      <c r="J59" s="10" t="s">
        <v>119</v>
      </c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120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0" t="s">
        <v>121</v>
      </c>
      <c r="D61" s="11" t="s">
        <v>73</v>
      </c>
      <c r="E61" s="28" t="n">
        <f aca="false">Calc_1!$E144/Thousand</f>
        <v>21.8427086410959</v>
      </c>
      <c r="F61" s="28" t="n">
        <f aca="false">Calc_2!$E144/Thousand</f>
        <v>21.8427086410959</v>
      </c>
      <c r="H61" s="28" t="n">
        <f aca="false">E61+F61</f>
        <v>43.6854172821918</v>
      </c>
    </row>
    <row r="62" customFormat="false" ht="15" hidden="false" customHeight="false" outlineLevel="0" collapsed="false">
      <c r="C62" s="30" t="s">
        <v>122</v>
      </c>
      <c r="D62" s="11" t="s">
        <v>73</v>
      </c>
      <c r="E62" s="31" t="n">
        <f aca="false">Calc_1!$E130/Thousand</f>
        <v>15</v>
      </c>
      <c r="F62" s="31" t="n">
        <f aca="false">Calc_2!$E130/Thousand</f>
        <v>15</v>
      </c>
      <c r="H62" s="31" t="n">
        <f aca="false">E62+F62</f>
        <v>30</v>
      </c>
    </row>
    <row r="63" customFormat="false" ht="15" hidden="false" customHeight="false" outlineLevel="0" collapsed="false">
      <c r="C63" s="0" t="s">
        <v>123</v>
      </c>
      <c r="D63" s="11" t="s">
        <v>73</v>
      </c>
      <c r="E63" s="28" t="n">
        <f aca="false">(-Calc_1!$F133)/Thousand</f>
        <v>-0.5</v>
      </c>
      <c r="F63" s="28" t="n">
        <f aca="false">(-Calc_2!$F133)/Thousand</f>
        <v>-0.5</v>
      </c>
      <c r="H63" s="28" t="n">
        <f aca="false">E63+F63</f>
        <v>-1</v>
      </c>
    </row>
    <row r="64" customFormat="false" ht="15" hidden="false" customHeight="false" outlineLevel="0" collapsed="false">
      <c r="C64" s="0" t="s">
        <v>124</v>
      </c>
      <c r="D64" s="11" t="s">
        <v>73</v>
      </c>
      <c r="E64" s="28" t="n">
        <f aca="false">(-Calc_1!$F135)/Thousand</f>
        <v>-1.56453664418093</v>
      </c>
      <c r="F64" s="28" t="n">
        <f aca="false">(-Calc_2!$F135)/Thousand</f>
        <v>-1.56453664418093</v>
      </c>
      <c r="H64" s="28" t="n">
        <f aca="false">E64+F64</f>
        <v>-3.12907328836186</v>
      </c>
    </row>
    <row r="65" customFormat="false" ht="15" hidden="false" customHeight="false" outlineLevel="0" collapsed="false">
      <c r="C65" s="0" t="s">
        <v>125</v>
      </c>
      <c r="D65" s="11" t="s">
        <v>73</v>
      </c>
      <c r="E65" s="28" t="n">
        <f aca="false">(-Calc_1!$F137)/Thousand</f>
        <v>-3.11962451197093</v>
      </c>
      <c r="F65" s="28" t="n">
        <f aca="false">(-Calc_2!$F137)/Thousand</f>
        <v>-3.11962451197093</v>
      </c>
      <c r="H65" s="28" t="n">
        <f aca="false">E65+F65</f>
        <v>-6.23924902394185</v>
      </c>
    </row>
    <row r="66" customFormat="false" ht="15" hidden="false" customHeight="false" outlineLevel="0" collapsed="false">
      <c r="C66" s="0" t="s">
        <v>126</v>
      </c>
      <c r="D66" s="11" t="s">
        <v>73</v>
      </c>
      <c r="E66" s="28" t="n">
        <f aca="false">(-Calc_1!$F138)/Thousand</f>
        <v>-1.12048016110676</v>
      </c>
      <c r="F66" s="28" t="n">
        <f aca="false">(-Calc_2!$F138)/Thousand</f>
        <v>-1.12048016110676</v>
      </c>
      <c r="H66" s="28" t="n">
        <f aca="false">E66+F66</f>
        <v>-2.24096032221352</v>
      </c>
    </row>
    <row r="67" customFormat="false" ht="15" hidden="false" customHeight="false" outlineLevel="0" collapsed="false">
      <c r="C67" s="0" t="s">
        <v>127</v>
      </c>
      <c r="D67" s="11" t="s">
        <v>73</v>
      </c>
      <c r="E67" s="28" t="n">
        <f aca="false">(-Calc_1!$E146)/Thousand</f>
        <v>-5.80464131725861</v>
      </c>
      <c r="F67" s="28" t="n">
        <f aca="false">(-Calc_2!$E146)/Thousand</f>
        <v>-5.80464131725861</v>
      </c>
      <c r="H67" s="28" t="n">
        <f aca="false">E67+F67</f>
        <v>-11.6092826345172</v>
      </c>
    </row>
    <row r="68" customFormat="false" ht="15" hidden="false" customHeight="false" outlineLevel="0" collapsed="false">
      <c r="C68" s="0" t="s">
        <v>128</v>
      </c>
      <c r="D68" s="11" t="s">
        <v>73</v>
      </c>
      <c r="E68" s="28" t="n">
        <f aca="false">(-Calc_1!$F139)/Thousand</f>
        <v>-1.20065972222222</v>
      </c>
      <c r="F68" s="28" t="n">
        <f aca="false">(-Calc_2!$F139)/Thousand</f>
        <v>-1.20065972222222</v>
      </c>
      <c r="H68" s="28" t="n">
        <f aca="false">E68+F68</f>
        <v>-2.40131944444444</v>
      </c>
    </row>
    <row r="69" customFormat="false" ht="15" hidden="false" customHeight="false" outlineLevel="0" collapsed="false">
      <c r="C69" s="30" t="s">
        <v>129</v>
      </c>
      <c r="D69" s="11" t="s">
        <v>73</v>
      </c>
      <c r="E69" s="31" t="n">
        <f aca="false">Calc_1!$F140/Thousand</f>
        <v>7.49469896051916</v>
      </c>
      <c r="F69" s="31" t="n">
        <f aca="false">Calc_2!$F140/Thousand</f>
        <v>7.49469896051916</v>
      </c>
      <c r="H69" s="31" t="n">
        <f aca="false">E69+F69</f>
        <v>14.9893979210383</v>
      </c>
    </row>
    <row r="70" customFormat="false" ht="15" hidden="false" customHeight="false" outlineLevel="0" collapsed="false">
      <c r="C70" s="0" t="s">
        <v>130</v>
      </c>
      <c r="D70" s="11" t="s">
        <v>73</v>
      </c>
      <c r="E70" s="28" t="n">
        <f aca="false">Calc_1!$F144/Thousand</f>
        <v>5.24628927236341</v>
      </c>
      <c r="F70" s="28" t="n">
        <f aca="false">Calc_2!$F144/Thousand</f>
        <v>5.24628927236341</v>
      </c>
      <c r="H70" s="28" t="n">
        <f aca="false">E70+F70</f>
        <v>10.4925785447268</v>
      </c>
    </row>
    <row r="71" customFormat="false" ht="15" hidden="false" customHeight="false" outlineLevel="0" collapsed="false">
      <c r="C71" s="0" t="s">
        <v>131</v>
      </c>
      <c r="D71" s="11" t="s">
        <v>73</v>
      </c>
      <c r="E71" s="28" t="n">
        <f aca="false">Calc_1!$E145/Thousand</f>
        <v>-2.69739916950517</v>
      </c>
      <c r="F71" s="28" t="n">
        <f aca="false">Calc_2!$E145/Thousand</f>
        <v>-2.69739916950517</v>
      </c>
      <c r="H71" s="28" t="n">
        <f aca="false">E71+F71</f>
        <v>-5.39479833901034</v>
      </c>
    </row>
    <row r="72" customFormat="false" ht="15" hidden="false" customHeight="false" outlineLevel="0" collapsed="false">
      <c r="C72" s="30" t="s">
        <v>132</v>
      </c>
      <c r="D72" s="11" t="s">
        <v>73</v>
      </c>
      <c r="E72" s="31" t="n">
        <f aca="false">Calc_1!$F146/Thousand</f>
        <v>8.35353142011685</v>
      </c>
      <c r="F72" s="31" t="n">
        <f aca="false">Calc_2!$F146/Thousand</f>
        <v>8.35353142011685</v>
      </c>
      <c r="H72" s="31" t="n">
        <f aca="false">E72+F72</f>
        <v>16.7070628402337</v>
      </c>
      <c r="I72" s="25" t="n">
        <f aca="false">Calc_1!$E148</f>
        <v>55.3214001332242</v>
      </c>
      <c r="J72" s="25" t="n">
        <f aca="false">Calc_2!$E148</f>
        <v>55.3214001332242</v>
      </c>
    </row>
    <row r="73" customFormat="false" ht="15" hidden="false" customHeight="false" outlineLevel="0" collapsed="false">
      <c r="C73" s="0" t="s">
        <v>133</v>
      </c>
      <c r="D73" s="11" t="s">
        <v>73</v>
      </c>
      <c r="E73" s="28" t="n">
        <f aca="false">Calc_1!$E147/Thousand</f>
        <v>2.24840968815575</v>
      </c>
      <c r="F73" s="28" t="n">
        <f aca="false">Calc_2!$E147/Thousand</f>
        <v>2.24840968815575</v>
      </c>
      <c r="H73" s="28" t="n">
        <f aca="false">E73+F73</f>
        <v>4.4968193763115</v>
      </c>
    </row>
    <row r="74" customFormat="false" ht="15" hidden="false" customHeight="false" outlineLevel="0" collapsed="false">
      <c r="C74" s="30" t="s">
        <v>134</v>
      </c>
      <c r="D74" s="11" t="s">
        <v>73</v>
      </c>
      <c r="E74" s="31" t="n">
        <f aca="false">Calc_1!$F142/Thousand</f>
        <v>3.44906941037797</v>
      </c>
      <c r="F74" s="31" t="n">
        <f aca="false">Calc_2!$F142/Thousand</f>
        <v>3.44906941037797</v>
      </c>
      <c r="H74" s="31" t="n">
        <f aca="false">E74+F74</f>
        <v>6.89813882075594</v>
      </c>
      <c r="I74" s="25" t="n">
        <f aca="false">Calc_1!$F148</f>
        <v>22.8415192740263</v>
      </c>
      <c r="J74" s="25" t="n">
        <f aca="false">Calc_2!$F148</f>
        <v>22.8415192740263</v>
      </c>
    </row>
    <row r="75" customFormat="false" ht="15" hidden="false" customHeight="false" outlineLevel="0" collapsed="false">
      <c r="C75" s="0" t="s">
        <v>135</v>
      </c>
      <c r="D75" s="11" t="s">
        <v>73</v>
      </c>
      <c r="E75" s="28" t="n">
        <f aca="false">Calc_1!$E152/Thousand</f>
        <v>-1.80677268158454</v>
      </c>
      <c r="F75" s="28" t="n">
        <f aca="false">Calc_2!$E152/Thousand</f>
        <v>-1.80677268158454</v>
      </c>
      <c r="H75" s="28" t="n">
        <f aca="false">E75+F75</f>
        <v>-3.61354536316909</v>
      </c>
    </row>
    <row r="76" customFormat="false" ht="15" hidden="false" customHeight="false" outlineLevel="0" collapsed="false">
      <c r="C76" s="30" t="s">
        <v>72</v>
      </c>
      <c r="D76" s="11" t="s">
        <v>73</v>
      </c>
      <c r="E76" s="31" t="n">
        <f aca="false">Calc_1!$I151/Thousand</f>
        <v>6.54675873853232</v>
      </c>
      <c r="F76" s="31" t="n">
        <f aca="false">Calc_2!$I151/Thousand</f>
        <v>6.54675873853232</v>
      </c>
      <c r="H76" s="31" t="n">
        <f aca="false">E76+F76</f>
        <v>13.0935174770646</v>
      </c>
    </row>
    <row r="77" customFormat="false" ht="15" hidden="false" customHeight="false" outlineLevel="0" collapsed="false">
      <c r="C77" s="0" t="s">
        <v>136</v>
      </c>
      <c r="D77" s="11" t="s">
        <v>13</v>
      </c>
      <c r="E77" s="35" t="n">
        <f aca="false">Calc_1!$E154</f>
        <v>1.24970223352323</v>
      </c>
      <c r="F77" s="35" t="n">
        <f aca="false">Calc_2!$E154</f>
        <v>1.24970223352323</v>
      </c>
    </row>
    <row r="78" customFormat="false" ht="15" hidden="false" customHeight="false" outlineLevel="0" collapsed="false">
      <c r="C78" s="0" t="s">
        <v>137</v>
      </c>
      <c r="D78" s="11" t="s">
        <v>73</v>
      </c>
      <c r="E78" s="28" t="n">
        <f aca="false">Calc_1!$E155/Thousand</f>
        <v>3.32854248477583</v>
      </c>
      <c r="F78" s="28" t="n">
        <f aca="false">Calc_2!$E155/Thousand</f>
        <v>3.32854248477583</v>
      </c>
    </row>
    <row r="80" customFormat="false" ht="15" hidden="false" customHeight="false" outlineLevel="0" collapsed="false">
      <c r="A80" s="9" t="s">
        <v>13</v>
      </c>
      <c r="B80" s="9"/>
      <c r="C80" s="9" t="s">
        <v>138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customFormat="false" ht="15" hidden="false" customHeight="false" outlineLevel="0" collapsed="false">
      <c r="C81" s="30" t="s">
        <v>139</v>
      </c>
      <c r="D81" s="11" t="s">
        <v>73</v>
      </c>
      <c r="E81" s="31" t="n">
        <f aca="false">Calc_1!$E180/Thousand</f>
        <v>164.220224979066</v>
      </c>
      <c r="F81" s="31" t="n">
        <f aca="false">Calc_2!$E180/Thousand</f>
        <v>164.220224979066</v>
      </c>
    </row>
    <row r="82" customFormat="false" ht="15" hidden="false" customHeight="false" outlineLevel="0" collapsed="false">
      <c r="C82" s="0" t="s">
        <v>140</v>
      </c>
      <c r="D82" s="11" t="s">
        <v>27</v>
      </c>
      <c r="E82" s="22" t="n">
        <f aca="false">Calc_1!$E181</f>
        <v>1642.20224979066</v>
      </c>
      <c r="F82" s="22" t="n">
        <f aca="false">Calc_2!$E181</f>
        <v>1642.20224979066</v>
      </c>
    </row>
    <row r="83" customFormat="false" ht="15" hidden="false" customHeight="false" outlineLevel="0" collapsed="false">
      <c r="C83" s="0" t="s">
        <v>141</v>
      </c>
      <c r="D83" s="11" t="s">
        <v>73</v>
      </c>
      <c r="E83" s="28" t="n">
        <f aca="false">Calc_1!$E160/Thousand</f>
        <v>245</v>
      </c>
      <c r="F83" s="28" t="n">
        <f aca="false">Calc_2!$E160/Thousand</f>
        <v>245</v>
      </c>
    </row>
    <row r="84" customFormat="false" ht="15" hidden="false" customHeight="false" outlineLevel="0" collapsed="false">
      <c r="C84" s="0" t="s">
        <v>142</v>
      </c>
      <c r="D84" s="11" t="s">
        <v>73</v>
      </c>
      <c r="E84" s="28" t="n">
        <f aca="false">Calc_1!$F160/Thousand</f>
        <v>-3.83908122210466</v>
      </c>
      <c r="F84" s="28" t="n">
        <f aca="false">Calc_2!$F160/Thousand</f>
        <v>-3.83908122210466</v>
      </c>
    </row>
    <row r="85" customFormat="false" ht="15" hidden="false" customHeight="false" outlineLevel="0" collapsed="false">
      <c r="C85" s="0" t="s">
        <v>143</v>
      </c>
      <c r="D85" s="11" t="s">
        <v>73</v>
      </c>
      <c r="E85" s="28" t="n">
        <f aca="false">Calc_1!$E162/Thousand</f>
        <v>94.2205039225694</v>
      </c>
      <c r="F85" s="28" t="n">
        <f aca="false">Calc_2!$E162/Thousand</f>
        <v>94.2205039225694</v>
      </c>
    </row>
    <row r="86" customFormat="false" ht="15" hidden="false" customHeight="false" outlineLevel="0" collapsed="false">
      <c r="C86" s="0" t="s">
        <v>144</v>
      </c>
      <c r="D86" s="11" t="s">
        <v>73</v>
      </c>
      <c r="E86" s="28" t="n">
        <f aca="false">Calc_1!$F168/Thousand</f>
        <v>124.442364391184</v>
      </c>
      <c r="F86" s="28" t="n">
        <f aca="false">Calc_2!$F168/Thousand</f>
        <v>124.442364391184</v>
      </c>
    </row>
    <row r="87" customFormat="false" ht="15" hidden="false" customHeight="false" outlineLevel="0" collapsed="false">
      <c r="C87" s="0" t="s">
        <v>145</v>
      </c>
      <c r="D87" s="11" t="s">
        <v>73</v>
      </c>
      <c r="E87" s="28" t="n">
        <f aca="false">Calc_1!$I169/Thousand</f>
        <v>54.4426433346878</v>
      </c>
      <c r="F87" s="28" t="n">
        <f aca="false">Calc_2!$I169/Thousand</f>
        <v>54.4426433346878</v>
      </c>
    </row>
    <row r="88" customFormat="false" ht="15" hidden="false" customHeight="false" outlineLevel="0" collapsed="false">
      <c r="C88" s="0" t="s">
        <v>146</v>
      </c>
      <c r="D88" s="11" t="s">
        <v>13</v>
      </c>
      <c r="E88" s="35" t="n">
        <f aca="false">Calc_1!$E171</f>
        <v>1.77775514692048</v>
      </c>
      <c r="F88" s="35" t="n">
        <f aca="false">Calc_2!$E171</f>
        <v>1.77775514692048</v>
      </c>
    </row>
    <row r="90" customFormat="false" ht="15" hidden="false" customHeight="false" outlineLevel="0" collapsed="false">
      <c r="A90" s="9" t="s">
        <v>13</v>
      </c>
      <c r="B90" s="9"/>
      <c r="C90" s="9" t="s">
        <v>147</v>
      </c>
      <c r="D90" s="9"/>
      <c r="E90" s="10" t="s">
        <v>9</v>
      </c>
      <c r="F90" s="10" t="s">
        <v>10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customFormat="false" ht="15" hidden="false" customHeight="false" outlineLevel="0" collapsed="false">
      <c r="C91" s="0" t="s">
        <v>148</v>
      </c>
      <c r="D91" s="11" t="s">
        <v>13</v>
      </c>
      <c r="E91" s="35" t="n">
        <f aca="false">Calc_1!$E186</f>
        <v>4.89335391904422</v>
      </c>
      <c r="F91" s="35" t="n">
        <f aca="false">Calc_2!$E186</f>
        <v>4.89335391904422</v>
      </c>
    </row>
    <row r="92" customFormat="false" ht="15" hidden="false" customHeight="false" outlineLevel="0" collapsed="false">
      <c r="C92" s="0" t="s">
        <v>149</v>
      </c>
      <c r="D92" s="11" t="s">
        <v>13</v>
      </c>
      <c r="E92" s="35" t="n">
        <f aca="false">Calc_1!$E188</f>
        <v>1.32847346238474</v>
      </c>
      <c r="F92" s="35" t="n">
        <f aca="false">Calc_2!$E188</f>
        <v>1.32847346238474</v>
      </c>
    </row>
    <row r="94" customFormat="false" ht="15" hidden="false" customHeight="false" outlineLevel="0" collapsed="false">
      <c r="A94" s="9" t="s">
        <v>13</v>
      </c>
      <c r="B94" s="9"/>
      <c r="C94" s="9" t="s">
        <v>150</v>
      </c>
      <c r="D94" s="9"/>
      <c r="E94" s="10" t="s">
        <v>12</v>
      </c>
      <c r="F94" s="10"/>
      <c r="G94" s="9"/>
      <c r="H94" s="10" t="str">
        <f aca="false">Inputs!H$7</f>
        <v>Base</v>
      </c>
      <c r="I94" s="10" t="str">
        <f aca="false">Inputs!I$7</f>
        <v>Overbuild built</v>
      </c>
      <c r="J94" s="10" t="str">
        <f aca="false">Inputs!J$7</f>
        <v>Full PB call</v>
      </c>
      <c r="K94" s="10" t="str">
        <f aca="false">Inputs!K$7</f>
        <v>Freeze off</v>
      </c>
      <c r="L94" s="10" t="str">
        <f aca="false">Inputs!L$7</f>
        <v>Low premium</v>
      </c>
      <c r="M94" s="10" t="str">
        <f aca="false">Inputs!M$7</f>
        <v>ÖSZ-4 on wind</v>
      </c>
      <c r="N94" s="9"/>
      <c r="O94" s="9"/>
      <c r="P94" s="9"/>
      <c r="Q94" s="9"/>
      <c r="R94" s="9"/>
    </row>
    <row r="95" customFormat="false" ht="15" hidden="false" customHeight="false" outlineLevel="0" collapsed="false">
      <c r="C95" s="0" t="s">
        <v>151</v>
      </c>
      <c r="D95" s="11" t="s">
        <v>70</v>
      </c>
      <c r="E95" s="14" t="n">
        <f aca="false">Calc_1!$E41</f>
        <v>85</v>
      </c>
      <c r="H95" s="15" t="n">
        <v>85</v>
      </c>
      <c r="I95" s="15" t="n">
        <v>85</v>
      </c>
      <c r="J95" s="15" t="n">
        <v>85</v>
      </c>
      <c r="K95" s="15" t="n">
        <v>85</v>
      </c>
      <c r="L95" s="15" t="n">
        <v>85</v>
      </c>
      <c r="M95" s="15" t="n">
        <v>80.5</v>
      </c>
    </row>
    <row r="96" customFormat="false" ht="15" hidden="false" customHeight="false" outlineLevel="0" collapsed="false">
      <c r="C96" s="0" t="s">
        <v>152</v>
      </c>
      <c r="D96" s="11" t="s">
        <v>70</v>
      </c>
      <c r="E96" s="14" t="n">
        <f aca="false">Calc_2!$E41</f>
        <v>85</v>
      </c>
      <c r="H96" s="15" t="n">
        <v>85</v>
      </c>
      <c r="I96" s="15" t="n">
        <v>85</v>
      </c>
      <c r="J96" s="15" t="n">
        <v>85</v>
      </c>
      <c r="K96" s="15" t="n">
        <v>85</v>
      </c>
      <c r="L96" s="15" t="n">
        <v>85</v>
      </c>
      <c r="M96" s="15" t="n">
        <v>80.5</v>
      </c>
    </row>
    <row r="97" customFormat="false" ht="15" hidden="false" customHeight="false" outlineLevel="0" collapsed="false">
      <c r="C97" s="0" t="s">
        <v>153</v>
      </c>
      <c r="D97" s="11" t="s">
        <v>73</v>
      </c>
      <c r="E97" s="28" t="n">
        <f aca="false">Calc_1!$I151/Thousand</f>
        <v>6.54675873853232</v>
      </c>
      <c r="H97" s="15" t="n">
        <v>6.54675873853232</v>
      </c>
      <c r="I97" s="15" t="n">
        <v>6.54675873853232</v>
      </c>
      <c r="J97" s="15" t="n">
        <v>6.54675873853232</v>
      </c>
      <c r="K97" s="15" t="n">
        <v>6.87295703790594</v>
      </c>
      <c r="L97" s="15" t="n">
        <v>3.04675873853231</v>
      </c>
      <c r="M97" s="15" t="n">
        <v>6.54675873853232</v>
      </c>
    </row>
    <row r="98" customFormat="false" ht="15" hidden="false" customHeight="false" outlineLevel="0" collapsed="false">
      <c r="C98" s="0" t="s">
        <v>154</v>
      </c>
      <c r="D98" s="11" t="s">
        <v>73</v>
      </c>
      <c r="E98" s="28" t="n">
        <f aca="false">Calc_2!$I151/Thousand</f>
        <v>6.54675873853232</v>
      </c>
      <c r="H98" s="15" t="n">
        <v>6.54675873853232</v>
      </c>
      <c r="I98" s="15" t="n">
        <v>6.54675873853232</v>
      </c>
      <c r="J98" s="15" t="n">
        <v>6.54675873853232</v>
      </c>
      <c r="K98" s="15" t="n">
        <v>6.87295703790594</v>
      </c>
      <c r="L98" s="15" t="n">
        <v>3.04675873853231</v>
      </c>
      <c r="M98" s="15" t="n">
        <v>6.54675873853232</v>
      </c>
    </row>
    <row r="99" customFormat="false" ht="15" hidden="false" customHeight="false" outlineLevel="0" collapsed="false">
      <c r="C99" s="0" t="s">
        <v>155</v>
      </c>
      <c r="D99" s="11" t="s">
        <v>35</v>
      </c>
      <c r="E99" s="26" t="n">
        <f aca="false">Calc_1!$E170</f>
        <v>0.378454368531697</v>
      </c>
      <c r="H99" s="29" t="n">
        <v>0.378454368531697</v>
      </c>
      <c r="I99" s="29" t="n">
        <v>0.544455538624024</v>
      </c>
      <c r="J99" s="29" t="n">
        <v>0.357802790721696</v>
      </c>
      <c r="K99" s="29" t="n">
        <v>0.381489407372956</v>
      </c>
      <c r="L99" s="29" t="n">
        <v>0.378454368531697</v>
      </c>
      <c r="M99" s="29" t="n">
        <v>0.378454368531697</v>
      </c>
    </row>
    <row r="100" customFormat="false" ht="15" hidden="false" customHeight="false" outlineLevel="0" collapsed="false">
      <c r="C100" s="0" t="s">
        <v>156</v>
      </c>
      <c r="D100" s="11" t="s">
        <v>35</v>
      </c>
      <c r="E100" s="26" t="n">
        <f aca="false">Calc_2!$E170</f>
        <v>0.378454368531697</v>
      </c>
      <c r="H100" s="29" t="n">
        <v>0.378454368531697</v>
      </c>
      <c r="I100" s="29" t="n">
        <v>0.544455538624024</v>
      </c>
      <c r="J100" s="29" t="n">
        <v>0.357802790721696</v>
      </c>
      <c r="K100" s="29" t="n">
        <v>0.381489407372956</v>
      </c>
      <c r="L100" s="29" t="n">
        <v>0.378454368531697</v>
      </c>
      <c r="M100" s="29" t="n">
        <v>0.378454368531697</v>
      </c>
    </row>
    <row r="101" customFormat="false" ht="15" hidden="false" customHeight="false" outlineLevel="0" collapsed="false">
      <c r="C101" s="0" t="s">
        <v>157</v>
      </c>
      <c r="D101" s="11" t="s">
        <v>35</v>
      </c>
      <c r="E101" s="26" t="n">
        <f aca="false">Calc_1!$E185</f>
        <v>0.0949073005175575</v>
      </c>
      <c r="H101" s="29" t="n">
        <v>0.0949073005175575</v>
      </c>
      <c r="I101" s="29" t="n">
        <v>0.114882860757191</v>
      </c>
      <c r="J101" s="29" t="n">
        <v>0.090505033756487</v>
      </c>
      <c r="K101" s="29" t="n">
        <v>0.0953747499696539</v>
      </c>
      <c r="L101" s="29" t="n">
        <v>0.0964262696931258</v>
      </c>
      <c r="M101" s="29" t="n">
        <v>0.0949073005175575</v>
      </c>
    </row>
    <row r="102" customFormat="false" ht="15" hidden="false" customHeight="false" outlineLevel="0" collapsed="false">
      <c r="C102" s="0" t="s">
        <v>158</v>
      </c>
      <c r="D102" s="11" t="s">
        <v>35</v>
      </c>
      <c r="E102" s="26" t="n">
        <f aca="false">Calc_2!$E185</f>
        <v>0.0949073005175575</v>
      </c>
      <c r="H102" s="29" t="n">
        <v>0.0949073005175575</v>
      </c>
      <c r="I102" s="29" t="n">
        <v>0.114882860757191</v>
      </c>
      <c r="J102" s="29" t="n">
        <v>0.090505033756487</v>
      </c>
      <c r="K102" s="29" t="n">
        <v>0.0953747499696539</v>
      </c>
      <c r="L102" s="29" t="n">
        <v>0.0964262696931258</v>
      </c>
      <c r="M102" s="29" t="n">
        <v>0.0949073005175575</v>
      </c>
    </row>
    <row r="103" customFormat="false" ht="15" hidden="false" customHeight="false" outlineLevel="0" collapsed="false">
      <c r="C103" s="0" t="s">
        <v>159</v>
      </c>
      <c r="D103" s="11" t="s">
        <v>73</v>
      </c>
      <c r="E103" s="28" t="n">
        <f aca="false">Calc_1!$F140/Thousand</f>
        <v>7.49469896051916</v>
      </c>
      <c r="H103" s="15" t="n">
        <v>7.49469896051916</v>
      </c>
      <c r="I103" s="15" t="n">
        <v>7.49469896051916</v>
      </c>
      <c r="J103" s="15" t="n">
        <v>7.49469896051916</v>
      </c>
      <c r="K103" s="15" t="n">
        <v>5.94137372540667</v>
      </c>
      <c r="L103" s="15" t="n">
        <v>2.49469896051917</v>
      </c>
      <c r="M103" s="15" t="n">
        <v>7.49469896051916</v>
      </c>
    </row>
    <row r="104" customFormat="false" ht="15" hidden="false" customHeight="false" outlineLevel="0" collapsed="false">
      <c r="C104" s="0" t="s">
        <v>160</v>
      </c>
      <c r="D104" s="11" t="s">
        <v>73</v>
      </c>
      <c r="E104" s="28" t="n">
        <f aca="false">Calc_2!$F140/Thousand</f>
        <v>7.49469896051916</v>
      </c>
      <c r="H104" s="15" t="n">
        <v>7.49469896051916</v>
      </c>
      <c r="I104" s="15" t="n">
        <v>7.49469896051916</v>
      </c>
      <c r="J104" s="15" t="n">
        <v>7.49469896051916</v>
      </c>
      <c r="K104" s="15" t="n">
        <v>5.94137372540667</v>
      </c>
      <c r="L104" s="15" t="n">
        <v>2.49469896051917</v>
      </c>
      <c r="M104" s="15" t="n">
        <v>7.49469896051916</v>
      </c>
    </row>
    <row r="105" customFormat="false" ht="15" hidden="false" customHeight="false" outlineLevel="0" collapsed="false">
      <c r="C105" s="0" t="s">
        <v>161</v>
      </c>
      <c r="D105" s="11" t="s">
        <v>73</v>
      </c>
      <c r="E105" s="28" t="n">
        <f aca="false">Calc_1!$E180/Thousand</f>
        <v>164.220224979066</v>
      </c>
      <c r="H105" s="15" t="n">
        <v>164.220224979066</v>
      </c>
      <c r="I105" s="15" t="n">
        <v>217.899554834464</v>
      </c>
      <c r="J105" s="15" t="n">
        <v>164.220224979066</v>
      </c>
      <c r="K105" s="15" t="n">
        <v>164.220224979066</v>
      </c>
      <c r="L105" s="15" t="n">
        <v>164.220224979066</v>
      </c>
      <c r="M105" s="15" t="n">
        <v>164.220224979066</v>
      </c>
    </row>
    <row r="106" customFormat="false" ht="15" hidden="false" customHeight="false" outlineLevel="0" collapsed="false">
      <c r="C106" s="0" t="s">
        <v>162</v>
      </c>
      <c r="D106" s="11" t="s">
        <v>73</v>
      </c>
      <c r="E106" s="28" t="n">
        <f aca="false">Calc_2!$E180/Thousand</f>
        <v>164.220224979066</v>
      </c>
      <c r="H106" s="15" t="n">
        <v>164.220224979066</v>
      </c>
      <c r="I106" s="15" t="n">
        <v>217.899554834464</v>
      </c>
      <c r="J106" s="15" t="n">
        <v>164.220224979066</v>
      </c>
      <c r="K106" s="15" t="n">
        <v>164.220224979066</v>
      </c>
      <c r="L106" s="15" t="n">
        <v>164.220224979066</v>
      </c>
      <c r="M106" s="15" t="n">
        <v>164.220224979066</v>
      </c>
    </row>
    <row r="108" customFormat="false" ht="15" hidden="false" customHeight="false" outlineLevel="0" collapsed="false">
      <c r="C108" s="36" t="s">
        <v>163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164</v>
      </c>
      <c r="D4" s="0" t="s">
        <v>165</v>
      </c>
      <c r="F4" s="37" t="str">
        <f aca="false">Scenario_Name</f>
        <v>Base</v>
      </c>
    </row>
    <row r="5" customFormat="false" ht="15" hidden="false" customHeight="false" outlineLevel="0" collapsed="false">
      <c r="B5" s="0" t="s">
        <v>166</v>
      </c>
      <c r="F5" s="38" t="n">
        <f aca="false">MATCH(Scenario_Name,Scenario_Names,0)</f>
        <v>1</v>
      </c>
    </row>
    <row r="7" customFormat="false" ht="15" hidden="false" customHeight="false" outlineLevel="0" collapsed="false">
      <c r="B7" s="7" t="s">
        <v>167</v>
      </c>
      <c r="C7" s="7" t="s">
        <v>8</v>
      </c>
      <c r="D7" s="7" t="s">
        <v>168</v>
      </c>
      <c r="F7" s="8" t="s">
        <v>12</v>
      </c>
      <c r="H7" s="39" t="s">
        <v>30</v>
      </c>
      <c r="I7" s="39" t="s">
        <v>74</v>
      </c>
      <c r="J7" s="39" t="s">
        <v>169</v>
      </c>
      <c r="K7" s="39" t="s">
        <v>170</v>
      </c>
      <c r="L7" s="39" t="s">
        <v>171</v>
      </c>
      <c r="M7" s="39" t="s">
        <v>172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174</v>
      </c>
      <c r="C11" s="11" t="s">
        <v>175</v>
      </c>
      <c r="D11" s="13" t="s">
        <v>176</v>
      </c>
      <c r="F11" s="39" t="n">
        <v>1000</v>
      </c>
    </row>
    <row r="12" customFormat="false" ht="15" hidden="false" customHeight="false" outlineLevel="0" collapsed="false">
      <c r="B12" s="0" t="s">
        <v>177</v>
      </c>
      <c r="C12" s="11" t="s">
        <v>175</v>
      </c>
      <c r="D12" s="13" t="s">
        <v>176</v>
      </c>
      <c r="F12" s="39" t="n">
        <v>1000000</v>
      </c>
    </row>
    <row r="13" customFormat="false" ht="15" hidden="false" customHeight="false" outlineLevel="0" collapsed="false">
      <c r="B13" s="0" t="s">
        <v>178</v>
      </c>
      <c r="C13" s="11" t="s">
        <v>179</v>
      </c>
      <c r="D13" s="13" t="s">
        <v>180</v>
      </c>
      <c r="F13" s="39" t="n">
        <v>365</v>
      </c>
    </row>
    <row r="14" customFormat="false" ht="15" hidden="false" customHeight="false" outlineLevel="0" collapsed="false">
      <c r="B14" s="0" t="s">
        <v>181</v>
      </c>
      <c r="C14" s="11" t="s">
        <v>182</v>
      </c>
      <c r="F14" s="39" t="n">
        <v>12</v>
      </c>
    </row>
    <row r="15" customFormat="false" ht="15" hidden="false" customHeight="false" outlineLevel="0" collapsed="false">
      <c r="B15" s="0" t="s">
        <v>183</v>
      </c>
      <c r="C15" s="11" t="s">
        <v>182</v>
      </c>
      <c r="D15" s="13" t="s">
        <v>184</v>
      </c>
      <c r="F15" s="39" t="n">
        <v>3</v>
      </c>
    </row>
    <row r="16" customFormat="false" ht="15" hidden="false" customHeight="false" outlineLevel="0" collapsed="false">
      <c r="B16" s="0" t="s">
        <v>185</v>
      </c>
      <c r="C16" s="11" t="s">
        <v>175</v>
      </c>
      <c r="D16" s="13" t="s">
        <v>186</v>
      </c>
      <c r="F16" s="39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188</v>
      </c>
      <c r="C19" s="11" t="s">
        <v>62</v>
      </c>
      <c r="D19" s="13" t="s">
        <v>189</v>
      </c>
      <c r="F19" s="40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190</v>
      </c>
      <c r="C20" s="11" t="s">
        <v>62</v>
      </c>
      <c r="D20" s="13" t="s">
        <v>191</v>
      </c>
      <c r="F20" s="40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192</v>
      </c>
      <c r="C21" s="11" t="s">
        <v>62</v>
      </c>
      <c r="D21" s="13" t="s">
        <v>193</v>
      </c>
      <c r="F21" s="40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194</v>
      </c>
      <c r="C22" s="11" t="s">
        <v>62</v>
      </c>
      <c r="D22" s="13" t="s">
        <v>195</v>
      </c>
      <c r="F22" s="40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196</v>
      </c>
      <c r="C23" s="11" t="s">
        <v>62</v>
      </c>
      <c r="D23" s="13" t="s">
        <v>197</v>
      </c>
      <c r="F23" s="40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198</v>
      </c>
      <c r="C24" s="11" t="s">
        <v>62</v>
      </c>
      <c r="D24" s="13" t="s">
        <v>199</v>
      </c>
      <c r="F24" s="40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200</v>
      </c>
      <c r="C25" s="11" t="s">
        <v>201</v>
      </c>
      <c r="D25" s="13" t="s">
        <v>202</v>
      </c>
      <c r="F25" s="38" t="n">
        <f aca="false">IF(INDEX($H25:$O25,1,Scenario_Selected)="",$H25,INDEX($H25:$O25,1,Scenario_Selected))</f>
        <v>30</v>
      </c>
      <c r="H25" s="41" t="n">
        <v>30</v>
      </c>
      <c r="I25" s="41"/>
      <c r="J25" s="41"/>
      <c r="K25" s="41"/>
      <c r="L25" s="41"/>
      <c r="M25" s="41"/>
    </row>
    <row r="26" customFormat="false" ht="15" hidden="false" customHeight="false" outlineLevel="0" collapsed="false">
      <c r="B26" s="0" t="s">
        <v>203</v>
      </c>
      <c r="C26" s="11" t="s">
        <v>62</v>
      </c>
      <c r="D26" s="13" t="s">
        <v>204</v>
      </c>
      <c r="F26" s="40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205</v>
      </c>
      <c r="C27" s="11" t="s">
        <v>62</v>
      </c>
      <c r="D27" s="13" t="s">
        <v>206</v>
      </c>
      <c r="F27" s="40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207</v>
      </c>
      <c r="C28" s="11" t="s">
        <v>41</v>
      </c>
      <c r="D28" s="13" t="s">
        <v>208</v>
      </c>
      <c r="F28" s="42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209</v>
      </c>
      <c r="C29" s="11" t="s">
        <v>182</v>
      </c>
      <c r="D29" s="13" t="s">
        <v>210</v>
      </c>
      <c r="F29" s="38" t="n">
        <f aca="false">IF(INDEX($H29:$O29,1,Scenario_Selected)="",$H29,INDEX($H29:$O29,1,Scenario_Selected))</f>
        <v>6</v>
      </c>
      <c r="H29" s="41" t="n">
        <v>6</v>
      </c>
      <c r="I29" s="41"/>
      <c r="J29" s="41"/>
      <c r="K29" s="41"/>
      <c r="L29" s="41"/>
      <c r="M29" s="41"/>
    </row>
    <row r="31" customFormat="false" ht="15" hidden="false" customHeight="false" outlineLevel="0" collapsed="false">
      <c r="A31" s="9" t="s">
        <v>13</v>
      </c>
      <c r="B31" s="9"/>
      <c r="C31" s="9" t="s">
        <v>211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212</v>
      </c>
      <c r="C32" s="11" t="s">
        <v>68</v>
      </c>
      <c r="D32" s="13" t="s">
        <v>213</v>
      </c>
      <c r="F32" s="4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214</v>
      </c>
      <c r="C33" s="11" t="s">
        <v>35</v>
      </c>
      <c r="D33" s="13" t="s">
        <v>215</v>
      </c>
      <c r="F33" s="44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216</v>
      </c>
      <c r="C34" s="11" t="s">
        <v>217</v>
      </c>
      <c r="D34" s="13" t="s">
        <v>218</v>
      </c>
      <c r="F34" s="4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219</v>
      </c>
      <c r="C35" s="11" t="s">
        <v>217</v>
      </c>
      <c r="D35" s="13" t="s">
        <v>220</v>
      </c>
      <c r="F35" s="4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221</v>
      </c>
      <c r="C36" s="11" t="s">
        <v>217</v>
      </c>
      <c r="D36" s="13" t="s">
        <v>222</v>
      </c>
      <c r="F36" s="4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223</v>
      </c>
      <c r="C37" s="11" t="s">
        <v>35</v>
      </c>
      <c r="D37" s="13" t="s">
        <v>224</v>
      </c>
      <c r="F37" s="44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225</v>
      </c>
      <c r="C38" s="11" t="s">
        <v>27</v>
      </c>
      <c r="D38" s="13" t="s">
        <v>226</v>
      </c>
      <c r="F38" s="45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227</v>
      </c>
      <c r="C39" s="11" t="s">
        <v>27</v>
      </c>
      <c r="D39" s="13" t="s">
        <v>228</v>
      </c>
      <c r="F39" s="4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229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230</v>
      </c>
      <c r="C42" s="11" t="s">
        <v>175</v>
      </c>
      <c r="D42" s="13" t="s">
        <v>231</v>
      </c>
      <c r="F42" s="39" t="n">
        <v>2</v>
      </c>
    </row>
    <row r="43" customFormat="false" ht="15" hidden="false" customHeight="false" outlineLevel="0" collapsed="false">
      <c r="B43" s="0" t="s">
        <v>232</v>
      </c>
      <c r="C43" s="11" t="s">
        <v>114</v>
      </c>
      <c r="D43" s="13" t="s">
        <v>233</v>
      </c>
      <c r="F43" s="4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234</v>
      </c>
      <c r="C44" s="11" t="s">
        <v>114</v>
      </c>
      <c r="D44" s="13" t="s">
        <v>235</v>
      </c>
      <c r="F44" s="4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236</v>
      </c>
      <c r="C45" s="11" t="s">
        <v>35</v>
      </c>
      <c r="D45" s="13" t="s">
        <v>237</v>
      </c>
      <c r="F45" s="44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238</v>
      </c>
      <c r="C46" s="11" t="s">
        <v>43</v>
      </c>
      <c r="D46" s="13" t="s">
        <v>239</v>
      </c>
      <c r="F46" s="45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240</v>
      </c>
      <c r="C47" s="11" t="s">
        <v>41</v>
      </c>
      <c r="D47" s="13" t="s">
        <v>241</v>
      </c>
      <c r="F47" s="42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243</v>
      </c>
      <c r="C50" s="11" t="s">
        <v>244</v>
      </c>
      <c r="D50" s="13" t="s">
        <v>245</v>
      </c>
      <c r="F50" s="4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246</v>
      </c>
      <c r="C51" s="11" t="s">
        <v>247</v>
      </c>
      <c r="D51" s="13" t="s">
        <v>245</v>
      </c>
      <c r="F51" s="4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248</v>
      </c>
      <c r="C52" s="11" t="s">
        <v>62</v>
      </c>
      <c r="D52" s="13" t="s">
        <v>249</v>
      </c>
      <c r="F52" s="40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250</v>
      </c>
      <c r="C53" s="11" t="s">
        <v>251</v>
      </c>
      <c r="D53" s="13" t="s">
        <v>252</v>
      </c>
      <c r="F53" s="45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253</v>
      </c>
      <c r="C54" s="11" t="s">
        <v>35</v>
      </c>
      <c r="D54" s="13" t="s">
        <v>254</v>
      </c>
      <c r="F54" s="46" t="n">
        <f aca="false">IF(INDEX($H54:$O54,1,Scenario_Selected)="",$H54,INDEX($H54:$O54,1,Scenario_Selected))</f>
        <v>0.005</v>
      </c>
      <c r="H54" s="47" t="n">
        <v>0.005</v>
      </c>
      <c r="I54" s="47"/>
      <c r="J54" s="47"/>
      <c r="K54" s="47"/>
      <c r="L54" s="47"/>
      <c r="M54" s="47"/>
    </row>
    <row r="55" customFormat="false" ht="15" hidden="false" customHeight="false" outlineLevel="0" collapsed="false">
      <c r="B55" s="0" t="s">
        <v>255</v>
      </c>
      <c r="C55" s="11" t="s">
        <v>62</v>
      </c>
      <c r="D55" s="13" t="s">
        <v>256</v>
      </c>
      <c r="F55" s="40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257</v>
      </c>
      <c r="C56" s="11" t="s">
        <v>179</v>
      </c>
      <c r="D56" s="13" t="s">
        <v>258</v>
      </c>
      <c r="F56" s="38" t="n">
        <f aca="false">IF(INDEX($H56:$O56,1,Scenario_Selected)="",$H56,INDEX($H56:$O56,1,Scenario_Selected))</f>
        <v>15</v>
      </c>
      <c r="H56" s="41" t="n">
        <v>15</v>
      </c>
      <c r="I56" s="41"/>
      <c r="J56" s="41"/>
      <c r="K56" s="41"/>
      <c r="L56" s="41"/>
      <c r="M56" s="41"/>
    </row>
    <row r="57" customFormat="false" ht="15" hidden="false" customHeight="false" outlineLevel="0" collapsed="false">
      <c r="B57" s="0" t="s">
        <v>259</v>
      </c>
      <c r="C57" s="11" t="s">
        <v>35</v>
      </c>
      <c r="D57" s="13" t="s">
        <v>260</v>
      </c>
      <c r="F57" s="46" t="n">
        <f aca="false">IF(INDEX($H57:$O57,1,Scenario_Selected)="",$H57,INDEX($H57:$O57,1,Scenario_Selected))</f>
        <v>0.025</v>
      </c>
      <c r="H57" s="47" t="n">
        <v>0.025</v>
      </c>
      <c r="I57" s="47"/>
      <c r="J57" s="47"/>
      <c r="K57" s="47"/>
      <c r="L57" s="47"/>
      <c r="M57" s="47"/>
    </row>
    <row r="58" customFormat="false" ht="15" hidden="false" customHeight="false" outlineLevel="0" collapsed="false">
      <c r="B58" s="0" t="s">
        <v>261</v>
      </c>
      <c r="C58" s="11" t="s">
        <v>62</v>
      </c>
      <c r="D58" s="13" t="s">
        <v>262</v>
      </c>
      <c r="F58" s="40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263</v>
      </c>
      <c r="C59" s="11" t="s">
        <v>264</v>
      </c>
      <c r="D59" s="13" t="s">
        <v>265</v>
      </c>
      <c r="F59" s="45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266</v>
      </c>
      <c r="C60" s="11" t="s">
        <v>62</v>
      </c>
      <c r="D60" s="13" t="s">
        <v>267</v>
      </c>
      <c r="F60" s="40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268</v>
      </c>
      <c r="C61" s="11" t="s">
        <v>251</v>
      </c>
      <c r="D61" s="13" t="s">
        <v>269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270</v>
      </c>
      <c r="C62" s="11" t="s">
        <v>264</v>
      </c>
      <c r="D62" s="13" t="s">
        <v>271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272</v>
      </c>
      <c r="C63" s="11" t="s">
        <v>62</v>
      </c>
      <c r="D63" s="13" t="s">
        <v>273</v>
      </c>
      <c r="F63" s="40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274</v>
      </c>
      <c r="C64" s="11" t="s">
        <v>35</v>
      </c>
      <c r="D64" s="13" t="s">
        <v>275</v>
      </c>
      <c r="F64" s="44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276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277</v>
      </c>
      <c r="C67" s="11" t="s">
        <v>35</v>
      </c>
      <c r="D67" s="13" t="s">
        <v>278</v>
      </c>
      <c r="F67" s="44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279</v>
      </c>
      <c r="C68" s="11" t="s">
        <v>35</v>
      </c>
      <c r="D68" s="13" t="s">
        <v>280</v>
      </c>
      <c r="F68" s="44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281</v>
      </c>
      <c r="C69" s="11" t="s">
        <v>35</v>
      </c>
      <c r="D69" s="13" t="s">
        <v>282</v>
      </c>
      <c r="F69" s="44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283</v>
      </c>
      <c r="C70" s="11" t="s">
        <v>13</v>
      </c>
      <c r="D70" s="13" t="s">
        <v>284</v>
      </c>
      <c r="F70" s="48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285</v>
      </c>
      <c r="C71" s="11" t="s">
        <v>35</v>
      </c>
      <c r="D71" s="13" t="s">
        <v>286</v>
      </c>
      <c r="F71" s="44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287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288</v>
      </c>
      <c r="C74" s="11" t="s">
        <v>46</v>
      </c>
      <c r="D74" s="13" t="s">
        <v>289</v>
      </c>
      <c r="F74" s="4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290</v>
      </c>
      <c r="C75" s="11" t="s">
        <v>35</v>
      </c>
      <c r="D75" s="13" t="s">
        <v>291</v>
      </c>
      <c r="F75" s="44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292</v>
      </c>
      <c r="C76" s="11" t="s">
        <v>27</v>
      </c>
      <c r="D76" s="13" t="s">
        <v>293</v>
      </c>
      <c r="F76" s="4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294</v>
      </c>
      <c r="C77" s="11" t="s">
        <v>27</v>
      </c>
      <c r="D77" s="13" t="s">
        <v>295</v>
      </c>
      <c r="F77" s="4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296</v>
      </c>
      <c r="C78" s="11" t="s">
        <v>32</v>
      </c>
      <c r="D78" s="13" t="s">
        <v>297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298</v>
      </c>
      <c r="C79" s="11" t="s">
        <v>35</v>
      </c>
      <c r="D79" s="13" t="s">
        <v>299</v>
      </c>
      <c r="F79" s="44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300</v>
      </c>
      <c r="C80" s="11" t="s">
        <v>35</v>
      </c>
      <c r="D80" s="13" t="s">
        <v>301</v>
      </c>
      <c r="F80" s="44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303</v>
      </c>
      <c r="C83" s="11" t="s">
        <v>41</v>
      </c>
      <c r="D83" s="13" t="s">
        <v>304</v>
      </c>
      <c r="F83" s="42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305</v>
      </c>
      <c r="C84" s="11" t="s">
        <v>41</v>
      </c>
      <c r="D84" s="13" t="s">
        <v>306</v>
      </c>
      <c r="F84" s="42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307</v>
      </c>
      <c r="C85" s="11" t="s">
        <v>41</v>
      </c>
      <c r="D85" s="13" t="s">
        <v>308</v>
      </c>
      <c r="F85" s="42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309</v>
      </c>
      <c r="C86" s="11" t="s">
        <v>35</v>
      </c>
      <c r="D86" s="13" t="s">
        <v>310</v>
      </c>
      <c r="F86" s="44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312</v>
      </c>
      <c r="F89" s="42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313</v>
      </c>
      <c r="C90" s="11" t="s">
        <v>27</v>
      </c>
      <c r="D90" s="13" t="s">
        <v>312</v>
      </c>
      <c r="F90" s="4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314</v>
      </c>
      <c r="C91" s="11" t="s">
        <v>27</v>
      </c>
      <c r="D91" s="13" t="s">
        <v>315</v>
      </c>
      <c r="F91" s="4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316</v>
      </c>
      <c r="C92" s="11" t="s">
        <v>27</v>
      </c>
      <c r="D92" s="13" t="s">
        <v>317</v>
      </c>
      <c r="F92" s="43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318</v>
      </c>
      <c r="C93" s="11" t="s">
        <v>217</v>
      </c>
      <c r="D93" s="13" t="s">
        <v>319</v>
      </c>
      <c r="F93" s="43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320</v>
      </c>
      <c r="C94" s="11" t="s">
        <v>217</v>
      </c>
      <c r="D94" s="13" t="s">
        <v>321</v>
      </c>
      <c r="F94" s="43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322</v>
      </c>
      <c r="C95" s="11" t="s">
        <v>35</v>
      </c>
      <c r="D95" s="13" t="s">
        <v>323</v>
      </c>
      <c r="F95" s="44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324</v>
      </c>
      <c r="C96" s="11" t="s">
        <v>27</v>
      </c>
      <c r="D96" s="13" t="s">
        <v>325</v>
      </c>
      <c r="F96" s="43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326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327</v>
      </c>
      <c r="C99" s="11" t="s">
        <v>328</v>
      </c>
      <c r="D99" s="13" t="s">
        <v>329</v>
      </c>
      <c r="F99" s="43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330</v>
      </c>
      <c r="C100" s="11" t="s">
        <v>35</v>
      </c>
      <c r="D100" s="13" t="s">
        <v>331</v>
      </c>
      <c r="F100" s="44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332</v>
      </c>
      <c r="C101" s="11" t="s">
        <v>35</v>
      </c>
      <c r="D101" s="13" t="s">
        <v>333</v>
      </c>
      <c r="F101" s="46" t="n">
        <f aca="false">IF(INDEX($H101:$O101,1,Scenario_Selected)="",$H101,INDEX($H101:$O101,1,Scenario_Selected))</f>
        <v>0.003</v>
      </c>
      <c r="H101" s="47" t="n">
        <v>0.003</v>
      </c>
      <c r="I101" s="47"/>
      <c r="J101" s="47"/>
      <c r="K101" s="47"/>
      <c r="L101" s="47"/>
      <c r="M101" s="47"/>
    </row>
    <row r="102" customFormat="false" ht="15" hidden="false" customHeight="false" outlineLevel="0" collapsed="false">
      <c r="B102" s="0" t="s">
        <v>334</v>
      </c>
      <c r="C102" s="11" t="s">
        <v>32</v>
      </c>
      <c r="D102" s="13" t="s">
        <v>312</v>
      </c>
      <c r="F102" s="45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335</v>
      </c>
      <c r="C103" s="11" t="s">
        <v>35</v>
      </c>
      <c r="D103" s="13" t="s">
        <v>336</v>
      </c>
      <c r="F103" s="44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337</v>
      </c>
      <c r="C104" s="11" t="s">
        <v>32</v>
      </c>
      <c r="D104" s="13" t="s">
        <v>338</v>
      </c>
      <c r="F104" s="45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339</v>
      </c>
      <c r="C105" s="11" t="s">
        <v>27</v>
      </c>
      <c r="D105" s="13" t="s">
        <v>340</v>
      </c>
      <c r="F105" s="43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341</v>
      </c>
      <c r="C106" s="11" t="s">
        <v>27</v>
      </c>
      <c r="D106" s="13" t="s">
        <v>342</v>
      </c>
      <c r="F106" s="43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343</v>
      </c>
      <c r="C107" s="11" t="s">
        <v>217</v>
      </c>
      <c r="D107" s="13" t="s">
        <v>344</v>
      </c>
      <c r="F107" s="43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345</v>
      </c>
      <c r="C108" s="11" t="s">
        <v>35</v>
      </c>
      <c r="D108" s="13" t="s">
        <v>346</v>
      </c>
      <c r="F108" s="44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347</v>
      </c>
      <c r="C109" s="11" t="s">
        <v>35</v>
      </c>
      <c r="D109" s="13" t="s">
        <v>348</v>
      </c>
      <c r="F109" s="44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349</v>
      </c>
      <c r="C110" s="11" t="s">
        <v>35</v>
      </c>
      <c r="D110" s="13" t="s">
        <v>350</v>
      </c>
      <c r="F110" s="46" t="n">
        <f aca="false">IF(INDEX($H110:$O110,1,Scenario_Selected)="",$H110,INDEX($H110:$O110,1,Scenario_Selected))</f>
        <v>0.001</v>
      </c>
      <c r="H110" s="47" t="n">
        <v>0.001</v>
      </c>
      <c r="I110" s="47"/>
      <c r="J110" s="47"/>
      <c r="K110" s="47"/>
      <c r="L110" s="47"/>
      <c r="M110" s="47"/>
    </row>
    <row r="111" customFormat="false" ht="15" hidden="false" customHeight="false" outlineLevel="0" collapsed="false">
      <c r="B111" s="0" t="s">
        <v>351</v>
      </c>
      <c r="C111" s="11" t="s">
        <v>35</v>
      </c>
      <c r="D111" s="13" t="s">
        <v>352</v>
      </c>
      <c r="F111" s="44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353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354</v>
      </c>
      <c r="C114" s="11" t="s">
        <v>35</v>
      </c>
      <c r="D114" s="13" t="s">
        <v>355</v>
      </c>
      <c r="F114" s="44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356</v>
      </c>
      <c r="C115" s="11" t="s">
        <v>35</v>
      </c>
      <c r="D115" s="13" t="s">
        <v>357</v>
      </c>
      <c r="F115" s="44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358</v>
      </c>
      <c r="C116" s="11" t="s">
        <v>35</v>
      </c>
      <c r="D116" s="13" t="s">
        <v>359</v>
      </c>
      <c r="F116" s="44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360</v>
      </c>
      <c r="C117" s="11" t="s">
        <v>35</v>
      </c>
      <c r="D117" s="13" t="s">
        <v>361</v>
      </c>
      <c r="F117" s="46" t="n">
        <f aca="false">IF(INDEX($H117:$O117,1,Scenario_Selected)="",$H117,INDEX($H117:$O117,1,Scenario_Selected))</f>
        <v>0.0175</v>
      </c>
      <c r="H117" s="47" t="n">
        <v>0.0175</v>
      </c>
      <c r="I117" s="47"/>
      <c r="J117" s="47"/>
      <c r="K117" s="47"/>
      <c r="L117" s="47"/>
      <c r="M117" s="47"/>
    </row>
    <row r="118" customFormat="false" ht="15" hidden="false" customHeight="false" outlineLevel="0" collapsed="false">
      <c r="B118" s="0" t="s">
        <v>362</v>
      </c>
      <c r="C118" s="11" t="s">
        <v>35</v>
      </c>
      <c r="D118" s="13" t="s">
        <v>363</v>
      </c>
      <c r="F118" s="46" t="n">
        <f aca="false">IF(INDEX($H118:$O118,1,Scenario_Selected)="",$H118,INDEX($H118:$O118,1,Scenario_Selected))</f>
        <v>0.009</v>
      </c>
      <c r="H118" s="47" t="n">
        <v>0.009</v>
      </c>
      <c r="I118" s="47"/>
      <c r="J118" s="47"/>
      <c r="K118" s="47"/>
      <c r="L118" s="47"/>
      <c r="M118" s="47"/>
    </row>
    <row r="119" customFormat="false" ht="15" hidden="false" customHeight="false" outlineLevel="0" collapsed="false">
      <c r="B119" s="0" t="s">
        <v>364</v>
      </c>
      <c r="C119" s="11" t="s">
        <v>201</v>
      </c>
      <c r="D119" s="13" t="s">
        <v>365</v>
      </c>
      <c r="F119" s="38" t="n">
        <f aca="false">IF(INDEX($H119:$O119,1,Scenario_Selected)="",$H119,INDEX($H119:$O119,1,Scenario_Selected))</f>
        <v>10</v>
      </c>
      <c r="H119" s="41" t="n">
        <v>10</v>
      </c>
      <c r="I119" s="41"/>
      <c r="J119" s="41"/>
      <c r="K119" s="41"/>
      <c r="L119" s="41"/>
      <c r="M119" s="41"/>
    </row>
    <row r="120" customFormat="false" ht="15" hidden="false" customHeight="false" outlineLevel="0" collapsed="false">
      <c r="B120" s="0" t="s">
        <v>366</v>
      </c>
      <c r="C120" s="11" t="s">
        <v>201</v>
      </c>
      <c r="D120" s="13" t="s">
        <v>367</v>
      </c>
      <c r="F120" s="38" t="n">
        <f aca="false">IF(INDEX($H120:$O120,1,Scenario_Selected)="",$H120,INDEX($H120:$O120,1,Scenario_Selected))</f>
        <v>20</v>
      </c>
      <c r="H120" s="41" t="n">
        <v>20</v>
      </c>
      <c r="I120" s="41"/>
      <c r="J120" s="41"/>
      <c r="K120" s="41"/>
      <c r="L120" s="41"/>
      <c r="M120" s="41"/>
    </row>
    <row r="122" customFormat="false" ht="15" hidden="false" customHeight="false" outlineLevel="0" collapsed="false">
      <c r="C122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368</v>
      </c>
      <c r="D5" s="9"/>
      <c r="E5" s="9" t="s">
        <v>369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370</v>
      </c>
      <c r="F6" s="8" t="s">
        <v>371</v>
      </c>
      <c r="J6" s="8" t="s">
        <v>372</v>
      </c>
    </row>
    <row r="7" customFormat="false" ht="15" hidden="false" customHeight="false" outlineLevel="0" collapsed="false">
      <c r="C7" s="0" t="s">
        <v>373</v>
      </c>
      <c r="D7" s="11" t="s">
        <v>27</v>
      </c>
      <c r="E7" s="39" t="n">
        <v>10</v>
      </c>
      <c r="F7" s="39" t="n">
        <v>50</v>
      </c>
      <c r="J7" s="39" t="n">
        <v>10</v>
      </c>
      <c r="K7" s="39" t="n">
        <v>15</v>
      </c>
      <c r="L7" s="39" t="n">
        <v>20</v>
      </c>
      <c r="M7" s="39" t="n">
        <v>25</v>
      </c>
      <c r="N7" s="39" t="n">
        <v>30</v>
      </c>
      <c r="O7" s="39" t="n">
        <v>35</v>
      </c>
      <c r="P7" s="39" t="n">
        <v>40</v>
      </c>
      <c r="Q7" s="39" t="n">
        <v>45</v>
      </c>
      <c r="R7" s="39" t="n">
        <v>50</v>
      </c>
    </row>
    <row r="8" customFormat="false" ht="15" hidden="false" customHeight="false" outlineLevel="0" collapsed="false">
      <c r="C8" s="0" t="s">
        <v>374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375</v>
      </c>
      <c r="D9" s="11" t="s">
        <v>70</v>
      </c>
      <c r="E9" s="19" t="n">
        <v>0.2</v>
      </c>
      <c r="J9" s="41" t="n">
        <v>0</v>
      </c>
      <c r="K9" s="41" t="n">
        <v>10</v>
      </c>
      <c r="L9" s="41" t="n">
        <v>20</v>
      </c>
      <c r="M9" s="41" t="n">
        <v>30</v>
      </c>
      <c r="N9" s="41" t="n">
        <v>40</v>
      </c>
      <c r="O9" s="41" t="n">
        <v>55</v>
      </c>
      <c r="P9" s="41" t="n">
        <v>70</v>
      </c>
      <c r="Q9" s="41" t="n">
        <v>80</v>
      </c>
      <c r="R9" s="41" t="n">
        <v>90</v>
      </c>
      <c r="S9" s="41" t="n">
        <v>100</v>
      </c>
    </row>
    <row r="10" customFormat="false" ht="15" hidden="false" customHeight="false" outlineLevel="0" collapsed="false">
      <c r="C10" s="0" t="s">
        <v>376</v>
      </c>
      <c r="D10" s="11" t="s">
        <v>32</v>
      </c>
      <c r="E10" s="39" t="n">
        <v>2</v>
      </c>
      <c r="F10" s="39" t="n">
        <v>3</v>
      </c>
      <c r="J10" s="39" t="n">
        <v>2</v>
      </c>
      <c r="K10" s="39" t="n">
        <v>2.1</v>
      </c>
      <c r="L10" s="39" t="n">
        <v>2.2</v>
      </c>
      <c r="M10" s="39" t="n">
        <v>2.3</v>
      </c>
      <c r="N10" s="39" t="n">
        <v>2.4</v>
      </c>
      <c r="O10" s="39" t="n">
        <v>2.5</v>
      </c>
      <c r="P10" s="39" t="n">
        <v>2.6</v>
      </c>
      <c r="Q10" s="39" t="n">
        <v>2.7</v>
      </c>
      <c r="R10" s="39" t="n">
        <v>2.8</v>
      </c>
      <c r="S10" s="39" t="n">
        <v>2.9</v>
      </c>
      <c r="T10" s="39" t="n">
        <v>3</v>
      </c>
    </row>
    <row r="11" customFormat="false" ht="15" hidden="false" customHeight="false" outlineLevel="0" collapsed="false">
      <c r="C11" s="0" t="s">
        <v>377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378</v>
      </c>
      <c r="D12" s="11" t="s">
        <v>70</v>
      </c>
      <c r="E12" s="19" t="n">
        <v>0.15</v>
      </c>
      <c r="J12" s="41" t="n">
        <v>0</v>
      </c>
      <c r="K12" s="41" t="n">
        <v>5</v>
      </c>
      <c r="L12" s="41" t="n">
        <v>10</v>
      </c>
      <c r="M12" s="41" t="n">
        <v>20</v>
      </c>
      <c r="N12" s="41" t="n">
        <v>30</v>
      </c>
      <c r="O12" s="41" t="n">
        <v>40</v>
      </c>
      <c r="P12" s="41" t="n">
        <v>50</v>
      </c>
      <c r="Q12" s="41" t="n">
        <v>60</v>
      </c>
      <c r="R12" s="41" t="n">
        <v>70</v>
      </c>
      <c r="S12" s="41" t="n">
        <v>80</v>
      </c>
      <c r="T12" s="41" t="n">
        <v>90</v>
      </c>
      <c r="U12" s="41" t="n">
        <v>100</v>
      </c>
    </row>
    <row r="13" customFormat="false" ht="15" hidden="false" customHeight="false" outlineLevel="0" collapsed="false">
      <c r="C13" s="0" t="s">
        <v>379</v>
      </c>
      <c r="D13" s="11" t="s">
        <v>35</v>
      </c>
      <c r="J13" s="39" t="n">
        <v>0.02</v>
      </c>
      <c r="K13" s="39" t="n">
        <v>0.05</v>
      </c>
      <c r="L13" s="39" t="n">
        <v>0.1</v>
      </c>
      <c r="M13" s="39" t="n">
        <v>0.15</v>
      </c>
      <c r="N13" s="39" t="n">
        <v>0.2</v>
      </c>
      <c r="O13" s="39" t="n">
        <v>0.25</v>
      </c>
      <c r="P13" s="39" t="n">
        <v>0.3</v>
      </c>
      <c r="Q13" s="39" t="n">
        <v>0.35</v>
      </c>
      <c r="R13" s="39" t="n">
        <v>0.4</v>
      </c>
      <c r="S13" s="39" t="n">
        <v>0.5</v>
      </c>
    </row>
    <row r="14" customFormat="false" ht="15" hidden="false" customHeight="false" outlineLevel="0" collapsed="false">
      <c r="C14" s="0" t="s">
        <v>380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381</v>
      </c>
      <c r="D15" s="11" t="s">
        <v>70</v>
      </c>
      <c r="E15" s="19" t="n">
        <v>0.1</v>
      </c>
      <c r="J15" s="41" t="n">
        <v>0</v>
      </c>
      <c r="K15" s="41" t="n">
        <v>10</v>
      </c>
      <c r="L15" s="41" t="n">
        <v>20</v>
      </c>
      <c r="M15" s="41" t="n">
        <v>30</v>
      </c>
      <c r="N15" s="41" t="n">
        <v>40</v>
      </c>
      <c r="O15" s="41" t="n">
        <v>50</v>
      </c>
      <c r="P15" s="41" t="n">
        <v>60</v>
      </c>
      <c r="Q15" s="41" t="n">
        <v>70</v>
      </c>
      <c r="R15" s="41" t="n">
        <v>80</v>
      </c>
      <c r="S15" s="41" t="n">
        <v>90</v>
      </c>
      <c r="T15" s="41" t="n">
        <v>100</v>
      </c>
    </row>
    <row r="16" customFormat="false" ht="15" hidden="false" customHeight="false" outlineLevel="0" collapsed="false">
      <c r="C16" s="0" t="s">
        <v>382</v>
      </c>
      <c r="D16" s="11" t="s">
        <v>35</v>
      </c>
      <c r="E16" s="39" t="n">
        <v>0.05</v>
      </c>
      <c r="J16" s="39" t="n">
        <v>0.02</v>
      </c>
      <c r="K16" s="39" t="n">
        <v>0.05</v>
      </c>
      <c r="L16" s="39" t="n">
        <v>0.1</v>
      </c>
      <c r="M16" s="39" t="n">
        <v>0.15</v>
      </c>
      <c r="N16" s="39" t="n">
        <v>0.2</v>
      </c>
      <c r="O16" s="39" t="n">
        <v>0.25</v>
      </c>
      <c r="P16" s="39" t="n">
        <v>0.3</v>
      </c>
      <c r="Q16" s="39" t="n">
        <v>0.35</v>
      </c>
      <c r="R16" s="39" t="n">
        <v>0.4</v>
      </c>
      <c r="S16" s="39" t="n">
        <v>0.5</v>
      </c>
    </row>
    <row r="17" customFormat="false" ht="15" hidden="false" customHeight="false" outlineLevel="0" collapsed="false">
      <c r="C17" s="0" t="s">
        <v>383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384</v>
      </c>
      <c r="D18" s="11" t="s">
        <v>70</v>
      </c>
      <c r="E18" s="19" t="n">
        <v>0.15</v>
      </c>
      <c r="J18" s="41" t="n">
        <v>0</v>
      </c>
      <c r="K18" s="41" t="n">
        <v>10</v>
      </c>
      <c r="L18" s="41" t="n">
        <v>20</v>
      </c>
      <c r="M18" s="41" t="n">
        <v>30</v>
      </c>
      <c r="N18" s="41" t="n">
        <v>40</v>
      </c>
      <c r="O18" s="41" t="n">
        <v>50</v>
      </c>
      <c r="P18" s="41" t="n">
        <v>60</v>
      </c>
      <c r="Q18" s="41" t="n">
        <v>70</v>
      </c>
      <c r="R18" s="41" t="n">
        <v>80</v>
      </c>
      <c r="S18" s="41" t="n">
        <v>90</v>
      </c>
      <c r="T18" s="41" t="n">
        <v>100</v>
      </c>
    </row>
    <row r="19" customFormat="false" ht="15" hidden="false" customHeight="false" outlineLevel="0" collapsed="false">
      <c r="C19" s="0" t="s">
        <v>385</v>
      </c>
      <c r="D19" s="11" t="s">
        <v>13</v>
      </c>
      <c r="J19" s="39" t="n">
        <v>1</v>
      </c>
      <c r="K19" s="39" t="n">
        <v>1.2</v>
      </c>
      <c r="L19" s="39" t="n">
        <v>1.3</v>
      </c>
      <c r="M19" s="39" t="n">
        <v>1.4</v>
      </c>
      <c r="N19" s="39" t="n">
        <v>1.5</v>
      </c>
      <c r="O19" s="39" t="n">
        <v>1.6</v>
      </c>
      <c r="P19" s="39" t="n">
        <v>1.7</v>
      </c>
      <c r="Q19" s="39" t="n">
        <v>1.8</v>
      </c>
      <c r="R19" s="39" t="n">
        <v>1.9</v>
      </c>
      <c r="S19" s="39" t="n">
        <v>2</v>
      </c>
    </row>
    <row r="20" customFormat="false" ht="15" hidden="false" customHeight="false" outlineLevel="0" collapsed="false">
      <c r="C20" s="0" t="s">
        <v>386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387</v>
      </c>
      <c r="D21" s="11" t="s">
        <v>70</v>
      </c>
      <c r="E21" s="19" t="n">
        <v>0.05</v>
      </c>
      <c r="J21" s="41" t="n">
        <v>0</v>
      </c>
      <c r="K21" s="41" t="n">
        <v>10</v>
      </c>
      <c r="L21" s="41" t="n">
        <v>20</v>
      </c>
      <c r="M21" s="41" t="n">
        <v>30</v>
      </c>
      <c r="N21" s="41" t="n">
        <v>40</v>
      </c>
      <c r="O21" s="41" t="n">
        <v>50</v>
      </c>
      <c r="P21" s="41" t="n">
        <v>60</v>
      </c>
      <c r="Q21" s="41" t="n">
        <v>70</v>
      </c>
      <c r="R21" s="41" t="n">
        <v>80</v>
      </c>
      <c r="S21" s="41" t="n">
        <v>90</v>
      </c>
      <c r="T21" s="41" t="n">
        <v>100</v>
      </c>
    </row>
    <row r="22" customFormat="false" ht="15" hidden="false" customHeight="false" outlineLevel="0" collapsed="false">
      <c r="C22" s="0" t="s">
        <v>388</v>
      </c>
      <c r="D22" s="11" t="s">
        <v>70</v>
      </c>
      <c r="E22" s="19" t="n">
        <v>0.05</v>
      </c>
      <c r="J22" s="41" t="n">
        <v>100</v>
      </c>
    </row>
    <row r="23" customFormat="false" ht="15" hidden="false" customHeight="false" outlineLevel="0" collapsed="false">
      <c r="C23" s="0" t="s">
        <v>389</v>
      </c>
      <c r="D23" s="11" t="s">
        <v>70</v>
      </c>
      <c r="E23" s="19" t="n">
        <v>0.1</v>
      </c>
      <c r="J23" s="41" t="n">
        <v>100</v>
      </c>
    </row>
    <row r="24" customFormat="false" ht="15" hidden="false" customHeight="false" outlineLevel="0" collapsed="false">
      <c r="C24" s="0" t="s">
        <v>390</v>
      </c>
      <c r="D24" s="11" t="s">
        <v>70</v>
      </c>
      <c r="E24" s="19" t="n">
        <v>0.05</v>
      </c>
      <c r="J24" s="41" t="n">
        <v>100</v>
      </c>
    </row>
    <row r="25" customFormat="false" ht="15" hidden="false" customHeight="false" outlineLevel="0" collapsed="false">
      <c r="C25" s="0" t="s">
        <v>391</v>
      </c>
      <c r="D25" s="11" t="s">
        <v>70</v>
      </c>
      <c r="E25" s="19" t="n">
        <v>0.15</v>
      </c>
      <c r="J25" s="41" t="n">
        <v>80</v>
      </c>
    </row>
    <row r="26" customFormat="false" ht="15" hidden="false" customHeight="false" outlineLevel="0" collapsed="false">
      <c r="C26" s="0" t="s">
        <v>392</v>
      </c>
      <c r="D26" s="11" t="s">
        <v>70</v>
      </c>
      <c r="J26" s="41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393</v>
      </c>
      <c r="D28" s="9"/>
      <c r="E28" s="9" t="s">
        <v>394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395</v>
      </c>
      <c r="E29" s="8" t="s">
        <v>396</v>
      </c>
      <c r="F29" s="8" t="s">
        <v>217</v>
      </c>
      <c r="I29" s="8" t="s">
        <v>397</v>
      </c>
      <c r="J29" s="8" t="s">
        <v>398</v>
      </c>
      <c r="K29" s="8" t="s">
        <v>399</v>
      </c>
    </row>
    <row r="30" customFormat="false" ht="15" hidden="false" customHeight="false" outlineLevel="0" collapsed="false">
      <c r="C30" s="0" t="s">
        <v>400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401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402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403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404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405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406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407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408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409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410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411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412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413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414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415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416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417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418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419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420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421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422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423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424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425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426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427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428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429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430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431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1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151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51</v>
      </c>
      <c r="F25" s="45" t="n">
        <f aca="false">$E25*In_BESS_Built</f>
        <v>51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204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102106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1398.71232876712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897.000297796307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6993.56164383562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304.06789755807</v>
      </c>
      <c r="L49" s="43" t="n">
        <f aca="false">$E49*MAX(0,(MIN(In_PB_Release,L$4)-MAX($F49,L$3)+1)/L$5)</f>
        <v>6993.56164383562</v>
      </c>
      <c r="M49" s="43" t="n">
        <f aca="false">$E49*MAX(0,(MIN(In_PB_Release,M$4)-MAX($F49,M$3)+1)/M$5)</f>
        <v>6993.56164383562</v>
      </c>
      <c r="N49" s="43" t="n">
        <f aca="false">$E49*MAX(0,(MIN(In_PB_Release,N$4)-MAX($F49,N$3)+1)/N$5)</f>
        <v>6993.56164383562</v>
      </c>
      <c r="O49" s="43" t="n">
        <f aca="false">$E49*MAX(0,(MIN(In_PB_Release,O$4)-MAX($F49,O$3)+1)/O$5)</f>
        <v>6993.56164383562</v>
      </c>
      <c r="P49" s="43" t="n">
        <f aca="false">$E49*MAX(0,(MIN(In_PB_Release,P$4)-MAX($F49,P$3)+1)/P$5)</f>
        <v>6993.56164383562</v>
      </c>
      <c r="Q49" s="43" t="n">
        <f aca="false">$E49*MAX(0,(MIN(In_PB_Release,Q$4)-MAX($F49,Q$3)+1)/Q$5)</f>
        <v>6993.56164383562</v>
      </c>
      <c r="R49" s="43" t="n">
        <f aca="false">$E49*MAX(0,(MIN(In_PB_Release,R$4)-MAX($F49,R$3)+1)/R$5)</f>
        <v>6993.56164383562</v>
      </c>
      <c r="S49" s="43" t="n">
        <f aca="false">$E49*MAX(0,(MIN(In_PB_Release,S$4)-MAX($F49,S$3)+1)/S$5)</f>
        <v>6993.56164383562</v>
      </c>
      <c r="T49" s="43" t="n">
        <f aca="false">$E49*MAX(0,(MIN(In_PB_Release,T$4)-MAX($F49,T$3)+1)/T$5)</f>
        <v>6993.56164383562</v>
      </c>
      <c r="U49" s="43" t="n">
        <f aca="false">$E49*MAX(0,(MIN(In_PB_Release,U$4)-MAX($F49,U$3)+1)/U$5)</f>
        <v>6993.56164383562</v>
      </c>
      <c r="V49" s="43" t="n">
        <f aca="false">$E49*MAX(0,(MIN(In_PB_Release,V$4)-MAX($F49,V$3)+1)/V$5)</f>
        <v>6993.56164383562</v>
      </c>
      <c r="W49" s="43" t="n">
        <f aca="false">$E49*MAX(0,(MIN(In_PB_Release,W$4)-MAX($F49,W$3)+1)/W$5)</f>
        <v>6993.56164383562</v>
      </c>
      <c r="X49" s="43" t="n">
        <f aca="false">$E49*MAX(0,(MIN(In_PB_Release,X$4)-MAX($F49,X$3)+1)/X$5)</f>
        <v>6993.56164383562</v>
      </c>
      <c r="Y49" s="43" t="n">
        <f aca="false">$E49*MAX(0,(MIN(In_PB_Release,Y$4)-MAX($F49,Y$3)+1)/Y$5)</f>
        <v>6993.56164383562</v>
      </c>
      <c r="Z49" s="43" t="n">
        <f aca="false">$E49*MAX(0,(MIN(In_PB_Release,Z$4)-MAX($F49,Z$3)+1)/Z$5)</f>
        <v>6993.56164383562</v>
      </c>
      <c r="AA49" s="43" t="n">
        <f aca="false">$E49*MAX(0,(MIN(In_PB_Release,AA$4)-MAX($F49,AA$3)+1)/AA$5)</f>
        <v>6993.56164383562</v>
      </c>
      <c r="AB49" s="43" t="n">
        <f aca="false">$E49*MAX(0,(MIN(In_PB_Release,AB$4)-MAX($F49,AB$3)+1)/AB$5)</f>
        <v>6993.56164383562</v>
      </c>
      <c r="AC49" s="43" t="n">
        <f aca="false">$E49*MAX(0,(MIN(In_PB_Release,AC$4)-MAX($F49,AC$3)+1)/AC$5)</f>
        <v>6993.56164383562</v>
      </c>
      <c r="AD49" s="43" t="n">
        <f aca="false">$E49*MAX(0,(MIN(In_PB_Release,AD$4)-MAX($F49,AD$3)+1)/AD$5)</f>
        <v>6993.56164383562</v>
      </c>
      <c r="AE49" s="43" t="n">
        <f aca="false">$E49*MAX(0,(MIN(In_PB_Release,AE$4)-MAX($F49,AE$3)+1)/AE$5)</f>
        <v>6993.56164383562</v>
      </c>
      <c r="AF49" s="43" t="n">
        <f aca="false">$E49*MAX(0,(MIN(In_PB_Release,AF$4)-MAX($F49,AF$3)+1)/AF$5)</f>
        <v>6993.56164383562</v>
      </c>
      <c r="AG49" s="43" t="n">
        <f aca="false">$E49*MAX(0,(MIN(In_PB_Release,AG$4)-MAX($F49,AG$3)+1)/AG$5)</f>
        <v>6993.56164383562</v>
      </c>
      <c r="AH49" s="43" t="n">
        <f aca="false">$E49*MAX(0,(MIN(In_PB_Release,AH$4)-MAX($F49,AH$3)+1)/AH$5)</f>
        <v>6993.56164383562</v>
      </c>
      <c r="AI49" s="43" t="n">
        <f aca="false">$E49*MAX(0,(MIN(In_PB_Release,AI$4)-MAX($F49,AI$3)+1)/AI$5)</f>
        <v>6993.56164383562</v>
      </c>
      <c r="AJ49" s="43" t="n">
        <f aca="false">$E49*MAX(0,(MIN(In_PB_Release,AJ$4)-MAX($F49,AJ$3)+1)/AJ$5)</f>
        <v>6993.56164383562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-1278.15482229311</v>
      </c>
      <c r="F58" s="43" t="n">
        <f aca="false">SUMIF($J$4:$ET$4,"&lt;="&amp;In_COD,$J58:$ET58)</f>
        <v>-2011.61657496716</v>
      </c>
      <c r="I58" s="43" t="n">
        <f aca="false">SUM(J58:ET58)</f>
        <v>-2641.61193619816</v>
      </c>
      <c r="J58" s="43" t="n">
        <f aca="false">-(J48+J49)*In_Guarantee_Fee*J$5/Days_In_Year</f>
        <v>-0</v>
      </c>
      <c r="K58" s="43" t="n">
        <f aca="false">-(K48+K49)*In_Guarantee_Fee*K$5/Days_In_Year</f>
        <v>-18.1640998311128</v>
      </c>
      <c r="L58" s="43" t="n">
        <f aca="false">-(L48+L49)*In_Guarantee_Fee*L$5/Days_In_Year</f>
        <v>-103.466391443047</v>
      </c>
      <c r="M58" s="43" t="n">
        <f aca="false">-(M48+M49)*In_Guarantee_Fee*M$5/Days_In_Year</f>
        <v>-104.616018014637</v>
      </c>
      <c r="N58" s="43" t="n">
        <f aca="false">-(N48+N49)*In_Guarantee_Fee*N$5/Days_In_Year</f>
        <v>-105.765644586226</v>
      </c>
      <c r="O58" s="43" t="n">
        <f aca="false">-(O48+O49)*In_Guarantee_Fee*O$5/Days_In_Year</f>
        <v>-105.765644586226</v>
      </c>
      <c r="P58" s="43" t="n">
        <f aca="false">-(P48+P49)*In_Guarantee_Fee*P$5/Days_In_Year</f>
        <v>-104.616018014637</v>
      </c>
      <c r="Q58" s="43" t="n">
        <f aca="false">-(Q48+Q49)*In_Guarantee_Fee*Q$5/Days_In_Year</f>
        <v>-104.616018014637</v>
      </c>
      <c r="R58" s="43" t="n">
        <f aca="false">-(R48+R49)*In_Guarantee_Fee*R$5/Days_In_Year</f>
        <v>-105.765644586226</v>
      </c>
      <c r="S58" s="43" t="n">
        <f aca="false">-(S48+S49)*In_Guarantee_Fee*S$5/Days_In_Year</f>
        <v>-105.765644586226</v>
      </c>
      <c r="T58" s="43" t="n">
        <f aca="false">-(T48+T49)*In_Guarantee_Fee*T$5/Days_In_Year</f>
        <v>-103.466391443047</v>
      </c>
      <c r="U58" s="43" t="n">
        <f aca="false">-(U48+U49)*In_Guarantee_Fee*U$5/Days_In_Year</f>
        <v>-104.616018014637</v>
      </c>
      <c r="V58" s="43" t="n">
        <f aca="false">-(V48+V49)*In_Guarantee_Fee*V$5/Days_In_Year</f>
        <v>-105.765644586226</v>
      </c>
      <c r="W58" s="43" t="n">
        <f aca="false">-(W48+W49)*In_Guarantee_Fee*W$5/Days_In_Year</f>
        <v>-105.765644586226</v>
      </c>
      <c r="X58" s="43" t="n">
        <f aca="false">-(X48+X49)*In_Guarantee_Fee*X$5/Days_In_Year</f>
        <v>-103.466391443047</v>
      </c>
      <c r="Y58" s="43" t="n">
        <f aca="false">-(Y48+Y49)*In_Guarantee_Fee*Y$5/Days_In_Year</f>
        <v>-104.616018014637</v>
      </c>
      <c r="Z58" s="43" t="n">
        <f aca="false">-(Z48+Z49)*In_Guarantee_Fee*Z$5/Days_In_Year</f>
        <v>-105.765644586226</v>
      </c>
      <c r="AA58" s="43" t="n">
        <f aca="false">-(AA48+AA49)*In_Guarantee_Fee*AA$5/Days_In_Year</f>
        <v>-105.765644586226</v>
      </c>
      <c r="AB58" s="43" t="n">
        <f aca="false">-(AB48+AB49)*In_Guarantee_Fee*AB$5/Days_In_Year</f>
        <v>-103.466391443047</v>
      </c>
      <c r="AC58" s="43" t="n">
        <f aca="false">-(AC48+AC49)*In_Guarantee_Fee*AC$5/Days_In_Year</f>
        <v>-104.616018014637</v>
      </c>
      <c r="AD58" s="43" t="n">
        <f aca="false">-(AD48+AD49)*In_Guarantee_Fee*AD$5/Days_In_Year</f>
        <v>-105.765644586226</v>
      </c>
      <c r="AE58" s="43" t="n">
        <f aca="false">-(AE48+AE49)*In_Guarantee_Fee*AE$5/Days_In_Year</f>
        <v>-105.765644586226</v>
      </c>
      <c r="AF58" s="43" t="n">
        <f aca="false">-(AF48+AF49)*In_Guarantee_Fee*AF$5/Days_In_Year</f>
        <v>-104.616018014637</v>
      </c>
      <c r="AG58" s="43" t="n">
        <f aca="false">-(AG48+AG49)*In_Guarantee_Fee*AG$5/Days_In_Year</f>
        <v>-104.616018014637</v>
      </c>
      <c r="AH58" s="43" t="n">
        <f aca="false">-(AH48+AH49)*In_Guarantee_Fee*AH$5/Days_In_Year</f>
        <v>-105.765644586226</v>
      </c>
      <c r="AI58" s="43" t="n">
        <f aca="false">-(AI48+AI49)*In_Guarantee_Fee*AI$5/Days_In_Year</f>
        <v>-105.765644586226</v>
      </c>
      <c r="AJ58" s="43" t="n">
        <f aca="false">-(AJ48+AJ49)*In_Guarantee_Fee*AJ$5/Days_In_Year</f>
        <v>-103.466391443047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-7402.33233858005</v>
      </c>
      <c r="J59" s="52" t="n">
        <f aca="false">J46+J47+J50+J57+J58</f>
        <v>-400</v>
      </c>
      <c r="K59" s="52" t="n">
        <f aca="false">K46+K47+K50+K57+K58</f>
        <v>-1437.78053818728</v>
      </c>
      <c r="L59" s="52" t="n">
        <f aca="false">L46+L47+L50+L57+L58</f>
        <v>-691.910911990993</v>
      </c>
      <c r="M59" s="52" t="n">
        <f aca="false">M46+M47+M50+M57+M58</f>
        <v>-148.451634452993</v>
      </c>
      <c r="N59" s="52" t="n">
        <f aca="false">N46+N47+N50+N57+N58</f>
        <v>-149.601261024582</v>
      </c>
      <c r="O59" s="52" t="n">
        <f aca="false">O46+O47+O50+O57+O58</f>
        <v>-290.127288421843</v>
      </c>
      <c r="P59" s="52" t="n">
        <f aca="false">P46+P47+P50+P57+P58</f>
        <v>-1394.65781281475</v>
      </c>
      <c r="Q59" s="52" t="n">
        <f aca="false">Q46+Q47+Q50+Q57+Q58</f>
        <v>-109.225607055733</v>
      </c>
      <c r="R59" s="52" t="n">
        <f aca="false">R46+R47+R50+R57+R58</f>
        <v>-269.857154566657</v>
      </c>
      <c r="S59" s="52" t="n">
        <f aca="false">S46+S47+S50+S57+S58</f>
        <v>-422.991783283459</v>
      </c>
      <c r="T59" s="52" t="n">
        <f aca="false">T46+T47+T50+T57+T58</f>
        <v>-408.123925689623</v>
      </c>
      <c r="U59" s="52" t="n">
        <f aca="false">U46+U47+U50+U57+U58</f>
        <v>-104.616018014637</v>
      </c>
      <c r="V59" s="52" t="n">
        <f aca="false">V46+V47+V50+V57+V58</f>
        <v>-105.765644586226</v>
      </c>
      <c r="W59" s="52" t="n">
        <f aca="false">W46+W47+W50+W57+W58</f>
        <v>-105.765644586226</v>
      </c>
      <c r="X59" s="52" t="n">
        <f aca="false">X46+X47+X50+X57+X58</f>
        <v>-103.466391443047</v>
      </c>
      <c r="Y59" s="52" t="n">
        <f aca="false">Y46+Y47+Y50+Y57+Y58</f>
        <v>-104.616018014637</v>
      </c>
      <c r="Z59" s="52" t="n">
        <f aca="false">Z46+Z47+Z50+Z57+Z58</f>
        <v>-105.765644586226</v>
      </c>
      <c r="AA59" s="52" t="n">
        <f aca="false">AA46+AA47+AA50+AA57+AA58</f>
        <v>-105.765644586226</v>
      </c>
      <c r="AB59" s="52" t="n">
        <f aca="false">AB46+AB47+AB50+AB57+AB58</f>
        <v>-103.466391443047</v>
      </c>
      <c r="AC59" s="52" t="n">
        <f aca="false">AC46+AC47+AC50+AC57+AC58</f>
        <v>-104.616018014637</v>
      </c>
      <c r="AD59" s="52" t="n">
        <f aca="false">AD46+AD47+AD50+AD57+AD58</f>
        <v>-105.765644586226</v>
      </c>
      <c r="AE59" s="52" t="n">
        <f aca="false">AE46+AE47+AE50+AE57+AE58</f>
        <v>-105.765644586226</v>
      </c>
      <c r="AF59" s="52" t="n">
        <f aca="false">AF46+AF47+AF50+AF57+AF58</f>
        <v>-104.616018014637</v>
      </c>
      <c r="AG59" s="52" t="n">
        <f aca="false">AG46+AG47+AG50+AG57+AG58</f>
        <v>-104.616018014637</v>
      </c>
      <c r="AH59" s="52" t="n">
        <f aca="false">AH46+AH47+AH50+AH57+AH58</f>
        <v>-105.765644586226</v>
      </c>
      <c r="AI59" s="52" t="n">
        <f aca="false">AI46+AI47+AI50+AI57+AI58</f>
        <v>-105.765644586226</v>
      </c>
      <c r="AJ59" s="52" t="n">
        <f aca="false">AJ46+AJ47+AJ50+AJ57+AJ58</f>
        <v>-103.466391443047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1120.48016110676</v>
      </c>
      <c r="F72" s="43" t="n">
        <f aca="false">SUMIF($J$4:$ET$4,"&lt;="&amp;In_COD,$J72:$ET72)</f>
        <v>1993.30208050153</v>
      </c>
      <c r="I72" s="43" t="n">
        <f aca="false">SUM(J72:ET72)</f>
        <v>1993.30208050153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18.1640998311128</v>
      </c>
      <c r="L72" s="43" t="n">
        <f aca="false">In_Guar_Credit*(1-L19)*(L71+L48+L49)*L$5/Days_In_Year*(L$4&lt;=In_COD)</f>
        <v>103.735120591234</v>
      </c>
      <c r="M72" s="43" t="n">
        <f aca="false">In_Guar_Credit*(1-M19)*(M71+M48+M49)*M$5/Days_In_Year*(M$4&lt;=In_COD)</f>
        <v>104.887733042248</v>
      </c>
      <c r="N72" s="43" t="n">
        <f aca="false">In_Guar_Credit*(1-N19)*(N71+N48+N49)*N$5/Days_In_Year*(N$4&lt;=In_COD)</f>
        <v>106.040345493261</v>
      </c>
      <c r="O72" s="43" t="n">
        <f aca="false">In_Guar_Credit*(1-O19)*(O71+O48+O49)*O$5/Days_In_Year*(O$4&lt;=In_COD)</f>
        <v>106.040345493261</v>
      </c>
      <c r="P72" s="43" t="n">
        <f aca="false">In_Guar_Credit*(1-P19)*(P71+P48+P49)*P$5/Days_In_Year*(P$4&lt;=In_COD)</f>
        <v>111.180997024782</v>
      </c>
      <c r="Q72" s="43" t="n">
        <f aca="false">In_Guar_Credit*(1-Q19)*(Q71+Q48+Q49)*Q$5/Days_In_Year*(Q$4&lt;=In_COD)</f>
        <v>111.180997024782</v>
      </c>
      <c r="R72" s="43" t="n">
        <f aca="false">In_Guar_Credit*(1-R19)*(R71+R48+R49)*R$5/Days_In_Year*(R$4&lt;=In_COD)</f>
        <v>112.402766222857</v>
      </c>
      <c r="S72" s="43" t="n">
        <f aca="false">In_Guar_Credit*(1-S19)*(S71+S48+S49)*S$5/Days_In_Year*(S$4&lt;=In_COD)</f>
        <v>112.402766222857</v>
      </c>
      <c r="T72" s="43" t="n">
        <f aca="false">In_Guar_Credit*(1-T19)*(T71+T48+T49)*T$5/Days_In_Year*(T$4&lt;=In_COD)</f>
        <v>116.574856985816</v>
      </c>
      <c r="U72" s="43" t="n">
        <f aca="false">In_Guar_Credit*(1-U19)*(U71+U48+U49)*U$5/Days_In_Year*(U$4&lt;=In_COD)</f>
        <v>117.870133174547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120.043358210106</v>
      </c>
      <c r="Y72" s="43" t="n">
        <f aca="false">In_Guar_Credit*(1-Y19)*(Y71+Y48+Y49)*Y$5/Days_In_Year*(Y$4&lt;=In_COD)</f>
        <v>121.37717330133</v>
      </c>
      <c r="Z72" s="43" t="n">
        <f aca="false">In_Guar_Credit*(1-Z19)*(Z71+Z48+Z49)*Z$5/Days_In_Year*(Z$4&lt;=In_COD)</f>
        <v>122.710988392553</v>
      </c>
      <c r="AA72" s="43" t="n">
        <f aca="false">In_Guar_Credit*(1-AA19)*(AA71+AA48+AA49)*AA$5/Days_In_Year*(AA$4&lt;=In_COD)</f>
        <v>122.710988392553</v>
      </c>
      <c r="AB72" s="43" t="n">
        <f aca="false">In_Guar_Credit*(1-AB19)*(AB71+AB48+AB49)*AB$5/Days_In_Year*(AB$4&lt;=In_COD)</f>
        <v>127.245959702713</v>
      </c>
      <c r="AC72" s="43" t="n">
        <f aca="false">In_Guar_Credit*(1-AC19)*(AC71+AC48+AC49)*AC$5/Days_In_Year*(AC$4&lt;=In_COD)</f>
        <v>128.65980369941</v>
      </c>
      <c r="AD72" s="43" t="n">
        <f aca="false">In_Guar_Credit*(1-AD19)*(AD71+AD48+AD49)*AD$5/Days_In_Year*(AD$4&lt;=In_COD)</f>
        <v>130.073647696106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1993.30208050153</v>
      </c>
      <c r="J73" s="43" t="n">
        <f aca="false">J20*SUMIF($J$7:J$7,J$7,$J72:J72)</f>
        <v>0</v>
      </c>
      <c r="K73" s="43" t="n">
        <f aca="false">K20*SUMIF($J$7:K$7,K$7,$J72:K72)</f>
        <v>18.1640998311128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420.703544620004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447.167526495279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234.444990160363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486.842508296543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385.979411098229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18.1640998311128</v>
      </c>
      <c r="L74" s="43" t="n">
        <f aca="false">L71+L73</f>
        <v>18.1640998311128</v>
      </c>
      <c r="M74" s="43" t="n">
        <f aca="false">M71+M73</f>
        <v>18.1640998311128</v>
      </c>
      <c r="N74" s="43" t="n">
        <f aca="false">N71+N73</f>
        <v>18.1640998311128</v>
      </c>
      <c r="O74" s="43" t="n">
        <f aca="false">O71+O73</f>
        <v>438.867644451117</v>
      </c>
      <c r="P74" s="43" t="n">
        <f aca="false">P71+P73</f>
        <v>438.867644451117</v>
      </c>
      <c r="Q74" s="43" t="n">
        <f aca="false">Q71+Q73</f>
        <v>438.867644451117</v>
      </c>
      <c r="R74" s="43" t="n">
        <f aca="false">R71+R73</f>
        <v>438.867644451117</v>
      </c>
      <c r="S74" s="43" t="n">
        <f aca="false">S71+S73</f>
        <v>886.035170946395</v>
      </c>
      <c r="T74" s="43" t="n">
        <f aca="false">T71+T73</f>
        <v>886.035170946395</v>
      </c>
      <c r="U74" s="43" t="n">
        <f aca="false">U71+U73</f>
        <v>886.035170946395</v>
      </c>
      <c r="V74" s="43" t="n">
        <f aca="false">V71+V73</f>
        <v>886.035170946395</v>
      </c>
      <c r="W74" s="43" t="n">
        <f aca="false">W71+W73</f>
        <v>1120.48016110676</v>
      </c>
      <c r="X74" s="43" t="n">
        <f aca="false">X71+X73</f>
        <v>1120.48016110676</v>
      </c>
      <c r="Y74" s="43" t="n">
        <f aca="false">Y71+Y73</f>
        <v>1120.48016110676</v>
      </c>
      <c r="Z74" s="43" t="n">
        <f aca="false">Z71+Z73</f>
        <v>1120.48016110676</v>
      </c>
      <c r="AA74" s="43" t="n">
        <f aca="false">AA71+AA73</f>
        <v>1607.3226694033</v>
      </c>
      <c r="AB74" s="43" t="n">
        <f aca="false">AB71+AB73</f>
        <v>1607.3226694033</v>
      </c>
      <c r="AC74" s="43" t="n">
        <f aca="false">AC71+AC73</f>
        <v>1607.3226694033</v>
      </c>
      <c r="AD74" s="43" t="n">
        <f aca="false">AD71+AD73</f>
        <v>1607.3226694033</v>
      </c>
      <c r="AE74" s="43" t="n">
        <f aca="false">AE71+AE73</f>
        <v>1993.30208050153</v>
      </c>
      <c r="AF74" s="43" t="n">
        <f aca="false">AF71+AF73</f>
        <v>1993.30208050153</v>
      </c>
      <c r="AG74" s="43" t="n">
        <f aca="false">AG71+AG73</f>
        <v>1993.30208050153</v>
      </c>
      <c r="AH74" s="43" t="n">
        <f aca="false">AH71+AH73</f>
        <v>1993.30208050153</v>
      </c>
      <c r="AI74" s="43" t="n">
        <f aca="false">AI71+AI73</f>
        <v>1993.30208050153</v>
      </c>
      <c r="AJ74" s="43" t="n">
        <f aca="false">AJ71+AJ73</f>
        <v>1993.30208050153</v>
      </c>
      <c r="AK74" s="43" t="n">
        <f aca="false">AK71+AK73</f>
        <v>1993.30208050153</v>
      </c>
      <c r="AL74" s="43" t="n">
        <f aca="false">AL71+AL73</f>
        <v>1993.30208050153</v>
      </c>
      <c r="AM74" s="43" t="n">
        <f aca="false">AM71+AM73</f>
        <v>1993.30208050153</v>
      </c>
      <c r="AN74" s="43" t="n">
        <f aca="false">AN71+AN73</f>
        <v>1993.30208050153</v>
      </c>
      <c r="AO74" s="43" t="n">
        <f aca="false">AO71+AO73</f>
        <v>1993.30208050153</v>
      </c>
      <c r="AP74" s="43" t="n">
        <f aca="false">AP71+AP73</f>
        <v>1993.30208050153</v>
      </c>
      <c r="AQ74" s="43" t="n">
        <f aca="false">AQ71+AQ73</f>
        <v>1993.30208050153</v>
      </c>
      <c r="AR74" s="43" t="n">
        <f aca="false">AR71+AR73</f>
        <v>1993.30208050153</v>
      </c>
      <c r="AS74" s="43" t="n">
        <f aca="false">AS71+AS73</f>
        <v>1993.30208050153</v>
      </c>
      <c r="AT74" s="43" t="n">
        <f aca="false">AT71+AT73</f>
        <v>1993.30208050153</v>
      </c>
      <c r="AU74" s="43" t="n">
        <f aca="false">AU71+AU73</f>
        <v>1993.30208050153</v>
      </c>
      <c r="AV74" s="43" t="n">
        <f aca="false">AV71+AV73</f>
        <v>1993.30208050153</v>
      </c>
      <c r="AW74" s="43" t="n">
        <f aca="false">AW71+AW73</f>
        <v>1993.30208050153</v>
      </c>
      <c r="AX74" s="43" t="n">
        <f aca="false">AX71+AX73</f>
        <v>1993.30208050153</v>
      </c>
      <c r="AY74" s="43" t="n">
        <f aca="false">AY71+AY73</f>
        <v>1993.30208050153</v>
      </c>
      <c r="AZ74" s="43" t="n">
        <f aca="false">AZ71+AZ73</f>
        <v>1993.30208050153</v>
      </c>
      <c r="BA74" s="43" t="n">
        <f aca="false">BA71+BA73</f>
        <v>1993.30208050153</v>
      </c>
      <c r="BB74" s="43" t="n">
        <f aca="false">BB71+BB73</f>
        <v>1993.30208050153</v>
      </c>
      <c r="BC74" s="43" t="n">
        <f aca="false">BC71+BC73</f>
        <v>1993.30208050153</v>
      </c>
      <c r="BD74" s="43" t="n">
        <f aca="false">BD71+BD73</f>
        <v>1993.30208050153</v>
      </c>
      <c r="BE74" s="43" t="n">
        <f aca="false">BE71+BE73</f>
        <v>1993.30208050153</v>
      </c>
      <c r="BF74" s="43" t="n">
        <f aca="false">BF71+BF73</f>
        <v>1993.30208050153</v>
      </c>
      <c r="BG74" s="43" t="n">
        <f aca="false">BG71+BG73</f>
        <v>1993.30208050153</v>
      </c>
      <c r="BH74" s="43" t="n">
        <f aca="false">BH71+BH73</f>
        <v>1993.30208050153</v>
      </c>
      <c r="BI74" s="43" t="n">
        <f aca="false">BI71+BI73</f>
        <v>1993.30208050153</v>
      </c>
      <c r="BJ74" s="43" t="n">
        <f aca="false">BJ71+BJ73</f>
        <v>1993.30208050153</v>
      </c>
      <c r="BK74" s="43" t="n">
        <f aca="false">BK71+BK73</f>
        <v>1993.30208050153</v>
      </c>
      <c r="BL74" s="43" t="n">
        <f aca="false">BL71+BL73</f>
        <v>1993.30208050153</v>
      </c>
      <c r="BM74" s="43" t="n">
        <f aca="false">BM71+BM73</f>
        <v>1993.30208050153</v>
      </c>
      <c r="BN74" s="43" t="n">
        <f aca="false">BN71+BN73</f>
        <v>1993.30208050153</v>
      </c>
      <c r="BO74" s="43" t="n">
        <f aca="false">BO71+BO73</f>
        <v>1993.30208050153</v>
      </c>
      <c r="BP74" s="43" t="n">
        <f aca="false">BP71+BP73</f>
        <v>1993.30208050153</v>
      </c>
      <c r="BQ74" s="43" t="n">
        <f aca="false">BQ71+BQ73</f>
        <v>1993.30208050153</v>
      </c>
      <c r="BR74" s="43" t="n">
        <f aca="false">BR71+BR73</f>
        <v>1993.30208050153</v>
      </c>
      <c r="BS74" s="43" t="n">
        <f aca="false">BS71+BS73</f>
        <v>1993.30208050153</v>
      </c>
      <c r="BT74" s="43" t="n">
        <f aca="false">BT71+BT73</f>
        <v>1993.30208050153</v>
      </c>
      <c r="BU74" s="43" t="n">
        <f aca="false">BU71+BU73</f>
        <v>1993.30208050153</v>
      </c>
      <c r="BV74" s="43" t="n">
        <f aca="false">BV71+BV73</f>
        <v>1993.30208050153</v>
      </c>
      <c r="BW74" s="43" t="n">
        <f aca="false">BW71+BW73</f>
        <v>1993.30208050153</v>
      </c>
      <c r="BX74" s="43" t="n">
        <f aca="false">BX71+BX73</f>
        <v>1993.30208050153</v>
      </c>
      <c r="BY74" s="43" t="n">
        <f aca="false">BY71+BY73</f>
        <v>1993.30208050153</v>
      </c>
      <c r="BZ74" s="43" t="n">
        <f aca="false">BZ71+BZ73</f>
        <v>1993.30208050153</v>
      </c>
      <c r="CA74" s="43" t="n">
        <f aca="false">CA71+CA73</f>
        <v>1993.30208050153</v>
      </c>
      <c r="CB74" s="43" t="n">
        <f aca="false">CB71+CB73</f>
        <v>1993.30208050153</v>
      </c>
      <c r="CC74" s="43" t="n">
        <f aca="false">CC71+CC73</f>
        <v>1993.30208050153</v>
      </c>
      <c r="CD74" s="43" t="n">
        <f aca="false">CD71+CD73</f>
        <v>1993.30208050153</v>
      </c>
      <c r="CE74" s="43" t="n">
        <f aca="false">CE71+CE73</f>
        <v>1993.30208050153</v>
      </c>
      <c r="CF74" s="43" t="n">
        <f aca="false">CF71+CF73</f>
        <v>1993.30208050153</v>
      </c>
      <c r="CG74" s="43" t="n">
        <f aca="false">CG71+CG73</f>
        <v>1993.30208050153</v>
      </c>
      <c r="CH74" s="43" t="n">
        <f aca="false">CH71+CH73</f>
        <v>1993.30208050153</v>
      </c>
      <c r="CI74" s="43" t="n">
        <f aca="false">CI71+CI73</f>
        <v>1993.30208050153</v>
      </c>
      <c r="CJ74" s="43" t="n">
        <f aca="false">CJ71+CJ73</f>
        <v>1993.30208050153</v>
      </c>
      <c r="CK74" s="43" t="n">
        <f aca="false">CK71+CK73</f>
        <v>1993.30208050153</v>
      </c>
      <c r="CL74" s="43" t="n">
        <f aca="false">CL71+CL73</f>
        <v>1993.30208050153</v>
      </c>
      <c r="CM74" s="43" t="n">
        <f aca="false">CM71+CM73</f>
        <v>1993.30208050153</v>
      </c>
      <c r="CN74" s="43" t="n">
        <f aca="false">CN71+CN73</f>
        <v>1993.30208050153</v>
      </c>
      <c r="CO74" s="43" t="n">
        <f aca="false">CO71+CO73</f>
        <v>1993.30208050153</v>
      </c>
      <c r="CP74" s="43" t="n">
        <f aca="false">CP71+CP73</f>
        <v>1993.30208050153</v>
      </c>
      <c r="CQ74" s="43" t="n">
        <f aca="false">CQ71+CQ73</f>
        <v>1993.30208050153</v>
      </c>
      <c r="CR74" s="43" t="n">
        <f aca="false">CR71+CR73</f>
        <v>1993.30208050153</v>
      </c>
      <c r="CS74" s="43" t="n">
        <f aca="false">CS71+CS73</f>
        <v>1993.30208050153</v>
      </c>
      <c r="CT74" s="43" t="n">
        <f aca="false">CT71+CT73</f>
        <v>1993.30208050153</v>
      </c>
      <c r="CU74" s="43" t="n">
        <f aca="false">CU71+CU73</f>
        <v>1993.30208050153</v>
      </c>
      <c r="CV74" s="43" t="n">
        <f aca="false">CV71+CV73</f>
        <v>1993.30208050153</v>
      </c>
      <c r="CW74" s="43" t="n">
        <f aca="false">CW71+CW73</f>
        <v>1993.30208050153</v>
      </c>
      <c r="CX74" s="43" t="n">
        <f aca="false">CX71+CX73</f>
        <v>1993.30208050153</v>
      </c>
      <c r="CY74" s="43" t="n">
        <f aca="false">CY71+CY73</f>
        <v>1993.30208050153</v>
      </c>
      <c r="CZ74" s="43" t="n">
        <f aca="false">CZ71+CZ73</f>
        <v>1993.30208050153</v>
      </c>
      <c r="DA74" s="43" t="n">
        <f aca="false">DA71+DA73</f>
        <v>1993.30208050153</v>
      </c>
      <c r="DB74" s="43" t="n">
        <f aca="false">DB71+DB73</f>
        <v>1993.30208050153</v>
      </c>
      <c r="DC74" s="43" t="n">
        <f aca="false">DC71+DC73</f>
        <v>1993.30208050153</v>
      </c>
      <c r="DD74" s="43" t="n">
        <f aca="false">DD71+DD73</f>
        <v>1993.30208050153</v>
      </c>
      <c r="DE74" s="43" t="n">
        <f aca="false">DE71+DE73</f>
        <v>1993.30208050153</v>
      </c>
      <c r="DF74" s="43" t="n">
        <f aca="false">DF71+DF73</f>
        <v>1993.30208050153</v>
      </c>
      <c r="DG74" s="43" t="n">
        <f aca="false">DG71+DG73</f>
        <v>1993.30208050153</v>
      </c>
      <c r="DH74" s="43" t="n">
        <f aca="false">DH71+DH73</f>
        <v>1993.30208050153</v>
      </c>
      <c r="DI74" s="43" t="n">
        <f aca="false">DI71+DI73</f>
        <v>1993.30208050153</v>
      </c>
      <c r="DJ74" s="43" t="n">
        <f aca="false">DJ71+DJ73</f>
        <v>1993.30208050153</v>
      </c>
      <c r="DK74" s="43" t="n">
        <f aca="false">DK71+DK73</f>
        <v>1993.30208050153</v>
      </c>
      <c r="DL74" s="43" t="n">
        <f aca="false">DL71+DL73</f>
        <v>1993.30208050153</v>
      </c>
      <c r="DM74" s="43" t="n">
        <f aca="false">DM71+DM73</f>
        <v>1993.30208050153</v>
      </c>
      <c r="DN74" s="43" t="n">
        <f aca="false">DN71+DN73</f>
        <v>1993.30208050153</v>
      </c>
      <c r="DO74" s="43" t="n">
        <f aca="false">DO71+DO73</f>
        <v>1993.30208050153</v>
      </c>
      <c r="DP74" s="43" t="n">
        <f aca="false">DP71+DP73</f>
        <v>1993.30208050153</v>
      </c>
      <c r="DQ74" s="43" t="n">
        <f aca="false">DQ71+DQ73</f>
        <v>1993.30208050153</v>
      </c>
      <c r="DR74" s="43" t="n">
        <f aca="false">DR71+DR73</f>
        <v>1993.30208050153</v>
      </c>
      <c r="DS74" s="43" t="n">
        <f aca="false">DS71+DS73</f>
        <v>1993.30208050153</v>
      </c>
      <c r="DT74" s="43" t="n">
        <f aca="false">DT71+DT73</f>
        <v>1993.30208050153</v>
      </c>
      <c r="DU74" s="43" t="n">
        <f aca="false">DU71+DU73</f>
        <v>1993.30208050153</v>
      </c>
      <c r="DV74" s="43" t="n">
        <f aca="false">DV71+DV73</f>
        <v>1993.30208050153</v>
      </c>
      <c r="DW74" s="43" t="n">
        <f aca="false">DW71+DW73</f>
        <v>1993.30208050153</v>
      </c>
      <c r="DX74" s="43" t="n">
        <f aca="false">DX71+DX73</f>
        <v>1993.30208050153</v>
      </c>
      <c r="DY74" s="43" t="n">
        <f aca="false">DY71+DY73</f>
        <v>1993.30208050153</v>
      </c>
      <c r="DZ74" s="43" t="n">
        <f aca="false">DZ71+DZ73</f>
        <v>1993.30208050153</v>
      </c>
      <c r="EA74" s="43" t="n">
        <f aca="false">EA71+EA73</f>
        <v>1993.30208050153</v>
      </c>
      <c r="EB74" s="43" t="n">
        <f aca="false">EB71+EB73</f>
        <v>1993.30208050153</v>
      </c>
      <c r="EC74" s="43" t="n">
        <f aca="false">EC71+EC73</f>
        <v>1993.30208050153</v>
      </c>
      <c r="ED74" s="43" t="n">
        <f aca="false">ED71+ED73</f>
        <v>1993.30208050153</v>
      </c>
      <c r="EE74" s="43" t="n">
        <f aca="false">EE71+EE73</f>
        <v>1993.30208050153</v>
      </c>
      <c r="EF74" s="43" t="n">
        <f aca="false">EF71+EF73</f>
        <v>1993.30208050153</v>
      </c>
      <c r="EG74" s="43" t="n">
        <f aca="false">EG71+EG73</f>
        <v>1993.30208050153</v>
      </c>
      <c r="EH74" s="43" t="n">
        <f aca="false">EH71+EH73</f>
        <v>1993.30208050153</v>
      </c>
      <c r="EI74" s="43" t="n">
        <f aca="false">EI71+EI73</f>
        <v>1993.30208050153</v>
      </c>
      <c r="EJ74" s="43" t="n">
        <f aca="false">EJ71+EJ73</f>
        <v>1993.30208050153</v>
      </c>
      <c r="EK74" s="43" t="n">
        <f aca="false">EK71+EK73</f>
        <v>1993.30208050153</v>
      </c>
      <c r="EL74" s="43" t="n">
        <f aca="false">EL71+EL73</f>
        <v>1993.30208050153</v>
      </c>
      <c r="EM74" s="43" t="n">
        <f aca="false">EM71+EM73</f>
        <v>1993.30208050153</v>
      </c>
      <c r="EN74" s="43" t="n">
        <f aca="false">EN71+EN73</f>
        <v>1993.30208050153</v>
      </c>
      <c r="EO74" s="43" t="n">
        <f aca="false">EO71+EO73</f>
        <v>1993.30208050153</v>
      </c>
      <c r="EP74" s="43" t="n">
        <f aca="false">EP71+EP73</f>
        <v>1993.30208050153</v>
      </c>
      <c r="EQ74" s="43" t="n">
        <f aca="false">EQ71+EQ73</f>
        <v>1993.30208050153</v>
      </c>
      <c r="ER74" s="43" t="n">
        <f aca="false">ER71+ER73</f>
        <v>1993.30208050153</v>
      </c>
      <c r="ES74" s="43" t="n">
        <f aca="false">ES71+ES73</f>
        <v>1993.30208050153</v>
      </c>
      <c r="ET74" s="43" t="n">
        <f aca="false">ET71+ET73</f>
        <v>1993.30208050153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0.337748344370861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4199.04109589041</v>
      </c>
      <c r="F84" s="43" t="n">
        <f aca="false">$E49-$E84</f>
        <v>2794.52054794521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1418.21917808219</v>
      </c>
      <c r="F85" s="43" t="n">
        <f aca="false">($E83+$F83&gt;0)*$E49</f>
        <v>6993.56164383562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-1418.21917808219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-1418.21917808219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125115</v>
      </c>
      <c r="I93" s="43" t="n">
        <f aca="false">SUM(J93:ET93)</f>
        <v>-125115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-15767.9178082192</v>
      </c>
      <c r="X93" s="43" t="n">
        <f aca="false">-$E93*X13</f>
        <v>-15425.1369863014</v>
      </c>
      <c r="Y93" s="43" t="n">
        <f aca="false">-$E93*Y13</f>
        <v>-15596.5273972603</v>
      </c>
      <c r="Z93" s="43" t="n">
        <f aca="false">-$E93*Z13</f>
        <v>-15767.9178082192</v>
      </c>
      <c r="AA93" s="43" t="n">
        <f aca="false">-$E93*AA13</f>
        <v>-15767.9178082192</v>
      </c>
      <c r="AB93" s="43" t="n">
        <f aca="false">-$E93*AB13</f>
        <v>-15425.1369863014</v>
      </c>
      <c r="AC93" s="43" t="n">
        <f aca="false">-$E93*AC13</f>
        <v>-15596.5273972603</v>
      </c>
      <c r="AD93" s="43" t="n">
        <f aca="false">-$E93*AD13</f>
        <v>-15767.9178082192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90176.6324449315</v>
      </c>
      <c r="I97" s="43" t="n">
        <f aca="false">SUM(J97:ET97)</f>
        <v>90176.6324449315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11364.7262807311</v>
      </c>
      <c r="X97" s="43" t="n">
        <f aca="false">$E97*X13</f>
        <v>11117.6670137587</v>
      </c>
      <c r="Y97" s="43" t="n">
        <f aca="false">$E97*Y13</f>
        <v>11241.1966472449</v>
      </c>
      <c r="Z97" s="43" t="n">
        <f aca="false">$E97*Z13</f>
        <v>11364.7262807311</v>
      </c>
      <c r="AA97" s="43" t="n">
        <f aca="false">$E97*AA13</f>
        <v>11364.7262807311</v>
      </c>
      <c r="AB97" s="43" t="n">
        <f aca="false">$E97*AB13</f>
        <v>11117.6670137587</v>
      </c>
      <c r="AC97" s="43" t="n">
        <f aca="false">$E97*AC13</f>
        <v>11241.1966472449</v>
      </c>
      <c r="AD97" s="43" t="n">
        <f aca="false">$E97*AD13</f>
        <v>11364.7262807311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4043.87147763789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142.059078509139</v>
      </c>
      <c r="Y98" s="43" t="n">
        <f aca="false">Y96*$F98*(Y$4&lt;=In_COD)</f>
        <v>282.805654662486</v>
      </c>
      <c r="Z98" s="43" t="n">
        <f aca="false">Z96*$F98*(Z$4&lt;=In_COD)</f>
        <v>426.855683436329</v>
      </c>
      <c r="AA98" s="43" t="n">
        <f aca="false">AA96*$F98*(AA$4&lt;=In_COD)</f>
        <v>574.250457988422</v>
      </c>
      <c r="AB98" s="43" t="n">
        <f aca="false">AB96*$F98*(AB$4&lt;=In_COD)</f>
        <v>723.487667222415</v>
      </c>
      <c r="AC98" s="43" t="n">
        <f aca="false">AC96*$F98*(AC$4&lt;=In_COD)</f>
        <v>871.502100734679</v>
      </c>
      <c r="AD98" s="43" t="n">
        <f aca="false">AD96*$F98*(AD$4&lt;=In_COD)</f>
        <v>1022.91083508442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-94220.5039225694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-1829.89540535528</v>
      </c>
      <c r="AF99" s="43" t="n">
        <f aca="false">PPMT($F98,1,In_Debt_Tenor*Months_In_Year/Months_Per_Period-SUM($J17:AF17)+1,AF96)*AF17</f>
        <v>-1852.76909792222</v>
      </c>
      <c r="AG99" s="43" t="n">
        <f aca="false">PPMT($F98,1,In_Debt_Tenor*Months_In_Year/Months_Per_Period-SUM($J17:AG17)+1,AG96)*AG17</f>
        <v>-1875.92871164625</v>
      </c>
      <c r="AH99" s="43" t="n">
        <f aca="false">PPMT($F98,1,In_Debt_Tenor*Months_In_Year/Months_Per_Period-SUM($J17:AH17)+1,AH96)*AH17</f>
        <v>-1899.37782054183</v>
      </c>
      <c r="AI99" s="43" t="n">
        <f aca="false">PPMT($F98,1,In_Debt_Tenor*Months_In_Year/Months_Per_Period-SUM($J17:AI17)+1,AI96)*AI17</f>
        <v>-1923.1200432986</v>
      </c>
      <c r="AJ99" s="43" t="n">
        <f aca="false">PPMT($F98,1,In_Debt_Tenor*Months_In_Year/Months_Per_Period-SUM($J17:AJ17)+1,AJ96)*AJ17</f>
        <v>-1947.15904383984</v>
      </c>
      <c r="AK99" s="43" t="n">
        <f aca="false">PPMT($F98,1,In_Debt_Tenor*Months_In_Year/Months_Per_Period-SUM($J17:AK17)+1,AK96)*AK17</f>
        <v>-1971.49853188783</v>
      </c>
      <c r="AL99" s="43" t="n">
        <f aca="false">PPMT($F98,1,In_Debt_Tenor*Months_In_Year/Months_Per_Period-SUM($J17:AL17)+1,AL96)*AL17</f>
        <v>-1996.14226353643</v>
      </c>
      <c r="AM99" s="43" t="n">
        <f aca="false">PPMT($F98,1,In_Debt_Tenor*Months_In_Year/Months_Per_Period-SUM($J17:AM17)+1,AM96)*AM17</f>
        <v>-2021.09404183064</v>
      </c>
      <c r="AN99" s="43" t="n">
        <f aca="false">PPMT($F98,1,In_Debt_Tenor*Months_In_Year/Months_Per_Period-SUM($J17:AN17)+1,AN96)*AN17</f>
        <v>-2046.35771735352</v>
      </c>
      <c r="AO99" s="43" t="n">
        <f aca="false">PPMT($F98,1,In_Debt_Tenor*Months_In_Year/Months_Per_Period-SUM($J17:AO17)+1,AO96)*AO17</f>
        <v>-2071.93718882044</v>
      </c>
      <c r="AP99" s="43" t="n">
        <f aca="false">PPMT($F98,1,In_Debt_Tenor*Months_In_Year/Months_Per_Period-SUM($J17:AP17)+1,AP96)*AP17</f>
        <v>-2097.83640368069</v>
      </c>
      <c r="AQ99" s="43" t="n">
        <f aca="false">PPMT($F98,1,In_Debt_Tenor*Months_In_Year/Months_Per_Period-SUM($J17:AQ17)+1,AQ96)*AQ17</f>
        <v>-2124.0593587267</v>
      </c>
      <c r="AR99" s="43" t="n">
        <f aca="false">PPMT($F98,1,In_Debt_Tenor*Months_In_Year/Months_Per_Period-SUM($J17:AR17)+1,AR96)*AR17</f>
        <v>-2150.61010071079</v>
      </c>
      <c r="AS99" s="43" t="n">
        <f aca="false">PPMT($F98,1,In_Debt_Tenor*Months_In_Year/Months_Per_Period-SUM($J17:AS17)+1,AS96)*AS17</f>
        <v>-2177.49272696967</v>
      </c>
      <c r="AT99" s="43" t="n">
        <f aca="false">PPMT($F98,1,In_Debt_Tenor*Months_In_Year/Months_Per_Period-SUM($J17:AT17)+1,AT96)*AT17</f>
        <v>-2204.71138605679</v>
      </c>
      <c r="AU99" s="43" t="n">
        <f aca="false">PPMT($F98,1,In_Debt_Tenor*Months_In_Year/Months_Per_Period-SUM($J17:AU17)+1,AU96)*AU17</f>
        <v>-2232.2702783825</v>
      </c>
      <c r="AV99" s="43" t="n">
        <f aca="false">PPMT($F98,1,In_Debt_Tenor*Months_In_Year/Months_Per_Period-SUM($J17:AV17)+1,AV96)*AV17</f>
        <v>-2260.17365686228</v>
      </c>
      <c r="AW99" s="43" t="n">
        <f aca="false">PPMT($F98,1,In_Debt_Tenor*Months_In_Year/Months_Per_Period-SUM($J17:AW17)+1,AW96)*AW17</f>
        <v>-2288.42582757306</v>
      </c>
      <c r="AX99" s="43" t="n">
        <f aca="false">PPMT($F98,1,In_Debt_Tenor*Months_In_Year/Months_Per_Period-SUM($J17:AX17)+1,AX96)*AX17</f>
        <v>-2317.03115041772</v>
      </c>
      <c r="AY99" s="43" t="n">
        <f aca="false">PPMT($F98,1,In_Debt_Tenor*Months_In_Year/Months_Per_Period-SUM($J17:AY17)+1,AY96)*AY17</f>
        <v>-2345.99403979795</v>
      </c>
      <c r="AZ99" s="43" t="n">
        <f aca="false">PPMT($F98,1,In_Debt_Tenor*Months_In_Year/Months_Per_Period-SUM($J17:AZ17)+1,AZ96)*AZ17</f>
        <v>-2375.31896529542</v>
      </c>
      <c r="BA99" s="43" t="n">
        <f aca="false">PPMT($F98,1,In_Debt_Tenor*Months_In_Year/Months_Per_Period-SUM($J17:BA17)+1,BA96)*BA17</f>
        <v>-2405.01045236161</v>
      </c>
      <c r="BB99" s="43" t="n">
        <f aca="false">PPMT($F98,1,In_Debt_Tenor*Months_In_Year/Months_Per_Period-SUM($J17:BB17)+1,BB96)*BB17</f>
        <v>-2435.07308301613</v>
      </c>
      <c r="BC99" s="43" t="n">
        <f aca="false">PPMT($F98,1,In_Debt_Tenor*Months_In_Year/Months_Per_Period-SUM($J17:BC17)+1,BC96)*BC17</f>
        <v>-2465.51149655383</v>
      </c>
      <c r="BD99" s="43" t="n">
        <f aca="false">PPMT($F98,1,In_Debt_Tenor*Months_In_Year/Months_Per_Period-SUM($J17:BD17)+1,BD96)*BD17</f>
        <v>-2496.33039026076</v>
      </c>
      <c r="BE99" s="43" t="n">
        <f aca="false">PPMT($F98,1,In_Debt_Tenor*Months_In_Year/Months_Per_Period-SUM($J17:BE17)+1,BE96)*BE17</f>
        <v>-2527.53452013902</v>
      </c>
      <c r="BF99" s="43" t="n">
        <f aca="false">PPMT($F98,1,In_Debt_Tenor*Months_In_Year/Months_Per_Period-SUM($J17:BF17)+1,BF96)*BF17</f>
        <v>-2559.12870164076</v>
      </c>
      <c r="BG99" s="43" t="n">
        <f aca="false">PPMT($F98,1,In_Debt_Tenor*Months_In_Year/Months_Per_Period-SUM($J17:BG17)+1,BG96)*BG17</f>
        <v>-2591.11781041126</v>
      </c>
      <c r="BH99" s="43" t="n">
        <f aca="false">PPMT($F98,1,In_Debt_Tenor*Months_In_Year/Months_Per_Period-SUM($J17:BH17)+1,BH96)*BH17</f>
        <v>-2623.50678304141</v>
      </c>
      <c r="BI99" s="43" t="n">
        <f aca="false">PPMT($F98,1,In_Debt_Tenor*Months_In_Year/Months_Per_Period-SUM($J17:BI17)+1,BI96)*BI17</f>
        <v>-2656.30061782942</v>
      </c>
      <c r="BJ99" s="43" t="n">
        <f aca="false">PPMT($F98,1,In_Debt_Tenor*Months_In_Year/Months_Per_Period-SUM($J17:BJ17)+1,BJ96)*BJ17</f>
        <v>-2689.50437555229</v>
      </c>
      <c r="BK99" s="43" t="n">
        <f aca="false">PPMT($F98,1,In_Debt_Tenor*Months_In_Year/Months_Per_Period-SUM($J17:BK17)+1,BK96)*BK17</f>
        <v>-2723.12318024669</v>
      </c>
      <c r="BL99" s="43" t="n">
        <f aca="false">PPMT($F98,1,In_Debt_Tenor*Months_In_Year/Months_Per_Period-SUM($J17:BL17)+1,BL96)*BL17</f>
        <v>-2757.16221999978</v>
      </c>
      <c r="BM99" s="43" t="n">
        <f aca="false">PPMT($F98,1,In_Debt_Tenor*Months_In_Year/Months_Per_Period-SUM($J17:BM17)+1,BM96)*BM17</f>
        <v>-2791.62674774978</v>
      </c>
      <c r="BN99" s="43" t="n">
        <f aca="false">PPMT($F98,1,In_Debt_Tenor*Months_In_Year/Months_Per_Period-SUM($J17:BN17)+1,BN96)*BN17</f>
        <v>-2826.52208209665</v>
      </c>
      <c r="BO99" s="43" t="n">
        <f aca="false">PPMT($F98,1,In_Debt_Tenor*Months_In_Year/Months_Per_Period-SUM($J17:BO17)+1,BO96)*BO17</f>
        <v>-2861.85360812286</v>
      </c>
      <c r="BP99" s="43" t="n">
        <f aca="false">PPMT($F98,1,In_Debt_Tenor*Months_In_Year/Months_Per_Period-SUM($J17:BP17)+1,BP96)*BP17</f>
        <v>-2897.62677822439</v>
      </c>
      <c r="BQ99" s="43" t="n">
        <f aca="false">PPMT($F98,1,In_Debt_Tenor*Months_In_Year/Months_Per_Period-SUM($J17:BQ17)+1,BQ96)*BQ17</f>
        <v>-2933.8471129522</v>
      </c>
      <c r="BR99" s="43" t="n">
        <f aca="false">PPMT($F98,1,In_Debt_Tenor*Months_In_Year/Months_Per_Period-SUM($J17:BR17)+1,BR96)*BR17</f>
        <v>-2970.5202018641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11364.7262807311</v>
      </c>
      <c r="X100" s="52" t="n">
        <f aca="false">SUM(X96:X99)</f>
        <v>22624.4523729989</v>
      </c>
      <c r="Y100" s="52" t="n">
        <f aca="false">SUM(Y96:Y99)</f>
        <v>34148.4546749063</v>
      </c>
      <c r="Z100" s="52" t="n">
        <f aca="false">SUM(Z96:Z99)</f>
        <v>45940.0366390737</v>
      </c>
      <c r="AA100" s="52" t="n">
        <f aca="false">SUM(AA96:AA99)</f>
        <v>57879.0133777932</v>
      </c>
      <c r="AB100" s="52" t="n">
        <f aca="false">SUM(AB96:AB99)</f>
        <v>69720.1680587743</v>
      </c>
      <c r="AC100" s="52" t="n">
        <f aca="false">SUM(AC96:AC99)</f>
        <v>81832.8668067539</v>
      </c>
      <c r="AD100" s="52" t="n">
        <f aca="false">SUM(AD96:AD99)</f>
        <v>94220.5039225694</v>
      </c>
      <c r="AE100" s="52" t="n">
        <f aca="false">SUM(AE96:AE99)</f>
        <v>92390.6085172141</v>
      </c>
      <c r="AF100" s="52" t="n">
        <f aca="false">SUM(AF96:AF99)</f>
        <v>90537.8394192919</v>
      </c>
      <c r="AG100" s="52" t="n">
        <f aca="false">SUM(AG96:AG99)</f>
        <v>88661.9107076456</v>
      </c>
      <c r="AH100" s="52" t="n">
        <f aca="false">SUM(AH96:AH99)</f>
        <v>86762.5328871038</v>
      </c>
      <c r="AI100" s="52" t="n">
        <f aca="false">SUM(AI96:AI99)</f>
        <v>84839.4128438052</v>
      </c>
      <c r="AJ100" s="52" t="n">
        <f aca="false">SUM(AJ96:AJ99)</f>
        <v>82892.2537999654</v>
      </c>
      <c r="AK100" s="52" t="n">
        <f aca="false">SUM(AK96:AK99)</f>
        <v>80920.7552680775</v>
      </c>
      <c r="AL100" s="52" t="n">
        <f aca="false">SUM(AL96:AL99)</f>
        <v>78924.6130045411</v>
      </c>
      <c r="AM100" s="52" t="n">
        <f aca="false">SUM(AM96:AM99)</f>
        <v>76903.5189627105</v>
      </c>
      <c r="AN100" s="52" t="n">
        <f aca="false">SUM(AN96:AN99)</f>
        <v>74857.1612453569</v>
      </c>
      <c r="AO100" s="52" t="n">
        <f aca="false">SUM(AO96:AO99)</f>
        <v>72785.2240565365</v>
      </c>
      <c r="AP100" s="52" t="n">
        <f aca="false">SUM(AP96:AP99)</f>
        <v>70687.3876528558</v>
      </c>
      <c r="AQ100" s="52" t="n">
        <f aca="false">SUM(AQ96:AQ99)</f>
        <v>68563.3282941291</v>
      </c>
      <c r="AR100" s="52" t="n">
        <f aca="false">SUM(AR96:AR99)</f>
        <v>66412.7181934183</v>
      </c>
      <c r="AS100" s="52" t="n">
        <f aca="false">SUM(AS96:AS99)</f>
        <v>64235.2254664487</v>
      </c>
      <c r="AT100" s="52" t="n">
        <f aca="false">SUM(AT96:AT99)</f>
        <v>62030.5140803919</v>
      </c>
      <c r="AU100" s="52" t="n">
        <f aca="false">SUM(AU96:AU99)</f>
        <v>59798.2438020094</v>
      </c>
      <c r="AV100" s="52" t="n">
        <f aca="false">SUM(AV96:AV99)</f>
        <v>57538.0701451471</v>
      </c>
      <c r="AW100" s="52" t="n">
        <f aca="false">SUM(AW96:AW99)</f>
        <v>55249.644317574</v>
      </c>
      <c r="AX100" s="52" t="n">
        <f aca="false">SUM(AX96:AX99)</f>
        <v>52932.6131671563</v>
      </c>
      <c r="AY100" s="52" t="n">
        <f aca="false">SUM(AY96:AY99)</f>
        <v>50586.6191273584</v>
      </c>
      <c r="AZ100" s="52" t="n">
        <f aca="false">SUM(AZ96:AZ99)</f>
        <v>48211.3001620629</v>
      </c>
      <c r="BA100" s="52" t="n">
        <f aca="false">SUM(BA96:BA99)</f>
        <v>45806.2897097013</v>
      </c>
      <c r="BB100" s="52" t="n">
        <f aca="false">SUM(BB96:BB99)</f>
        <v>43371.2166266852</v>
      </c>
      <c r="BC100" s="52" t="n">
        <f aca="false">SUM(BC96:BC99)</f>
        <v>40905.7051301314</v>
      </c>
      <c r="BD100" s="52" t="n">
        <f aca="false">SUM(BD96:BD99)</f>
        <v>38409.3747398706</v>
      </c>
      <c r="BE100" s="52" t="n">
        <f aca="false">SUM(BE96:BE99)</f>
        <v>35881.8402197316</v>
      </c>
      <c r="BF100" s="52" t="n">
        <f aca="false">SUM(BF96:BF99)</f>
        <v>33322.7115180908</v>
      </c>
      <c r="BG100" s="52" t="n">
        <f aca="false">SUM(BG96:BG99)</f>
        <v>30731.5937076796</v>
      </c>
      <c r="BH100" s="52" t="n">
        <f aca="false">SUM(BH96:BH99)</f>
        <v>28108.0869246381</v>
      </c>
      <c r="BI100" s="52" t="n">
        <f aca="false">SUM(BI96:BI99)</f>
        <v>25451.7863068087</v>
      </c>
      <c r="BJ100" s="52" t="n">
        <f aca="false">SUM(BJ96:BJ99)</f>
        <v>22762.2819312564</v>
      </c>
      <c r="BK100" s="52" t="n">
        <f aca="false">SUM(BK96:BK99)</f>
        <v>20039.1587510097</v>
      </c>
      <c r="BL100" s="52" t="n">
        <f aca="false">SUM(BL96:BL99)</f>
        <v>17281.99653101</v>
      </c>
      <c r="BM100" s="52" t="n">
        <f aca="false">SUM(BM96:BM99)</f>
        <v>14490.3697832602</v>
      </c>
      <c r="BN100" s="52" t="n">
        <f aca="false">SUM(BN96:BN99)</f>
        <v>11663.8477011635</v>
      </c>
      <c r="BO100" s="52" t="n">
        <f aca="false">SUM(BO96:BO99)</f>
        <v>8801.99409304069</v>
      </c>
      <c r="BP100" s="52" t="n">
        <f aca="false">SUM(BP96:BP99)</f>
        <v>5904.36731481629</v>
      </c>
      <c r="BQ100" s="52" t="n">
        <f aca="false">SUM(BQ96:BQ99)</f>
        <v>2970.5202018641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-26085.5642529266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-1177.75629903212</v>
      </c>
      <c r="AF101" s="43" t="n">
        <f aca="false">-AF96*$F98*(AF$4&gt;In_COD)</f>
        <v>-1154.88260646518</v>
      </c>
      <c r="AG101" s="43" t="n">
        <f aca="false">-AG96*$F98*(AG$4&gt;In_COD)</f>
        <v>-1131.72299274115</v>
      </c>
      <c r="AH101" s="43" t="n">
        <f aca="false">-AH96*$F98*(AH$4&gt;In_COD)</f>
        <v>-1108.27388384557</v>
      </c>
      <c r="AI101" s="43" t="n">
        <f aca="false">-AI96*$F98*(AI$4&gt;In_COD)</f>
        <v>-1084.5316610888</v>
      </c>
      <c r="AJ101" s="43" t="n">
        <f aca="false">-AJ96*$F98*(AJ$4&gt;In_COD)</f>
        <v>-1060.49266054757</v>
      </c>
      <c r="AK101" s="43" t="n">
        <f aca="false">-AK96*$F98*(AK$4&gt;In_COD)</f>
        <v>-1036.15317249957</v>
      </c>
      <c r="AL101" s="43" t="n">
        <f aca="false">-AL96*$F98*(AL$4&gt;In_COD)</f>
        <v>-1011.50944085097</v>
      </c>
      <c r="AM101" s="43" t="n">
        <f aca="false">-AM96*$F98*(AM$4&gt;In_COD)</f>
        <v>-986.557662556764</v>
      </c>
      <c r="AN101" s="43" t="n">
        <f aca="false">-AN96*$F98*(AN$4&gt;In_COD)</f>
        <v>-961.293987033881</v>
      </c>
      <c r="AO101" s="43" t="n">
        <f aca="false">-AO96*$F98*(AO$4&gt;In_COD)</f>
        <v>-935.714515566962</v>
      </c>
      <c r="AP101" s="43" t="n">
        <f aca="false">-AP96*$F98*(AP$4&gt;In_COD)</f>
        <v>-909.815300706707</v>
      </c>
      <c r="AQ101" s="43" t="n">
        <f aca="false">-AQ96*$F98*(AQ$4&gt;In_COD)</f>
        <v>-883.592345660698</v>
      </c>
      <c r="AR101" s="43" t="n">
        <f aca="false">-AR96*$F98*(AR$4&gt;In_COD)</f>
        <v>-857.041603676614</v>
      </c>
      <c r="AS101" s="43" t="n">
        <f aca="false">-AS96*$F98*(AS$4&gt;In_COD)</f>
        <v>-830.158977417729</v>
      </c>
      <c r="AT101" s="43" t="n">
        <f aca="false">-AT96*$F98*(AT$4&gt;In_COD)</f>
        <v>-802.940318330608</v>
      </c>
      <c r="AU101" s="43" t="n">
        <f aca="false">-AU96*$F98*(AU$4&gt;In_COD)</f>
        <v>-775.381426004899</v>
      </c>
      <c r="AV101" s="43" t="n">
        <f aca="false">-AV96*$F98*(AV$4&gt;In_COD)</f>
        <v>-747.478047525117</v>
      </c>
      <c r="AW101" s="43" t="n">
        <f aca="false">-AW96*$F98*(AW$4&gt;In_COD)</f>
        <v>-719.225876814339</v>
      </c>
      <c r="AX101" s="43" t="n">
        <f aca="false">-AX96*$F98*(AX$4&gt;In_COD)</f>
        <v>-690.620553969676</v>
      </c>
      <c r="AY101" s="43" t="n">
        <f aca="false">-AY96*$F98*(AY$4&gt;In_COD)</f>
        <v>-661.657664589454</v>
      </c>
      <c r="AZ101" s="43" t="n">
        <f aca="false">-AZ96*$F98*(AZ$4&gt;In_COD)</f>
        <v>-632.33273909198</v>
      </c>
      <c r="BA101" s="43" t="n">
        <f aca="false">-BA96*$F98*(BA$4&gt;In_COD)</f>
        <v>-602.641252025787</v>
      </c>
      <c r="BB101" s="43" t="n">
        <f aca="false">-BB96*$F98*(BB$4&gt;In_COD)</f>
        <v>-572.578621371267</v>
      </c>
      <c r="BC101" s="43" t="n">
        <f aca="false">-BC96*$F98*(BC$4&gt;In_COD)</f>
        <v>-542.140207833565</v>
      </c>
      <c r="BD101" s="43" t="n">
        <f aca="false">-BD96*$F98*(BD$4&gt;In_COD)</f>
        <v>-511.321314126642</v>
      </c>
      <c r="BE101" s="43" t="n">
        <f aca="false">-BE96*$F98*(BE$4&gt;In_COD)</f>
        <v>-480.117184248382</v>
      </c>
      <c r="BF101" s="43" t="n">
        <f aca="false">-BF96*$F98*(BF$4&gt;In_COD)</f>
        <v>-448.523002746645</v>
      </c>
      <c r="BG101" s="43" t="n">
        <f aca="false">-BG96*$F98*(BG$4&gt;In_COD)</f>
        <v>-416.533893976135</v>
      </c>
      <c r="BH101" s="43" t="n">
        <f aca="false">-BH96*$F98*(BH$4&gt;In_COD)</f>
        <v>-384.144921345995</v>
      </c>
      <c r="BI101" s="43" t="n">
        <f aca="false">-BI96*$F98*(BI$4&gt;In_COD)</f>
        <v>-351.351086557977</v>
      </c>
      <c r="BJ101" s="43" t="n">
        <f aca="false">-BJ96*$F98*(BJ$4&gt;In_COD)</f>
        <v>-318.147328835109</v>
      </c>
      <c r="BK101" s="43" t="n">
        <f aca="false">-BK96*$F98*(BK$4&gt;In_COD)</f>
        <v>-284.528524140706</v>
      </c>
      <c r="BL101" s="43" t="n">
        <f aca="false">-BL96*$F98*(BL$4&gt;In_COD)</f>
        <v>-250.489484387622</v>
      </c>
      <c r="BM101" s="43" t="n">
        <f aca="false">-BM96*$F98*(BM$4&gt;In_COD)</f>
        <v>-216.024956637625</v>
      </c>
      <c r="BN101" s="43" t="n">
        <f aca="false">-BN96*$F98*(BN$4&gt;In_COD)</f>
        <v>-181.129622290752</v>
      </c>
      <c r="BO101" s="43" t="n">
        <f aca="false">-BO96*$F98*(BO$4&gt;In_COD)</f>
        <v>-145.798096264544</v>
      </c>
      <c r="BP101" s="43" t="n">
        <f aca="false">-BP96*$F98*(BP$4&gt;In_COD)</f>
        <v>-110.024926163009</v>
      </c>
      <c r="BQ101" s="43" t="n">
        <f aca="false">-BQ96*$F98*(BQ$4&gt;In_COD)</f>
        <v>-73.8045914352037</v>
      </c>
      <c r="BR101" s="43" t="n">
        <f aca="false">-BR96*$F98*(BR$4&gt;In_COD)</f>
        <v>-37.1315025233012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-1578.0910677863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-1578.0910677863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-913.046779829394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-204.56507305316</v>
      </c>
      <c r="X103" s="43" t="n">
        <f aca="false">-In_Commitment_Fee*($E97-SUM($J97:X97)+X97)*X$6*(X13&gt;0)</f>
        <v>-174.897654775349</v>
      </c>
      <c r="Y103" s="43" t="n">
        <f aca="false">-In_Commitment_Fee*($E97-SUM($J97:Y97)+Y97)*Y$6*(Y13&gt;0)</f>
        <v>-151.894744833457</v>
      </c>
      <c r="Z103" s="43" t="n">
        <f aca="false">-In_Commitment_Fee*($E97-SUM($J97:Z97)+Z97)*Z$6*(Z13&gt;0)</f>
        <v>-128.063340253827</v>
      </c>
      <c r="AA103" s="43" t="n">
        <f aca="false">-In_Commitment_Fee*($E97-SUM($J97:AA97)+AA97)*AA$6*(AA13&gt;0)</f>
        <v>-102.28253652658</v>
      </c>
      <c r="AB103" s="43" t="n">
        <f aca="false">-In_Commitment_Fee*($E97-SUM($J97:AB97)+AB97)*AB$6*(AB13&gt;0)</f>
        <v>-74.8386516515207</v>
      </c>
      <c r="AC103" s="43" t="n">
        <f aca="false">-In_Commitment_Fee*($E97-SUM($J97:AC97)+AC97)*AC$6*(AC13&gt;0)</f>
        <v>-50.723975008253</v>
      </c>
      <c r="AD103" s="43" t="n">
        <f aca="false">-In_Commitment_Fee*($E97-SUM($J97:AD97)+AD97)*AD$6*(AD13&gt;0)</f>
        <v>-25.7808037272475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-152785.525255835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-17550.5739490586</v>
      </c>
      <c r="X104" s="52" t="n">
        <f aca="false">X93+X53+X94+X102+X103</f>
        <v>-15600.0346410767</v>
      </c>
      <c r="Y104" s="52" t="n">
        <f aca="false">Y93+Y53+Y94+Y102+Y103</f>
        <v>-15748.4221420937</v>
      </c>
      <c r="Z104" s="52" t="n">
        <f aca="false">Z93+Z53+Z94+Z102+Z103</f>
        <v>-15895.981148473</v>
      </c>
      <c r="AA104" s="52" t="n">
        <f aca="false">AA93+AA53+AA94+AA102+AA103</f>
        <v>-15870.2003447458</v>
      </c>
      <c r="AB104" s="52" t="n">
        <f aca="false">AB93+AB53+AB94+AB102+AB103</f>
        <v>-15499.9756379529</v>
      </c>
      <c r="AC104" s="52" t="n">
        <f aca="false">AC93+AC53+AC94+AC102+AC103</f>
        <v>-15647.2513722685</v>
      </c>
      <c r="AD104" s="52" t="n">
        <f aca="false">AD93+AD53+AD94+AD102+AD103</f>
        <v>-20793.6986119464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-20794.4767338331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-182.296109589041</v>
      </c>
      <c r="AF117" s="43" t="n">
        <f aca="false">-$E31*AF110/Thousand</f>
        <v>-180.314630136986</v>
      </c>
      <c r="AG117" s="43" t="n">
        <f aca="false">-$E31*AG110/Thousand</f>
        <v>-180.314630136986</v>
      </c>
      <c r="AH117" s="43" t="n">
        <f aca="false">-$E31*AH110/Thousand</f>
        <v>-182.296109589041</v>
      </c>
      <c r="AI117" s="43" t="n">
        <f aca="false">-$E31*AI110/Thousand</f>
        <v>-181.749221260274</v>
      </c>
      <c r="AJ117" s="43" t="n">
        <f aca="false">-$E31*AJ110/Thousand</f>
        <v>-177.798151232877</v>
      </c>
      <c r="AK117" s="43" t="n">
        <f aca="false">-$E31*AK110/Thousand</f>
        <v>-179.773686246575</v>
      </c>
      <c r="AL117" s="43" t="n">
        <f aca="false">-$E31*AL110/Thousand</f>
        <v>-181.749221260274</v>
      </c>
      <c r="AM117" s="43" t="n">
        <f aca="false">-$E31*AM110/Thousand</f>
        <v>-181.203973596493</v>
      </c>
      <c r="AN117" s="43" t="n">
        <f aca="false">-$E31*AN110/Thousand</f>
        <v>-177.264756779178</v>
      </c>
      <c r="AO117" s="43" t="n">
        <f aca="false">-$E31*AO110/Thousand</f>
        <v>-179.234365187836</v>
      </c>
      <c r="AP117" s="43" t="n">
        <f aca="false">-$E31*AP110/Thousand</f>
        <v>-181.203973596493</v>
      </c>
      <c r="AQ117" s="43" t="n">
        <f aca="false">-$E31*AQ110/Thousand</f>
        <v>-180.660361675704</v>
      </c>
      <c r="AR117" s="43" t="n">
        <f aca="false">-$E31*AR110/Thousand</f>
        <v>-176.732962508841</v>
      </c>
      <c r="AS117" s="43" t="n">
        <f aca="false">-$E31*AS110/Thousand</f>
        <v>-178.696662092272</v>
      </c>
      <c r="AT117" s="43" t="n">
        <f aca="false">-$E31*AT110/Thousand</f>
        <v>-180.660361675704</v>
      </c>
      <c r="AU117" s="43" t="n">
        <f aca="false">-$E31*AU110/Thousand</f>
        <v>-180.118380590677</v>
      </c>
      <c r="AV117" s="43" t="n">
        <f aca="false">-$E31*AV110/Thousand</f>
        <v>-178.160572105995</v>
      </c>
      <c r="AW117" s="43" t="n">
        <f aca="false">-$E31*AW110/Thousand</f>
        <v>-178.160572105995</v>
      </c>
      <c r="AX117" s="43" t="n">
        <f aca="false">-$E31*AX110/Thousand</f>
        <v>-180.118380590677</v>
      </c>
      <c r="AY117" s="43" t="n">
        <f aca="false">-$E31*AY110/Thousand</f>
        <v>-179.578025448905</v>
      </c>
      <c r="AZ117" s="43" t="n">
        <f aca="false">-$E31*AZ110/Thousand</f>
        <v>-175.67415533045</v>
      </c>
      <c r="BA117" s="43" t="n">
        <f aca="false">-$E31*BA110/Thousand</f>
        <v>-177.626090389677</v>
      </c>
      <c r="BB117" s="43" t="n">
        <f aca="false">-$E31*BB110/Thousand</f>
        <v>-179.578025448905</v>
      </c>
      <c r="BC117" s="43" t="n">
        <f aca="false">-$E31*BC110/Thousand</f>
        <v>-179.039291372558</v>
      </c>
      <c r="BD117" s="43" t="n">
        <f aca="false">-$E31*BD110/Thousand</f>
        <v>-175.147132864459</v>
      </c>
      <c r="BE117" s="43" t="n">
        <f aca="false">-$E31*BE110/Thousand</f>
        <v>-177.093212118508</v>
      </c>
      <c r="BF117" s="43" t="n">
        <f aca="false">-$E31*BF110/Thousand</f>
        <v>-179.039291372558</v>
      </c>
      <c r="BG117" s="43" t="n">
        <f aca="false">-$E31*BG110/Thousand</f>
        <v>-178.50217349844</v>
      </c>
      <c r="BH117" s="43" t="n">
        <f aca="false">-$E31*BH110/Thousand</f>
        <v>-174.621691465865</v>
      </c>
      <c r="BI117" s="43" t="n">
        <f aca="false">-$E31*BI110/Thousand</f>
        <v>-176.561932482153</v>
      </c>
      <c r="BJ117" s="43" t="n">
        <f aca="false">-$E31*BJ110/Thousand</f>
        <v>-178.50217349844</v>
      </c>
      <c r="BK117" s="43" t="n">
        <f aca="false">-$E31*BK110/Thousand</f>
        <v>-177.966666977945</v>
      </c>
      <c r="BL117" s="43" t="n">
        <f aca="false">-$E31*BL110/Thousand</f>
        <v>-176.032246684706</v>
      </c>
      <c r="BM117" s="43" t="n">
        <f aca="false">-$E31*BM110/Thousand</f>
        <v>-176.032246684706</v>
      </c>
      <c r="BN117" s="43" t="n">
        <f aca="false">-$E31*BN110/Thousand</f>
        <v>-177.966666977945</v>
      </c>
      <c r="BO117" s="43" t="n">
        <f aca="false">-$E31*BO110/Thousand</f>
        <v>-177.432766977011</v>
      </c>
      <c r="BP117" s="43" t="n">
        <f aca="false">-$E31*BP110/Thousand</f>
        <v>-173.575532912293</v>
      </c>
      <c r="BQ117" s="43" t="n">
        <f aca="false">-$E31*BQ110/Thousand</f>
        <v>-175.504149944652</v>
      </c>
      <c r="BR117" s="43" t="n">
        <f aca="false">-$E31*BR110/Thousand</f>
        <v>-177.432766977011</v>
      </c>
      <c r="BS117" s="43" t="n">
        <f aca="false">-$E31*BS110/Thousand</f>
        <v>-176.90046867608</v>
      </c>
      <c r="BT117" s="43" t="n">
        <f aca="false">-$E31*BT110/Thousand</f>
        <v>-173.054806313556</v>
      </c>
      <c r="BU117" s="43" t="n">
        <f aca="false">-$E31*BU110/Thousand</f>
        <v>-174.977637494818</v>
      </c>
      <c r="BV117" s="43" t="n">
        <f aca="false">-$E31*BV110/Thousand</f>
        <v>-176.90046867608</v>
      </c>
      <c r="BW117" s="43" t="n">
        <f aca="false">-$E31*BW110/Thousand</f>
        <v>-176.369767270052</v>
      </c>
      <c r="BX117" s="43" t="n">
        <f aca="false">-$E31*BX110/Thousand</f>
        <v>-172.535641894616</v>
      </c>
      <c r="BY117" s="43" t="n">
        <f aca="false">-$E31*BY110/Thousand</f>
        <v>-174.452704582334</v>
      </c>
      <c r="BZ117" s="43" t="n">
        <f aca="false">-$E31*BZ110/Thousand</f>
        <v>-176.369767270052</v>
      </c>
      <c r="CA117" s="43" t="n">
        <f aca="false">-$E31*CA110/Thousand</f>
        <v>-175.840657968242</v>
      </c>
      <c r="CB117" s="43" t="n">
        <f aca="false">-$E31*CB110/Thousand</f>
        <v>-173.929346468587</v>
      </c>
      <c r="CC117" s="43" t="n">
        <f aca="false">-$E31*CC110/Thousand</f>
        <v>-173.929346468587</v>
      </c>
      <c r="CD117" s="43" t="n">
        <f aca="false">-$E31*CD110/Thousand</f>
        <v>-175.840657968242</v>
      </c>
      <c r="CE117" s="43" t="n">
        <f aca="false">-$E31*CE110/Thousand</f>
        <v>-175.313135994337</v>
      </c>
      <c r="CF117" s="43" t="n">
        <f aca="false">-$E31*CF110/Thousand</f>
        <v>-171.501980864025</v>
      </c>
      <c r="CG117" s="43" t="n">
        <f aca="false">-$E31*CG110/Thousand</f>
        <v>-173.407558429181</v>
      </c>
      <c r="CH117" s="43" t="n">
        <f aca="false">-$E31*CH110/Thousand</f>
        <v>-175.313135994337</v>
      </c>
      <c r="CI117" s="43" t="n">
        <f aca="false">-$E31*CI110/Thousand</f>
        <v>-174.787196586354</v>
      </c>
      <c r="CJ117" s="43" t="n">
        <f aca="false">-$E31*CJ110/Thousand</f>
        <v>-170.987474921433</v>
      </c>
      <c r="CK117" s="43" t="n">
        <f aca="false">-$E31*CK110/Thousand</f>
        <v>-172.887335753893</v>
      </c>
      <c r="CL117" s="43" t="n">
        <f aca="false">-$E31*CL110/Thousand</f>
        <v>-174.787196586354</v>
      </c>
      <c r="CM117" s="43" t="n">
        <f aca="false">-$E31*CM110/Thousand</f>
        <v>-174.262834996595</v>
      </c>
      <c r="CN117" s="43" t="n">
        <f aca="false">-$E31*CN110/Thousand</f>
        <v>-170.474512496669</v>
      </c>
      <c r="CO117" s="43" t="n">
        <f aca="false">-$E31*CO110/Thousand</f>
        <v>-172.368673746632</v>
      </c>
      <c r="CP117" s="43" t="n">
        <f aca="false">-$E31*CP110/Thousand</f>
        <v>-174.262834996595</v>
      </c>
      <c r="CQ117" s="43" t="n">
        <f aca="false">-$E31*CQ110/Thousand</f>
        <v>-173.740046491605</v>
      </c>
      <c r="CR117" s="43" t="n">
        <f aca="false">-$E31*CR110/Thousand</f>
        <v>-171.851567725392</v>
      </c>
      <c r="CS117" s="43" t="n">
        <f aca="false">-$E31*CS110/Thousand</f>
        <v>-171.851567725392</v>
      </c>
      <c r="CT117" s="43" t="n">
        <f aca="false">-$E31*CT110/Thousand</f>
        <v>-173.740046491605</v>
      </c>
      <c r="CU117" s="43" t="n">
        <f aca="false">-$E31*CU110/Thousand</f>
        <v>-173.21882635213</v>
      </c>
      <c r="CV117" s="43" t="n">
        <f aca="false">-$E31*CV110/Thousand</f>
        <v>-169.453199692301</v>
      </c>
      <c r="CW117" s="43" t="n">
        <f aca="false">-$E31*CW110/Thousand</f>
        <v>-171.336013022216</v>
      </c>
      <c r="CX117" s="43" t="n">
        <f aca="false">-$E31*CX110/Thousand</f>
        <v>-173.21882635213</v>
      </c>
      <c r="CY117" s="43" t="n">
        <f aca="false">-$E31*CY110/Thousand</f>
        <v>-172.699169873074</v>
      </c>
      <c r="CZ117" s="43" t="n">
        <f aca="false">-$E31*CZ110/Thousand</f>
        <v>-168.944840093224</v>
      </c>
      <c r="DA117" s="43" t="n">
        <f aca="false">-$E31*DA110/Thousand</f>
        <v>-170.822004983149</v>
      </c>
      <c r="DB117" s="43" t="n">
        <f aca="false">-$E31*DB110/Thousand</f>
        <v>-172.699169873074</v>
      </c>
      <c r="DC117" s="43" t="n">
        <f aca="false">-$E31*DC110/Thousand</f>
        <v>-172.181072363455</v>
      </c>
      <c r="DD117" s="43" t="n">
        <f aca="false">-$E31*DD110/Thousand</f>
        <v>-168.438005572945</v>
      </c>
      <c r="DE117" s="43" t="n">
        <f aca="false">-$E31*DE110/Thousand</f>
        <v>-170.3095389682</v>
      </c>
      <c r="DF117" s="43" t="n">
        <f aca="false">-$E31*DF110/Thousand</f>
        <v>-172.181072363455</v>
      </c>
      <c r="DG117" s="43" t="n">
        <f aca="false">-$E31*DG110/Thousand</f>
        <v>-171.664529146364</v>
      </c>
      <c r="DH117" s="43" t="n">
        <f aca="false">-$E31*DH110/Thousand</f>
        <v>-169.798610351295</v>
      </c>
      <c r="DI117" s="43" t="n">
        <f aca="false">-$E31*DI110/Thousand</f>
        <v>-169.798610351295</v>
      </c>
      <c r="DJ117" s="43" t="n">
        <f aca="false">-$E31*DJ110/Thousand</f>
        <v>-171.664529146364</v>
      </c>
      <c r="DK117" s="43" t="n">
        <f aca="false">-$E31*DK110/Thousand</f>
        <v>-171.149535558925</v>
      </c>
      <c r="DL117" s="43" t="n">
        <f aca="false">-$E31*DL110/Thousand</f>
        <v>-167.428893481557</v>
      </c>
      <c r="DM117" s="43" t="n">
        <f aca="false">-$E31*DM110/Thousand</f>
        <v>-169.289214520241</v>
      </c>
      <c r="DN117" s="43" t="n">
        <f aca="false">-$E31*DN110/Thousand</f>
        <v>-171.149535558925</v>
      </c>
      <c r="DO117" s="43" t="n">
        <f aca="false">-$E31*DO110/Thousand</f>
        <v>-170.636086952248</v>
      </c>
      <c r="DP117" s="43" t="n">
        <f aca="false">-$E31*DP110/Thousand</f>
        <v>-166.926606801112</v>
      </c>
      <c r="DQ117" s="43" t="n">
        <f aca="false">-$E31*DQ110/Thousand</f>
        <v>-168.78134687668</v>
      </c>
      <c r="DR117" s="43" t="n">
        <f aca="false">-$E31*DR110/Thousand</f>
        <v>-170.636086952248</v>
      </c>
      <c r="DS117" s="43" t="n">
        <f aca="false">-$E31*DS110/Thousand</f>
        <v>-170.124178691392</v>
      </c>
      <c r="DT117" s="43" t="n">
        <f aca="false">-$E31*DT110/Thousand</f>
        <v>-166.425826980709</v>
      </c>
      <c r="DU117" s="43" t="n">
        <f aca="false">-$E31*DU110/Thousand</f>
        <v>-168.27500283605</v>
      </c>
      <c r="DV117" s="43" t="n">
        <f aca="false">-$E31*DV110/Thousand</f>
        <v>-170.124178691392</v>
      </c>
      <c r="DW117" s="43" t="n">
        <f aca="false">-$E31*DW110/Thousand</f>
        <v>-169.613806155317</v>
      </c>
      <c r="DX117" s="43" t="n">
        <f aca="false">-$E31*DX110/Thousand</f>
        <v>-167.770177827542</v>
      </c>
      <c r="DY117" s="43" t="n">
        <f aca="false">-$E31*DY110/Thousand</f>
        <v>-167.770177827542</v>
      </c>
      <c r="DZ117" s="43" t="n">
        <f aca="false">-$E31*DZ110/Thousand</f>
        <v>-169.613806155317</v>
      </c>
      <c r="EA117" s="43" t="n">
        <f aca="false">-$E31*EA110/Thousand</f>
        <v>-169.104964736851</v>
      </c>
      <c r="EB117" s="43" t="n">
        <f aca="false">-$E31*EB110/Thousand</f>
        <v>-165.428769851268</v>
      </c>
      <c r="EC117" s="43" t="n">
        <f aca="false">-$E31*EC110/Thousand</f>
        <v>-167.26686729406</v>
      </c>
      <c r="ED117" s="43" t="n">
        <f aca="false">-$E31*ED110/Thousand</f>
        <v>-169.104964736851</v>
      </c>
      <c r="EE117" s="43" t="n">
        <f aca="false">-$E31*EE110/Thousand</f>
        <v>-168.597649842641</v>
      </c>
      <c r="EF117" s="43" t="n">
        <f aca="false">-$E31*EF110/Thousand</f>
        <v>-164.932483541714</v>
      </c>
      <c r="EG117" s="43" t="n">
        <f aca="false">-$E31*EG110/Thousand</f>
        <v>-166.765066692177</v>
      </c>
      <c r="EH117" s="43" t="n">
        <f aca="false">-$E31*EH110/Thousand</f>
        <v>-168.597649842641</v>
      </c>
      <c r="EI117" s="43" t="n">
        <f aca="false">-$E31*EI110/Thousand</f>
        <v>-168.091856893113</v>
      </c>
      <c r="EJ117" s="43" t="n">
        <f aca="false">-$E31*EJ110/Thousand</f>
        <v>-164.437686091089</v>
      </c>
      <c r="EK117" s="43" t="n">
        <f aca="false">-$E31*EK110/Thousand</f>
        <v>-166.264771492101</v>
      </c>
      <c r="EL117" s="43" t="n">
        <f aca="false">-$E31*EL110/Thousand</f>
        <v>-168.091856893113</v>
      </c>
      <c r="EM117" s="43" t="n">
        <f aca="false">-$E31*EM110/Thousand</f>
        <v>-167.587581322434</v>
      </c>
      <c r="EN117" s="43" t="n">
        <f aca="false">-$E31*EN110/Thousand</f>
        <v>-165.765977177625</v>
      </c>
      <c r="EO117" s="43" t="n">
        <f aca="false">-$E31*EO110/Thousand</f>
        <v>-165.765977177625</v>
      </c>
      <c r="EP117" s="43" t="n">
        <f aca="false">-$E31*EP110/Thousand</f>
        <v>-167.587581322434</v>
      </c>
      <c r="EQ117" s="43" t="n">
        <f aca="false">-$E31*EQ110/Thousand</f>
        <v>-167.084818578466</v>
      </c>
      <c r="ER117" s="43" t="n">
        <f aca="false">-$E31*ER110/Thousand</f>
        <v>-163.452539913717</v>
      </c>
      <c r="ES117" s="43" t="n">
        <f aca="false">-$E31*ES110/Thousand</f>
        <v>-165.268679246092</v>
      </c>
      <c r="ET117" s="43" t="n">
        <f aca="false">-$E31*ET110/Thousand</f>
        <v>-167.084818578466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511909.275115853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4151.10652734247</v>
      </c>
      <c r="AF118" s="52" t="n">
        <f aca="false">SUM(AF111:AF117)</f>
        <v>4133.70976185041</v>
      </c>
      <c r="AG118" s="52" t="n">
        <f aca="false">SUM(AG111:AG117)</f>
        <v>4133.70976185041</v>
      </c>
      <c r="AH118" s="52" t="n">
        <f aca="false">SUM(AH111:AH117)</f>
        <v>4179.13514384877</v>
      </c>
      <c r="AI118" s="52" t="n">
        <f aca="false">SUM(AI111:AI117)</f>
        <v>4164.44111033503</v>
      </c>
      <c r="AJ118" s="52" t="n">
        <f aca="false">SUM(AJ111:AJ117)</f>
        <v>4101.09425535863</v>
      </c>
      <c r="AK118" s="52" t="n">
        <f aca="false">SUM(AK111:AK117)</f>
        <v>4146.66196930706</v>
      </c>
      <c r="AL118" s="52" t="n">
        <f aca="false">SUM(AL111:AL117)</f>
        <v>4192.22968325549</v>
      </c>
      <c r="AM118" s="52" t="n">
        <f aca="false">SUM(AM111:AM117)</f>
        <v>4177.44245042148</v>
      </c>
      <c r="AN118" s="52" t="n">
        <f aca="false">SUM(AN111:AN117)</f>
        <v>4113.56620598525</v>
      </c>
      <c r="AO118" s="52" t="n">
        <f aca="false">SUM(AO111:AO117)</f>
        <v>4159.27249716287</v>
      </c>
      <c r="AP118" s="52" t="n">
        <f aca="false">SUM(AP111:AP117)</f>
        <v>4204.97878834048</v>
      </c>
      <c r="AQ118" s="52" t="n">
        <f aca="false">SUM(AQ111:AQ117)</f>
        <v>4190.09804459661</v>
      </c>
      <c r="AR118" s="52" t="n">
        <f aca="false">SUM(AR111:AR117)</f>
        <v>4125.68766802944</v>
      </c>
      <c r="AS118" s="52" t="n">
        <f aca="false">SUM(AS111:AS117)</f>
        <v>4171.52864211866</v>
      </c>
      <c r="AT118" s="52" t="n">
        <f aca="false">SUM(AT111:AT117)</f>
        <v>4217.36961620788</v>
      </c>
      <c r="AU118" s="52" t="n">
        <f aca="false">SUM(AU111:AU117)</f>
        <v>4202.39505479593</v>
      </c>
      <c r="AV118" s="52" t="n">
        <f aca="false">SUM(AV111:AV117)</f>
        <v>4183.41736098541</v>
      </c>
      <c r="AW118" s="52" t="n">
        <f aca="false">SUM(AW111:AW117)</f>
        <v>4183.41736098541</v>
      </c>
      <c r="AX118" s="52" t="n">
        <f aca="false">SUM(AX111:AX117)</f>
        <v>4229.38898033689</v>
      </c>
      <c r="AY118" s="52" t="n">
        <f aca="false">SUM(AY111:AY117)</f>
        <v>4214.32029951848</v>
      </c>
      <c r="AZ118" s="52" t="n">
        <f aca="false">SUM(AZ111:AZ117)</f>
        <v>4148.8271823853</v>
      </c>
      <c r="BA118" s="52" t="n">
        <f aca="false">SUM(BA111:BA117)</f>
        <v>4194.92526218958</v>
      </c>
      <c r="BB118" s="52" t="n">
        <f aca="false">SUM(BB111:BB117)</f>
        <v>4241.02334199387</v>
      </c>
      <c r="BC118" s="52" t="n">
        <f aca="false">SUM(BC111:BC117)</f>
        <v>4225.86024524354</v>
      </c>
      <c r="BD118" s="52" t="n">
        <f aca="false">SUM(BD111:BD117)</f>
        <v>4159.81839270627</v>
      </c>
      <c r="BE118" s="52" t="n">
        <f aca="false">SUM(BE111:BE117)</f>
        <v>4206.03859706967</v>
      </c>
      <c r="BF118" s="52" t="n">
        <f aca="false">SUM(BF111:BF117)</f>
        <v>4252.25880143308</v>
      </c>
      <c r="BG118" s="52" t="n">
        <f aca="false">SUM(BG111:BG117)</f>
        <v>4237.00099763633</v>
      </c>
      <c r="BH118" s="52" t="n">
        <f aca="false">SUM(BH111:BH117)</f>
        <v>4170.40541303597</v>
      </c>
      <c r="BI118" s="52" t="n">
        <f aca="false">SUM(BI111:BI117)</f>
        <v>4216.74325095859</v>
      </c>
      <c r="BJ118" s="52" t="n">
        <f aca="false">SUM(BJ111:BJ117)</f>
        <v>4263.08108888121</v>
      </c>
      <c r="BK118" s="52" t="n">
        <f aca="false">SUM(BK111:BK117)</f>
        <v>4247.72829253731</v>
      </c>
      <c r="BL118" s="52" t="n">
        <f aca="false">SUM(BL111:BL117)</f>
        <v>4227.02473404685</v>
      </c>
      <c r="BM118" s="52" t="n">
        <f aca="false">SUM(BM111:BM117)</f>
        <v>4227.02473404685</v>
      </c>
      <c r="BN118" s="52" t="n">
        <f aca="false">SUM(BN111:BN117)</f>
        <v>4273.47555530011</v>
      </c>
      <c r="BO118" s="52" t="n">
        <f aca="false">SUM(BO111:BO117)</f>
        <v>4258.02748673002</v>
      </c>
      <c r="BP118" s="52" t="n">
        <f aca="false">SUM(BP111:BP117)</f>
        <v>4190.30918111972</v>
      </c>
      <c r="BQ118" s="52" t="n">
        <f aca="false">SUM(BQ111:BQ117)</f>
        <v>4236.86817202105</v>
      </c>
      <c r="BR118" s="52" t="n">
        <f aca="false">SUM(BR111:BR117)</f>
        <v>4283.42716292238</v>
      </c>
      <c r="BS118" s="52" t="n">
        <f aca="false">SUM(BS111:BS117)</f>
        <v>4267.88354848182</v>
      </c>
      <c r="BT118" s="52" t="n">
        <f aca="false">SUM(BT111:BT117)</f>
        <v>4199.59611739008</v>
      </c>
      <c r="BU118" s="52" t="n">
        <f aca="false">SUM(BU111:BU117)</f>
        <v>4246.25829647219</v>
      </c>
      <c r="BV118" s="52" t="n">
        <f aca="false">SUM(BV111:BV117)</f>
        <v>4292.9204755543</v>
      </c>
      <c r="BW118" s="52" t="n">
        <f aca="false">SUM(BW111:BW117)</f>
        <v>4277.28104785204</v>
      </c>
      <c r="BX118" s="52" t="n">
        <f aca="false">SUM(BX111:BX117)</f>
        <v>4208.41922149599</v>
      </c>
      <c r="BY118" s="52" t="n">
        <f aca="false">SUM(BY111:BY117)</f>
        <v>4255.17943506817</v>
      </c>
      <c r="BZ118" s="52" t="n">
        <f aca="false">SUM(BZ111:BZ117)</f>
        <v>4301.93964864034</v>
      </c>
      <c r="CA118" s="52" t="n">
        <f aca="false">SUM(CA111:CA117)</f>
        <v>4286.20414676194</v>
      </c>
      <c r="CB118" s="52" t="n">
        <f aca="false">SUM(CB111:CB117)</f>
        <v>4263.61550148466</v>
      </c>
      <c r="CC118" s="52" t="n">
        <f aca="false">SUM(CC111:CC117)</f>
        <v>4263.61550148466</v>
      </c>
      <c r="CD118" s="52" t="n">
        <f aca="false">SUM(CD111:CD117)</f>
        <v>4310.4684190834</v>
      </c>
      <c r="CE118" s="52" t="n">
        <f aca="false">SUM(CE111:CE117)</f>
        <v>4294.63658882035</v>
      </c>
      <c r="CF118" s="52" t="n">
        <f aca="false">SUM(CF111:CF117)</f>
        <v>4224.60987536228</v>
      </c>
      <c r="CG118" s="52" t="n">
        <f aca="false">SUM(CG111:CG117)</f>
        <v>4271.54998508853</v>
      </c>
      <c r="CH118" s="52" t="n">
        <f aca="false">SUM(CH111:CH117)</f>
        <v>4318.49009481478</v>
      </c>
      <c r="CI118" s="52" t="n">
        <f aca="false">SUM(CI111:CI117)</f>
        <v>4302.56168889939</v>
      </c>
      <c r="CJ118" s="52" t="n">
        <f aca="false">SUM(CJ111:CJ117)</f>
        <v>4231.94433662722</v>
      </c>
      <c r="CK118" s="52" t="n">
        <f aca="false">SUM(CK111:CK117)</f>
        <v>4278.96594036753</v>
      </c>
      <c r="CL118" s="52" t="n">
        <f aca="false">SUM(CL111:CL117)</f>
        <v>4325.98754410783</v>
      </c>
      <c r="CM118" s="52" t="n">
        <f aca="false">SUM(CM111:CM117)</f>
        <v>4309.96232245379</v>
      </c>
      <c r="CN118" s="52" t="n">
        <f aca="false">SUM(CN111:CN117)</f>
        <v>4238.7487675717</v>
      </c>
      <c r="CO118" s="52" t="n">
        <f aca="false">SUM(CO111:CO117)</f>
        <v>4285.84597610028</v>
      </c>
      <c r="CP118" s="52" t="n">
        <f aca="false">SUM(CP111:CP117)</f>
        <v>4332.94318462885</v>
      </c>
      <c r="CQ118" s="52" t="n">
        <f aca="false">SUM(CQ111:CQ117)</f>
        <v>4316.82091457771</v>
      </c>
      <c r="CR118" s="52" t="n">
        <f aca="false">SUM(CR111:CR117)</f>
        <v>4292.17224426001</v>
      </c>
      <c r="CS118" s="52" t="n">
        <f aca="false">SUM(CS111:CS117)</f>
        <v>4292.17224426001</v>
      </c>
      <c r="CT118" s="52" t="n">
        <f aca="false">SUM(CT111:CT117)</f>
        <v>4339.33897221891</v>
      </c>
      <c r="CU118" s="52" t="n">
        <f aca="false">SUM(CU111:CU117)</f>
        <v>4323.11942879257</v>
      </c>
      <c r="CV118" s="52" t="n">
        <f aca="false">SUM(CV111:CV117)</f>
        <v>4250.69646789126</v>
      </c>
      <c r="CW118" s="52" t="n">
        <f aca="false">SUM(CW111:CW117)</f>
        <v>4297.9264286456</v>
      </c>
      <c r="CX118" s="52" t="n">
        <f aca="false">SUM(CX111:CX117)</f>
        <v>4345.15638939995</v>
      </c>
      <c r="CY118" s="52" t="n">
        <f aca="false">SUM(CY111:CY117)</f>
        <v>4328.83935555932</v>
      </c>
      <c r="CZ118" s="52" t="n">
        <f aca="false">SUM(CZ111:CZ117)</f>
        <v>4255.80303286797</v>
      </c>
      <c r="DA118" s="52" t="n">
        <f aca="false">SUM(DA111:DA117)</f>
        <v>4303.08973323317</v>
      </c>
      <c r="DB118" s="52" t="n">
        <f aca="false">SUM(DB111:DB117)</f>
        <v>4350.37643359837</v>
      </c>
      <c r="DC118" s="52" t="n">
        <f aca="false">SUM(DC111:DC117)</f>
        <v>4333.96170050834</v>
      </c>
      <c r="DD118" s="52" t="n">
        <f aca="false">SUM(DD111:DD117)</f>
        <v>4260.30613540361</v>
      </c>
      <c r="DE118" s="52" t="n">
        <f aca="false">SUM(DE111:DE117)</f>
        <v>4307.64287024143</v>
      </c>
      <c r="DF118" s="52" t="n">
        <f aca="false">SUM(DF111:DF117)</f>
        <v>4354.97960507925</v>
      </c>
      <c r="DG118" s="52" t="n">
        <f aca="false">SUM(DG111:DG117)</f>
        <v>4338.46697238004</v>
      </c>
      <c r="DH118" s="52" t="n">
        <f aca="false">SUM(DH111:DH117)</f>
        <v>4311.56604790374</v>
      </c>
      <c r="DI118" s="52" t="n">
        <f aca="false">SUM(DI111:DI117)</f>
        <v>4311.56604790374</v>
      </c>
      <c r="DJ118" s="52" t="n">
        <f aca="false">SUM(DJ111:DJ117)</f>
        <v>4358.945894584</v>
      </c>
      <c r="DK118" s="52" t="n">
        <f aca="false">SUM(DK111:DK117)</f>
        <v>4342.33517066918</v>
      </c>
      <c r="DL118" s="52" t="n">
        <f aca="false">SUM(DL111:DL117)</f>
        <v>4267.42314521508</v>
      </c>
      <c r="DM118" s="52" t="n">
        <f aca="false">SUM(DM111:DM117)</f>
        <v>4314.83895793969</v>
      </c>
      <c r="DN118" s="52" t="n">
        <f aca="false">SUM(DN111:DN117)</f>
        <v>4362.2547706643</v>
      </c>
      <c r="DO118" s="52" t="n">
        <f aca="false">SUM(DO111:DO117)</f>
        <v>4345.54577296546</v>
      </c>
      <c r="DP118" s="52" t="n">
        <f aca="false">SUM(DP111:DP117)</f>
        <v>4269.99635873289</v>
      </c>
      <c r="DQ118" s="52" t="n">
        <f aca="false">SUM(DQ111:DQ117)</f>
        <v>4317.44076271881</v>
      </c>
      <c r="DR118" s="52" t="n">
        <f aca="false">SUM(DR111:DR117)</f>
        <v>4364.88516670473</v>
      </c>
      <c r="DS118" s="52" t="n">
        <f aca="false">SUM(DS111:DS117)</f>
        <v>4348.0777219831</v>
      </c>
      <c r="DT118" s="52" t="n">
        <f aca="false">SUM(DT111:DT117)</f>
        <v>4271.8846965912</v>
      </c>
      <c r="DU118" s="52" t="n">
        <f aca="false">SUM(DU111:DU117)</f>
        <v>4319.35008210888</v>
      </c>
      <c r="DV118" s="52" t="n">
        <f aca="false">SUM(DV111:DV117)</f>
        <v>4366.81546762656</v>
      </c>
      <c r="DW118" s="52" t="n">
        <f aca="false">SUM(DW111:DW117)</f>
        <v>4349.90941227163</v>
      </c>
      <c r="DX118" s="52" t="n">
        <f aca="false">SUM(DX111:DX117)</f>
        <v>4320.54498000109</v>
      </c>
      <c r="DY118" s="52" t="n">
        <f aca="false">SUM(DY111:DY117)</f>
        <v>4320.54498000109</v>
      </c>
      <c r="DZ118" s="52" t="n">
        <f aca="false">SUM(DZ111:DZ117)</f>
        <v>4368.02349626484</v>
      </c>
      <c r="EA118" s="52" t="n">
        <f aca="false">SUM(EA111:EA117)</f>
        <v>4351.01867660019</v>
      </c>
      <c r="EB118" s="52" t="n">
        <f aca="false">SUM(EB111:EB117)</f>
        <v>4273.5194015975</v>
      </c>
      <c r="EC118" s="52" t="n">
        <f aca="false">SUM(EC111:EC117)</f>
        <v>4321.00295050414</v>
      </c>
      <c r="ED118" s="52" t="n">
        <f aca="false">SUM(ED111:ED117)</f>
        <v>4368.48649941078</v>
      </c>
      <c r="EE118" s="52" t="n">
        <f aca="false">SUM(EE111:EE117)</f>
        <v>4351.38277200729</v>
      </c>
      <c r="EF118" s="52" t="n">
        <f aca="false">SUM(EF111:EF117)</f>
        <v>4273.22067408704</v>
      </c>
      <c r="EG118" s="52" t="n">
        <f aca="false">SUM(EG111:EG117)</f>
        <v>4320.70090379912</v>
      </c>
      <c r="EH118" s="52" t="n">
        <f aca="false">SUM(EH111:EH117)</f>
        <v>4368.1811335112</v>
      </c>
      <c r="EI118" s="52" t="n">
        <f aca="false">SUM(EI111:EI117)</f>
        <v>4350.97836550777</v>
      </c>
      <c r="EJ118" s="52" t="n">
        <f aca="false">SUM(EJ111:EJ117)</f>
        <v>4272.14685327713</v>
      </c>
      <c r="EK118" s="52" t="n">
        <f aca="false">SUM(EK111:EK117)</f>
        <v>4319.61515164688</v>
      </c>
      <c r="EL118" s="52" t="n">
        <f aca="false">SUM(EL111:EL117)</f>
        <v>4367.08345001662</v>
      </c>
      <c r="EM118" s="52" t="n">
        <f aca="false">SUM(EM111:EM117)</f>
        <v>4349.78151944861</v>
      </c>
      <c r="EN118" s="52" t="n">
        <f aca="false">SUM(EN111:EN117)</f>
        <v>4317.72139253939</v>
      </c>
      <c r="EO118" s="52" t="n">
        <f aca="false">SUM(EO111:EO117)</f>
        <v>4317.72139253939</v>
      </c>
      <c r="EP118" s="52" t="n">
        <f aca="false">SUM(EP111:EP117)</f>
        <v>4365.16888036949</v>
      </c>
      <c r="EQ118" s="52" t="n">
        <f aca="false">SUM(EQ111:EQ117)</f>
        <v>4347.76767650498</v>
      </c>
      <c r="ER118" s="52" t="n">
        <f aca="false">SUM(ER111:ER117)</f>
        <v>4267.57717234905</v>
      </c>
      <c r="ES118" s="52" t="n">
        <f aca="false">SUM(ES111:ES117)</f>
        <v>4314.99469648626</v>
      </c>
      <c r="ET118" s="52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155571.135598186</v>
      </c>
      <c r="I121" s="43" t="n">
        <f aca="false">SUM(J121:ET121)</f>
        <v>-155571.135598186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-1959.28055784163</v>
      </c>
      <c r="AF121" s="43" t="n">
        <f aca="false">-$E121*AF18</f>
        <v>-1937.984030039</v>
      </c>
      <c r="AG121" s="43" t="n">
        <f aca="false">-$E121*AG18</f>
        <v>-1937.984030039</v>
      </c>
      <c r="AH121" s="43" t="n">
        <f aca="false">-$E121*AH18</f>
        <v>-1959.28055784163</v>
      </c>
      <c r="AI121" s="43" t="n">
        <f aca="false">-$E121*AI18</f>
        <v>-1959.28055784163</v>
      </c>
      <c r="AJ121" s="43" t="n">
        <f aca="false">-$E121*AJ18</f>
        <v>-1916.68750223638</v>
      </c>
      <c r="AK121" s="43" t="n">
        <f aca="false">-$E121*AK18</f>
        <v>-1937.984030039</v>
      </c>
      <c r="AL121" s="43" t="n">
        <f aca="false">-$E121*AL18</f>
        <v>-1959.28055784163</v>
      </c>
      <c r="AM121" s="43" t="n">
        <f aca="false">-$E121*AM18</f>
        <v>-1959.28055784163</v>
      </c>
      <c r="AN121" s="43" t="n">
        <f aca="false">-$E121*AN18</f>
        <v>-1916.68750223638</v>
      </c>
      <c r="AO121" s="43" t="n">
        <f aca="false">-$E121*AO18</f>
        <v>-1937.984030039</v>
      </c>
      <c r="AP121" s="43" t="n">
        <f aca="false">-$E121*AP18</f>
        <v>-1959.28055784163</v>
      </c>
      <c r="AQ121" s="43" t="n">
        <f aca="false">-$E121*AQ18</f>
        <v>-1959.28055784163</v>
      </c>
      <c r="AR121" s="43" t="n">
        <f aca="false">-$E121*AR18</f>
        <v>-1916.68750223638</v>
      </c>
      <c r="AS121" s="43" t="n">
        <f aca="false">-$E121*AS18</f>
        <v>-1937.984030039</v>
      </c>
      <c r="AT121" s="43" t="n">
        <f aca="false">-$E121*AT18</f>
        <v>-1959.28055784163</v>
      </c>
      <c r="AU121" s="43" t="n">
        <f aca="false">-$E121*AU18</f>
        <v>-1959.28055784163</v>
      </c>
      <c r="AV121" s="43" t="n">
        <f aca="false">-$E121*AV18</f>
        <v>-1937.984030039</v>
      </c>
      <c r="AW121" s="43" t="n">
        <f aca="false">-$E121*AW18</f>
        <v>-1937.984030039</v>
      </c>
      <c r="AX121" s="43" t="n">
        <f aca="false">-$E121*AX18</f>
        <v>-1959.28055784163</v>
      </c>
      <c r="AY121" s="43" t="n">
        <f aca="false">-$E121*AY18</f>
        <v>-1959.28055784163</v>
      </c>
      <c r="AZ121" s="43" t="n">
        <f aca="false">-$E121*AZ18</f>
        <v>-1916.68750223638</v>
      </c>
      <c r="BA121" s="43" t="n">
        <f aca="false">-$E121*BA18</f>
        <v>-1937.984030039</v>
      </c>
      <c r="BB121" s="43" t="n">
        <f aca="false">-$E121*BB18</f>
        <v>-1959.28055784163</v>
      </c>
      <c r="BC121" s="43" t="n">
        <f aca="false">-$E121*BC18</f>
        <v>-1959.28055784163</v>
      </c>
      <c r="BD121" s="43" t="n">
        <f aca="false">-$E121*BD18</f>
        <v>-1916.68750223638</v>
      </c>
      <c r="BE121" s="43" t="n">
        <f aca="false">-$E121*BE18</f>
        <v>-1937.984030039</v>
      </c>
      <c r="BF121" s="43" t="n">
        <f aca="false">-$E121*BF18</f>
        <v>-1959.28055784163</v>
      </c>
      <c r="BG121" s="43" t="n">
        <f aca="false">-$E121*BG18</f>
        <v>-1959.28055784163</v>
      </c>
      <c r="BH121" s="43" t="n">
        <f aca="false">-$E121*BH18</f>
        <v>-1916.68750223638</v>
      </c>
      <c r="BI121" s="43" t="n">
        <f aca="false">-$E121*BI18</f>
        <v>-1937.984030039</v>
      </c>
      <c r="BJ121" s="43" t="n">
        <f aca="false">-$E121*BJ18</f>
        <v>-1959.28055784163</v>
      </c>
      <c r="BK121" s="43" t="n">
        <f aca="false">-$E121*BK18</f>
        <v>-1959.28055784163</v>
      </c>
      <c r="BL121" s="43" t="n">
        <f aca="false">-$E121*BL18</f>
        <v>-1937.984030039</v>
      </c>
      <c r="BM121" s="43" t="n">
        <f aca="false">-$E121*BM18</f>
        <v>-1937.984030039</v>
      </c>
      <c r="BN121" s="43" t="n">
        <f aca="false">-$E121*BN18</f>
        <v>-1959.28055784163</v>
      </c>
      <c r="BO121" s="43" t="n">
        <f aca="false">-$E121*BO18</f>
        <v>-1959.28055784163</v>
      </c>
      <c r="BP121" s="43" t="n">
        <f aca="false">-$E121*BP18</f>
        <v>-1916.68750223638</v>
      </c>
      <c r="BQ121" s="43" t="n">
        <f aca="false">-$E121*BQ18</f>
        <v>-1937.984030039</v>
      </c>
      <c r="BR121" s="43" t="n">
        <f aca="false">-$E121*BR18</f>
        <v>-1959.28055784163</v>
      </c>
      <c r="BS121" s="43" t="n">
        <f aca="false">-$E121*BS18</f>
        <v>-1959.28055784163</v>
      </c>
      <c r="BT121" s="43" t="n">
        <f aca="false">-$E121*BT18</f>
        <v>-1916.68750223638</v>
      </c>
      <c r="BU121" s="43" t="n">
        <f aca="false">-$E121*BU18</f>
        <v>-1937.984030039</v>
      </c>
      <c r="BV121" s="43" t="n">
        <f aca="false">-$E121*BV18</f>
        <v>-1959.28055784163</v>
      </c>
      <c r="BW121" s="43" t="n">
        <f aca="false">-$E121*BW18</f>
        <v>-1959.28055784163</v>
      </c>
      <c r="BX121" s="43" t="n">
        <f aca="false">-$E121*BX18</f>
        <v>-1916.68750223638</v>
      </c>
      <c r="BY121" s="43" t="n">
        <f aca="false">-$E121*BY18</f>
        <v>-1937.984030039</v>
      </c>
      <c r="BZ121" s="43" t="n">
        <f aca="false">-$E121*BZ18</f>
        <v>-1959.28055784163</v>
      </c>
      <c r="CA121" s="43" t="n">
        <f aca="false">-$E121*CA18</f>
        <v>-1959.28055784163</v>
      </c>
      <c r="CB121" s="43" t="n">
        <f aca="false">-$E121*CB18</f>
        <v>-1937.984030039</v>
      </c>
      <c r="CC121" s="43" t="n">
        <f aca="false">-$E121*CC18</f>
        <v>-1937.984030039</v>
      </c>
      <c r="CD121" s="43" t="n">
        <f aca="false">-$E121*CD18</f>
        <v>-1959.28055784163</v>
      </c>
      <c r="CE121" s="43" t="n">
        <f aca="false">-$E121*CE18</f>
        <v>-1959.28055784163</v>
      </c>
      <c r="CF121" s="43" t="n">
        <f aca="false">-$E121*CF18</f>
        <v>-1916.68750223638</v>
      </c>
      <c r="CG121" s="43" t="n">
        <f aca="false">-$E121*CG18</f>
        <v>-1937.984030039</v>
      </c>
      <c r="CH121" s="43" t="n">
        <f aca="false">-$E121*CH18</f>
        <v>-1959.28055784163</v>
      </c>
      <c r="CI121" s="43" t="n">
        <f aca="false">-$E121*CI18</f>
        <v>-1959.28055784163</v>
      </c>
      <c r="CJ121" s="43" t="n">
        <f aca="false">-$E121*CJ18</f>
        <v>-1916.68750223638</v>
      </c>
      <c r="CK121" s="43" t="n">
        <f aca="false">-$E121*CK18</f>
        <v>-1937.984030039</v>
      </c>
      <c r="CL121" s="43" t="n">
        <f aca="false">-$E121*CL18</f>
        <v>-1959.28055784163</v>
      </c>
      <c r="CM121" s="43" t="n">
        <f aca="false">-$E121*CM18</f>
        <v>-1959.28055784163</v>
      </c>
      <c r="CN121" s="43" t="n">
        <f aca="false">-$E121*CN18</f>
        <v>-1916.68750223638</v>
      </c>
      <c r="CO121" s="43" t="n">
        <f aca="false">-$E121*CO18</f>
        <v>-1937.984030039</v>
      </c>
      <c r="CP121" s="43" t="n">
        <f aca="false">-$E121*CP18</f>
        <v>-1959.28055784163</v>
      </c>
      <c r="CQ121" s="43" t="n">
        <f aca="false">-$E121*CQ18</f>
        <v>-1959.28055784163</v>
      </c>
      <c r="CR121" s="43" t="n">
        <f aca="false">-$E121*CR18</f>
        <v>-1937.984030039</v>
      </c>
      <c r="CS121" s="43" t="n">
        <f aca="false">-$E121*CS18</f>
        <v>-1937.984030039</v>
      </c>
      <c r="CT121" s="43" t="n">
        <f aca="false">-$E121*CT18</f>
        <v>-1959.28055784163</v>
      </c>
      <c r="CU121" s="43" t="n">
        <f aca="false">-$E121*CU18</f>
        <v>-1959.28055784163</v>
      </c>
      <c r="CV121" s="43" t="n">
        <f aca="false">-$E121*CV18</f>
        <v>-1916.68750223638</v>
      </c>
      <c r="CW121" s="43" t="n">
        <f aca="false">-$E121*CW18</f>
        <v>-1937.984030039</v>
      </c>
      <c r="CX121" s="43" t="n">
        <f aca="false">-$E121*CX18</f>
        <v>-1959.28055784163</v>
      </c>
      <c r="CY121" s="43" t="n">
        <f aca="false">-$E121*CY18</f>
        <v>-1959.28055784163</v>
      </c>
      <c r="CZ121" s="43" t="n">
        <f aca="false">-$E121*CZ18</f>
        <v>-1916.68750223638</v>
      </c>
      <c r="DA121" s="43" t="n">
        <f aca="false">-$E121*DA18</f>
        <v>-1937.984030039</v>
      </c>
      <c r="DB121" s="43" t="n">
        <f aca="false">-$E121*DB18</f>
        <v>-1959.28055784163</v>
      </c>
      <c r="DC121" s="43" t="n">
        <f aca="false">-$E121*DC18</f>
        <v>-1959.28055784163</v>
      </c>
      <c r="DD121" s="43" t="n">
        <f aca="false">-$E121*DD18</f>
        <v>-1916.68750223638</v>
      </c>
      <c r="DE121" s="43" t="n">
        <f aca="false">-$E121*DE18</f>
        <v>-1937.984030039</v>
      </c>
      <c r="DF121" s="43" t="n">
        <f aca="false">-$E121*DF18</f>
        <v>-1959.28055784163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324641.812905154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-1858.22759618649</v>
      </c>
      <c r="X122" s="43" t="n">
        <f aca="false">X118+X121+X101+X102+X103+X57</f>
        <v>-250.674467337995</v>
      </c>
      <c r="Y122" s="43" t="n">
        <f aca="false">Y118+Y121+Y101+Y102+Y103+Y57</f>
        <v>-228.513521980133</v>
      </c>
      <c r="Z122" s="43" t="n">
        <f aca="false">Z118+Z121+Z101+Z102+Z103+Z57</f>
        <v>-205.524081984532</v>
      </c>
      <c r="AA122" s="43" t="n">
        <f aca="false">AA118+AA121+AA101+AA102+AA103+AA57</f>
        <v>-179.743278257285</v>
      </c>
      <c r="AB122" s="43" t="n">
        <f aca="false">AB118+AB121+AB101+AB102+AB103+AB57</f>
        <v>-152.509884528233</v>
      </c>
      <c r="AC122" s="43" t="n">
        <f aca="false">AC118+AC121+AC101+AC102+AC103+AC57</f>
        <v>-129.258221583595</v>
      </c>
      <c r="AD122" s="43" t="n">
        <f aca="false">AD118+AD121+AD101+AD102+AD103+AD57</f>
        <v>-105.17806400122</v>
      </c>
      <c r="AE122" s="43" t="n">
        <f aca="false">AE118+AE121+AE101+AE102+AE103+AE57</f>
        <v>1014.06967046872</v>
      </c>
      <c r="AF122" s="43" t="n">
        <f aca="false">AF118+AF121+AF101+AF102+AF103+AF57</f>
        <v>1040.84312534623</v>
      </c>
      <c r="AG122" s="43" t="n">
        <f aca="false">AG118+AG121+AG101+AG102+AG103+AG57</f>
        <v>1064.00273907026</v>
      </c>
      <c r="AH122" s="43" t="n">
        <f aca="false">AH118+AH121+AH101+AH102+AH103+AH57</f>
        <v>1111.58070216157</v>
      </c>
      <c r="AI122" s="43" t="n">
        <f aca="false">AI118+AI121+AI101+AI102+AI103+AI57</f>
        <v>1120.6288914046</v>
      </c>
      <c r="AJ122" s="43" t="n">
        <f aca="false">AJ118+AJ121+AJ101+AJ102+AJ103+AJ57</f>
        <v>1123.91409257469</v>
      </c>
      <c r="AK122" s="43" t="n">
        <f aca="false">AK118+AK121+AK101+AK102+AK103+AK57</f>
        <v>1172.52476676849</v>
      </c>
      <c r="AL122" s="43" t="n">
        <f aca="false">AL118+AL121+AL101+AL102+AL103+AL57</f>
        <v>1221.43968456289</v>
      </c>
      <c r="AM122" s="43" t="n">
        <f aca="false">AM118+AM121+AM101+AM102+AM103+AM57</f>
        <v>1231.60423002308</v>
      </c>
      <c r="AN122" s="43" t="n">
        <f aca="false">AN118+AN121+AN101+AN102+AN103+AN57</f>
        <v>1235.58471671499</v>
      </c>
      <c r="AO122" s="43" t="n">
        <f aca="false">AO118+AO121+AO101+AO102+AO103+AO57</f>
        <v>1285.5739515569</v>
      </c>
      <c r="AP122" s="43" t="n">
        <f aca="false">AP118+AP121+AP101+AP102+AP103+AP57</f>
        <v>1335.88292979214</v>
      </c>
      <c r="AQ122" s="43" t="n">
        <f aca="false">AQ118+AQ121+AQ101+AQ102+AQ103+AQ57</f>
        <v>1347.22514109428</v>
      </c>
      <c r="AR122" s="43" t="n">
        <f aca="false">AR118+AR121+AR101+AR102+AR103+AR57</f>
        <v>1351.95856211645</v>
      </c>
      <c r="AS122" s="43" t="n">
        <f aca="false">AS118+AS121+AS101+AS102+AS103+AS57</f>
        <v>1403.38563466193</v>
      </c>
      <c r="AT122" s="43" t="n">
        <f aca="false">AT118+AT121+AT101+AT102+AT103+AT57</f>
        <v>1455.14874003564</v>
      </c>
      <c r="AU122" s="43" t="n">
        <f aca="false">AU118+AU121+AU101+AU102+AU103+AU57</f>
        <v>1467.7330709494</v>
      </c>
      <c r="AV122" s="43" t="n">
        <f aca="false">AV118+AV121+AV101+AV102+AV103+AV57</f>
        <v>1497.95528342129</v>
      </c>
      <c r="AW122" s="43" t="n">
        <f aca="false">AW118+AW121+AW101+AW102+AW103+AW57</f>
        <v>1526.20745413206</v>
      </c>
      <c r="AX122" s="43" t="n">
        <f aca="false">AX118+AX121+AX101+AX102+AX103+AX57</f>
        <v>1579.48786852559</v>
      </c>
      <c r="AY122" s="43" t="n">
        <f aca="false">AY118+AY121+AY101+AY102+AY103+AY57</f>
        <v>1593.38207708739</v>
      </c>
      <c r="AZ122" s="43" t="n">
        <f aca="false">AZ118+AZ121+AZ101+AZ102+AZ103+AZ57</f>
        <v>1599.80694105695</v>
      </c>
      <c r="BA122" s="43" t="n">
        <f aca="false">BA118+BA121+BA101+BA102+BA103+BA57</f>
        <v>1654.29998012479</v>
      </c>
      <c r="BB122" s="43" t="n">
        <f aca="false">BB118+BB121+BB101+BB102+BB103+BB57</f>
        <v>1709.16416278097</v>
      </c>
      <c r="BC122" s="43" t="n">
        <f aca="false">BC118+BC121+BC101+BC102+BC103+BC57</f>
        <v>1724.43947956835</v>
      </c>
      <c r="BD122" s="43" t="n">
        <f aca="false">BD118+BD121+BD101+BD102+BD103+BD57</f>
        <v>1731.80957634325</v>
      </c>
      <c r="BE122" s="43" t="n">
        <f aca="false">BE118+BE121+BE101+BE102+BE103+BE57</f>
        <v>1787.93738278229</v>
      </c>
      <c r="BF122" s="43" t="n">
        <f aca="false">BF118+BF121+BF101+BF102+BF103+BF57</f>
        <v>1844.4552408448</v>
      </c>
      <c r="BG122" s="43" t="n">
        <f aca="false">BG118+BG121+BG101+BG102+BG103+BG57</f>
        <v>1861.18654581856</v>
      </c>
      <c r="BH122" s="43" t="n">
        <f aca="false">BH118+BH121+BH101+BH102+BH103+BH57</f>
        <v>1869.5729894536</v>
      </c>
      <c r="BI122" s="43" t="n">
        <f aca="false">BI118+BI121+BI101+BI102+BI103+BI57</f>
        <v>1927.40813436161</v>
      </c>
      <c r="BJ122" s="43" t="n">
        <f aca="false">BJ118+BJ121+BJ101+BJ102+BJ103+BJ57</f>
        <v>1985.65320220448</v>
      </c>
      <c r="BK122" s="43" t="n">
        <f aca="false">BK118+BK121+BK101+BK102+BK103+BK57</f>
        <v>2003.91921055497</v>
      </c>
      <c r="BL122" s="43" t="n">
        <f aca="false">BL118+BL121+BL101+BL102+BL103+BL57</f>
        <v>2038.55121962023</v>
      </c>
      <c r="BM122" s="43" t="n">
        <f aca="false">BM118+BM121+BM101+BM102+BM103+BM57</f>
        <v>2073.01574737022</v>
      </c>
      <c r="BN122" s="43" t="n">
        <f aca="false">BN118+BN121+BN101+BN102+BN103+BN57</f>
        <v>2133.06537516773</v>
      </c>
      <c r="BO122" s="43" t="n">
        <f aca="false">BO118+BO121+BO101+BO102+BO103+BO57</f>
        <v>2152.94883262385</v>
      </c>
      <c r="BP122" s="43" t="n">
        <f aca="false">BP118+BP121+BP101+BP102+BP103+BP57</f>
        <v>2163.59675272034</v>
      </c>
      <c r="BQ122" s="43" t="n">
        <f aca="false">BQ118+BQ121+BQ101+BQ102+BQ103+BQ57</f>
        <v>2225.07955054684</v>
      </c>
      <c r="BR122" s="43" t="n">
        <f aca="false">BR118+BR121+BR101+BR102+BR103+BR57</f>
        <v>2287.01510255745</v>
      </c>
      <c r="BS122" s="43" t="n">
        <f aca="false">BS118+BS121+BS101+BS102+BS103+BS57</f>
        <v>2308.60299064019</v>
      </c>
      <c r="BT122" s="43" t="n">
        <f aca="false">BT118+BT121+BT101+BT102+BT103+BT57</f>
        <v>2282.9086151537</v>
      </c>
      <c r="BU122" s="43" t="n">
        <f aca="false">BU118+BU121+BU101+BU102+BU103+BU57</f>
        <v>2308.27426643319</v>
      </c>
      <c r="BV122" s="43" t="n">
        <f aca="false">BV118+BV121+BV101+BV102+BV103+BV57</f>
        <v>2333.63991771267</v>
      </c>
      <c r="BW122" s="43" t="n">
        <f aca="false">BW118+BW121+BW101+BW102+BW103+BW57</f>
        <v>2318.00049001042</v>
      </c>
      <c r="BX122" s="43" t="n">
        <f aca="false">BX118+BX121+BX101+BX102+BX103+BX57</f>
        <v>2291.73171925961</v>
      </c>
      <c r="BY122" s="43" t="n">
        <f aca="false">BY118+BY121+BY101+BY102+BY103+BY57</f>
        <v>2317.19540502916</v>
      </c>
      <c r="BZ122" s="43" t="n">
        <f aca="false">BZ118+BZ121+BZ101+BZ102+BZ103+BZ57</f>
        <v>2342.65909079871</v>
      </c>
      <c r="CA122" s="43" t="n">
        <f aca="false">CA118+CA121+CA101+CA102+CA103+CA57</f>
        <v>2326.92358892031</v>
      </c>
      <c r="CB122" s="43" t="n">
        <f aca="false">CB118+CB121+CB101+CB102+CB103+CB57</f>
        <v>2325.63147144566</v>
      </c>
      <c r="CC122" s="43" t="n">
        <f aca="false">CC118+CC121+CC101+CC102+CC103+CC57</f>
        <v>2325.63147144566</v>
      </c>
      <c r="CD122" s="43" t="n">
        <f aca="false">CD118+CD121+CD101+CD102+CD103+CD57</f>
        <v>2351.18786124177</v>
      </c>
      <c r="CE122" s="43" t="n">
        <f aca="false">CE118+CE121+CE101+CE102+CE103+CE57</f>
        <v>2335.35603097872</v>
      </c>
      <c r="CF122" s="43" t="n">
        <f aca="false">CF118+CF121+CF101+CF102+CF103+CF57</f>
        <v>2307.92237312591</v>
      </c>
      <c r="CG122" s="43" t="n">
        <f aca="false">CG118+CG121+CG101+CG102+CG103+CG57</f>
        <v>2333.56595504953</v>
      </c>
      <c r="CH122" s="43" t="n">
        <f aca="false">CH118+CH121+CH101+CH102+CH103+CH57</f>
        <v>2359.20953697315</v>
      </c>
      <c r="CI122" s="43" t="n">
        <f aca="false">CI118+CI121+CI101+CI102+CI103+CI57</f>
        <v>2343.28113105777</v>
      </c>
      <c r="CJ122" s="43" t="n">
        <f aca="false">CJ118+CJ121+CJ101+CJ102+CJ103+CJ57</f>
        <v>2315.25683439085</v>
      </c>
      <c r="CK122" s="43" t="n">
        <f aca="false">CK118+CK121+CK101+CK102+CK103+CK57</f>
        <v>2340.98191032852</v>
      </c>
      <c r="CL122" s="43" t="n">
        <f aca="false">CL118+CL121+CL101+CL102+CL103+CL57</f>
        <v>2366.7069862662</v>
      </c>
      <c r="CM122" s="43" t="n">
        <f aca="false">CM118+CM121+CM101+CM102+CM103+CM57</f>
        <v>2350.68176461216</v>
      </c>
      <c r="CN122" s="43" t="n">
        <f aca="false">CN118+CN121+CN101+CN102+CN103+CN57</f>
        <v>2322.06126533532</v>
      </c>
      <c r="CO122" s="43" t="n">
        <f aca="false">CO118+CO121+CO101+CO102+CO103+CO57</f>
        <v>2347.86194606127</v>
      </c>
      <c r="CP122" s="43" t="n">
        <f aca="false">CP118+CP121+CP101+CP102+CP103+CP57</f>
        <v>2373.66262678722</v>
      </c>
      <c r="CQ122" s="43" t="n">
        <f aca="false">CQ118+CQ121+CQ101+CQ102+CQ103+CQ57</f>
        <v>2357.54035673608</v>
      </c>
      <c r="CR122" s="43" t="n">
        <f aca="false">CR118+CR121+CR101+CR102+CR103+CR57</f>
        <v>2354.18821422101</v>
      </c>
      <c r="CS122" s="43" t="n">
        <f aca="false">CS118+CS121+CS101+CS102+CS103+CS57</f>
        <v>2354.18821422101</v>
      </c>
      <c r="CT122" s="43" t="n">
        <f aca="false">CT118+CT121+CT101+CT102+CT103+CT57</f>
        <v>2380.05841437728</v>
      </c>
      <c r="CU122" s="43" t="n">
        <f aca="false">CU118+CU121+CU101+CU102+CU103+CU57</f>
        <v>2363.83887095094</v>
      </c>
      <c r="CV122" s="43" t="n">
        <f aca="false">CV118+CV121+CV101+CV102+CV103+CV57</f>
        <v>2334.00896565488</v>
      </c>
      <c r="CW122" s="43" t="n">
        <f aca="false">CW118+CW121+CW101+CW102+CW103+CW57</f>
        <v>2359.9423986066</v>
      </c>
      <c r="CX122" s="43" t="n">
        <f aca="false">CX118+CX121+CX101+CX102+CX103+CX57</f>
        <v>2385.87583155832</v>
      </c>
      <c r="CY122" s="43" t="n">
        <f aca="false">CY118+CY121+CY101+CY102+CY103+CY57</f>
        <v>2369.55879771769</v>
      </c>
      <c r="CZ122" s="43" t="n">
        <f aca="false">CZ118+CZ121+CZ101+CZ102+CZ103+CZ57</f>
        <v>2339.1155306316</v>
      </c>
      <c r="DA122" s="43" t="n">
        <f aca="false">DA118+DA121+DA101+DA102+DA103+DA57</f>
        <v>2365.10570319417</v>
      </c>
      <c r="DB122" s="43" t="n">
        <f aca="false">DB118+DB121+DB101+DB102+DB103+DB57</f>
        <v>2391.09587575674</v>
      </c>
      <c r="DC122" s="43" t="n">
        <f aca="false">DC118+DC121+DC101+DC102+DC103+DC57</f>
        <v>2374.68114266671</v>
      </c>
      <c r="DD122" s="43" t="n">
        <f aca="false">DD118+DD121+DD101+DD102+DD103+DD57</f>
        <v>2343.61863316723</v>
      </c>
      <c r="DE122" s="43" t="n">
        <f aca="false">DE118+DE121+DE101+DE102+DE103+DE57</f>
        <v>2369.65884020243</v>
      </c>
      <c r="DF122" s="43" t="n">
        <f aca="false">DF118+DF121+DF101+DF102+DF103+DF57</f>
        <v>2395.69904723762</v>
      </c>
      <c r="DG122" s="43" t="n">
        <f aca="false">DG118+DG121+DG101+DG102+DG103+DG57</f>
        <v>4338.46697238004</v>
      </c>
      <c r="DH122" s="43" t="n">
        <f aca="false">DH118+DH121+DH101+DH102+DH103+DH57</f>
        <v>4311.56604790374</v>
      </c>
      <c r="DI122" s="43" t="n">
        <f aca="false">DI118+DI121+DI101+DI102+DI103+DI57</f>
        <v>4311.56604790374</v>
      </c>
      <c r="DJ122" s="43" t="n">
        <f aca="false">DJ118+DJ121+DJ101+DJ102+DJ103+DJ57</f>
        <v>4358.945894584</v>
      </c>
      <c r="DK122" s="43" t="n">
        <f aca="false">DK118+DK121+DK101+DK102+DK103+DK57</f>
        <v>4342.33517066918</v>
      </c>
      <c r="DL122" s="43" t="n">
        <f aca="false">DL118+DL121+DL101+DL102+DL103+DL57</f>
        <v>4267.42314521508</v>
      </c>
      <c r="DM122" s="43" t="n">
        <f aca="false">DM118+DM121+DM101+DM102+DM103+DM57</f>
        <v>4314.83895793969</v>
      </c>
      <c r="DN122" s="43" t="n">
        <f aca="false">DN118+DN121+DN101+DN102+DN103+DN57</f>
        <v>4362.2547706643</v>
      </c>
      <c r="DO122" s="43" t="n">
        <f aca="false">DO118+DO121+DO101+DO102+DO103+DO57</f>
        <v>4345.54577296546</v>
      </c>
      <c r="DP122" s="43" t="n">
        <f aca="false">DP118+DP121+DP101+DP102+DP103+DP57</f>
        <v>4269.99635873289</v>
      </c>
      <c r="DQ122" s="43" t="n">
        <f aca="false">DQ118+DQ121+DQ101+DQ102+DQ103+DQ57</f>
        <v>4317.44076271881</v>
      </c>
      <c r="DR122" s="43" t="n">
        <f aca="false">DR118+DR121+DR101+DR102+DR103+DR57</f>
        <v>4364.88516670473</v>
      </c>
      <c r="DS122" s="43" t="n">
        <f aca="false">DS118+DS121+DS101+DS102+DS103+DS57</f>
        <v>4348.0777219831</v>
      </c>
      <c r="DT122" s="43" t="n">
        <f aca="false">DT118+DT121+DT101+DT102+DT103+DT57</f>
        <v>4271.8846965912</v>
      </c>
      <c r="DU122" s="43" t="n">
        <f aca="false">DU118+DU121+DU101+DU102+DU103+DU57</f>
        <v>4319.35008210888</v>
      </c>
      <c r="DV122" s="43" t="n">
        <f aca="false">DV118+DV121+DV101+DV102+DV103+DV57</f>
        <v>4366.81546762656</v>
      </c>
      <c r="DW122" s="43" t="n">
        <f aca="false">DW118+DW121+DW101+DW102+DW103+DW57</f>
        <v>4349.90941227163</v>
      </c>
      <c r="DX122" s="43" t="n">
        <f aca="false">DX118+DX121+DX101+DX102+DX103+DX57</f>
        <v>4320.54498000109</v>
      </c>
      <c r="DY122" s="43" t="n">
        <f aca="false">DY118+DY121+DY101+DY102+DY103+DY57</f>
        <v>4320.54498000109</v>
      </c>
      <c r="DZ122" s="43" t="n">
        <f aca="false">DZ118+DZ121+DZ101+DZ102+DZ103+DZ57</f>
        <v>4368.02349626484</v>
      </c>
      <c r="EA122" s="43" t="n">
        <f aca="false">EA118+EA121+EA101+EA102+EA103+EA57</f>
        <v>4351.01867660019</v>
      </c>
      <c r="EB122" s="43" t="n">
        <f aca="false">EB118+EB121+EB101+EB102+EB103+EB57</f>
        <v>4273.5194015975</v>
      </c>
      <c r="EC122" s="43" t="n">
        <f aca="false">EC118+EC121+EC101+EC102+EC103+EC57</f>
        <v>4321.00295050414</v>
      </c>
      <c r="ED122" s="43" t="n">
        <f aca="false">ED118+ED121+ED101+ED102+ED103+ED57</f>
        <v>4368.48649941078</v>
      </c>
      <c r="EE122" s="43" t="n">
        <f aca="false">EE118+EE121+EE101+EE102+EE103+EE57</f>
        <v>4351.38277200729</v>
      </c>
      <c r="EF122" s="43" t="n">
        <f aca="false">EF118+EF121+EF101+EF102+EF103+EF57</f>
        <v>4273.22067408704</v>
      </c>
      <c r="EG122" s="43" t="n">
        <f aca="false">EG118+EG121+EG101+EG102+EG103+EG57</f>
        <v>4320.70090379912</v>
      </c>
      <c r="EH122" s="43" t="n">
        <f aca="false">EH118+EH121+EH101+EH102+EH103+EH57</f>
        <v>4368.1811335112</v>
      </c>
      <c r="EI122" s="43" t="n">
        <f aca="false">EI118+EI121+EI101+EI102+EI103+EI57</f>
        <v>4350.97836550777</v>
      </c>
      <c r="EJ122" s="43" t="n">
        <f aca="false">EJ118+EJ121+EJ101+EJ102+EJ103+EJ57</f>
        <v>4272.14685327713</v>
      </c>
      <c r="EK122" s="43" t="n">
        <f aca="false">EK118+EK121+EK101+EK102+EK103+EK57</f>
        <v>4319.61515164688</v>
      </c>
      <c r="EL122" s="43" t="n">
        <f aca="false">EL118+EL121+EL101+EL102+EL103+EL57</f>
        <v>4367.08345001662</v>
      </c>
      <c r="EM122" s="43" t="n">
        <f aca="false">EM118+EM121+EM101+EM102+EM103+EM57</f>
        <v>4349.78151944861</v>
      </c>
      <c r="EN122" s="43" t="n">
        <f aca="false">EN118+EN121+EN101+EN102+EN103+EN57</f>
        <v>4317.72139253939</v>
      </c>
      <c r="EO122" s="43" t="n">
        <f aca="false">EO118+EO121+EO101+EO102+EO103+EO57</f>
        <v>4317.72139253939</v>
      </c>
      <c r="EP122" s="43" t="n">
        <f aca="false">EP118+EP121+EP101+EP102+EP103+EP57</f>
        <v>4365.16888036949</v>
      </c>
      <c r="EQ122" s="43" t="n">
        <f aca="false">EQ118+EQ121+EQ101+EQ102+EQ103+EQ57</f>
        <v>4347.76767650498</v>
      </c>
      <c r="ER122" s="43" t="n">
        <f aca="false">ER118+ER121+ER101+ER102+ER103+ER57</f>
        <v>4267.57717234905</v>
      </c>
      <c r="ES122" s="43" t="n">
        <f aca="false">ES118+ES121+ES101+ES102+ES103+ES57</f>
        <v>4314.99469648626</v>
      </c>
      <c r="ET122" s="43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6229.25362783041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1858.22759618649</v>
      </c>
      <c r="X124" s="43" t="n">
        <f aca="false">MAX(0,-X122)</f>
        <v>250.674467337995</v>
      </c>
      <c r="Y124" s="43" t="n">
        <f aca="false">MAX(0,-Y122)</f>
        <v>228.513521980133</v>
      </c>
      <c r="Z124" s="43" t="n">
        <f aca="false">MAX(0,-Z122)</f>
        <v>205.524081984532</v>
      </c>
      <c r="AA124" s="43" t="n">
        <f aca="false">MAX(0,-AA122)</f>
        <v>179.743278257285</v>
      </c>
      <c r="AB124" s="43" t="n">
        <f aca="false">MAX(0,-AB122)</f>
        <v>152.509884528233</v>
      </c>
      <c r="AC124" s="43" t="n">
        <f aca="false">MAX(0,-AC122)</f>
        <v>129.258221583595</v>
      </c>
      <c r="AD124" s="43" t="n">
        <f aca="false">MAX(0,-AD122)</f>
        <v>105.17806400122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-6229.25362783041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-1014.06967046872</v>
      </c>
      <c r="AF125" s="43" t="n">
        <f aca="false">-MIN(AF123,MAX(0,AF122))</f>
        <v>-1040.84312534623</v>
      </c>
      <c r="AG125" s="43" t="n">
        <f aca="false">-MIN(AG123,MAX(0,AG122))</f>
        <v>-1064.00273907026</v>
      </c>
      <c r="AH125" s="43" t="n">
        <f aca="false">-MIN(AH123,MAX(0,AH122))</f>
        <v>-1111.58070216157</v>
      </c>
      <c r="AI125" s="43" t="n">
        <f aca="false">-MIN(AI123,MAX(0,AI122))</f>
        <v>-1120.6288914046</v>
      </c>
      <c r="AJ125" s="43" t="n">
        <f aca="false">-MIN(AJ123,MAX(0,AJ122))</f>
        <v>-878.128499379028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4977.85210815742</v>
      </c>
      <c r="X126" s="43" t="n">
        <f aca="false">SUM(X123:X125)</f>
        <v>5228.52657549541</v>
      </c>
      <c r="Y126" s="43" t="n">
        <f aca="false">SUM(Y123:Y125)</f>
        <v>5457.04009747554</v>
      </c>
      <c r="Z126" s="43" t="n">
        <f aca="false">SUM(Z123:Z125)</f>
        <v>5662.56417946008</v>
      </c>
      <c r="AA126" s="43" t="n">
        <f aca="false">SUM(AA123:AA125)</f>
        <v>5842.30745771736</v>
      </c>
      <c r="AB126" s="43" t="n">
        <f aca="false">SUM(AB123:AB125)</f>
        <v>5994.81734224559</v>
      </c>
      <c r="AC126" s="43" t="n">
        <f aca="false">SUM(AC123:AC125)</f>
        <v>6124.07556382919</v>
      </c>
      <c r="AD126" s="43" t="n">
        <f aca="false">SUM(AD123:AD125)</f>
        <v>6229.25362783041</v>
      </c>
      <c r="AE126" s="43" t="n">
        <f aca="false">SUM(AE123:AE125)</f>
        <v>5215.18395736169</v>
      </c>
      <c r="AF126" s="43" t="n">
        <f aca="false">SUM(AF123:AF125)</f>
        <v>4174.34083201546</v>
      </c>
      <c r="AG126" s="43" t="n">
        <f aca="false">SUM(AG123:AG125)</f>
        <v>3110.3380929452</v>
      </c>
      <c r="AH126" s="43" t="n">
        <f aca="false">SUM(AH123:AH125)</f>
        <v>1998.75739078363</v>
      </c>
      <c r="AI126" s="43" t="n">
        <f aca="false">SUM(AI123:AI125)</f>
        <v>878.128499379028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-29217.7631614638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-22.1207033876094</v>
      </c>
      <c r="AK127" s="52" t="n">
        <f aca="false">-In_CIT*(MAX(0,AK122)+AK125)</f>
        <v>-105.527229009164</v>
      </c>
      <c r="AL127" s="52" t="n">
        <f aca="false">-In_CIT*(MAX(0,AL122)+AL125)</f>
        <v>-109.92957161066</v>
      </c>
      <c r="AM127" s="52" t="n">
        <f aca="false">-In_CIT*(MAX(0,AM122)+AM125)</f>
        <v>-110.844380702077</v>
      </c>
      <c r="AN127" s="52" t="n">
        <f aca="false">-In_CIT*(MAX(0,AN122)+AN125)</f>
        <v>-111.202624504349</v>
      </c>
      <c r="AO127" s="52" t="n">
        <f aca="false">-In_CIT*(MAX(0,AO122)+AO125)</f>
        <v>-115.701655640121</v>
      </c>
      <c r="AP127" s="52" t="n">
        <f aca="false">-In_CIT*(MAX(0,AP122)+AP125)</f>
        <v>-120.229463681293</v>
      </c>
      <c r="AQ127" s="52" t="n">
        <f aca="false">-In_CIT*(MAX(0,AQ122)+AQ125)</f>
        <v>-121.250262698485</v>
      </c>
      <c r="AR127" s="52" t="n">
        <f aca="false">-In_CIT*(MAX(0,AR122)+AR125)</f>
        <v>-121.676270590481</v>
      </c>
      <c r="AS127" s="52" t="n">
        <f aca="false">-In_CIT*(MAX(0,AS122)+AS125)</f>
        <v>-126.304707119573</v>
      </c>
      <c r="AT127" s="52" t="n">
        <f aca="false">-In_CIT*(MAX(0,AT122)+AT125)</f>
        <v>-130.963386603207</v>
      </c>
      <c r="AU127" s="52" t="n">
        <f aca="false">-In_CIT*(MAX(0,AU122)+AU125)</f>
        <v>-132.095976385446</v>
      </c>
      <c r="AV127" s="52" t="n">
        <f aca="false">-In_CIT*(MAX(0,AV122)+AV125)</f>
        <v>-134.815975507916</v>
      </c>
      <c r="AW127" s="52" t="n">
        <f aca="false">-In_CIT*(MAX(0,AW122)+AW125)</f>
        <v>-137.358670871886</v>
      </c>
      <c r="AX127" s="52" t="n">
        <f aca="false">-In_CIT*(MAX(0,AX122)+AX125)</f>
        <v>-142.153908167303</v>
      </c>
      <c r="AY127" s="52" t="n">
        <f aca="false">-In_CIT*(MAX(0,AY122)+AY125)</f>
        <v>-143.404386937865</v>
      </c>
      <c r="AZ127" s="52" t="n">
        <f aca="false">-In_CIT*(MAX(0,AZ122)+AZ125)</f>
        <v>-143.982624695125</v>
      </c>
      <c r="BA127" s="52" t="n">
        <f aca="false">-In_CIT*(MAX(0,BA122)+BA125)</f>
        <v>-148.886998211232</v>
      </c>
      <c r="BB127" s="52" t="n">
        <f aca="false">-In_CIT*(MAX(0,BB122)+BB125)</f>
        <v>-153.824774650287</v>
      </c>
      <c r="BC127" s="52" t="n">
        <f aca="false">-In_CIT*(MAX(0,BC122)+BC125)</f>
        <v>-155.199553161151</v>
      </c>
      <c r="BD127" s="52" t="n">
        <f aca="false">-In_CIT*(MAX(0,BD122)+BD125)</f>
        <v>-155.862861870893</v>
      </c>
      <c r="BE127" s="52" t="n">
        <f aca="false">-In_CIT*(MAX(0,BE122)+BE125)</f>
        <v>-160.914364450406</v>
      </c>
      <c r="BF127" s="52" t="n">
        <f aca="false">-In_CIT*(MAX(0,BF122)+BF125)</f>
        <v>-166.000971676032</v>
      </c>
      <c r="BG127" s="52" t="n">
        <f aca="false">-In_CIT*(MAX(0,BG122)+BG125)</f>
        <v>-167.506789123671</v>
      </c>
      <c r="BH127" s="52" t="n">
        <f aca="false">-In_CIT*(MAX(0,BH122)+BH125)</f>
        <v>-168.261569050824</v>
      </c>
      <c r="BI127" s="52" t="n">
        <f aca="false">-In_CIT*(MAX(0,BI122)+BI125)</f>
        <v>-173.466732092545</v>
      </c>
      <c r="BJ127" s="52" t="n">
        <f aca="false">-In_CIT*(MAX(0,BJ122)+BJ125)</f>
        <v>-178.708788198403</v>
      </c>
      <c r="BK127" s="52" t="n">
        <f aca="false">-In_CIT*(MAX(0,BK122)+BK125)</f>
        <v>-180.352728949948</v>
      </c>
      <c r="BL127" s="52" t="n">
        <f aca="false">-In_CIT*(MAX(0,BL122)+BL125)</f>
        <v>-183.46960976582</v>
      </c>
      <c r="BM127" s="52" t="n">
        <f aca="false">-In_CIT*(MAX(0,BM122)+BM125)</f>
        <v>-186.57141726332</v>
      </c>
      <c r="BN127" s="52" t="n">
        <f aca="false">-In_CIT*(MAX(0,BN122)+BN125)</f>
        <v>-191.975883765096</v>
      </c>
      <c r="BO127" s="52" t="n">
        <f aca="false">-In_CIT*(MAX(0,BO122)+BO125)</f>
        <v>-193.765394936146</v>
      </c>
      <c r="BP127" s="52" t="n">
        <f aca="false">-In_CIT*(MAX(0,BP122)+BP125)</f>
        <v>-194.72370774483</v>
      </c>
      <c r="BQ127" s="52" t="n">
        <f aca="false">-In_CIT*(MAX(0,BQ122)+BQ125)</f>
        <v>-200.257159549216</v>
      </c>
      <c r="BR127" s="52" t="n">
        <f aca="false">-In_CIT*(MAX(0,BR122)+BR125)</f>
        <v>-205.831359230171</v>
      </c>
      <c r="BS127" s="52" t="n">
        <f aca="false">-In_CIT*(MAX(0,BS122)+BS125)</f>
        <v>-207.774269157617</v>
      </c>
      <c r="BT127" s="52" t="n">
        <f aca="false">-In_CIT*(MAX(0,BT122)+BT125)</f>
        <v>-205.461775363833</v>
      </c>
      <c r="BU127" s="52" t="n">
        <f aca="false">-In_CIT*(MAX(0,BU122)+BU125)</f>
        <v>-207.744683978987</v>
      </c>
      <c r="BV127" s="52" t="n">
        <f aca="false">-In_CIT*(MAX(0,BV122)+BV125)</f>
        <v>-210.02759259414</v>
      </c>
      <c r="BW127" s="52" t="n">
        <f aca="false">-In_CIT*(MAX(0,BW122)+BW125)</f>
        <v>-208.620044100937</v>
      </c>
      <c r="BX127" s="52" t="n">
        <f aca="false">-In_CIT*(MAX(0,BX122)+BX125)</f>
        <v>-206.255854733365</v>
      </c>
      <c r="BY127" s="52" t="n">
        <f aca="false">-In_CIT*(MAX(0,BY122)+BY125)</f>
        <v>-208.547586452625</v>
      </c>
      <c r="BZ127" s="52" t="n">
        <f aca="false">-In_CIT*(MAX(0,BZ122)+BZ125)</f>
        <v>-210.839318171884</v>
      </c>
      <c r="CA127" s="52" t="n">
        <f aca="false">-In_CIT*(MAX(0,CA122)+CA125)</f>
        <v>-209.423123002828</v>
      </c>
      <c r="CB127" s="52" t="n">
        <f aca="false">-In_CIT*(MAX(0,CB122)+CB125)</f>
        <v>-209.30683243011</v>
      </c>
      <c r="CC127" s="52" t="n">
        <f aca="false">-In_CIT*(MAX(0,CC122)+CC125)</f>
        <v>-209.30683243011</v>
      </c>
      <c r="CD127" s="52" t="n">
        <f aca="false">-In_CIT*(MAX(0,CD122)+CD125)</f>
        <v>-211.606907511759</v>
      </c>
      <c r="CE127" s="52" t="n">
        <f aca="false">-In_CIT*(MAX(0,CE122)+CE125)</f>
        <v>-210.182042788085</v>
      </c>
      <c r="CF127" s="52" t="n">
        <f aca="false">-In_CIT*(MAX(0,CF122)+CF125)</f>
        <v>-207.713013581331</v>
      </c>
      <c r="CG127" s="52" t="n">
        <f aca="false">-In_CIT*(MAX(0,CG122)+CG125)</f>
        <v>-210.020935954457</v>
      </c>
      <c r="CH127" s="52" t="n">
        <f aca="false">-In_CIT*(MAX(0,CH122)+CH125)</f>
        <v>-212.328858327583</v>
      </c>
      <c r="CI127" s="52" t="n">
        <f aca="false">-In_CIT*(MAX(0,CI122)+CI125)</f>
        <v>-210.895301795199</v>
      </c>
      <c r="CJ127" s="52" t="n">
        <f aca="false">-In_CIT*(MAX(0,CJ122)+CJ125)</f>
        <v>-208.373115095176</v>
      </c>
      <c r="CK127" s="52" t="n">
        <f aca="false">-In_CIT*(MAX(0,CK122)+CK125)</f>
        <v>-210.688371929567</v>
      </c>
      <c r="CL127" s="52" t="n">
        <f aca="false">-In_CIT*(MAX(0,CL122)+CL125)</f>
        <v>-213.003628763958</v>
      </c>
      <c r="CM127" s="52" t="n">
        <f aca="false">-In_CIT*(MAX(0,CM122)+CM125)</f>
        <v>-211.561358815095</v>
      </c>
      <c r="CN127" s="52" t="n">
        <f aca="false">-In_CIT*(MAX(0,CN122)+CN125)</f>
        <v>-208.985513880179</v>
      </c>
      <c r="CO127" s="52" t="n">
        <f aca="false">-In_CIT*(MAX(0,CO122)+CO125)</f>
        <v>-211.307575145515</v>
      </c>
      <c r="CP127" s="52" t="n">
        <f aca="false">-In_CIT*(MAX(0,CP122)+CP125)</f>
        <v>-213.62963641085</v>
      </c>
      <c r="CQ127" s="52" t="n">
        <f aca="false">-In_CIT*(MAX(0,CQ122)+CQ125)</f>
        <v>-212.178632106247</v>
      </c>
      <c r="CR127" s="52" t="n">
        <f aca="false">-In_CIT*(MAX(0,CR122)+CR125)</f>
        <v>-211.876939279891</v>
      </c>
      <c r="CS127" s="52" t="n">
        <f aca="false">-In_CIT*(MAX(0,CS122)+CS125)</f>
        <v>-211.876939279891</v>
      </c>
      <c r="CT127" s="52" t="n">
        <f aca="false">-In_CIT*(MAX(0,CT122)+CT125)</f>
        <v>-214.205257293956</v>
      </c>
      <c r="CU127" s="52" t="n">
        <f aca="false">-In_CIT*(MAX(0,CU122)+CU125)</f>
        <v>-212.745498385584</v>
      </c>
      <c r="CV127" s="52" t="n">
        <f aca="false">-In_CIT*(MAX(0,CV122)+CV125)</f>
        <v>-210.060806908939</v>
      </c>
      <c r="CW127" s="52" t="n">
        <f aca="false">-In_CIT*(MAX(0,CW122)+CW125)</f>
        <v>-212.394815874594</v>
      </c>
      <c r="CX127" s="52" t="n">
        <f aca="false">-In_CIT*(MAX(0,CX122)+CX125)</f>
        <v>-214.728824840249</v>
      </c>
      <c r="CY127" s="52" t="n">
        <f aca="false">-In_CIT*(MAX(0,CY122)+CY125)</f>
        <v>-213.260291794592</v>
      </c>
      <c r="CZ127" s="52" t="n">
        <f aca="false">-In_CIT*(MAX(0,CZ122)+CZ125)</f>
        <v>-210.520397756844</v>
      </c>
      <c r="DA127" s="52" t="n">
        <f aca="false">-In_CIT*(MAX(0,DA122)+DA125)</f>
        <v>-212.859513287475</v>
      </c>
      <c r="DB127" s="52" t="n">
        <f aca="false">-In_CIT*(MAX(0,DB122)+DB125)</f>
        <v>-215.198628818107</v>
      </c>
      <c r="DC127" s="52" t="n">
        <f aca="false">-In_CIT*(MAX(0,DC122)+DC125)</f>
        <v>-213.721302840004</v>
      </c>
      <c r="DD127" s="52" t="n">
        <f aca="false">-In_CIT*(MAX(0,DD122)+DD125)</f>
        <v>-210.925676985051</v>
      </c>
      <c r="DE127" s="52" t="n">
        <f aca="false">-In_CIT*(MAX(0,DE122)+DE125)</f>
        <v>-213.269295618218</v>
      </c>
      <c r="DF127" s="52" t="n">
        <f aca="false">-In_CIT*(MAX(0,DF122)+DF125)</f>
        <v>-215.612914251386</v>
      </c>
      <c r="DG127" s="52" t="n">
        <f aca="false">-In_CIT*(MAX(0,DG122)+DG125)</f>
        <v>-390.462027514203</v>
      </c>
      <c r="DH127" s="52" t="n">
        <f aca="false">-In_CIT*(MAX(0,DH122)+DH125)</f>
        <v>-388.040944311337</v>
      </c>
      <c r="DI127" s="52" t="n">
        <f aca="false">-In_CIT*(MAX(0,DI122)+DI125)</f>
        <v>-388.040944311337</v>
      </c>
      <c r="DJ127" s="52" t="n">
        <f aca="false">-In_CIT*(MAX(0,DJ122)+DJ125)</f>
        <v>-392.30513051256</v>
      </c>
      <c r="DK127" s="52" t="n">
        <f aca="false">-In_CIT*(MAX(0,DK122)+DK125)</f>
        <v>-390.810165360226</v>
      </c>
      <c r="DL127" s="52" t="n">
        <f aca="false">-In_CIT*(MAX(0,DL122)+DL125)</f>
        <v>-384.068083069357</v>
      </c>
      <c r="DM127" s="52" t="n">
        <f aca="false">-In_CIT*(MAX(0,DM122)+DM125)</f>
        <v>-388.335506214572</v>
      </c>
      <c r="DN127" s="52" t="n">
        <f aca="false">-In_CIT*(MAX(0,DN122)+DN125)</f>
        <v>-392.602929359787</v>
      </c>
      <c r="DO127" s="52" t="n">
        <f aca="false">-In_CIT*(MAX(0,DO122)+DO125)</f>
        <v>-391.099119566891</v>
      </c>
      <c r="DP127" s="52" t="n">
        <f aca="false">-In_CIT*(MAX(0,DP122)+DP125)</f>
        <v>-384.29967228596</v>
      </c>
      <c r="DQ127" s="52" t="n">
        <f aca="false">-In_CIT*(MAX(0,DQ122)+DQ125)</f>
        <v>-388.569668644693</v>
      </c>
      <c r="DR127" s="52" t="n">
        <f aca="false">-In_CIT*(MAX(0,DR122)+DR125)</f>
        <v>-392.839665003426</v>
      </c>
      <c r="DS127" s="52" t="n">
        <f aca="false">-In_CIT*(MAX(0,DS122)+DS125)</f>
        <v>-391.326994978479</v>
      </c>
      <c r="DT127" s="52" t="n">
        <f aca="false">-In_CIT*(MAX(0,DT122)+DT125)</f>
        <v>-384.469622693208</v>
      </c>
      <c r="DU127" s="52" t="n">
        <f aca="false">-In_CIT*(MAX(0,DU122)+DU125)</f>
        <v>-388.741507389799</v>
      </c>
      <c r="DV127" s="52" t="n">
        <f aca="false">-In_CIT*(MAX(0,DV122)+DV125)</f>
        <v>-393.013392086391</v>
      </c>
      <c r="DW127" s="52" t="n">
        <f aca="false">-In_CIT*(MAX(0,DW122)+DW125)</f>
        <v>-391.491847104446</v>
      </c>
      <c r="DX127" s="52" t="n">
        <f aca="false">-In_CIT*(MAX(0,DX122)+DX125)</f>
        <v>-388.849048200098</v>
      </c>
      <c r="DY127" s="52" t="n">
        <f aca="false">-In_CIT*(MAX(0,DY122)+DY125)</f>
        <v>-388.849048200098</v>
      </c>
      <c r="DZ127" s="52" t="n">
        <f aca="false">-In_CIT*(MAX(0,DZ122)+DZ125)</f>
        <v>-393.122114663836</v>
      </c>
      <c r="EA127" s="52" t="n">
        <f aca="false">-In_CIT*(MAX(0,EA122)+EA125)</f>
        <v>-391.591680894017</v>
      </c>
      <c r="EB127" s="52" t="n">
        <f aca="false">-In_CIT*(MAX(0,EB122)+EB125)</f>
        <v>-384.616746143775</v>
      </c>
      <c r="EC127" s="52" t="n">
        <f aca="false">-In_CIT*(MAX(0,EC122)+EC125)</f>
        <v>-388.890265545373</v>
      </c>
      <c r="ED127" s="52" t="n">
        <f aca="false">-In_CIT*(MAX(0,ED122)+ED125)</f>
        <v>-393.16378494697</v>
      </c>
      <c r="EE127" s="52" t="n">
        <f aca="false">-In_CIT*(MAX(0,EE122)+EE125)</f>
        <v>-391.624449480656</v>
      </c>
      <c r="EF127" s="52" t="n">
        <f aca="false">-In_CIT*(MAX(0,EF122)+EF125)</f>
        <v>-384.589860667834</v>
      </c>
      <c r="EG127" s="52" t="n">
        <f aca="false">-In_CIT*(MAX(0,EG122)+EG125)</f>
        <v>-388.86308134192</v>
      </c>
      <c r="EH127" s="52" t="n">
        <f aca="false">-In_CIT*(MAX(0,EH122)+EH125)</f>
        <v>-393.136302016008</v>
      </c>
      <c r="EI127" s="52" t="n">
        <f aca="false">-In_CIT*(MAX(0,EI122)+EI125)</f>
        <v>-391.5880528957</v>
      </c>
      <c r="EJ127" s="52" t="n">
        <f aca="false">-In_CIT*(MAX(0,EJ122)+EJ125)</f>
        <v>-384.493216794942</v>
      </c>
      <c r="EK127" s="52" t="n">
        <f aca="false">-In_CIT*(MAX(0,EK122)+EK125)</f>
        <v>-388.765363648219</v>
      </c>
      <c r="EL127" s="52" t="n">
        <f aca="false">-In_CIT*(MAX(0,EL122)+EL125)</f>
        <v>-393.037510501496</v>
      </c>
      <c r="EM127" s="52" t="n">
        <f aca="false">-In_CIT*(MAX(0,EM122)+EM125)</f>
        <v>-391.480336750375</v>
      </c>
      <c r="EN127" s="52" t="n">
        <f aca="false">-In_CIT*(MAX(0,EN122)+EN125)</f>
        <v>-388.594925328545</v>
      </c>
      <c r="EO127" s="52" t="n">
        <f aca="false">-In_CIT*(MAX(0,EO122)+EO125)</f>
        <v>-388.594925328545</v>
      </c>
      <c r="EP127" s="52" t="n">
        <f aca="false">-In_CIT*(MAX(0,EP122)+EP125)</f>
        <v>-392.865199233254</v>
      </c>
      <c r="EQ127" s="52" t="n">
        <f aca="false">-In_CIT*(MAX(0,EQ122)+EQ125)</f>
        <v>-391.299090885448</v>
      </c>
      <c r="ER127" s="52" t="n">
        <f aca="false">-In_CIT*(MAX(0,ER122)+ER125)</f>
        <v>-384.081945511414</v>
      </c>
      <c r="ES127" s="52" t="n">
        <f aca="false">-In_CIT*(MAX(0,ES122)+ES125)</f>
        <v>-388.349522683763</v>
      </c>
      <c r="ET127" s="52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1120.48016110676</v>
      </c>
      <c r="F138" s="43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1200.65972222222</v>
      </c>
      <c r="F139" s="43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3449.06941037797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5246.28927236341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5804.64131725861</v>
      </c>
      <c r="F146" s="52" t="n">
        <f aca="false">$E146+$F144+$E145</f>
        <v>8353.53142011685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2248.40968815575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55.3214001332242</v>
      </c>
      <c r="F148" s="45" t="n">
        <f aca="false">$F142/$E24</f>
        <v>22.8415192740263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-128.61785929143</v>
      </c>
      <c r="I150" s="43" t="n">
        <f aca="false">SUM(J150:ET150)</f>
        <v>6675.37659782375</v>
      </c>
      <c r="J150" s="43" t="n">
        <f aca="false">(J59+J53)*(J$4&lt;=$E12)+$F141*J12</f>
        <v>-400</v>
      </c>
      <c r="K150" s="43" t="n">
        <f aca="false">(K59+K53)*(K$4&lt;=$E12)+$F141*K12</f>
        <v>-1437.78053818728</v>
      </c>
      <c r="L150" s="43" t="n">
        <f aca="false">(L59+L53)*(L$4&lt;=$E12)+$F141*L12</f>
        <v>-691.910911990993</v>
      </c>
      <c r="M150" s="43" t="n">
        <f aca="false">(M59+M53)*(M$4&lt;=$E12)+$F141*M12</f>
        <v>-148.451634452993</v>
      </c>
      <c r="N150" s="43" t="n">
        <f aca="false">(N59+N53)*(N$4&lt;=$E12)+$F141*N12</f>
        <v>-149.601261024582</v>
      </c>
      <c r="O150" s="43" t="n">
        <f aca="false">(O59+O53)*(O$4&lt;=$E12)+$F141*O12</f>
        <v>-290.127288421843</v>
      </c>
      <c r="P150" s="43" t="n">
        <f aca="false">(P59+P53)*(P$4&lt;=$E12)+$F141*P12</f>
        <v>-1394.65781281475</v>
      </c>
      <c r="Q150" s="43" t="n">
        <f aca="false">(Q59+Q53)*(Q$4&lt;=$E12)+$F141*Q12</f>
        <v>-109.225607055733</v>
      </c>
      <c r="R150" s="43" t="n">
        <f aca="false">(R59+R53)*(R$4&lt;=$E12)+$F141*R12</f>
        <v>-269.857154566657</v>
      </c>
      <c r="S150" s="43" t="n">
        <f aca="false">(S59+S53)*(S$4&lt;=$E12)+$F141*S12</f>
        <v>-422.991783283459</v>
      </c>
      <c r="T150" s="43" t="n">
        <f aca="false">(T59+T53)*(T$4&lt;=$E12)+$F141*T12</f>
        <v>-20587.5113339088</v>
      </c>
      <c r="U150" s="43" t="n">
        <f aca="false">(U59+U53)*(U$4&lt;=$E12)+$F141*U12</f>
        <v>-104.616018014637</v>
      </c>
      <c r="V150" s="43" t="n">
        <f aca="false">(V59+V53)*(V$4&lt;=$E12)+$F141*V12</f>
        <v>-105.765644586226</v>
      </c>
      <c r="W150" s="43" t="n">
        <f aca="false">(W59+W53)*(W$4&lt;=$E12)+$F141*W12</f>
        <v>32787.8735861317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6546.75873853232</v>
      </c>
      <c r="J151" s="52" t="n">
        <f aca="false">J150+$E150*J12</f>
        <v>-400</v>
      </c>
      <c r="K151" s="52" t="n">
        <f aca="false">K150+$E150*K12</f>
        <v>-1437.78053818728</v>
      </c>
      <c r="L151" s="52" t="n">
        <f aca="false">L150+$E150*L12</f>
        <v>-691.910911990993</v>
      </c>
      <c r="M151" s="52" t="n">
        <f aca="false">M150+$E150*M12</f>
        <v>-148.451634452993</v>
      </c>
      <c r="N151" s="52" t="n">
        <f aca="false">N150+$E150*N12</f>
        <v>-149.601261024582</v>
      </c>
      <c r="O151" s="52" t="n">
        <f aca="false">O150+$E150*O12</f>
        <v>-290.127288421843</v>
      </c>
      <c r="P151" s="52" t="n">
        <f aca="false">P150+$E150*P12</f>
        <v>-1394.65781281475</v>
      </c>
      <c r="Q151" s="52" t="n">
        <f aca="false">Q150+$E150*Q12</f>
        <v>-109.225607055733</v>
      </c>
      <c r="R151" s="52" t="n">
        <f aca="false">R150+$E150*R12</f>
        <v>-269.857154566657</v>
      </c>
      <c r="S151" s="52" t="n">
        <f aca="false">S150+$E150*S12</f>
        <v>-422.991783283459</v>
      </c>
      <c r="T151" s="52" t="n">
        <f aca="false">T150+$E150*T12</f>
        <v>-20587.5113339088</v>
      </c>
      <c r="U151" s="52" t="n">
        <f aca="false">U150+$E150*U12</f>
        <v>-104.616018014637</v>
      </c>
      <c r="V151" s="52" t="n">
        <f aca="false">V150+$E150*V12</f>
        <v>-105.765644586226</v>
      </c>
      <c r="W151" s="52" t="n">
        <f aca="false">W150+$E150*W12</f>
        <v>32659.2557268403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-1806.77268158454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0.221510760619134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1.24970223352323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-69999.7210564962</v>
      </c>
      <c r="J158" s="43" t="n">
        <f aca="false">(J59+J104+J97+J118)*(J$4&lt;=In_COD)</f>
        <v>-400</v>
      </c>
      <c r="K158" s="43" t="n">
        <f aca="false">(K59+K104+K97+K118)*(K$4&lt;=In_COD)</f>
        <v>-1437.78053818728</v>
      </c>
      <c r="L158" s="43" t="n">
        <f aca="false">(L59+L104+L97+L118)*(L$4&lt;=In_COD)</f>
        <v>-691.910911990993</v>
      </c>
      <c r="M158" s="43" t="n">
        <f aca="false">(M59+M104+M97+M118)*(M$4&lt;=In_COD)</f>
        <v>-148.451634452993</v>
      </c>
      <c r="N158" s="43" t="n">
        <f aca="false">(N59+N104+N97+N118)*(N$4&lt;=In_COD)</f>
        <v>-149.601261024582</v>
      </c>
      <c r="O158" s="43" t="n">
        <f aca="false">(O59+O104+O97+O118)*(O$4&lt;=In_COD)</f>
        <v>-290.127288421843</v>
      </c>
      <c r="P158" s="43" t="n">
        <f aca="false">(P59+P104+P97+P118)*(P$4&lt;=In_COD)</f>
        <v>-1394.65781281475</v>
      </c>
      <c r="Q158" s="43" t="n">
        <f aca="false">(Q59+Q104+Q97+Q118)*(Q$4&lt;=In_COD)</f>
        <v>-109.225607055733</v>
      </c>
      <c r="R158" s="43" t="n">
        <f aca="false">(R59+R104+R97+R118)*(R$4&lt;=In_COD)</f>
        <v>-269.857154566657</v>
      </c>
      <c r="S158" s="43" t="n">
        <f aca="false">(S59+S104+S97+S118)*(S$4&lt;=In_COD)</f>
        <v>-422.991783283459</v>
      </c>
      <c r="T158" s="43" t="n">
        <f aca="false">(T59+T104+T97+T118)*(T$4&lt;=In_COD)</f>
        <v>-20587.5113339088</v>
      </c>
      <c r="U158" s="43" t="n">
        <f aca="false">(U59+U104+U97+U118)*(U$4&lt;=In_COD)</f>
        <v>-104.616018014637</v>
      </c>
      <c r="V158" s="43" t="n">
        <f aca="false">(V59+V104+V97+V118)*(V$4&lt;=In_COD)</f>
        <v>-105.765644586226</v>
      </c>
      <c r="W158" s="43" t="n">
        <f aca="false">(W59+W104+W97+W118)*(W$4&lt;=In_COD)</f>
        <v>-6367.1847682608</v>
      </c>
      <c r="X158" s="43" t="n">
        <f aca="false">(X59+X104+X97+X118)*(X$4&lt;=In_COD)</f>
        <v>-4661.61083132373</v>
      </c>
      <c r="Y158" s="43" t="n">
        <f aca="false">(Y59+Y104+Y97+Y118)*(Y$4&lt;=In_COD)</f>
        <v>-4688.46029001015</v>
      </c>
      <c r="Z158" s="43" t="n">
        <f aca="false">(Z59+Z104+Z97+Z118)*(Z$4&lt;=In_COD)</f>
        <v>-4714.48125405884</v>
      </c>
      <c r="AA158" s="43" t="n">
        <f aca="false">(AA59+AA104+AA97+AA118)*(AA$4&lt;=In_COD)</f>
        <v>-4688.7004503316</v>
      </c>
      <c r="AB158" s="43" t="n">
        <f aca="false">(AB59+AB104+AB97+AB118)*(AB$4&lt;=In_COD)</f>
        <v>-4563.44624851397</v>
      </c>
      <c r="AC158" s="43" t="n">
        <f aca="false">(AC59+AC104+AC97+AC118)*(AC$4&lt;=In_COD)</f>
        <v>-4589.20498961362</v>
      </c>
      <c r="AD158" s="43" t="n">
        <f aca="false">(AD59+AD104+AD97+AD118)*(AD$4&lt;=In_COD)</f>
        <v>-9614.13523607553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-2474.54304721128</v>
      </c>
      <c r="I159" s="43" t="n">
        <f aca="false">SUM(J159:ET159)</f>
        <v>-6307.65794259604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-55.2964865753425</v>
      </c>
      <c r="AF159" s="43" t="n">
        <f aca="false">-($E31-In_Ref_Community)*AF110*(1-In_CIT)/Thousand</f>
        <v>-54.6954378082192</v>
      </c>
      <c r="AG159" s="43" t="n">
        <f aca="false">-($E31-In_Ref_Community)*AG110*(1-In_CIT)/Thousand</f>
        <v>-54.6954378082192</v>
      </c>
      <c r="AH159" s="43" t="n">
        <f aca="false">-($E31-In_Ref_Community)*AH110*(1-In_CIT)/Thousand</f>
        <v>-55.2964865753425</v>
      </c>
      <c r="AI159" s="43" t="n">
        <f aca="false">-($E31-In_Ref_Community)*AI110*(1-In_CIT)/Thousand</f>
        <v>-55.1305971156164</v>
      </c>
      <c r="AJ159" s="43" t="n">
        <f aca="false">-($E31-In_Ref_Community)*AJ110*(1-In_CIT)/Thousand</f>
        <v>-53.9321058739726</v>
      </c>
      <c r="AK159" s="43" t="n">
        <f aca="false">-($E31-In_Ref_Community)*AK110*(1-In_CIT)/Thousand</f>
        <v>-54.5313514947945</v>
      </c>
      <c r="AL159" s="43" t="n">
        <f aca="false">-($E31-In_Ref_Community)*AL110*(1-In_CIT)/Thousand</f>
        <v>-55.1305971156164</v>
      </c>
      <c r="AM159" s="43" t="n">
        <f aca="false">-($E31-In_Ref_Community)*AM110*(1-In_CIT)/Thousand</f>
        <v>-54.9652053242696</v>
      </c>
      <c r="AN159" s="43" t="n">
        <f aca="false">-($E31-In_Ref_Community)*AN110*(1-In_CIT)/Thousand</f>
        <v>-53.7703095563507</v>
      </c>
      <c r="AO159" s="43" t="n">
        <f aca="false">-($E31-In_Ref_Community)*AO110*(1-In_CIT)/Thousand</f>
        <v>-54.3677574403101</v>
      </c>
      <c r="AP159" s="43" t="n">
        <f aca="false">-($E31-In_Ref_Community)*AP110*(1-In_CIT)/Thousand</f>
        <v>-54.9652053242696</v>
      </c>
      <c r="AQ159" s="43" t="n">
        <f aca="false">-($E31-In_Ref_Community)*AQ110*(1-In_CIT)/Thousand</f>
        <v>-54.8003097082968</v>
      </c>
      <c r="AR159" s="43" t="n">
        <f aca="false">-($E31-In_Ref_Community)*AR110*(1-In_CIT)/Thousand</f>
        <v>-53.6089986276816</v>
      </c>
      <c r="AS159" s="43" t="n">
        <f aca="false">-($E31-In_Ref_Community)*AS110*(1-In_CIT)/Thousand</f>
        <v>-54.2046541679892</v>
      </c>
      <c r="AT159" s="43" t="n">
        <f aca="false">-($E31-In_Ref_Community)*AT110*(1-In_CIT)/Thousand</f>
        <v>-54.8003097082968</v>
      </c>
      <c r="AU159" s="43" t="n">
        <f aca="false">-($E31-In_Ref_Community)*AU110*(1-In_CIT)/Thousand</f>
        <v>-54.6359087791719</v>
      </c>
      <c r="AV159" s="43" t="n">
        <f aca="false">-($E31-In_Ref_Community)*AV110*(1-In_CIT)/Thousand</f>
        <v>-54.0420402054852</v>
      </c>
      <c r="AW159" s="43" t="n">
        <f aca="false">-($E31-In_Ref_Community)*AW110*(1-In_CIT)/Thousand</f>
        <v>-54.0420402054852</v>
      </c>
      <c r="AX159" s="43" t="n">
        <f aca="false">-($E31-In_Ref_Community)*AX110*(1-In_CIT)/Thousand</f>
        <v>-54.6359087791719</v>
      </c>
      <c r="AY159" s="43" t="n">
        <f aca="false">-($E31-In_Ref_Community)*AY110*(1-In_CIT)/Thousand</f>
        <v>-54.4720010528344</v>
      </c>
      <c r="AZ159" s="43" t="n">
        <f aca="false">-($E31-In_Ref_Community)*AZ110*(1-In_CIT)/Thousand</f>
        <v>-53.2878271169032</v>
      </c>
      <c r="BA159" s="43" t="n">
        <f aca="false">-($E31-In_Ref_Community)*BA110*(1-In_CIT)/Thousand</f>
        <v>-53.8799140848688</v>
      </c>
      <c r="BB159" s="43" t="n">
        <f aca="false">-($E31-In_Ref_Community)*BB110*(1-In_CIT)/Thousand</f>
        <v>-54.4720010528344</v>
      </c>
      <c r="BC159" s="43" t="n">
        <f aca="false">-($E31-In_Ref_Community)*BC110*(1-In_CIT)/Thousand</f>
        <v>-54.3085850496759</v>
      </c>
      <c r="BD159" s="43" t="n">
        <f aca="false">-($E31-In_Ref_Community)*BD110*(1-In_CIT)/Thousand</f>
        <v>-53.1279636355525</v>
      </c>
      <c r="BE159" s="43" t="n">
        <f aca="false">-($E31-In_Ref_Community)*BE110*(1-In_CIT)/Thousand</f>
        <v>-53.7182743426142</v>
      </c>
      <c r="BF159" s="43" t="n">
        <f aca="false">-($E31-In_Ref_Community)*BF110*(1-In_CIT)/Thousand</f>
        <v>-54.3085850496759</v>
      </c>
      <c r="BG159" s="43" t="n">
        <f aca="false">-($E31-In_Ref_Community)*BG110*(1-In_CIT)/Thousand</f>
        <v>-54.1456592945269</v>
      </c>
      <c r="BH159" s="43" t="n">
        <f aca="false">-($E31-In_Ref_Community)*BH110*(1-In_CIT)/Thousand</f>
        <v>-52.9685797446458</v>
      </c>
      <c r="BI159" s="43" t="n">
        <f aca="false">-($E31-In_Ref_Community)*BI110*(1-In_CIT)/Thousand</f>
        <v>-53.5571195195863</v>
      </c>
      <c r="BJ159" s="43" t="n">
        <f aca="false">-($E31-In_Ref_Community)*BJ110*(1-In_CIT)/Thousand</f>
        <v>-54.1456592945269</v>
      </c>
      <c r="BK159" s="43" t="n">
        <f aca="false">-($E31-In_Ref_Community)*BK110*(1-In_CIT)/Thousand</f>
        <v>-53.9832223166433</v>
      </c>
      <c r="BL159" s="43" t="n">
        <f aca="false">-($E31-In_Ref_Community)*BL110*(1-In_CIT)/Thousand</f>
        <v>-53.3964481610276</v>
      </c>
      <c r="BM159" s="43" t="n">
        <f aca="false">-($E31-In_Ref_Community)*BM110*(1-In_CIT)/Thousand</f>
        <v>-53.3964481610276</v>
      </c>
      <c r="BN159" s="43" t="n">
        <f aca="false">-($E31-In_Ref_Community)*BN110*(1-In_CIT)/Thousand</f>
        <v>-53.9832223166433</v>
      </c>
      <c r="BO159" s="43" t="n">
        <f aca="false">-($E31-In_Ref_Community)*BO110*(1-In_CIT)/Thousand</f>
        <v>-53.8212726496933</v>
      </c>
      <c r="BP159" s="43" t="n">
        <f aca="false">-($E31-In_Ref_Community)*BP110*(1-In_CIT)/Thousand</f>
        <v>-52.6512449833957</v>
      </c>
      <c r="BQ159" s="43" t="n">
        <f aca="false">-($E31-In_Ref_Community)*BQ110*(1-In_CIT)/Thousand</f>
        <v>-53.2362588165445</v>
      </c>
      <c r="BR159" s="43" t="n">
        <f aca="false">-($E31-In_Ref_Community)*BR110*(1-In_CIT)/Thousand</f>
        <v>-53.8212726496933</v>
      </c>
      <c r="BS159" s="43" t="n">
        <f aca="false">-($E31-In_Ref_Community)*BS110*(1-In_CIT)/Thousand</f>
        <v>-53.6598088317443</v>
      </c>
      <c r="BT159" s="43" t="n">
        <f aca="false">-($E31-In_Ref_Community)*BT110*(1-In_CIT)/Thousand</f>
        <v>-52.4932912484455</v>
      </c>
      <c r="BU159" s="43" t="n">
        <f aca="false">-($E31-In_Ref_Community)*BU110*(1-In_CIT)/Thousand</f>
        <v>-53.0765500400949</v>
      </c>
      <c r="BV159" s="43" t="n">
        <f aca="false">-($E31-In_Ref_Community)*BV110*(1-In_CIT)/Thousand</f>
        <v>-53.6598088317443</v>
      </c>
      <c r="BW159" s="43" t="n">
        <f aca="false">-($E31-In_Ref_Community)*BW110*(1-In_CIT)/Thousand</f>
        <v>-53.498829405249</v>
      </c>
      <c r="BX159" s="43" t="n">
        <f aca="false">-($E31-In_Ref_Community)*BX110*(1-In_CIT)/Thousand</f>
        <v>-52.3358113747001</v>
      </c>
      <c r="BY159" s="43" t="n">
        <f aca="false">-($E31-In_Ref_Community)*BY110*(1-In_CIT)/Thousand</f>
        <v>-52.9173203899746</v>
      </c>
      <c r="BZ159" s="43" t="n">
        <f aca="false">-($E31-In_Ref_Community)*BZ110*(1-In_CIT)/Thousand</f>
        <v>-53.498829405249</v>
      </c>
      <c r="CA159" s="43" t="n">
        <f aca="false">-($E31-In_Ref_Community)*CA110*(1-In_CIT)/Thousand</f>
        <v>-53.3383329170333</v>
      </c>
      <c r="CB159" s="43" t="n">
        <f aca="false">-($E31-In_Ref_Community)*CB110*(1-In_CIT)/Thousand</f>
        <v>-52.7585684288047</v>
      </c>
      <c r="CC159" s="43" t="n">
        <f aca="false">-($E31-In_Ref_Community)*CC110*(1-In_CIT)/Thousand</f>
        <v>-52.7585684288047</v>
      </c>
      <c r="CD159" s="43" t="n">
        <f aca="false">-($E31-In_Ref_Community)*CD110*(1-In_CIT)/Thousand</f>
        <v>-53.3383329170333</v>
      </c>
      <c r="CE159" s="43" t="n">
        <f aca="false">-($E31-In_Ref_Community)*CE110*(1-In_CIT)/Thousand</f>
        <v>-53.1783179182822</v>
      </c>
      <c r="CF159" s="43" t="n">
        <f aca="false">-($E31-In_Ref_Community)*CF110*(1-In_CIT)/Thousand</f>
        <v>-52.0222675287543</v>
      </c>
      <c r="CG159" s="43" t="n">
        <f aca="false">-($E31-In_Ref_Community)*CG110*(1-In_CIT)/Thousand</f>
        <v>-52.6002927235182</v>
      </c>
      <c r="CH159" s="43" t="n">
        <f aca="false">-($E31-In_Ref_Community)*CH110*(1-In_CIT)/Thousand</f>
        <v>-53.1783179182822</v>
      </c>
      <c r="CI159" s="43" t="n">
        <f aca="false">-($E31-In_Ref_Community)*CI110*(1-In_CIT)/Thousand</f>
        <v>-53.0187829645273</v>
      </c>
      <c r="CJ159" s="43" t="n">
        <f aca="false">-($E31-In_Ref_Community)*CJ110*(1-In_CIT)/Thousand</f>
        <v>-51.866200726168</v>
      </c>
      <c r="CK159" s="43" t="n">
        <f aca="false">-($E31-In_Ref_Community)*CK110*(1-In_CIT)/Thousand</f>
        <v>-52.4424918453477</v>
      </c>
      <c r="CL159" s="43" t="n">
        <f aca="false">-($E31-In_Ref_Community)*CL110*(1-In_CIT)/Thousand</f>
        <v>-53.0187829645273</v>
      </c>
      <c r="CM159" s="43" t="n">
        <f aca="false">-($E31-In_Ref_Community)*CM110*(1-In_CIT)/Thousand</f>
        <v>-52.8597266156338</v>
      </c>
      <c r="CN159" s="43" t="n">
        <f aca="false">-($E31-In_Ref_Community)*CN110*(1-In_CIT)/Thousand</f>
        <v>-51.7106021239895</v>
      </c>
      <c r="CO159" s="43" t="n">
        <f aca="false">-($E31-In_Ref_Community)*CO110*(1-In_CIT)/Thousand</f>
        <v>-52.2851643698116</v>
      </c>
      <c r="CP159" s="43" t="n">
        <f aca="false">-($E31-In_Ref_Community)*CP110*(1-In_CIT)/Thousand</f>
        <v>-52.8597266156338</v>
      </c>
      <c r="CQ159" s="43" t="n">
        <f aca="false">-($E31-In_Ref_Community)*CQ110*(1-In_CIT)/Thousand</f>
        <v>-52.7011474357869</v>
      </c>
      <c r="CR159" s="43" t="n">
        <f aca="false">-($E31-In_Ref_Community)*CR110*(1-In_CIT)/Thousand</f>
        <v>-52.1283088767022</v>
      </c>
      <c r="CS159" s="43" t="n">
        <f aca="false">-($E31-In_Ref_Community)*CS110*(1-In_CIT)/Thousand</f>
        <v>-52.1283088767022</v>
      </c>
      <c r="CT159" s="43" t="n">
        <f aca="false">-($E31-In_Ref_Community)*CT110*(1-In_CIT)/Thousand</f>
        <v>-52.7011474357869</v>
      </c>
      <c r="CU159" s="43" t="n">
        <f aca="false">-($E31-In_Ref_Community)*CU110*(1-In_CIT)/Thousand</f>
        <v>-52.5430439934795</v>
      </c>
      <c r="CV159" s="43" t="n">
        <f aca="false">-($E31-In_Ref_Community)*CV110*(1-In_CIT)/Thousand</f>
        <v>-51.4008039066647</v>
      </c>
      <c r="CW159" s="43" t="n">
        <f aca="false">-($E31-In_Ref_Community)*CW110*(1-In_CIT)/Thousand</f>
        <v>-51.9719239500721</v>
      </c>
      <c r="CX159" s="43" t="n">
        <f aca="false">-($E31-In_Ref_Community)*CX110*(1-In_CIT)/Thousand</f>
        <v>-52.5430439934795</v>
      </c>
      <c r="CY159" s="43" t="n">
        <f aca="false">-($E31-In_Ref_Community)*CY110*(1-In_CIT)/Thousand</f>
        <v>-52.3854148614991</v>
      </c>
      <c r="CZ159" s="43" t="n">
        <f aca="false">-($E31-In_Ref_Community)*CZ110*(1-In_CIT)/Thousand</f>
        <v>-51.2466014949447</v>
      </c>
      <c r="DA159" s="43" t="n">
        <f aca="false">-($E31-In_Ref_Community)*DA110*(1-In_CIT)/Thousand</f>
        <v>-51.8160081782219</v>
      </c>
      <c r="DB159" s="43" t="n">
        <f aca="false">-($E31-In_Ref_Community)*DB110*(1-In_CIT)/Thousand</f>
        <v>-52.3854148614991</v>
      </c>
      <c r="DC159" s="43" t="n">
        <f aca="false">-($E31-In_Ref_Community)*DC110*(1-In_CIT)/Thousand</f>
        <v>-52.2282586169146</v>
      </c>
      <c r="DD159" s="43" t="n">
        <f aca="false">-($E31-In_Ref_Community)*DD110*(1-In_CIT)/Thousand</f>
        <v>-51.0928616904599</v>
      </c>
      <c r="DE159" s="43" t="n">
        <f aca="false">-($E31-In_Ref_Community)*DE110*(1-In_CIT)/Thousand</f>
        <v>-51.6605601536872</v>
      </c>
      <c r="DF159" s="43" t="n">
        <f aca="false">-($E31-In_Ref_Community)*DF110*(1-In_CIT)/Thousand</f>
        <v>-52.2282586169146</v>
      </c>
      <c r="DG159" s="43" t="n">
        <f aca="false">-($E31-In_Ref_Community)*DG110*(1-In_CIT)/Thousand</f>
        <v>-52.0715738410638</v>
      </c>
      <c r="DH159" s="43" t="n">
        <f aca="false">-($E31-In_Ref_Community)*DH110*(1-In_CIT)/Thousand</f>
        <v>-51.5055784732262</v>
      </c>
      <c r="DI159" s="43" t="n">
        <f aca="false">-($E31-In_Ref_Community)*DI110*(1-In_CIT)/Thousand</f>
        <v>-51.5055784732262</v>
      </c>
      <c r="DJ159" s="43" t="n">
        <f aca="false">-($E31-In_Ref_Community)*DJ110*(1-In_CIT)/Thousand</f>
        <v>-52.0715738410638</v>
      </c>
      <c r="DK159" s="43" t="n">
        <f aca="false">-($E31-In_Ref_Community)*DK110*(1-In_CIT)/Thousand</f>
        <v>-51.9153591195406</v>
      </c>
      <c r="DL159" s="43" t="n">
        <f aca="false">-($E31-In_Ref_Community)*DL110*(1-In_CIT)/Thousand</f>
        <v>-50.7867643560723</v>
      </c>
      <c r="DM159" s="43" t="n">
        <f aca="false">-($E31-In_Ref_Community)*DM110*(1-In_CIT)/Thousand</f>
        <v>-51.3510617378065</v>
      </c>
      <c r="DN159" s="43" t="n">
        <f aca="false">-($E31-In_Ref_Community)*DN110*(1-In_CIT)/Thousand</f>
        <v>-51.9153591195406</v>
      </c>
      <c r="DO159" s="43" t="n">
        <f aca="false">-($E31-In_Ref_Community)*DO110*(1-In_CIT)/Thousand</f>
        <v>-51.759613042182</v>
      </c>
      <c r="DP159" s="43" t="n">
        <f aca="false">-($E31-In_Ref_Community)*DP110*(1-In_CIT)/Thousand</f>
        <v>-50.6344040630041</v>
      </c>
      <c r="DQ159" s="43" t="n">
        <f aca="false">-($E31-In_Ref_Community)*DQ110*(1-In_CIT)/Thousand</f>
        <v>-51.1970085525931</v>
      </c>
      <c r="DR159" s="43" t="n">
        <f aca="false">-($E31-In_Ref_Community)*DR110*(1-In_CIT)/Thousand</f>
        <v>-51.759613042182</v>
      </c>
      <c r="DS159" s="43" t="n">
        <f aca="false">-($E31-In_Ref_Community)*DS110*(1-In_CIT)/Thousand</f>
        <v>-51.6043342030555</v>
      </c>
      <c r="DT159" s="43" t="n">
        <f aca="false">-($E31-In_Ref_Community)*DT110*(1-In_CIT)/Thousand</f>
        <v>-50.4825008508151</v>
      </c>
      <c r="DU159" s="43" t="n">
        <f aca="false">-($E31-In_Ref_Community)*DU110*(1-In_CIT)/Thousand</f>
        <v>-51.0434175269353</v>
      </c>
      <c r="DV159" s="43" t="n">
        <f aca="false">-($E31-In_Ref_Community)*DV110*(1-In_CIT)/Thousand</f>
        <v>-51.6043342030555</v>
      </c>
      <c r="DW159" s="43" t="n">
        <f aca="false">-($E31-In_Ref_Community)*DW110*(1-In_CIT)/Thousand</f>
        <v>-51.4495212004463</v>
      </c>
      <c r="DX159" s="43" t="n">
        <f aca="false">-($E31-In_Ref_Community)*DX110*(1-In_CIT)/Thousand</f>
        <v>-50.8902872743545</v>
      </c>
      <c r="DY159" s="43" t="n">
        <f aca="false">-($E31-In_Ref_Community)*DY110*(1-In_CIT)/Thousand</f>
        <v>-50.8902872743545</v>
      </c>
      <c r="DZ159" s="43" t="n">
        <f aca="false">-($E31-In_Ref_Community)*DZ110*(1-In_CIT)/Thousand</f>
        <v>-51.4495212004463</v>
      </c>
      <c r="EA159" s="43" t="n">
        <f aca="false">-($E31-In_Ref_Community)*EA110*(1-In_CIT)/Thousand</f>
        <v>-51.2951726368449</v>
      </c>
      <c r="EB159" s="43" t="n">
        <f aca="false">-($E31-In_Ref_Community)*EB110*(1-In_CIT)/Thousand</f>
        <v>-50.1800601882179</v>
      </c>
      <c r="EC159" s="43" t="n">
        <f aca="false">-($E31-In_Ref_Community)*EC110*(1-In_CIT)/Thousand</f>
        <v>-50.7376164125314</v>
      </c>
      <c r="ED159" s="43" t="n">
        <f aca="false">-($E31-In_Ref_Community)*ED110*(1-In_CIT)/Thousand</f>
        <v>-51.2951726368449</v>
      </c>
      <c r="EE159" s="43" t="n">
        <f aca="false">-($E31-In_Ref_Community)*EE110*(1-In_CIT)/Thousand</f>
        <v>-51.1412871189344</v>
      </c>
      <c r="EF159" s="43" t="n">
        <f aca="false">-($E31-In_Ref_Community)*EF110*(1-In_CIT)/Thousand</f>
        <v>-50.0295200076532</v>
      </c>
      <c r="EG159" s="43" t="n">
        <f aca="false">-($E31-In_Ref_Community)*EG110*(1-In_CIT)/Thousand</f>
        <v>-50.5854035632938</v>
      </c>
      <c r="EH159" s="43" t="n">
        <f aca="false">-($E31-In_Ref_Community)*EH110*(1-In_CIT)/Thousand</f>
        <v>-51.1412871189344</v>
      </c>
      <c r="EI159" s="43" t="n">
        <f aca="false">-($E31-In_Ref_Community)*EI110*(1-In_CIT)/Thousand</f>
        <v>-50.9878632575776</v>
      </c>
      <c r="EJ159" s="43" t="n">
        <f aca="false">-($E31-In_Ref_Community)*EJ110*(1-In_CIT)/Thousand</f>
        <v>-49.8794314476303</v>
      </c>
      <c r="EK159" s="43" t="n">
        <f aca="false">-($E31-In_Ref_Community)*EK110*(1-In_CIT)/Thousand</f>
        <v>-50.4336473526039</v>
      </c>
      <c r="EL159" s="43" t="n">
        <f aca="false">-($E31-In_Ref_Community)*EL110*(1-In_CIT)/Thousand</f>
        <v>-50.9878632575776</v>
      </c>
      <c r="EM159" s="43" t="n">
        <f aca="false">-($E31-In_Ref_Community)*EM110*(1-In_CIT)/Thousand</f>
        <v>-50.8348996678049</v>
      </c>
      <c r="EN159" s="43" t="n">
        <f aca="false">-($E31-In_Ref_Community)*EN110*(1-In_CIT)/Thousand</f>
        <v>-50.2823464105461</v>
      </c>
      <c r="EO159" s="43" t="n">
        <f aca="false">-($E31-In_Ref_Community)*EO110*(1-In_CIT)/Thousand</f>
        <v>-50.2823464105461</v>
      </c>
      <c r="EP159" s="43" t="n">
        <f aca="false">-($E31-In_Ref_Community)*EP110*(1-In_CIT)/Thousand</f>
        <v>-50.8348996678049</v>
      </c>
      <c r="EQ159" s="43" t="n">
        <f aca="false">-($E31-In_Ref_Community)*EQ110*(1-In_CIT)/Thousand</f>
        <v>-50.6823949688015</v>
      </c>
      <c r="ER159" s="43" t="n">
        <f aca="false">-($E31-In_Ref_Community)*ER110*(1-In_CIT)/Thousand</f>
        <v>-49.5806037738275</v>
      </c>
      <c r="ES159" s="43" t="n">
        <f aca="false">-($E31-In_Ref_Community)*ES110*(1-In_CIT)/Thousand</f>
        <v>-50.1314993713145</v>
      </c>
      <c r="ET159" s="43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94220.5039225694</v>
      </c>
      <c r="F162" s="43" t="n">
        <f aca="false">MAX(0,$E160+$F160-$E162)</f>
        <v>146940.414855326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64890.7053120239</v>
      </c>
      <c r="F164" s="43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11746.2079961624</v>
      </c>
      <c r="F165" s="43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1510</v>
      </c>
      <c r="F166" s="43" t="n">
        <f aca="false">MIN($E166,$F162-SUM($F163:$F165))</f>
        <v>1510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54442.6433346878</v>
      </c>
      <c r="J169" s="52" t="n">
        <f aca="false">J158+$F168*J14</f>
        <v>-400</v>
      </c>
      <c r="K169" s="52" t="n">
        <f aca="false">K158+$F168*K14</f>
        <v>-1437.78053818728</v>
      </c>
      <c r="L169" s="52" t="n">
        <f aca="false">L158+$F168*L14</f>
        <v>-691.910911990993</v>
      </c>
      <c r="M169" s="52" t="n">
        <f aca="false">M158+$F168*M14</f>
        <v>-148.451634452993</v>
      </c>
      <c r="N169" s="52" t="n">
        <f aca="false">N158+$F168*N14</f>
        <v>-149.601261024582</v>
      </c>
      <c r="O169" s="52" t="n">
        <f aca="false">O158+$F168*O14</f>
        <v>-290.127288421843</v>
      </c>
      <c r="P169" s="52" t="n">
        <f aca="false">P158+$F168*P14</f>
        <v>-1394.65781281475</v>
      </c>
      <c r="Q169" s="52" t="n">
        <f aca="false">Q158+$F168*Q14</f>
        <v>-109.225607055733</v>
      </c>
      <c r="R169" s="52" t="n">
        <f aca="false">R158+$F168*R14</f>
        <v>-269.857154566657</v>
      </c>
      <c r="S169" s="52" t="n">
        <f aca="false">S158+$F168*S14</f>
        <v>-422.991783283459</v>
      </c>
      <c r="T169" s="52" t="n">
        <f aca="false">T158+$F168*T14</f>
        <v>-20587.5113339088</v>
      </c>
      <c r="U169" s="52" t="n">
        <f aca="false">U158+$F168*U14</f>
        <v>-104.616018014637</v>
      </c>
      <c r="V169" s="52" t="n">
        <f aca="false">V158+$F168*V14</f>
        <v>-105.765644586226</v>
      </c>
      <c r="W169" s="52" t="n">
        <f aca="false">W158+$F168*W14</f>
        <v>-6367.1847682608</v>
      </c>
      <c r="X169" s="52" t="n">
        <f aca="false">X158+$F168*X14</f>
        <v>-4661.61083132373</v>
      </c>
      <c r="Y169" s="52" t="n">
        <f aca="false">Y158+$F168*Y14</f>
        <v>-4688.46029001015</v>
      </c>
      <c r="Z169" s="52" t="n">
        <f aca="false">Z158+$F168*Z14</f>
        <v>-4714.48125405884</v>
      </c>
      <c r="AA169" s="52" t="n">
        <f aca="false">AA158+$F168*AA14</f>
        <v>-4688.7004503316</v>
      </c>
      <c r="AB169" s="52" t="n">
        <f aca="false">AB158+$F168*AB14</f>
        <v>-4563.44624851397</v>
      </c>
      <c r="AC169" s="52" t="n">
        <f aca="false">AC158+$F168*AC14</f>
        <v>-4589.20498961362</v>
      </c>
      <c r="AD169" s="52" t="n">
        <f aca="false">AD158+$F168*AD14</f>
        <v>114828.229155109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30754.8631039482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171213.786622901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1418.21917808219</v>
      </c>
      <c r="F179" s="43" t="n">
        <f aca="false">$F85</f>
        <v>6993.56164383562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164220.224979066</v>
      </c>
      <c r="F180" s="52" t="n">
        <f aca="false">$I97+$I98-$I158</f>
        <v>164220.224979066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287506.93004095</v>
      </c>
      <c r="J184" s="52" t="n">
        <f aca="false">J59+J104+J97+J118+J101+J99+J127+J86-$F142*J12</f>
        <v>-400</v>
      </c>
      <c r="K184" s="52" t="n">
        <f aca="false">K59+K104+K97+K118+K101+K99+K127+K86-$F142*K12</f>
        <v>-1437.78053818728</v>
      </c>
      <c r="L184" s="52" t="n">
        <f aca="false">L59+L104+L97+L118+L101+L99+L127+L86-$F142*L12</f>
        <v>-691.910911990993</v>
      </c>
      <c r="M184" s="52" t="n">
        <f aca="false">M59+M104+M97+M118+M101+M99+M127+M86-$F142*M12</f>
        <v>-148.451634452993</v>
      </c>
      <c r="N184" s="52" t="n">
        <f aca="false">N59+N104+N97+N118+N101+N99+N127+N86-$F142*N12</f>
        <v>-149.601261024582</v>
      </c>
      <c r="O184" s="52" t="n">
        <f aca="false">O59+O104+O97+O118+O101+O99+O127+O86-$F142*O12</f>
        <v>-290.127288421843</v>
      </c>
      <c r="P184" s="52" t="n">
        <f aca="false">P59+P104+P97+P118+P101+P99+P127+P86-$F142*P12</f>
        <v>-1394.65781281475</v>
      </c>
      <c r="Q184" s="52" t="n">
        <f aca="false">Q59+Q104+Q97+Q118+Q101+Q99+Q127+Q86-$F142*Q12</f>
        <v>-109.225607055733</v>
      </c>
      <c r="R184" s="52" t="n">
        <f aca="false">R59+R104+R97+R118+R101+R99+R127+R86-$F142*R12</f>
        <v>-269.857154566657</v>
      </c>
      <c r="S184" s="52" t="n">
        <f aca="false">S59+S104+S97+S118+S101+S99+S127+S86-$F142*S12</f>
        <v>-422.991783283459</v>
      </c>
      <c r="T184" s="52" t="n">
        <f aca="false">T59+T104+T97+T118+T101+T99+T127+T86-$F142*T12</f>
        <v>-20587.5113339088</v>
      </c>
      <c r="U184" s="52" t="n">
        <f aca="false">U59+U104+U97+U118+U101+U99+U127+U86-$F142*U12</f>
        <v>-104.616018014637</v>
      </c>
      <c r="V184" s="52" t="n">
        <f aca="false">V59+V104+V97+V118+V101+V99+V127+V86-$F142*V12</f>
        <v>-105.765644586226</v>
      </c>
      <c r="W184" s="52" t="n">
        <f aca="false">W59+W104+W97+W118+W101+W99+W127+W86-$F142*W12</f>
        <v>-9816.25417863877</v>
      </c>
      <c r="X184" s="52" t="n">
        <f aca="false">X59+X104+X97+X118+X101+X99+X127+X86-$F142*X12</f>
        <v>-4661.61083132373</v>
      </c>
      <c r="Y184" s="52" t="n">
        <f aca="false">Y59+Y104+Y97+Y118+Y101+Y99+Y127+Y86-$F142*Y12</f>
        <v>-4688.46029001015</v>
      </c>
      <c r="Z184" s="52" t="n">
        <f aca="false">Z59+Z104+Z97+Z118+Z101+Z99+Z127+Z86-$F142*Z12</f>
        <v>-4714.48125405884</v>
      </c>
      <c r="AA184" s="52" t="n">
        <f aca="false">AA59+AA104+AA97+AA118+AA101+AA99+AA127+AA86-$F142*AA12</f>
        <v>-4688.7004503316</v>
      </c>
      <c r="AB184" s="52" t="n">
        <f aca="false">AB59+AB104+AB97+AB118+AB101+AB99+AB127+AB86-$F142*AB12</f>
        <v>-4563.44624851397</v>
      </c>
      <c r="AC184" s="52" t="n">
        <f aca="false">AC59+AC104+AC97+AC118+AC101+AC99+AC127+AC86-$F142*AC12</f>
        <v>-4589.20498961362</v>
      </c>
      <c r="AD184" s="52" t="n">
        <f aca="false">AD59+AD104+AD97+AD118+AD101+AD99+AD127+AD86-$F142*AD12</f>
        <v>-9614.13523607553</v>
      </c>
      <c r="AE184" s="52" t="n">
        <f aca="false">AE59+AE104+AE97+AE118+AE101+AE99+AE127+AE86-$F142*AE12</f>
        <v>1037.68917836884</v>
      </c>
      <c r="AF184" s="52" t="n">
        <f aca="false">AF59+AF104+AF97+AF118+AF101+AF99+AF127+AF86-$F142*AF12</f>
        <v>-396.777138633818</v>
      </c>
      <c r="AG184" s="52" t="n">
        <f aca="false">AG59+AG104+AG97+AG118+AG101+AG99+AG127+AG86-$F142*AG12</f>
        <v>1021.44203944837</v>
      </c>
      <c r="AH184" s="52" t="n">
        <f aca="false">AH59+AH104+AH97+AH118+AH101+AH99+AH127+AH86-$F142*AH12</f>
        <v>1065.71779487514</v>
      </c>
      <c r="AI184" s="52" t="n">
        <f aca="false">AI59+AI104+AI97+AI118+AI101+AI99+AI127+AI86-$F142*AI12</f>
        <v>1051.0237613614</v>
      </c>
      <c r="AJ184" s="52" t="n">
        <f aca="false">AJ59+AJ104+AJ97+AJ118+AJ101+AJ99+AJ127+AJ86-$F142*AJ12</f>
        <v>967.855456140572</v>
      </c>
      <c r="AK184" s="52" t="n">
        <f aca="false">AK59+AK104+AK97+AK118+AK101+AK99+AK127+AK86-$F142*AK12</f>
        <v>1033.4830359105</v>
      </c>
      <c r="AL184" s="52" t="n">
        <f aca="false">AL59+AL104+AL97+AL118+AL101+AL99+AL127+AL86-$F142*AL12</f>
        <v>1074.64840725743</v>
      </c>
      <c r="AM184" s="52" t="n">
        <f aca="false">AM59+AM104+AM97+AM118+AM101+AM99+AM127+AM86-$F142*AM12</f>
        <v>1058.946365332</v>
      </c>
      <c r="AN184" s="52" t="n">
        <f aca="false">AN59+AN104+AN97+AN118+AN101+AN99+AN127+AN86-$F142*AN12</f>
        <v>994.711877093503</v>
      </c>
      <c r="AO184" s="52" t="n">
        <f aca="false">AO59+AO104+AO97+AO118+AO101+AO99+AO127+AO86-$F142*AO12</f>
        <v>1035.91913713534</v>
      </c>
      <c r="AP184" s="52" t="n">
        <f aca="false">AP59+AP104+AP97+AP118+AP101+AP99+AP127+AP86-$F142*AP12</f>
        <v>1077.09762027179</v>
      </c>
      <c r="AQ184" s="52" t="n">
        <f aca="false">AQ59+AQ104+AQ97+AQ118+AQ101+AQ99+AQ127+AQ86-$F142*AQ12</f>
        <v>1061.19607751072</v>
      </c>
      <c r="AR184" s="52" t="n">
        <f aca="false">AR59+AR104+AR97+AR118+AR101+AR99+AR127+AR86-$F142*AR12</f>
        <v>996.359693051562</v>
      </c>
      <c r="AS184" s="52" t="n">
        <f aca="false">AS59+AS104+AS97+AS118+AS101+AS99+AS127+AS86-$F142*AS12</f>
        <v>1037.57223061168</v>
      </c>
      <c r="AT184" s="52" t="n">
        <f aca="false">AT59+AT104+AT97+AT118+AT101+AT99+AT127+AT86-$F142*AT12</f>
        <v>1078.75452521727</v>
      </c>
      <c r="AU184" s="52" t="n">
        <f aca="false">AU59+AU104+AU97+AU118+AU101+AU99+AU127+AU86-$F142*AU12</f>
        <v>1062.64737402308</v>
      </c>
      <c r="AV184" s="52" t="n">
        <f aca="false">AV59+AV104+AV97+AV118+AV101+AV99+AV127+AV86-$F142*AV12</f>
        <v>1040.94968109009</v>
      </c>
      <c r="AW184" s="52" t="n">
        <f aca="false">AW59+AW104+AW97+AW118+AW101+AW99+AW127+AW86-$F142*AW12</f>
        <v>1038.40698572612</v>
      </c>
      <c r="AX184" s="52" t="n">
        <f aca="false">AX59+AX104+AX97+AX118+AX101+AX99+AX127+AX86-$F142*AX12</f>
        <v>1079.58336778219</v>
      </c>
      <c r="AY184" s="52" t="n">
        <f aca="false">AY59+AY104+AY97+AY118+AY101+AY99+AY127+AY86-$F142*AY12</f>
        <v>1063.26420819321</v>
      </c>
      <c r="AZ184" s="52" t="n">
        <f aca="false">AZ59+AZ104+AZ97+AZ118+AZ101+AZ99+AZ127+AZ86-$F142*AZ12</f>
        <v>997.192853302776</v>
      </c>
      <c r="BA184" s="52" t="n">
        <f aca="false">BA59+BA104+BA97+BA118+BA101+BA99+BA127+BA86-$F142*BA12</f>
        <v>1038.38655959095</v>
      </c>
      <c r="BB184" s="52" t="n">
        <f aca="false">BB59+BB104+BB97+BB118+BB101+BB99+BB127+BB86-$F142*BB12</f>
        <v>1079.54686295618</v>
      </c>
      <c r="BC184" s="52" t="n">
        <f aca="false">BC59+BC104+BC97+BC118+BC101+BC99+BC127+BC86-$F142*BC12</f>
        <v>1063.00898769499</v>
      </c>
      <c r="BD184" s="52" t="n">
        <f aca="false">BD59+BD104+BD97+BD118+BD101+BD99+BD127+BD86-$F142*BD12</f>
        <v>996.303826447978</v>
      </c>
      <c r="BE184" s="52" t="n">
        <f aca="false">BE59+BE104+BE97+BE118+BE101+BE99+BE127+BE86-$F142*BE12</f>
        <v>1037.47252823187</v>
      </c>
      <c r="BF184" s="52" t="n">
        <f aca="false">BF59+BF104+BF97+BF118+BF101+BF99+BF127+BF86-$F142*BF12</f>
        <v>1078.60612536964</v>
      </c>
      <c r="BG184" s="52" t="n">
        <f aca="false">BG59+BG104+BG97+BG118+BG101+BG99+BG127+BG86-$F142*BG12</f>
        <v>1061.84250412526</v>
      </c>
      <c r="BH184" s="52" t="n">
        <f aca="false">BH59+BH104+BH97+BH118+BH101+BH99+BH127+BH86-$F142*BH12</f>
        <v>994.492139597744</v>
      </c>
      <c r="BI184" s="52" t="n">
        <f aca="false">BI59+BI104+BI97+BI118+BI101+BI99+BI127+BI86-$F142*BI12</f>
        <v>1035.62481447865</v>
      </c>
      <c r="BJ184" s="52" t="n">
        <f aca="false">BJ59+BJ104+BJ97+BJ118+BJ101+BJ99+BJ127+BJ86-$F142*BJ12</f>
        <v>1076.72059629541</v>
      </c>
      <c r="BK184" s="52" t="n">
        <f aca="false">BK59+BK104+BK97+BK118+BK101+BK99+BK127+BK86-$F142*BK12</f>
        <v>1059.72385919996</v>
      </c>
      <c r="BL184" s="52" t="n">
        <f aca="false">BL59+BL104+BL97+BL118+BL101+BL99+BL127+BL86-$F142*BL12</f>
        <v>1035.90341989363</v>
      </c>
      <c r="BM184" s="52" t="n">
        <f aca="false">BM59+BM104+BM97+BM118+BM101+BM99+BM127+BM86-$F142*BM12</f>
        <v>1032.80161239613</v>
      </c>
      <c r="BN184" s="52" t="n">
        <f aca="false">BN59+BN104+BN97+BN118+BN101+BN99+BN127+BN86-$F142*BN12</f>
        <v>1073.84796714762</v>
      </c>
      <c r="BO184" s="52" t="n">
        <f aca="false">BO59+BO104+BO97+BO118+BO101+BO99+BO127+BO86-$F142*BO12</f>
        <v>1056.61038740647</v>
      </c>
      <c r="BP184" s="52" t="n">
        <f aca="false">BP59+BP104+BP97+BP118+BP101+BP99+BP127+BP86-$F142*BP12</f>
        <v>987.933768987489</v>
      </c>
      <c r="BQ184" s="52" t="n">
        <f aca="false">BQ59+BQ104+BQ97+BQ118+BQ101+BQ99+BQ127+BQ86-$F142*BQ12</f>
        <v>1028.95930808444</v>
      </c>
      <c r="BR184" s="52" t="n">
        <f aca="false">BR59+BR104+BR97+BR118+BR101+BR99+BR127+BR86-$F142*BR12</f>
        <v>1069.94409930481</v>
      </c>
      <c r="BS184" s="52" t="n">
        <f aca="false">BS59+BS104+BS97+BS118+BS101+BS99+BS127+BS86-$F142*BS12</f>
        <v>4060.1092793242</v>
      </c>
      <c r="BT184" s="52" t="n">
        <f aca="false">BT59+BT104+BT97+BT118+BT101+BT99+BT127+BT86-$F142*BT12</f>
        <v>3994.13434202624</v>
      </c>
      <c r="BU184" s="52" t="n">
        <f aca="false">BU59+BU104+BU97+BU118+BU101+BU99+BU127+BU86-$F142*BU12</f>
        <v>4038.5136124932</v>
      </c>
      <c r="BV184" s="52" t="n">
        <f aca="false">BV59+BV104+BV97+BV118+BV101+BV99+BV127+BV86-$F142*BV12</f>
        <v>4082.89288296016</v>
      </c>
      <c r="BW184" s="52" t="n">
        <f aca="false">BW59+BW104+BW97+BW118+BW101+BW99+BW127+BW86-$F142*BW12</f>
        <v>4068.66100375111</v>
      </c>
      <c r="BX184" s="52" t="n">
        <f aca="false">BX59+BX104+BX97+BX118+BX101+BX99+BX127+BX86-$F142*BX12</f>
        <v>4002.16336676262</v>
      </c>
      <c r="BY184" s="52" t="n">
        <f aca="false">BY59+BY104+BY97+BY118+BY101+BY99+BY127+BY86-$F142*BY12</f>
        <v>4046.63184861554</v>
      </c>
      <c r="BZ184" s="52" t="n">
        <f aca="false">BZ59+BZ104+BZ97+BZ118+BZ101+BZ99+BZ127+BZ86-$F142*BZ12</f>
        <v>4091.10033046846</v>
      </c>
      <c r="CA184" s="52" t="n">
        <f aca="false">CA59+CA104+CA97+CA118+CA101+CA99+CA127+CA86-$F142*CA12</f>
        <v>4076.78102375911</v>
      </c>
      <c r="CB184" s="52" t="n">
        <f aca="false">CB59+CB104+CB97+CB118+CB101+CB99+CB127+CB86-$F142*CB12</f>
        <v>4054.30866905455</v>
      </c>
      <c r="CC184" s="52" t="n">
        <f aca="false">CC59+CC104+CC97+CC118+CC101+CC99+CC127+CC86-$F142*CC12</f>
        <v>4054.30866905455</v>
      </c>
      <c r="CD184" s="52" t="n">
        <f aca="false">CD59+CD104+CD97+CD118+CD101+CD99+CD127+CD86-$F142*CD12</f>
        <v>4098.86151157164</v>
      </c>
      <c r="CE184" s="52" t="n">
        <f aca="false">CE59+CE104+CE97+CE118+CE101+CE99+CE127+CE86-$F142*CE12</f>
        <v>4084.45454603226</v>
      </c>
      <c r="CF184" s="52" t="n">
        <f aca="false">CF59+CF104+CF97+CF118+CF101+CF99+CF127+CF86-$F142*CF12</f>
        <v>4016.89686178095</v>
      </c>
      <c r="CG184" s="52" t="n">
        <f aca="false">CG59+CG104+CG97+CG118+CG101+CG99+CG127+CG86-$F142*CG12</f>
        <v>4061.52904913407</v>
      </c>
      <c r="CH184" s="52" t="n">
        <f aca="false">CH59+CH104+CH97+CH118+CH101+CH99+CH127+CH86-$F142*CH12</f>
        <v>4106.16123648719</v>
      </c>
      <c r="CI184" s="52" t="n">
        <f aca="false">CI59+CI104+CI97+CI118+CI101+CI99+CI127+CI86-$F142*CI12</f>
        <v>4091.66638710419</v>
      </c>
      <c r="CJ184" s="52" t="n">
        <f aca="false">CJ59+CJ104+CJ97+CJ118+CJ101+CJ99+CJ127+CJ86-$F142*CJ12</f>
        <v>4023.57122153205</v>
      </c>
      <c r="CK184" s="52" t="n">
        <f aca="false">CK59+CK104+CK97+CK118+CK101+CK99+CK127+CK86-$F142*CK12</f>
        <v>4068.27756843796</v>
      </c>
      <c r="CL184" s="52" t="n">
        <f aca="false">CL59+CL104+CL97+CL118+CL101+CL99+CL127+CL86-$F142*CL12</f>
        <v>4112.98391534387</v>
      </c>
      <c r="CM184" s="52" t="n">
        <f aca="false">CM59+CM104+CM97+CM118+CM101+CM99+CM127+CM86-$F142*CM12</f>
        <v>4098.4009636387</v>
      </c>
      <c r="CN184" s="52" t="n">
        <f aca="false">CN59+CN104+CN97+CN118+CN101+CN99+CN127+CN86-$F142*CN12</f>
        <v>4029.76325369152</v>
      </c>
      <c r="CO184" s="52" t="n">
        <f aca="false">CO59+CO104+CO97+CO118+CO101+CO99+CO127+CO86-$F142*CO12</f>
        <v>4074.53840095476</v>
      </c>
      <c r="CP184" s="52" t="n">
        <f aca="false">CP59+CP104+CP97+CP118+CP101+CP99+CP127+CP86-$F142*CP12</f>
        <v>4119.313548218</v>
      </c>
      <c r="CQ184" s="52" t="n">
        <f aca="false">CQ59+CQ104+CQ97+CQ118+CQ101+CQ99+CQ127+CQ86-$F142*CQ12</f>
        <v>4104.64228247146</v>
      </c>
      <c r="CR184" s="52" t="n">
        <f aca="false">CR59+CR104+CR97+CR118+CR101+CR99+CR127+CR86-$F142*CR12</f>
        <v>4080.29530498012</v>
      </c>
      <c r="CS184" s="52" t="n">
        <f aca="false">CS59+CS104+CS97+CS118+CS101+CS99+CS127+CS86-$F142*CS12</f>
        <v>4080.29530498012</v>
      </c>
      <c r="CT184" s="52" t="n">
        <f aca="false">CT59+CT104+CT97+CT118+CT101+CT99+CT127+CT86-$F142*CT12</f>
        <v>4125.13371492496</v>
      </c>
      <c r="CU184" s="52" t="n">
        <f aca="false">CU59+CU104+CU97+CU118+CU101+CU99+CU127+CU86-$F142*CU12</f>
        <v>4110.37393040698</v>
      </c>
      <c r="CV184" s="52" t="n">
        <f aca="false">CV59+CV104+CV97+CV118+CV101+CV99+CV127+CV86-$F142*CV12</f>
        <v>4040.63566098232</v>
      </c>
      <c r="CW184" s="52" t="n">
        <f aca="false">CW59+CW104+CW97+CW118+CW101+CW99+CW127+CW86-$F142*CW12</f>
        <v>4085.53161277101</v>
      </c>
      <c r="CX184" s="52" t="n">
        <f aca="false">CX59+CX104+CX97+CX118+CX101+CX99+CX127+CX86-$F142*CX12</f>
        <v>4130.4275645597</v>
      </c>
      <c r="CY184" s="52" t="n">
        <f aca="false">CY59+CY104+CY97+CY118+CY101+CY99+CY127+CY86-$F142*CY12</f>
        <v>4115.57906376473</v>
      </c>
      <c r="CZ184" s="52" t="n">
        <f aca="false">CZ59+CZ104+CZ97+CZ118+CZ101+CZ99+CZ127+CZ86-$F142*CZ12</f>
        <v>4045.28263511113</v>
      </c>
      <c r="DA184" s="52" t="n">
        <f aca="false">DA59+DA104+DA97+DA118+DA101+DA99+DA127+DA86-$F142*DA12</f>
        <v>4090.2302199457</v>
      </c>
      <c r="DB184" s="52" t="n">
        <f aca="false">DB59+DB104+DB97+DB118+DB101+DB99+DB127+DB86-$F142*DB12</f>
        <v>4135.17780478027</v>
      </c>
      <c r="DC184" s="52" t="n">
        <f aca="false">DC59+DC104+DC97+DC118+DC101+DC99+DC127+DC86-$F142*DC12</f>
        <v>4120.24039766833</v>
      </c>
      <c r="DD184" s="52" t="n">
        <f aca="false">DD59+DD104+DD97+DD118+DD101+DD99+DD127+DD86-$F142*DD12</f>
        <v>4049.38045841856</v>
      </c>
      <c r="DE184" s="52" t="n">
        <f aca="false">DE59+DE104+DE97+DE118+DE101+DE99+DE127+DE86-$F142*DE12</f>
        <v>4094.37357462321</v>
      </c>
      <c r="DF184" s="52" t="n">
        <f aca="false">DF59+DF104+DF97+DF118+DF101+DF99+DF127+DF86-$F142*DF12</f>
        <v>4139.36669082786</v>
      </c>
      <c r="DG184" s="52" t="n">
        <f aca="false">DG59+DG104+DG97+DG118+DG101+DG99+DG127+DG86-$F142*DG12</f>
        <v>3948.00494486583</v>
      </c>
      <c r="DH184" s="52" t="n">
        <f aca="false">DH59+DH104+DH97+DH118+DH101+DH99+DH127+DH86-$F142*DH12</f>
        <v>3923.5251035924</v>
      </c>
      <c r="DI184" s="52" t="n">
        <f aca="false">DI59+DI104+DI97+DI118+DI101+DI99+DI127+DI86-$F142*DI12</f>
        <v>3923.5251035924</v>
      </c>
      <c r="DJ184" s="52" t="n">
        <f aca="false">DJ59+DJ104+DJ97+DJ118+DJ101+DJ99+DJ127+DJ86-$F142*DJ12</f>
        <v>3966.64076407144</v>
      </c>
      <c r="DK184" s="52" t="n">
        <f aca="false">DK59+DK104+DK97+DK118+DK101+DK99+DK127+DK86-$F142*DK12</f>
        <v>3951.52500530895</v>
      </c>
      <c r="DL184" s="52" t="n">
        <f aca="false">DL59+DL104+DL97+DL118+DL101+DL99+DL127+DL86-$F142*DL12</f>
        <v>3883.35506214572</v>
      </c>
      <c r="DM184" s="52" t="n">
        <f aca="false">DM59+DM104+DM97+DM118+DM101+DM99+DM127+DM86-$F142*DM12</f>
        <v>3926.50345172512</v>
      </c>
      <c r="DN184" s="52" t="n">
        <f aca="false">DN59+DN104+DN97+DN118+DN101+DN99+DN127+DN86-$F142*DN12</f>
        <v>3969.65184130451</v>
      </c>
      <c r="DO184" s="52" t="n">
        <f aca="false">DO59+DO104+DO97+DO118+DO101+DO99+DO127+DO86-$F142*DO12</f>
        <v>3954.44665339857</v>
      </c>
      <c r="DP184" s="52" t="n">
        <f aca="false">DP59+DP104+DP97+DP118+DP101+DP99+DP127+DP86-$F142*DP12</f>
        <v>3885.69668644693</v>
      </c>
      <c r="DQ184" s="52" t="n">
        <f aca="false">DQ59+DQ104+DQ97+DQ118+DQ101+DQ99+DQ127+DQ86-$F142*DQ12</f>
        <v>3928.87109407412</v>
      </c>
      <c r="DR184" s="52" t="n">
        <f aca="false">DR59+DR104+DR97+DR118+DR101+DR99+DR127+DR86-$F142*DR12</f>
        <v>3972.04550170131</v>
      </c>
      <c r="DS184" s="52" t="n">
        <f aca="false">DS59+DS104+DS97+DS118+DS101+DS99+DS127+DS86-$F142*DS12</f>
        <v>3956.75072700462</v>
      </c>
      <c r="DT184" s="52" t="n">
        <f aca="false">DT59+DT104+DT97+DT118+DT101+DT99+DT127+DT86-$F142*DT12</f>
        <v>3887.415073898</v>
      </c>
      <c r="DU184" s="52" t="n">
        <f aca="false">DU59+DU104+DU97+DU118+DU101+DU99+DU127+DU86-$F142*DU12</f>
        <v>3930.60857471908</v>
      </c>
      <c r="DV184" s="52" t="n">
        <f aca="false">DV59+DV104+DV97+DV118+DV101+DV99+DV127+DV86-$F142*DV12</f>
        <v>3973.80207554017</v>
      </c>
      <c r="DW184" s="52" t="n">
        <f aca="false">DW59+DW104+DW97+DW118+DW101+DW99+DW127+DW86-$F142*DW12</f>
        <v>3958.41756516718</v>
      </c>
      <c r="DX184" s="52" t="n">
        <f aca="false">DX59+DX104+DX97+DX118+DX101+DX99+DX127+DX86-$F142*DX12</f>
        <v>3931.695931801</v>
      </c>
      <c r="DY184" s="52" t="n">
        <f aca="false">DY59+DY104+DY97+DY118+DY101+DY99+DY127+DY86-$F142*DY12</f>
        <v>3931.695931801</v>
      </c>
      <c r="DZ184" s="52" t="n">
        <f aca="false">DZ59+DZ104+DZ97+DZ118+DZ101+DZ99+DZ127+DZ86-$F142*DZ12</f>
        <v>3974.90138160101</v>
      </c>
      <c r="EA184" s="52" t="n">
        <f aca="false">EA59+EA104+EA97+EA118+EA101+EA99+EA127+EA86-$F142*EA12</f>
        <v>3959.42699570617</v>
      </c>
      <c r="EB184" s="52" t="n">
        <f aca="false">EB59+EB104+EB97+EB118+EB101+EB99+EB127+EB86-$F142*EB12</f>
        <v>3888.90265545373</v>
      </c>
      <c r="EC184" s="52" t="n">
        <f aca="false">EC59+EC104+EC97+EC118+EC101+EC99+EC127+EC86-$F142*EC12</f>
        <v>3932.11268495877</v>
      </c>
      <c r="ED184" s="52" t="n">
        <f aca="false">ED59+ED104+ED97+ED118+ED101+ED99+ED127+ED86-$F142*ED12</f>
        <v>3975.32271446381</v>
      </c>
      <c r="EE184" s="52" t="n">
        <f aca="false">EE59+EE104+EE97+EE118+EE101+EE99+EE127+EE86-$F142*EE12</f>
        <v>3959.75832252664</v>
      </c>
      <c r="EF184" s="52" t="n">
        <f aca="false">EF59+EF104+EF97+EF118+EF101+EF99+EF127+EF86-$F142*EF12</f>
        <v>3888.63081341921</v>
      </c>
      <c r="EG184" s="52" t="n">
        <f aca="false">EG59+EG104+EG97+EG118+EG101+EG99+EG127+EG86-$F142*EG12</f>
        <v>3931.8378224572</v>
      </c>
      <c r="EH184" s="52" t="n">
        <f aca="false">EH59+EH104+EH97+EH118+EH101+EH99+EH127+EH86-$F142*EH12</f>
        <v>3975.04483149519</v>
      </c>
      <c r="EI184" s="52" t="n">
        <f aca="false">EI59+EI104+EI97+EI118+EI101+EI99+EI127+EI86-$F142*EI12</f>
        <v>3959.39031261208</v>
      </c>
      <c r="EJ184" s="52" t="n">
        <f aca="false">EJ59+EJ104+EJ97+EJ118+EJ101+EJ99+EJ127+EJ86-$F142*EJ12</f>
        <v>3887.65363648219</v>
      </c>
      <c r="EK184" s="52" t="n">
        <f aca="false">EK59+EK104+EK97+EK118+EK101+EK99+EK127+EK86-$F142*EK12</f>
        <v>3930.84978799866</v>
      </c>
      <c r="EL184" s="52" t="n">
        <f aca="false">EL59+EL104+EL97+EL118+EL101+EL99+EL127+EL86-$F142*EL12</f>
        <v>3974.04593951513</v>
      </c>
      <c r="EM184" s="52" t="n">
        <f aca="false">EM59+EM104+EM97+EM118+EM101+EM99+EM127+EM86-$F142*EM12</f>
        <v>3958.30118269824</v>
      </c>
      <c r="EN184" s="52" t="n">
        <f aca="false">EN59+EN104+EN97+EN118+EN101+EN99+EN127+EN86-$F142*EN12</f>
        <v>3929.12646721084</v>
      </c>
      <c r="EO184" s="52" t="n">
        <f aca="false">EO59+EO104+EO97+EO118+EO101+EO99+EO127+EO86-$F142*EO12</f>
        <v>3929.12646721084</v>
      </c>
      <c r="EP184" s="52" t="n">
        <f aca="false">EP59+EP104+EP97+EP118+EP101+EP99+EP127+EP86-$F142*EP12</f>
        <v>3972.30368113624</v>
      </c>
      <c r="EQ184" s="52" t="n">
        <f aca="false">EQ59+EQ104+EQ97+EQ118+EQ101+EQ99+EQ127+EQ86-$F142*EQ12</f>
        <v>3956.46858561953</v>
      </c>
      <c r="ER184" s="52" t="n">
        <f aca="false">ER59+ER104+ER97+ER118+ER101+ER99+ER127+ER86-$F142*ER12</f>
        <v>3883.49522683763</v>
      </c>
      <c r="ES184" s="52" t="n">
        <f aca="false">ES59+ES104+ES97+ES118+ES101+ES99+ES127+ES86-$F142*ES12</f>
        <v>3926.6451738025</v>
      </c>
      <c r="ET184" s="52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1.32847346238474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1.38018192774351</v>
      </c>
      <c r="AF188" s="48" t="n">
        <f aca="false">IF(AF101+AF99&lt;0,(AF118+AF127)/-(AF101+AF99),"")</f>
        <v>1.37439775882971</v>
      </c>
      <c r="AG188" s="48" t="n">
        <f aca="false">IF(AG101+AG99&lt;0,(AG118+AG127)/-(AG101+AG99),"")</f>
        <v>1.37439775882971</v>
      </c>
      <c r="AH188" s="48" t="n">
        <f aca="false">IF(AH101+AH99&lt;0,(AH118+AH127)/-(AH101+AH99),"")</f>
        <v>1.38950103090477</v>
      </c>
      <c r="AI188" s="48" t="n">
        <f aca="false">IF(AI101+AI99&lt;0,(AI118+AI127)/-(AI101+AI99),"")</f>
        <v>1.38461548066226</v>
      </c>
      <c r="AJ188" s="48" t="n">
        <f aca="false">IF(AJ101+AJ99&lt;0,(AJ118+AJ127)/-(AJ101+AJ99),"")</f>
        <v>1.35619877328909</v>
      </c>
      <c r="AK188" s="48" t="n">
        <f aca="false">IF(AK101+AK99&lt;0,(AK118+AK127)/-(AK101+AK99),"")</f>
        <v>1.34361792437698</v>
      </c>
      <c r="AL188" s="48" t="n">
        <f aca="false">IF(AL101+AL99&lt;0,(AL118+AL127)/-(AL101+AL99),"")</f>
        <v>1.35730480550317</v>
      </c>
      <c r="AM188" s="48" t="n">
        <f aca="false">IF(AM101+AM99&lt;0,(AM118+AM127)/-(AM101+AM99),"")</f>
        <v>1.35208410727454</v>
      </c>
      <c r="AN188" s="48" t="n">
        <f aca="false">IF(AN101+AN99&lt;0,(AN118+AN127)/-(AN101+AN99),"")</f>
        <v>1.33072708373861</v>
      </c>
      <c r="AO188" s="48" t="n">
        <f aca="false">IF(AO101+AO99&lt;0,(AO118+AO127)/-(AO101+AO99),"")</f>
        <v>1.34442789224038</v>
      </c>
      <c r="AP188" s="48" t="n">
        <f aca="false">IF(AP101+AP99&lt;0,(AP118+AP127)/-(AP101+AP99),"")</f>
        <v>1.35811913284393</v>
      </c>
      <c r="AQ188" s="48" t="n">
        <f aca="false">IF(AQ101+AQ99&lt;0,(AQ118+AQ127)/-(AQ101+AQ99),"")</f>
        <v>1.35283210351874</v>
      </c>
      <c r="AR188" s="48" t="n">
        <f aca="false">IF(AR101+AR99&lt;0,(AR118+AR127)/-(AR101+AR99),"")</f>
        <v>1.33127495833315</v>
      </c>
      <c r="AS188" s="48" t="n">
        <f aca="false">IF(AS101+AS99&lt;0,(AS118+AS127)/-(AS101+AS99),"")</f>
        <v>1.34497752153221</v>
      </c>
      <c r="AT188" s="48" t="n">
        <f aca="false">IF(AT101+AT99&lt;0,(AT118+AT127)/-(AT101+AT99),"")</f>
        <v>1.35867002939324</v>
      </c>
      <c r="AU188" s="48" t="n">
        <f aca="false">IF(AU101+AU99&lt;0,(AU118+AU127)/-(AU101+AU99),"")</f>
        <v>1.35331463828506</v>
      </c>
      <c r="AV188" s="48" t="n">
        <f aca="false">IF(AV101+AV99&lt;0,(AV118+AV127)/-(AV101+AV99),"")</f>
        <v>1.34610047419108</v>
      </c>
      <c r="AW188" s="48" t="n">
        <f aca="false">IF(AW101+AW99&lt;0,(AW118+AW127)/-(AW101+AW99),"")</f>
        <v>1.34525506534262</v>
      </c>
      <c r="AX188" s="48" t="n">
        <f aca="false">IF(AX101+AX99&lt;0,(AX118+AX127)/-(AX101+AX99),"")</f>
        <v>1.35894560736782</v>
      </c>
      <c r="AY188" s="48" t="n">
        <f aca="false">IF(AY101+AY99&lt;0,(AY118+AY127)/-(AY101+AY99),"")</f>
        <v>1.35351972658343</v>
      </c>
      <c r="AZ188" s="48" t="n">
        <f aca="false">IF(AZ101+AZ99&lt;0,(AZ118+AZ127)/-(AZ101+AZ99),"")</f>
        <v>1.33155197187498</v>
      </c>
      <c r="BA188" s="48" t="n">
        <f aca="false">IF(BA101+BA99&lt;0,(BA118+BA127)/-(BA101+BA99),"")</f>
        <v>1.3452482739528</v>
      </c>
      <c r="BB188" s="48" t="n">
        <f aca="false">IF(BB101+BB99&lt;0,(BB118+BB127)/-(BB101+BB99),"")</f>
        <v>1.35893347004954</v>
      </c>
      <c r="BC188" s="48" t="n">
        <f aca="false">IF(BC101+BC99&lt;0,(BC118+BC127)/-(BC101+BC99),"")</f>
        <v>1.35343486951775</v>
      </c>
      <c r="BD188" s="48" t="n">
        <f aca="false">IF(BD101+BD99&lt;0,(BD118+BD127)/-(BD101+BD99),"")</f>
        <v>1.33125638350831</v>
      </c>
      <c r="BE188" s="48" t="n">
        <f aca="false">IF(BE101+BE99&lt;0,(BE118+BE127)/-(BE101+BE99),"")</f>
        <v>1.34494437195585</v>
      </c>
      <c r="BF188" s="48" t="n">
        <f aca="false">IF(BF101+BF99&lt;0,(BF118+BF127)/-(BF101+BF99),"")</f>
        <v>1.35862068862436</v>
      </c>
      <c r="BG188" s="48" t="n">
        <f aca="false">IF(BG101+BG99&lt;0,(BG118+BG127)/-(BG101+BG99),"")</f>
        <v>1.35304703087006</v>
      </c>
      <c r="BH188" s="48" t="n">
        <f aca="false">IF(BH101+BH99&lt;0,(BH118+BH127)/-(BH101+BH99),"")</f>
        <v>1.33065402424989</v>
      </c>
      <c r="BI188" s="48" t="n">
        <f aca="false">IF(BI101+BI99&lt;0,(BI118+BI127)/-(BI101+BI99),"")</f>
        <v>1.34433003428154</v>
      </c>
      <c r="BJ188" s="48" t="n">
        <f aca="false">IF(BJ101+BJ99&lt;0,(BJ118+BJ127)/-(BJ101+BJ99),"")</f>
        <v>1.35799377791143</v>
      </c>
      <c r="BK188" s="48" t="n">
        <f aca="false">IF(BK101+BK99&lt;0,(BK118+BK127)/-(BK101+BK99),"")</f>
        <v>1.35234261256185</v>
      </c>
      <c r="BL188" s="48" t="n">
        <f aca="false">IF(BL101+BL99&lt;0,(BL118+BL127)/-(BL101+BL99),"")</f>
        <v>1.34442266648845</v>
      </c>
      <c r="BM188" s="48" t="n">
        <f aca="false">IF(BM101+BM99&lt;0,(BM118+BM127)/-(BM101+BM99),"")</f>
        <v>1.34339136107068</v>
      </c>
      <c r="BN188" s="48" t="n">
        <f aca="false">IF(BN101+BN99&lt;0,(BN118+BN127)/-(BN101+BN99),"")</f>
        <v>1.3570386709276</v>
      </c>
      <c r="BO188" s="48" t="n">
        <f aca="false">IF(BO101+BO99&lt;0,(BO118+BO127)/-(BO101+BO99),"")</f>
        <v>1.35130742893705</v>
      </c>
      <c r="BP188" s="48" t="n">
        <f aca="false">IF(BP101+BP99&lt;0,(BP118+BP127)/-(BP101+BP99),"")</f>
        <v>1.32847346238474</v>
      </c>
      <c r="BQ188" s="48" t="n">
        <f aca="false">IF(BQ101+BQ99&lt;0,(BQ118+BQ127)/-(BQ101+BQ99),"")</f>
        <v>1.34211385134238</v>
      </c>
      <c r="BR188" s="48" t="n">
        <f aca="false">IF(BR101+BR99&lt;0,(BR118+BR127)/-(BR101+BR99),"")</f>
        <v>1.35574069222977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2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151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51</v>
      </c>
      <c r="F25" s="45" t="n">
        <f aca="false">$E25*In_BESS_Built</f>
        <v>51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204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102106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1398.71232876712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897.000297796307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6993.56164383562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304.06789755807</v>
      </c>
      <c r="L49" s="43" t="n">
        <f aca="false">$E49*MAX(0,(MIN(In_PB_Release,L$4)-MAX($F49,L$3)+1)/L$5)</f>
        <v>6993.56164383562</v>
      </c>
      <c r="M49" s="43" t="n">
        <f aca="false">$E49*MAX(0,(MIN(In_PB_Release,M$4)-MAX($F49,M$3)+1)/M$5)</f>
        <v>6993.56164383562</v>
      </c>
      <c r="N49" s="43" t="n">
        <f aca="false">$E49*MAX(0,(MIN(In_PB_Release,N$4)-MAX($F49,N$3)+1)/N$5)</f>
        <v>6993.56164383562</v>
      </c>
      <c r="O49" s="43" t="n">
        <f aca="false">$E49*MAX(0,(MIN(In_PB_Release,O$4)-MAX($F49,O$3)+1)/O$5)</f>
        <v>6993.56164383562</v>
      </c>
      <c r="P49" s="43" t="n">
        <f aca="false">$E49*MAX(0,(MIN(In_PB_Release,P$4)-MAX($F49,P$3)+1)/P$5)</f>
        <v>6993.56164383562</v>
      </c>
      <c r="Q49" s="43" t="n">
        <f aca="false">$E49*MAX(0,(MIN(In_PB_Release,Q$4)-MAX($F49,Q$3)+1)/Q$5)</f>
        <v>6993.56164383562</v>
      </c>
      <c r="R49" s="43" t="n">
        <f aca="false">$E49*MAX(0,(MIN(In_PB_Release,R$4)-MAX($F49,R$3)+1)/R$5)</f>
        <v>6993.56164383562</v>
      </c>
      <c r="S49" s="43" t="n">
        <f aca="false">$E49*MAX(0,(MIN(In_PB_Release,S$4)-MAX($F49,S$3)+1)/S$5)</f>
        <v>6993.56164383562</v>
      </c>
      <c r="T49" s="43" t="n">
        <f aca="false">$E49*MAX(0,(MIN(In_PB_Release,T$4)-MAX($F49,T$3)+1)/T$5)</f>
        <v>6993.56164383562</v>
      </c>
      <c r="U49" s="43" t="n">
        <f aca="false">$E49*MAX(0,(MIN(In_PB_Release,U$4)-MAX($F49,U$3)+1)/U$5)</f>
        <v>6993.56164383562</v>
      </c>
      <c r="V49" s="43" t="n">
        <f aca="false">$E49*MAX(0,(MIN(In_PB_Release,V$4)-MAX($F49,V$3)+1)/V$5)</f>
        <v>6993.56164383562</v>
      </c>
      <c r="W49" s="43" t="n">
        <f aca="false">$E49*MAX(0,(MIN(In_PB_Release,W$4)-MAX($F49,W$3)+1)/W$5)</f>
        <v>6993.56164383562</v>
      </c>
      <c r="X49" s="43" t="n">
        <f aca="false">$E49*MAX(0,(MIN(In_PB_Release,X$4)-MAX($F49,X$3)+1)/X$5)</f>
        <v>6993.56164383562</v>
      </c>
      <c r="Y49" s="43" t="n">
        <f aca="false">$E49*MAX(0,(MIN(In_PB_Release,Y$4)-MAX($F49,Y$3)+1)/Y$5)</f>
        <v>6993.56164383562</v>
      </c>
      <c r="Z49" s="43" t="n">
        <f aca="false">$E49*MAX(0,(MIN(In_PB_Release,Z$4)-MAX($F49,Z$3)+1)/Z$5)</f>
        <v>6993.56164383562</v>
      </c>
      <c r="AA49" s="43" t="n">
        <f aca="false">$E49*MAX(0,(MIN(In_PB_Release,AA$4)-MAX($F49,AA$3)+1)/AA$5)</f>
        <v>6993.56164383562</v>
      </c>
      <c r="AB49" s="43" t="n">
        <f aca="false">$E49*MAX(0,(MIN(In_PB_Release,AB$4)-MAX($F49,AB$3)+1)/AB$5)</f>
        <v>6993.56164383562</v>
      </c>
      <c r="AC49" s="43" t="n">
        <f aca="false">$E49*MAX(0,(MIN(In_PB_Release,AC$4)-MAX($F49,AC$3)+1)/AC$5)</f>
        <v>6993.56164383562</v>
      </c>
      <c r="AD49" s="43" t="n">
        <f aca="false">$E49*MAX(0,(MIN(In_PB_Release,AD$4)-MAX($F49,AD$3)+1)/AD$5)</f>
        <v>6993.56164383562</v>
      </c>
      <c r="AE49" s="43" t="n">
        <f aca="false">$E49*MAX(0,(MIN(In_PB_Release,AE$4)-MAX($F49,AE$3)+1)/AE$5)</f>
        <v>6993.56164383562</v>
      </c>
      <c r="AF49" s="43" t="n">
        <f aca="false">$E49*MAX(0,(MIN(In_PB_Release,AF$4)-MAX($F49,AF$3)+1)/AF$5)</f>
        <v>6993.56164383562</v>
      </c>
      <c r="AG49" s="43" t="n">
        <f aca="false">$E49*MAX(0,(MIN(In_PB_Release,AG$4)-MAX($F49,AG$3)+1)/AG$5)</f>
        <v>6993.56164383562</v>
      </c>
      <c r="AH49" s="43" t="n">
        <f aca="false">$E49*MAX(0,(MIN(In_PB_Release,AH$4)-MAX($F49,AH$3)+1)/AH$5)</f>
        <v>6993.56164383562</v>
      </c>
      <c r="AI49" s="43" t="n">
        <f aca="false">$E49*MAX(0,(MIN(In_PB_Release,AI$4)-MAX($F49,AI$3)+1)/AI$5)</f>
        <v>6993.56164383562</v>
      </c>
      <c r="AJ49" s="43" t="n">
        <f aca="false">$E49*MAX(0,(MIN(In_PB_Release,AJ$4)-MAX($F49,AJ$3)+1)/AJ$5)</f>
        <v>6993.56164383562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-1278.15482229311</v>
      </c>
      <c r="F58" s="43" t="n">
        <f aca="false">SUMIF($J$4:$ET$4,"&lt;="&amp;In_COD,$J58:$ET58)</f>
        <v>-2011.61657496716</v>
      </c>
      <c r="I58" s="43" t="n">
        <f aca="false">SUM(J58:ET58)</f>
        <v>-2641.61193619816</v>
      </c>
      <c r="J58" s="43" t="n">
        <f aca="false">-(J48+J49)*In_Guarantee_Fee*J$5/Days_In_Year</f>
        <v>-0</v>
      </c>
      <c r="K58" s="43" t="n">
        <f aca="false">-(K48+K49)*In_Guarantee_Fee*K$5/Days_In_Year</f>
        <v>-18.1640998311128</v>
      </c>
      <c r="L58" s="43" t="n">
        <f aca="false">-(L48+L49)*In_Guarantee_Fee*L$5/Days_In_Year</f>
        <v>-103.466391443047</v>
      </c>
      <c r="M58" s="43" t="n">
        <f aca="false">-(M48+M49)*In_Guarantee_Fee*M$5/Days_In_Year</f>
        <v>-104.616018014637</v>
      </c>
      <c r="N58" s="43" t="n">
        <f aca="false">-(N48+N49)*In_Guarantee_Fee*N$5/Days_In_Year</f>
        <v>-105.765644586226</v>
      </c>
      <c r="O58" s="43" t="n">
        <f aca="false">-(O48+O49)*In_Guarantee_Fee*O$5/Days_In_Year</f>
        <v>-105.765644586226</v>
      </c>
      <c r="P58" s="43" t="n">
        <f aca="false">-(P48+P49)*In_Guarantee_Fee*P$5/Days_In_Year</f>
        <v>-104.616018014637</v>
      </c>
      <c r="Q58" s="43" t="n">
        <f aca="false">-(Q48+Q49)*In_Guarantee_Fee*Q$5/Days_In_Year</f>
        <v>-104.616018014637</v>
      </c>
      <c r="R58" s="43" t="n">
        <f aca="false">-(R48+R49)*In_Guarantee_Fee*R$5/Days_In_Year</f>
        <v>-105.765644586226</v>
      </c>
      <c r="S58" s="43" t="n">
        <f aca="false">-(S48+S49)*In_Guarantee_Fee*S$5/Days_In_Year</f>
        <v>-105.765644586226</v>
      </c>
      <c r="T58" s="43" t="n">
        <f aca="false">-(T48+T49)*In_Guarantee_Fee*T$5/Days_In_Year</f>
        <v>-103.466391443047</v>
      </c>
      <c r="U58" s="43" t="n">
        <f aca="false">-(U48+U49)*In_Guarantee_Fee*U$5/Days_In_Year</f>
        <v>-104.616018014637</v>
      </c>
      <c r="V58" s="43" t="n">
        <f aca="false">-(V48+V49)*In_Guarantee_Fee*V$5/Days_In_Year</f>
        <v>-105.765644586226</v>
      </c>
      <c r="W58" s="43" t="n">
        <f aca="false">-(W48+W49)*In_Guarantee_Fee*W$5/Days_In_Year</f>
        <v>-105.765644586226</v>
      </c>
      <c r="X58" s="43" t="n">
        <f aca="false">-(X48+X49)*In_Guarantee_Fee*X$5/Days_In_Year</f>
        <v>-103.466391443047</v>
      </c>
      <c r="Y58" s="43" t="n">
        <f aca="false">-(Y48+Y49)*In_Guarantee_Fee*Y$5/Days_In_Year</f>
        <v>-104.616018014637</v>
      </c>
      <c r="Z58" s="43" t="n">
        <f aca="false">-(Z48+Z49)*In_Guarantee_Fee*Z$5/Days_In_Year</f>
        <v>-105.765644586226</v>
      </c>
      <c r="AA58" s="43" t="n">
        <f aca="false">-(AA48+AA49)*In_Guarantee_Fee*AA$5/Days_In_Year</f>
        <v>-105.765644586226</v>
      </c>
      <c r="AB58" s="43" t="n">
        <f aca="false">-(AB48+AB49)*In_Guarantee_Fee*AB$5/Days_In_Year</f>
        <v>-103.466391443047</v>
      </c>
      <c r="AC58" s="43" t="n">
        <f aca="false">-(AC48+AC49)*In_Guarantee_Fee*AC$5/Days_In_Year</f>
        <v>-104.616018014637</v>
      </c>
      <c r="AD58" s="43" t="n">
        <f aca="false">-(AD48+AD49)*In_Guarantee_Fee*AD$5/Days_In_Year</f>
        <v>-105.765644586226</v>
      </c>
      <c r="AE58" s="43" t="n">
        <f aca="false">-(AE48+AE49)*In_Guarantee_Fee*AE$5/Days_In_Year</f>
        <v>-105.765644586226</v>
      </c>
      <c r="AF58" s="43" t="n">
        <f aca="false">-(AF48+AF49)*In_Guarantee_Fee*AF$5/Days_In_Year</f>
        <v>-104.616018014637</v>
      </c>
      <c r="AG58" s="43" t="n">
        <f aca="false">-(AG48+AG49)*In_Guarantee_Fee*AG$5/Days_In_Year</f>
        <v>-104.616018014637</v>
      </c>
      <c r="AH58" s="43" t="n">
        <f aca="false">-(AH48+AH49)*In_Guarantee_Fee*AH$5/Days_In_Year</f>
        <v>-105.765644586226</v>
      </c>
      <c r="AI58" s="43" t="n">
        <f aca="false">-(AI48+AI49)*In_Guarantee_Fee*AI$5/Days_In_Year</f>
        <v>-105.765644586226</v>
      </c>
      <c r="AJ58" s="43" t="n">
        <f aca="false">-(AJ48+AJ49)*In_Guarantee_Fee*AJ$5/Days_In_Year</f>
        <v>-103.466391443047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-7402.33233858005</v>
      </c>
      <c r="J59" s="52" t="n">
        <f aca="false">J46+J47+J50+J57+J58</f>
        <v>-400</v>
      </c>
      <c r="K59" s="52" t="n">
        <f aca="false">K46+K47+K50+K57+K58</f>
        <v>-1437.78053818728</v>
      </c>
      <c r="L59" s="52" t="n">
        <f aca="false">L46+L47+L50+L57+L58</f>
        <v>-691.910911990993</v>
      </c>
      <c r="M59" s="52" t="n">
        <f aca="false">M46+M47+M50+M57+M58</f>
        <v>-148.451634452993</v>
      </c>
      <c r="N59" s="52" t="n">
        <f aca="false">N46+N47+N50+N57+N58</f>
        <v>-149.601261024582</v>
      </c>
      <c r="O59" s="52" t="n">
        <f aca="false">O46+O47+O50+O57+O58</f>
        <v>-290.127288421843</v>
      </c>
      <c r="P59" s="52" t="n">
        <f aca="false">P46+P47+P50+P57+P58</f>
        <v>-1394.65781281475</v>
      </c>
      <c r="Q59" s="52" t="n">
        <f aca="false">Q46+Q47+Q50+Q57+Q58</f>
        <v>-109.225607055733</v>
      </c>
      <c r="R59" s="52" t="n">
        <f aca="false">R46+R47+R50+R57+R58</f>
        <v>-269.857154566657</v>
      </c>
      <c r="S59" s="52" t="n">
        <f aca="false">S46+S47+S50+S57+S58</f>
        <v>-422.991783283459</v>
      </c>
      <c r="T59" s="52" t="n">
        <f aca="false">T46+T47+T50+T57+T58</f>
        <v>-408.123925689623</v>
      </c>
      <c r="U59" s="52" t="n">
        <f aca="false">U46+U47+U50+U57+U58</f>
        <v>-104.616018014637</v>
      </c>
      <c r="V59" s="52" t="n">
        <f aca="false">V46+V47+V50+V57+V58</f>
        <v>-105.765644586226</v>
      </c>
      <c r="W59" s="52" t="n">
        <f aca="false">W46+W47+W50+W57+W58</f>
        <v>-105.765644586226</v>
      </c>
      <c r="X59" s="52" t="n">
        <f aca="false">X46+X47+X50+X57+X58</f>
        <v>-103.466391443047</v>
      </c>
      <c r="Y59" s="52" t="n">
        <f aca="false">Y46+Y47+Y50+Y57+Y58</f>
        <v>-104.616018014637</v>
      </c>
      <c r="Z59" s="52" t="n">
        <f aca="false">Z46+Z47+Z50+Z57+Z58</f>
        <v>-105.765644586226</v>
      </c>
      <c r="AA59" s="52" t="n">
        <f aca="false">AA46+AA47+AA50+AA57+AA58</f>
        <v>-105.765644586226</v>
      </c>
      <c r="AB59" s="52" t="n">
        <f aca="false">AB46+AB47+AB50+AB57+AB58</f>
        <v>-103.466391443047</v>
      </c>
      <c r="AC59" s="52" t="n">
        <f aca="false">AC46+AC47+AC50+AC57+AC58</f>
        <v>-104.616018014637</v>
      </c>
      <c r="AD59" s="52" t="n">
        <f aca="false">AD46+AD47+AD50+AD57+AD58</f>
        <v>-105.765644586226</v>
      </c>
      <c r="AE59" s="52" t="n">
        <f aca="false">AE46+AE47+AE50+AE57+AE58</f>
        <v>-105.765644586226</v>
      </c>
      <c r="AF59" s="52" t="n">
        <f aca="false">AF46+AF47+AF50+AF57+AF58</f>
        <v>-104.616018014637</v>
      </c>
      <c r="AG59" s="52" t="n">
        <f aca="false">AG46+AG47+AG50+AG57+AG58</f>
        <v>-104.616018014637</v>
      </c>
      <c r="AH59" s="52" t="n">
        <f aca="false">AH46+AH47+AH50+AH57+AH58</f>
        <v>-105.765644586226</v>
      </c>
      <c r="AI59" s="52" t="n">
        <f aca="false">AI46+AI47+AI50+AI57+AI58</f>
        <v>-105.765644586226</v>
      </c>
      <c r="AJ59" s="52" t="n">
        <f aca="false">AJ46+AJ47+AJ50+AJ57+AJ58</f>
        <v>-103.466391443047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1120.48016110676</v>
      </c>
      <c r="F72" s="43" t="n">
        <f aca="false">SUMIF($J$4:$ET$4,"&lt;="&amp;In_COD,$J72:$ET72)</f>
        <v>1993.30208050153</v>
      </c>
      <c r="I72" s="43" t="n">
        <f aca="false">SUM(J72:ET72)</f>
        <v>1993.30208050153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18.1640998311128</v>
      </c>
      <c r="L72" s="43" t="n">
        <f aca="false">In_Guar_Credit*(1-L19)*(L71+L48+L49)*L$5/Days_In_Year*(L$4&lt;=In_COD)</f>
        <v>103.735120591234</v>
      </c>
      <c r="M72" s="43" t="n">
        <f aca="false">In_Guar_Credit*(1-M19)*(M71+M48+M49)*M$5/Days_In_Year*(M$4&lt;=In_COD)</f>
        <v>104.887733042248</v>
      </c>
      <c r="N72" s="43" t="n">
        <f aca="false">In_Guar_Credit*(1-N19)*(N71+N48+N49)*N$5/Days_In_Year*(N$4&lt;=In_COD)</f>
        <v>106.040345493261</v>
      </c>
      <c r="O72" s="43" t="n">
        <f aca="false">In_Guar_Credit*(1-O19)*(O71+O48+O49)*O$5/Days_In_Year*(O$4&lt;=In_COD)</f>
        <v>106.040345493261</v>
      </c>
      <c r="P72" s="43" t="n">
        <f aca="false">In_Guar_Credit*(1-P19)*(P71+P48+P49)*P$5/Days_In_Year*(P$4&lt;=In_COD)</f>
        <v>111.180997024782</v>
      </c>
      <c r="Q72" s="43" t="n">
        <f aca="false">In_Guar_Credit*(1-Q19)*(Q71+Q48+Q49)*Q$5/Days_In_Year*(Q$4&lt;=In_COD)</f>
        <v>111.180997024782</v>
      </c>
      <c r="R72" s="43" t="n">
        <f aca="false">In_Guar_Credit*(1-R19)*(R71+R48+R49)*R$5/Days_In_Year*(R$4&lt;=In_COD)</f>
        <v>112.402766222857</v>
      </c>
      <c r="S72" s="43" t="n">
        <f aca="false">In_Guar_Credit*(1-S19)*(S71+S48+S49)*S$5/Days_In_Year*(S$4&lt;=In_COD)</f>
        <v>112.402766222857</v>
      </c>
      <c r="T72" s="43" t="n">
        <f aca="false">In_Guar_Credit*(1-T19)*(T71+T48+T49)*T$5/Days_In_Year*(T$4&lt;=In_COD)</f>
        <v>116.574856985816</v>
      </c>
      <c r="U72" s="43" t="n">
        <f aca="false">In_Guar_Credit*(1-U19)*(U71+U48+U49)*U$5/Days_In_Year*(U$4&lt;=In_COD)</f>
        <v>117.870133174547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120.043358210106</v>
      </c>
      <c r="Y72" s="43" t="n">
        <f aca="false">In_Guar_Credit*(1-Y19)*(Y71+Y48+Y49)*Y$5/Days_In_Year*(Y$4&lt;=In_COD)</f>
        <v>121.37717330133</v>
      </c>
      <c r="Z72" s="43" t="n">
        <f aca="false">In_Guar_Credit*(1-Z19)*(Z71+Z48+Z49)*Z$5/Days_In_Year*(Z$4&lt;=In_COD)</f>
        <v>122.710988392553</v>
      </c>
      <c r="AA72" s="43" t="n">
        <f aca="false">In_Guar_Credit*(1-AA19)*(AA71+AA48+AA49)*AA$5/Days_In_Year*(AA$4&lt;=In_COD)</f>
        <v>122.710988392553</v>
      </c>
      <c r="AB72" s="43" t="n">
        <f aca="false">In_Guar_Credit*(1-AB19)*(AB71+AB48+AB49)*AB$5/Days_In_Year*(AB$4&lt;=In_COD)</f>
        <v>127.245959702713</v>
      </c>
      <c r="AC72" s="43" t="n">
        <f aca="false">In_Guar_Credit*(1-AC19)*(AC71+AC48+AC49)*AC$5/Days_In_Year*(AC$4&lt;=In_COD)</f>
        <v>128.65980369941</v>
      </c>
      <c r="AD72" s="43" t="n">
        <f aca="false">In_Guar_Credit*(1-AD19)*(AD71+AD48+AD49)*AD$5/Days_In_Year*(AD$4&lt;=In_COD)</f>
        <v>130.073647696106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1993.30208050153</v>
      </c>
      <c r="J73" s="43" t="n">
        <f aca="false">J20*SUMIF($J$7:J$7,J$7,$J72:J72)</f>
        <v>0</v>
      </c>
      <c r="K73" s="43" t="n">
        <f aca="false">K20*SUMIF($J$7:K$7,K$7,$J72:K72)</f>
        <v>18.1640998311128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420.703544620004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447.167526495279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234.444990160363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486.842508296543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385.979411098229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18.1640998311128</v>
      </c>
      <c r="L74" s="43" t="n">
        <f aca="false">L71+L73</f>
        <v>18.1640998311128</v>
      </c>
      <c r="M74" s="43" t="n">
        <f aca="false">M71+M73</f>
        <v>18.1640998311128</v>
      </c>
      <c r="N74" s="43" t="n">
        <f aca="false">N71+N73</f>
        <v>18.1640998311128</v>
      </c>
      <c r="O74" s="43" t="n">
        <f aca="false">O71+O73</f>
        <v>438.867644451117</v>
      </c>
      <c r="P74" s="43" t="n">
        <f aca="false">P71+P73</f>
        <v>438.867644451117</v>
      </c>
      <c r="Q74" s="43" t="n">
        <f aca="false">Q71+Q73</f>
        <v>438.867644451117</v>
      </c>
      <c r="R74" s="43" t="n">
        <f aca="false">R71+R73</f>
        <v>438.867644451117</v>
      </c>
      <c r="S74" s="43" t="n">
        <f aca="false">S71+S73</f>
        <v>886.035170946395</v>
      </c>
      <c r="T74" s="43" t="n">
        <f aca="false">T71+T73</f>
        <v>886.035170946395</v>
      </c>
      <c r="U74" s="43" t="n">
        <f aca="false">U71+U73</f>
        <v>886.035170946395</v>
      </c>
      <c r="V74" s="43" t="n">
        <f aca="false">V71+V73</f>
        <v>886.035170946395</v>
      </c>
      <c r="W74" s="43" t="n">
        <f aca="false">W71+W73</f>
        <v>1120.48016110676</v>
      </c>
      <c r="X74" s="43" t="n">
        <f aca="false">X71+X73</f>
        <v>1120.48016110676</v>
      </c>
      <c r="Y74" s="43" t="n">
        <f aca="false">Y71+Y73</f>
        <v>1120.48016110676</v>
      </c>
      <c r="Z74" s="43" t="n">
        <f aca="false">Z71+Z73</f>
        <v>1120.48016110676</v>
      </c>
      <c r="AA74" s="43" t="n">
        <f aca="false">AA71+AA73</f>
        <v>1607.3226694033</v>
      </c>
      <c r="AB74" s="43" t="n">
        <f aca="false">AB71+AB73</f>
        <v>1607.3226694033</v>
      </c>
      <c r="AC74" s="43" t="n">
        <f aca="false">AC71+AC73</f>
        <v>1607.3226694033</v>
      </c>
      <c r="AD74" s="43" t="n">
        <f aca="false">AD71+AD73</f>
        <v>1607.3226694033</v>
      </c>
      <c r="AE74" s="43" t="n">
        <f aca="false">AE71+AE73</f>
        <v>1993.30208050153</v>
      </c>
      <c r="AF74" s="43" t="n">
        <f aca="false">AF71+AF73</f>
        <v>1993.30208050153</v>
      </c>
      <c r="AG74" s="43" t="n">
        <f aca="false">AG71+AG73</f>
        <v>1993.30208050153</v>
      </c>
      <c r="AH74" s="43" t="n">
        <f aca="false">AH71+AH73</f>
        <v>1993.30208050153</v>
      </c>
      <c r="AI74" s="43" t="n">
        <f aca="false">AI71+AI73</f>
        <v>1993.30208050153</v>
      </c>
      <c r="AJ74" s="43" t="n">
        <f aca="false">AJ71+AJ73</f>
        <v>1993.30208050153</v>
      </c>
      <c r="AK74" s="43" t="n">
        <f aca="false">AK71+AK73</f>
        <v>1993.30208050153</v>
      </c>
      <c r="AL74" s="43" t="n">
        <f aca="false">AL71+AL73</f>
        <v>1993.30208050153</v>
      </c>
      <c r="AM74" s="43" t="n">
        <f aca="false">AM71+AM73</f>
        <v>1993.30208050153</v>
      </c>
      <c r="AN74" s="43" t="n">
        <f aca="false">AN71+AN73</f>
        <v>1993.30208050153</v>
      </c>
      <c r="AO74" s="43" t="n">
        <f aca="false">AO71+AO73</f>
        <v>1993.30208050153</v>
      </c>
      <c r="AP74" s="43" t="n">
        <f aca="false">AP71+AP73</f>
        <v>1993.30208050153</v>
      </c>
      <c r="AQ74" s="43" t="n">
        <f aca="false">AQ71+AQ73</f>
        <v>1993.30208050153</v>
      </c>
      <c r="AR74" s="43" t="n">
        <f aca="false">AR71+AR73</f>
        <v>1993.30208050153</v>
      </c>
      <c r="AS74" s="43" t="n">
        <f aca="false">AS71+AS73</f>
        <v>1993.30208050153</v>
      </c>
      <c r="AT74" s="43" t="n">
        <f aca="false">AT71+AT73</f>
        <v>1993.30208050153</v>
      </c>
      <c r="AU74" s="43" t="n">
        <f aca="false">AU71+AU73</f>
        <v>1993.30208050153</v>
      </c>
      <c r="AV74" s="43" t="n">
        <f aca="false">AV71+AV73</f>
        <v>1993.30208050153</v>
      </c>
      <c r="AW74" s="43" t="n">
        <f aca="false">AW71+AW73</f>
        <v>1993.30208050153</v>
      </c>
      <c r="AX74" s="43" t="n">
        <f aca="false">AX71+AX73</f>
        <v>1993.30208050153</v>
      </c>
      <c r="AY74" s="43" t="n">
        <f aca="false">AY71+AY73</f>
        <v>1993.30208050153</v>
      </c>
      <c r="AZ74" s="43" t="n">
        <f aca="false">AZ71+AZ73</f>
        <v>1993.30208050153</v>
      </c>
      <c r="BA74" s="43" t="n">
        <f aca="false">BA71+BA73</f>
        <v>1993.30208050153</v>
      </c>
      <c r="BB74" s="43" t="n">
        <f aca="false">BB71+BB73</f>
        <v>1993.30208050153</v>
      </c>
      <c r="BC74" s="43" t="n">
        <f aca="false">BC71+BC73</f>
        <v>1993.30208050153</v>
      </c>
      <c r="BD74" s="43" t="n">
        <f aca="false">BD71+BD73</f>
        <v>1993.30208050153</v>
      </c>
      <c r="BE74" s="43" t="n">
        <f aca="false">BE71+BE73</f>
        <v>1993.30208050153</v>
      </c>
      <c r="BF74" s="43" t="n">
        <f aca="false">BF71+BF73</f>
        <v>1993.30208050153</v>
      </c>
      <c r="BG74" s="43" t="n">
        <f aca="false">BG71+BG73</f>
        <v>1993.30208050153</v>
      </c>
      <c r="BH74" s="43" t="n">
        <f aca="false">BH71+BH73</f>
        <v>1993.30208050153</v>
      </c>
      <c r="BI74" s="43" t="n">
        <f aca="false">BI71+BI73</f>
        <v>1993.30208050153</v>
      </c>
      <c r="BJ74" s="43" t="n">
        <f aca="false">BJ71+BJ73</f>
        <v>1993.30208050153</v>
      </c>
      <c r="BK74" s="43" t="n">
        <f aca="false">BK71+BK73</f>
        <v>1993.30208050153</v>
      </c>
      <c r="BL74" s="43" t="n">
        <f aca="false">BL71+BL73</f>
        <v>1993.30208050153</v>
      </c>
      <c r="BM74" s="43" t="n">
        <f aca="false">BM71+BM73</f>
        <v>1993.30208050153</v>
      </c>
      <c r="BN74" s="43" t="n">
        <f aca="false">BN71+BN73</f>
        <v>1993.30208050153</v>
      </c>
      <c r="BO74" s="43" t="n">
        <f aca="false">BO71+BO73</f>
        <v>1993.30208050153</v>
      </c>
      <c r="BP74" s="43" t="n">
        <f aca="false">BP71+BP73</f>
        <v>1993.30208050153</v>
      </c>
      <c r="BQ74" s="43" t="n">
        <f aca="false">BQ71+BQ73</f>
        <v>1993.30208050153</v>
      </c>
      <c r="BR74" s="43" t="n">
        <f aca="false">BR71+BR73</f>
        <v>1993.30208050153</v>
      </c>
      <c r="BS74" s="43" t="n">
        <f aca="false">BS71+BS73</f>
        <v>1993.30208050153</v>
      </c>
      <c r="BT74" s="43" t="n">
        <f aca="false">BT71+BT73</f>
        <v>1993.30208050153</v>
      </c>
      <c r="BU74" s="43" t="n">
        <f aca="false">BU71+BU73</f>
        <v>1993.30208050153</v>
      </c>
      <c r="BV74" s="43" t="n">
        <f aca="false">BV71+BV73</f>
        <v>1993.30208050153</v>
      </c>
      <c r="BW74" s="43" t="n">
        <f aca="false">BW71+BW73</f>
        <v>1993.30208050153</v>
      </c>
      <c r="BX74" s="43" t="n">
        <f aca="false">BX71+BX73</f>
        <v>1993.30208050153</v>
      </c>
      <c r="BY74" s="43" t="n">
        <f aca="false">BY71+BY73</f>
        <v>1993.30208050153</v>
      </c>
      <c r="BZ74" s="43" t="n">
        <f aca="false">BZ71+BZ73</f>
        <v>1993.30208050153</v>
      </c>
      <c r="CA74" s="43" t="n">
        <f aca="false">CA71+CA73</f>
        <v>1993.30208050153</v>
      </c>
      <c r="CB74" s="43" t="n">
        <f aca="false">CB71+CB73</f>
        <v>1993.30208050153</v>
      </c>
      <c r="CC74" s="43" t="n">
        <f aca="false">CC71+CC73</f>
        <v>1993.30208050153</v>
      </c>
      <c r="CD74" s="43" t="n">
        <f aca="false">CD71+CD73</f>
        <v>1993.30208050153</v>
      </c>
      <c r="CE74" s="43" t="n">
        <f aca="false">CE71+CE73</f>
        <v>1993.30208050153</v>
      </c>
      <c r="CF74" s="43" t="n">
        <f aca="false">CF71+CF73</f>
        <v>1993.30208050153</v>
      </c>
      <c r="CG74" s="43" t="n">
        <f aca="false">CG71+CG73</f>
        <v>1993.30208050153</v>
      </c>
      <c r="CH74" s="43" t="n">
        <f aca="false">CH71+CH73</f>
        <v>1993.30208050153</v>
      </c>
      <c r="CI74" s="43" t="n">
        <f aca="false">CI71+CI73</f>
        <v>1993.30208050153</v>
      </c>
      <c r="CJ74" s="43" t="n">
        <f aca="false">CJ71+CJ73</f>
        <v>1993.30208050153</v>
      </c>
      <c r="CK74" s="43" t="n">
        <f aca="false">CK71+CK73</f>
        <v>1993.30208050153</v>
      </c>
      <c r="CL74" s="43" t="n">
        <f aca="false">CL71+CL73</f>
        <v>1993.30208050153</v>
      </c>
      <c r="CM74" s="43" t="n">
        <f aca="false">CM71+CM73</f>
        <v>1993.30208050153</v>
      </c>
      <c r="CN74" s="43" t="n">
        <f aca="false">CN71+CN73</f>
        <v>1993.30208050153</v>
      </c>
      <c r="CO74" s="43" t="n">
        <f aca="false">CO71+CO73</f>
        <v>1993.30208050153</v>
      </c>
      <c r="CP74" s="43" t="n">
        <f aca="false">CP71+CP73</f>
        <v>1993.30208050153</v>
      </c>
      <c r="CQ74" s="43" t="n">
        <f aca="false">CQ71+CQ73</f>
        <v>1993.30208050153</v>
      </c>
      <c r="CR74" s="43" t="n">
        <f aca="false">CR71+CR73</f>
        <v>1993.30208050153</v>
      </c>
      <c r="CS74" s="43" t="n">
        <f aca="false">CS71+CS73</f>
        <v>1993.30208050153</v>
      </c>
      <c r="CT74" s="43" t="n">
        <f aca="false">CT71+CT73</f>
        <v>1993.30208050153</v>
      </c>
      <c r="CU74" s="43" t="n">
        <f aca="false">CU71+CU73</f>
        <v>1993.30208050153</v>
      </c>
      <c r="CV74" s="43" t="n">
        <f aca="false">CV71+CV73</f>
        <v>1993.30208050153</v>
      </c>
      <c r="CW74" s="43" t="n">
        <f aca="false">CW71+CW73</f>
        <v>1993.30208050153</v>
      </c>
      <c r="CX74" s="43" t="n">
        <f aca="false">CX71+CX73</f>
        <v>1993.30208050153</v>
      </c>
      <c r="CY74" s="43" t="n">
        <f aca="false">CY71+CY73</f>
        <v>1993.30208050153</v>
      </c>
      <c r="CZ74" s="43" t="n">
        <f aca="false">CZ71+CZ73</f>
        <v>1993.30208050153</v>
      </c>
      <c r="DA74" s="43" t="n">
        <f aca="false">DA71+DA73</f>
        <v>1993.30208050153</v>
      </c>
      <c r="DB74" s="43" t="n">
        <f aca="false">DB71+DB73</f>
        <v>1993.30208050153</v>
      </c>
      <c r="DC74" s="43" t="n">
        <f aca="false">DC71+DC73</f>
        <v>1993.30208050153</v>
      </c>
      <c r="DD74" s="43" t="n">
        <f aca="false">DD71+DD73</f>
        <v>1993.30208050153</v>
      </c>
      <c r="DE74" s="43" t="n">
        <f aca="false">DE71+DE73</f>
        <v>1993.30208050153</v>
      </c>
      <c r="DF74" s="43" t="n">
        <f aca="false">DF71+DF73</f>
        <v>1993.30208050153</v>
      </c>
      <c r="DG74" s="43" t="n">
        <f aca="false">DG71+DG73</f>
        <v>1993.30208050153</v>
      </c>
      <c r="DH74" s="43" t="n">
        <f aca="false">DH71+DH73</f>
        <v>1993.30208050153</v>
      </c>
      <c r="DI74" s="43" t="n">
        <f aca="false">DI71+DI73</f>
        <v>1993.30208050153</v>
      </c>
      <c r="DJ74" s="43" t="n">
        <f aca="false">DJ71+DJ73</f>
        <v>1993.30208050153</v>
      </c>
      <c r="DK74" s="43" t="n">
        <f aca="false">DK71+DK73</f>
        <v>1993.30208050153</v>
      </c>
      <c r="DL74" s="43" t="n">
        <f aca="false">DL71+DL73</f>
        <v>1993.30208050153</v>
      </c>
      <c r="DM74" s="43" t="n">
        <f aca="false">DM71+DM73</f>
        <v>1993.30208050153</v>
      </c>
      <c r="DN74" s="43" t="n">
        <f aca="false">DN71+DN73</f>
        <v>1993.30208050153</v>
      </c>
      <c r="DO74" s="43" t="n">
        <f aca="false">DO71+DO73</f>
        <v>1993.30208050153</v>
      </c>
      <c r="DP74" s="43" t="n">
        <f aca="false">DP71+DP73</f>
        <v>1993.30208050153</v>
      </c>
      <c r="DQ74" s="43" t="n">
        <f aca="false">DQ71+DQ73</f>
        <v>1993.30208050153</v>
      </c>
      <c r="DR74" s="43" t="n">
        <f aca="false">DR71+DR73</f>
        <v>1993.30208050153</v>
      </c>
      <c r="DS74" s="43" t="n">
        <f aca="false">DS71+DS73</f>
        <v>1993.30208050153</v>
      </c>
      <c r="DT74" s="43" t="n">
        <f aca="false">DT71+DT73</f>
        <v>1993.30208050153</v>
      </c>
      <c r="DU74" s="43" t="n">
        <f aca="false">DU71+DU73</f>
        <v>1993.30208050153</v>
      </c>
      <c r="DV74" s="43" t="n">
        <f aca="false">DV71+DV73</f>
        <v>1993.30208050153</v>
      </c>
      <c r="DW74" s="43" t="n">
        <f aca="false">DW71+DW73</f>
        <v>1993.30208050153</v>
      </c>
      <c r="DX74" s="43" t="n">
        <f aca="false">DX71+DX73</f>
        <v>1993.30208050153</v>
      </c>
      <c r="DY74" s="43" t="n">
        <f aca="false">DY71+DY73</f>
        <v>1993.30208050153</v>
      </c>
      <c r="DZ74" s="43" t="n">
        <f aca="false">DZ71+DZ73</f>
        <v>1993.30208050153</v>
      </c>
      <c r="EA74" s="43" t="n">
        <f aca="false">EA71+EA73</f>
        <v>1993.30208050153</v>
      </c>
      <c r="EB74" s="43" t="n">
        <f aca="false">EB71+EB73</f>
        <v>1993.30208050153</v>
      </c>
      <c r="EC74" s="43" t="n">
        <f aca="false">EC71+EC73</f>
        <v>1993.30208050153</v>
      </c>
      <c r="ED74" s="43" t="n">
        <f aca="false">ED71+ED73</f>
        <v>1993.30208050153</v>
      </c>
      <c r="EE74" s="43" t="n">
        <f aca="false">EE71+EE73</f>
        <v>1993.30208050153</v>
      </c>
      <c r="EF74" s="43" t="n">
        <f aca="false">EF71+EF73</f>
        <v>1993.30208050153</v>
      </c>
      <c r="EG74" s="43" t="n">
        <f aca="false">EG71+EG73</f>
        <v>1993.30208050153</v>
      </c>
      <c r="EH74" s="43" t="n">
        <f aca="false">EH71+EH73</f>
        <v>1993.30208050153</v>
      </c>
      <c r="EI74" s="43" t="n">
        <f aca="false">EI71+EI73</f>
        <v>1993.30208050153</v>
      </c>
      <c r="EJ74" s="43" t="n">
        <f aca="false">EJ71+EJ73</f>
        <v>1993.30208050153</v>
      </c>
      <c r="EK74" s="43" t="n">
        <f aca="false">EK71+EK73</f>
        <v>1993.30208050153</v>
      </c>
      <c r="EL74" s="43" t="n">
        <f aca="false">EL71+EL73</f>
        <v>1993.30208050153</v>
      </c>
      <c r="EM74" s="43" t="n">
        <f aca="false">EM71+EM73</f>
        <v>1993.30208050153</v>
      </c>
      <c r="EN74" s="43" t="n">
        <f aca="false">EN71+EN73</f>
        <v>1993.30208050153</v>
      </c>
      <c r="EO74" s="43" t="n">
        <f aca="false">EO71+EO73</f>
        <v>1993.30208050153</v>
      </c>
      <c r="EP74" s="43" t="n">
        <f aca="false">EP71+EP73</f>
        <v>1993.30208050153</v>
      </c>
      <c r="EQ74" s="43" t="n">
        <f aca="false">EQ71+EQ73</f>
        <v>1993.30208050153</v>
      </c>
      <c r="ER74" s="43" t="n">
        <f aca="false">ER71+ER73</f>
        <v>1993.30208050153</v>
      </c>
      <c r="ES74" s="43" t="n">
        <f aca="false">ES71+ES73</f>
        <v>1993.30208050153</v>
      </c>
      <c r="ET74" s="43" t="n">
        <f aca="false">ET71+ET73</f>
        <v>1993.30208050153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0.337748344370861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4199.04109589041</v>
      </c>
      <c r="F84" s="43" t="n">
        <f aca="false">$E49-$E84</f>
        <v>2794.52054794521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1418.21917808219</v>
      </c>
      <c r="F85" s="43" t="n">
        <f aca="false">($E83+$F83&gt;0)*$E49</f>
        <v>6993.56164383562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-1418.21917808219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-1418.21917808219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125115</v>
      </c>
      <c r="I93" s="43" t="n">
        <f aca="false">SUM(J93:ET93)</f>
        <v>-125115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-15767.9178082192</v>
      </c>
      <c r="X93" s="43" t="n">
        <f aca="false">-$E93*X13</f>
        <v>-15425.1369863014</v>
      </c>
      <c r="Y93" s="43" t="n">
        <f aca="false">-$E93*Y13</f>
        <v>-15596.5273972603</v>
      </c>
      <c r="Z93" s="43" t="n">
        <f aca="false">-$E93*Z13</f>
        <v>-15767.9178082192</v>
      </c>
      <c r="AA93" s="43" t="n">
        <f aca="false">-$E93*AA13</f>
        <v>-15767.9178082192</v>
      </c>
      <c r="AB93" s="43" t="n">
        <f aca="false">-$E93*AB13</f>
        <v>-15425.1369863014</v>
      </c>
      <c r="AC93" s="43" t="n">
        <f aca="false">-$E93*AC13</f>
        <v>-15596.5273972603</v>
      </c>
      <c r="AD93" s="43" t="n">
        <f aca="false">-$E93*AD13</f>
        <v>-15767.9178082192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90176.6324449315</v>
      </c>
      <c r="I97" s="43" t="n">
        <f aca="false">SUM(J97:ET97)</f>
        <v>90176.6324449315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11364.7262807311</v>
      </c>
      <c r="X97" s="43" t="n">
        <f aca="false">$E97*X13</f>
        <v>11117.6670137587</v>
      </c>
      <c r="Y97" s="43" t="n">
        <f aca="false">$E97*Y13</f>
        <v>11241.1966472449</v>
      </c>
      <c r="Z97" s="43" t="n">
        <f aca="false">$E97*Z13</f>
        <v>11364.7262807311</v>
      </c>
      <c r="AA97" s="43" t="n">
        <f aca="false">$E97*AA13</f>
        <v>11364.7262807311</v>
      </c>
      <c r="AB97" s="43" t="n">
        <f aca="false">$E97*AB13</f>
        <v>11117.6670137587</v>
      </c>
      <c r="AC97" s="43" t="n">
        <f aca="false">$E97*AC13</f>
        <v>11241.1966472449</v>
      </c>
      <c r="AD97" s="43" t="n">
        <f aca="false">$E97*AD13</f>
        <v>11364.7262807311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4043.87147763789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142.059078509139</v>
      </c>
      <c r="Y98" s="43" t="n">
        <f aca="false">Y96*$F98*(Y$4&lt;=In_COD)</f>
        <v>282.805654662486</v>
      </c>
      <c r="Z98" s="43" t="n">
        <f aca="false">Z96*$F98*(Z$4&lt;=In_COD)</f>
        <v>426.855683436329</v>
      </c>
      <c r="AA98" s="43" t="n">
        <f aca="false">AA96*$F98*(AA$4&lt;=In_COD)</f>
        <v>574.250457988422</v>
      </c>
      <c r="AB98" s="43" t="n">
        <f aca="false">AB96*$F98*(AB$4&lt;=In_COD)</f>
        <v>723.487667222415</v>
      </c>
      <c r="AC98" s="43" t="n">
        <f aca="false">AC96*$F98*(AC$4&lt;=In_COD)</f>
        <v>871.502100734679</v>
      </c>
      <c r="AD98" s="43" t="n">
        <f aca="false">AD96*$F98*(AD$4&lt;=In_COD)</f>
        <v>1022.91083508442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-94220.5039225694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-1829.89540535528</v>
      </c>
      <c r="AF99" s="43" t="n">
        <f aca="false">PPMT($F98,1,In_Debt_Tenor*Months_In_Year/Months_Per_Period-SUM($J17:AF17)+1,AF96)*AF17</f>
        <v>-1852.76909792222</v>
      </c>
      <c r="AG99" s="43" t="n">
        <f aca="false">PPMT($F98,1,In_Debt_Tenor*Months_In_Year/Months_Per_Period-SUM($J17:AG17)+1,AG96)*AG17</f>
        <v>-1875.92871164625</v>
      </c>
      <c r="AH99" s="43" t="n">
        <f aca="false">PPMT($F98,1,In_Debt_Tenor*Months_In_Year/Months_Per_Period-SUM($J17:AH17)+1,AH96)*AH17</f>
        <v>-1899.37782054183</v>
      </c>
      <c r="AI99" s="43" t="n">
        <f aca="false">PPMT($F98,1,In_Debt_Tenor*Months_In_Year/Months_Per_Period-SUM($J17:AI17)+1,AI96)*AI17</f>
        <v>-1923.1200432986</v>
      </c>
      <c r="AJ99" s="43" t="n">
        <f aca="false">PPMT($F98,1,In_Debt_Tenor*Months_In_Year/Months_Per_Period-SUM($J17:AJ17)+1,AJ96)*AJ17</f>
        <v>-1947.15904383984</v>
      </c>
      <c r="AK99" s="43" t="n">
        <f aca="false">PPMT($F98,1,In_Debt_Tenor*Months_In_Year/Months_Per_Period-SUM($J17:AK17)+1,AK96)*AK17</f>
        <v>-1971.49853188783</v>
      </c>
      <c r="AL99" s="43" t="n">
        <f aca="false">PPMT($F98,1,In_Debt_Tenor*Months_In_Year/Months_Per_Period-SUM($J17:AL17)+1,AL96)*AL17</f>
        <v>-1996.14226353643</v>
      </c>
      <c r="AM99" s="43" t="n">
        <f aca="false">PPMT($F98,1,In_Debt_Tenor*Months_In_Year/Months_Per_Period-SUM($J17:AM17)+1,AM96)*AM17</f>
        <v>-2021.09404183064</v>
      </c>
      <c r="AN99" s="43" t="n">
        <f aca="false">PPMT($F98,1,In_Debt_Tenor*Months_In_Year/Months_Per_Period-SUM($J17:AN17)+1,AN96)*AN17</f>
        <v>-2046.35771735352</v>
      </c>
      <c r="AO99" s="43" t="n">
        <f aca="false">PPMT($F98,1,In_Debt_Tenor*Months_In_Year/Months_Per_Period-SUM($J17:AO17)+1,AO96)*AO17</f>
        <v>-2071.93718882044</v>
      </c>
      <c r="AP99" s="43" t="n">
        <f aca="false">PPMT($F98,1,In_Debt_Tenor*Months_In_Year/Months_Per_Period-SUM($J17:AP17)+1,AP96)*AP17</f>
        <v>-2097.83640368069</v>
      </c>
      <c r="AQ99" s="43" t="n">
        <f aca="false">PPMT($F98,1,In_Debt_Tenor*Months_In_Year/Months_Per_Period-SUM($J17:AQ17)+1,AQ96)*AQ17</f>
        <v>-2124.0593587267</v>
      </c>
      <c r="AR99" s="43" t="n">
        <f aca="false">PPMT($F98,1,In_Debt_Tenor*Months_In_Year/Months_Per_Period-SUM($J17:AR17)+1,AR96)*AR17</f>
        <v>-2150.61010071079</v>
      </c>
      <c r="AS99" s="43" t="n">
        <f aca="false">PPMT($F98,1,In_Debt_Tenor*Months_In_Year/Months_Per_Period-SUM($J17:AS17)+1,AS96)*AS17</f>
        <v>-2177.49272696967</v>
      </c>
      <c r="AT99" s="43" t="n">
        <f aca="false">PPMT($F98,1,In_Debt_Tenor*Months_In_Year/Months_Per_Period-SUM($J17:AT17)+1,AT96)*AT17</f>
        <v>-2204.71138605679</v>
      </c>
      <c r="AU99" s="43" t="n">
        <f aca="false">PPMT($F98,1,In_Debt_Tenor*Months_In_Year/Months_Per_Period-SUM($J17:AU17)+1,AU96)*AU17</f>
        <v>-2232.2702783825</v>
      </c>
      <c r="AV99" s="43" t="n">
        <f aca="false">PPMT($F98,1,In_Debt_Tenor*Months_In_Year/Months_Per_Period-SUM($J17:AV17)+1,AV96)*AV17</f>
        <v>-2260.17365686228</v>
      </c>
      <c r="AW99" s="43" t="n">
        <f aca="false">PPMT($F98,1,In_Debt_Tenor*Months_In_Year/Months_Per_Period-SUM($J17:AW17)+1,AW96)*AW17</f>
        <v>-2288.42582757306</v>
      </c>
      <c r="AX99" s="43" t="n">
        <f aca="false">PPMT($F98,1,In_Debt_Tenor*Months_In_Year/Months_Per_Period-SUM($J17:AX17)+1,AX96)*AX17</f>
        <v>-2317.03115041772</v>
      </c>
      <c r="AY99" s="43" t="n">
        <f aca="false">PPMT($F98,1,In_Debt_Tenor*Months_In_Year/Months_Per_Period-SUM($J17:AY17)+1,AY96)*AY17</f>
        <v>-2345.99403979795</v>
      </c>
      <c r="AZ99" s="43" t="n">
        <f aca="false">PPMT($F98,1,In_Debt_Tenor*Months_In_Year/Months_Per_Period-SUM($J17:AZ17)+1,AZ96)*AZ17</f>
        <v>-2375.31896529542</v>
      </c>
      <c r="BA99" s="43" t="n">
        <f aca="false">PPMT($F98,1,In_Debt_Tenor*Months_In_Year/Months_Per_Period-SUM($J17:BA17)+1,BA96)*BA17</f>
        <v>-2405.01045236161</v>
      </c>
      <c r="BB99" s="43" t="n">
        <f aca="false">PPMT($F98,1,In_Debt_Tenor*Months_In_Year/Months_Per_Period-SUM($J17:BB17)+1,BB96)*BB17</f>
        <v>-2435.07308301613</v>
      </c>
      <c r="BC99" s="43" t="n">
        <f aca="false">PPMT($F98,1,In_Debt_Tenor*Months_In_Year/Months_Per_Period-SUM($J17:BC17)+1,BC96)*BC17</f>
        <v>-2465.51149655383</v>
      </c>
      <c r="BD99" s="43" t="n">
        <f aca="false">PPMT($F98,1,In_Debt_Tenor*Months_In_Year/Months_Per_Period-SUM($J17:BD17)+1,BD96)*BD17</f>
        <v>-2496.33039026076</v>
      </c>
      <c r="BE99" s="43" t="n">
        <f aca="false">PPMT($F98,1,In_Debt_Tenor*Months_In_Year/Months_Per_Period-SUM($J17:BE17)+1,BE96)*BE17</f>
        <v>-2527.53452013902</v>
      </c>
      <c r="BF99" s="43" t="n">
        <f aca="false">PPMT($F98,1,In_Debt_Tenor*Months_In_Year/Months_Per_Period-SUM($J17:BF17)+1,BF96)*BF17</f>
        <v>-2559.12870164076</v>
      </c>
      <c r="BG99" s="43" t="n">
        <f aca="false">PPMT($F98,1,In_Debt_Tenor*Months_In_Year/Months_Per_Period-SUM($J17:BG17)+1,BG96)*BG17</f>
        <v>-2591.11781041126</v>
      </c>
      <c r="BH99" s="43" t="n">
        <f aca="false">PPMT($F98,1,In_Debt_Tenor*Months_In_Year/Months_Per_Period-SUM($J17:BH17)+1,BH96)*BH17</f>
        <v>-2623.50678304141</v>
      </c>
      <c r="BI99" s="43" t="n">
        <f aca="false">PPMT($F98,1,In_Debt_Tenor*Months_In_Year/Months_Per_Period-SUM($J17:BI17)+1,BI96)*BI17</f>
        <v>-2656.30061782942</v>
      </c>
      <c r="BJ99" s="43" t="n">
        <f aca="false">PPMT($F98,1,In_Debt_Tenor*Months_In_Year/Months_Per_Period-SUM($J17:BJ17)+1,BJ96)*BJ17</f>
        <v>-2689.50437555229</v>
      </c>
      <c r="BK99" s="43" t="n">
        <f aca="false">PPMT($F98,1,In_Debt_Tenor*Months_In_Year/Months_Per_Period-SUM($J17:BK17)+1,BK96)*BK17</f>
        <v>-2723.12318024669</v>
      </c>
      <c r="BL99" s="43" t="n">
        <f aca="false">PPMT($F98,1,In_Debt_Tenor*Months_In_Year/Months_Per_Period-SUM($J17:BL17)+1,BL96)*BL17</f>
        <v>-2757.16221999978</v>
      </c>
      <c r="BM99" s="43" t="n">
        <f aca="false">PPMT($F98,1,In_Debt_Tenor*Months_In_Year/Months_Per_Period-SUM($J17:BM17)+1,BM96)*BM17</f>
        <v>-2791.62674774978</v>
      </c>
      <c r="BN99" s="43" t="n">
        <f aca="false">PPMT($F98,1,In_Debt_Tenor*Months_In_Year/Months_Per_Period-SUM($J17:BN17)+1,BN96)*BN17</f>
        <v>-2826.52208209665</v>
      </c>
      <c r="BO99" s="43" t="n">
        <f aca="false">PPMT($F98,1,In_Debt_Tenor*Months_In_Year/Months_Per_Period-SUM($J17:BO17)+1,BO96)*BO17</f>
        <v>-2861.85360812286</v>
      </c>
      <c r="BP99" s="43" t="n">
        <f aca="false">PPMT($F98,1,In_Debt_Tenor*Months_In_Year/Months_Per_Period-SUM($J17:BP17)+1,BP96)*BP17</f>
        <v>-2897.62677822439</v>
      </c>
      <c r="BQ99" s="43" t="n">
        <f aca="false">PPMT($F98,1,In_Debt_Tenor*Months_In_Year/Months_Per_Period-SUM($J17:BQ17)+1,BQ96)*BQ17</f>
        <v>-2933.8471129522</v>
      </c>
      <c r="BR99" s="43" t="n">
        <f aca="false">PPMT($F98,1,In_Debt_Tenor*Months_In_Year/Months_Per_Period-SUM($J17:BR17)+1,BR96)*BR17</f>
        <v>-2970.5202018641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11364.7262807311</v>
      </c>
      <c r="X100" s="52" t="n">
        <f aca="false">SUM(X96:X99)</f>
        <v>22624.4523729989</v>
      </c>
      <c r="Y100" s="52" t="n">
        <f aca="false">SUM(Y96:Y99)</f>
        <v>34148.4546749063</v>
      </c>
      <c r="Z100" s="52" t="n">
        <f aca="false">SUM(Z96:Z99)</f>
        <v>45940.0366390737</v>
      </c>
      <c r="AA100" s="52" t="n">
        <f aca="false">SUM(AA96:AA99)</f>
        <v>57879.0133777932</v>
      </c>
      <c r="AB100" s="52" t="n">
        <f aca="false">SUM(AB96:AB99)</f>
        <v>69720.1680587743</v>
      </c>
      <c r="AC100" s="52" t="n">
        <f aca="false">SUM(AC96:AC99)</f>
        <v>81832.8668067539</v>
      </c>
      <c r="AD100" s="52" t="n">
        <f aca="false">SUM(AD96:AD99)</f>
        <v>94220.5039225694</v>
      </c>
      <c r="AE100" s="52" t="n">
        <f aca="false">SUM(AE96:AE99)</f>
        <v>92390.6085172141</v>
      </c>
      <c r="AF100" s="52" t="n">
        <f aca="false">SUM(AF96:AF99)</f>
        <v>90537.8394192919</v>
      </c>
      <c r="AG100" s="52" t="n">
        <f aca="false">SUM(AG96:AG99)</f>
        <v>88661.9107076456</v>
      </c>
      <c r="AH100" s="52" t="n">
        <f aca="false">SUM(AH96:AH99)</f>
        <v>86762.5328871038</v>
      </c>
      <c r="AI100" s="52" t="n">
        <f aca="false">SUM(AI96:AI99)</f>
        <v>84839.4128438052</v>
      </c>
      <c r="AJ100" s="52" t="n">
        <f aca="false">SUM(AJ96:AJ99)</f>
        <v>82892.2537999654</v>
      </c>
      <c r="AK100" s="52" t="n">
        <f aca="false">SUM(AK96:AK99)</f>
        <v>80920.7552680775</v>
      </c>
      <c r="AL100" s="52" t="n">
        <f aca="false">SUM(AL96:AL99)</f>
        <v>78924.6130045411</v>
      </c>
      <c r="AM100" s="52" t="n">
        <f aca="false">SUM(AM96:AM99)</f>
        <v>76903.5189627105</v>
      </c>
      <c r="AN100" s="52" t="n">
        <f aca="false">SUM(AN96:AN99)</f>
        <v>74857.1612453569</v>
      </c>
      <c r="AO100" s="52" t="n">
        <f aca="false">SUM(AO96:AO99)</f>
        <v>72785.2240565365</v>
      </c>
      <c r="AP100" s="52" t="n">
        <f aca="false">SUM(AP96:AP99)</f>
        <v>70687.3876528558</v>
      </c>
      <c r="AQ100" s="52" t="n">
        <f aca="false">SUM(AQ96:AQ99)</f>
        <v>68563.3282941291</v>
      </c>
      <c r="AR100" s="52" t="n">
        <f aca="false">SUM(AR96:AR99)</f>
        <v>66412.7181934183</v>
      </c>
      <c r="AS100" s="52" t="n">
        <f aca="false">SUM(AS96:AS99)</f>
        <v>64235.2254664487</v>
      </c>
      <c r="AT100" s="52" t="n">
        <f aca="false">SUM(AT96:AT99)</f>
        <v>62030.5140803919</v>
      </c>
      <c r="AU100" s="52" t="n">
        <f aca="false">SUM(AU96:AU99)</f>
        <v>59798.2438020094</v>
      </c>
      <c r="AV100" s="52" t="n">
        <f aca="false">SUM(AV96:AV99)</f>
        <v>57538.0701451471</v>
      </c>
      <c r="AW100" s="52" t="n">
        <f aca="false">SUM(AW96:AW99)</f>
        <v>55249.644317574</v>
      </c>
      <c r="AX100" s="52" t="n">
        <f aca="false">SUM(AX96:AX99)</f>
        <v>52932.6131671563</v>
      </c>
      <c r="AY100" s="52" t="n">
        <f aca="false">SUM(AY96:AY99)</f>
        <v>50586.6191273584</v>
      </c>
      <c r="AZ100" s="52" t="n">
        <f aca="false">SUM(AZ96:AZ99)</f>
        <v>48211.3001620629</v>
      </c>
      <c r="BA100" s="52" t="n">
        <f aca="false">SUM(BA96:BA99)</f>
        <v>45806.2897097013</v>
      </c>
      <c r="BB100" s="52" t="n">
        <f aca="false">SUM(BB96:BB99)</f>
        <v>43371.2166266852</v>
      </c>
      <c r="BC100" s="52" t="n">
        <f aca="false">SUM(BC96:BC99)</f>
        <v>40905.7051301314</v>
      </c>
      <c r="BD100" s="52" t="n">
        <f aca="false">SUM(BD96:BD99)</f>
        <v>38409.3747398706</v>
      </c>
      <c r="BE100" s="52" t="n">
        <f aca="false">SUM(BE96:BE99)</f>
        <v>35881.8402197316</v>
      </c>
      <c r="BF100" s="52" t="n">
        <f aca="false">SUM(BF96:BF99)</f>
        <v>33322.7115180908</v>
      </c>
      <c r="BG100" s="52" t="n">
        <f aca="false">SUM(BG96:BG99)</f>
        <v>30731.5937076796</v>
      </c>
      <c r="BH100" s="52" t="n">
        <f aca="false">SUM(BH96:BH99)</f>
        <v>28108.0869246381</v>
      </c>
      <c r="BI100" s="52" t="n">
        <f aca="false">SUM(BI96:BI99)</f>
        <v>25451.7863068087</v>
      </c>
      <c r="BJ100" s="52" t="n">
        <f aca="false">SUM(BJ96:BJ99)</f>
        <v>22762.2819312564</v>
      </c>
      <c r="BK100" s="52" t="n">
        <f aca="false">SUM(BK96:BK99)</f>
        <v>20039.1587510097</v>
      </c>
      <c r="BL100" s="52" t="n">
        <f aca="false">SUM(BL96:BL99)</f>
        <v>17281.99653101</v>
      </c>
      <c r="BM100" s="52" t="n">
        <f aca="false">SUM(BM96:BM99)</f>
        <v>14490.3697832602</v>
      </c>
      <c r="BN100" s="52" t="n">
        <f aca="false">SUM(BN96:BN99)</f>
        <v>11663.8477011635</v>
      </c>
      <c r="BO100" s="52" t="n">
        <f aca="false">SUM(BO96:BO99)</f>
        <v>8801.99409304069</v>
      </c>
      <c r="BP100" s="52" t="n">
        <f aca="false">SUM(BP96:BP99)</f>
        <v>5904.36731481629</v>
      </c>
      <c r="BQ100" s="52" t="n">
        <f aca="false">SUM(BQ96:BQ99)</f>
        <v>2970.5202018641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-26085.5642529266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-1177.75629903212</v>
      </c>
      <c r="AF101" s="43" t="n">
        <f aca="false">-AF96*$F98*(AF$4&gt;In_COD)</f>
        <v>-1154.88260646518</v>
      </c>
      <c r="AG101" s="43" t="n">
        <f aca="false">-AG96*$F98*(AG$4&gt;In_COD)</f>
        <v>-1131.72299274115</v>
      </c>
      <c r="AH101" s="43" t="n">
        <f aca="false">-AH96*$F98*(AH$4&gt;In_COD)</f>
        <v>-1108.27388384557</v>
      </c>
      <c r="AI101" s="43" t="n">
        <f aca="false">-AI96*$F98*(AI$4&gt;In_COD)</f>
        <v>-1084.5316610888</v>
      </c>
      <c r="AJ101" s="43" t="n">
        <f aca="false">-AJ96*$F98*(AJ$4&gt;In_COD)</f>
        <v>-1060.49266054757</v>
      </c>
      <c r="AK101" s="43" t="n">
        <f aca="false">-AK96*$F98*(AK$4&gt;In_COD)</f>
        <v>-1036.15317249957</v>
      </c>
      <c r="AL101" s="43" t="n">
        <f aca="false">-AL96*$F98*(AL$4&gt;In_COD)</f>
        <v>-1011.50944085097</v>
      </c>
      <c r="AM101" s="43" t="n">
        <f aca="false">-AM96*$F98*(AM$4&gt;In_COD)</f>
        <v>-986.557662556764</v>
      </c>
      <c r="AN101" s="43" t="n">
        <f aca="false">-AN96*$F98*(AN$4&gt;In_COD)</f>
        <v>-961.293987033881</v>
      </c>
      <c r="AO101" s="43" t="n">
        <f aca="false">-AO96*$F98*(AO$4&gt;In_COD)</f>
        <v>-935.714515566962</v>
      </c>
      <c r="AP101" s="43" t="n">
        <f aca="false">-AP96*$F98*(AP$4&gt;In_COD)</f>
        <v>-909.815300706707</v>
      </c>
      <c r="AQ101" s="43" t="n">
        <f aca="false">-AQ96*$F98*(AQ$4&gt;In_COD)</f>
        <v>-883.592345660698</v>
      </c>
      <c r="AR101" s="43" t="n">
        <f aca="false">-AR96*$F98*(AR$4&gt;In_COD)</f>
        <v>-857.041603676614</v>
      </c>
      <c r="AS101" s="43" t="n">
        <f aca="false">-AS96*$F98*(AS$4&gt;In_COD)</f>
        <v>-830.158977417729</v>
      </c>
      <c r="AT101" s="43" t="n">
        <f aca="false">-AT96*$F98*(AT$4&gt;In_COD)</f>
        <v>-802.940318330608</v>
      </c>
      <c r="AU101" s="43" t="n">
        <f aca="false">-AU96*$F98*(AU$4&gt;In_COD)</f>
        <v>-775.381426004899</v>
      </c>
      <c r="AV101" s="43" t="n">
        <f aca="false">-AV96*$F98*(AV$4&gt;In_COD)</f>
        <v>-747.478047525117</v>
      </c>
      <c r="AW101" s="43" t="n">
        <f aca="false">-AW96*$F98*(AW$4&gt;In_COD)</f>
        <v>-719.225876814339</v>
      </c>
      <c r="AX101" s="43" t="n">
        <f aca="false">-AX96*$F98*(AX$4&gt;In_COD)</f>
        <v>-690.620553969676</v>
      </c>
      <c r="AY101" s="43" t="n">
        <f aca="false">-AY96*$F98*(AY$4&gt;In_COD)</f>
        <v>-661.657664589454</v>
      </c>
      <c r="AZ101" s="43" t="n">
        <f aca="false">-AZ96*$F98*(AZ$4&gt;In_COD)</f>
        <v>-632.33273909198</v>
      </c>
      <c r="BA101" s="43" t="n">
        <f aca="false">-BA96*$F98*(BA$4&gt;In_COD)</f>
        <v>-602.641252025787</v>
      </c>
      <c r="BB101" s="43" t="n">
        <f aca="false">-BB96*$F98*(BB$4&gt;In_COD)</f>
        <v>-572.578621371267</v>
      </c>
      <c r="BC101" s="43" t="n">
        <f aca="false">-BC96*$F98*(BC$4&gt;In_COD)</f>
        <v>-542.140207833565</v>
      </c>
      <c r="BD101" s="43" t="n">
        <f aca="false">-BD96*$F98*(BD$4&gt;In_COD)</f>
        <v>-511.321314126642</v>
      </c>
      <c r="BE101" s="43" t="n">
        <f aca="false">-BE96*$F98*(BE$4&gt;In_COD)</f>
        <v>-480.117184248382</v>
      </c>
      <c r="BF101" s="43" t="n">
        <f aca="false">-BF96*$F98*(BF$4&gt;In_COD)</f>
        <v>-448.523002746645</v>
      </c>
      <c r="BG101" s="43" t="n">
        <f aca="false">-BG96*$F98*(BG$4&gt;In_COD)</f>
        <v>-416.533893976135</v>
      </c>
      <c r="BH101" s="43" t="n">
        <f aca="false">-BH96*$F98*(BH$4&gt;In_COD)</f>
        <v>-384.144921345995</v>
      </c>
      <c r="BI101" s="43" t="n">
        <f aca="false">-BI96*$F98*(BI$4&gt;In_COD)</f>
        <v>-351.351086557977</v>
      </c>
      <c r="BJ101" s="43" t="n">
        <f aca="false">-BJ96*$F98*(BJ$4&gt;In_COD)</f>
        <v>-318.147328835109</v>
      </c>
      <c r="BK101" s="43" t="n">
        <f aca="false">-BK96*$F98*(BK$4&gt;In_COD)</f>
        <v>-284.528524140706</v>
      </c>
      <c r="BL101" s="43" t="n">
        <f aca="false">-BL96*$F98*(BL$4&gt;In_COD)</f>
        <v>-250.489484387622</v>
      </c>
      <c r="BM101" s="43" t="n">
        <f aca="false">-BM96*$F98*(BM$4&gt;In_COD)</f>
        <v>-216.024956637625</v>
      </c>
      <c r="BN101" s="43" t="n">
        <f aca="false">-BN96*$F98*(BN$4&gt;In_COD)</f>
        <v>-181.129622290752</v>
      </c>
      <c r="BO101" s="43" t="n">
        <f aca="false">-BO96*$F98*(BO$4&gt;In_COD)</f>
        <v>-145.798096264544</v>
      </c>
      <c r="BP101" s="43" t="n">
        <f aca="false">-BP96*$F98*(BP$4&gt;In_COD)</f>
        <v>-110.024926163009</v>
      </c>
      <c r="BQ101" s="43" t="n">
        <f aca="false">-BQ96*$F98*(BQ$4&gt;In_COD)</f>
        <v>-73.8045914352037</v>
      </c>
      <c r="BR101" s="43" t="n">
        <f aca="false">-BR96*$F98*(BR$4&gt;In_COD)</f>
        <v>-37.1315025233012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-1578.0910677863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-1578.0910677863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-913.046779829394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-204.56507305316</v>
      </c>
      <c r="X103" s="43" t="n">
        <f aca="false">-In_Commitment_Fee*($E97-SUM($J97:X97)+X97)*X$6*(X13&gt;0)</f>
        <v>-174.897654775349</v>
      </c>
      <c r="Y103" s="43" t="n">
        <f aca="false">-In_Commitment_Fee*($E97-SUM($J97:Y97)+Y97)*Y$6*(Y13&gt;0)</f>
        <v>-151.894744833457</v>
      </c>
      <c r="Z103" s="43" t="n">
        <f aca="false">-In_Commitment_Fee*($E97-SUM($J97:Z97)+Z97)*Z$6*(Z13&gt;0)</f>
        <v>-128.063340253827</v>
      </c>
      <c r="AA103" s="43" t="n">
        <f aca="false">-In_Commitment_Fee*($E97-SUM($J97:AA97)+AA97)*AA$6*(AA13&gt;0)</f>
        <v>-102.28253652658</v>
      </c>
      <c r="AB103" s="43" t="n">
        <f aca="false">-In_Commitment_Fee*($E97-SUM($J97:AB97)+AB97)*AB$6*(AB13&gt;0)</f>
        <v>-74.8386516515207</v>
      </c>
      <c r="AC103" s="43" t="n">
        <f aca="false">-In_Commitment_Fee*($E97-SUM($J97:AC97)+AC97)*AC$6*(AC13&gt;0)</f>
        <v>-50.723975008253</v>
      </c>
      <c r="AD103" s="43" t="n">
        <f aca="false">-In_Commitment_Fee*($E97-SUM($J97:AD97)+AD97)*AD$6*(AD13&gt;0)</f>
        <v>-25.7808037272475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-152785.525255835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-17550.5739490586</v>
      </c>
      <c r="X104" s="52" t="n">
        <f aca="false">X93+X53+X94+X102+X103</f>
        <v>-15600.0346410767</v>
      </c>
      <c r="Y104" s="52" t="n">
        <f aca="false">Y93+Y53+Y94+Y102+Y103</f>
        <v>-15748.4221420937</v>
      </c>
      <c r="Z104" s="52" t="n">
        <f aca="false">Z93+Z53+Z94+Z102+Z103</f>
        <v>-15895.981148473</v>
      </c>
      <c r="AA104" s="52" t="n">
        <f aca="false">AA93+AA53+AA94+AA102+AA103</f>
        <v>-15870.2003447458</v>
      </c>
      <c r="AB104" s="52" t="n">
        <f aca="false">AB93+AB53+AB94+AB102+AB103</f>
        <v>-15499.9756379529</v>
      </c>
      <c r="AC104" s="52" t="n">
        <f aca="false">AC93+AC53+AC94+AC102+AC103</f>
        <v>-15647.2513722685</v>
      </c>
      <c r="AD104" s="52" t="n">
        <f aca="false">AD93+AD53+AD94+AD102+AD103</f>
        <v>-20793.6986119464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-20794.4767338331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-182.296109589041</v>
      </c>
      <c r="AF117" s="43" t="n">
        <f aca="false">-$E31*AF110/Thousand</f>
        <v>-180.314630136986</v>
      </c>
      <c r="AG117" s="43" t="n">
        <f aca="false">-$E31*AG110/Thousand</f>
        <v>-180.314630136986</v>
      </c>
      <c r="AH117" s="43" t="n">
        <f aca="false">-$E31*AH110/Thousand</f>
        <v>-182.296109589041</v>
      </c>
      <c r="AI117" s="43" t="n">
        <f aca="false">-$E31*AI110/Thousand</f>
        <v>-181.749221260274</v>
      </c>
      <c r="AJ117" s="43" t="n">
        <f aca="false">-$E31*AJ110/Thousand</f>
        <v>-177.798151232877</v>
      </c>
      <c r="AK117" s="43" t="n">
        <f aca="false">-$E31*AK110/Thousand</f>
        <v>-179.773686246575</v>
      </c>
      <c r="AL117" s="43" t="n">
        <f aca="false">-$E31*AL110/Thousand</f>
        <v>-181.749221260274</v>
      </c>
      <c r="AM117" s="43" t="n">
        <f aca="false">-$E31*AM110/Thousand</f>
        <v>-181.203973596493</v>
      </c>
      <c r="AN117" s="43" t="n">
        <f aca="false">-$E31*AN110/Thousand</f>
        <v>-177.264756779178</v>
      </c>
      <c r="AO117" s="43" t="n">
        <f aca="false">-$E31*AO110/Thousand</f>
        <v>-179.234365187836</v>
      </c>
      <c r="AP117" s="43" t="n">
        <f aca="false">-$E31*AP110/Thousand</f>
        <v>-181.203973596493</v>
      </c>
      <c r="AQ117" s="43" t="n">
        <f aca="false">-$E31*AQ110/Thousand</f>
        <v>-180.660361675704</v>
      </c>
      <c r="AR117" s="43" t="n">
        <f aca="false">-$E31*AR110/Thousand</f>
        <v>-176.732962508841</v>
      </c>
      <c r="AS117" s="43" t="n">
        <f aca="false">-$E31*AS110/Thousand</f>
        <v>-178.696662092272</v>
      </c>
      <c r="AT117" s="43" t="n">
        <f aca="false">-$E31*AT110/Thousand</f>
        <v>-180.660361675704</v>
      </c>
      <c r="AU117" s="43" t="n">
        <f aca="false">-$E31*AU110/Thousand</f>
        <v>-180.118380590677</v>
      </c>
      <c r="AV117" s="43" t="n">
        <f aca="false">-$E31*AV110/Thousand</f>
        <v>-178.160572105995</v>
      </c>
      <c r="AW117" s="43" t="n">
        <f aca="false">-$E31*AW110/Thousand</f>
        <v>-178.160572105995</v>
      </c>
      <c r="AX117" s="43" t="n">
        <f aca="false">-$E31*AX110/Thousand</f>
        <v>-180.118380590677</v>
      </c>
      <c r="AY117" s="43" t="n">
        <f aca="false">-$E31*AY110/Thousand</f>
        <v>-179.578025448905</v>
      </c>
      <c r="AZ117" s="43" t="n">
        <f aca="false">-$E31*AZ110/Thousand</f>
        <v>-175.67415533045</v>
      </c>
      <c r="BA117" s="43" t="n">
        <f aca="false">-$E31*BA110/Thousand</f>
        <v>-177.626090389677</v>
      </c>
      <c r="BB117" s="43" t="n">
        <f aca="false">-$E31*BB110/Thousand</f>
        <v>-179.578025448905</v>
      </c>
      <c r="BC117" s="43" t="n">
        <f aca="false">-$E31*BC110/Thousand</f>
        <v>-179.039291372558</v>
      </c>
      <c r="BD117" s="43" t="n">
        <f aca="false">-$E31*BD110/Thousand</f>
        <v>-175.147132864459</v>
      </c>
      <c r="BE117" s="43" t="n">
        <f aca="false">-$E31*BE110/Thousand</f>
        <v>-177.093212118508</v>
      </c>
      <c r="BF117" s="43" t="n">
        <f aca="false">-$E31*BF110/Thousand</f>
        <v>-179.039291372558</v>
      </c>
      <c r="BG117" s="43" t="n">
        <f aca="false">-$E31*BG110/Thousand</f>
        <v>-178.50217349844</v>
      </c>
      <c r="BH117" s="43" t="n">
        <f aca="false">-$E31*BH110/Thousand</f>
        <v>-174.621691465865</v>
      </c>
      <c r="BI117" s="43" t="n">
        <f aca="false">-$E31*BI110/Thousand</f>
        <v>-176.561932482153</v>
      </c>
      <c r="BJ117" s="43" t="n">
        <f aca="false">-$E31*BJ110/Thousand</f>
        <v>-178.50217349844</v>
      </c>
      <c r="BK117" s="43" t="n">
        <f aca="false">-$E31*BK110/Thousand</f>
        <v>-177.966666977945</v>
      </c>
      <c r="BL117" s="43" t="n">
        <f aca="false">-$E31*BL110/Thousand</f>
        <v>-176.032246684706</v>
      </c>
      <c r="BM117" s="43" t="n">
        <f aca="false">-$E31*BM110/Thousand</f>
        <v>-176.032246684706</v>
      </c>
      <c r="BN117" s="43" t="n">
        <f aca="false">-$E31*BN110/Thousand</f>
        <v>-177.966666977945</v>
      </c>
      <c r="BO117" s="43" t="n">
        <f aca="false">-$E31*BO110/Thousand</f>
        <v>-177.432766977011</v>
      </c>
      <c r="BP117" s="43" t="n">
        <f aca="false">-$E31*BP110/Thousand</f>
        <v>-173.575532912293</v>
      </c>
      <c r="BQ117" s="43" t="n">
        <f aca="false">-$E31*BQ110/Thousand</f>
        <v>-175.504149944652</v>
      </c>
      <c r="BR117" s="43" t="n">
        <f aca="false">-$E31*BR110/Thousand</f>
        <v>-177.432766977011</v>
      </c>
      <c r="BS117" s="43" t="n">
        <f aca="false">-$E31*BS110/Thousand</f>
        <v>-176.90046867608</v>
      </c>
      <c r="BT117" s="43" t="n">
        <f aca="false">-$E31*BT110/Thousand</f>
        <v>-173.054806313556</v>
      </c>
      <c r="BU117" s="43" t="n">
        <f aca="false">-$E31*BU110/Thousand</f>
        <v>-174.977637494818</v>
      </c>
      <c r="BV117" s="43" t="n">
        <f aca="false">-$E31*BV110/Thousand</f>
        <v>-176.90046867608</v>
      </c>
      <c r="BW117" s="43" t="n">
        <f aca="false">-$E31*BW110/Thousand</f>
        <v>-176.369767270052</v>
      </c>
      <c r="BX117" s="43" t="n">
        <f aca="false">-$E31*BX110/Thousand</f>
        <v>-172.535641894616</v>
      </c>
      <c r="BY117" s="43" t="n">
        <f aca="false">-$E31*BY110/Thousand</f>
        <v>-174.452704582334</v>
      </c>
      <c r="BZ117" s="43" t="n">
        <f aca="false">-$E31*BZ110/Thousand</f>
        <v>-176.369767270052</v>
      </c>
      <c r="CA117" s="43" t="n">
        <f aca="false">-$E31*CA110/Thousand</f>
        <v>-175.840657968242</v>
      </c>
      <c r="CB117" s="43" t="n">
        <f aca="false">-$E31*CB110/Thousand</f>
        <v>-173.929346468587</v>
      </c>
      <c r="CC117" s="43" t="n">
        <f aca="false">-$E31*CC110/Thousand</f>
        <v>-173.929346468587</v>
      </c>
      <c r="CD117" s="43" t="n">
        <f aca="false">-$E31*CD110/Thousand</f>
        <v>-175.840657968242</v>
      </c>
      <c r="CE117" s="43" t="n">
        <f aca="false">-$E31*CE110/Thousand</f>
        <v>-175.313135994337</v>
      </c>
      <c r="CF117" s="43" t="n">
        <f aca="false">-$E31*CF110/Thousand</f>
        <v>-171.501980864025</v>
      </c>
      <c r="CG117" s="43" t="n">
        <f aca="false">-$E31*CG110/Thousand</f>
        <v>-173.407558429181</v>
      </c>
      <c r="CH117" s="43" t="n">
        <f aca="false">-$E31*CH110/Thousand</f>
        <v>-175.313135994337</v>
      </c>
      <c r="CI117" s="43" t="n">
        <f aca="false">-$E31*CI110/Thousand</f>
        <v>-174.787196586354</v>
      </c>
      <c r="CJ117" s="43" t="n">
        <f aca="false">-$E31*CJ110/Thousand</f>
        <v>-170.987474921433</v>
      </c>
      <c r="CK117" s="43" t="n">
        <f aca="false">-$E31*CK110/Thousand</f>
        <v>-172.887335753893</v>
      </c>
      <c r="CL117" s="43" t="n">
        <f aca="false">-$E31*CL110/Thousand</f>
        <v>-174.787196586354</v>
      </c>
      <c r="CM117" s="43" t="n">
        <f aca="false">-$E31*CM110/Thousand</f>
        <v>-174.262834996595</v>
      </c>
      <c r="CN117" s="43" t="n">
        <f aca="false">-$E31*CN110/Thousand</f>
        <v>-170.474512496669</v>
      </c>
      <c r="CO117" s="43" t="n">
        <f aca="false">-$E31*CO110/Thousand</f>
        <v>-172.368673746632</v>
      </c>
      <c r="CP117" s="43" t="n">
        <f aca="false">-$E31*CP110/Thousand</f>
        <v>-174.262834996595</v>
      </c>
      <c r="CQ117" s="43" t="n">
        <f aca="false">-$E31*CQ110/Thousand</f>
        <v>-173.740046491605</v>
      </c>
      <c r="CR117" s="43" t="n">
        <f aca="false">-$E31*CR110/Thousand</f>
        <v>-171.851567725392</v>
      </c>
      <c r="CS117" s="43" t="n">
        <f aca="false">-$E31*CS110/Thousand</f>
        <v>-171.851567725392</v>
      </c>
      <c r="CT117" s="43" t="n">
        <f aca="false">-$E31*CT110/Thousand</f>
        <v>-173.740046491605</v>
      </c>
      <c r="CU117" s="43" t="n">
        <f aca="false">-$E31*CU110/Thousand</f>
        <v>-173.21882635213</v>
      </c>
      <c r="CV117" s="43" t="n">
        <f aca="false">-$E31*CV110/Thousand</f>
        <v>-169.453199692301</v>
      </c>
      <c r="CW117" s="43" t="n">
        <f aca="false">-$E31*CW110/Thousand</f>
        <v>-171.336013022216</v>
      </c>
      <c r="CX117" s="43" t="n">
        <f aca="false">-$E31*CX110/Thousand</f>
        <v>-173.21882635213</v>
      </c>
      <c r="CY117" s="43" t="n">
        <f aca="false">-$E31*CY110/Thousand</f>
        <v>-172.699169873074</v>
      </c>
      <c r="CZ117" s="43" t="n">
        <f aca="false">-$E31*CZ110/Thousand</f>
        <v>-168.944840093224</v>
      </c>
      <c r="DA117" s="43" t="n">
        <f aca="false">-$E31*DA110/Thousand</f>
        <v>-170.822004983149</v>
      </c>
      <c r="DB117" s="43" t="n">
        <f aca="false">-$E31*DB110/Thousand</f>
        <v>-172.699169873074</v>
      </c>
      <c r="DC117" s="43" t="n">
        <f aca="false">-$E31*DC110/Thousand</f>
        <v>-172.181072363455</v>
      </c>
      <c r="DD117" s="43" t="n">
        <f aca="false">-$E31*DD110/Thousand</f>
        <v>-168.438005572945</v>
      </c>
      <c r="DE117" s="43" t="n">
        <f aca="false">-$E31*DE110/Thousand</f>
        <v>-170.3095389682</v>
      </c>
      <c r="DF117" s="43" t="n">
        <f aca="false">-$E31*DF110/Thousand</f>
        <v>-172.181072363455</v>
      </c>
      <c r="DG117" s="43" t="n">
        <f aca="false">-$E31*DG110/Thousand</f>
        <v>-171.664529146364</v>
      </c>
      <c r="DH117" s="43" t="n">
        <f aca="false">-$E31*DH110/Thousand</f>
        <v>-169.798610351295</v>
      </c>
      <c r="DI117" s="43" t="n">
        <f aca="false">-$E31*DI110/Thousand</f>
        <v>-169.798610351295</v>
      </c>
      <c r="DJ117" s="43" t="n">
        <f aca="false">-$E31*DJ110/Thousand</f>
        <v>-171.664529146364</v>
      </c>
      <c r="DK117" s="43" t="n">
        <f aca="false">-$E31*DK110/Thousand</f>
        <v>-171.149535558925</v>
      </c>
      <c r="DL117" s="43" t="n">
        <f aca="false">-$E31*DL110/Thousand</f>
        <v>-167.428893481557</v>
      </c>
      <c r="DM117" s="43" t="n">
        <f aca="false">-$E31*DM110/Thousand</f>
        <v>-169.289214520241</v>
      </c>
      <c r="DN117" s="43" t="n">
        <f aca="false">-$E31*DN110/Thousand</f>
        <v>-171.149535558925</v>
      </c>
      <c r="DO117" s="43" t="n">
        <f aca="false">-$E31*DO110/Thousand</f>
        <v>-170.636086952248</v>
      </c>
      <c r="DP117" s="43" t="n">
        <f aca="false">-$E31*DP110/Thousand</f>
        <v>-166.926606801112</v>
      </c>
      <c r="DQ117" s="43" t="n">
        <f aca="false">-$E31*DQ110/Thousand</f>
        <v>-168.78134687668</v>
      </c>
      <c r="DR117" s="43" t="n">
        <f aca="false">-$E31*DR110/Thousand</f>
        <v>-170.636086952248</v>
      </c>
      <c r="DS117" s="43" t="n">
        <f aca="false">-$E31*DS110/Thousand</f>
        <v>-170.124178691392</v>
      </c>
      <c r="DT117" s="43" t="n">
        <f aca="false">-$E31*DT110/Thousand</f>
        <v>-166.425826980709</v>
      </c>
      <c r="DU117" s="43" t="n">
        <f aca="false">-$E31*DU110/Thousand</f>
        <v>-168.27500283605</v>
      </c>
      <c r="DV117" s="43" t="n">
        <f aca="false">-$E31*DV110/Thousand</f>
        <v>-170.124178691392</v>
      </c>
      <c r="DW117" s="43" t="n">
        <f aca="false">-$E31*DW110/Thousand</f>
        <v>-169.613806155317</v>
      </c>
      <c r="DX117" s="43" t="n">
        <f aca="false">-$E31*DX110/Thousand</f>
        <v>-167.770177827542</v>
      </c>
      <c r="DY117" s="43" t="n">
        <f aca="false">-$E31*DY110/Thousand</f>
        <v>-167.770177827542</v>
      </c>
      <c r="DZ117" s="43" t="n">
        <f aca="false">-$E31*DZ110/Thousand</f>
        <v>-169.613806155317</v>
      </c>
      <c r="EA117" s="43" t="n">
        <f aca="false">-$E31*EA110/Thousand</f>
        <v>-169.104964736851</v>
      </c>
      <c r="EB117" s="43" t="n">
        <f aca="false">-$E31*EB110/Thousand</f>
        <v>-165.428769851268</v>
      </c>
      <c r="EC117" s="43" t="n">
        <f aca="false">-$E31*EC110/Thousand</f>
        <v>-167.26686729406</v>
      </c>
      <c r="ED117" s="43" t="n">
        <f aca="false">-$E31*ED110/Thousand</f>
        <v>-169.104964736851</v>
      </c>
      <c r="EE117" s="43" t="n">
        <f aca="false">-$E31*EE110/Thousand</f>
        <v>-168.597649842641</v>
      </c>
      <c r="EF117" s="43" t="n">
        <f aca="false">-$E31*EF110/Thousand</f>
        <v>-164.932483541714</v>
      </c>
      <c r="EG117" s="43" t="n">
        <f aca="false">-$E31*EG110/Thousand</f>
        <v>-166.765066692177</v>
      </c>
      <c r="EH117" s="43" t="n">
        <f aca="false">-$E31*EH110/Thousand</f>
        <v>-168.597649842641</v>
      </c>
      <c r="EI117" s="43" t="n">
        <f aca="false">-$E31*EI110/Thousand</f>
        <v>-168.091856893113</v>
      </c>
      <c r="EJ117" s="43" t="n">
        <f aca="false">-$E31*EJ110/Thousand</f>
        <v>-164.437686091089</v>
      </c>
      <c r="EK117" s="43" t="n">
        <f aca="false">-$E31*EK110/Thousand</f>
        <v>-166.264771492101</v>
      </c>
      <c r="EL117" s="43" t="n">
        <f aca="false">-$E31*EL110/Thousand</f>
        <v>-168.091856893113</v>
      </c>
      <c r="EM117" s="43" t="n">
        <f aca="false">-$E31*EM110/Thousand</f>
        <v>-167.587581322434</v>
      </c>
      <c r="EN117" s="43" t="n">
        <f aca="false">-$E31*EN110/Thousand</f>
        <v>-165.765977177625</v>
      </c>
      <c r="EO117" s="43" t="n">
        <f aca="false">-$E31*EO110/Thousand</f>
        <v>-165.765977177625</v>
      </c>
      <c r="EP117" s="43" t="n">
        <f aca="false">-$E31*EP110/Thousand</f>
        <v>-167.587581322434</v>
      </c>
      <c r="EQ117" s="43" t="n">
        <f aca="false">-$E31*EQ110/Thousand</f>
        <v>-167.084818578466</v>
      </c>
      <c r="ER117" s="43" t="n">
        <f aca="false">-$E31*ER110/Thousand</f>
        <v>-163.452539913717</v>
      </c>
      <c r="ES117" s="43" t="n">
        <f aca="false">-$E31*ES110/Thousand</f>
        <v>-165.268679246092</v>
      </c>
      <c r="ET117" s="43" t="n">
        <f aca="false">-$E31*ET110/Thousand</f>
        <v>-167.084818578466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511909.275115853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4151.10652734247</v>
      </c>
      <c r="AF118" s="52" t="n">
        <f aca="false">SUM(AF111:AF117)</f>
        <v>4133.70976185041</v>
      </c>
      <c r="AG118" s="52" t="n">
        <f aca="false">SUM(AG111:AG117)</f>
        <v>4133.70976185041</v>
      </c>
      <c r="AH118" s="52" t="n">
        <f aca="false">SUM(AH111:AH117)</f>
        <v>4179.13514384877</v>
      </c>
      <c r="AI118" s="52" t="n">
        <f aca="false">SUM(AI111:AI117)</f>
        <v>4164.44111033503</v>
      </c>
      <c r="AJ118" s="52" t="n">
        <f aca="false">SUM(AJ111:AJ117)</f>
        <v>4101.09425535863</v>
      </c>
      <c r="AK118" s="52" t="n">
        <f aca="false">SUM(AK111:AK117)</f>
        <v>4146.66196930706</v>
      </c>
      <c r="AL118" s="52" t="n">
        <f aca="false">SUM(AL111:AL117)</f>
        <v>4192.22968325549</v>
      </c>
      <c r="AM118" s="52" t="n">
        <f aca="false">SUM(AM111:AM117)</f>
        <v>4177.44245042148</v>
      </c>
      <c r="AN118" s="52" t="n">
        <f aca="false">SUM(AN111:AN117)</f>
        <v>4113.56620598525</v>
      </c>
      <c r="AO118" s="52" t="n">
        <f aca="false">SUM(AO111:AO117)</f>
        <v>4159.27249716287</v>
      </c>
      <c r="AP118" s="52" t="n">
        <f aca="false">SUM(AP111:AP117)</f>
        <v>4204.97878834048</v>
      </c>
      <c r="AQ118" s="52" t="n">
        <f aca="false">SUM(AQ111:AQ117)</f>
        <v>4190.09804459661</v>
      </c>
      <c r="AR118" s="52" t="n">
        <f aca="false">SUM(AR111:AR117)</f>
        <v>4125.68766802944</v>
      </c>
      <c r="AS118" s="52" t="n">
        <f aca="false">SUM(AS111:AS117)</f>
        <v>4171.52864211866</v>
      </c>
      <c r="AT118" s="52" t="n">
        <f aca="false">SUM(AT111:AT117)</f>
        <v>4217.36961620788</v>
      </c>
      <c r="AU118" s="52" t="n">
        <f aca="false">SUM(AU111:AU117)</f>
        <v>4202.39505479593</v>
      </c>
      <c r="AV118" s="52" t="n">
        <f aca="false">SUM(AV111:AV117)</f>
        <v>4183.41736098541</v>
      </c>
      <c r="AW118" s="52" t="n">
        <f aca="false">SUM(AW111:AW117)</f>
        <v>4183.41736098541</v>
      </c>
      <c r="AX118" s="52" t="n">
        <f aca="false">SUM(AX111:AX117)</f>
        <v>4229.38898033689</v>
      </c>
      <c r="AY118" s="52" t="n">
        <f aca="false">SUM(AY111:AY117)</f>
        <v>4214.32029951848</v>
      </c>
      <c r="AZ118" s="52" t="n">
        <f aca="false">SUM(AZ111:AZ117)</f>
        <v>4148.8271823853</v>
      </c>
      <c r="BA118" s="52" t="n">
        <f aca="false">SUM(BA111:BA117)</f>
        <v>4194.92526218958</v>
      </c>
      <c r="BB118" s="52" t="n">
        <f aca="false">SUM(BB111:BB117)</f>
        <v>4241.02334199387</v>
      </c>
      <c r="BC118" s="52" t="n">
        <f aca="false">SUM(BC111:BC117)</f>
        <v>4225.86024524354</v>
      </c>
      <c r="BD118" s="52" t="n">
        <f aca="false">SUM(BD111:BD117)</f>
        <v>4159.81839270627</v>
      </c>
      <c r="BE118" s="52" t="n">
        <f aca="false">SUM(BE111:BE117)</f>
        <v>4206.03859706967</v>
      </c>
      <c r="BF118" s="52" t="n">
        <f aca="false">SUM(BF111:BF117)</f>
        <v>4252.25880143308</v>
      </c>
      <c r="BG118" s="52" t="n">
        <f aca="false">SUM(BG111:BG117)</f>
        <v>4237.00099763633</v>
      </c>
      <c r="BH118" s="52" t="n">
        <f aca="false">SUM(BH111:BH117)</f>
        <v>4170.40541303597</v>
      </c>
      <c r="BI118" s="52" t="n">
        <f aca="false">SUM(BI111:BI117)</f>
        <v>4216.74325095859</v>
      </c>
      <c r="BJ118" s="52" t="n">
        <f aca="false">SUM(BJ111:BJ117)</f>
        <v>4263.08108888121</v>
      </c>
      <c r="BK118" s="52" t="n">
        <f aca="false">SUM(BK111:BK117)</f>
        <v>4247.72829253731</v>
      </c>
      <c r="BL118" s="52" t="n">
        <f aca="false">SUM(BL111:BL117)</f>
        <v>4227.02473404685</v>
      </c>
      <c r="BM118" s="52" t="n">
        <f aca="false">SUM(BM111:BM117)</f>
        <v>4227.02473404685</v>
      </c>
      <c r="BN118" s="52" t="n">
        <f aca="false">SUM(BN111:BN117)</f>
        <v>4273.47555530011</v>
      </c>
      <c r="BO118" s="52" t="n">
        <f aca="false">SUM(BO111:BO117)</f>
        <v>4258.02748673002</v>
      </c>
      <c r="BP118" s="52" t="n">
        <f aca="false">SUM(BP111:BP117)</f>
        <v>4190.30918111972</v>
      </c>
      <c r="BQ118" s="52" t="n">
        <f aca="false">SUM(BQ111:BQ117)</f>
        <v>4236.86817202105</v>
      </c>
      <c r="BR118" s="52" t="n">
        <f aca="false">SUM(BR111:BR117)</f>
        <v>4283.42716292238</v>
      </c>
      <c r="BS118" s="52" t="n">
        <f aca="false">SUM(BS111:BS117)</f>
        <v>4267.88354848182</v>
      </c>
      <c r="BT118" s="52" t="n">
        <f aca="false">SUM(BT111:BT117)</f>
        <v>4199.59611739008</v>
      </c>
      <c r="BU118" s="52" t="n">
        <f aca="false">SUM(BU111:BU117)</f>
        <v>4246.25829647219</v>
      </c>
      <c r="BV118" s="52" t="n">
        <f aca="false">SUM(BV111:BV117)</f>
        <v>4292.9204755543</v>
      </c>
      <c r="BW118" s="52" t="n">
        <f aca="false">SUM(BW111:BW117)</f>
        <v>4277.28104785204</v>
      </c>
      <c r="BX118" s="52" t="n">
        <f aca="false">SUM(BX111:BX117)</f>
        <v>4208.41922149599</v>
      </c>
      <c r="BY118" s="52" t="n">
        <f aca="false">SUM(BY111:BY117)</f>
        <v>4255.17943506817</v>
      </c>
      <c r="BZ118" s="52" t="n">
        <f aca="false">SUM(BZ111:BZ117)</f>
        <v>4301.93964864034</v>
      </c>
      <c r="CA118" s="52" t="n">
        <f aca="false">SUM(CA111:CA117)</f>
        <v>4286.20414676194</v>
      </c>
      <c r="CB118" s="52" t="n">
        <f aca="false">SUM(CB111:CB117)</f>
        <v>4263.61550148466</v>
      </c>
      <c r="CC118" s="52" t="n">
        <f aca="false">SUM(CC111:CC117)</f>
        <v>4263.61550148466</v>
      </c>
      <c r="CD118" s="52" t="n">
        <f aca="false">SUM(CD111:CD117)</f>
        <v>4310.4684190834</v>
      </c>
      <c r="CE118" s="52" t="n">
        <f aca="false">SUM(CE111:CE117)</f>
        <v>4294.63658882035</v>
      </c>
      <c r="CF118" s="52" t="n">
        <f aca="false">SUM(CF111:CF117)</f>
        <v>4224.60987536228</v>
      </c>
      <c r="CG118" s="52" t="n">
        <f aca="false">SUM(CG111:CG117)</f>
        <v>4271.54998508853</v>
      </c>
      <c r="CH118" s="52" t="n">
        <f aca="false">SUM(CH111:CH117)</f>
        <v>4318.49009481478</v>
      </c>
      <c r="CI118" s="52" t="n">
        <f aca="false">SUM(CI111:CI117)</f>
        <v>4302.56168889939</v>
      </c>
      <c r="CJ118" s="52" t="n">
        <f aca="false">SUM(CJ111:CJ117)</f>
        <v>4231.94433662722</v>
      </c>
      <c r="CK118" s="52" t="n">
        <f aca="false">SUM(CK111:CK117)</f>
        <v>4278.96594036753</v>
      </c>
      <c r="CL118" s="52" t="n">
        <f aca="false">SUM(CL111:CL117)</f>
        <v>4325.98754410783</v>
      </c>
      <c r="CM118" s="52" t="n">
        <f aca="false">SUM(CM111:CM117)</f>
        <v>4309.96232245379</v>
      </c>
      <c r="CN118" s="52" t="n">
        <f aca="false">SUM(CN111:CN117)</f>
        <v>4238.7487675717</v>
      </c>
      <c r="CO118" s="52" t="n">
        <f aca="false">SUM(CO111:CO117)</f>
        <v>4285.84597610028</v>
      </c>
      <c r="CP118" s="52" t="n">
        <f aca="false">SUM(CP111:CP117)</f>
        <v>4332.94318462885</v>
      </c>
      <c r="CQ118" s="52" t="n">
        <f aca="false">SUM(CQ111:CQ117)</f>
        <v>4316.82091457771</v>
      </c>
      <c r="CR118" s="52" t="n">
        <f aca="false">SUM(CR111:CR117)</f>
        <v>4292.17224426001</v>
      </c>
      <c r="CS118" s="52" t="n">
        <f aca="false">SUM(CS111:CS117)</f>
        <v>4292.17224426001</v>
      </c>
      <c r="CT118" s="52" t="n">
        <f aca="false">SUM(CT111:CT117)</f>
        <v>4339.33897221891</v>
      </c>
      <c r="CU118" s="52" t="n">
        <f aca="false">SUM(CU111:CU117)</f>
        <v>4323.11942879257</v>
      </c>
      <c r="CV118" s="52" t="n">
        <f aca="false">SUM(CV111:CV117)</f>
        <v>4250.69646789126</v>
      </c>
      <c r="CW118" s="52" t="n">
        <f aca="false">SUM(CW111:CW117)</f>
        <v>4297.9264286456</v>
      </c>
      <c r="CX118" s="52" t="n">
        <f aca="false">SUM(CX111:CX117)</f>
        <v>4345.15638939995</v>
      </c>
      <c r="CY118" s="52" t="n">
        <f aca="false">SUM(CY111:CY117)</f>
        <v>4328.83935555932</v>
      </c>
      <c r="CZ118" s="52" t="n">
        <f aca="false">SUM(CZ111:CZ117)</f>
        <v>4255.80303286797</v>
      </c>
      <c r="DA118" s="52" t="n">
        <f aca="false">SUM(DA111:DA117)</f>
        <v>4303.08973323317</v>
      </c>
      <c r="DB118" s="52" t="n">
        <f aca="false">SUM(DB111:DB117)</f>
        <v>4350.37643359837</v>
      </c>
      <c r="DC118" s="52" t="n">
        <f aca="false">SUM(DC111:DC117)</f>
        <v>4333.96170050834</v>
      </c>
      <c r="DD118" s="52" t="n">
        <f aca="false">SUM(DD111:DD117)</f>
        <v>4260.30613540361</v>
      </c>
      <c r="DE118" s="52" t="n">
        <f aca="false">SUM(DE111:DE117)</f>
        <v>4307.64287024143</v>
      </c>
      <c r="DF118" s="52" t="n">
        <f aca="false">SUM(DF111:DF117)</f>
        <v>4354.97960507925</v>
      </c>
      <c r="DG118" s="52" t="n">
        <f aca="false">SUM(DG111:DG117)</f>
        <v>4338.46697238004</v>
      </c>
      <c r="DH118" s="52" t="n">
        <f aca="false">SUM(DH111:DH117)</f>
        <v>4311.56604790374</v>
      </c>
      <c r="DI118" s="52" t="n">
        <f aca="false">SUM(DI111:DI117)</f>
        <v>4311.56604790374</v>
      </c>
      <c r="DJ118" s="52" t="n">
        <f aca="false">SUM(DJ111:DJ117)</f>
        <v>4358.945894584</v>
      </c>
      <c r="DK118" s="52" t="n">
        <f aca="false">SUM(DK111:DK117)</f>
        <v>4342.33517066918</v>
      </c>
      <c r="DL118" s="52" t="n">
        <f aca="false">SUM(DL111:DL117)</f>
        <v>4267.42314521508</v>
      </c>
      <c r="DM118" s="52" t="n">
        <f aca="false">SUM(DM111:DM117)</f>
        <v>4314.83895793969</v>
      </c>
      <c r="DN118" s="52" t="n">
        <f aca="false">SUM(DN111:DN117)</f>
        <v>4362.2547706643</v>
      </c>
      <c r="DO118" s="52" t="n">
        <f aca="false">SUM(DO111:DO117)</f>
        <v>4345.54577296546</v>
      </c>
      <c r="DP118" s="52" t="n">
        <f aca="false">SUM(DP111:DP117)</f>
        <v>4269.99635873289</v>
      </c>
      <c r="DQ118" s="52" t="n">
        <f aca="false">SUM(DQ111:DQ117)</f>
        <v>4317.44076271881</v>
      </c>
      <c r="DR118" s="52" t="n">
        <f aca="false">SUM(DR111:DR117)</f>
        <v>4364.88516670473</v>
      </c>
      <c r="DS118" s="52" t="n">
        <f aca="false">SUM(DS111:DS117)</f>
        <v>4348.0777219831</v>
      </c>
      <c r="DT118" s="52" t="n">
        <f aca="false">SUM(DT111:DT117)</f>
        <v>4271.8846965912</v>
      </c>
      <c r="DU118" s="52" t="n">
        <f aca="false">SUM(DU111:DU117)</f>
        <v>4319.35008210888</v>
      </c>
      <c r="DV118" s="52" t="n">
        <f aca="false">SUM(DV111:DV117)</f>
        <v>4366.81546762656</v>
      </c>
      <c r="DW118" s="52" t="n">
        <f aca="false">SUM(DW111:DW117)</f>
        <v>4349.90941227163</v>
      </c>
      <c r="DX118" s="52" t="n">
        <f aca="false">SUM(DX111:DX117)</f>
        <v>4320.54498000109</v>
      </c>
      <c r="DY118" s="52" t="n">
        <f aca="false">SUM(DY111:DY117)</f>
        <v>4320.54498000109</v>
      </c>
      <c r="DZ118" s="52" t="n">
        <f aca="false">SUM(DZ111:DZ117)</f>
        <v>4368.02349626484</v>
      </c>
      <c r="EA118" s="52" t="n">
        <f aca="false">SUM(EA111:EA117)</f>
        <v>4351.01867660019</v>
      </c>
      <c r="EB118" s="52" t="n">
        <f aca="false">SUM(EB111:EB117)</f>
        <v>4273.5194015975</v>
      </c>
      <c r="EC118" s="52" t="n">
        <f aca="false">SUM(EC111:EC117)</f>
        <v>4321.00295050414</v>
      </c>
      <c r="ED118" s="52" t="n">
        <f aca="false">SUM(ED111:ED117)</f>
        <v>4368.48649941078</v>
      </c>
      <c r="EE118" s="52" t="n">
        <f aca="false">SUM(EE111:EE117)</f>
        <v>4351.38277200729</v>
      </c>
      <c r="EF118" s="52" t="n">
        <f aca="false">SUM(EF111:EF117)</f>
        <v>4273.22067408704</v>
      </c>
      <c r="EG118" s="52" t="n">
        <f aca="false">SUM(EG111:EG117)</f>
        <v>4320.70090379912</v>
      </c>
      <c r="EH118" s="52" t="n">
        <f aca="false">SUM(EH111:EH117)</f>
        <v>4368.1811335112</v>
      </c>
      <c r="EI118" s="52" t="n">
        <f aca="false">SUM(EI111:EI117)</f>
        <v>4350.97836550777</v>
      </c>
      <c r="EJ118" s="52" t="n">
        <f aca="false">SUM(EJ111:EJ117)</f>
        <v>4272.14685327713</v>
      </c>
      <c r="EK118" s="52" t="n">
        <f aca="false">SUM(EK111:EK117)</f>
        <v>4319.61515164688</v>
      </c>
      <c r="EL118" s="52" t="n">
        <f aca="false">SUM(EL111:EL117)</f>
        <v>4367.08345001662</v>
      </c>
      <c r="EM118" s="52" t="n">
        <f aca="false">SUM(EM111:EM117)</f>
        <v>4349.78151944861</v>
      </c>
      <c r="EN118" s="52" t="n">
        <f aca="false">SUM(EN111:EN117)</f>
        <v>4317.72139253939</v>
      </c>
      <c r="EO118" s="52" t="n">
        <f aca="false">SUM(EO111:EO117)</f>
        <v>4317.72139253939</v>
      </c>
      <c r="EP118" s="52" t="n">
        <f aca="false">SUM(EP111:EP117)</f>
        <v>4365.16888036949</v>
      </c>
      <c r="EQ118" s="52" t="n">
        <f aca="false">SUM(EQ111:EQ117)</f>
        <v>4347.76767650498</v>
      </c>
      <c r="ER118" s="52" t="n">
        <f aca="false">SUM(ER111:ER117)</f>
        <v>4267.57717234905</v>
      </c>
      <c r="ES118" s="52" t="n">
        <f aca="false">SUM(ES111:ES117)</f>
        <v>4314.99469648626</v>
      </c>
      <c r="ET118" s="52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155571.135598186</v>
      </c>
      <c r="I121" s="43" t="n">
        <f aca="false">SUM(J121:ET121)</f>
        <v>-155571.135598186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-1959.28055784163</v>
      </c>
      <c r="AF121" s="43" t="n">
        <f aca="false">-$E121*AF18</f>
        <v>-1937.984030039</v>
      </c>
      <c r="AG121" s="43" t="n">
        <f aca="false">-$E121*AG18</f>
        <v>-1937.984030039</v>
      </c>
      <c r="AH121" s="43" t="n">
        <f aca="false">-$E121*AH18</f>
        <v>-1959.28055784163</v>
      </c>
      <c r="AI121" s="43" t="n">
        <f aca="false">-$E121*AI18</f>
        <v>-1959.28055784163</v>
      </c>
      <c r="AJ121" s="43" t="n">
        <f aca="false">-$E121*AJ18</f>
        <v>-1916.68750223638</v>
      </c>
      <c r="AK121" s="43" t="n">
        <f aca="false">-$E121*AK18</f>
        <v>-1937.984030039</v>
      </c>
      <c r="AL121" s="43" t="n">
        <f aca="false">-$E121*AL18</f>
        <v>-1959.28055784163</v>
      </c>
      <c r="AM121" s="43" t="n">
        <f aca="false">-$E121*AM18</f>
        <v>-1959.28055784163</v>
      </c>
      <c r="AN121" s="43" t="n">
        <f aca="false">-$E121*AN18</f>
        <v>-1916.68750223638</v>
      </c>
      <c r="AO121" s="43" t="n">
        <f aca="false">-$E121*AO18</f>
        <v>-1937.984030039</v>
      </c>
      <c r="AP121" s="43" t="n">
        <f aca="false">-$E121*AP18</f>
        <v>-1959.28055784163</v>
      </c>
      <c r="AQ121" s="43" t="n">
        <f aca="false">-$E121*AQ18</f>
        <v>-1959.28055784163</v>
      </c>
      <c r="AR121" s="43" t="n">
        <f aca="false">-$E121*AR18</f>
        <v>-1916.68750223638</v>
      </c>
      <c r="AS121" s="43" t="n">
        <f aca="false">-$E121*AS18</f>
        <v>-1937.984030039</v>
      </c>
      <c r="AT121" s="43" t="n">
        <f aca="false">-$E121*AT18</f>
        <v>-1959.28055784163</v>
      </c>
      <c r="AU121" s="43" t="n">
        <f aca="false">-$E121*AU18</f>
        <v>-1959.28055784163</v>
      </c>
      <c r="AV121" s="43" t="n">
        <f aca="false">-$E121*AV18</f>
        <v>-1937.984030039</v>
      </c>
      <c r="AW121" s="43" t="n">
        <f aca="false">-$E121*AW18</f>
        <v>-1937.984030039</v>
      </c>
      <c r="AX121" s="43" t="n">
        <f aca="false">-$E121*AX18</f>
        <v>-1959.28055784163</v>
      </c>
      <c r="AY121" s="43" t="n">
        <f aca="false">-$E121*AY18</f>
        <v>-1959.28055784163</v>
      </c>
      <c r="AZ121" s="43" t="n">
        <f aca="false">-$E121*AZ18</f>
        <v>-1916.68750223638</v>
      </c>
      <c r="BA121" s="43" t="n">
        <f aca="false">-$E121*BA18</f>
        <v>-1937.984030039</v>
      </c>
      <c r="BB121" s="43" t="n">
        <f aca="false">-$E121*BB18</f>
        <v>-1959.28055784163</v>
      </c>
      <c r="BC121" s="43" t="n">
        <f aca="false">-$E121*BC18</f>
        <v>-1959.28055784163</v>
      </c>
      <c r="BD121" s="43" t="n">
        <f aca="false">-$E121*BD18</f>
        <v>-1916.68750223638</v>
      </c>
      <c r="BE121" s="43" t="n">
        <f aca="false">-$E121*BE18</f>
        <v>-1937.984030039</v>
      </c>
      <c r="BF121" s="43" t="n">
        <f aca="false">-$E121*BF18</f>
        <v>-1959.28055784163</v>
      </c>
      <c r="BG121" s="43" t="n">
        <f aca="false">-$E121*BG18</f>
        <v>-1959.28055784163</v>
      </c>
      <c r="BH121" s="43" t="n">
        <f aca="false">-$E121*BH18</f>
        <v>-1916.68750223638</v>
      </c>
      <c r="BI121" s="43" t="n">
        <f aca="false">-$E121*BI18</f>
        <v>-1937.984030039</v>
      </c>
      <c r="BJ121" s="43" t="n">
        <f aca="false">-$E121*BJ18</f>
        <v>-1959.28055784163</v>
      </c>
      <c r="BK121" s="43" t="n">
        <f aca="false">-$E121*BK18</f>
        <v>-1959.28055784163</v>
      </c>
      <c r="BL121" s="43" t="n">
        <f aca="false">-$E121*BL18</f>
        <v>-1937.984030039</v>
      </c>
      <c r="BM121" s="43" t="n">
        <f aca="false">-$E121*BM18</f>
        <v>-1937.984030039</v>
      </c>
      <c r="BN121" s="43" t="n">
        <f aca="false">-$E121*BN18</f>
        <v>-1959.28055784163</v>
      </c>
      <c r="BO121" s="43" t="n">
        <f aca="false">-$E121*BO18</f>
        <v>-1959.28055784163</v>
      </c>
      <c r="BP121" s="43" t="n">
        <f aca="false">-$E121*BP18</f>
        <v>-1916.68750223638</v>
      </c>
      <c r="BQ121" s="43" t="n">
        <f aca="false">-$E121*BQ18</f>
        <v>-1937.984030039</v>
      </c>
      <c r="BR121" s="43" t="n">
        <f aca="false">-$E121*BR18</f>
        <v>-1959.28055784163</v>
      </c>
      <c r="BS121" s="43" t="n">
        <f aca="false">-$E121*BS18</f>
        <v>-1959.28055784163</v>
      </c>
      <c r="BT121" s="43" t="n">
        <f aca="false">-$E121*BT18</f>
        <v>-1916.68750223638</v>
      </c>
      <c r="BU121" s="43" t="n">
        <f aca="false">-$E121*BU18</f>
        <v>-1937.984030039</v>
      </c>
      <c r="BV121" s="43" t="n">
        <f aca="false">-$E121*BV18</f>
        <v>-1959.28055784163</v>
      </c>
      <c r="BW121" s="43" t="n">
        <f aca="false">-$E121*BW18</f>
        <v>-1959.28055784163</v>
      </c>
      <c r="BX121" s="43" t="n">
        <f aca="false">-$E121*BX18</f>
        <v>-1916.68750223638</v>
      </c>
      <c r="BY121" s="43" t="n">
        <f aca="false">-$E121*BY18</f>
        <v>-1937.984030039</v>
      </c>
      <c r="BZ121" s="43" t="n">
        <f aca="false">-$E121*BZ18</f>
        <v>-1959.28055784163</v>
      </c>
      <c r="CA121" s="43" t="n">
        <f aca="false">-$E121*CA18</f>
        <v>-1959.28055784163</v>
      </c>
      <c r="CB121" s="43" t="n">
        <f aca="false">-$E121*CB18</f>
        <v>-1937.984030039</v>
      </c>
      <c r="CC121" s="43" t="n">
        <f aca="false">-$E121*CC18</f>
        <v>-1937.984030039</v>
      </c>
      <c r="CD121" s="43" t="n">
        <f aca="false">-$E121*CD18</f>
        <v>-1959.28055784163</v>
      </c>
      <c r="CE121" s="43" t="n">
        <f aca="false">-$E121*CE18</f>
        <v>-1959.28055784163</v>
      </c>
      <c r="CF121" s="43" t="n">
        <f aca="false">-$E121*CF18</f>
        <v>-1916.68750223638</v>
      </c>
      <c r="CG121" s="43" t="n">
        <f aca="false">-$E121*CG18</f>
        <v>-1937.984030039</v>
      </c>
      <c r="CH121" s="43" t="n">
        <f aca="false">-$E121*CH18</f>
        <v>-1959.28055784163</v>
      </c>
      <c r="CI121" s="43" t="n">
        <f aca="false">-$E121*CI18</f>
        <v>-1959.28055784163</v>
      </c>
      <c r="CJ121" s="43" t="n">
        <f aca="false">-$E121*CJ18</f>
        <v>-1916.68750223638</v>
      </c>
      <c r="CK121" s="43" t="n">
        <f aca="false">-$E121*CK18</f>
        <v>-1937.984030039</v>
      </c>
      <c r="CL121" s="43" t="n">
        <f aca="false">-$E121*CL18</f>
        <v>-1959.28055784163</v>
      </c>
      <c r="CM121" s="43" t="n">
        <f aca="false">-$E121*CM18</f>
        <v>-1959.28055784163</v>
      </c>
      <c r="CN121" s="43" t="n">
        <f aca="false">-$E121*CN18</f>
        <v>-1916.68750223638</v>
      </c>
      <c r="CO121" s="43" t="n">
        <f aca="false">-$E121*CO18</f>
        <v>-1937.984030039</v>
      </c>
      <c r="CP121" s="43" t="n">
        <f aca="false">-$E121*CP18</f>
        <v>-1959.28055784163</v>
      </c>
      <c r="CQ121" s="43" t="n">
        <f aca="false">-$E121*CQ18</f>
        <v>-1959.28055784163</v>
      </c>
      <c r="CR121" s="43" t="n">
        <f aca="false">-$E121*CR18</f>
        <v>-1937.984030039</v>
      </c>
      <c r="CS121" s="43" t="n">
        <f aca="false">-$E121*CS18</f>
        <v>-1937.984030039</v>
      </c>
      <c r="CT121" s="43" t="n">
        <f aca="false">-$E121*CT18</f>
        <v>-1959.28055784163</v>
      </c>
      <c r="CU121" s="43" t="n">
        <f aca="false">-$E121*CU18</f>
        <v>-1959.28055784163</v>
      </c>
      <c r="CV121" s="43" t="n">
        <f aca="false">-$E121*CV18</f>
        <v>-1916.68750223638</v>
      </c>
      <c r="CW121" s="43" t="n">
        <f aca="false">-$E121*CW18</f>
        <v>-1937.984030039</v>
      </c>
      <c r="CX121" s="43" t="n">
        <f aca="false">-$E121*CX18</f>
        <v>-1959.28055784163</v>
      </c>
      <c r="CY121" s="43" t="n">
        <f aca="false">-$E121*CY18</f>
        <v>-1959.28055784163</v>
      </c>
      <c r="CZ121" s="43" t="n">
        <f aca="false">-$E121*CZ18</f>
        <v>-1916.68750223638</v>
      </c>
      <c r="DA121" s="43" t="n">
        <f aca="false">-$E121*DA18</f>
        <v>-1937.984030039</v>
      </c>
      <c r="DB121" s="43" t="n">
        <f aca="false">-$E121*DB18</f>
        <v>-1959.28055784163</v>
      </c>
      <c r="DC121" s="43" t="n">
        <f aca="false">-$E121*DC18</f>
        <v>-1959.28055784163</v>
      </c>
      <c r="DD121" s="43" t="n">
        <f aca="false">-$E121*DD18</f>
        <v>-1916.68750223638</v>
      </c>
      <c r="DE121" s="43" t="n">
        <f aca="false">-$E121*DE18</f>
        <v>-1937.984030039</v>
      </c>
      <c r="DF121" s="43" t="n">
        <f aca="false">-$E121*DF18</f>
        <v>-1959.28055784163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324641.812905154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-1858.22759618649</v>
      </c>
      <c r="X122" s="43" t="n">
        <f aca="false">X118+X121+X101+X102+X103+X57</f>
        <v>-250.674467337995</v>
      </c>
      <c r="Y122" s="43" t="n">
        <f aca="false">Y118+Y121+Y101+Y102+Y103+Y57</f>
        <v>-228.513521980133</v>
      </c>
      <c r="Z122" s="43" t="n">
        <f aca="false">Z118+Z121+Z101+Z102+Z103+Z57</f>
        <v>-205.524081984532</v>
      </c>
      <c r="AA122" s="43" t="n">
        <f aca="false">AA118+AA121+AA101+AA102+AA103+AA57</f>
        <v>-179.743278257285</v>
      </c>
      <c r="AB122" s="43" t="n">
        <f aca="false">AB118+AB121+AB101+AB102+AB103+AB57</f>
        <v>-152.509884528233</v>
      </c>
      <c r="AC122" s="43" t="n">
        <f aca="false">AC118+AC121+AC101+AC102+AC103+AC57</f>
        <v>-129.258221583595</v>
      </c>
      <c r="AD122" s="43" t="n">
        <f aca="false">AD118+AD121+AD101+AD102+AD103+AD57</f>
        <v>-105.17806400122</v>
      </c>
      <c r="AE122" s="43" t="n">
        <f aca="false">AE118+AE121+AE101+AE102+AE103+AE57</f>
        <v>1014.06967046872</v>
      </c>
      <c r="AF122" s="43" t="n">
        <f aca="false">AF118+AF121+AF101+AF102+AF103+AF57</f>
        <v>1040.84312534623</v>
      </c>
      <c r="AG122" s="43" t="n">
        <f aca="false">AG118+AG121+AG101+AG102+AG103+AG57</f>
        <v>1064.00273907026</v>
      </c>
      <c r="AH122" s="43" t="n">
        <f aca="false">AH118+AH121+AH101+AH102+AH103+AH57</f>
        <v>1111.58070216157</v>
      </c>
      <c r="AI122" s="43" t="n">
        <f aca="false">AI118+AI121+AI101+AI102+AI103+AI57</f>
        <v>1120.6288914046</v>
      </c>
      <c r="AJ122" s="43" t="n">
        <f aca="false">AJ118+AJ121+AJ101+AJ102+AJ103+AJ57</f>
        <v>1123.91409257469</v>
      </c>
      <c r="AK122" s="43" t="n">
        <f aca="false">AK118+AK121+AK101+AK102+AK103+AK57</f>
        <v>1172.52476676849</v>
      </c>
      <c r="AL122" s="43" t="n">
        <f aca="false">AL118+AL121+AL101+AL102+AL103+AL57</f>
        <v>1221.43968456289</v>
      </c>
      <c r="AM122" s="43" t="n">
        <f aca="false">AM118+AM121+AM101+AM102+AM103+AM57</f>
        <v>1231.60423002308</v>
      </c>
      <c r="AN122" s="43" t="n">
        <f aca="false">AN118+AN121+AN101+AN102+AN103+AN57</f>
        <v>1235.58471671499</v>
      </c>
      <c r="AO122" s="43" t="n">
        <f aca="false">AO118+AO121+AO101+AO102+AO103+AO57</f>
        <v>1285.5739515569</v>
      </c>
      <c r="AP122" s="43" t="n">
        <f aca="false">AP118+AP121+AP101+AP102+AP103+AP57</f>
        <v>1335.88292979214</v>
      </c>
      <c r="AQ122" s="43" t="n">
        <f aca="false">AQ118+AQ121+AQ101+AQ102+AQ103+AQ57</f>
        <v>1347.22514109428</v>
      </c>
      <c r="AR122" s="43" t="n">
        <f aca="false">AR118+AR121+AR101+AR102+AR103+AR57</f>
        <v>1351.95856211645</v>
      </c>
      <c r="AS122" s="43" t="n">
        <f aca="false">AS118+AS121+AS101+AS102+AS103+AS57</f>
        <v>1403.38563466193</v>
      </c>
      <c r="AT122" s="43" t="n">
        <f aca="false">AT118+AT121+AT101+AT102+AT103+AT57</f>
        <v>1455.14874003564</v>
      </c>
      <c r="AU122" s="43" t="n">
        <f aca="false">AU118+AU121+AU101+AU102+AU103+AU57</f>
        <v>1467.7330709494</v>
      </c>
      <c r="AV122" s="43" t="n">
        <f aca="false">AV118+AV121+AV101+AV102+AV103+AV57</f>
        <v>1497.95528342129</v>
      </c>
      <c r="AW122" s="43" t="n">
        <f aca="false">AW118+AW121+AW101+AW102+AW103+AW57</f>
        <v>1526.20745413206</v>
      </c>
      <c r="AX122" s="43" t="n">
        <f aca="false">AX118+AX121+AX101+AX102+AX103+AX57</f>
        <v>1579.48786852559</v>
      </c>
      <c r="AY122" s="43" t="n">
        <f aca="false">AY118+AY121+AY101+AY102+AY103+AY57</f>
        <v>1593.38207708739</v>
      </c>
      <c r="AZ122" s="43" t="n">
        <f aca="false">AZ118+AZ121+AZ101+AZ102+AZ103+AZ57</f>
        <v>1599.80694105695</v>
      </c>
      <c r="BA122" s="43" t="n">
        <f aca="false">BA118+BA121+BA101+BA102+BA103+BA57</f>
        <v>1654.29998012479</v>
      </c>
      <c r="BB122" s="43" t="n">
        <f aca="false">BB118+BB121+BB101+BB102+BB103+BB57</f>
        <v>1709.16416278097</v>
      </c>
      <c r="BC122" s="43" t="n">
        <f aca="false">BC118+BC121+BC101+BC102+BC103+BC57</f>
        <v>1724.43947956835</v>
      </c>
      <c r="BD122" s="43" t="n">
        <f aca="false">BD118+BD121+BD101+BD102+BD103+BD57</f>
        <v>1731.80957634325</v>
      </c>
      <c r="BE122" s="43" t="n">
        <f aca="false">BE118+BE121+BE101+BE102+BE103+BE57</f>
        <v>1787.93738278229</v>
      </c>
      <c r="BF122" s="43" t="n">
        <f aca="false">BF118+BF121+BF101+BF102+BF103+BF57</f>
        <v>1844.4552408448</v>
      </c>
      <c r="BG122" s="43" t="n">
        <f aca="false">BG118+BG121+BG101+BG102+BG103+BG57</f>
        <v>1861.18654581856</v>
      </c>
      <c r="BH122" s="43" t="n">
        <f aca="false">BH118+BH121+BH101+BH102+BH103+BH57</f>
        <v>1869.5729894536</v>
      </c>
      <c r="BI122" s="43" t="n">
        <f aca="false">BI118+BI121+BI101+BI102+BI103+BI57</f>
        <v>1927.40813436161</v>
      </c>
      <c r="BJ122" s="43" t="n">
        <f aca="false">BJ118+BJ121+BJ101+BJ102+BJ103+BJ57</f>
        <v>1985.65320220448</v>
      </c>
      <c r="BK122" s="43" t="n">
        <f aca="false">BK118+BK121+BK101+BK102+BK103+BK57</f>
        <v>2003.91921055497</v>
      </c>
      <c r="BL122" s="43" t="n">
        <f aca="false">BL118+BL121+BL101+BL102+BL103+BL57</f>
        <v>2038.55121962023</v>
      </c>
      <c r="BM122" s="43" t="n">
        <f aca="false">BM118+BM121+BM101+BM102+BM103+BM57</f>
        <v>2073.01574737022</v>
      </c>
      <c r="BN122" s="43" t="n">
        <f aca="false">BN118+BN121+BN101+BN102+BN103+BN57</f>
        <v>2133.06537516773</v>
      </c>
      <c r="BO122" s="43" t="n">
        <f aca="false">BO118+BO121+BO101+BO102+BO103+BO57</f>
        <v>2152.94883262385</v>
      </c>
      <c r="BP122" s="43" t="n">
        <f aca="false">BP118+BP121+BP101+BP102+BP103+BP57</f>
        <v>2163.59675272034</v>
      </c>
      <c r="BQ122" s="43" t="n">
        <f aca="false">BQ118+BQ121+BQ101+BQ102+BQ103+BQ57</f>
        <v>2225.07955054684</v>
      </c>
      <c r="BR122" s="43" t="n">
        <f aca="false">BR118+BR121+BR101+BR102+BR103+BR57</f>
        <v>2287.01510255745</v>
      </c>
      <c r="BS122" s="43" t="n">
        <f aca="false">BS118+BS121+BS101+BS102+BS103+BS57</f>
        <v>2308.60299064019</v>
      </c>
      <c r="BT122" s="43" t="n">
        <f aca="false">BT118+BT121+BT101+BT102+BT103+BT57</f>
        <v>2282.9086151537</v>
      </c>
      <c r="BU122" s="43" t="n">
        <f aca="false">BU118+BU121+BU101+BU102+BU103+BU57</f>
        <v>2308.27426643319</v>
      </c>
      <c r="BV122" s="43" t="n">
        <f aca="false">BV118+BV121+BV101+BV102+BV103+BV57</f>
        <v>2333.63991771267</v>
      </c>
      <c r="BW122" s="43" t="n">
        <f aca="false">BW118+BW121+BW101+BW102+BW103+BW57</f>
        <v>2318.00049001042</v>
      </c>
      <c r="BX122" s="43" t="n">
        <f aca="false">BX118+BX121+BX101+BX102+BX103+BX57</f>
        <v>2291.73171925961</v>
      </c>
      <c r="BY122" s="43" t="n">
        <f aca="false">BY118+BY121+BY101+BY102+BY103+BY57</f>
        <v>2317.19540502916</v>
      </c>
      <c r="BZ122" s="43" t="n">
        <f aca="false">BZ118+BZ121+BZ101+BZ102+BZ103+BZ57</f>
        <v>2342.65909079871</v>
      </c>
      <c r="CA122" s="43" t="n">
        <f aca="false">CA118+CA121+CA101+CA102+CA103+CA57</f>
        <v>2326.92358892031</v>
      </c>
      <c r="CB122" s="43" t="n">
        <f aca="false">CB118+CB121+CB101+CB102+CB103+CB57</f>
        <v>2325.63147144566</v>
      </c>
      <c r="CC122" s="43" t="n">
        <f aca="false">CC118+CC121+CC101+CC102+CC103+CC57</f>
        <v>2325.63147144566</v>
      </c>
      <c r="CD122" s="43" t="n">
        <f aca="false">CD118+CD121+CD101+CD102+CD103+CD57</f>
        <v>2351.18786124177</v>
      </c>
      <c r="CE122" s="43" t="n">
        <f aca="false">CE118+CE121+CE101+CE102+CE103+CE57</f>
        <v>2335.35603097872</v>
      </c>
      <c r="CF122" s="43" t="n">
        <f aca="false">CF118+CF121+CF101+CF102+CF103+CF57</f>
        <v>2307.92237312591</v>
      </c>
      <c r="CG122" s="43" t="n">
        <f aca="false">CG118+CG121+CG101+CG102+CG103+CG57</f>
        <v>2333.56595504953</v>
      </c>
      <c r="CH122" s="43" t="n">
        <f aca="false">CH118+CH121+CH101+CH102+CH103+CH57</f>
        <v>2359.20953697315</v>
      </c>
      <c r="CI122" s="43" t="n">
        <f aca="false">CI118+CI121+CI101+CI102+CI103+CI57</f>
        <v>2343.28113105777</v>
      </c>
      <c r="CJ122" s="43" t="n">
        <f aca="false">CJ118+CJ121+CJ101+CJ102+CJ103+CJ57</f>
        <v>2315.25683439085</v>
      </c>
      <c r="CK122" s="43" t="n">
        <f aca="false">CK118+CK121+CK101+CK102+CK103+CK57</f>
        <v>2340.98191032852</v>
      </c>
      <c r="CL122" s="43" t="n">
        <f aca="false">CL118+CL121+CL101+CL102+CL103+CL57</f>
        <v>2366.7069862662</v>
      </c>
      <c r="CM122" s="43" t="n">
        <f aca="false">CM118+CM121+CM101+CM102+CM103+CM57</f>
        <v>2350.68176461216</v>
      </c>
      <c r="CN122" s="43" t="n">
        <f aca="false">CN118+CN121+CN101+CN102+CN103+CN57</f>
        <v>2322.06126533532</v>
      </c>
      <c r="CO122" s="43" t="n">
        <f aca="false">CO118+CO121+CO101+CO102+CO103+CO57</f>
        <v>2347.86194606127</v>
      </c>
      <c r="CP122" s="43" t="n">
        <f aca="false">CP118+CP121+CP101+CP102+CP103+CP57</f>
        <v>2373.66262678722</v>
      </c>
      <c r="CQ122" s="43" t="n">
        <f aca="false">CQ118+CQ121+CQ101+CQ102+CQ103+CQ57</f>
        <v>2357.54035673608</v>
      </c>
      <c r="CR122" s="43" t="n">
        <f aca="false">CR118+CR121+CR101+CR102+CR103+CR57</f>
        <v>2354.18821422101</v>
      </c>
      <c r="CS122" s="43" t="n">
        <f aca="false">CS118+CS121+CS101+CS102+CS103+CS57</f>
        <v>2354.18821422101</v>
      </c>
      <c r="CT122" s="43" t="n">
        <f aca="false">CT118+CT121+CT101+CT102+CT103+CT57</f>
        <v>2380.05841437728</v>
      </c>
      <c r="CU122" s="43" t="n">
        <f aca="false">CU118+CU121+CU101+CU102+CU103+CU57</f>
        <v>2363.83887095094</v>
      </c>
      <c r="CV122" s="43" t="n">
        <f aca="false">CV118+CV121+CV101+CV102+CV103+CV57</f>
        <v>2334.00896565488</v>
      </c>
      <c r="CW122" s="43" t="n">
        <f aca="false">CW118+CW121+CW101+CW102+CW103+CW57</f>
        <v>2359.9423986066</v>
      </c>
      <c r="CX122" s="43" t="n">
        <f aca="false">CX118+CX121+CX101+CX102+CX103+CX57</f>
        <v>2385.87583155832</v>
      </c>
      <c r="CY122" s="43" t="n">
        <f aca="false">CY118+CY121+CY101+CY102+CY103+CY57</f>
        <v>2369.55879771769</v>
      </c>
      <c r="CZ122" s="43" t="n">
        <f aca="false">CZ118+CZ121+CZ101+CZ102+CZ103+CZ57</f>
        <v>2339.1155306316</v>
      </c>
      <c r="DA122" s="43" t="n">
        <f aca="false">DA118+DA121+DA101+DA102+DA103+DA57</f>
        <v>2365.10570319417</v>
      </c>
      <c r="DB122" s="43" t="n">
        <f aca="false">DB118+DB121+DB101+DB102+DB103+DB57</f>
        <v>2391.09587575674</v>
      </c>
      <c r="DC122" s="43" t="n">
        <f aca="false">DC118+DC121+DC101+DC102+DC103+DC57</f>
        <v>2374.68114266671</v>
      </c>
      <c r="DD122" s="43" t="n">
        <f aca="false">DD118+DD121+DD101+DD102+DD103+DD57</f>
        <v>2343.61863316723</v>
      </c>
      <c r="DE122" s="43" t="n">
        <f aca="false">DE118+DE121+DE101+DE102+DE103+DE57</f>
        <v>2369.65884020243</v>
      </c>
      <c r="DF122" s="43" t="n">
        <f aca="false">DF118+DF121+DF101+DF102+DF103+DF57</f>
        <v>2395.69904723762</v>
      </c>
      <c r="DG122" s="43" t="n">
        <f aca="false">DG118+DG121+DG101+DG102+DG103+DG57</f>
        <v>4338.46697238004</v>
      </c>
      <c r="DH122" s="43" t="n">
        <f aca="false">DH118+DH121+DH101+DH102+DH103+DH57</f>
        <v>4311.56604790374</v>
      </c>
      <c r="DI122" s="43" t="n">
        <f aca="false">DI118+DI121+DI101+DI102+DI103+DI57</f>
        <v>4311.56604790374</v>
      </c>
      <c r="DJ122" s="43" t="n">
        <f aca="false">DJ118+DJ121+DJ101+DJ102+DJ103+DJ57</f>
        <v>4358.945894584</v>
      </c>
      <c r="DK122" s="43" t="n">
        <f aca="false">DK118+DK121+DK101+DK102+DK103+DK57</f>
        <v>4342.33517066918</v>
      </c>
      <c r="DL122" s="43" t="n">
        <f aca="false">DL118+DL121+DL101+DL102+DL103+DL57</f>
        <v>4267.42314521508</v>
      </c>
      <c r="DM122" s="43" t="n">
        <f aca="false">DM118+DM121+DM101+DM102+DM103+DM57</f>
        <v>4314.83895793969</v>
      </c>
      <c r="DN122" s="43" t="n">
        <f aca="false">DN118+DN121+DN101+DN102+DN103+DN57</f>
        <v>4362.2547706643</v>
      </c>
      <c r="DO122" s="43" t="n">
        <f aca="false">DO118+DO121+DO101+DO102+DO103+DO57</f>
        <v>4345.54577296546</v>
      </c>
      <c r="DP122" s="43" t="n">
        <f aca="false">DP118+DP121+DP101+DP102+DP103+DP57</f>
        <v>4269.99635873289</v>
      </c>
      <c r="DQ122" s="43" t="n">
        <f aca="false">DQ118+DQ121+DQ101+DQ102+DQ103+DQ57</f>
        <v>4317.44076271881</v>
      </c>
      <c r="DR122" s="43" t="n">
        <f aca="false">DR118+DR121+DR101+DR102+DR103+DR57</f>
        <v>4364.88516670473</v>
      </c>
      <c r="DS122" s="43" t="n">
        <f aca="false">DS118+DS121+DS101+DS102+DS103+DS57</f>
        <v>4348.0777219831</v>
      </c>
      <c r="DT122" s="43" t="n">
        <f aca="false">DT118+DT121+DT101+DT102+DT103+DT57</f>
        <v>4271.8846965912</v>
      </c>
      <c r="DU122" s="43" t="n">
        <f aca="false">DU118+DU121+DU101+DU102+DU103+DU57</f>
        <v>4319.35008210888</v>
      </c>
      <c r="DV122" s="43" t="n">
        <f aca="false">DV118+DV121+DV101+DV102+DV103+DV57</f>
        <v>4366.81546762656</v>
      </c>
      <c r="DW122" s="43" t="n">
        <f aca="false">DW118+DW121+DW101+DW102+DW103+DW57</f>
        <v>4349.90941227163</v>
      </c>
      <c r="DX122" s="43" t="n">
        <f aca="false">DX118+DX121+DX101+DX102+DX103+DX57</f>
        <v>4320.54498000109</v>
      </c>
      <c r="DY122" s="43" t="n">
        <f aca="false">DY118+DY121+DY101+DY102+DY103+DY57</f>
        <v>4320.54498000109</v>
      </c>
      <c r="DZ122" s="43" t="n">
        <f aca="false">DZ118+DZ121+DZ101+DZ102+DZ103+DZ57</f>
        <v>4368.02349626484</v>
      </c>
      <c r="EA122" s="43" t="n">
        <f aca="false">EA118+EA121+EA101+EA102+EA103+EA57</f>
        <v>4351.01867660019</v>
      </c>
      <c r="EB122" s="43" t="n">
        <f aca="false">EB118+EB121+EB101+EB102+EB103+EB57</f>
        <v>4273.5194015975</v>
      </c>
      <c r="EC122" s="43" t="n">
        <f aca="false">EC118+EC121+EC101+EC102+EC103+EC57</f>
        <v>4321.00295050414</v>
      </c>
      <c r="ED122" s="43" t="n">
        <f aca="false">ED118+ED121+ED101+ED102+ED103+ED57</f>
        <v>4368.48649941078</v>
      </c>
      <c r="EE122" s="43" t="n">
        <f aca="false">EE118+EE121+EE101+EE102+EE103+EE57</f>
        <v>4351.38277200729</v>
      </c>
      <c r="EF122" s="43" t="n">
        <f aca="false">EF118+EF121+EF101+EF102+EF103+EF57</f>
        <v>4273.22067408704</v>
      </c>
      <c r="EG122" s="43" t="n">
        <f aca="false">EG118+EG121+EG101+EG102+EG103+EG57</f>
        <v>4320.70090379912</v>
      </c>
      <c r="EH122" s="43" t="n">
        <f aca="false">EH118+EH121+EH101+EH102+EH103+EH57</f>
        <v>4368.1811335112</v>
      </c>
      <c r="EI122" s="43" t="n">
        <f aca="false">EI118+EI121+EI101+EI102+EI103+EI57</f>
        <v>4350.97836550777</v>
      </c>
      <c r="EJ122" s="43" t="n">
        <f aca="false">EJ118+EJ121+EJ101+EJ102+EJ103+EJ57</f>
        <v>4272.14685327713</v>
      </c>
      <c r="EK122" s="43" t="n">
        <f aca="false">EK118+EK121+EK101+EK102+EK103+EK57</f>
        <v>4319.61515164688</v>
      </c>
      <c r="EL122" s="43" t="n">
        <f aca="false">EL118+EL121+EL101+EL102+EL103+EL57</f>
        <v>4367.08345001662</v>
      </c>
      <c r="EM122" s="43" t="n">
        <f aca="false">EM118+EM121+EM101+EM102+EM103+EM57</f>
        <v>4349.78151944861</v>
      </c>
      <c r="EN122" s="43" t="n">
        <f aca="false">EN118+EN121+EN101+EN102+EN103+EN57</f>
        <v>4317.72139253939</v>
      </c>
      <c r="EO122" s="43" t="n">
        <f aca="false">EO118+EO121+EO101+EO102+EO103+EO57</f>
        <v>4317.72139253939</v>
      </c>
      <c r="EP122" s="43" t="n">
        <f aca="false">EP118+EP121+EP101+EP102+EP103+EP57</f>
        <v>4365.16888036949</v>
      </c>
      <c r="EQ122" s="43" t="n">
        <f aca="false">EQ118+EQ121+EQ101+EQ102+EQ103+EQ57</f>
        <v>4347.76767650498</v>
      </c>
      <c r="ER122" s="43" t="n">
        <f aca="false">ER118+ER121+ER101+ER102+ER103+ER57</f>
        <v>4267.57717234905</v>
      </c>
      <c r="ES122" s="43" t="n">
        <f aca="false">ES118+ES121+ES101+ES102+ES103+ES57</f>
        <v>4314.99469648626</v>
      </c>
      <c r="ET122" s="43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6229.25362783041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1858.22759618649</v>
      </c>
      <c r="X124" s="43" t="n">
        <f aca="false">MAX(0,-X122)</f>
        <v>250.674467337995</v>
      </c>
      <c r="Y124" s="43" t="n">
        <f aca="false">MAX(0,-Y122)</f>
        <v>228.513521980133</v>
      </c>
      <c r="Z124" s="43" t="n">
        <f aca="false">MAX(0,-Z122)</f>
        <v>205.524081984532</v>
      </c>
      <c r="AA124" s="43" t="n">
        <f aca="false">MAX(0,-AA122)</f>
        <v>179.743278257285</v>
      </c>
      <c r="AB124" s="43" t="n">
        <f aca="false">MAX(0,-AB122)</f>
        <v>152.509884528233</v>
      </c>
      <c r="AC124" s="43" t="n">
        <f aca="false">MAX(0,-AC122)</f>
        <v>129.258221583595</v>
      </c>
      <c r="AD124" s="43" t="n">
        <f aca="false">MAX(0,-AD122)</f>
        <v>105.17806400122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-6229.25362783041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-1014.06967046872</v>
      </c>
      <c r="AF125" s="43" t="n">
        <f aca="false">-MIN(AF123,MAX(0,AF122))</f>
        <v>-1040.84312534623</v>
      </c>
      <c r="AG125" s="43" t="n">
        <f aca="false">-MIN(AG123,MAX(0,AG122))</f>
        <v>-1064.00273907026</v>
      </c>
      <c r="AH125" s="43" t="n">
        <f aca="false">-MIN(AH123,MAX(0,AH122))</f>
        <v>-1111.58070216157</v>
      </c>
      <c r="AI125" s="43" t="n">
        <f aca="false">-MIN(AI123,MAX(0,AI122))</f>
        <v>-1120.6288914046</v>
      </c>
      <c r="AJ125" s="43" t="n">
        <f aca="false">-MIN(AJ123,MAX(0,AJ122))</f>
        <v>-878.128499379028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4977.85210815742</v>
      </c>
      <c r="X126" s="43" t="n">
        <f aca="false">SUM(X123:X125)</f>
        <v>5228.52657549541</v>
      </c>
      <c r="Y126" s="43" t="n">
        <f aca="false">SUM(Y123:Y125)</f>
        <v>5457.04009747554</v>
      </c>
      <c r="Z126" s="43" t="n">
        <f aca="false">SUM(Z123:Z125)</f>
        <v>5662.56417946008</v>
      </c>
      <c r="AA126" s="43" t="n">
        <f aca="false">SUM(AA123:AA125)</f>
        <v>5842.30745771736</v>
      </c>
      <c r="AB126" s="43" t="n">
        <f aca="false">SUM(AB123:AB125)</f>
        <v>5994.81734224559</v>
      </c>
      <c r="AC126" s="43" t="n">
        <f aca="false">SUM(AC123:AC125)</f>
        <v>6124.07556382919</v>
      </c>
      <c r="AD126" s="43" t="n">
        <f aca="false">SUM(AD123:AD125)</f>
        <v>6229.25362783041</v>
      </c>
      <c r="AE126" s="43" t="n">
        <f aca="false">SUM(AE123:AE125)</f>
        <v>5215.18395736169</v>
      </c>
      <c r="AF126" s="43" t="n">
        <f aca="false">SUM(AF123:AF125)</f>
        <v>4174.34083201546</v>
      </c>
      <c r="AG126" s="43" t="n">
        <f aca="false">SUM(AG123:AG125)</f>
        <v>3110.3380929452</v>
      </c>
      <c r="AH126" s="43" t="n">
        <f aca="false">SUM(AH123:AH125)</f>
        <v>1998.75739078363</v>
      </c>
      <c r="AI126" s="43" t="n">
        <f aca="false">SUM(AI123:AI125)</f>
        <v>878.128499379028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-29217.7631614638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-22.1207033876094</v>
      </c>
      <c r="AK127" s="52" t="n">
        <f aca="false">-In_CIT*(MAX(0,AK122)+AK125)</f>
        <v>-105.527229009164</v>
      </c>
      <c r="AL127" s="52" t="n">
        <f aca="false">-In_CIT*(MAX(0,AL122)+AL125)</f>
        <v>-109.92957161066</v>
      </c>
      <c r="AM127" s="52" t="n">
        <f aca="false">-In_CIT*(MAX(0,AM122)+AM125)</f>
        <v>-110.844380702077</v>
      </c>
      <c r="AN127" s="52" t="n">
        <f aca="false">-In_CIT*(MAX(0,AN122)+AN125)</f>
        <v>-111.202624504349</v>
      </c>
      <c r="AO127" s="52" t="n">
        <f aca="false">-In_CIT*(MAX(0,AO122)+AO125)</f>
        <v>-115.701655640121</v>
      </c>
      <c r="AP127" s="52" t="n">
        <f aca="false">-In_CIT*(MAX(0,AP122)+AP125)</f>
        <v>-120.229463681293</v>
      </c>
      <c r="AQ127" s="52" t="n">
        <f aca="false">-In_CIT*(MAX(0,AQ122)+AQ125)</f>
        <v>-121.250262698485</v>
      </c>
      <c r="AR127" s="52" t="n">
        <f aca="false">-In_CIT*(MAX(0,AR122)+AR125)</f>
        <v>-121.676270590481</v>
      </c>
      <c r="AS127" s="52" t="n">
        <f aca="false">-In_CIT*(MAX(0,AS122)+AS125)</f>
        <v>-126.304707119573</v>
      </c>
      <c r="AT127" s="52" t="n">
        <f aca="false">-In_CIT*(MAX(0,AT122)+AT125)</f>
        <v>-130.963386603207</v>
      </c>
      <c r="AU127" s="52" t="n">
        <f aca="false">-In_CIT*(MAX(0,AU122)+AU125)</f>
        <v>-132.095976385446</v>
      </c>
      <c r="AV127" s="52" t="n">
        <f aca="false">-In_CIT*(MAX(0,AV122)+AV125)</f>
        <v>-134.815975507916</v>
      </c>
      <c r="AW127" s="52" t="n">
        <f aca="false">-In_CIT*(MAX(0,AW122)+AW125)</f>
        <v>-137.358670871886</v>
      </c>
      <c r="AX127" s="52" t="n">
        <f aca="false">-In_CIT*(MAX(0,AX122)+AX125)</f>
        <v>-142.153908167303</v>
      </c>
      <c r="AY127" s="52" t="n">
        <f aca="false">-In_CIT*(MAX(0,AY122)+AY125)</f>
        <v>-143.404386937865</v>
      </c>
      <c r="AZ127" s="52" t="n">
        <f aca="false">-In_CIT*(MAX(0,AZ122)+AZ125)</f>
        <v>-143.982624695125</v>
      </c>
      <c r="BA127" s="52" t="n">
        <f aca="false">-In_CIT*(MAX(0,BA122)+BA125)</f>
        <v>-148.886998211232</v>
      </c>
      <c r="BB127" s="52" t="n">
        <f aca="false">-In_CIT*(MAX(0,BB122)+BB125)</f>
        <v>-153.824774650287</v>
      </c>
      <c r="BC127" s="52" t="n">
        <f aca="false">-In_CIT*(MAX(0,BC122)+BC125)</f>
        <v>-155.199553161151</v>
      </c>
      <c r="BD127" s="52" t="n">
        <f aca="false">-In_CIT*(MAX(0,BD122)+BD125)</f>
        <v>-155.862861870893</v>
      </c>
      <c r="BE127" s="52" t="n">
        <f aca="false">-In_CIT*(MAX(0,BE122)+BE125)</f>
        <v>-160.914364450406</v>
      </c>
      <c r="BF127" s="52" t="n">
        <f aca="false">-In_CIT*(MAX(0,BF122)+BF125)</f>
        <v>-166.000971676032</v>
      </c>
      <c r="BG127" s="52" t="n">
        <f aca="false">-In_CIT*(MAX(0,BG122)+BG125)</f>
        <v>-167.506789123671</v>
      </c>
      <c r="BH127" s="52" t="n">
        <f aca="false">-In_CIT*(MAX(0,BH122)+BH125)</f>
        <v>-168.261569050824</v>
      </c>
      <c r="BI127" s="52" t="n">
        <f aca="false">-In_CIT*(MAX(0,BI122)+BI125)</f>
        <v>-173.466732092545</v>
      </c>
      <c r="BJ127" s="52" t="n">
        <f aca="false">-In_CIT*(MAX(0,BJ122)+BJ125)</f>
        <v>-178.708788198403</v>
      </c>
      <c r="BK127" s="52" t="n">
        <f aca="false">-In_CIT*(MAX(0,BK122)+BK125)</f>
        <v>-180.352728949948</v>
      </c>
      <c r="BL127" s="52" t="n">
        <f aca="false">-In_CIT*(MAX(0,BL122)+BL125)</f>
        <v>-183.46960976582</v>
      </c>
      <c r="BM127" s="52" t="n">
        <f aca="false">-In_CIT*(MAX(0,BM122)+BM125)</f>
        <v>-186.57141726332</v>
      </c>
      <c r="BN127" s="52" t="n">
        <f aca="false">-In_CIT*(MAX(0,BN122)+BN125)</f>
        <v>-191.975883765096</v>
      </c>
      <c r="BO127" s="52" t="n">
        <f aca="false">-In_CIT*(MAX(0,BO122)+BO125)</f>
        <v>-193.765394936146</v>
      </c>
      <c r="BP127" s="52" t="n">
        <f aca="false">-In_CIT*(MAX(0,BP122)+BP125)</f>
        <v>-194.72370774483</v>
      </c>
      <c r="BQ127" s="52" t="n">
        <f aca="false">-In_CIT*(MAX(0,BQ122)+BQ125)</f>
        <v>-200.257159549216</v>
      </c>
      <c r="BR127" s="52" t="n">
        <f aca="false">-In_CIT*(MAX(0,BR122)+BR125)</f>
        <v>-205.831359230171</v>
      </c>
      <c r="BS127" s="52" t="n">
        <f aca="false">-In_CIT*(MAX(0,BS122)+BS125)</f>
        <v>-207.774269157617</v>
      </c>
      <c r="BT127" s="52" t="n">
        <f aca="false">-In_CIT*(MAX(0,BT122)+BT125)</f>
        <v>-205.461775363833</v>
      </c>
      <c r="BU127" s="52" t="n">
        <f aca="false">-In_CIT*(MAX(0,BU122)+BU125)</f>
        <v>-207.744683978987</v>
      </c>
      <c r="BV127" s="52" t="n">
        <f aca="false">-In_CIT*(MAX(0,BV122)+BV125)</f>
        <v>-210.02759259414</v>
      </c>
      <c r="BW127" s="52" t="n">
        <f aca="false">-In_CIT*(MAX(0,BW122)+BW125)</f>
        <v>-208.620044100937</v>
      </c>
      <c r="BX127" s="52" t="n">
        <f aca="false">-In_CIT*(MAX(0,BX122)+BX125)</f>
        <v>-206.255854733365</v>
      </c>
      <c r="BY127" s="52" t="n">
        <f aca="false">-In_CIT*(MAX(0,BY122)+BY125)</f>
        <v>-208.547586452625</v>
      </c>
      <c r="BZ127" s="52" t="n">
        <f aca="false">-In_CIT*(MAX(0,BZ122)+BZ125)</f>
        <v>-210.839318171884</v>
      </c>
      <c r="CA127" s="52" t="n">
        <f aca="false">-In_CIT*(MAX(0,CA122)+CA125)</f>
        <v>-209.423123002828</v>
      </c>
      <c r="CB127" s="52" t="n">
        <f aca="false">-In_CIT*(MAX(0,CB122)+CB125)</f>
        <v>-209.30683243011</v>
      </c>
      <c r="CC127" s="52" t="n">
        <f aca="false">-In_CIT*(MAX(0,CC122)+CC125)</f>
        <v>-209.30683243011</v>
      </c>
      <c r="CD127" s="52" t="n">
        <f aca="false">-In_CIT*(MAX(0,CD122)+CD125)</f>
        <v>-211.606907511759</v>
      </c>
      <c r="CE127" s="52" t="n">
        <f aca="false">-In_CIT*(MAX(0,CE122)+CE125)</f>
        <v>-210.182042788085</v>
      </c>
      <c r="CF127" s="52" t="n">
        <f aca="false">-In_CIT*(MAX(0,CF122)+CF125)</f>
        <v>-207.713013581331</v>
      </c>
      <c r="CG127" s="52" t="n">
        <f aca="false">-In_CIT*(MAX(0,CG122)+CG125)</f>
        <v>-210.020935954457</v>
      </c>
      <c r="CH127" s="52" t="n">
        <f aca="false">-In_CIT*(MAX(0,CH122)+CH125)</f>
        <v>-212.328858327583</v>
      </c>
      <c r="CI127" s="52" t="n">
        <f aca="false">-In_CIT*(MAX(0,CI122)+CI125)</f>
        <v>-210.895301795199</v>
      </c>
      <c r="CJ127" s="52" t="n">
        <f aca="false">-In_CIT*(MAX(0,CJ122)+CJ125)</f>
        <v>-208.373115095176</v>
      </c>
      <c r="CK127" s="52" t="n">
        <f aca="false">-In_CIT*(MAX(0,CK122)+CK125)</f>
        <v>-210.688371929567</v>
      </c>
      <c r="CL127" s="52" t="n">
        <f aca="false">-In_CIT*(MAX(0,CL122)+CL125)</f>
        <v>-213.003628763958</v>
      </c>
      <c r="CM127" s="52" t="n">
        <f aca="false">-In_CIT*(MAX(0,CM122)+CM125)</f>
        <v>-211.561358815095</v>
      </c>
      <c r="CN127" s="52" t="n">
        <f aca="false">-In_CIT*(MAX(0,CN122)+CN125)</f>
        <v>-208.985513880179</v>
      </c>
      <c r="CO127" s="52" t="n">
        <f aca="false">-In_CIT*(MAX(0,CO122)+CO125)</f>
        <v>-211.307575145515</v>
      </c>
      <c r="CP127" s="52" t="n">
        <f aca="false">-In_CIT*(MAX(0,CP122)+CP125)</f>
        <v>-213.62963641085</v>
      </c>
      <c r="CQ127" s="52" t="n">
        <f aca="false">-In_CIT*(MAX(0,CQ122)+CQ125)</f>
        <v>-212.178632106247</v>
      </c>
      <c r="CR127" s="52" t="n">
        <f aca="false">-In_CIT*(MAX(0,CR122)+CR125)</f>
        <v>-211.876939279891</v>
      </c>
      <c r="CS127" s="52" t="n">
        <f aca="false">-In_CIT*(MAX(0,CS122)+CS125)</f>
        <v>-211.876939279891</v>
      </c>
      <c r="CT127" s="52" t="n">
        <f aca="false">-In_CIT*(MAX(0,CT122)+CT125)</f>
        <v>-214.205257293956</v>
      </c>
      <c r="CU127" s="52" t="n">
        <f aca="false">-In_CIT*(MAX(0,CU122)+CU125)</f>
        <v>-212.745498385584</v>
      </c>
      <c r="CV127" s="52" t="n">
        <f aca="false">-In_CIT*(MAX(0,CV122)+CV125)</f>
        <v>-210.060806908939</v>
      </c>
      <c r="CW127" s="52" t="n">
        <f aca="false">-In_CIT*(MAX(0,CW122)+CW125)</f>
        <v>-212.394815874594</v>
      </c>
      <c r="CX127" s="52" t="n">
        <f aca="false">-In_CIT*(MAX(0,CX122)+CX125)</f>
        <v>-214.728824840249</v>
      </c>
      <c r="CY127" s="52" t="n">
        <f aca="false">-In_CIT*(MAX(0,CY122)+CY125)</f>
        <v>-213.260291794592</v>
      </c>
      <c r="CZ127" s="52" t="n">
        <f aca="false">-In_CIT*(MAX(0,CZ122)+CZ125)</f>
        <v>-210.520397756844</v>
      </c>
      <c r="DA127" s="52" t="n">
        <f aca="false">-In_CIT*(MAX(0,DA122)+DA125)</f>
        <v>-212.859513287475</v>
      </c>
      <c r="DB127" s="52" t="n">
        <f aca="false">-In_CIT*(MAX(0,DB122)+DB125)</f>
        <v>-215.198628818107</v>
      </c>
      <c r="DC127" s="52" t="n">
        <f aca="false">-In_CIT*(MAX(0,DC122)+DC125)</f>
        <v>-213.721302840004</v>
      </c>
      <c r="DD127" s="52" t="n">
        <f aca="false">-In_CIT*(MAX(0,DD122)+DD125)</f>
        <v>-210.925676985051</v>
      </c>
      <c r="DE127" s="52" t="n">
        <f aca="false">-In_CIT*(MAX(0,DE122)+DE125)</f>
        <v>-213.269295618218</v>
      </c>
      <c r="DF127" s="52" t="n">
        <f aca="false">-In_CIT*(MAX(0,DF122)+DF125)</f>
        <v>-215.612914251386</v>
      </c>
      <c r="DG127" s="52" t="n">
        <f aca="false">-In_CIT*(MAX(0,DG122)+DG125)</f>
        <v>-390.462027514203</v>
      </c>
      <c r="DH127" s="52" t="n">
        <f aca="false">-In_CIT*(MAX(0,DH122)+DH125)</f>
        <v>-388.040944311337</v>
      </c>
      <c r="DI127" s="52" t="n">
        <f aca="false">-In_CIT*(MAX(0,DI122)+DI125)</f>
        <v>-388.040944311337</v>
      </c>
      <c r="DJ127" s="52" t="n">
        <f aca="false">-In_CIT*(MAX(0,DJ122)+DJ125)</f>
        <v>-392.30513051256</v>
      </c>
      <c r="DK127" s="52" t="n">
        <f aca="false">-In_CIT*(MAX(0,DK122)+DK125)</f>
        <v>-390.810165360226</v>
      </c>
      <c r="DL127" s="52" t="n">
        <f aca="false">-In_CIT*(MAX(0,DL122)+DL125)</f>
        <v>-384.068083069357</v>
      </c>
      <c r="DM127" s="52" t="n">
        <f aca="false">-In_CIT*(MAX(0,DM122)+DM125)</f>
        <v>-388.335506214572</v>
      </c>
      <c r="DN127" s="52" t="n">
        <f aca="false">-In_CIT*(MAX(0,DN122)+DN125)</f>
        <v>-392.602929359787</v>
      </c>
      <c r="DO127" s="52" t="n">
        <f aca="false">-In_CIT*(MAX(0,DO122)+DO125)</f>
        <v>-391.099119566891</v>
      </c>
      <c r="DP127" s="52" t="n">
        <f aca="false">-In_CIT*(MAX(0,DP122)+DP125)</f>
        <v>-384.29967228596</v>
      </c>
      <c r="DQ127" s="52" t="n">
        <f aca="false">-In_CIT*(MAX(0,DQ122)+DQ125)</f>
        <v>-388.569668644693</v>
      </c>
      <c r="DR127" s="52" t="n">
        <f aca="false">-In_CIT*(MAX(0,DR122)+DR125)</f>
        <v>-392.839665003426</v>
      </c>
      <c r="DS127" s="52" t="n">
        <f aca="false">-In_CIT*(MAX(0,DS122)+DS125)</f>
        <v>-391.326994978479</v>
      </c>
      <c r="DT127" s="52" t="n">
        <f aca="false">-In_CIT*(MAX(0,DT122)+DT125)</f>
        <v>-384.469622693208</v>
      </c>
      <c r="DU127" s="52" t="n">
        <f aca="false">-In_CIT*(MAX(0,DU122)+DU125)</f>
        <v>-388.741507389799</v>
      </c>
      <c r="DV127" s="52" t="n">
        <f aca="false">-In_CIT*(MAX(0,DV122)+DV125)</f>
        <v>-393.013392086391</v>
      </c>
      <c r="DW127" s="52" t="n">
        <f aca="false">-In_CIT*(MAX(0,DW122)+DW125)</f>
        <v>-391.491847104446</v>
      </c>
      <c r="DX127" s="52" t="n">
        <f aca="false">-In_CIT*(MAX(0,DX122)+DX125)</f>
        <v>-388.849048200098</v>
      </c>
      <c r="DY127" s="52" t="n">
        <f aca="false">-In_CIT*(MAX(0,DY122)+DY125)</f>
        <v>-388.849048200098</v>
      </c>
      <c r="DZ127" s="52" t="n">
        <f aca="false">-In_CIT*(MAX(0,DZ122)+DZ125)</f>
        <v>-393.122114663836</v>
      </c>
      <c r="EA127" s="52" t="n">
        <f aca="false">-In_CIT*(MAX(0,EA122)+EA125)</f>
        <v>-391.591680894017</v>
      </c>
      <c r="EB127" s="52" t="n">
        <f aca="false">-In_CIT*(MAX(0,EB122)+EB125)</f>
        <v>-384.616746143775</v>
      </c>
      <c r="EC127" s="52" t="n">
        <f aca="false">-In_CIT*(MAX(0,EC122)+EC125)</f>
        <v>-388.890265545373</v>
      </c>
      <c r="ED127" s="52" t="n">
        <f aca="false">-In_CIT*(MAX(0,ED122)+ED125)</f>
        <v>-393.16378494697</v>
      </c>
      <c r="EE127" s="52" t="n">
        <f aca="false">-In_CIT*(MAX(0,EE122)+EE125)</f>
        <v>-391.624449480656</v>
      </c>
      <c r="EF127" s="52" t="n">
        <f aca="false">-In_CIT*(MAX(0,EF122)+EF125)</f>
        <v>-384.589860667834</v>
      </c>
      <c r="EG127" s="52" t="n">
        <f aca="false">-In_CIT*(MAX(0,EG122)+EG125)</f>
        <v>-388.86308134192</v>
      </c>
      <c r="EH127" s="52" t="n">
        <f aca="false">-In_CIT*(MAX(0,EH122)+EH125)</f>
        <v>-393.136302016008</v>
      </c>
      <c r="EI127" s="52" t="n">
        <f aca="false">-In_CIT*(MAX(0,EI122)+EI125)</f>
        <v>-391.5880528957</v>
      </c>
      <c r="EJ127" s="52" t="n">
        <f aca="false">-In_CIT*(MAX(0,EJ122)+EJ125)</f>
        <v>-384.493216794942</v>
      </c>
      <c r="EK127" s="52" t="n">
        <f aca="false">-In_CIT*(MAX(0,EK122)+EK125)</f>
        <v>-388.765363648219</v>
      </c>
      <c r="EL127" s="52" t="n">
        <f aca="false">-In_CIT*(MAX(0,EL122)+EL125)</f>
        <v>-393.037510501496</v>
      </c>
      <c r="EM127" s="52" t="n">
        <f aca="false">-In_CIT*(MAX(0,EM122)+EM125)</f>
        <v>-391.480336750375</v>
      </c>
      <c r="EN127" s="52" t="n">
        <f aca="false">-In_CIT*(MAX(0,EN122)+EN125)</f>
        <v>-388.594925328545</v>
      </c>
      <c r="EO127" s="52" t="n">
        <f aca="false">-In_CIT*(MAX(0,EO122)+EO125)</f>
        <v>-388.594925328545</v>
      </c>
      <c r="EP127" s="52" t="n">
        <f aca="false">-In_CIT*(MAX(0,EP122)+EP125)</f>
        <v>-392.865199233254</v>
      </c>
      <c r="EQ127" s="52" t="n">
        <f aca="false">-In_CIT*(MAX(0,EQ122)+EQ125)</f>
        <v>-391.299090885448</v>
      </c>
      <c r="ER127" s="52" t="n">
        <f aca="false">-In_CIT*(MAX(0,ER122)+ER125)</f>
        <v>-384.081945511414</v>
      </c>
      <c r="ES127" s="52" t="n">
        <f aca="false">-In_CIT*(MAX(0,ES122)+ES125)</f>
        <v>-388.349522683763</v>
      </c>
      <c r="ET127" s="52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1120.48016110676</v>
      </c>
      <c r="F138" s="43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1200.65972222222</v>
      </c>
      <c r="F139" s="43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3449.06941037797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5246.28927236341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5804.64131725861</v>
      </c>
      <c r="F146" s="52" t="n">
        <f aca="false">$E146+$F144+$E145</f>
        <v>8353.53142011685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2248.40968815575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55.3214001332242</v>
      </c>
      <c r="F148" s="45" t="n">
        <f aca="false">$F142/$E24</f>
        <v>22.8415192740263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-128.61785929143</v>
      </c>
      <c r="I150" s="43" t="n">
        <f aca="false">SUM(J150:ET150)</f>
        <v>6675.37659782375</v>
      </c>
      <c r="J150" s="43" t="n">
        <f aca="false">(J59+J53)*(J$4&lt;=$E12)+$F141*J12</f>
        <v>-400</v>
      </c>
      <c r="K150" s="43" t="n">
        <f aca="false">(K59+K53)*(K$4&lt;=$E12)+$F141*K12</f>
        <v>-1437.78053818728</v>
      </c>
      <c r="L150" s="43" t="n">
        <f aca="false">(L59+L53)*(L$4&lt;=$E12)+$F141*L12</f>
        <v>-691.910911990993</v>
      </c>
      <c r="M150" s="43" t="n">
        <f aca="false">(M59+M53)*(M$4&lt;=$E12)+$F141*M12</f>
        <v>-148.451634452993</v>
      </c>
      <c r="N150" s="43" t="n">
        <f aca="false">(N59+N53)*(N$4&lt;=$E12)+$F141*N12</f>
        <v>-149.601261024582</v>
      </c>
      <c r="O150" s="43" t="n">
        <f aca="false">(O59+O53)*(O$4&lt;=$E12)+$F141*O12</f>
        <v>-290.127288421843</v>
      </c>
      <c r="P150" s="43" t="n">
        <f aca="false">(P59+P53)*(P$4&lt;=$E12)+$F141*P12</f>
        <v>-1394.65781281475</v>
      </c>
      <c r="Q150" s="43" t="n">
        <f aca="false">(Q59+Q53)*(Q$4&lt;=$E12)+$F141*Q12</f>
        <v>-109.225607055733</v>
      </c>
      <c r="R150" s="43" t="n">
        <f aca="false">(R59+R53)*(R$4&lt;=$E12)+$F141*R12</f>
        <v>-269.857154566657</v>
      </c>
      <c r="S150" s="43" t="n">
        <f aca="false">(S59+S53)*(S$4&lt;=$E12)+$F141*S12</f>
        <v>-422.991783283459</v>
      </c>
      <c r="T150" s="43" t="n">
        <f aca="false">(T59+T53)*(T$4&lt;=$E12)+$F141*T12</f>
        <v>-20587.5113339088</v>
      </c>
      <c r="U150" s="43" t="n">
        <f aca="false">(U59+U53)*(U$4&lt;=$E12)+$F141*U12</f>
        <v>-104.616018014637</v>
      </c>
      <c r="V150" s="43" t="n">
        <f aca="false">(V59+V53)*(V$4&lt;=$E12)+$F141*V12</f>
        <v>-105.765644586226</v>
      </c>
      <c r="W150" s="43" t="n">
        <f aca="false">(W59+W53)*(W$4&lt;=$E12)+$F141*W12</f>
        <v>32787.8735861317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6546.75873853232</v>
      </c>
      <c r="J151" s="52" t="n">
        <f aca="false">J150+$E150*J12</f>
        <v>-400</v>
      </c>
      <c r="K151" s="52" t="n">
        <f aca="false">K150+$E150*K12</f>
        <v>-1437.78053818728</v>
      </c>
      <c r="L151" s="52" t="n">
        <f aca="false">L150+$E150*L12</f>
        <v>-691.910911990993</v>
      </c>
      <c r="M151" s="52" t="n">
        <f aca="false">M150+$E150*M12</f>
        <v>-148.451634452993</v>
      </c>
      <c r="N151" s="52" t="n">
        <f aca="false">N150+$E150*N12</f>
        <v>-149.601261024582</v>
      </c>
      <c r="O151" s="52" t="n">
        <f aca="false">O150+$E150*O12</f>
        <v>-290.127288421843</v>
      </c>
      <c r="P151" s="52" t="n">
        <f aca="false">P150+$E150*P12</f>
        <v>-1394.65781281475</v>
      </c>
      <c r="Q151" s="52" t="n">
        <f aca="false">Q150+$E150*Q12</f>
        <v>-109.225607055733</v>
      </c>
      <c r="R151" s="52" t="n">
        <f aca="false">R150+$E150*R12</f>
        <v>-269.857154566657</v>
      </c>
      <c r="S151" s="52" t="n">
        <f aca="false">S150+$E150*S12</f>
        <v>-422.991783283459</v>
      </c>
      <c r="T151" s="52" t="n">
        <f aca="false">T150+$E150*T12</f>
        <v>-20587.5113339088</v>
      </c>
      <c r="U151" s="52" t="n">
        <f aca="false">U150+$E150*U12</f>
        <v>-104.616018014637</v>
      </c>
      <c r="V151" s="52" t="n">
        <f aca="false">V150+$E150*V12</f>
        <v>-105.765644586226</v>
      </c>
      <c r="W151" s="52" t="n">
        <f aca="false">W150+$E150*W12</f>
        <v>32659.2557268403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-1806.77268158454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0.221510760619134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1.24970223352323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-69999.7210564962</v>
      </c>
      <c r="J158" s="43" t="n">
        <f aca="false">(J59+J104+J97+J118)*(J$4&lt;=In_COD)</f>
        <v>-400</v>
      </c>
      <c r="K158" s="43" t="n">
        <f aca="false">(K59+K104+K97+K118)*(K$4&lt;=In_COD)</f>
        <v>-1437.78053818728</v>
      </c>
      <c r="L158" s="43" t="n">
        <f aca="false">(L59+L104+L97+L118)*(L$4&lt;=In_COD)</f>
        <v>-691.910911990993</v>
      </c>
      <c r="M158" s="43" t="n">
        <f aca="false">(M59+M104+M97+M118)*(M$4&lt;=In_COD)</f>
        <v>-148.451634452993</v>
      </c>
      <c r="N158" s="43" t="n">
        <f aca="false">(N59+N104+N97+N118)*(N$4&lt;=In_COD)</f>
        <v>-149.601261024582</v>
      </c>
      <c r="O158" s="43" t="n">
        <f aca="false">(O59+O104+O97+O118)*(O$4&lt;=In_COD)</f>
        <v>-290.127288421843</v>
      </c>
      <c r="P158" s="43" t="n">
        <f aca="false">(P59+P104+P97+P118)*(P$4&lt;=In_COD)</f>
        <v>-1394.65781281475</v>
      </c>
      <c r="Q158" s="43" t="n">
        <f aca="false">(Q59+Q104+Q97+Q118)*(Q$4&lt;=In_COD)</f>
        <v>-109.225607055733</v>
      </c>
      <c r="R158" s="43" t="n">
        <f aca="false">(R59+R104+R97+R118)*(R$4&lt;=In_COD)</f>
        <v>-269.857154566657</v>
      </c>
      <c r="S158" s="43" t="n">
        <f aca="false">(S59+S104+S97+S118)*(S$4&lt;=In_COD)</f>
        <v>-422.991783283459</v>
      </c>
      <c r="T158" s="43" t="n">
        <f aca="false">(T59+T104+T97+T118)*(T$4&lt;=In_COD)</f>
        <v>-20587.5113339088</v>
      </c>
      <c r="U158" s="43" t="n">
        <f aca="false">(U59+U104+U97+U118)*(U$4&lt;=In_COD)</f>
        <v>-104.616018014637</v>
      </c>
      <c r="V158" s="43" t="n">
        <f aca="false">(V59+V104+V97+V118)*(V$4&lt;=In_COD)</f>
        <v>-105.765644586226</v>
      </c>
      <c r="W158" s="43" t="n">
        <f aca="false">(W59+W104+W97+W118)*(W$4&lt;=In_COD)</f>
        <v>-6367.1847682608</v>
      </c>
      <c r="X158" s="43" t="n">
        <f aca="false">(X59+X104+X97+X118)*(X$4&lt;=In_COD)</f>
        <v>-4661.61083132373</v>
      </c>
      <c r="Y158" s="43" t="n">
        <f aca="false">(Y59+Y104+Y97+Y118)*(Y$4&lt;=In_COD)</f>
        <v>-4688.46029001015</v>
      </c>
      <c r="Z158" s="43" t="n">
        <f aca="false">(Z59+Z104+Z97+Z118)*(Z$4&lt;=In_COD)</f>
        <v>-4714.48125405884</v>
      </c>
      <c r="AA158" s="43" t="n">
        <f aca="false">(AA59+AA104+AA97+AA118)*(AA$4&lt;=In_COD)</f>
        <v>-4688.7004503316</v>
      </c>
      <c r="AB158" s="43" t="n">
        <f aca="false">(AB59+AB104+AB97+AB118)*(AB$4&lt;=In_COD)</f>
        <v>-4563.44624851397</v>
      </c>
      <c r="AC158" s="43" t="n">
        <f aca="false">(AC59+AC104+AC97+AC118)*(AC$4&lt;=In_COD)</f>
        <v>-4589.20498961362</v>
      </c>
      <c r="AD158" s="43" t="n">
        <f aca="false">(AD59+AD104+AD97+AD118)*(AD$4&lt;=In_COD)</f>
        <v>-9614.13523607553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-2474.54304721128</v>
      </c>
      <c r="I159" s="43" t="n">
        <f aca="false">SUM(J159:ET159)</f>
        <v>-6307.65794259604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-55.2964865753425</v>
      </c>
      <c r="AF159" s="43" t="n">
        <f aca="false">-($E31-In_Ref_Community)*AF110*(1-In_CIT)/Thousand</f>
        <v>-54.6954378082192</v>
      </c>
      <c r="AG159" s="43" t="n">
        <f aca="false">-($E31-In_Ref_Community)*AG110*(1-In_CIT)/Thousand</f>
        <v>-54.6954378082192</v>
      </c>
      <c r="AH159" s="43" t="n">
        <f aca="false">-($E31-In_Ref_Community)*AH110*(1-In_CIT)/Thousand</f>
        <v>-55.2964865753425</v>
      </c>
      <c r="AI159" s="43" t="n">
        <f aca="false">-($E31-In_Ref_Community)*AI110*(1-In_CIT)/Thousand</f>
        <v>-55.1305971156164</v>
      </c>
      <c r="AJ159" s="43" t="n">
        <f aca="false">-($E31-In_Ref_Community)*AJ110*(1-In_CIT)/Thousand</f>
        <v>-53.9321058739726</v>
      </c>
      <c r="AK159" s="43" t="n">
        <f aca="false">-($E31-In_Ref_Community)*AK110*(1-In_CIT)/Thousand</f>
        <v>-54.5313514947945</v>
      </c>
      <c r="AL159" s="43" t="n">
        <f aca="false">-($E31-In_Ref_Community)*AL110*(1-In_CIT)/Thousand</f>
        <v>-55.1305971156164</v>
      </c>
      <c r="AM159" s="43" t="n">
        <f aca="false">-($E31-In_Ref_Community)*AM110*(1-In_CIT)/Thousand</f>
        <v>-54.9652053242696</v>
      </c>
      <c r="AN159" s="43" t="n">
        <f aca="false">-($E31-In_Ref_Community)*AN110*(1-In_CIT)/Thousand</f>
        <v>-53.7703095563507</v>
      </c>
      <c r="AO159" s="43" t="n">
        <f aca="false">-($E31-In_Ref_Community)*AO110*(1-In_CIT)/Thousand</f>
        <v>-54.3677574403101</v>
      </c>
      <c r="AP159" s="43" t="n">
        <f aca="false">-($E31-In_Ref_Community)*AP110*(1-In_CIT)/Thousand</f>
        <v>-54.9652053242696</v>
      </c>
      <c r="AQ159" s="43" t="n">
        <f aca="false">-($E31-In_Ref_Community)*AQ110*(1-In_CIT)/Thousand</f>
        <v>-54.8003097082968</v>
      </c>
      <c r="AR159" s="43" t="n">
        <f aca="false">-($E31-In_Ref_Community)*AR110*(1-In_CIT)/Thousand</f>
        <v>-53.6089986276816</v>
      </c>
      <c r="AS159" s="43" t="n">
        <f aca="false">-($E31-In_Ref_Community)*AS110*(1-In_CIT)/Thousand</f>
        <v>-54.2046541679892</v>
      </c>
      <c r="AT159" s="43" t="n">
        <f aca="false">-($E31-In_Ref_Community)*AT110*(1-In_CIT)/Thousand</f>
        <v>-54.8003097082968</v>
      </c>
      <c r="AU159" s="43" t="n">
        <f aca="false">-($E31-In_Ref_Community)*AU110*(1-In_CIT)/Thousand</f>
        <v>-54.6359087791719</v>
      </c>
      <c r="AV159" s="43" t="n">
        <f aca="false">-($E31-In_Ref_Community)*AV110*(1-In_CIT)/Thousand</f>
        <v>-54.0420402054852</v>
      </c>
      <c r="AW159" s="43" t="n">
        <f aca="false">-($E31-In_Ref_Community)*AW110*(1-In_CIT)/Thousand</f>
        <v>-54.0420402054852</v>
      </c>
      <c r="AX159" s="43" t="n">
        <f aca="false">-($E31-In_Ref_Community)*AX110*(1-In_CIT)/Thousand</f>
        <v>-54.6359087791719</v>
      </c>
      <c r="AY159" s="43" t="n">
        <f aca="false">-($E31-In_Ref_Community)*AY110*(1-In_CIT)/Thousand</f>
        <v>-54.4720010528344</v>
      </c>
      <c r="AZ159" s="43" t="n">
        <f aca="false">-($E31-In_Ref_Community)*AZ110*(1-In_CIT)/Thousand</f>
        <v>-53.2878271169032</v>
      </c>
      <c r="BA159" s="43" t="n">
        <f aca="false">-($E31-In_Ref_Community)*BA110*(1-In_CIT)/Thousand</f>
        <v>-53.8799140848688</v>
      </c>
      <c r="BB159" s="43" t="n">
        <f aca="false">-($E31-In_Ref_Community)*BB110*(1-In_CIT)/Thousand</f>
        <v>-54.4720010528344</v>
      </c>
      <c r="BC159" s="43" t="n">
        <f aca="false">-($E31-In_Ref_Community)*BC110*(1-In_CIT)/Thousand</f>
        <v>-54.3085850496759</v>
      </c>
      <c r="BD159" s="43" t="n">
        <f aca="false">-($E31-In_Ref_Community)*BD110*(1-In_CIT)/Thousand</f>
        <v>-53.1279636355525</v>
      </c>
      <c r="BE159" s="43" t="n">
        <f aca="false">-($E31-In_Ref_Community)*BE110*(1-In_CIT)/Thousand</f>
        <v>-53.7182743426142</v>
      </c>
      <c r="BF159" s="43" t="n">
        <f aca="false">-($E31-In_Ref_Community)*BF110*(1-In_CIT)/Thousand</f>
        <v>-54.3085850496759</v>
      </c>
      <c r="BG159" s="43" t="n">
        <f aca="false">-($E31-In_Ref_Community)*BG110*(1-In_CIT)/Thousand</f>
        <v>-54.1456592945269</v>
      </c>
      <c r="BH159" s="43" t="n">
        <f aca="false">-($E31-In_Ref_Community)*BH110*(1-In_CIT)/Thousand</f>
        <v>-52.9685797446458</v>
      </c>
      <c r="BI159" s="43" t="n">
        <f aca="false">-($E31-In_Ref_Community)*BI110*(1-In_CIT)/Thousand</f>
        <v>-53.5571195195863</v>
      </c>
      <c r="BJ159" s="43" t="n">
        <f aca="false">-($E31-In_Ref_Community)*BJ110*(1-In_CIT)/Thousand</f>
        <v>-54.1456592945269</v>
      </c>
      <c r="BK159" s="43" t="n">
        <f aca="false">-($E31-In_Ref_Community)*BK110*(1-In_CIT)/Thousand</f>
        <v>-53.9832223166433</v>
      </c>
      <c r="BL159" s="43" t="n">
        <f aca="false">-($E31-In_Ref_Community)*BL110*(1-In_CIT)/Thousand</f>
        <v>-53.3964481610276</v>
      </c>
      <c r="BM159" s="43" t="n">
        <f aca="false">-($E31-In_Ref_Community)*BM110*(1-In_CIT)/Thousand</f>
        <v>-53.3964481610276</v>
      </c>
      <c r="BN159" s="43" t="n">
        <f aca="false">-($E31-In_Ref_Community)*BN110*(1-In_CIT)/Thousand</f>
        <v>-53.9832223166433</v>
      </c>
      <c r="BO159" s="43" t="n">
        <f aca="false">-($E31-In_Ref_Community)*BO110*(1-In_CIT)/Thousand</f>
        <v>-53.8212726496933</v>
      </c>
      <c r="BP159" s="43" t="n">
        <f aca="false">-($E31-In_Ref_Community)*BP110*(1-In_CIT)/Thousand</f>
        <v>-52.6512449833957</v>
      </c>
      <c r="BQ159" s="43" t="n">
        <f aca="false">-($E31-In_Ref_Community)*BQ110*(1-In_CIT)/Thousand</f>
        <v>-53.2362588165445</v>
      </c>
      <c r="BR159" s="43" t="n">
        <f aca="false">-($E31-In_Ref_Community)*BR110*(1-In_CIT)/Thousand</f>
        <v>-53.8212726496933</v>
      </c>
      <c r="BS159" s="43" t="n">
        <f aca="false">-($E31-In_Ref_Community)*BS110*(1-In_CIT)/Thousand</f>
        <v>-53.6598088317443</v>
      </c>
      <c r="BT159" s="43" t="n">
        <f aca="false">-($E31-In_Ref_Community)*BT110*(1-In_CIT)/Thousand</f>
        <v>-52.4932912484455</v>
      </c>
      <c r="BU159" s="43" t="n">
        <f aca="false">-($E31-In_Ref_Community)*BU110*(1-In_CIT)/Thousand</f>
        <v>-53.0765500400949</v>
      </c>
      <c r="BV159" s="43" t="n">
        <f aca="false">-($E31-In_Ref_Community)*BV110*(1-In_CIT)/Thousand</f>
        <v>-53.6598088317443</v>
      </c>
      <c r="BW159" s="43" t="n">
        <f aca="false">-($E31-In_Ref_Community)*BW110*(1-In_CIT)/Thousand</f>
        <v>-53.498829405249</v>
      </c>
      <c r="BX159" s="43" t="n">
        <f aca="false">-($E31-In_Ref_Community)*BX110*(1-In_CIT)/Thousand</f>
        <v>-52.3358113747001</v>
      </c>
      <c r="BY159" s="43" t="n">
        <f aca="false">-($E31-In_Ref_Community)*BY110*(1-In_CIT)/Thousand</f>
        <v>-52.9173203899746</v>
      </c>
      <c r="BZ159" s="43" t="n">
        <f aca="false">-($E31-In_Ref_Community)*BZ110*(1-In_CIT)/Thousand</f>
        <v>-53.498829405249</v>
      </c>
      <c r="CA159" s="43" t="n">
        <f aca="false">-($E31-In_Ref_Community)*CA110*(1-In_CIT)/Thousand</f>
        <v>-53.3383329170333</v>
      </c>
      <c r="CB159" s="43" t="n">
        <f aca="false">-($E31-In_Ref_Community)*CB110*(1-In_CIT)/Thousand</f>
        <v>-52.7585684288047</v>
      </c>
      <c r="CC159" s="43" t="n">
        <f aca="false">-($E31-In_Ref_Community)*CC110*(1-In_CIT)/Thousand</f>
        <v>-52.7585684288047</v>
      </c>
      <c r="CD159" s="43" t="n">
        <f aca="false">-($E31-In_Ref_Community)*CD110*(1-In_CIT)/Thousand</f>
        <v>-53.3383329170333</v>
      </c>
      <c r="CE159" s="43" t="n">
        <f aca="false">-($E31-In_Ref_Community)*CE110*(1-In_CIT)/Thousand</f>
        <v>-53.1783179182822</v>
      </c>
      <c r="CF159" s="43" t="n">
        <f aca="false">-($E31-In_Ref_Community)*CF110*(1-In_CIT)/Thousand</f>
        <v>-52.0222675287543</v>
      </c>
      <c r="CG159" s="43" t="n">
        <f aca="false">-($E31-In_Ref_Community)*CG110*(1-In_CIT)/Thousand</f>
        <v>-52.6002927235182</v>
      </c>
      <c r="CH159" s="43" t="n">
        <f aca="false">-($E31-In_Ref_Community)*CH110*(1-In_CIT)/Thousand</f>
        <v>-53.1783179182822</v>
      </c>
      <c r="CI159" s="43" t="n">
        <f aca="false">-($E31-In_Ref_Community)*CI110*(1-In_CIT)/Thousand</f>
        <v>-53.0187829645273</v>
      </c>
      <c r="CJ159" s="43" t="n">
        <f aca="false">-($E31-In_Ref_Community)*CJ110*(1-In_CIT)/Thousand</f>
        <v>-51.866200726168</v>
      </c>
      <c r="CK159" s="43" t="n">
        <f aca="false">-($E31-In_Ref_Community)*CK110*(1-In_CIT)/Thousand</f>
        <v>-52.4424918453477</v>
      </c>
      <c r="CL159" s="43" t="n">
        <f aca="false">-($E31-In_Ref_Community)*CL110*(1-In_CIT)/Thousand</f>
        <v>-53.0187829645273</v>
      </c>
      <c r="CM159" s="43" t="n">
        <f aca="false">-($E31-In_Ref_Community)*CM110*(1-In_CIT)/Thousand</f>
        <v>-52.8597266156338</v>
      </c>
      <c r="CN159" s="43" t="n">
        <f aca="false">-($E31-In_Ref_Community)*CN110*(1-In_CIT)/Thousand</f>
        <v>-51.7106021239895</v>
      </c>
      <c r="CO159" s="43" t="n">
        <f aca="false">-($E31-In_Ref_Community)*CO110*(1-In_CIT)/Thousand</f>
        <v>-52.2851643698116</v>
      </c>
      <c r="CP159" s="43" t="n">
        <f aca="false">-($E31-In_Ref_Community)*CP110*(1-In_CIT)/Thousand</f>
        <v>-52.8597266156338</v>
      </c>
      <c r="CQ159" s="43" t="n">
        <f aca="false">-($E31-In_Ref_Community)*CQ110*(1-In_CIT)/Thousand</f>
        <v>-52.7011474357869</v>
      </c>
      <c r="CR159" s="43" t="n">
        <f aca="false">-($E31-In_Ref_Community)*CR110*(1-In_CIT)/Thousand</f>
        <v>-52.1283088767022</v>
      </c>
      <c r="CS159" s="43" t="n">
        <f aca="false">-($E31-In_Ref_Community)*CS110*(1-In_CIT)/Thousand</f>
        <v>-52.1283088767022</v>
      </c>
      <c r="CT159" s="43" t="n">
        <f aca="false">-($E31-In_Ref_Community)*CT110*(1-In_CIT)/Thousand</f>
        <v>-52.7011474357869</v>
      </c>
      <c r="CU159" s="43" t="n">
        <f aca="false">-($E31-In_Ref_Community)*CU110*(1-In_CIT)/Thousand</f>
        <v>-52.5430439934795</v>
      </c>
      <c r="CV159" s="43" t="n">
        <f aca="false">-($E31-In_Ref_Community)*CV110*(1-In_CIT)/Thousand</f>
        <v>-51.4008039066647</v>
      </c>
      <c r="CW159" s="43" t="n">
        <f aca="false">-($E31-In_Ref_Community)*CW110*(1-In_CIT)/Thousand</f>
        <v>-51.9719239500721</v>
      </c>
      <c r="CX159" s="43" t="n">
        <f aca="false">-($E31-In_Ref_Community)*CX110*(1-In_CIT)/Thousand</f>
        <v>-52.5430439934795</v>
      </c>
      <c r="CY159" s="43" t="n">
        <f aca="false">-($E31-In_Ref_Community)*CY110*(1-In_CIT)/Thousand</f>
        <v>-52.3854148614991</v>
      </c>
      <c r="CZ159" s="43" t="n">
        <f aca="false">-($E31-In_Ref_Community)*CZ110*(1-In_CIT)/Thousand</f>
        <v>-51.2466014949447</v>
      </c>
      <c r="DA159" s="43" t="n">
        <f aca="false">-($E31-In_Ref_Community)*DA110*(1-In_CIT)/Thousand</f>
        <v>-51.8160081782219</v>
      </c>
      <c r="DB159" s="43" t="n">
        <f aca="false">-($E31-In_Ref_Community)*DB110*(1-In_CIT)/Thousand</f>
        <v>-52.3854148614991</v>
      </c>
      <c r="DC159" s="43" t="n">
        <f aca="false">-($E31-In_Ref_Community)*DC110*(1-In_CIT)/Thousand</f>
        <v>-52.2282586169146</v>
      </c>
      <c r="DD159" s="43" t="n">
        <f aca="false">-($E31-In_Ref_Community)*DD110*(1-In_CIT)/Thousand</f>
        <v>-51.0928616904599</v>
      </c>
      <c r="DE159" s="43" t="n">
        <f aca="false">-($E31-In_Ref_Community)*DE110*(1-In_CIT)/Thousand</f>
        <v>-51.6605601536872</v>
      </c>
      <c r="DF159" s="43" t="n">
        <f aca="false">-($E31-In_Ref_Community)*DF110*(1-In_CIT)/Thousand</f>
        <v>-52.2282586169146</v>
      </c>
      <c r="DG159" s="43" t="n">
        <f aca="false">-($E31-In_Ref_Community)*DG110*(1-In_CIT)/Thousand</f>
        <v>-52.0715738410638</v>
      </c>
      <c r="DH159" s="43" t="n">
        <f aca="false">-($E31-In_Ref_Community)*DH110*(1-In_CIT)/Thousand</f>
        <v>-51.5055784732262</v>
      </c>
      <c r="DI159" s="43" t="n">
        <f aca="false">-($E31-In_Ref_Community)*DI110*(1-In_CIT)/Thousand</f>
        <v>-51.5055784732262</v>
      </c>
      <c r="DJ159" s="43" t="n">
        <f aca="false">-($E31-In_Ref_Community)*DJ110*(1-In_CIT)/Thousand</f>
        <v>-52.0715738410638</v>
      </c>
      <c r="DK159" s="43" t="n">
        <f aca="false">-($E31-In_Ref_Community)*DK110*(1-In_CIT)/Thousand</f>
        <v>-51.9153591195406</v>
      </c>
      <c r="DL159" s="43" t="n">
        <f aca="false">-($E31-In_Ref_Community)*DL110*(1-In_CIT)/Thousand</f>
        <v>-50.7867643560723</v>
      </c>
      <c r="DM159" s="43" t="n">
        <f aca="false">-($E31-In_Ref_Community)*DM110*(1-In_CIT)/Thousand</f>
        <v>-51.3510617378065</v>
      </c>
      <c r="DN159" s="43" t="n">
        <f aca="false">-($E31-In_Ref_Community)*DN110*(1-In_CIT)/Thousand</f>
        <v>-51.9153591195406</v>
      </c>
      <c r="DO159" s="43" t="n">
        <f aca="false">-($E31-In_Ref_Community)*DO110*(1-In_CIT)/Thousand</f>
        <v>-51.759613042182</v>
      </c>
      <c r="DP159" s="43" t="n">
        <f aca="false">-($E31-In_Ref_Community)*DP110*(1-In_CIT)/Thousand</f>
        <v>-50.6344040630041</v>
      </c>
      <c r="DQ159" s="43" t="n">
        <f aca="false">-($E31-In_Ref_Community)*DQ110*(1-In_CIT)/Thousand</f>
        <v>-51.1970085525931</v>
      </c>
      <c r="DR159" s="43" t="n">
        <f aca="false">-($E31-In_Ref_Community)*DR110*(1-In_CIT)/Thousand</f>
        <v>-51.759613042182</v>
      </c>
      <c r="DS159" s="43" t="n">
        <f aca="false">-($E31-In_Ref_Community)*DS110*(1-In_CIT)/Thousand</f>
        <v>-51.6043342030555</v>
      </c>
      <c r="DT159" s="43" t="n">
        <f aca="false">-($E31-In_Ref_Community)*DT110*(1-In_CIT)/Thousand</f>
        <v>-50.4825008508151</v>
      </c>
      <c r="DU159" s="43" t="n">
        <f aca="false">-($E31-In_Ref_Community)*DU110*(1-In_CIT)/Thousand</f>
        <v>-51.0434175269353</v>
      </c>
      <c r="DV159" s="43" t="n">
        <f aca="false">-($E31-In_Ref_Community)*DV110*(1-In_CIT)/Thousand</f>
        <v>-51.6043342030555</v>
      </c>
      <c r="DW159" s="43" t="n">
        <f aca="false">-($E31-In_Ref_Community)*DW110*(1-In_CIT)/Thousand</f>
        <v>-51.4495212004463</v>
      </c>
      <c r="DX159" s="43" t="n">
        <f aca="false">-($E31-In_Ref_Community)*DX110*(1-In_CIT)/Thousand</f>
        <v>-50.8902872743545</v>
      </c>
      <c r="DY159" s="43" t="n">
        <f aca="false">-($E31-In_Ref_Community)*DY110*(1-In_CIT)/Thousand</f>
        <v>-50.8902872743545</v>
      </c>
      <c r="DZ159" s="43" t="n">
        <f aca="false">-($E31-In_Ref_Community)*DZ110*(1-In_CIT)/Thousand</f>
        <v>-51.4495212004463</v>
      </c>
      <c r="EA159" s="43" t="n">
        <f aca="false">-($E31-In_Ref_Community)*EA110*(1-In_CIT)/Thousand</f>
        <v>-51.2951726368449</v>
      </c>
      <c r="EB159" s="43" t="n">
        <f aca="false">-($E31-In_Ref_Community)*EB110*(1-In_CIT)/Thousand</f>
        <v>-50.1800601882179</v>
      </c>
      <c r="EC159" s="43" t="n">
        <f aca="false">-($E31-In_Ref_Community)*EC110*(1-In_CIT)/Thousand</f>
        <v>-50.7376164125314</v>
      </c>
      <c r="ED159" s="43" t="n">
        <f aca="false">-($E31-In_Ref_Community)*ED110*(1-In_CIT)/Thousand</f>
        <v>-51.2951726368449</v>
      </c>
      <c r="EE159" s="43" t="n">
        <f aca="false">-($E31-In_Ref_Community)*EE110*(1-In_CIT)/Thousand</f>
        <v>-51.1412871189344</v>
      </c>
      <c r="EF159" s="43" t="n">
        <f aca="false">-($E31-In_Ref_Community)*EF110*(1-In_CIT)/Thousand</f>
        <v>-50.0295200076532</v>
      </c>
      <c r="EG159" s="43" t="n">
        <f aca="false">-($E31-In_Ref_Community)*EG110*(1-In_CIT)/Thousand</f>
        <v>-50.5854035632938</v>
      </c>
      <c r="EH159" s="43" t="n">
        <f aca="false">-($E31-In_Ref_Community)*EH110*(1-In_CIT)/Thousand</f>
        <v>-51.1412871189344</v>
      </c>
      <c r="EI159" s="43" t="n">
        <f aca="false">-($E31-In_Ref_Community)*EI110*(1-In_CIT)/Thousand</f>
        <v>-50.9878632575776</v>
      </c>
      <c r="EJ159" s="43" t="n">
        <f aca="false">-($E31-In_Ref_Community)*EJ110*(1-In_CIT)/Thousand</f>
        <v>-49.8794314476303</v>
      </c>
      <c r="EK159" s="43" t="n">
        <f aca="false">-($E31-In_Ref_Community)*EK110*(1-In_CIT)/Thousand</f>
        <v>-50.4336473526039</v>
      </c>
      <c r="EL159" s="43" t="n">
        <f aca="false">-($E31-In_Ref_Community)*EL110*(1-In_CIT)/Thousand</f>
        <v>-50.9878632575776</v>
      </c>
      <c r="EM159" s="43" t="n">
        <f aca="false">-($E31-In_Ref_Community)*EM110*(1-In_CIT)/Thousand</f>
        <v>-50.8348996678049</v>
      </c>
      <c r="EN159" s="43" t="n">
        <f aca="false">-($E31-In_Ref_Community)*EN110*(1-In_CIT)/Thousand</f>
        <v>-50.2823464105461</v>
      </c>
      <c r="EO159" s="43" t="n">
        <f aca="false">-($E31-In_Ref_Community)*EO110*(1-In_CIT)/Thousand</f>
        <v>-50.2823464105461</v>
      </c>
      <c r="EP159" s="43" t="n">
        <f aca="false">-($E31-In_Ref_Community)*EP110*(1-In_CIT)/Thousand</f>
        <v>-50.8348996678049</v>
      </c>
      <c r="EQ159" s="43" t="n">
        <f aca="false">-($E31-In_Ref_Community)*EQ110*(1-In_CIT)/Thousand</f>
        <v>-50.6823949688015</v>
      </c>
      <c r="ER159" s="43" t="n">
        <f aca="false">-($E31-In_Ref_Community)*ER110*(1-In_CIT)/Thousand</f>
        <v>-49.5806037738275</v>
      </c>
      <c r="ES159" s="43" t="n">
        <f aca="false">-($E31-In_Ref_Community)*ES110*(1-In_CIT)/Thousand</f>
        <v>-50.1314993713145</v>
      </c>
      <c r="ET159" s="43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94220.5039225694</v>
      </c>
      <c r="F162" s="43" t="n">
        <f aca="false">MAX(0,$E160+$F160-$E162)</f>
        <v>146940.414855326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64890.7053120239</v>
      </c>
      <c r="F164" s="43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11746.2079961624</v>
      </c>
      <c r="F165" s="43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1510</v>
      </c>
      <c r="F166" s="43" t="n">
        <f aca="false">MIN($E166,$F162-SUM($F163:$F165))</f>
        <v>1510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54442.6433346878</v>
      </c>
      <c r="J169" s="52" t="n">
        <f aca="false">J158+$F168*J14</f>
        <v>-400</v>
      </c>
      <c r="K169" s="52" t="n">
        <f aca="false">K158+$F168*K14</f>
        <v>-1437.78053818728</v>
      </c>
      <c r="L169" s="52" t="n">
        <f aca="false">L158+$F168*L14</f>
        <v>-691.910911990993</v>
      </c>
      <c r="M169" s="52" t="n">
        <f aca="false">M158+$F168*M14</f>
        <v>-148.451634452993</v>
      </c>
      <c r="N169" s="52" t="n">
        <f aca="false">N158+$F168*N14</f>
        <v>-149.601261024582</v>
      </c>
      <c r="O169" s="52" t="n">
        <f aca="false">O158+$F168*O14</f>
        <v>-290.127288421843</v>
      </c>
      <c r="P169" s="52" t="n">
        <f aca="false">P158+$F168*P14</f>
        <v>-1394.65781281475</v>
      </c>
      <c r="Q169" s="52" t="n">
        <f aca="false">Q158+$F168*Q14</f>
        <v>-109.225607055733</v>
      </c>
      <c r="R169" s="52" t="n">
        <f aca="false">R158+$F168*R14</f>
        <v>-269.857154566657</v>
      </c>
      <c r="S169" s="52" t="n">
        <f aca="false">S158+$F168*S14</f>
        <v>-422.991783283459</v>
      </c>
      <c r="T169" s="52" t="n">
        <f aca="false">T158+$F168*T14</f>
        <v>-20587.5113339088</v>
      </c>
      <c r="U169" s="52" t="n">
        <f aca="false">U158+$F168*U14</f>
        <v>-104.616018014637</v>
      </c>
      <c r="V169" s="52" t="n">
        <f aca="false">V158+$F168*V14</f>
        <v>-105.765644586226</v>
      </c>
      <c r="W169" s="52" t="n">
        <f aca="false">W158+$F168*W14</f>
        <v>-6367.1847682608</v>
      </c>
      <c r="X169" s="52" t="n">
        <f aca="false">X158+$F168*X14</f>
        <v>-4661.61083132373</v>
      </c>
      <c r="Y169" s="52" t="n">
        <f aca="false">Y158+$F168*Y14</f>
        <v>-4688.46029001015</v>
      </c>
      <c r="Z169" s="52" t="n">
        <f aca="false">Z158+$F168*Z14</f>
        <v>-4714.48125405884</v>
      </c>
      <c r="AA169" s="52" t="n">
        <f aca="false">AA158+$F168*AA14</f>
        <v>-4688.7004503316</v>
      </c>
      <c r="AB169" s="52" t="n">
        <f aca="false">AB158+$F168*AB14</f>
        <v>-4563.44624851397</v>
      </c>
      <c r="AC169" s="52" t="n">
        <f aca="false">AC158+$F168*AC14</f>
        <v>-4589.20498961362</v>
      </c>
      <c r="AD169" s="52" t="n">
        <f aca="false">AD158+$F168*AD14</f>
        <v>114828.229155109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30754.8631039482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171213.786622901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1418.21917808219</v>
      </c>
      <c r="F179" s="43" t="n">
        <f aca="false">$F85</f>
        <v>6993.56164383562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164220.224979066</v>
      </c>
      <c r="F180" s="52" t="n">
        <f aca="false">$I97+$I98-$I158</f>
        <v>164220.224979066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287506.93004095</v>
      </c>
      <c r="J184" s="52" t="n">
        <f aca="false">J59+J104+J97+J118+J101+J99+J127+J86-$F142*J12</f>
        <v>-400</v>
      </c>
      <c r="K184" s="52" t="n">
        <f aca="false">K59+K104+K97+K118+K101+K99+K127+K86-$F142*K12</f>
        <v>-1437.78053818728</v>
      </c>
      <c r="L184" s="52" t="n">
        <f aca="false">L59+L104+L97+L118+L101+L99+L127+L86-$F142*L12</f>
        <v>-691.910911990993</v>
      </c>
      <c r="M184" s="52" t="n">
        <f aca="false">M59+M104+M97+M118+M101+M99+M127+M86-$F142*M12</f>
        <v>-148.451634452993</v>
      </c>
      <c r="N184" s="52" t="n">
        <f aca="false">N59+N104+N97+N118+N101+N99+N127+N86-$F142*N12</f>
        <v>-149.601261024582</v>
      </c>
      <c r="O184" s="52" t="n">
        <f aca="false">O59+O104+O97+O118+O101+O99+O127+O86-$F142*O12</f>
        <v>-290.127288421843</v>
      </c>
      <c r="P184" s="52" t="n">
        <f aca="false">P59+P104+P97+P118+P101+P99+P127+P86-$F142*P12</f>
        <v>-1394.65781281475</v>
      </c>
      <c r="Q184" s="52" t="n">
        <f aca="false">Q59+Q104+Q97+Q118+Q101+Q99+Q127+Q86-$F142*Q12</f>
        <v>-109.225607055733</v>
      </c>
      <c r="R184" s="52" t="n">
        <f aca="false">R59+R104+R97+R118+R101+R99+R127+R86-$F142*R12</f>
        <v>-269.857154566657</v>
      </c>
      <c r="S184" s="52" t="n">
        <f aca="false">S59+S104+S97+S118+S101+S99+S127+S86-$F142*S12</f>
        <v>-422.991783283459</v>
      </c>
      <c r="T184" s="52" t="n">
        <f aca="false">T59+T104+T97+T118+T101+T99+T127+T86-$F142*T12</f>
        <v>-20587.5113339088</v>
      </c>
      <c r="U184" s="52" t="n">
        <f aca="false">U59+U104+U97+U118+U101+U99+U127+U86-$F142*U12</f>
        <v>-104.616018014637</v>
      </c>
      <c r="V184" s="52" t="n">
        <f aca="false">V59+V104+V97+V118+V101+V99+V127+V86-$F142*V12</f>
        <v>-105.765644586226</v>
      </c>
      <c r="W184" s="52" t="n">
        <f aca="false">W59+W104+W97+W118+W101+W99+W127+W86-$F142*W12</f>
        <v>-9816.25417863877</v>
      </c>
      <c r="X184" s="52" t="n">
        <f aca="false">X59+X104+X97+X118+X101+X99+X127+X86-$F142*X12</f>
        <v>-4661.61083132373</v>
      </c>
      <c r="Y184" s="52" t="n">
        <f aca="false">Y59+Y104+Y97+Y118+Y101+Y99+Y127+Y86-$F142*Y12</f>
        <v>-4688.46029001015</v>
      </c>
      <c r="Z184" s="52" t="n">
        <f aca="false">Z59+Z104+Z97+Z118+Z101+Z99+Z127+Z86-$F142*Z12</f>
        <v>-4714.48125405884</v>
      </c>
      <c r="AA184" s="52" t="n">
        <f aca="false">AA59+AA104+AA97+AA118+AA101+AA99+AA127+AA86-$F142*AA12</f>
        <v>-4688.7004503316</v>
      </c>
      <c r="AB184" s="52" t="n">
        <f aca="false">AB59+AB104+AB97+AB118+AB101+AB99+AB127+AB86-$F142*AB12</f>
        <v>-4563.44624851397</v>
      </c>
      <c r="AC184" s="52" t="n">
        <f aca="false">AC59+AC104+AC97+AC118+AC101+AC99+AC127+AC86-$F142*AC12</f>
        <v>-4589.20498961362</v>
      </c>
      <c r="AD184" s="52" t="n">
        <f aca="false">AD59+AD104+AD97+AD118+AD101+AD99+AD127+AD86-$F142*AD12</f>
        <v>-9614.13523607553</v>
      </c>
      <c r="AE184" s="52" t="n">
        <f aca="false">AE59+AE104+AE97+AE118+AE101+AE99+AE127+AE86-$F142*AE12</f>
        <v>1037.68917836884</v>
      </c>
      <c r="AF184" s="52" t="n">
        <f aca="false">AF59+AF104+AF97+AF118+AF101+AF99+AF127+AF86-$F142*AF12</f>
        <v>-396.777138633818</v>
      </c>
      <c r="AG184" s="52" t="n">
        <f aca="false">AG59+AG104+AG97+AG118+AG101+AG99+AG127+AG86-$F142*AG12</f>
        <v>1021.44203944837</v>
      </c>
      <c r="AH184" s="52" t="n">
        <f aca="false">AH59+AH104+AH97+AH118+AH101+AH99+AH127+AH86-$F142*AH12</f>
        <v>1065.71779487514</v>
      </c>
      <c r="AI184" s="52" t="n">
        <f aca="false">AI59+AI104+AI97+AI118+AI101+AI99+AI127+AI86-$F142*AI12</f>
        <v>1051.0237613614</v>
      </c>
      <c r="AJ184" s="52" t="n">
        <f aca="false">AJ59+AJ104+AJ97+AJ118+AJ101+AJ99+AJ127+AJ86-$F142*AJ12</f>
        <v>967.855456140572</v>
      </c>
      <c r="AK184" s="52" t="n">
        <f aca="false">AK59+AK104+AK97+AK118+AK101+AK99+AK127+AK86-$F142*AK12</f>
        <v>1033.4830359105</v>
      </c>
      <c r="AL184" s="52" t="n">
        <f aca="false">AL59+AL104+AL97+AL118+AL101+AL99+AL127+AL86-$F142*AL12</f>
        <v>1074.64840725743</v>
      </c>
      <c r="AM184" s="52" t="n">
        <f aca="false">AM59+AM104+AM97+AM118+AM101+AM99+AM127+AM86-$F142*AM12</f>
        <v>1058.946365332</v>
      </c>
      <c r="AN184" s="52" t="n">
        <f aca="false">AN59+AN104+AN97+AN118+AN101+AN99+AN127+AN86-$F142*AN12</f>
        <v>994.711877093503</v>
      </c>
      <c r="AO184" s="52" t="n">
        <f aca="false">AO59+AO104+AO97+AO118+AO101+AO99+AO127+AO86-$F142*AO12</f>
        <v>1035.91913713534</v>
      </c>
      <c r="AP184" s="52" t="n">
        <f aca="false">AP59+AP104+AP97+AP118+AP101+AP99+AP127+AP86-$F142*AP12</f>
        <v>1077.09762027179</v>
      </c>
      <c r="AQ184" s="52" t="n">
        <f aca="false">AQ59+AQ104+AQ97+AQ118+AQ101+AQ99+AQ127+AQ86-$F142*AQ12</f>
        <v>1061.19607751072</v>
      </c>
      <c r="AR184" s="52" t="n">
        <f aca="false">AR59+AR104+AR97+AR118+AR101+AR99+AR127+AR86-$F142*AR12</f>
        <v>996.359693051562</v>
      </c>
      <c r="AS184" s="52" t="n">
        <f aca="false">AS59+AS104+AS97+AS118+AS101+AS99+AS127+AS86-$F142*AS12</f>
        <v>1037.57223061168</v>
      </c>
      <c r="AT184" s="52" t="n">
        <f aca="false">AT59+AT104+AT97+AT118+AT101+AT99+AT127+AT86-$F142*AT12</f>
        <v>1078.75452521727</v>
      </c>
      <c r="AU184" s="52" t="n">
        <f aca="false">AU59+AU104+AU97+AU118+AU101+AU99+AU127+AU86-$F142*AU12</f>
        <v>1062.64737402308</v>
      </c>
      <c r="AV184" s="52" t="n">
        <f aca="false">AV59+AV104+AV97+AV118+AV101+AV99+AV127+AV86-$F142*AV12</f>
        <v>1040.94968109009</v>
      </c>
      <c r="AW184" s="52" t="n">
        <f aca="false">AW59+AW104+AW97+AW118+AW101+AW99+AW127+AW86-$F142*AW12</f>
        <v>1038.40698572612</v>
      </c>
      <c r="AX184" s="52" t="n">
        <f aca="false">AX59+AX104+AX97+AX118+AX101+AX99+AX127+AX86-$F142*AX12</f>
        <v>1079.58336778219</v>
      </c>
      <c r="AY184" s="52" t="n">
        <f aca="false">AY59+AY104+AY97+AY118+AY101+AY99+AY127+AY86-$F142*AY12</f>
        <v>1063.26420819321</v>
      </c>
      <c r="AZ184" s="52" t="n">
        <f aca="false">AZ59+AZ104+AZ97+AZ118+AZ101+AZ99+AZ127+AZ86-$F142*AZ12</f>
        <v>997.192853302776</v>
      </c>
      <c r="BA184" s="52" t="n">
        <f aca="false">BA59+BA104+BA97+BA118+BA101+BA99+BA127+BA86-$F142*BA12</f>
        <v>1038.38655959095</v>
      </c>
      <c r="BB184" s="52" t="n">
        <f aca="false">BB59+BB104+BB97+BB118+BB101+BB99+BB127+BB86-$F142*BB12</f>
        <v>1079.54686295618</v>
      </c>
      <c r="BC184" s="52" t="n">
        <f aca="false">BC59+BC104+BC97+BC118+BC101+BC99+BC127+BC86-$F142*BC12</f>
        <v>1063.00898769499</v>
      </c>
      <c r="BD184" s="52" t="n">
        <f aca="false">BD59+BD104+BD97+BD118+BD101+BD99+BD127+BD86-$F142*BD12</f>
        <v>996.303826447978</v>
      </c>
      <c r="BE184" s="52" t="n">
        <f aca="false">BE59+BE104+BE97+BE118+BE101+BE99+BE127+BE86-$F142*BE12</f>
        <v>1037.47252823187</v>
      </c>
      <c r="BF184" s="52" t="n">
        <f aca="false">BF59+BF104+BF97+BF118+BF101+BF99+BF127+BF86-$F142*BF12</f>
        <v>1078.60612536964</v>
      </c>
      <c r="BG184" s="52" t="n">
        <f aca="false">BG59+BG104+BG97+BG118+BG101+BG99+BG127+BG86-$F142*BG12</f>
        <v>1061.84250412526</v>
      </c>
      <c r="BH184" s="52" t="n">
        <f aca="false">BH59+BH104+BH97+BH118+BH101+BH99+BH127+BH86-$F142*BH12</f>
        <v>994.492139597744</v>
      </c>
      <c r="BI184" s="52" t="n">
        <f aca="false">BI59+BI104+BI97+BI118+BI101+BI99+BI127+BI86-$F142*BI12</f>
        <v>1035.62481447865</v>
      </c>
      <c r="BJ184" s="52" t="n">
        <f aca="false">BJ59+BJ104+BJ97+BJ118+BJ101+BJ99+BJ127+BJ86-$F142*BJ12</f>
        <v>1076.72059629541</v>
      </c>
      <c r="BK184" s="52" t="n">
        <f aca="false">BK59+BK104+BK97+BK118+BK101+BK99+BK127+BK86-$F142*BK12</f>
        <v>1059.72385919996</v>
      </c>
      <c r="BL184" s="52" t="n">
        <f aca="false">BL59+BL104+BL97+BL118+BL101+BL99+BL127+BL86-$F142*BL12</f>
        <v>1035.90341989363</v>
      </c>
      <c r="BM184" s="52" t="n">
        <f aca="false">BM59+BM104+BM97+BM118+BM101+BM99+BM127+BM86-$F142*BM12</f>
        <v>1032.80161239613</v>
      </c>
      <c r="BN184" s="52" t="n">
        <f aca="false">BN59+BN104+BN97+BN118+BN101+BN99+BN127+BN86-$F142*BN12</f>
        <v>1073.84796714762</v>
      </c>
      <c r="BO184" s="52" t="n">
        <f aca="false">BO59+BO104+BO97+BO118+BO101+BO99+BO127+BO86-$F142*BO12</f>
        <v>1056.61038740647</v>
      </c>
      <c r="BP184" s="52" t="n">
        <f aca="false">BP59+BP104+BP97+BP118+BP101+BP99+BP127+BP86-$F142*BP12</f>
        <v>987.933768987489</v>
      </c>
      <c r="BQ184" s="52" t="n">
        <f aca="false">BQ59+BQ104+BQ97+BQ118+BQ101+BQ99+BQ127+BQ86-$F142*BQ12</f>
        <v>1028.95930808444</v>
      </c>
      <c r="BR184" s="52" t="n">
        <f aca="false">BR59+BR104+BR97+BR118+BR101+BR99+BR127+BR86-$F142*BR12</f>
        <v>1069.94409930481</v>
      </c>
      <c r="BS184" s="52" t="n">
        <f aca="false">BS59+BS104+BS97+BS118+BS101+BS99+BS127+BS86-$F142*BS12</f>
        <v>4060.1092793242</v>
      </c>
      <c r="BT184" s="52" t="n">
        <f aca="false">BT59+BT104+BT97+BT118+BT101+BT99+BT127+BT86-$F142*BT12</f>
        <v>3994.13434202624</v>
      </c>
      <c r="BU184" s="52" t="n">
        <f aca="false">BU59+BU104+BU97+BU118+BU101+BU99+BU127+BU86-$F142*BU12</f>
        <v>4038.5136124932</v>
      </c>
      <c r="BV184" s="52" t="n">
        <f aca="false">BV59+BV104+BV97+BV118+BV101+BV99+BV127+BV86-$F142*BV12</f>
        <v>4082.89288296016</v>
      </c>
      <c r="BW184" s="52" t="n">
        <f aca="false">BW59+BW104+BW97+BW118+BW101+BW99+BW127+BW86-$F142*BW12</f>
        <v>4068.66100375111</v>
      </c>
      <c r="BX184" s="52" t="n">
        <f aca="false">BX59+BX104+BX97+BX118+BX101+BX99+BX127+BX86-$F142*BX12</f>
        <v>4002.16336676262</v>
      </c>
      <c r="BY184" s="52" t="n">
        <f aca="false">BY59+BY104+BY97+BY118+BY101+BY99+BY127+BY86-$F142*BY12</f>
        <v>4046.63184861554</v>
      </c>
      <c r="BZ184" s="52" t="n">
        <f aca="false">BZ59+BZ104+BZ97+BZ118+BZ101+BZ99+BZ127+BZ86-$F142*BZ12</f>
        <v>4091.10033046846</v>
      </c>
      <c r="CA184" s="52" t="n">
        <f aca="false">CA59+CA104+CA97+CA118+CA101+CA99+CA127+CA86-$F142*CA12</f>
        <v>4076.78102375911</v>
      </c>
      <c r="CB184" s="52" t="n">
        <f aca="false">CB59+CB104+CB97+CB118+CB101+CB99+CB127+CB86-$F142*CB12</f>
        <v>4054.30866905455</v>
      </c>
      <c r="CC184" s="52" t="n">
        <f aca="false">CC59+CC104+CC97+CC118+CC101+CC99+CC127+CC86-$F142*CC12</f>
        <v>4054.30866905455</v>
      </c>
      <c r="CD184" s="52" t="n">
        <f aca="false">CD59+CD104+CD97+CD118+CD101+CD99+CD127+CD86-$F142*CD12</f>
        <v>4098.86151157164</v>
      </c>
      <c r="CE184" s="52" t="n">
        <f aca="false">CE59+CE104+CE97+CE118+CE101+CE99+CE127+CE86-$F142*CE12</f>
        <v>4084.45454603226</v>
      </c>
      <c r="CF184" s="52" t="n">
        <f aca="false">CF59+CF104+CF97+CF118+CF101+CF99+CF127+CF86-$F142*CF12</f>
        <v>4016.89686178095</v>
      </c>
      <c r="CG184" s="52" t="n">
        <f aca="false">CG59+CG104+CG97+CG118+CG101+CG99+CG127+CG86-$F142*CG12</f>
        <v>4061.52904913407</v>
      </c>
      <c r="CH184" s="52" t="n">
        <f aca="false">CH59+CH104+CH97+CH118+CH101+CH99+CH127+CH86-$F142*CH12</f>
        <v>4106.16123648719</v>
      </c>
      <c r="CI184" s="52" t="n">
        <f aca="false">CI59+CI104+CI97+CI118+CI101+CI99+CI127+CI86-$F142*CI12</f>
        <v>4091.66638710419</v>
      </c>
      <c r="CJ184" s="52" t="n">
        <f aca="false">CJ59+CJ104+CJ97+CJ118+CJ101+CJ99+CJ127+CJ86-$F142*CJ12</f>
        <v>4023.57122153205</v>
      </c>
      <c r="CK184" s="52" t="n">
        <f aca="false">CK59+CK104+CK97+CK118+CK101+CK99+CK127+CK86-$F142*CK12</f>
        <v>4068.27756843796</v>
      </c>
      <c r="CL184" s="52" t="n">
        <f aca="false">CL59+CL104+CL97+CL118+CL101+CL99+CL127+CL86-$F142*CL12</f>
        <v>4112.98391534387</v>
      </c>
      <c r="CM184" s="52" t="n">
        <f aca="false">CM59+CM104+CM97+CM118+CM101+CM99+CM127+CM86-$F142*CM12</f>
        <v>4098.4009636387</v>
      </c>
      <c r="CN184" s="52" t="n">
        <f aca="false">CN59+CN104+CN97+CN118+CN101+CN99+CN127+CN86-$F142*CN12</f>
        <v>4029.76325369152</v>
      </c>
      <c r="CO184" s="52" t="n">
        <f aca="false">CO59+CO104+CO97+CO118+CO101+CO99+CO127+CO86-$F142*CO12</f>
        <v>4074.53840095476</v>
      </c>
      <c r="CP184" s="52" t="n">
        <f aca="false">CP59+CP104+CP97+CP118+CP101+CP99+CP127+CP86-$F142*CP12</f>
        <v>4119.313548218</v>
      </c>
      <c r="CQ184" s="52" t="n">
        <f aca="false">CQ59+CQ104+CQ97+CQ118+CQ101+CQ99+CQ127+CQ86-$F142*CQ12</f>
        <v>4104.64228247146</v>
      </c>
      <c r="CR184" s="52" t="n">
        <f aca="false">CR59+CR104+CR97+CR118+CR101+CR99+CR127+CR86-$F142*CR12</f>
        <v>4080.29530498012</v>
      </c>
      <c r="CS184" s="52" t="n">
        <f aca="false">CS59+CS104+CS97+CS118+CS101+CS99+CS127+CS86-$F142*CS12</f>
        <v>4080.29530498012</v>
      </c>
      <c r="CT184" s="52" t="n">
        <f aca="false">CT59+CT104+CT97+CT118+CT101+CT99+CT127+CT86-$F142*CT12</f>
        <v>4125.13371492496</v>
      </c>
      <c r="CU184" s="52" t="n">
        <f aca="false">CU59+CU104+CU97+CU118+CU101+CU99+CU127+CU86-$F142*CU12</f>
        <v>4110.37393040698</v>
      </c>
      <c r="CV184" s="52" t="n">
        <f aca="false">CV59+CV104+CV97+CV118+CV101+CV99+CV127+CV86-$F142*CV12</f>
        <v>4040.63566098232</v>
      </c>
      <c r="CW184" s="52" t="n">
        <f aca="false">CW59+CW104+CW97+CW118+CW101+CW99+CW127+CW86-$F142*CW12</f>
        <v>4085.53161277101</v>
      </c>
      <c r="CX184" s="52" t="n">
        <f aca="false">CX59+CX104+CX97+CX118+CX101+CX99+CX127+CX86-$F142*CX12</f>
        <v>4130.4275645597</v>
      </c>
      <c r="CY184" s="52" t="n">
        <f aca="false">CY59+CY104+CY97+CY118+CY101+CY99+CY127+CY86-$F142*CY12</f>
        <v>4115.57906376473</v>
      </c>
      <c r="CZ184" s="52" t="n">
        <f aca="false">CZ59+CZ104+CZ97+CZ118+CZ101+CZ99+CZ127+CZ86-$F142*CZ12</f>
        <v>4045.28263511113</v>
      </c>
      <c r="DA184" s="52" t="n">
        <f aca="false">DA59+DA104+DA97+DA118+DA101+DA99+DA127+DA86-$F142*DA12</f>
        <v>4090.2302199457</v>
      </c>
      <c r="DB184" s="52" t="n">
        <f aca="false">DB59+DB104+DB97+DB118+DB101+DB99+DB127+DB86-$F142*DB12</f>
        <v>4135.17780478027</v>
      </c>
      <c r="DC184" s="52" t="n">
        <f aca="false">DC59+DC104+DC97+DC118+DC101+DC99+DC127+DC86-$F142*DC12</f>
        <v>4120.24039766833</v>
      </c>
      <c r="DD184" s="52" t="n">
        <f aca="false">DD59+DD104+DD97+DD118+DD101+DD99+DD127+DD86-$F142*DD12</f>
        <v>4049.38045841856</v>
      </c>
      <c r="DE184" s="52" t="n">
        <f aca="false">DE59+DE104+DE97+DE118+DE101+DE99+DE127+DE86-$F142*DE12</f>
        <v>4094.37357462321</v>
      </c>
      <c r="DF184" s="52" t="n">
        <f aca="false">DF59+DF104+DF97+DF118+DF101+DF99+DF127+DF86-$F142*DF12</f>
        <v>4139.36669082786</v>
      </c>
      <c r="DG184" s="52" t="n">
        <f aca="false">DG59+DG104+DG97+DG118+DG101+DG99+DG127+DG86-$F142*DG12</f>
        <v>3948.00494486583</v>
      </c>
      <c r="DH184" s="52" t="n">
        <f aca="false">DH59+DH104+DH97+DH118+DH101+DH99+DH127+DH86-$F142*DH12</f>
        <v>3923.5251035924</v>
      </c>
      <c r="DI184" s="52" t="n">
        <f aca="false">DI59+DI104+DI97+DI118+DI101+DI99+DI127+DI86-$F142*DI12</f>
        <v>3923.5251035924</v>
      </c>
      <c r="DJ184" s="52" t="n">
        <f aca="false">DJ59+DJ104+DJ97+DJ118+DJ101+DJ99+DJ127+DJ86-$F142*DJ12</f>
        <v>3966.64076407144</v>
      </c>
      <c r="DK184" s="52" t="n">
        <f aca="false">DK59+DK104+DK97+DK118+DK101+DK99+DK127+DK86-$F142*DK12</f>
        <v>3951.52500530895</v>
      </c>
      <c r="DL184" s="52" t="n">
        <f aca="false">DL59+DL104+DL97+DL118+DL101+DL99+DL127+DL86-$F142*DL12</f>
        <v>3883.35506214572</v>
      </c>
      <c r="DM184" s="52" t="n">
        <f aca="false">DM59+DM104+DM97+DM118+DM101+DM99+DM127+DM86-$F142*DM12</f>
        <v>3926.50345172512</v>
      </c>
      <c r="DN184" s="52" t="n">
        <f aca="false">DN59+DN104+DN97+DN118+DN101+DN99+DN127+DN86-$F142*DN12</f>
        <v>3969.65184130451</v>
      </c>
      <c r="DO184" s="52" t="n">
        <f aca="false">DO59+DO104+DO97+DO118+DO101+DO99+DO127+DO86-$F142*DO12</f>
        <v>3954.44665339857</v>
      </c>
      <c r="DP184" s="52" t="n">
        <f aca="false">DP59+DP104+DP97+DP118+DP101+DP99+DP127+DP86-$F142*DP12</f>
        <v>3885.69668644693</v>
      </c>
      <c r="DQ184" s="52" t="n">
        <f aca="false">DQ59+DQ104+DQ97+DQ118+DQ101+DQ99+DQ127+DQ86-$F142*DQ12</f>
        <v>3928.87109407412</v>
      </c>
      <c r="DR184" s="52" t="n">
        <f aca="false">DR59+DR104+DR97+DR118+DR101+DR99+DR127+DR86-$F142*DR12</f>
        <v>3972.04550170131</v>
      </c>
      <c r="DS184" s="52" t="n">
        <f aca="false">DS59+DS104+DS97+DS118+DS101+DS99+DS127+DS86-$F142*DS12</f>
        <v>3956.75072700462</v>
      </c>
      <c r="DT184" s="52" t="n">
        <f aca="false">DT59+DT104+DT97+DT118+DT101+DT99+DT127+DT86-$F142*DT12</f>
        <v>3887.415073898</v>
      </c>
      <c r="DU184" s="52" t="n">
        <f aca="false">DU59+DU104+DU97+DU118+DU101+DU99+DU127+DU86-$F142*DU12</f>
        <v>3930.60857471908</v>
      </c>
      <c r="DV184" s="52" t="n">
        <f aca="false">DV59+DV104+DV97+DV118+DV101+DV99+DV127+DV86-$F142*DV12</f>
        <v>3973.80207554017</v>
      </c>
      <c r="DW184" s="52" t="n">
        <f aca="false">DW59+DW104+DW97+DW118+DW101+DW99+DW127+DW86-$F142*DW12</f>
        <v>3958.41756516718</v>
      </c>
      <c r="DX184" s="52" t="n">
        <f aca="false">DX59+DX104+DX97+DX118+DX101+DX99+DX127+DX86-$F142*DX12</f>
        <v>3931.695931801</v>
      </c>
      <c r="DY184" s="52" t="n">
        <f aca="false">DY59+DY104+DY97+DY118+DY101+DY99+DY127+DY86-$F142*DY12</f>
        <v>3931.695931801</v>
      </c>
      <c r="DZ184" s="52" t="n">
        <f aca="false">DZ59+DZ104+DZ97+DZ118+DZ101+DZ99+DZ127+DZ86-$F142*DZ12</f>
        <v>3974.90138160101</v>
      </c>
      <c r="EA184" s="52" t="n">
        <f aca="false">EA59+EA104+EA97+EA118+EA101+EA99+EA127+EA86-$F142*EA12</f>
        <v>3959.42699570617</v>
      </c>
      <c r="EB184" s="52" t="n">
        <f aca="false">EB59+EB104+EB97+EB118+EB101+EB99+EB127+EB86-$F142*EB12</f>
        <v>3888.90265545373</v>
      </c>
      <c r="EC184" s="52" t="n">
        <f aca="false">EC59+EC104+EC97+EC118+EC101+EC99+EC127+EC86-$F142*EC12</f>
        <v>3932.11268495877</v>
      </c>
      <c r="ED184" s="52" t="n">
        <f aca="false">ED59+ED104+ED97+ED118+ED101+ED99+ED127+ED86-$F142*ED12</f>
        <v>3975.32271446381</v>
      </c>
      <c r="EE184" s="52" t="n">
        <f aca="false">EE59+EE104+EE97+EE118+EE101+EE99+EE127+EE86-$F142*EE12</f>
        <v>3959.75832252664</v>
      </c>
      <c r="EF184" s="52" t="n">
        <f aca="false">EF59+EF104+EF97+EF118+EF101+EF99+EF127+EF86-$F142*EF12</f>
        <v>3888.63081341921</v>
      </c>
      <c r="EG184" s="52" t="n">
        <f aca="false">EG59+EG104+EG97+EG118+EG101+EG99+EG127+EG86-$F142*EG12</f>
        <v>3931.8378224572</v>
      </c>
      <c r="EH184" s="52" t="n">
        <f aca="false">EH59+EH104+EH97+EH118+EH101+EH99+EH127+EH86-$F142*EH12</f>
        <v>3975.04483149519</v>
      </c>
      <c r="EI184" s="52" t="n">
        <f aca="false">EI59+EI104+EI97+EI118+EI101+EI99+EI127+EI86-$F142*EI12</f>
        <v>3959.39031261208</v>
      </c>
      <c r="EJ184" s="52" t="n">
        <f aca="false">EJ59+EJ104+EJ97+EJ118+EJ101+EJ99+EJ127+EJ86-$F142*EJ12</f>
        <v>3887.65363648219</v>
      </c>
      <c r="EK184" s="52" t="n">
        <f aca="false">EK59+EK104+EK97+EK118+EK101+EK99+EK127+EK86-$F142*EK12</f>
        <v>3930.84978799866</v>
      </c>
      <c r="EL184" s="52" t="n">
        <f aca="false">EL59+EL104+EL97+EL118+EL101+EL99+EL127+EL86-$F142*EL12</f>
        <v>3974.04593951513</v>
      </c>
      <c r="EM184" s="52" t="n">
        <f aca="false">EM59+EM104+EM97+EM118+EM101+EM99+EM127+EM86-$F142*EM12</f>
        <v>3958.30118269824</v>
      </c>
      <c r="EN184" s="52" t="n">
        <f aca="false">EN59+EN104+EN97+EN118+EN101+EN99+EN127+EN86-$F142*EN12</f>
        <v>3929.12646721084</v>
      </c>
      <c r="EO184" s="52" t="n">
        <f aca="false">EO59+EO104+EO97+EO118+EO101+EO99+EO127+EO86-$F142*EO12</f>
        <v>3929.12646721084</v>
      </c>
      <c r="EP184" s="52" t="n">
        <f aca="false">EP59+EP104+EP97+EP118+EP101+EP99+EP127+EP86-$F142*EP12</f>
        <v>3972.30368113624</v>
      </c>
      <c r="EQ184" s="52" t="n">
        <f aca="false">EQ59+EQ104+EQ97+EQ118+EQ101+EQ99+EQ127+EQ86-$F142*EQ12</f>
        <v>3956.46858561953</v>
      </c>
      <c r="ER184" s="52" t="n">
        <f aca="false">ER59+ER104+ER97+ER118+ER101+ER99+ER127+ER86-$F142*ER12</f>
        <v>3883.49522683763</v>
      </c>
      <c r="ES184" s="52" t="n">
        <f aca="false">ES59+ES104+ES97+ES118+ES101+ES99+ES127+ES86-$F142*ES12</f>
        <v>3926.6451738025</v>
      </c>
      <c r="ET184" s="52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1.32847346238474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1.38018192774351</v>
      </c>
      <c r="AF188" s="48" t="n">
        <f aca="false">IF(AF101+AF99&lt;0,(AF118+AF127)/-(AF101+AF99),"")</f>
        <v>1.37439775882971</v>
      </c>
      <c r="AG188" s="48" t="n">
        <f aca="false">IF(AG101+AG99&lt;0,(AG118+AG127)/-(AG101+AG99),"")</f>
        <v>1.37439775882971</v>
      </c>
      <c r="AH188" s="48" t="n">
        <f aca="false">IF(AH101+AH99&lt;0,(AH118+AH127)/-(AH101+AH99),"")</f>
        <v>1.38950103090477</v>
      </c>
      <c r="AI188" s="48" t="n">
        <f aca="false">IF(AI101+AI99&lt;0,(AI118+AI127)/-(AI101+AI99),"")</f>
        <v>1.38461548066226</v>
      </c>
      <c r="AJ188" s="48" t="n">
        <f aca="false">IF(AJ101+AJ99&lt;0,(AJ118+AJ127)/-(AJ101+AJ99),"")</f>
        <v>1.35619877328909</v>
      </c>
      <c r="AK188" s="48" t="n">
        <f aca="false">IF(AK101+AK99&lt;0,(AK118+AK127)/-(AK101+AK99),"")</f>
        <v>1.34361792437698</v>
      </c>
      <c r="AL188" s="48" t="n">
        <f aca="false">IF(AL101+AL99&lt;0,(AL118+AL127)/-(AL101+AL99),"")</f>
        <v>1.35730480550317</v>
      </c>
      <c r="AM188" s="48" t="n">
        <f aca="false">IF(AM101+AM99&lt;0,(AM118+AM127)/-(AM101+AM99),"")</f>
        <v>1.35208410727454</v>
      </c>
      <c r="AN188" s="48" t="n">
        <f aca="false">IF(AN101+AN99&lt;0,(AN118+AN127)/-(AN101+AN99),"")</f>
        <v>1.33072708373861</v>
      </c>
      <c r="AO188" s="48" t="n">
        <f aca="false">IF(AO101+AO99&lt;0,(AO118+AO127)/-(AO101+AO99),"")</f>
        <v>1.34442789224038</v>
      </c>
      <c r="AP188" s="48" t="n">
        <f aca="false">IF(AP101+AP99&lt;0,(AP118+AP127)/-(AP101+AP99),"")</f>
        <v>1.35811913284393</v>
      </c>
      <c r="AQ188" s="48" t="n">
        <f aca="false">IF(AQ101+AQ99&lt;0,(AQ118+AQ127)/-(AQ101+AQ99),"")</f>
        <v>1.35283210351874</v>
      </c>
      <c r="AR188" s="48" t="n">
        <f aca="false">IF(AR101+AR99&lt;0,(AR118+AR127)/-(AR101+AR99),"")</f>
        <v>1.33127495833315</v>
      </c>
      <c r="AS188" s="48" t="n">
        <f aca="false">IF(AS101+AS99&lt;0,(AS118+AS127)/-(AS101+AS99),"")</f>
        <v>1.34497752153221</v>
      </c>
      <c r="AT188" s="48" t="n">
        <f aca="false">IF(AT101+AT99&lt;0,(AT118+AT127)/-(AT101+AT99),"")</f>
        <v>1.35867002939324</v>
      </c>
      <c r="AU188" s="48" t="n">
        <f aca="false">IF(AU101+AU99&lt;0,(AU118+AU127)/-(AU101+AU99),"")</f>
        <v>1.35331463828506</v>
      </c>
      <c r="AV188" s="48" t="n">
        <f aca="false">IF(AV101+AV99&lt;0,(AV118+AV127)/-(AV101+AV99),"")</f>
        <v>1.34610047419108</v>
      </c>
      <c r="AW188" s="48" t="n">
        <f aca="false">IF(AW101+AW99&lt;0,(AW118+AW127)/-(AW101+AW99),"")</f>
        <v>1.34525506534262</v>
      </c>
      <c r="AX188" s="48" t="n">
        <f aca="false">IF(AX101+AX99&lt;0,(AX118+AX127)/-(AX101+AX99),"")</f>
        <v>1.35894560736782</v>
      </c>
      <c r="AY188" s="48" t="n">
        <f aca="false">IF(AY101+AY99&lt;0,(AY118+AY127)/-(AY101+AY99),"")</f>
        <v>1.35351972658343</v>
      </c>
      <c r="AZ188" s="48" t="n">
        <f aca="false">IF(AZ101+AZ99&lt;0,(AZ118+AZ127)/-(AZ101+AZ99),"")</f>
        <v>1.33155197187498</v>
      </c>
      <c r="BA188" s="48" t="n">
        <f aca="false">IF(BA101+BA99&lt;0,(BA118+BA127)/-(BA101+BA99),"")</f>
        <v>1.3452482739528</v>
      </c>
      <c r="BB188" s="48" t="n">
        <f aca="false">IF(BB101+BB99&lt;0,(BB118+BB127)/-(BB101+BB99),"")</f>
        <v>1.35893347004954</v>
      </c>
      <c r="BC188" s="48" t="n">
        <f aca="false">IF(BC101+BC99&lt;0,(BC118+BC127)/-(BC101+BC99),"")</f>
        <v>1.35343486951775</v>
      </c>
      <c r="BD188" s="48" t="n">
        <f aca="false">IF(BD101+BD99&lt;0,(BD118+BD127)/-(BD101+BD99),"")</f>
        <v>1.33125638350831</v>
      </c>
      <c r="BE188" s="48" t="n">
        <f aca="false">IF(BE101+BE99&lt;0,(BE118+BE127)/-(BE101+BE99),"")</f>
        <v>1.34494437195585</v>
      </c>
      <c r="BF188" s="48" t="n">
        <f aca="false">IF(BF101+BF99&lt;0,(BF118+BF127)/-(BF101+BF99),"")</f>
        <v>1.35862068862436</v>
      </c>
      <c r="BG188" s="48" t="n">
        <f aca="false">IF(BG101+BG99&lt;0,(BG118+BG127)/-(BG101+BG99),"")</f>
        <v>1.35304703087006</v>
      </c>
      <c r="BH188" s="48" t="n">
        <f aca="false">IF(BH101+BH99&lt;0,(BH118+BH127)/-(BH101+BH99),"")</f>
        <v>1.33065402424989</v>
      </c>
      <c r="BI188" s="48" t="n">
        <f aca="false">IF(BI101+BI99&lt;0,(BI118+BI127)/-(BI101+BI99),"")</f>
        <v>1.34433003428154</v>
      </c>
      <c r="BJ188" s="48" t="n">
        <f aca="false">IF(BJ101+BJ99&lt;0,(BJ118+BJ127)/-(BJ101+BJ99),"")</f>
        <v>1.35799377791143</v>
      </c>
      <c r="BK188" s="48" t="n">
        <f aca="false">IF(BK101+BK99&lt;0,(BK118+BK127)/-(BK101+BK99),"")</f>
        <v>1.35234261256185</v>
      </c>
      <c r="BL188" s="48" t="n">
        <f aca="false">IF(BL101+BL99&lt;0,(BL118+BL127)/-(BL101+BL99),"")</f>
        <v>1.34442266648845</v>
      </c>
      <c r="BM188" s="48" t="n">
        <f aca="false">IF(BM101+BM99&lt;0,(BM118+BM127)/-(BM101+BM99),"")</f>
        <v>1.34339136107068</v>
      </c>
      <c r="BN188" s="48" t="n">
        <f aca="false">IF(BN101+BN99&lt;0,(BN118+BN127)/-(BN101+BN99),"")</f>
        <v>1.3570386709276</v>
      </c>
      <c r="BO188" s="48" t="n">
        <f aca="false">IF(BO101+BO99&lt;0,(BO118+BO127)/-(BO101+BO99),"")</f>
        <v>1.35130742893705</v>
      </c>
      <c r="BP188" s="48" t="n">
        <f aca="false">IF(BP101+BP99&lt;0,(BP118+BP127)/-(BP101+BP99),"")</f>
        <v>1.32847346238474</v>
      </c>
      <c r="BQ188" s="48" t="n">
        <f aca="false">IF(BQ101+BQ99&lt;0,(BQ118+BQ127)/-(BQ101+BQ99),"")</f>
        <v>1.34211385134238</v>
      </c>
      <c r="BR188" s="48" t="n">
        <f aca="false">IF(BR101+BR99&lt;0,(BR118+BR127)/-(BR101+BR99),"")</f>
        <v>1.35574069222977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434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2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2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2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2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2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2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2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2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2" t="n">
        <f aca="false">N(ABS(Calc_1!$F146+Calc_1!$E152-Calc_1!$I151)&gt;Tolerance)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2" t="n">
        <f aca="false">N(ABS(Calc_2!$F146+Calc_2!$E152-Calc_2!$I151)&gt;Tolerance)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2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2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2" t="n">
        <f aca="false">N(Calc_1!$F167&lt;-Tolerance)+N(SUM(Calc_1!$F163:$F166)&gt;Calc_1!$F162+Tolerance)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2" t="n">
        <f aca="false">N(Calc_2!$F167&lt;-Tolerance)+N(SUM(Calc_2!$F163:$F166)&gt;Calc_2!$F162+Tolerance)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2" t="n">
        <f aca="false">N(ABS(Calc_1!$E180-Calc_1!$F180)&gt;Tolerance)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2" t="n">
        <f aca="false">N(ABS(Calc_2!$E180-Calc_2!$F180)&gt;Tolerance)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2" t="n">
        <f aca="false">SUM(J28:ET28)</f>
        <v>0</v>
      </c>
      <c r="J28" s="42" t="n">
        <f aca="false">N((Calc_1!J$4&gt;=Calc_1!$F17)*ABS(Calc_1!J100)&gt;Tolerance)</f>
        <v>0</v>
      </c>
      <c r="K28" s="42" t="n">
        <f aca="false">N((Calc_1!K$4&gt;=Calc_1!$F17)*ABS(Calc_1!K100)&gt;Tolerance)</f>
        <v>0</v>
      </c>
      <c r="L28" s="42" t="n">
        <f aca="false">N((Calc_1!L$4&gt;=Calc_1!$F17)*ABS(Calc_1!L100)&gt;Tolerance)</f>
        <v>0</v>
      </c>
      <c r="M28" s="42" t="n">
        <f aca="false">N((Calc_1!M$4&gt;=Calc_1!$F17)*ABS(Calc_1!M100)&gt;Tolerance)</f>
        <v>0</v>
      </c>
      <c r="N28" s="42" t="n">
        <f aca="false">N((Calc_1!N$4&gt;=Calc_1!$F17)*ABS(Calc_1!N100)&gt;Tolerance)</f>
        <v>0</v>
      </c>
      <c r="O28" s="42" t="n">
        <f aca="false">N((Calc_1!O$4&gt;=Calc_1!$F17)*ABS(Calc_1!O100)&gt;Tolerance)</f>
        <v>0</v>
      </c>
      <c r="P28" s="42" t="n">
        <f aca="false">N((Calc_1!P$4&gt;=Calc_1!$F17)*ABS(Calc_1!P100)&gt;Tolerance)</f>
        <v>0</v>
      </c>
      <c r="Q28" s="42" t="n">
        <f aca="false">N((Calc_1!Q$4&gt;=Calc_1!$F17)*ABS(Calc_1!Q100)&gt;Tolerance)</f>
        <v>0</v>
      </c>
      <c r="R28" s="42" t="n">
        <f aca="false">N((Calc_1!R$4&gt;=Calc_1!$F17)*ABS(Calc_1!R100)&gt;Tolerance)</f>
        <v>0</v>
      </c>
      <c r="S28" s="42" t="n">
        <f aca="false">N((Calc_1!S$4&gt;=Calc_1!$F17)*ABS(Calc_1!S100)&gt;Tolerance)</f>
        <v>0</v>
      </c>
      <c r="T28" s="42" t="n">
        <f aca="false">N((Calc_1!T$4&gt;=Calc_1!$F17)*ABS(Calc_1!T100)&gt;Tolerance)</f>
        <v>0</v>
      </c>
      <c r="U28" s="42" t="n">
        <f aca="false">N((Calc_1!U$4&gt;=Calc_1!$F17)*ABS(Calc_1!U100)&gt;Tolerance)</f>
        <v>0</v>
      </c>
      <c r="V28" s="42" t="n">
        <f aca="false">N((Calc_1!V$4&gt;=Calc_1!$F17)*ABS(Calc_1!V100)&gt;Tolerance)</f>
        <v>0</v>
      </c>
      <c r="W28" s="42" t="n">
        <f aca="false">N((Calc_1!W$4&gt;=Calc_1!$F17)*ABS(Calc_1!W100)&gt;Tolerance)</f>
        <v>0</v>
      </c>
      <c r="X28" s="42" t="n">
        <f aca="false">N((Calc_1!X$4&gt;=Calc_1!$F17)*ABS(Calc_1!X100)&gt;Tolerance)</f>
        <v>0</v>
      </c>
      <c r="Y28" s="42" t="n">
        <f aca="false">N((Calc_1!Y$4&gt;=Calc_1!$F17)*ABS(Calc_1!Y100)&gt;Tolerance)</f>
        <v>0</v>
      </c>
      <c r="Z28" s="42" t="n">
        <f aca="false">N((Calc_1!Z$4&gt;=Calc_1!$F17)*ABS(Calc_1!Z100)&gt;Tolerance)</f>
        <v>0</v>
      </c>
      <c r="AA28" s="42" t="n">
        <f aca="false">N((Calc_1!AA$4&gt;=Calc_1!$F17)*ABS(Calc_1!AA100)&gt;Tolerance)</f>
        <v>0</v>
      </c>
      <c r="AB28" s="42" t="n">
        <f aca="false">N((Calc_1!AB$4&gt;=Calc_1!$F17)*ABS(Calc_1!AB100)&gt;Tolerance)</f>
        <v>0</v>
      </c>
      <c r="AC28" s="42" t="n">
        <f aca="false">N((Calc_1!AC$4&gt;=Calc_1!$F17)*ABS(Calc_1!AC100)&gt;Tolerance)</f>
        <v>0</v>
      </c>
      <c r="AD28" s="42" t="n">
        <f aca="false">N((Calc_1!AD$4&gt;=Calc_1!$F17)*ABS(Calc_1!AD100)&gt;Tolerance)</f>
        <v>0</v>
      </c>
      <c r="AE28" s="42" t="n">
        <f aca="false">N((Calc_1!AE$4&gt;=Calc_1!$F17)*ABS(Calc_1!AE100)&gt;Tolerance)</f>
        <v>0</v>
      </c>
      <c r="AF28" s="42" t="n">
        <f aca="false">N((Calc_1!AF$4&gt;=Calc_1!$F17)*ABS(Calc_1!AF100)&gt;Tolerance)</f>
        <v>0</v>
      </c>
      <c r="AG28" s="42" t="n">
        <f aca="false">N((Calc_1!AG$4&gt;=Calc_1!$F17)*ABS(Calc_1!AG100)&gt;Tolerance)</f>
        <v>0</v>
      </c>
      <c r="AH28" s="42" t="n">
        <f aca="false">N((Calc_1!AH$4&gt;=Calc_1!$F17)*ABS(Calc_1!AH100)&gt;Tolerance)</f>
        <v>0</v>
      </c>
      <c r="AI28" s="42" t="n">
        <f aca="false">N((Calc_1!AI$4&gt;=Calc_1!$F17)*ABS(Calc_1!AI100)&gt;Tolerance)</f>
        <v>0</v>
      </c>
      <c r="AJ28" s="42" t="n">
        <f aca="false">N((Calc_1!AJ$4&gt;=Calc_1!$F17)*ABS(Calc_1!AJ100)&gt;Tolerance)</f>
        <v>0</v>
      </c>
      <c r="AK28" s="42" t="n">
        <f aca="false">N((Calc_1!AK$4&gt;=Calc_1!$F17)*ABS(Calc_1!AK100)&gt;Tolerance)</f>
        <v>0</v>
      </c>
      <c r="AL28" s="42" t="n">
        <f aca="false">N((Calc_1!AL$4&gt;=Calc_1!$F17)*ABS(Calc_1!AL100)&gt;Tolerance)</f>
        <v>0</v>
      </c>
      <c r="AM28" s="42" t="n">
        <f aca="false">N((Calc_1!AM$4&gt;=Calc_1!$F17)*ABS(Calc_1!AM100)&gt;Tolerance)</f>
        <v>0</v>
      </c>
      <c r="AN28" s="42" t="n">
        <f aca="false">N((Calc_1!AN$4&gt;=Calc_1!$F17)*ABS(Calc_1!AN100)&gt;Tolerance)</f>
        <v>0</v>
      </c>
      <c r="AO28" s="42" t="n">
        <f aca="false">N((Calc_1!AO$4&gt;=Calc_1!$F17)*ABS(Calc_1!AO100)&gt;Tolerance)</f>
        <v>0</v>
      </c>
      <c r="AP28" s="42" t="n">
        <f aca="false">N((Calc_1!AP$4&gt;=Calc_1!$F17)*ABS(Calc_1!AP100)&gt;Tolerance)</f>
        <v>0</v>
      </c>
      <c r="AQ28" s="42" t="n">
        <f aca="false">N((Calc_1!AQ$4&gt;=Calc_1!$F17)*ABS(Calc_1!AQ100)&gt;Tolerance)</f>
        <v>0</v>
      </c>
      <c r="AR28" s="42" t="n">
        <f aca="false">N((Calc_1!AR$4&gt;=Calc_1!$F17)*ABS(Calc_1!AR100)&gt;Tolerance)</f>
        <v>0</v>
      </c>
      <c r="AS28" s="42" t="n">
        <f aca="false">N((Calc_1!AS$4&gt;=Calc_1!$F17)*ABS(Calc_1!AS100)&gt;Tolerance)</f>
        <v>0</v>
      </c>
      <c r="AT28" s="42" t="n">
        <f aca="false">N((Calc_1!AT$4&gt;=Calc_1!$F17)*ABS(Calc_1!AT100)&gt;Tolerance)</f>
        <v>0</v>
      </c>
      <c r="AU28" s="42" t="n">
        <f aca="false">N((Calc_1!AU$4&gt;=Calc_1!$F17)*ABS(Calc_1!AU100)&gt;Tolerance)</f>
        <v>0</v>
      </c>
      <c r="AV28" s="42" t="n">
        <f aca="false">N((Calc_1!AV$4&gt;=Calc_1!$F17)*ABS(Calc_1!AV100)&gt;Tolerance)</f>
        <v>0</v>
      </c>
      <c r="AW28" s="42" t="n">
        <f aca="false">N((Calc_1!AW$4&gt;=Calc_1!$F17)*ABS(Calc_1!AW100)&gt;Tolerance)</f>
        <v>0</v>
      </c>
      <c r="AX28" s="42" t="n">
        <f aca="false">N((Calc_1!AX$4&gt;=Calc_1!$F17)*ABS(Calc_1!AX100)&gt;Tolerance)</f>
        <v>0</v>
      </c>
      <c r="AY28" s="42" t="n">
        <f aca="false">N((Calc_1!AY$4&gt;=Calc_1!$F17)*ABS(Calc_1!AY100)&gt;Tolerance)</f>
        <v>0</v>
      </c>
      <c r="AZ28" s="42" t="n">
        <f aca="false">N((Calc_1!AZ$4&gt;=Calc_1!$F17)*ABS(Calc_1!AZ100)&gt;Tolerance)</f>
        <v>0</v>
      </c>
      <c r="BA28" s="42" t="n">
        <f aca="false">N((Calc_1!BA$4&gt;=Calc_1!$F17)*ABS(Calc_1!BA100)&gt;Tolerance)</f>
        <v>0</v>
      </c>
      <c r="BB28" s="42" t="n">
        <f aca="false">N((Calc_1!BB$4&gt;=Calc_1!$F17)*ABS(Calc_1!BB100)&gt;Tolerance)</f>
        <v>0</v>
      </c>
      <c r="BC28" s="42" t="n">
        <f aca="false">N((Calc_1!BC$4&gt;=Calc_1!$F17)*ABS(Calc_1!BC100)&gt;Tolerance)</f>
        <v>0</v>
      </c>
      <c r="BD28" s="42" t="n">
        <f aca="false">N((Calc_1!BD$4&gt;=Calc_1!$F17)*ABS(Calc_1!BD100)&gt;Tolerance)</f>
        <v>0</v>
      </c>
      <c r="BE28" s="42" t="n">
        <f aca="false">N((Calc_1!BE$4&gt;=Calc_1!$F17)*ABS(Calc_1!BE100)&gt;Tolerance)</f>
        <v>0</v>
      </c>
      <c r="BF28" s="42" t="n">
        <f aca="false">N((Calc_1!BF$4&gt;=Calc_1!$F17)*ABS(Calc_1!BF100)&gt;Tolerance)</f>
        <v>0</v>
      </c>
      <c r="BG28" s="42" t="n">
        <f aca="false">N((Calc_1!BG$4&gt;=Calc_1!$F17)*ABS(Calc_1!BG100)&gt;Tolerance)</f>
        <v>0</v>
      </c>
      <c r="BH28" s="42" t="n">
        <f aca="false">N((Calc_1!BH$4&gt;=Calc_1!$F17)*ABS(Calc_1!BH100)&gt;Tolerance)</f>
        <v>0</v>
      </c>
      <c r="BI28" s="42" t="n">
        <f aca="false">N((Calc_1!BI$4&gt;=Calc_1!$F17)*ABS(Calc_1!BI100)&gt;Tolerance)</f>
        <v>0</v>
      </c>
      <c r="BJ28" s="42" t="n">
        <f aca="false">N((Calc_1!BJ$4&gt;=Calc_1!$F17)*ABS(Calc_1!BJ100)&gt;Tolerance)</f>
        <v>0</v>
      </c>
      <c r="BK28" s="42" t="n">
        <f aca="false">N((Calc_1!BK$4&gt;=Calc_1!$F17)*ABS(Calc_1!BK100)&gt;Tolerance)</f>
        <v>0</v>
      </c>
      <c r="BL28" s="42" t="n">
        <f aca="false">N((Calc_1!BL$4&gt;=Calc_1!$F17)*ABS(Calc_1!BL100)&gt;Tolerance)</f>
        <v>0</v>
      </c>
      <c r="BM28" s="42" t="n">
        <f aca="false">N((Calc_1!BM$4&gt;=Calc_1!$F17)*ABS(Calc_1!BM100)&gt;Tolerance)</f>
        <v>0</v>
      </c>
      <c r="BN28" s="42" t="n">
        <f aca="false">N((Calc_1!BN$4&gt;=Calc_1!$F17)*ABS(Calc_1!BN100)&gt;Tolerance)</f>
        <v>0</v>
      </c>
      <c r="BO28" s="42" t="n">
        <f aca="false">N((Calc_1!BO$4&gt;=Calc_1!$F17)*ABS(Calc_1!BO100)&gt;Tolerance)</f>
        <v>0</v>
      </c>
      <c r="BP28" s="42" t="n">
        <f aca="false">N((Calc_1!BP$4&gt;=Calc_1!$F17)*ABS(Calc_1!BP100)&gt;Tolerance)</f>
        <v>0</v>
      </c>
      <c r="BQ28" s="42" t="n">
        <f aca="false">N((Calc_1!BQ$4&gt;=Calc_1!$F17)*ABS(Calc_1!BQ100)&gt;Tolerance)</f>
        <v>0</v>
      </c>
      <c r="BR28" s="42" t="n">
        <f aca="false">N((Calc_1!BR$4&gt;=Calc_1!$F17)*ABS(Calc_1!BR100)&gt;Tolerance)</f>
        <v>0</v>
      </c>
      <c r="BS28" s="42" t="n">
        <f aca="false">N((Calc_1!BS$4&gt;=Calc_1!$F17)*ABS(Calc_1!BS100)&gt;Tolerance)</f>
        <v>0</v>
      </c>
      <c r="BT28" s="42" t="n">
        <f aca="false">N((Calc_1!BT$4&gt;=Calc_1!$F17)*ABS(Calc_1!BT100)&gt;Tolerance)</f>
        <v>0</v>
      </c>
      <c r="BU28" s="42" t="n">
        <f aca="false">N((Calc_1!BU$4&gt;=Calc_1!$F17)*ABS(Calc_1!BU100)&gt;Tolerance)</f>
        <v>0</v>
      </c>
      <c r="BV28" s="42" t="n">
        <f aca="false">N((Calc_1!BV$4&gt;=Calc_1!$F17)*ABS(Calc_1!BV100)&gt;Tolerance)</f>
        <v>0</v>
      </c>
      <c r="BW28" s="42" t="n">
        <f aca="false">N((Calc_1!BW$4&gt;=Calc_1!$F17)*ABS(Calc_1!BW100)&gt;Tolerance)</f>
        <v>0</v>
      </c>
      <c r="BX28" s="42" t="n">
        <f aca="false">N((Calc_1!BX$4&gt;=Calc_1!$F17)*ABS(Calc_1!BX100)&gt;Tolerance)</f>
        <v>0</v>
      </c>
      <c r="BY28" s="42" t="n">
        <f aca="false">N((Calc_1!BY$4&gt;=Calc_1!$F17)*ABS(Calc_1!BY100)&gt;Tolerance)</f>
        <v>0</v>
      </c>
      <c r="BZ28" s="42" t="n">
        <f aca="false">N((Calc_1!BZ$4&gt;=Calc_1!$F17)*ABS(Calc_1!BZ100)&gt;Tolerance)</f>
        <v>0</v>
      </c>
      <c r="CA28" s="42" t="n">
        <f aca="false">N((Calc_1!CA$4&gt;=Calc_1!$F17)*ABS(Calc_1!CA100)&gt;Tolerance)</f>
        <v>0</v>
      </c>
      <c r="CB28" s="42" t="n">
        <f aca="false">N((Calc_1!CB$4&gt;=Calc_1!$F17)*ABS(Calc_1!CB100)&gt;Tolerance)</f>
        <v>0</v>
      </c>
      <c r="CC28" s="42" t="n">
        <f aca="false">N((Calc_1!CC$4&gt;=Calc_1!$F17)*ABS(Calc_1!CC100)&gt;Tolerance)</f>
        <v>0</v>
      </c>
      <c r="CD28" s="42" t="n">
        <f aca="false">N((Calc_1!CD$4&gt;=Calc_1!$F17)*ABS(Calc_1!CD100)&gt;Tolerance)</f>
        <v>0</v>
      </c>
      <c r="CE28" s="42" t="n">
        <f aca="false">N((Calc_1!CE$4&gt;=Calc_1!$F17)*ABS(Calc_1!CE100)&gt;Tolerance)</f>
        <v>0</v>
      </c>
      <c r="CF28" s="42" t="n">
        <f aca="false">N((Calc_1!CF$4&gt;=Calc_1!$F17)*ABS(Calc_1!CF100)&gt;Tolerance)</f>
        <v>0</v>
      </c>
      <c r="CG28" s="42" t="n">
        <f aca="false">N((Calc_1!CG$4&gt;=Calc_1!$F17)*ABS(Calc_1!CG100)&gt;Tolerance)</f>
        <v>0</v>
      </c>
      <c r="CH28" s="42" t="n">
        <f aca="false">N((Calc_1!CH$4&gt;=Calc_1!$F17)*ABS(Calc_1!CH100)&gt;Tolerance)</f>
        <v>0</v>
      </c>
      <c r="CI28" s="42" t="n">
        <f aca="false">N((Calc_1!CI$4&gt;=Calc_1!$F17)*ABS(Calc_1!CI100)&gt;Tolerance)</f>
        <v>0</v>
      </c>
      <c r="CJ28" s="42" t="n">
        <f aca="false">N((Calc_1!CJ$4&gt;=Calc_1!$F17)*ABS(Calc_1!CJ100)&gt;Tolerance)</f>
        <v>0</v>
      </c>
      <c r="CK28" s="42" t="n">
        <f aca="false">N((Calc_1!CK$4&gt;=Calc_1!$F17)*ABS(Calc_1!CK100)&gt;Tolerance)</f>
        <v>0</v>
      </c>
      <c r="CL28" s="42" t="n">
        <f aca="false">N((Calc_1!CL$4&gt;=Calc_1!$F17)*ABS(Calc_1!CL100)&gt;Tolerance)</f>
        <v>0</v>
      </c>
      <c r="CM28" s="42" t="n">
        <f aca="false">N((Calc_1!CM$4&gt;=Calc_1!$F17)*ABS(Calc_1!CM100)&gt;Tolerance)</f>
        <v>0</v>
      </c>
      <c r="CN28" s="42" t="n">
        <f aca="false">N((Calc_1!CN$4&gt;=Calc_1!$F17)*ABS(Calc_1!CN100)&gt;Tolerance)</f>
        <v>0</v>
      </c>
      <c r="CO28" s="42" t="n">
        <f aca="false">N((Calc_1!CO$4&gt;=Calc_1!$F17)*ABS(Calc_1!CO100)&gt;Tolerance)</f>
        <v>0</v>
      </c>
      <c r="CP28" s="42" t="n">
        <f aca="false">N((Calc_1!CP$4&gt;=Calc_1!$F17)*ABS(Calc_1!CP100)&gt;Tolerance)</f>
        <v>0</v>
      </c>
      <c r="CQ28" s="42" t="n">
        <f aca="false">N((Calc_1!CQ$4&gt;=Calc_1!$F17)*ABS(Calc_1!CQ100)&gt;Tolerance)</f>
        <v>0</v>
      </c>
      <c r="CR28" s="42" t="n">
        <f aca="false">N((Calc_1!CR$4&gt;=Calc_1!$F17)*ABS(Calc_1!CR100)&gt;Tolerance)</f>
        <v>0</v>
      </c>
      <c r="CS28" s="42" t="n">
        <f aca="false">N((Calc_1!CS$4&gt;=Calc_1!$F17)*ABS(Calc_1!CS100)&gt;Tolerance)</f>
        <v>0</v>
      </c>
      <c r="CT28" s="42" t="n">
        <f aca="false">N((Calc_1!CT$4&gt;=Calc_1!$F17)*ABS(Calc_1!CT100)&gt;Tolerance)</f>
        <v>0</v>
      </c>
      <c r="CU28" s="42" t="n">
        <f aca="false">N((Calc_1!CU$4&gt;=Calc_1!$F17)*ABS(Calc_1!CU100)&gt;Tolerance)</f>
        <v>0</v>
      </c>
      <c r="CV28" s="42" t="n">
        <f aca="false">N((Calc_1!CV$4&gt;=Calc_1!$F17)*ABS(Calc_1!CV100)&gt;Tolerance)</f>
        <v>0</v>
      </c>
      <c r="CW28" s="42" t="n">
        <f aca="false">N((Calc_1!CW$4&gt;=Calc_1!$F17)*ABS(Calc_1!CW100)&gt;Tolerance)</f>
        <v>0</v>
      </c>
      <c r="CX28" s="42" t="n">
        <f aca="false">N((Calc_1!CX$4&gt;=Calc_1!$F17)*ABS(Calc_1!CX100)&gt;Tolerance)</f>
        <v>0</v>
      </c>
      <c r="CY28" s="42" t="n">
        <f aca="false">N((Calc_1!CY$4&gt;=Calc_1!$F17)*ABS(Calc_1!CY100)&gt;Tolerance)</f>
        <v>0</v>
      </c>
      <c r="CZ28" s="42" t="n">
        <f aca="false">N((Calc_1!CZ$4&gt;=Calc_1!$F17)*ABS(Calc_1!CZ100)&gt;Tolerance)</f>
        <v>0</v>
      </c>
      <c r="DA28" s="42" t="n">
        <f aca="false">N((Calc_1!DA$4&gt;=Calc_1!$F17)*ABS(Calc_1!DA100)&gt;Tolerance)</f>
        <v>0</v>
      </c>
      <c r="DB28" s="42" t="n">
        <f aca="false">N((Calc_1!DB$4&gt;=Calc_1!$F17)*ABS(Calc_1!DB100)&gt;Tolerance)</f>
        <v>0</v>
      </c>
      <c r="DC28" s="42" t="n">
        <f aca="false">N((Calc_1!DC$4&gt;=Calc_1!$F17)*ABS(Calc_1!DC100)&gt;Tolerance)</f>
        <v>0</v>
      </c>
      <c r="DD28" s="42" t="n">
        <f aca="false">N((Calc_1!DD$4&gt;=Calc_1!$F17)*ABS(Calc_1!DD100)&gt;Tolerance)</f>
        <v>0</v>
      </c>
      <c r="DE28" s="42" t="n">
        <f aca="false">N((Calc_1!DE$4&gt;=Calc_1!$F17)*ABS(Calc_1!DE100)&gt;Tolerance)</f>
        <v>0</v>
      </c>
      <c r="DF28" s="42" t="n">
        <f aca="false">N((Calc_1!DF$4&gt;=Calc_1!$F17)*ABS(Calc_1!DF100)&gt;Tolerance)</f>
        <v>0</v>
      </c>
      <c r="DG28" s="42" t="n">
        <f aca="false">N((Calc_1!DG$4&gt;=Calc_1!$F17)*ABS(Calc_1!DG100)&gt;Tolerance)</f>
        <v>0</v>
      </c>
      <c r="DH28" s="42" t="n">
        <f aca="false">N((Calc_1!DH$4&gt;=Calc_1!$F17)*ABS(Calc_1!DH100)&gt;Tolerance)</f>
        <v>0</v>
      </c>
      <c r="DI28" s="42" t="n">
        <f aca="false">N((Calc_1!DI$4&gt;=Calc_1!$F17)*ABS(Calc_1!DI100)&gt;Tolerance)</f>
        <v>0</v>
      </c>
      <c r="DJ28" s="42" t="n">
        <f aca="false">N((Calc_1!DJ$4&gt;=Calc_1!$F17)*ABS(Calc_1!DJ100)&gt;Tolerance)</f>
        <v>0</v>
      </c>
      <c r="DK28" s="42" t="n">
        <f aca="false">N((Calc_1!DK$4&gt;=Calc_1!$F17)*ABS(Calc_1!DK100)&gt;Tolerance)</f>
        <v>0</v>
      </c>
      <c r="DL28" s="42" t="n">
        <f aca="false">N((Calc_1!DL$4&gt;=Calc_1!$F17)*ABS(Calc_1!DL100)&gt;Tolerance)</f>
        <v>0</v>
      </c>
      <c r="DM28" s="42" t="n">
        <f aca="false">N((Calc_1!DM$4&gt;=Calc_1!$F17)*ABS(Calc_1!DM100)&gt;Tolerance)</f>
        <v>0</v>
      </c>
      <c r="DN28" s="42" t="n">
        <f aca="false">N((Calc_1!DN$4&gt;=Calc_1!$F17)*ABS(Calc_1!DN100)&gt;Tolerance)</f>
        <v>0</v>
      </c>
      <c r="DO28" s="42" t="n">
        <f aca="false">N((Calc_1!DO$4&gt;=Calc_1!$F17)*ABS(Calc_1!DO100)&gt;Tolerance)</f>
        <v>0</v>
      </c>
      <c r="DP28" s="42" t="n">
        <f aca="false">N((Calc_1!DP$4&gt;=Calc_1!$F17)*ABS(Calc_1!DP100)&gt;Tolerance)</f>
        <v>0</v>
      </c>
      <c r="DQ28" s="42" t="n">
        <f aca="false">N((Calc_1!DQ$4&gt;=Calc_1!$F17)*ABS(Calc_1!DQ100)&gt;Tolerance)</f>
        <v>0</v>
      </c>
      <c r="DR28" s="42" t="n">
        <f aca="false">N((Calc_1!DR$4&gt;=Calc_1!$F17)*ABS(Calc_1!DR100)&gt;Tolerance)</f>
        <v>0</v>
      </c>
      <c r="DS28" s="42" t="n">
        <f aca="false">N((Calc_1!DS$4&gt;=Calc_1!$F17)*ABS(Calc_1!DS100)&gt;Tolerance)</f>
        <v>0</v>
      </c>
      <c r="DT28" s="42" t="n">
        <f aca="false">N((Calc_1!DT$4&gt;=Calc_1!$F17)*ABS(Calc_1!DT100)&gt;Tolerance)</f>
        <v>0</v>
      </c>
      <c r="DU28" s="42" t="n">
        <f aca="false">N((Calc_1!DU$4&gt;=Calc_1!$F17)*ABS(Calc_1!DU100)&gt;Tolerance)</f>
        <v>0</v>
      </c>
      <c r="DV28" s="42" t="n">
        <f aca="false">N((Calc_1!DV$4&gt;=Calc_1!$F17)*ABS(Calc_1!DV100)&gt;Tolerance)</f>
        <v>0</v>
      </c>
      <c r="DW28" s="42" t="n">
        <f aca="false">N((Calc_1!DW$4&gt;=Calc_1!$F17)*ABS(Calc_1!DW100)&gt;Tolerance)</f>
        <v>0</v>
      </c>
      <c r="DX28" s="42" t="n">
        <f aca="false">N((Calc_1!DX$4&gt;=Calc_1!$F17)*ABS(Calc_1!DX100)&gt;Tolerance)</f>
        <v>0</v>
      </c>
      <c r="DY28" s="42" t="n">
        <f aca="false">N((Calc_1!DY$4&gt;=Calc_1!$F17)*ABS(Calc_1!DY100)&gt;Tolerance)</f>
        <v>0</v>
      </c>
      <c r="DZ28" s="42" t="n">
        <f aca="false">N((Calc_1!DZ$4&gt;=Calc_1!$F17)*ABS(Calc_1!DZ100)&gt;Tolerance)</f>
        <v>0</v>
      </c>
      <c r="EA28" s="42" t="n">
        <f aca="false">N((Calc_1!EA$4&gt;=Calc_1!$F17)*ABS(Calc_1!EA100)&gt;Tolerance)</f>
        <v>0</v>
      </c>
      <c r="EB28" s="42" t="n">
        <f aca="false">N((Calc_1!EB$4&gt;=Calc_1!$F17)*ABS(Calc_1!EB100)&gt;Tolerance)</f>
        <v>0</v>
      </c>
      <c r="EC28" s="42" t="n">
        <f aca="false">N((Calc_1!EC$4&gt;=Calc_1!$F17)*ABS(Calc_1!EC100)&gt;Tolerance)</f>
        <v>0</v>
      </c>
      <c r="ED28" s="42" t="n">
        <f aca="false">N((Calc_1!ED$4&gt;=Calc_1!$F17)*ABS(Calc_1!ED100)&gt;Tolerance)</f>
        <v>0</v>
      </c>
      <c r="EE28" s="42" t="n">
        <f aca="false">N((Calc_1!EE$4&gt;=Calc_1!$F17)*ABS(Calc_1!EE100)&gt;Tolerance)</f>
        <v>0</v>
      </c>
      <c r="EF28" s="42" t="n">
        <f aca="false">N((Calc_1!EF$4&gt;=Calc_1!$F17)*ABS(Calc_1!EF100)&gt;Tolerance)</f>
        <v>0</v>
      </c>
      <c r="EG28" s="42" t="n">
        <f aca="false">N((Calc_1!EG$4&gt;=Calc_1!$F17)*ABS(Calc_1!EG100)&gt;Tolerance)</f>
        <v>0</v>
      </c>
      <c r="EH28" s="42" t="n">
        <f aca="false">N((Calc_1!EH$4&gt;=Calc_1!$F17)*ABS(Calc_1!EH100)&gt;Tolerance)</f>
        <v>0</v>
      </c>
      <c r="EI28" s="42" t="n">
        <f aca="false">N((Calc_1!EI$4&gt;=Calc_1!$F17)*ABS(Calc_1!EI100)&gt;Tolerance)</f>
        <v>0</v>
      </c>
      <c r="EJ28" s="42" t="n">
        <f aca="false">N((Calc_1!EJ$4&gt;=Calc_1!$F17)*ABS(Calc_1!EJ100)&gt;Tolerance)</f>
        <v>0</v>
      </c>
      <c r="EK28" s="42" t="n">
        <f aca="false">N((Calc_1!EK$4&gt;=Calc_1!$F17)*ABS(Calc_1!EK100)&gt;Tolerance)</f>
        <v>0</v>
      </c>
      <c r="EL28" s="42" t="n">
        <f aca="false">N((Calc_1!EL$4&gt;=Calc_1!$F17)*ABS(Calc_1!EL100)&gt;Tolerance)</f>
        <v>0</v>
      </c>
      <c r="EM28" s="42" t="n">
        <f aca="false">N((Calc_1!EM$4&gt;=Calc_1!$F17)*ABS(Calc_1!EM100)&gt;Tolerance)</f>
        <v>0</v>
      </c>
      <c r="EN28" s="42" t="n">
        <f aca="false">N((Calc_1!EN$4&gt;=Calc_1!$F17)*ABS(Calc_1!EN100)&gt;Tolerance)</f>
        <v>0</v>
      </c>
      <c r="EO28" s="42" t="n">
        <f aca="false">N((Calc_1!EO$4&gt;=Calc_1!$F17)*ABS(Calc_1!EO100)&gt;Tolerance)</f>
        <v>0</v>
      </c>
      <c r="EP28" s="42" t="n">
        <f aca="false">N((Calc_1!EP$4&gt;=Calc_1!$F17)*ABS(Calc_1!EP100)&gt;Tolerance)</f>
        <v>0</v>
      </c>
      <c r="EQ28" s="42" t="n">
        <f aca="false">N((Calc_1!EQ$4&gt;=Calc_1!$F17)*ABS(Calc_1!EQ100)&gt;Tolerance)</f>
        <v>0</v>
      </c>
      <c r="ER28" s="42" t="n">
        <f aca="false">N((Calc_1!ER$4&gt;=Calc_1!$F17)*ABS(Calc_1!ER100)&gt;Tolerance)</f>
        <v>0</v>
      </c>
      <c r="ES28" s="42" t="n">
        <f aca="false">N((Calc_1!ES$4&gt;=Calc_1!$F17)*ABS(Calc_1!ES100)&gt;Tolerance)</f>
        <v>0</v>
      </c>
      <c r="ET28" s="42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2" t="n">
        <f aca="false">SUM(J29:ET29)</f>
        <v>0</v>
      </c>
      <c r="J29" s="42" t="n">
        <f aca="false">N((Calc_2!J$4&gt;=Calc_2!$F17)*ABS(Calc_2!J100)&gt;Tolerance)</f>
        <v>0</v>
      </c>
      <c r="K29" s="42" t="n">
        <f aca="false">N((Calc_2!K$4&gt;=Calc_2!$F17)*ABS(Calc_2!K100)&gt;Tolerance)</f>
        <v>0</v>
      </c>
      <c r="L29" s="42" t="n">
        <f aca="false">N((Calc_2!L$4&gt;=Calc_2!$F17)*ABS(Calc_2!L100)&gt;Tolerance)</f>
        <v>0</v>
      </c>
      <c r="M29" s="42" t="n">
        <f aca="false">N((Calc_2!M$4&gt;=Calc_2!$F17)*ABS(Calc_2!M100)&gt;Tolerance)</f>
        <v>0</v>
      </c>
      <c r="N29" s="42" t="n">
        <f aca="false">N((Calc_2!N$4&gt;=Calc_2!$F17)*ABS(Calc_2!N100)&gt;Tolerance)</f>
        <v>0</v>
      </c>
      <c r="O29" s="42" t="n">
        <f aca="false">N((Calc_2!O$4&gt;=Calc_2!$F17)*ABS(Calc_2!O100)&gt;Tolerance)</f>
        <v>0</v>
      </c>
      <c r="P29" s="42" t="n">
        <f aca="false">N((Calc_2!P$4&gt;=Calc_2!$F17)*ABS(Calc_2!P100)&gt;Tolerance)</f>
        <v>0</v>
      </c>
      <c r="Q29" s="42" t="n">
        <f aca="false">N((Calc_2!Q$4&gt;=Calc_2!$F17)*ABS(Calc_2!Q100)&gt;Tolerance)</f>
        <v>0</v>
      </c>
      <c r="R29" s="42" t="n">
        <f aca="false">N((Calc_2!R$4&gt;=Calc_2!$F17)*ABS(Calc_2!R100)&gt;Tolerance)</f>
        <v>0</v>
      </c>
      <c r="S29" s="42" t="n">
        <f aca="false">N((Calc_2!S$4&gt;=Calc_2!$F17)*ABS(Calc_2!S100)&gt;Tolerance)</f>
        <v>0</v>
      </c>
      <c r="T29" s="42" t="n">
        <f aca="false">N((Calc_2!T$4&gt;=Calc_2!$F17)*ABS(Calc_2!T100)&gt;Tolerance)</f>
        <v>0</v>
      </c>
      <c r="U29" s="42" t="n">
        <f aca="false">N((Calc_2!U$4&gt;=Calc_2!$F17)*ABS(Calc_2!U100)&gt;Tolerance)</f>
        <v>0</v>
      </c>
      <c r="V29" s="42" t="n">
        <f aca="false">N((Calc_2!V$4&gt;=Calc_2!$F17)*ABS(Calc_2!V100)&gt;Tolerance)</f>
        <v>0</v>
      </c>
      <c r="W29" s="42" t="n">
        <f aca="false">N((Calc_2!W$4&gt;=Calc_2!$F17)*ABS(Calc_2!W100)&gt;Tolerance)</f>
        <v>0</v>
      </c>
      <c r="X29" s="42" t="n">
        <f aca="false">N((Calc_2!X$4&gt;=Calc_2!$F17)*ABS(Calc_2!X100)&gt;Tolerance)</f>
        <v>0</v>
      </c>
      <c r="Y29" s="42" t="n">
        <f aca="false">N((Calc_2!Y$4&gt;=Calc_2!$F17)*ABS(Calc_2!Y100)&gt;Tolerance)</f>
        <v>0</v>
      </c>
      <c r="Z29" s="42" t="n">
        <f aca="false">N((Calc_2!Z$4&gt;=Calc_2!$F17)*ABS(Calc_2!Z100)&gt;Tolerance)</f>
        <v>0</v>
      </c>
      <c r="AA29" s="42" t="n">
        <f aca="false">N((Calc_2!AA$4&gt;=Calc_2!$F17)*ABS(Calc_2!AA100)&gt;Tolerance)</f>
        <v>0</v>
      </c>
      <c r="AB29" s="42" t="n">
        <f aca="false">N((Calc_2!AB$4&gt;=Calc_2!$F17)*ABS(Calc_2!AB100)&gt;Tolerance)</f>
        <v>0</v>
      </c>
      <c r="AC29" s="42" t="n">
        <f aca="false">N((Calc_2!AC$4&gt;=Calc_2!$F17)*ABS(Calc_2!AC100)&gt;Tolerance)</f>
        <v>0</v>
      </c>
      <c r="AD29" s="42" t="n">
        <f aca="false">N((Calc_2!AD$4&gt;=Calc_2!$F17)*ABS(Calc_2!AD100)&gt;Tolerance)</f>
        <v>0</v>
      </c>
      <c r="AE29" s="42" t="n">
        <f aca="false">N((Calc_2!AE$4&gt;=Calc_2!$F17)*ABS(Calc_2!AE100)&gt;Tolerance)</f>
        <v>0</v>
      </c>
      <c r="AF29" s="42" t="n">
        <f aca="false">N((Calc_2!AF$4&gt;=Calc_2!$F17)*ABS(Calc_2!AF100)&gt;Tolerance)</f>
        <v>0</v>
      </c>
      <c r="AG29" s="42" t="n">
        <f aca="false">N((Calc_2!AG$4&gt;=Calc_2!$F17)*ABS(Calc_2!AG100)&gt;Tolerance)</f>
        <v>0</v>
      </c>
      <c r="AH29" s="42" t="n">
        <f aca="false">N((Calc_2!AH$4&gt;=Calc_2!$F17)*ABS(Calc_2!AH100)&gt;Tolerance)</f>
        <v>0</v>
      </c>
      <c r="AI29" s="42" t="n">
        <f aca="false">N((Calc_2!AI$4&gt;=Calc_2!$F17)*ABS(Calc_2!AI100)&gt;Tolerance)</f>
        <v>0</v>
      </c>
      <c r="AJ29" s="42" t="n">
        <f aca="false">N((Calc_2!AJ$4&gt;=Calc_2!$F17)*ABS(Calc_2!AJ100)&gt;Tolerance)</f>
        <v>0</v>
      </c>
      <c r="AK29" s="42" t="n">
        <f aca="false">N((Calc_2!AK$4&gt;=Calc_2!$F17)*ABS(Calc_2!AK100)&gt;Tolerance)</f>
        <v>0</v>
      </c>
      <c r="AL29" s="42" t="n">
        <f aca="false">N((Calc_2!AL$4&gt;=Calc_2!$F17)*ABS(Calc_2!AL100)&gt;Tolerance)</f>
        <v>0</v>
      </c>
      <c r="AM29" s="42" t="n">
        <f aca="false">N((Calc_2!AM$4&gt;=Calc_2!$F17)*ABS(Calc_2!AM100)&gt;Tolerance)</f>
        <v>0</v>
      </c>
      <c r="AN29" s="42" t="n">
        <f aca="false">N((Calc_2!AN$4&gt;=Calc_2!$F17)*ABS(Calc_2!AN100)&gt;Tolerance)</f>
        <v>0</v>
      </c>
      <c r="AO29" s="42" t="n">
        <f aca="false">N((Calc_2!AO$4&gt;=Calc_2!$F17)*ABS(Calc_2!AO100)&gt;Tolerance)</f>
        <v>0</v>
      </c>
      <c r="AP29" s="42" t="n">
        <f aca="false">N((Calc_2!AP$4&gt;=Calc_2!$F17)*ABS(Calc_2!AP100)&gt;Tolerance)</f>
        <v>0</v>
      </c>
      <c r="AQ29" s="42" t="n">
        <f aca="false">N((Calc_2!AQ$4&gt;=Calc_2!$F17)*ABS(Calc_2!AQ100)&gt;Tolerance)</f>
        <v>0</v>
      </c>
      <c r="AR29" s="42" t="n">
        <f aca="false">N((Calc_2!AR$4&gt;=Calc_2!$F17)*ABS(Calc_2!AR100)&gt;Tolerance)</f>
        <v>0</v>
      </c>
      <c r="AS29" s="42" t="n">
        <f aca="false">N((Calc_2!AS$4&gt;=Calc_2!$F17)*ABS(Calc_2!AS100)&gt;Tolerance)</f>
        <v>0</v>
      </c>
      <c r="AT29" s="42" t="n">
        <f aca="false">N((Calc_2!AT$4&gt;=Calc_2!$F17)*ABS(Calc_2!AT100)&gt;Tolerance)</f>
        <v>0</v>
      </c>
      <c r="AU29" s="42" t="n">
        <f aca="false">N((Calc_2!AU$4&gt;=Calc_2!$F17)*ABS(Calc_2!AU100)&gt;Tolerance)</f>
        <v>0</v>
      </c>
      <c r="AV29" s="42" t="n">
        <f aca="false">N((Calc_2!AV$4&gt;=Calc_2!$F17)*ABS(Calc_2!AV100)&gt;Tolerance)</f>
        <v>0</v>
      </c>
      <c r="AW29" s="42" t="n">
        <f aca="false">N((Calc_2!AW$4&gt;=Calc_2!$F17)*ABS(Calc_2!AW100)&gt;Tolerance)</f>
        <v>0</v>
      </c>
      <c r="AX29" s="42" t="n">
        <f aca="false">N((Calc_2!AX$4&gt;=Calc_2!$F17)*ABS(Calc_2!AX100)&gt;Tolerance)</f>
        <v>0</v>
      </c>
      <c r="AY29" s="42" t="n">
        <f aca="false">N((Calc_2!AY$4&gt;=Calc_2!$F17)*ABS(Calc_2!AY100)&gt;Tolerance)</f>
        <v>0</v>
      </c>
      <c r="AZ29" s="42" t="n">
        <f aca="false">N((Calc_2!AZ$4&gt;=Calc_2!$F17)*ABS(Calc_2!AZ100)&gt;Tolerance)</f>
        <v>0</v>
      </c>
      <c r="BA29" s="42" t="n">
        <f aca="false">N((Calc_2!BA$4&gt;=Calc_2!$F17)*ABS(Calc_2!BA100)&gt;Tolerance)</f>
        <v>0</v>
      </c>
      <c r="BB29" s="42" t="n">
        <f aca="false">N((Calc_2!BB$4&gt;=Calc_2!$F17)*ABS(Calc_2!BB100)&gt;Tolerance)</f>
        <v>0</v>
      </c>
      <c r="BC29" s="42" t="n">
        <f aca="false">N((Calc_2!BC$4&gt;=Calc_2!$F17)*ABS(Calc_2!BC100)&gt;Tolerance)</f>
        <v>0</v>
      </c>
      <c r="BD29" s="42" t="n">
        <f aca="false">N((Calc_2!BD$4&gt;=Calc_2!$F17)*ABS(Calc_2!BD100)&gt;Tolerance)</f>
        <v>0</v>
      </c>
      <c r="BE29" s="42" t="n">
        <f aca="false">N((Calc_2!BE$4&gt;=Calc_2!$F17)*ABS(Calc_2!BE100)&gt;Tolerance)</f>
        <v>0</v>
      </c>
      <c r="BF29" s="42" t="n">
        <f aca="false">N((Calc_2!BF$4&gt;=Calc_2!$F17)*ABS(Calc_2!BF100)&gt;Tolerance)</f>
        <v>0</v>
      </c>
      <c r="BG29" s="42" t="n">
        <f aca="false">N((Calc_2!BG$4&gt;=Calc_2!$F17)*ABS(Calc_2!BG100)&gt;Tolerance)</f>
        <v>0</v>
      </c>
      <c r="BH29" s="42" t="n">
        <f aca="false">N((Calc_2!BH$4&gt;=Calc_2!$F17)*ABS(Calc_2!BH100)&gt;Tolerance)</f>
        <v>0</v>
      </c>
      <c r="BI29" s="42" t="n">
        <f aca="false">N((Calc_2!BI$4&gt;=Calc_2!$F17)*ABS(Calc_2!BI100)&gt;Tolerance)</f>
        <v>0</v>
      </c>
      <c r="BJ29" s="42" t="n">
        <f aca="false">N((Calc_2!BJ$4&gt;=Calc_2!$F17)*ABS(Calc_2!BJ100)&gt;Tolerance)</f>
        <v>0</v>
      </c>
      <c r="BK29" s="42" t="n">
        <f aca="false">N((Calc_2!BK$4&gt;=Calc_2!$F17)*ABS(Calc_2!BK100)&gt;Tolerance)</f>
        <v>0</v>
      </c>
      <c r="BL29" s="42" t="n">
        <f aca="false">N((Calc_2!BL$4&gt;=Calc_2!$F17)*ABS(Calc_2!BL100)&gt;Tolerance)</f>
        <v>0</v>
      </c>
      <c r="BM29" s="42" t="n">
        <f aca="false">N((Calc_2!BM$4&gt;=Calc_2!$F17)*ABS(Calc_2!BM100)&gt;Tolerance)</f>
        <v>0</v>
      </c>
      <c r="BN29" s="42" t="n">
        <f aca="false">N((Calc_2!BN$4&gt;=Calc_2!$F17)*ABS(Calc_2!BN100)&gt;Tolerance)</f>
        <v>0</v>
      </c>
      <c r="BO29" s="42" t="n">
        <f aca="false">N((Calc_2!BO$4&gt;=Calc_2!$F17)*ABS(Calc_2!BO100)&gt;Tolerance)</f>
        <v>0</v>
      </c>
      <c r="BP29" s="42" t="n">
        <f aca="false">N((Calc_2!BP$4&gt;=Calc_2!$F17)*ABS(Calc_2!BP100)&gt;Tolerance)</f>
        <v>0</v>
      </c>
      <c r="BQ29" s="42" t="n">
        <f aca="false">N((Calc_2!BQ$4&gt;=Calc_2!$F17)*ABS(Calc_2!BQ100)&gt;Tolerance)</f>
        <v>0</v>
      </c>
      <c r="BR29" s="42" t="n">
        <f aca="false">N((Calc_2!BR$4&gt;=Calc_2!$F17)*ABS(Calc_2!BR100)&gt;Tolerance)</f>
        <v>0</v>
      </c>
      <c r="BS29" s="42" t="n">
        <f aca="false">N((Calc_2!BS$4&gt;=Calc_2!$F17)*ABS(Calc_2!BS100)&gt;Tolerance)</f>
        <v>0</v>
      </c>
      <c r="BT29" s="42" t="n">
        <f aca="false">N((Calc_2!BT$4&gt;=Calc_2!$F17)*ABS(Calc_2!BT100)&gt;Tolerance)</f>
        <v>0</v>
      </c>
      <c r="BU29" s="42" t="n">
        <f aca="false">N((Calc_2!BU$4&gt;=Calc_2!$F17)*ABS(Calc_2!BU100)&gt;Tolerance)</f>
        <v>0</v>
      </c>
      <c r="BV29" s="42" t="n">
        <f aca="false">N((Calc_2!BV$4&gt;=Calc_2!$F17)*ABS(Calc_2!BV100)&gt;Tolerance)</f>
        <v>0</v>
      </c>
      <c r="BW29" s="42" t="n">
        <f aca="false">N((Calc_2!BW$4&gt;=Calc_2!$F17)*ABS(Calc_2!BW100)&gt;Tolerance)</f>
        <v>0</v>
      </c>
      <c r="BX29" s="42" t="n">
        <f aca="false">N((Calc_2!BX$4&gt;=Calc_2!$F17)*ABS(Calc_2!BX100)&gt;Tolerance)</f>
        <v>0</v>
      </c>
      <c r="BY29" s="42" t="n">
        <f aca="false">N((Calc_2!BY$4&gt;=Calc_2!$F17)*ABS(Calc_2!BY100)&gt;Tolerance)</f>
        <v>0</v>
      </c>
      <c r="BZ29" s="42" t="n">
        <f aca="false">N((Calc_2!BZ$4&gt;=Calc_2!$F17)*ABS(Calc_2!BZ100)&gt;Tolerance)</f>
        <v>0</v>
      </c>
      <c r="CA29" s="42" t="n">
        <f aca="false">N((Calc_2!CA$4&gt;=Calc_2!$F17)*ABS(Calc_2!CA100)&gt;Tolerance)</f>
        <v>0</v>
      </c>
      <c r="CB29" s="42" t="n">
        <f aca="false">N((Calc_2!CB$4&gt;=Calc_2!$F17)*ABS(Calc_2!CB100)&gt;Tolerance)</f>
        <v>0</v>
      </c>
      <c r="CC29" s="42" t="n">
        <f aca="false">N((Calc_2!CC$4&gt;=Calc_2!$F17)*ABS(Calc_2!CC100)&gt;Tolerance)</f>
        <v>0</v>
      </c>
      <c r="CD29" s="42" t="n">
        <f aca="false">N((Calc_2!CD$4&gt;=Calc_2!$F17)*ABS(Calc_2!CD100)&gt;Tolerance)</f>
        <v>0</v>
      </c>
      <c r="CE29" s="42" t="n">
        <f aca="false">N((Calc_2!CE$4&gt;=Calc_2!$F17)*ABS(Calc_2!CE100)&gt;Tolerance)</f>
        <v>0</v>
      </c>
      <c r="CF29" s="42" t="n">
        <f aca="false">N((Calc_2!CF$4&gt;=Calc_2!$F17)*ABS(Calc_2!CF100)&gt;Tolerance)</f>
        <v>0</v>
      </c>
      <c r="CG29" s="42" t="n">
        <f aca="false">N((Calc_2!CG$4&gt;=Calc_2!$F17)*ABS(Calc_2!CG100)&gt;Tolerance)</f>
        <v>0</v>
      </c>
      <c r="CH29" s="42" t="n">
        <f aca="false">N((Calc_2!CH$4&gt;=Calc_2!$F17)*ABS(Calc_2!CH100)&gt;Tolerance)</f>
        <v>0</v>
      </c>
      <c r="CI29" s="42" t="n">
        <f aca="false">N((Calc_2!CI$4&gt;=Calc_2!$F17)*ABS(Calc_2!CI100)&gt;Tolerance)</f>
        <v>0</v>
      </c>
      <c r="CJ29" s="42" t="n">
        <f aca="false">N((Calc_2!CJ$4&gt;=Calc_2!$F17)*ABS(Calc_2!CJ100)&gt;Tolerance)</f>
        <v>0</v>
      </c>
      <c r="CK29" s="42" t="n">
        <f aca="false">N((Calc_2!CK$4&gt;=Calc_2!$F17)*ABS(Calc_2!CK100)&gt;Tolerance)</f>
        <v>0</v>
      </c>
      <c r="CL29" s="42" t="n">
        <f aca="false">N((Calc_2!CL$4&gt;=Calc_2!$F17)*ABS(Calc_2!CL100)&gt;Tolerance)</f>
        <v>0</v>
      </c>
      <c r="CM29" s="42" t="n">
        <f aca="false">N((Calc_2!CM$4&gt;=Calc_2!$F17)*ABS(Calc_2!CM100)&gt;Tolerance)</f>
        <v>0</v>
      </c>
      <c r="CN29" s="42" t="n">
        <f aca="false">N((Calc_2!CN$4&gt;=Calc_2!$F17)*ABS(Calc_2!CN100)&gt;Tolerance)</f>
        <v>0</v>
      </c>
      <c r="CO29" s="42" t="n">
        <f aca="false">N((Calc_2!CO$4&gt;=Calc_2!$F17)*ABS(Calc_2!CO100)&gt;Tolerance)</f>
        <v>0</v>
      </c>
      <c r="CP29" s="42" t="n">
        <f aca="false">N((Calc_2!CP$4&gt;=Calc_2!$F17)*ABS(Calc_2!CP100)&gt;Tolerance)</f>
        <v>0</v>
      </c>
      <c r="CQ29" s="42" t="n">
        <f aca="false">N((Calc_2!CQ$4&gt;=Calc_2!$F17)*ABS(Calc_2!CQ100)&gt;Tolerance)</f>
        <v>0</v>
      </c>
      <c r="CR29" s="42" t="n">
        <f aca="false">N((Calc_2!CR$4&gt;=Calc_2!$F17)*ABS(Calc_2!CR100)&gt;Tolerance)</f>
        <v>0</v>
      </c>
      <c r="CS29" s="42" t="n">
        <f aca="false">N((Calc_2!CS$4&gt;=Calc_2!$F17)*ABS(Calc_2!CS100)&gt;Tolerance)</f>
        <v>0</v>
      </c>
      <c r="CT29" s="42" t="n">
        <f aca="false">N((Calc_2!CT$4&gt;=Calc_2!$F17)*ABS(Calc_2!CT100)&gt;Tolerance)</f>
        <v>0</v>
      </c>
      <c r="CU29" s="42" t="n">
        <f aca="false">N((Calc_2!CU$4&gt;=Calc_2!$F17)*ABS(Calc_2!CU100)&gt;Tolerance)</f>
        <v>0</v>
      </c>
      <c r="CV29" s="42" t="n">
        <f aca="false">N((Calc_2!CV$4&gt;=Calc_2!$F17)*ABS(Calc_2!CV100)&gt;Tolerance)</f>
        <v>0</v>
      </c>
      <c r="CW29" s="42" t="n">
        <f aca="false">N((Calc_2!CW$4&gt;=Calc_2!$F17)*ABS(Calc_2!CW100)&gt;Tolerance)</f>
        <v>0</v>
      </c>
      <c r="CX29" s="42" t="n">
        <f aca="false">N((Calc_2!CX$4&gt;=Calc_2!$F17)*ABS(Calc_2!CX100)&gt;Tolerance)</f>
        <v>0</v>
      </c>
      <c r="CY29" s="42" t="n">
        <f aca="false">N((Calc_2!CY$4&gt;=Calc_2!$F17)*ABS(Calc_2!CY100)&gt;Tolerance)</f>
        <v>0</v>
      </c>
      <c r="CZ29" s="42" t="n">
        <f aca="false">N((Calc_2!CZ$4&gt;=Calc_2!$F17)*ABS(Calc_2!CZ100)&gt;Tolerance)</f>
        <v>0</v>
      </c>
      <c r="DA29" s="42" t="n">
        <f aca="false">N((Calc_2!DA$4&gt;=Calc_2!$F17)*ABS(Calc_2!DA100)&gt;Tolerance)</f>
        <v>0</v>
      </c>
      <c r="DB29" s="42" t="n">
        <f aca="false">N((Calc_2!DB$4&gt;=Calc_2!$F17)*ABS(Calc_2!DB100)&gt;Tolerance)</f>
        <v>0</v>
      </c>
      <c r="DC29" s="42" t="n">
        <f aca="false">N((Calc_2!DC$4&gt;=Calc_2!$F17)*ABS(Calc_2!DC100)&gt;Tolerance)</f>
        <v>0</v>
      </c>
      <c r="DD29" s="42" t="n">
        <f aca="false">N((Calc_2!DD$4&gt;=Calc_2!$F17)*ABS(Calc_2!DD100)&gt;Tolerance)</f>
        <v>0</v>
      </c>
      <c r="DE29" s="42" t="n">
        <f aca="false">N((Calc_2!DE$4&gt;=Calc_2!$F17)*ABS(Calc_2!DE100)&gt;Tolerance)</f>
        <v>0</v>
      </c>
      <c r="DF29" s="42" t="n">
        <f aca="false">N((Calc_2!DF$4&gt;=Calc_2!$F17)*ABS(Calc_2!DF100)&gt;Tolerance)</f>
        <v>0</v>
      </c>
      <c r="DG29" s="42" t="n">
        <f aca="false">N((Calc_2!DG$4&gt;=Calc_2!$F17)*ABS(Calc_2!DG100)&gt;Tolerance)</f>
        <v>0</v>
      </c>
      <c r="DH29" s="42" t="n">
        <f aca="false">N((Calc_2!DH$4&gt;=Calc_2!$F17)*ABS(Calc_2!DH100)&gt;Tolerance)</f>
        <v>0</v>
      </c>
      <c r="DI29" s="42" t="n">
        <f aca="false">N((Calc_2!DI$4&gt;=Calc_2!$F17)*ABS(Calc_2!DI100)&gt;Tolerance)</f>
        <v>0</v>
      </c>
      <c r="DJ29" s="42" t="n">
        <f aca="false">N((Calc_2!DJ$4&gt;=Calc_2!$F17)*ABS(Calc_2!DJ100)&gt;Tolerance)</f>
        <v>0</v>
      </c>
      <c r="DK29" s="42" t="n">
        <f aca="false">N((Calc_2!DK$4&gt;=Calc_2!$F17)*ABS(Calc_2!DK100)&gt;Tolerance)</f>
        <v>0</v>
      </c>
      <c r="DL29" s="42" t="n">
        <f aca="false">N((Calc_2!DL$4&gt;=Calc_2!$F17)*ABS(Calc_2!DL100)&gt;Tolerance)</f>
        <v>0</v>
      </c>
      <c r="DM29" s="42" t="n">
        <f aca="false">N((Calc_2!DM$4&gt;=Calc_2!$F17)*ABS(Calc_2!DM100)&gt;Tolerance)</f>
        <v>0</v>
      </c>
      <c r="DN29" s="42" t="n">
        <f aca="false">N((Calc_2!DN$4&gt;=Calc_2!$F17)*ABS(Calc_2!DN100)&gt;Tolerance)</f>
        <v>0</v>
      </c>
      <c r="DO29" s="42" t="n">
        <f aca="false">N((Calc_2!DO$4&gt;=Calc_2!$F17)*ABS(Calc_2!DO100)&gt;Tolerance)</f>
        <v>0</v>
      </c>
      <c r="DP29" s="42" t="n">
        <f aca="false">N((Calc_2!DP$4&gt;=Calc_2!$F17)*ABS(Calc_2!DP100)&gt;Tolerance)</f>
        <v>0</v>
      </c>
      <c r="DQ29" s="42" t="n">
        <f aca="false">N((Calc_2!DQ$4&gt;=Calc_2!$F17)*ABS(Calc_2!DQ100)&gt;Tolerance)</f>
        <v>0</v>
      </c>
      <c r="DR29" s="42" t="n">
        <f aca="false">N((Calc_2!DR$4&gt;=Calc_2!$F17)*ABS(Calc_2!DR100)&gt;Tolerance)</f>
        <v>0</v>
      </c>
      <c r="DS29" s="42" t="n">
        <f aca="false">N((Calc_2!DS$4&gt;=Calc_2!$F17)*ABS(Calc_2!DS100)&gt;Tolerance)</f>
        <v>0</v>
      </c>
      <c r="DT29" s="42" t="n">
        <f aca="false">N((Calc_2!DT$4&gt;=Calc_2!$F17)*ABS(Calc_2!DT100)&gt;Tolerance)</f>
        <v>0</v>
      </c>
      <c r="DU29" s="42" t="n">
        <f aca="false">N((Calc_2!DU$4&gt;=Calc_2!$F17)*ABS(Calc_2!DU100)&gt;Tolerance)</f>
        <v>0</v>
      </c>
      <c r="DV29" s="42" t="n">
        <f aca="false">N((Calc_2!DV$4&gt;=Calc_2!$F17)*ABS(Calc_2!DV100)&gt;Tolerance)</f>
        <v>0</v>
      </c>
      <c r="DW29" s="42" t="n">
        <f aca="false">N((Calc_2!DW$4&gt;=Calc_2!$F17)*ABS(Calc_2!DW100)&gt;Tolerance)</f>
        <v>0</v>
      </c>
      <c r="DX29" s="42" t="n">
        <f aca="false">N((Calc_2!DX$4&gt;=Calc_2!$F17)*ABS(Calc_2!DX100)&gt;Tolerance)</f>
        <v>0</v>
      </c>
      <c r="DY29" s="42" t="n">
        <f aca="false">N((Calc_2!DY$4&gt;=Calc_2!$F17)*ABS(Calc_2!DY100)&gt;Tolerance)</f>
        <v>0</v>
      </c>
      <c r="DZ29" s="42" t="n">
        <f aca="false">N((Calc_2!DZ$4&gt;=Calc_2!$F17)*ABS(Calc_2!DZ100)&gt;Tolerance)</f>
        <v>0</v>
      </c>
      <c r="EA29" s="42" t="n">
        <f aca="false">N((Calc_2!EA$4&gt;=Calc_2!$F17)*ABS(Calc_2!EA100)&gt;Tolerance)</f>
        <v>0</v>
      </c>
      <c r="EB29" s="42" t="n">
        <f aca="false">N((Calc_2!EB$4&gt;=Calc_2!$F17)*ABS(Calc_2!EB100)&gt;Tolerance)</f>
        <v>0</v>
      </c>
      <c r="EC29" s="42" t="n">
        <f aca="false">N((Calc_2!EC$4&gt;=Calc_2!$F17)*ABS(Calc_2!EC100)&gt;Tolerance)</f>
        <v>0</v>
      </c>
      <c r="ED29" s="42" t="n">
        <f aca="false">N((Calc_2!ED$4&gt;=Calc_2!$F17)*ABS(Calc_2!ED100)&gt;Tolerance)</f>
        <v>0</v>
      </c>
      <c r="EE29" s="42" t="n">
        <f aca="false">N((Calc_2!EE$4&gt;=Calc_2!$F17)*ABS(Calc_2!EE100)&gt;Tolerance)</f>
        <v>0</v>
      </c>
      <c r="EF29" s="42" t="n">
        <f aca="false">N((Calc_2!EF$4&gt;=Calc_2!$F17)*ABS(Calc_2!EF100)&gt;Tolerance)</f>
        <v>0</v>
      </c>
      <c r="EG29" s="42" t="n">
        <f aca="false">N((Calc_2!EG$4&gt;=Calc_2!$F17)*ABS(Calc_2!EG100)&gt;Tolerance)</f>
        <v>0</v>
      </c>
      <c r="EH29" s="42" t="n">
        <f aca="false">N((Calc_2!EH$4&gt;=Calc_2!$F17)*ABS(Calc_2!EH100)&gt;Tolerance)</f>
        <v>0</v>
      </c>
      <c r="EI29" s="42" t="n">
        <f aca="false">N((Calc_2!EI$4&gt;=Calc_2!$F17)*ABS(Calc_2!EI100)&gt;Tolerance)</f>
        <v>0</v>
      </c>
      <c r="EJ29" s="42" t="n">
        <f aca="false">N((Calc_2!EJ$4&gt;=Calc_2!$F17)*ABS(Calc_2!EJ100)&gt;Tolerance)</f>
        <v>0</v>
      </c>
      <c r="EK29" s="42" t="n">
        <f aca="false">N((Calc_2!EK$4&gt;=Calc_2!$F17)*ABS(Calc_2!EK100)&gt;Tolerance)</f>
        <v>0</v>
      </c>
      <c r="EL29" s="42" t="n">
        <f aca="false">N((Calc_2!EL$4&gt;=Calc_2!$F17)*ABS(Calc_2!EL100)&gt;Tolerance)</f>
        <v>0</v>
      </c>
      <c r="EM29" s="42" t="n">
        <f aca="false">N((Calc_2!EM$4&gt;=Calc_2!$F17)*ABS(Calc_2!EM100)&gt;Tolerance)</f>
        <v>0</v>
      </c>
      <c r="EN29" s="42" t="n">
        <f aca="false">N((Calc_2!EN$4&gt;=Calc_2!$F17)*ABS(Calc_2!EN100)&gt;Tolerance)</f>
        <v>0</v>
      </c>
      <c r="EO29" s="42" t="n">
        <f aca="false">N((Calc_2!EO$4&gt;=Calc_2!$F17)*ABS(Calc_2!EO100)&gt;Tolerance)</f>
        <v>0</v>
      </c>
      <c r="EP29" s="42" t="n">
        <f aca="false">N((Calc_2!EP$4&gt;=Calc_2!$F17)*ABS(Calc_2!EP100)&gt;Tolerance)</f>
        <v>0</v>
      </c>
      <c r="EQ29" s="42" t="n">
        <f aca="false">N((Calc_2!EQ$4&gt;=Calc_2!$F17)*ABS(Calc_2!EQ100)&gt;Tolerance)</f>
        <v>0</v>
      </c>
      <c r="ER29" s="42" t="n">
        <f aca="false">N((Calc_2!ER$4&gt;=Calc_2!$F17)*ABS(Calc_2!ER100)&gt;Tolerance)</f>
        <v>0</v>
      </c>
      <c r="ES29" s="42" t="n">
        <f aca="false">N((Calc_2!ES$4&gt;=Calc_2!$F17)*ABS(Calc_2!ES100)&gt;Tolerance)</f>
        <v>0</v>
      </c>
      <c r="ET29" s="42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2" t="n">
        <f aca="false">N(ISTEXT(Calc_1!$E153))+N(ISERROR(Calc_1!$E185))+N(ISERROR(Calc_1!$E170))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2" t="n">
        <f aca="false">N(ISTEXT(Calc_2!$E153))+N(ISERROR(Calc_2!$E185))+N(ISERROR(Calc_2!$E170))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2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2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2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58" t="str">
        <f aca="false">IF(F36=0,"OK","CHECK")</f>
        <v>OK</v>
      </c>
      <c r="F36" s="59" t="n">
        <f aca="false">SUMPRODUCT(ABS(F12:F34))</f>
        <v>0</v>
      </c>
    </row>
    <row r="38" customFormat="false" ht="15" hidden="false" customHeight="false" outlineLevel="0" collapsed="false">
      <c r="C38" s="36" t="s">
        <v>163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2026-10-13T06:32:36Z</dcterms:created>
  <dc:creator>openpyxl</dc:creator>
  <dc:description/>
  <dc:language>en-US</dc:language>
  <cp:lastModifiedBy/>
  <dcterms:modified xsi:type="dcterms:W3CDTF">2026-10-13T06:32:50Z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