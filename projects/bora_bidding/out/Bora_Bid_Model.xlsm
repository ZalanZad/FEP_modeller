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Capex_Items" vbProcedure="false">Dashboard!$E$51:$E$63</definedName>
    <definedName function="false" hidden="false" name="COD_IRR_1_Stored" vbProcedure="false">Dashboard!$H$125:$N$125</definedName>
    <definedName function="false" hidden="false" name="COD_IRR_2_Stored" vbProcedure="false">Dashboard!$H$126:$N$126</definedName>
    <definedName function="false" hidden="false" name="Commitment_Penalty_1_Stored" vbProcedure="false">Dashboard!$H$131:$N$131</definedName>
    <definedName function="false" hidden="false" name="Commitment_Penalty_2_Stored" vbProcedure="false">Dashboard!$H$132:$N$132</definedName>
    <definedName function="false" hidden="false" name="Cost_To_COD_1_Stored" vbProcedure="false">Dashboard!$H$135:$N$135</definedName>
    <definedName function="false" hidden="false" name="Cost_To_COD_2_Stored" vbProcedure="false">Dashboard!$H$136:$N$136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Brownfield" vbProcedure="false">Dashboard!$E$19:$F$19</definedName>
    <definedName function="false" hidden="false" name="Dash_Community" vbProcedure="false">Dashboard!$E$13:$F$13</definedName>
    <definedName function="false" hidden="false" name="Dash_EU_Transformer" vbProcedure="false">Dashboard!$E$22:$F$22</definedName>
    <definedName function="false" hidden="false" name="Dash_EU_Turbine" vbProcedure="false">Dashboard!$E$21:$F$21</definedName>
    <definedName function="false" hidden="false" name="Dash_Exit_Date" vbProcedure="false">Dashboard!$E$87:$F$87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Dashboard!$E$20:$F$20</definedName>
    <definedName function="false" hidden="false" name="Days_In_Year" vbProcedure="false">Inputs!$F$13</definedName>
    <definedName function="false" hidden="false" name="Devex_Date" vbProcedure="false">Curves!$J$30:$J$63</definedName>
    <definedName function="false" hidden="false" name="Devex_Keur" vbProcedure="false">Curves!$I$30:$I$63</definedName>
    <definedName function="false" hidden="false" name="Devex_Land" vbProcedure="false">Curves!$K$30:$K$63</definedName>
    <definedName function="false" hidden="false" name="Distributable_1_Stored" vbProcedure="false">Dashboard!$H$133:$N$133</definedName>
    <definedName function="false" hidden="false" name="Distributable_2_Stored" vbProcedure="false">Dashboard!$H$134:$N$134</definedName>
    <definedName function="false" hidden="false" name="Funding_Cum_Last" vbProcedure="false">Dashboard!$I$47</definedName>
    <definedName function="false" hidden="false" name="HTM_IRR_1_Stored" vbProcedure="false">Dashboard!$H$127:$N$127</definedName>
    <definedName function="false" hidden="false" name="HTM_IRR_2_Stored" vbProcedure="false">Dashboard!$H$128:$N$128</definedName>
    <definedName function="false" hidden="false" name="HTM_NPV_1_Stored" vbProcedure="false">Dashboard!$H$129:$N$129</definedName>
    <definedName function="false" hidden="false" name="HTM_NPV_2_Stored" vbProcedure="false">Dashboard!$H$130:$N$130</definedName>
    <definedName function="false" hidden="false" name="Impact_Stored" vbProcedure="false">Dashboard!$K$12:$R$22</definedName>
    <definedName function="false" hidden="false" name="In_Admin" vbProcedure="false">Inputs!$F$112</definedName>
    <definedName function="false" hidden="false" name="In_AtRisk_Rate" vbProcedure="false">Inputs!$F$69</definedName>
    <definedName function="false" hidden="false" name="In_Award_Date" vbProcedure="false">Inputs!$F$55</definedName>
    <definedName function="false" hidden="false" name="In_Bench_BESS" vbProcedure="false">Inputs!$F$51</definedName>
    <definedName function="false" hidden="false" name="In_Bench_Wind" vbProcedure="false">Inputs!$F$50</definedName>
    <definedName function="false" hidden="false" name="In_BESS_Built" vbProcedure="false">Inputs!$F$84</definedName>
    <definedName function="false" hidden="false" name="In_BESS_Capex" vbProcedure="false">Inputs!$F$101</definedName>
    <definedName function="false" hidden="false" name="In_Bid_Date" vbProcedure="false">Inputs!$F$52</definedName>
    <definedName function="false" hidden="false" name="In_Bid_Rate" vbProcedure="false">Inputs!$F$54</definedName>
    <definedName function="false" hidden="false" name="In_BoP" vbProcedure="false">Inputs!$F$95</definedName>
    <definedName function="false" hidden="false" name="In_Bottleneck_Loss" vbProcedure="false">Inputs!$F$87</definedName>
    <definedName function="false" hidden="false" name="In_Buyer_Rate" vbProcedure="false">Inputs!$F$80</definedName>
    <definedName function="false" hidden="false" name="In_Capex_Contingency" vbProcedure="false">Inputs!$F$100</definedName>
    <definedName function="false" hidden="false" name="In_Cash_Rate" vbProcedure="false">Inputs!$F$67</definedName>
    <definedName function="false" hidden="false" name="In_CIT" vbProcedure="false">Inputs!$F$33</definedName>
    <definedName function="false" hidden="false" name="In_CN_Turbine" vbProcedure="false">Inputs!$F$90</definedName>
    <definedName function="false" hidden="false" name="In_COD" vbProcedure="false">Inputs!$F$24</definedName>
    <definedName function="false" hidden="false" name="In_COD_Price" vbProcedure="false">Inputs!$F$76</definedName>
    <definedName function="false" hidden="false" name="In_COD_Price_CN" vbProcedure="false">Inputs!$F$77</definedName>
    <definedName function="false" hidden="false" name="In_Commitment_Fee" vbProcedure="false">Inputs!$F$123</definedName>
    <definedName function="false" hidden="false" name="In_Contingency_Date" vbProcedure="false">Inputs!$F$22</definedName>
    <definedName function="false" hidden="false" name="In_Curtailment" vbProcedure="false">Inputs!$F$105</definedName>
    <definedName function="false" hidden="false" name="In_DD" vbProcedure="false">Inputs!$F$35</definedName>
    <definedName function="false" hidden="false" name="In_Debt_Rate" vbProcedure="false">Inputs!$F$121</definedName>
    <definedName function="false" hidden="false" name="In_Debt_Tenor" vbProcedure="false">Inputs!$F$124</definedName>
    <definedName function="false" hidden="false" name="In_Degradation" vbProcedure="false">Inputs!$F$106</definedName>
    <definedName function="false" hidden="false" name="In_Delivered" vbProcedure="false">Inputs!$F$85</definedName>
    <definedName function="false" hidden="false" name="In_Dep_Years" vbProcedure="false">Inputs!$F$125</definedName>
    <definedName function="false" hidden="false" name="In_Devex_Contingency" vbProcedure="false">Inputs!$F$71</definedName>
    <definedName function="false" hidden="false" name="In_Direct_Fee" vbProcedure="false">Inputs!$F$61</definedName>
    <definedName function="false" hidden="false" name="In_Discount_Rate" vbProcedure="false">Inputs!$F$75</definedName>
    <definedName function="false" hidden="false" name="In_DSA_Cap" vbProcedure="false">Inputs!$F$39</definedName>
    <definedName function="false" hidden="false" name="In_DSA_Rate" vbProcedure="false">Inputs!$F$38</definedName>
    <definedName function="false" hidden="false" name="In_Easements" vbProcedure="false">Inputs!$F$97</definedName>
    <definedName function="false" hidden="false" name="In_FEP_Share" vbProcedure="false">Inputs!$F$37</definedName>
    <definedName function="false" hidden="false" name="In_Fixed_Opex" vbProcedure="false">Inputs!$F$110</definedName>
    <definedName function="false" hidden="false" name="In_Foundations" vbProcedure="false">Inputs!$F$94</definedName>
    <definedName function="false" hidden="false" name="In_Freeze_End" vbProcedure="false">Inputs!$F$27</definedName>
    <definedName function="false" hidden="false" name="In_Freeze_On" vbProcedure="false">Inputs!$F$28</definedName>
    <definedName function="false" hidden="false" name="In_Freeze_Start" vbProcedure="false">Inputs!$F$26</definedName>
    <definedName function="false" hidden="false" name="In_FX" vbProcedure="false">Inputs!$F$32</definedName>
    <definedName function="false" hidden="false" name="In_Gearing" vbProcedure="false">Inputs!$F$119</definedName>
    <definedName function="false" hidden="false" name="In_Gearing_CN" vbProcedure="false">Inputs!$F$120</definedName>
    <definedName function="false" hidden="false" name="In_Group_Cap" vbProcedure="false">Inputs!$F$44</definedName>
    <definedName function="false" hidden="false" name="In_Guarantee_Fee" vbProcedure="false">Inputs!$F$64</definedName>
    <definedName function="false" hidden="false" name="In_Guar_Credit" vbProcedure="false">Inputs!$F$68</definedName>
    <definedName function="false" hidden="false" name="In_HCSSZ_Date" vbProcedure="false">Inputs!$F$60</definedName>
    <definedName function="false" hidden="false" name="In_HIPA" vbProcedure="false">Inputs!$F$116</definedName>
    <definedName function="false" hidden="false" name="In_Indirect_Fee" vbProcedure="false">Inputs!$F$62</definedName>
    <definedName function="false" hidden="false" name="In_Installation" vbProcedure="false">Inputs!$F$93</definedName>
    <definedName function="false" hidden="false" name="In_Invest_Date" vbProcedure="false">Inputs!$F$20</definedName>
    <definedName function="false" hidden="false" name="In_Lease" vbProcedure="false">Inputs!$F$111</definedName>
    <definedName function="false" hidden="false" name="In_Life" vbProcedure="false">Inputs!$F$25</definedName>
    <definedName function="false" hidden="false" name="In_MEKH" vbProcedure="false">Inputs!$F$115</definedName>
    <definedName function="false" hidden="false" name="In_Min_Hours" vbProcedure="false">Inputs!$F$46</definedName>
    <definedName function="false" hidden="false" name="In_Min_Multiple" vbProcedure="false">Inputs!$F$70</definedName>
    <definedName function="false" hidden="false" name="In_Model_Start" vbProcedure="false">Inputs!$F$19</definedName>
    <definedName function="false" hidden="false" name="In_MVA" vbProcedure="false">Inputs!$F$43</definedName>
    <definedName function="false" hidden="false" name="In_NTP" vbProcedure="false">Inputs!$F$23</definedName>
    <definedName function="false" hidden="false" name="In_Opex_Contingency" vbProcedure="false">Inputs!$F$113</definedName>
    <definedName function="false" hidden="false" name="In_Opex_Esc" vbProcedure="false">Inputs!$F$114</definedName>
    <definedName function="false" hidden="false" name="In_OSZ4_Basis" vbProcedure="false">Inputs!$F$47</definedName>
    <definedName function="false" hidden="false" name="In_Overbuild_Built" vbProcedure="false">Inputs!$F$83</definedName>
    <definedName function="false" hidden="false" name="In_Owner" vbProcedure="false">Inputs!$F$96</definedName>
    <definedName function="false" hidden="false" name="In_P50_Hours" vbProcedure="false">Inputs!$F$104</definedName>
    <definedName function="false" hidden="false" name="In_Part_Fee" vbProcedure="false">Inputs!$F$53</definedName>
    <definedName function="false" hidden="false" name="In_Pass_Through" vbProcedure="false">Inputs!$F$79</definedName>
    <definedName function="false" hidden="false" name="In_PB_Days" vbProcedure="false">Inputs!$F$56</definedName>
    <definedName function="false" hidden="false" name="In_PB_Rate" vbProcedure="false">Inputs!$F$57</definedName>
    <definedName function="false" hidden="false" name="In_PB_Release" vbProcedure="false">Inputs!$F$63</definedName>
    <definedName function="false" hidden="false" name="In_PPA_Esc" vbProcedure="false">Inputs!$F$108</definedName>
    <definedName function="false" hidden="false" name="In_PPA_Price" vbProcedure="false">Inputs!$F$107</definedName>
    <definedName function="false" hidden="false" name="In_Ref_Community" vbProcedure="false">Inputs!$F$78</definedName>
    <definedName function="false" hidden="false" name="In_RtB_Premium" vbProcedure="false">Inputs!$F$74</definedName>
    <definedName function="false" hidden="false" name="In_Sale_Costs" vbProcedure="false">Inputs!$F$36</definedName>
    <definedName function="false" hidden="false" name="In_Sanction_Lag" vbProcedure="false">Inputs!$F$29</definedName>
    <definedName function="false" hidden="false" name="In_Sanction_Regime" vbProcedure="false">Inputs!$F$86</definedName>
    <definedName function="false" hidden="false" name="In_Signing_Date" vbProcedure="false">Inputs!$F$21</definedName>
    <definedName function="false" hidden="false" name="In_Signing_Fee" vbProcedure="false">Inputs!$F$34</definedName>
    <definedName function="false" hidden="false" name="In_Substation" vbProcedure="false">Inputs!$F$98</definedName>
    <definedName function="false" hidden="false" name="In_Substation_CN" vbProcedure="false">Inputs!$F$99</definedName>
    <definedName function="false" hidden="false" name="In_Tolerance_Cap" vbProcedure="false">Inputs!$F$45</definedName>
    <definedName function="false" hidden="false" name="In_TSO_Date" vbProcedure="false">Inputs!$F$58</definedName>
    <definedName function="false" hidden="false" name="In_TSO_Security" vbProcedure="false">Inputs!$F$59</definedName>
    <definedName function="false" hidden="false" name="In_Turbine" vbProcedure="false">Inputs!$F$91</definedName>
    <definedName function="false" hidden="false" name="In_Turbine_CN" vbProcedure="false">Inputs!$F$92</definedName>
    <definedName function="false" hidden="false" name="In_Upfront_Fee" vbProcedure="false">Inputs!$F$122</definedName>
    <definedName function="false" hidden="false" name="In_Var_Opex" vbProcedure="false">Inputs!$F$109</definedName>
    <definedName function="false" hidden="false" name="Live_Results" vbProcedure="false">Dashboard!$E$121:$E$136</definedName>
    <definedName function="false" hidden="false" name="Master_Check" vbProcedure="false">Checks!$F$38</definedName>
    <definedName function="false" hidden="false" name="Million" vbProcedure="false">Inputs!$F$12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Curves!$J$14:$S$14</definedName>
    <definedName function="false" hidden="false" name="Osz3_LB" vbProcedure="false">Curves!$J$13:$S$13</definedName>
    <definedName function="false" hidden="false" name="Osz3_Pts" vbProcedure="false">Curves!$J$15:$T$15</definedName>
    <definedName function="false" hidden="false" name="Osz3_W" vbProcedure="false">Curves!$E$15</definedName>
    <definedName function="false" hidden="false" name="Osz4_Incl" vbProcedure="false">Curves!$J$17:$S$17</definedName>
    <definedName function="false" hidden="false" name="Osz4_LB" vbProcedure="false">Curves!$J$16:$S$16</definedName>
    <definedName function="false" hidden="false" name="Osz4_Min" vbProcedure="false">Curves!$E$16</definedName>
    <definedName function="false" hidden="false" name="Osz4_Pts" vbProcedure="false">Curves!$J$18:$T$18</definedName>
    <definedName function="false" hidden="false" name="Osz4_W" vbProcedure="false">Curves!$E$18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7_Pts" vbProcedure="false">Curves!$J$23:$J$23</definedName>
    <definedName function="false" hidden="false" name="Osz7_W" vbProcedure="false">Curves!$E$23</definedName>
    <definedName function="false" hidden="false" name="Osz8_Pts" vbProcedure="false">Curves!$J$24:$J$24</definedName>
    <definedName function="false" hidden="false" name="Osz8_W" vbProcedure="false">Curves!$E$24</definedName>
    <definedName function="false" hidden="false" name="Osz9a_Pts" vbProcedure="false">Curves!$J$25:$J$25</definedName>
    <definedName function="false" hidden="false" name="Osz9b_Pts" vbProcedure="false">Curves!$J$26:$J$26</definedName>
    <definedName function="false" hidden="false" name="Osz9_W" vbProcedure="false">Curves!$E$25</definedName>
    <definedName function="false" hidden="false" name="Out_BESS_MW_1" vbProcedure="false">Dashboard!$E$69</definedName>
    <definedName function="false" hidden="false" name="Out_BESS_MW_2" vbProcedure="false">Dashboard!$F$69</definedName>
    <definedName function="false" hidden="false" name="Out_Capex_Total" vbProcedure="false">Dashboard!$E$64</definedName>
    <definedName function="false" hidden="false" name="Out_Capex_Total_MW" vbProcedure="false">Dashboard!$F$64</definedName>
    <definedName function="false" hidden="false" name="Out_COD_Debt_1" vbProcedure="false">Dashboard!$E$111</definedName>
    <definedName function="false" hidden="false" name="Out_COD_Debt_2" vbProcedure="false">Dashboard!$F$111</definedName>
    <definedName function="false" hidden="false" name="Out_COD_IRR_1" vbProcedure="false">Dashboard!$E$28</definedName>
    <definedName function="false" hidden="false" name="Out_COD_IRR_2" vbProcedure="false">Dashboard!$F$28</definedName>
    <definedName function="false" hidden="false" name="Out_COD_MOIC_1" vbProcedure="false">Dashboard!$E$114</definedName>
    <definedName function="false" hidden="false" name="Out_COD_MOIC_2" vbProcedure="false">Dashboard!$F$114</definedName>
    <definedName function="false" hidden="false" name="Out_COD_NPV_1" vbProcedure="false">Dashboard!$E$29</definedName>
    <definedName function="false" hidden="false" name="Out_COD_NPV_2" vbProcedure="false">Dashboard!$F$29</definedName>
    <definedName function="false" hidden="false" name="Out_COD_Price_1" vbProcedure="false">Dashboard!$E$109</definedName>
    <definedName function="false" hidden="false" name="Out_COD_Price_2" vbProcedure="false">Dashboard!$F$109</definedName>
    <definedName function="false" hidden="false" name="Out_COD_Price_Effect_1" vbProcedure="false">Dashboard!$E$110</definedName>
    <definedName function="false" hidden="false" name="Out_COD_Price_Effect_2" vbProcedure="false">Dashboard!$F$110</definedName>
    <definedName function="false" hidden="false" name="Out_COD_Proceeds_1" vbProcedure="false">Dashboard!$E$112</definedName>
    <definedName function="false" hidden="false" name="Out_COD_Proceeds_2" vbProcedure="false">Dashboard!$F$112</definedName>
    <definedName function="false" hidden="false" name="Out_COD_Profit_1" vbProcedure="false">Dashboard!$E$113</definedName>
    <definedName function="false" hidden="false" name="Out_COD_Profit_2" vbProcedure="false">Dashboard!$F$113</definedName>
    <definedName function="false" hidden="false" name="Out_Commitment_Penalty_1" vbProcedure="false">Dashboard!$E$81</definedName>
    <definedName function="false" hidden="false" name="Out_Commitment_Penalty_2" vbProcedure="false">Dashboard!$F$81</definedName>
    <definedName function="false" hidden="false" name="Out_Commitment_Securities_1" vbProcedure="false">Dashboard!$E$80</definedName>
    <definedName function="false" hidden="false" name="Out_Commitment_Securities_2" vbProcedure="false">Dashboard!$F$80</definedName>
    <definedName function="false" hidden="false" name="Out_Commitment_Total_1" vbProcedure="false">Dashboard!$E$32</definedName>
    <definedName function="false" hidden="false" name="Out_Commitment_Total_2" vbProcedure="false">Dashboard!$F$32</definedName>
    <definedName function="false" hidden="false" name="Out_Cost_To_COD_1" vbProcedure="false">Dashboard!$E$108</definedName>
    <definedName function="false" hidden="false" name="Out_Cost_To_COD_2" vbProcedure="false">Dashboard!$F$108</definedName>
    <definedName function="false" hidden="false" name="Out_Distributable_1" vbProcedure="false">Dashboard!$E$96</definedName>
    <definedName function="false" hidden="false" name="Out_Distributable_2" vbProcedure="false">Dashboard!$F$96</definedName>
    <definedName function="false" hidden="false" name="Out_Exclusion_1" vbProcedure="false">Dashboard!$E$84</definedName>
    <definedName function="false" hidden="false" name="Out_Exclusion_2" vbProcedure="false">Dashboard!$F$84</definedName>
    <definedName function="false" hidden="false" name="Out_Exit_ARES_30_1" vbProcedure="false">Dashboard!$E$100</definedName>
    <definedName function="false" hidden="false" name="Out_Exit_ARES_30_2" vbProcedure="false">Dashboard!$F$100</definedName>
    <definedName function="false" hidden="false" name="Out_Exit_ARES_Total_1" vbProcedure="false">Dashboard!$E$101</definedName>
    <definedName function="false" hidden="false" name="Out_Exit_ARES_Total_2" vbProcedure="false">Dashboard!$F$101</definedName>
    <definedName function="false" hidden="false" name="Out_Exit_ARES_Total_MW_1" vbProcedure="false">Dashboard!$I$101</definedName>
    <definedName function="false" hidden="false" name="Out_Exit_ARES_Total_MW_2" vbProcedure="false">Dashboard!$J$101</definedName>
    <definedName function="false" hidden="false" name="Out_Exit_Claims_1" vbProcedure="false">Dashboard!$E$94</definedName>
    <definedName function="false" hidden="false" name="Out_Exit_Claims_2" vbProcedure="false">Dashboard!$F$94</definedName>
    <definedName function="false" hidden="false" name="Out_Exit_FEP_70_1" vbProcedure="false">Dashboard!$E$97</definedName>
    <definedName function="false" hidden="false" name="Out_Exit_FEP_70_2" vbProcedure="false">Dashboard!$F$97</definedName>
    <definedName function="false" hidden="false" name="Out_Exit_FEP_Devex_1" vbProcedure="false">Dashboard!$E$98</definedName>
    <definedName function="false" hidden="false" name="Out_Exit_FEP_Devex_2" vbProcedure="false">Dashboard!$F$98</definedName>
    <definedName function="false" hidden="false" name="Out_Exit_FEP_Net_1" vbProcedure="false">Dashboard!$E$99</definedName>
    <definedName function="false" hidden="false" name="Out_Exit_FEP_Net_2" vbProcedure="false">Dashboard!$F$99</definedName>
    <definedName function="false" hidden="false" name="Out_Exit_FEP_Net_MW_1" vbProcedure="false">Dashboard!$I$99</definedName>
    <definedName function="false" hidden="false" name="Out_Exit_FEP_Net_MW_2" vbProcedure="false">Dashboard!$J$99</definedName>
    <definedName function="false" hidden="false" name="Out_Exit_Reimbursement_1" vbProcedure="false">Dashboard!$E$88</definedName>
    <definedName function="false" hidden="false" name="Out_Exit_Reimbursement_2" vbProcedure="false">Dashboard!$F$88</definedName>
    <definedName function="false" hidden="false" name="Out_Funding_Equity_To_COD" vbProcedure="false">Dashboard!$F$48</definedName>
    <definedName function="false" hidden="false" name="Out_Funding_Peak_Guarantee" vbProcedure="false">Dashboard!$H$48</definedName>
    <definedName function="false" hidden="false" name="Out_HTM_IRR_1" vbProcedure="false">Dashboard!$E$30</definedName>
    <definedName function="false" hidden="false" name="Out_HTM_IRR_2" vbProcedure="false">Dashboard!$F$30</definedName>
    <definedName function="false" hidden="false" name="Out_HTM_MOIC_1" vbProcedure="false">Dashboard!$E$117</definedName>
    <definedName function="false" hidden="false" name="Out_HTM_MOIC_2" vbProcedure="false">Dashboard!$F$117</definedName>
    <definedName function="false" hidden="false" name="Out_HTM_NPV_1" vbProcedure="false">Dashboard!$E$31</definedName>
    <definedName function="false" hidden="false" name="Out_HTM_NPV_2" vbProcedure="false">Dashboard!$F$31</definedName>
    <definedName function="false" hidden="false" name="Out_Min_DSCR_1" vbProcedure="false">Dashboard!$E$118</definedName>
    <definedName function="false" hidden="false" name="Out_Min_DSCR_2" vbProcedure="false">Dashboard!$F$118</definedName>
    <definedName function="false" hidden="false" name="Out_MVA_At_Risk_1" vbProcedure="false">Dashboard!$E$83</definedName>
    <definedName function="false" hidden="false" name="Out_MVA_At_Risk_2" vbProcedure="false">Dashboard!$F$83</definedName>
    <definedName function="false" hidden="false" name="Out_Points_1" vbProcedure="false">Dashboard!$E$25</definedName>
    <definedName function="false" hidden="false" name="Out_Points_2" vbProcedure="false">Dashboard!$F$25</definedName>
    <definedName function="false" hidden="false" name="Out_RtB_IRR_1" vbProcedure="false">Dashboard!$E$27</definedName>
    <definedName function="false" hidden="false" name="Out_RtB_IRR_2" vbProcedure="false">Dashboard!$F$27</definedName>
    <definedName function="false" hidden="false" name="Out_RtB_MOIC_1" vbProcedure="false">Dashboard!$E$104</definedName>
    <definedName function="false" hidden="false" name="Out_RtB_MOIC_2" vbProcedure="false">Dashboard!$F$104</definedName>
    <definedName function="false" hidden="false" name="Out_RtB_NPV_1" vbProcedure="false">Dashboard!$E$105</definedName>
    <definedName function="false" hidden="false" name="Out_RtB_NPV_2" vbProcedure="false">Dashboard!$F$105</definedName>
    <definedName function="false" hidden="false" name="Out_RtB_Price_1" vbProcedure="false">Dashboard!$E$89</definedName>
    <definedName function="false" hidden="false" name="Out_RtB_Price_2" vbProcedure="false">Dashboard!$F$89</definedName>
    <definedName function="false" hidden="false" name="Out_RtB_Profit_1" vbProcedure="false">Dashboard!$E$26</definedName>
    <definedName function="false" hidden="false" name="Out_RtB_Profit_2" vbProcedure="false">Dashboard!$F$26</definedName>
    <definedName function="false" hidden="false" name="Out_RtB_Profit_Buildup_1" vbProcedure="false">Dashboard!$E$103</definedName>
    <definedName function="false" hidden="false" name="Out_RtB_Profit_Buildup_2" vbProcedure="false">Dashboard!$F$103</definedName>
    <definedName function="false" hidden="false" name="Out_RtB_Route_Costs_1" vbProcedure="false">Dashboard!$E$102</definedName>
    <definedName function="false" hidden="false" name="Out_RtB_Route_Costs_2" vbProcedure="false">Dashboard!$F$102</definedName>
    <definedName function="false" hidden="false" name="Out_Sanction_Full_1" vbProcedure="false">Dashboard!$E$82</definedName>
    <definedName function="false" hidden="false" name="Out_Sanction_Full_2" vbProcedure="false">Dashboard!$F$82</definedName>
    <definedName function="false" hidden="false" name="Out_WF_DSA_1" vbProcedure="false">Dashboard!$E$95</definedName>
    <definedName function="false" hidden="false" name="Out_WF_DSA_2" vbProcedure="false">Dashboard!$F$95</definedName>
    <definedName function="false" hidden="false" name="Out_WF_Return_12_1" vbProcedure="false">Dashboard!$E$91</definedName>
    <definedName function="false" hidden="false" name="Out_WF_Return_12_2" vbProcedure="false">Dashboard!$F$91</definedName>
    <definedName function="false" hidden="false" name="Out_WF_Return_6_1" vbProcedure="false">Dashboard!$E$93</definedName>
    <definedName function="false" hidden="false" name="Out_WF_Return_6_2" vbProcedure="false">Dashboard!$F$93</definedName>
    <definedName function="false" hidden="false" name="Out_WF_Return_AtRisk_1" vbProcedure="false">Dashboard!$E$92</definedName>
    <definedName function="false" hidden="false" name="Out_WF_Return_AtRisk_2" vbProcedure="false">Dashboard!$F$92</definedName>
    <definedName function="false" hidden="false" name="Out_WF_Sale_Costs_1" vbProcedure="false">Dashboard!$E$90</definedName>
    <definedName function="false" hidden="false" name="Out_WF_Sale_Costs_2" vbProcedure="false">Dashboard!$F$90</definedName>
    <definedName function="false" hidden="false" name="Out_Wind_Built_MW_1" vbProcedure="false">Dashboard!$E$68</definedName>
    <definedName function="false" hidden="false" name="Out_Wind_Built_MW_2" vbProcedure="false">Dashboard!$F$68</definedName>
    <definedName function="false" hidden="false" name="Out_Wind_MW_1" vbProcedure="false">Dashboard!$E$67</definedName>
    <definedName function="false" hidden="false" name="Out_Wind_MW_2" vbProcedure="false">Dashboard!$F$67</definedName>
    <definedName function="false" hidden="false" name="Period_Ends" vbProcedure="false">Calc_1!$J$4:$ET$4</definedName>
    <definedName function="false" hidden="false" name="Points_1_Stored" vbProcedure="false">Dashboard!$H$121:$N$121</definedName>
    <definedName function="false" hidden="false" name="Points_2_Stored" vbProcedure="false">Dashboard!$H$122:$N$122</definedName>
    <definedName function="false" hidden="false" name="Points_Decimals" vbProcedure="false">Inputs!$F$42</definedName>
    <definedName function="false" hidden="false" name="RtB_Profit_1_Stored" vbProcedure="false">Dashboard!$H$123:$N$123</definedName>
    <definedName function="false" hidden="false" name="RtB_Profit_2_Stored" vbProcedure="false">Dashboard!$H$124:$N$124</definedName>
    <definedName function="false" hidden="false" name="Scenario_Name" vbProcedure="false">Dashboard!$V$12</definedName>
    <definedName function="false" hidden="false" name="Scenario_Names" vbProcedure="false">Inputs!$H$7:$N$7</definedName>
    <definedName function="false" hidden="false" name="Scenario_Selected" vbProcedure="false">Inputs!$F$5</definedName>
    <definedName function="false" hidden="false" name="Stored_Results" vbProcedure="false">Dashboard!$H$121:$N$136</definedName>
    <definedName function="false" hidden="false" name="Thousand" vbProcedure="false">Inputs!$F$11</definedName>
    <definedName function="false" hidden="false" name="Tolerance" vbProcedure="false">Inputs!$F$16</definedName>
    <definedName function="false" hidden="false" name="ZB_Delta_1_Stored" vbProcedure="false">Dashboard!$I$28:$I$32</definedName>
    <definedName function="false" hidden="false" name="ZB_Delta_2_Stored" vbProcedure="false">Dashboard!$J$28:$J$32</definedName>
    <definedName function="false" hidden="false" name="ZB_Live_1" vbProcedure="false">Dashboard!$E$28:$E$32</definedName>
    <definedName function="false" hidden="false" name="ZB_Live_2" vbProcedure="false">Dashboard!$F$28:$F$32</definedName>
    <definedName function="false" hidden="false" name="ZB_Zero_Stored" vbProcedure="false">Dashboard!$H$28:$H$32</definedName>
    <definedName function="false" hidden="false" name="ZeroBid_Delta_Stored" vbProcedure="false">Dashboard!$I$26:$J$32</definedName>
    <definedName function="false" hidden="false" name="ZeroBid_Live" vbProcedure="false">Dashboard!$E$25:$F$32</definedName>
    <definedName function="false" hidden="false" name="ZeroBid_Stored" vbProcedure="false">Dashboard!$H$25:$H$32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<sst xmlns="http://schemas.openxmlformats.org/spreadsheetml/2006/main" count="1519" uniqueCount="651">
  <si>
    <t xml:space="preserve">Project Bora</t>
  </si>
  <si>
    <t xml:space="preserve">Bid strategy – BORA 1 / BORA 2 (2 x 100 MVA, Szombathely)</t>
  </si>
  <si>
    <t xml:space="preserve">Version</t>
  </si>
  <si>
    <t xml:space="preserve">v2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</si>
  <si>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</si>
  <si>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</si>
  <si>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</si>
  <si>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</si>
  <si>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</si>
  <si>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BORA 1</t>
  </si>
  <si>
    <t xml:space="preserve">BORA 2</t>
  </si>
  <si>
    <t xml:space="preserve">Key assumptions</t>
  </si>
  <si>
    <t xml:space="preserve">Live</t>
  </si>
  <si>
    <t xml:space="preserve">x</t>
  </si>
  <si>
    <t xml:space="preserve">The bid: commitments, points and impact vs the zero bid (macro)</t>
  </si>
  <si>
    <t xml:space="preserve">Offerable range</t>
  </si>
  <si>
    <t xml:space="preserve">Points B1</t>
  </si>
  <si>
    <t xml:space="preserve">Points B2</t>
  </si>
  <si>
    <t xml:space="preserve">Δ RtB profit €m B1</t>
  </si>
  <si>
    <t xml:space="preserve">Δ RtB profit €m B2</t>
  </si>
  <si>
    <t xml:space="preserve">Δ COD IRR B1</t>
  </si>
  <si>
    <t xml:space="preserve">Δ COD IRR B2</t>
  </si>
  <si>
    <t xml:space="preserve">Δ HTM IRR B1</t>
  </si>
  <si>
    <t xml:space="preserve">Δ HTM IRR B2</t>
  </si>
  <si>
    <t xml:space="preserve">Δ securities €m B1</t>
  </si>
  <si>
    <t xml:space="preserve">Δ securities €m B2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</si>
  <si>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</si>
  <si>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</si>
  <si>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</si>
  <si>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</si>
  <si>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</si>
  <si>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</si>
  <si>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</si>
  <si>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</si>
  <si>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</si>
  <si>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</si>
  <si>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</si>
  <si>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</si>
  <si>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</si>
  <si>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</si>
  <si>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Chinese turbines (0 EU, 1 CN)</t>
  </si>
  <si>
    <t xml:space="preserve">flag</t>
  </si>
  <si>
    <t xml:space="preserve">BESS duration</t>
  </si>
  <si>
    <t xml:space="preserve">h</t>
  </si>
  <si>
    <t xml:space="preserve">≥ 4 h</t>
  </si>
  <si>
    <t xml:space="preserve">RtB price</t>
  </si>
  <si>
    <t xml:space="preserve">EUR k/MVA</t>
  </si>
  <si>
    <t xml:space="preserve">Performance security multiple (ÖSZ-6)</t>
  </si>
  <si>
    <t xml:space="preserve">≥ 1.0</t>
  </si>
  <si>
    <t xml:space="preserve">COD price, EU</t>
  </si>
  <si>
    <t xml:space="preserve">Partial award accepted (ÖSZ-5)</t>
  </si>
  <si>
    <t xml:space="preserve">0 / 1</t>
  </si>
  <si>
    <t xml:space="preserve">Turbine price, EU</t>
  </si>
  <si>
    <t xml:space="preserve">Brownfield site (ÖSZ-7)</t>
  </si>
  <si>
    <t xml:space="preserve">PPA price at COD</t>
  </si>
  <si>
    <t xml:space="preserve">Shared connection (ÖSZ-8)</t>
  </si>
  <si>
    <t xml:space="preserve">Gearing, EU</t>
  </si>
  <si>
    <t xml:space="preserve">EU turbines ≥ 80 % (ÖSZ-9)</t>
  </si>
  <si>
    <t xml:space="preserve">Debt rate</t>
  </si>
  <si>
    <t xml:space="preserve">EU transformers ≥ 80 % (ÖSZ-9)</t>
  </si>
  <si>
    <t xml:space="preserve">Discount rate</t>
  </si>
  <si>
    <t xml:space="preserve">COD</t>
  </si>
  <si>
    <t xml:space="preserve">date</t>
  </si>
  <si>
    <t xml:space="preserve">Returns at a glance</t>
  </si>
  <si>
    <t xml:space="preserve">Zero bid</t>
  </si>
  <si>
    <t xml:space="preserve">Δ B1</t>
  </si>
  <si>
    <t xml:space="preserve">Δ B2</t>
  </si>
  <si>
    <t xml:space="preserve">FX</t>
  </si>
  <si>
    <t xml:space="preserve">HUF/EUR</t>
  </si>
  <si>
    <t xml:space="preserve">Points, live turbine route</t>
  </si>
  <si>
    <t xml:space="preserve">points</t>
  </si>
  <si>
    <t xml:space="preserve">Interest freeze on</t>
  </si>
  <si>
    <t xml:space="preserve">FEP profit – RtB route</t>
  </si>
  <si>
    <t xml:space="preserve">EUR m</t>
  </si>
  <si>
    <t xml:space="preserve">Overbuild built</t>
  </si>
  <si>
    <t xml:space="preserve">FEP IRR – RtB route</t>
  </si>
  <si>
    <t xml:space="preserve">BESS built</t>
  </si>
  <si>
    <t xml:space="preserve">FEP IRR – sale at COD</t>
  </si>
  <si>
    <t xml:space="preserve">Commitments delivered</t>
  </si>
  <si>
    <t xml:space="preserve">FEP NPV – sale at COD</t>
  </si>
  <si>
    <t xml:space="preserve">Sanction regime (1 pro rata, 2 full)</t>
  </si>
  <si>
    <t xml:space="preserve">FEP IRR – hold to maturity</t>
  </si>
  <si>
    <t xml:space="preserve">ÖSZ-4 basis (0 MVA, 1 wind)</t>
  </si>
  <si>
    <t xml:space="preserve">FEP NPV – hold to maturity</t>
  </si>
  <si>
    <t xml:space="preserve">Total commitment</t>
  </si>
  <si>
    <t xml:space="preserve">Funding need to COD – both bids</t>
  </si>
  <si>
    <t xml:space="preserve">Date</t>
  </si>
  <si>
    <t xml:space="preserve">Cash €m</t>
  </si>
  <si>
    <t xml:space="preserve">Guarantee €m</t>
  </si>
  <si>
    <t xml:space="preserve">Cum. cash €m</t>
  </si>
  <si>
    <t xml:space="preserve">Signing fee and DD</t>
  </si>
  <si>
    <t xml:space="preserve">Bid: participation fee (cash), bid guarantee</t>
  </si>
  <si>
    <t xml:space="preserve">Award: performance guarantee (bid guarantee released)</t>
  </si>
  <si>
    <t xml:space="preserve">Connection request: TSO security</t>
  </si>
  <si>
    <t xml:space="preserve">Devex, land and contingency 2026</t>
  </si>
  <si>
    <t xml:space="preserve">Devex, land and contingency 2027</t>
  </si>
  <si>
    <t xml:space="preserve">Devex, land and contingency 2028</t>
  </si>
  <si>
    <t xml:space="preserve">HCSSZ: connection fees</t>
  </si>
  <si>
    <t xml:space="preserve">Devex, land and contingency 2029</t>
  </si>
  <si>
    <t xml:space="preserve">NTP → COD: construction equity (capex, lease less debt)</t>
  </si>
  <si>
    <t xml:space="preserve">NTP → COD: debt fees (IDC is debt-funded)</t>
  </si>
  <si>
    <t xml:space="preserve">Guarantee fees to COD</t>
  </si>
  <si>
    <t xml:space="preserve">COD: municipal one-off</t>
  </si>
  <si>
    <t xml:space="preserve">Total cash equity to COD; peak guarantee</t>
  </si>
  <si>
    <t xml:space="preserve">Capex breakdown to COD – both bids</t>
  </si>
  <si>
    <t xml:space="preserve">€ m</t>
  </si>
  <si>
    <t xml:space="preserve">k€/MW</t>
  </si>
  <si>
    <t xml:space="preserve">Turbines</t>
  </si>
  <si>
    <t xml:space="preserve">Installation</t>
  </si>
  <si>
    <t xml:space="preserve">Foundations</t>
  </si>
  <si>
    <t xml:space="preserve">Balance of plant</t>
  </si>
  <si>
    <t xml:space="preserve">Owner's costs</t>
  </si>
  <si>
    <t xml:space="preserve">Land, easements, pre-COD lease</t>
  </si>
  <si>
    <t xml:space="preserve">Contingency</t>
  </si>
  <si>
    <t xml:space="preserve">Substation and 132 kV bay</t>
  </si>
  <si>
    <t xml:space="preserve">BESS</t>
  </si>
  <si>
    <t xml:space="preserve">Connection fees</t>
  </si>
  <si>
    <t xml:space="preserve">Municipal one-off</t>
  </si>
  <si>
    <t xml:space="preserve">Development: devex, land, signing, securities</t>
  </si>
  <si>
    <t xml:space="preserve">Financing: IDC, debt fees, guarantee fees</t>
  </si>
  <si>
    <t xml:space="preserve">All-in cost to COD</t>
  </si>
  <si>
    <t xml:space="preserve">Points and validity</t>
  </si>
  <si>
    <t xml:space="preserve">Wind committed</t>
  </si>
  <si>
    <t xml:space="preserve">MW</t>
  </si>
  <si>
    <t xml:space="preserve">Wind built</t>
  </si>
  <si>
    <t xml:space="preserve">BESS committed</t>
  </si>
  <si>
    <t xml:space="preserve">Capacity tests (group cap, overbuild, BESS ≤ wind, 4 h)</t>
  </si>
  <si>
    <t xml:space="preserve">Commitments within the offerable range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</si>
  <si>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</si>
  <si>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</si>
  <si>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</si>
  <si>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</si>
  <si>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</si>
  <si>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</si>
  <si>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</si>
  <si>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</si>
  <si>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</si>
  <si>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</si>
  <si>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exit / PB release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</si>
  <si>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</si>
  <si>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</si>
  <si>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</si>
  <si>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</si>
  <si>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Securities: cash posted and guarantee outstanding</t>
  </si>
  <si>
    <t xml:space="preserve">PB call if overbuild not built (selected regime)</t>
  </si>
  <si>
    <t xml:space="preserve">PB call if overbuild not built (full call)</t>
  </si>
  <si>
    <t xml:space="preserve">Connection capacity at risk</t>
  </si>
  <si>
    <t xml:space="preserve">MVA</t>
  </si>
  <si>
    <t xml:space="preserve">3-year group exclusion possible (if the PB loss counts as a call)</t>
  </si>
  <si>
    <t xml:space="preserve">RtB exit, devex-file waterfall (paid amounts)</t>
  </si>
  <si>
    <t xml:space="preserve">Total</t>
  </si>
  <si>
    <t xml:space="preserve">k€/MW B1</t>
  </si>
  <si>
    <t xml:space="preserve">k€/MW B2</t>
  </si>
  <si>
    <t xml:space="preserve">RtB exit date (a quarter end)</t>
  </si>
  <si>
    <t xml:space="preserve">Memo: buyer reimbursement (deposits, fees, land) to FEP</t>
  </si>
  <si>
    <t xml:space="preserve">Exit premium (RtB price)</t>
  </si>
  <si>
    <t xml:space="preserve">Less sale costs</t>
  </si>
  <si>
    <t xml:space="preserve">Less FEP claim 12 % on deposits and connection fees</t>
  </si>
  <si>
    <t xml:space="preserve">Less FEP claim 20 % / 2x on devex and land</t>
  </si>
  <si>
    <t xml:space="preserve">Less FEP claim 6 % on guarantees</t>
  </si>
  <si>
    <t xml:space="preserve">Less FEP interest claims, total</t>
  </si>
  <si>
    <t xml:space="preserve">Less DSA</t>
  </si>
  <si>
    <t xml:space="preserve">Distributable</t>
  </si>
  <si>
    <t xml:space="preserve">FEP 70 %</t>
  </si>
  <si>
    <t xml:space="preserve">FEP-borne devex principal (deducted from FEP)</t>
  </si>
  <si>
    <t xml:space="preserve">FEP net = interest claims + 70 % - devex</t>
  </si>
  <si>
    <t xml:space="preserve">A.RES 30 %</t>
  </si>
  <si>
    <t xml:space="preserve">A.RES total = 30 % + DSA</t>
  </si>
  <si>
    <t xml:space="preserve">FEP route: guarantee fees, signing and DD, tax</t>
  </si>
  <si>
    <t xml:space="preserve">FEP MOIC – RtB route</t>
  </si>
  <si>
    <t xml:space="preserve">FEP NPV – RtB route</t>
  </si>
  <si>
    <t xml:space="preserve">Sale at COD</t>
  </si>
  <si>
    <t xml:space="preserve">Sale price (built MW, after bottleneck loss)</t>
  </si>
  <si>
    <t xml:space="preserve">COD price effect (community, sanction)</t>
  </si>
  <si>
    <t xml:space="preserve">Debt repaid at COD</t>
  </si>
  <si>
    <t xml:space="preserve">FEP proceeds at COD</t>
  </si>
  <si>
    <t xml:space="preserve">FEP profit – sale at COD</t>
  </si>
  <si>
    <t xml:space="preserve">FEP MOIC – sale at COD</t>
  </si>
  <si>
    <t xml:space="preserve">Hold to maturity</t>
  </si>
  <si>
    <t xml:space="preserve">FEP MOIC – hold to maturity</t>
  </si>
  <si>
    <t xml:space="preserve">Minimum DSCR (memo)</t>
  </si>
  <si>
    <t xml:space="preserve">Stored results by key-assumption set</t>
  </si>
  <si>
    <t xml:space="preserve">Points, live turbine route – BORA 1</t>
  </si>
  <si>
    <t xml:space="preserve">Points, live turbine route – BORA 2</t>
  </si>
  <si>
    <t xml:space="preserve">FEP profit – RtB route – BORA 1</t>
  </si>
  <si>
    <t xml:space="preserve">FEP profit – RtB route – BORA 2</t>
  </si>
  <si>
    <t xml:space="preserve">FEP IRR – sale at COD – BORA 1</t>
  </si>
  <si>
    <t xml:space="preserve">FEP IRR – sale at COD – BORA 2</t>
  </si>
  <si>
    <t xml:space="preserve">FEP IRR – hold to maturity – BORA 1</t>
  </si>
  <si>
    <t xml:space="preserve">FEP IRR – hold to maturity – BORA 2</t>
  </si>
  <si>
    <t xml:space="preserve">FEP NPV – hold to maturity – BORA 1</t>
  </si>
  <si>
    <t xml:space="preserve">FEP NPV – hold to maturity – BORA 2</t>
  </si>
  <si>
    <t xml:space="preserve">PB call if overbuild not built (selected regime) – BORA 1</t>
  </si>
  <si>
    <t xml:space="preserve">PB call if overbuild not built (selected regime) – BORA 2</t>
  </si>
  <si>
    <t xml:space="preserve">Distributable – BORA 1</t>
  </si>
  <si>
    <t xml:space="preserve">Distributable – BORA 2</t>
  </si>
  <si>
    <t xml:space="preserve">All-in cost to COD – BORA 1</t>
  </si>
  <si>
    <t xml:space="preserve">All-in cost to COD – BORA 2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</si>
  <si>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</si>
  <si>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</si>
  <si>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</si>
  <si>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</si>
  <si>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</si>
  <si>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</si>
  <si>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Full PB call</t>
  </si>
  <si>
    <t xml:space="preserve">Freeze off</t>
  </si>
  <si>
    <t xml:space="preserve">Low premium</t>
  </si>
  <si>
    <t xml:space="preserve">ÖSZ-4 on wind</t>
  </si>
  <si>
    <t xml:space="preserve">Nothing delivered</t>
  </si>
  <si>
    <t xml:space="preserve">Constants</t>
  </si>
  <si>
    <t xml:space="preserve">Thousand</t>
  </si>
  <si>
    <t xml:space="preserve">#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</si>
  <si>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</si>
  <si>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</si>
  <si>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</si>
  <si>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</si>
  <si>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</si>
  <si>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</si>
  <si>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</si>
  <si>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</si>
  <si>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</si>
  <si>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</si>
  <si>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</si>
  <si>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</si>
  <si>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</si>
  <si>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</si>
  <si>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Signing fee and DD paid</t>
  </si>
  <si>
    <t xml:space="preserve">Old engine Inputs E27</t>
  </si>
  <si>
    <t xml:space="preserve">Signing (DSA accrual start)</t>
  </si>
  <si>
    <t xml:space="preserve">Old engine Inputs E70</t>
  </si>
  <si>
    <t xml:space="preserve">Devex contingency paid</t>
  </si>
  <si>
    <t xml:space="preserve">Old engine Devex_FEP row 38</t>
  </si>
  <si>
    <t xml:space="preserve">Notice to proceed</t>
  </si>
  <si>
    <t xml:space="preserve">Old engine Inputs E154</t>
  </si>
  <si>
    <t xml:space="preserve">Commercial operation date</t>
  </si>
  <si>
    <t xml:space="preserve">Bora!N16</t>
  </si>
  <si>
    <t xml:space="preserve">Operating life</t>
  </si>
  <si>
    <t xml:space="preserve">years</t>
  </si>
  <si>
    <t xml:space="preserve">Old engine Inputs E157</t>
  </si>
  <si>
    <t xml:space="preserve">Interest freeze start</t>
  </si>
  <si>
    <t xml:space="preserve">Old engine Inputs E64</t>
  </si>
  <si>
    <t xml:space="preserve">Interest freeze end (accrual resumes)</t>
  </si>
  <si>
    <t xml:space="preserve">Old engine Inputs E73</t>
  </si>
  <si>
    <t xml:space="preserve">Interest freeze on (1 = yes)</t>
  </si>
  <si>
    <t xml:space="preserve">User 09-Oct-26 (Inputs E64)</t>
  </si>
  <si>
    <t xml:space="preserve">Sanction paid after COD</t>
  </si>
  <si>
    <t xml:space="preserve">Kiírás XIII.17; old Tender E31</t>
  </si>
  <si>
    <t xml:space="preserve">Money, tax and JV</t>
  </si>
  <si>
    <t xml:space="preserve">FX rate</t>
  </si>
  <si>
    <t xml:space="preserve">Old engine Inputs E11</t>
  </si>
  <si>
    <t xml:space="preserve">Corporate income tax</t>
  </si>
  <si>
    <t xml:space="preserve">Old engine Inputs E12</t>
  </si>
  <si>
    <t xml:space="preserve">Signing fee to current owners</t>
  </si>
  <si>
    <t xml:space="preserve">EUR k</t>
  </si>
  <si>
    <t xml:space="preserve">Old engine Inputs E24</t>
  </si>
  <si>
    <t xml:space="preserve">Transaction and DD costs</t>
  </si>
  <si>
    <t xml:space="preserve">Old engine Inputs E25</t>
  </si>
  <si>
    <t xml:space="preserve">Sale costs at exit</t>
  </si>
  <si>
    <t xml:space="preserve">Old engine Inputs E26</t>
  </si>
  <si>
    <t xml:space="preserve">FEP share of distributable proceeds</t>
  </si>
  <si>
    <t xml:space="preserve">Old engine Inputs E33</t>
  </si>
  <si>
    <t xml:space="preserve">Developer success fee (DSA) per year</t>
  </si>
  <si>
    <t xml:space="preserve">Old engine Inputs E36</t>
  </si>
  <si>
    <t xml:space="preserve">DSA cap</t>
  </si>
  <si>
    <t xml:space="preserve">Old engine Inputs E37</t>
  </si>
  <si>
    <t xml:space="preserve">Tender</t>
  </si>
  <si>
    <t xml:space="preserve">Points rounded to decimals</t>
  </si>
  <si>
    <t xml:space="preserve">Kiírás X.1 b</t>
  </si>
  <si>
    <t xml:space="preserve">Net connection capacity per bid</t>
  </si>
  <si>
    <t xml:space="preserve">Old engine Calc E74</t>
  </si>
  <si>
    <t xml:space="preserve">Cap per group per node</t>
  </si>
  <si>
    <t xml:space="preserve">Kiírás V.2</t>
  </si>
  <si>
    <t xml:space="preserve">Build shortfall tolerated without sanction</t>
  </si>
  <si>
    <t xml:space="preserve">GYIK 28, 30</t>
  </si>
  <si>
    <t xml:space="preserve">Minimum BESS duration</t>
  </si>
  <si>
    <t xml:space="preserve">Kiírás Annex 8; GYIK Q5</t>
  </si>
  <si>
    <t xml:space="preserve">ÖSZ-4 basis (0 = net MVA, 1 = committed wind)</t>
  </si>
  <si>
    <t xml:space="preserve">User 12-Oct-26; GYIK Q20 = 1</t>
  </si>
  <si>
    <t xml:space="preserve">Deposits and fees (timeline order)</t>
  </si>
  <si>
    <t xml:space="preserve">Security base: benchmark investment, wind</t>
  </si>
  <si>
    <t xml:space="preserve">mHUF/MW</t>
  </si>
  <si>
    <t xml:space="preserve">Kiírás Annex 2</t>
  </si>
  <si>
    <t xml:space="preserve">Security base: benchmark investment, BESS</t>
  </si>
  <si>
    <t xml:space="preserve">mHUF/MWh</t>
  </si>
  <si>
    <t xml:space="preserve">Bid submission: fee paid, bid security posted</t>
  </si>
  <si>
    <t xml:space="preserve">Kiírás VI.5; Old engine Inputs E95</t>
  </si>
  <si>
    <t xml:space="preserve">Participation fee per bid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</si>
  <si>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</si>
  <si>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</si>
  <si>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</si>
  <si>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</si>
  <si>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Award decision</t>
  </si>
  <si>
    <t xml:space="preserve">Old engine Inputs E96</t>
  </si>
  <si>
    <t xml:space="preserve">Performance security posted after award (bid released)</t>
  </si>
  <si>
    <t xml:space="preserve">Kiírás XII.5, GYIK 68</t>
  </si>
  <si>
    <t xml:space="preserve">Performance security (guarantee), minimum share of base</t>
  </si>
  <si>
    <t xml:space="preserve">Kiírás XII.3</t>
  </si>
  <si>
    <t xml:space="preserve">Connection request: TSO security posted</t>
  </si>
  <si>
    <t xml:space="preserve">Old engine Inputs E97</t>
  </si>
  <si>
    <t xml:space="preserve">TSO security (cash, credited to the indirect fee)</t>
  </si>
  <si>
    <t xml:space="preserve">mHUF/MVA</t>
  </si>
  <si>
    <t xml:space="preserve">Old engine Inputs E83</t>
  </si>
  <si>
    <t xml:space="preserve">Connection agreement (HCSSZ): fees paid</t>
  </si>
  <si>
    <t xml:space="preserve">Old engine Inputs E99</t>
  </si>
  <si>
    <t xml:space="preserve">Direct connection fee per connection point (cash)</t>
  </si>
  <si>
    <t xml:space="preserve">BORA_Devex 02-Oct row 19</t>
  </si>
  <si>
    <t xml:space="preserve">Indirect connection fee (cash)</t>
  </si>
  <si>
    <t xml:space="preserve">BORA_Devex 02-Oct row 18</t>
  </si>
  <si>
    <t xml:space="preserve">Performance security released (hold route)</t>
  </si>
  <si>
    <t xml:space="preserve">Kiírás XII.8 (COD deadline + 6 m)</t>
  </si>
  <si>
    <t xml:space="preserve">Bank guarantee fee on guarantees outstanding</t>
  </si>
  <si>
    <t xml:space="preserve">Old engine Inputs E113</t>
  </si>
  <si>
    <t xml:space="preserve">FEP claims and fees</t>
  </si>
  <si>
    <t xml:space="preserve">Return on cash lines</t>
  </si>
  <si>
    <t xml:space="preserve">BORA_Devex 02-Oct V18</t>
  </si>
  <si>
    <t xml:space="preserve">Return on guarantee face value</t>
  </si>
  <si>
    <t xml:space="preserve">BORA_Devex 02-Oct V17</t>
  </si>
  <si>
    <t xml:space="preserve">Return on devex and land (at risk)</t>
  </si>
  <si>
    <t xml:space="preserve">BORA_Devex 02-Oct V19</t>
  </si>
  <si>
    <t xml:space="preserve">Minimum multiple on at-risk principal</t>
  </si>
  <si>
    <t xml:space="preserve">BORA_Devex 02-Oct V20</t>
  </si>
  <si>
    <t xml:space="preserve">Contingency on devex, land and fee</t>
  </si>
  <si>
    <t xml:space="preserve">Old engine Inputs E68</t>
  </si>
  <si>
    <t xml:space="preserve">Exit prices</t>
  </si>
  <si>
    <t xml:space="preserve">RtB price (no price effect)</t>
  </si>
  <si>
    <t xml:space="preserve">Bora!N5; user 12-Oct-26</t>
  </si>
  <si>
    <t xml:space="preserve">FEP discount rate (NPV, price PV)</t>
  </si>
  <si>
    <t xml:space="preserve">Old engine Inputs E253</t>
  </si>
  <si>
    <t xml:space="preserve">Sale price at COD per built MW, EU turbines</t>
  </si>
  <si>
    <t xml:space="preserve">Bora!N6</t>
  </si>
  <si>
    <t xml:space="preserve">Sale price at COD per built MW, CN turbines</t>
  </si>
  <si>
    <t xml:space="preserve">Bora!N7</t>
  </si>
  <si>
    <t xml:space="preserve">COD price reference: community contribution</t>
  </si>
  <si>
    <t xml:space="preserve">Bora!E7</t>
  </si>
  <si>
    <t xml:space="preserve">COD price effect passed into the price</t>
  </si>
  <si>
    <t xml:space="preserve">Old engine Tender E30</t>
  </si>
  <si>
    <t xml:space="preserve">Buyer discount rate</t>
  </si>
  <si>
    <t xml:space="preserve">Old engine Inputs E224</t>
  </si>
  <si>
    <t xml:space="preserve">Build switches</t>
  </si>
  <si>
    <t xml:space="preserve">Overbuild built (1 = yes)</t>
  </si>
  <si>
    <t xml:space="preserve">SPEC v2 §6 (set = meeting file)</t>
  </si>
  <si>
    <t xml:space="preserve">BESS built (1 = yes)</t>
  </si>
  <si>
    <t xml:space="preserve">SPEC v2 §6</t>
  </si>
  <si>
    <t xml:space="preserve">Points commitments delivered (1 = yes)</t>
  </si>
  <si>
    <t xml:space="preserve">User 15-Oct-26</t>
  </si>
  <si>
    <t xml:space="preserve">Sanction regime (1 pro rata, 2 full call)</t>
  </si>
  <si>
    <t xml:space="preserve">GYIK 28/30 (1); Kiírás XIII.17, GYIK 72 (2)</t>
  </si>
  <si>
    <t xml:space="preserve">Energy lost on overbuilt MW</t>
  </si>
  <si>
    <t xml:space="preserve">Bora!N18</t>
  </si>
  <si>
    <t xml:space="preserve">Capex</t>
  </si>
  <si>
    <t xml:space="preserve">User 12-Oct-26 (SPEC v2.1)</t>
  </si>
  <si>
    <t xml:space="preserve">Turbine supply, EU</t>
  </si>
  <si>
    <t xml:space="preserve">Turbine supply, CN</t>
  </si>
  <si>
    <t xml:space="preserve">Old engine Calc G101</t>
  </si>
  <si>
    <t xml:space="preserve">Turbine installation and erection</t>
  </si>
  <si>
    <t xml:space="preserve">Old engine Inputs E163</t>
  </si>
  <si>
    <t xml:space="preserve">Old engine Inputs E164</t>
  </si>
  <si>
    <t xml:space="preserve">Balance of plant (civil 70, electrical 60)</t>
  </si>
  <si>
    <t xml:space="preserve">Old engine Inputs E165:E166</t>
  </si>
  <si>
    <t xml:space="preserve">Owner's costs, engineering, construction insurance</t>
  </si>
  <si>
    <t xml:space="preserve">Old engine Inputs E169</t>
  </si>
  <si>
    <t xml:space="preserve">Land purchase and easements</t>
  </si>
  <si>
    <t xml:space="preserve">Old engine Inputs E170</t>
  </si>
  <si>
    <t xml:space="preserve">Substation and 132 kV bay, EU</t>
  </si>
  <si>
    <t xml:space="preserve">Old engine Inputs E167</t>
  </si>
  <si>
    <t xml:space="preserve">Substation and 132 kV bay, CN</t>
  </si>
  <si>
    <t xml:space="preserve">Old engine Tender E29</t>
  </si>
  <si>
    <t xml:space="preserve">Contingency on wind and substation capex</t>
  </si>
  <si>
    <t xml:space="preserve">Old engine Inputs E171</t>
  </si>
  <si>
    <t xml:space="preserve">BESS capex</t>
  </si>
  <si>
    <t xml:space="preserve">EUR k/MWh</t>
  </si>
  <si>
    <t xml:space="preserve">Operations</t>
  </si>
  <si>
    <t xml:space="preserve">Net P50 hours</t>
  </si>
  <si>
    <t xml:space="preserve">h/yr</t>
  </si>
  <si>
    <t xml:space="preserve">Old engine Inputs E179</t>
  </si>
  <si>
    <t xml:space="preserve">Curtailment</t>
  </si>
  <si>
    <t xml:space="preserve">Old engine Inputs E181</t>
  </si>
  <si>
    <t xml:space="preserve">Degradation per year</t>
  </si>
  <si>
    <t xml:space="preserve">Old engine Inputs E182</t>
  </si>
  <si>
    <t xml:space="preserve">PPA price at COD (whole life)</t>
  </si>
  <si>
    <t xml:space="preserve">PPA escalation</t>
  </si>
  <si>
    <t xml:space="preserve">Old engine Inputs E192</t>
  </si>
  <si>
    <t xml:space="preserve">Variable opex (balancing 4, grid 1)</t>
  </si>
  <si>
    <t xml:space="preserve">Old engine Inputs E194:E195</t>
  </si>
  <si>
    <t xml:space="preserve">Fixed opex (O&amp;M, BoP, insurance, AM, property tax)</t>
  </si>
  <si>
    <t xml:space="preserve">Old engine Inputs E201:E202, E204:E206</t>
  </si>
  <si>
    <t xml:space="preserve">Land lease from NTP</t>
  </si>
  <si>
    <t xml:space="preserve">Old engine Inputs E203</t>
  </si>
  <si>
    <t xml:space="preserve">Administration</t>
  </si>
  <si>
    <t xml:space="preserve">Old engine Inputs E207</t>
  </si>
  <si>
    <t xml:space="preserve">Opex contingency</t>
  </si>
  <si>
    <t xml:space="preserve">Old engine Inputs E208</t>
  </si>
  <si>
    <t xml:space="preserve">Opex escalation from the COD year</t>
  </si>
  <si>
    <t xml:space="preserve">Old engine Inputs E209</t>
  </si>
  <si>
    <t xml:space="preserve">MEKH fee</t>
  </si>
  <si>
    <t xml:space="preserve">Old engine Inputs E196</t>
  </si>
  <si>
    <t xml:space="preserve">Local business tax (HIPA)</t>
  </si>
  <si>
    <t xml:space="preserve">Old engine Inputs E210</t>
  </si>
  <si>
    <t xml:space="preserve">Debt and tax</t>
  </si>
  <si>
    <t xml:space="preserve">Gearing on capex, connection, municipal, EU</t>
  </si>
  <si>
    <t xml:space="preserve">Old engine Inputs E217</t>
  </si>
  <si>
    <t xml:space="preserve">Gearing on capex, connection, municipal, CN</t>
  </si>
  <si>
    <t xml:space="preserve">Old engine case 3</t>
  </si>
  <si>
    <t xml:space="preserve">Debt interest rate</t>
  </si>
  <si>
    <t xml:space="preserve">Old engine Inputs E218</t>
  </si>
  <si>
    <t xml:space="preserve">Upfront fee</t>
  </si>
  <si>
    <t xml:space="preserve">Old engine Inputs E219</t>
  </si>
  <si>
    <t xml:space="preserve">Commitment fee on undrawn debt</t>
  </si>
  <si>
    <t xml:space="preserve">Old engine Inputs E222</t>
  </si>
  <si>
    <t xml:space="preserve">Annuity tenor from COD</t>
  </si>
  <si>
    <t xml:space="preserve">Old engine Inputs E220</t>
  </si>
  <si>
    <t xml:space="preserve">Tax depreciation period</t>
  </si>
  <si>
    <t xml:space="preserve">Old engine Inputs E213</t>
  </si>
  <si>
    <t xml:space="preserve">Tender scoring bands</t>
  </si>
  <si>
    <t xml:space="preserve">Kiírás Annex 3-4; old engine Tender D93:F161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</si>
  <si>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</si>
  <si>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</si>
  <si>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</si>
  <si>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</si>
  <si>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</si>
  <si>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</si>
  <si>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</si>
  <si>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</si>
  <si>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</si>
  <si>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</si>
  <si>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</si>
  <si>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</si>
  <si>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</si>
  <si>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</si>
  <si>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</si>
  <si>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</si>
  <si>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</si>
  <si>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</si>
  <si>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</si>
  <si>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ÖSZ-7 brownfield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</si>
  <si>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</si>
  <si>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</si>
  <si>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</si>
  <si>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Devex schedule</t>
  </si>
  <si>
    <t xml:space="preserve">BORA_Devex 25-Sep (meeting file Devex_FEP); excl. Other costs</t>
  </si>
  <si>
    <t xml:space="preserve">Line (BORA_Devex row)</t>
  </si>
  <si>
    <t xml:space="preserve">HUF m</t>
  </si>
  <si>
    <t xml:space="preserve">EUR k at FX</t>
  </si>
  <si>
    <t xml:space="preserve">Pay date</t>
  </si>
  <si>
    <t xml:space="preserve">Land</t>
  </si>
  <si>
    <t xml:space="preserve">r14 Capacity allocation process - Awarding – Land reservation fee</t>
  </si>
  <si>
    <t xml:space="preserve">r15 Land purchase price</t>
  </si>
  <si>
    <t xml:space="preserve">r16 Grid connection plan – Design fee</t>
  </si>
  <si>
    <t xml:space="preserve">r17 Administrative fee</t>
  </si>
  <si>
    <t xml:space="preserve">r20 Land contracting (additional land) – Legal fee, agent fee</t>
  </si>
  <si>
    <t xml:space="preserve">r21 Wind measurement – Met Masts</t>
  </si>
  <si>
    <t xml:space="preserve">r22 Design fee</t>
  </si>
  <si>
    <t xml:space="preserve">r23 EYA</t>
  </si>
  <si>
    <t xml:space="preserve">r24 Land reclassification – Administrative fee</t>
  </si>
  <si>
    <t xml:space="preserve">r25 Report fee</t>
  </si>
  <si>
    <t xml:space="preserve">r26 Zoning plan modification – Design fee</t>
  </si>
  <si>
    <t xml:space="preserve">r27 Municipality donation – Donation</t>
  </si>
  <si>
    <t xml:space="preserve">r28 Environmental assessment – Bird-bat monitoring</t>
  </si>
  <si>
    <t xml:space="preserve">r29 Administrative fee</t>
  </si>
  <si>
    <t xml:space="preserve">r30 Assessment fee</t>
  </si>
  <si>
    <t xml:space="preserve">r31 Other project development – Geotechnical assessment fee</t>
  </si>
  <si>
    <t xml:space="preserve">r32 Archaeological</t>
  </si>
  <si>
    <t xml:space="preserve">r33 Topography</t>
  </si>
  <si>
    <t xml:space="preserve">r34 Building permit - Turbines – Administrative fee</t>
  </si>
  <si>
    <t xml:space="preserve">r35 Design fee</t>
  </si>
  <si>
    <t xml:space="preserve">r36 Cable right – Administrative fee</t>
  </si>
  <si>
    <t xml:space="preserve">r37 Design fee</t>
  </si>
  <si>
    <t xml:space="preserve">r38 Compensation</t>
  </si>
  <si>
    <t xml:space="preserve">r39 Building permit - Substation, switching station – Administrative fee</t>
  </si>
  <si>
    <t xml:space="preserve">r40 Design fee</t>
  </si>
  <si>
    <t xml:space="preserve">r41 Building permit - BESS – Administrative fee</t>
  </si>
  <si>
    <t xml:space="preserve">r42 Design fee</t>
  </si>
  <si>
    <t xml:space="preserve">r43 HEPURA permit – Administrative fee</t>
  </si>
  <si>
    <t xml:space="preserve">r44 Report fee</t>
  </si>
  <si>
    <t xml:space="preserve">r45 Legal costs</t>
  </si>
  <si>
    <t xml:space="preserve">r46 Financial costs</t>
  </si>
  <si>
    <t xml:space="preserve">r48 RtB – Land purchase price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</si>
  <si>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</si>
  <si>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</si>
  <si>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</si>
  <si>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</si>
  <si>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</si>
  <si>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</si>
  <si>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</si>
  <si>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</si>
  <si>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</si>
  <si>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</si>
  <si>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RtB exit</t>
  </si>
  <si>
    <t xml:space="preserve">Construction share (NTP → COD)</t>
  </si>
  <si>
    <t xml:space="preserve">Land lease period (NTP → end of life)</t>
  </si>
  <si>
    <t xml:space="preserve">Debt repayment period</t>
  </si>
  <si>
    <t xml:space="preserve">Tax depreciation share</t>
  </si>
  <si>
    <t xml:space="preserve">Interest freeze (no accrual)</t>
  </si>
  <si>
    <t xml:space="preserve">31-Dec capitalisation</t>
  </si>
  <si>
    <t xml:space="preserve">Buyer discount factor to COD</t>
  </si>
  <si>
    <t xml:space="preserve">Capacity (E: committed, F: built)</t>
  </si>
  <si>
    <t xml:space="preserve">Wind</t>
  </si>
  <si>
    <t xml:space="preserve">BESS power</t>
  </si>
  <si>
    <t xml:space="preserve">BESS energy</t>
  </si>
  <si>
    <t xml:space="preserve">MWh</t>
  </si>
  <si>
    <t xml:space="preserve">Grid-bottleneck loss on built wind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</si>
  <si>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</si>
  <si>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</si>
  <si>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</si>
  <si>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</si>
  <si>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ratio</t>
  </si>
  <si>
    <t xml:space="preserve">ÖSZ-5 partial award</t>
  </si>
  <si>
    <t xml:space="preserve">ÖSZ-6 performance security multiple</t>
  </si>
  <si>
    <t xml:space="preserve">ÖSZ-7 brownfield</t>
  </si>
  <si>
    <t xml:space="preserve">ÖSZ-8 shared connection</t>
  </si>
  <si>
    <t xml:space="preserve">ÖSZ-9 EU turbines</t>
  </si>
  <si>
    <t xml:space="preserve">ÖSZ-9 EU transformers</t>
  </si>
  <si>
    <t xml:space="preserve">Points total (E: EU route, F: CN route)</t>
  </si>
  <si>
    <t xml:space="preserve">Failed tests (E: capacity, F: offerable range)</t>
  </si>
  <si>
    <t xml:space="preserve">Securities, fees and development costs (E: amount, F: date)</t>
  </si>
  <si>
    <t xml:space="preserve">Security base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</si>
  <si>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</si>
  <si>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</si>
  <si>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</si>
  <si>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</si>
  <si>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</si>
  <si>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</si>
  <si>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Devex (FEP-borne)</t>
  </si>
  <si>
    <t xml:space="preserve">Land (E: paid to the exit)</t>
  </si>
  <si>
    <t xml:space="preserve">Devex contingency</t>
  </si>
  <si>
    <t xml:space="preserve">Devex, land and contingency (E: to the exit, F: to COD)</t>
  </si>
  <si>
    <t xml:space="preserve">Devex, land and contingency by calendar year (at Q4)</t>
  </si>
  <si>
    <t xml:space="preserve">Guarantee fees (E: to the exit, F: to COD)</t>
  </si>
  <si>
    <t xml:space="preserve">Development cash flow (excl. connection fees)</t>
  </si>
  <si>
    <t xml:space="preserve">Cash posted incl. land, cumulative (E: at the exit)</t>
  </si>
  <si>
    <t xml:space="preserve">FEP claims, devex-file method, accrued to COD (E: to the exit, F: to COD)</t>
  </si>
  <si>
    <t xml:space="preserve">Cash 12 %: participation fee, TSO security, connection fees</t>
  </si>
  <si>
    <t xml:space="preserve">New principal (E: recoverable, to the exit)</t>
  </si>
  <si>
    <t xml:space="preserve">Date-weighted new principal</t>
  </si>
  <si>
    <t xml:space="preserve">Opening balance</t>
  </si>
  <si>
    <t xml:space="preserve">Return accrued</t>
  </si>
  <si>
    <t xml:space="preserve">Capitalised at 31-Dec</t>
  </si>
  <si>
    <t xml:space="preserve">Closing balance</t>
  </si>
  <si>
    <t xml:space="preserve">Guarantee 6 %: bid security and performance security face value</t>
  </si>
  <si>
    <t xml:space="preserve">Opening capitalised return</t>
  </si>
  <si>
    <t xml:space="preserve">Closing capitalised return</t>
  </si>
  <si>
    <t xml:space="preserve">At risk 20 % with 2x floor: devex, land, contingency</t>
  </si>
  <si>
    <t xml:space="preserve">Return accrued (E, F: with the floor)</t>
  </si>
  <si>
    <t xml:space="preserve">Overbuild and BESS sanction (E: wind / pro rata, F: BESS / full call)</t>
  </si>
  <si>
    <t xml:space="preserve">Build shortfall share</t>
  </si>
  <si>
    <t xml:space="preserve">Performance security by technology</t>
  </si>
  <si>
    <t xml:space="preserve">Sanction amount</t>
  </si>
  <si>
    <t xml:space="preserve">Sanction paid, selected regime (E: date)</t>
  </si>
  <si>
    <t xml:space="preserve">Connection capacity lost pro rata</t>
  </si>
  <si>
    <t xml:space="preserve">Build and debt</t>
  </si>
  <si>
    <t xml:space="preserve">Chinese equipment bought (1 = yes)</t>
  </si>
  <si>
    <t xml:space="preserve">Wind capex per built MW (E: turbine bought; F: other)</t>
  </si>
  <si>
    <t xml:space="preserve">Substation and 132 kV bay, as bought</t>
  </si>
  <si>
    <t xml:space="preserve">Capex on built MW (E: total)</t>
  </si>
  <si>
    <t xml:space="preserve">Municipal one-off at COD</t>
  </si>
  <si>
    <t xml:space="preserve">Senior debt</t>
  </si>
  <si>
    <t xml:space="preserve">Drawdown (E: debt size)</t>
  </si>
  <si>
    <t xml:space="preserve">Interest capitalised (F: rate per period)</t>
  </si>
  <si>
    <t xml:space="preserve">Repayment (level annuity)</t>
  </si>
  <si>
    <t xml:space="preserve">Interest paid</t>
  </si>
  <si>
    <t xml:space="preserve">Commitment fee</t>
  </si>
  <si>
    <t xml:space="preserve">Build cost (capex, connection, municipal, debt fees)</t>
  </si>
  <si>
    <t xml:space="preserve">Operating year</t>
  </si>
  <si>
    <t xml:space="preserve">Opex escalation index</t>
  </si>
  <si>
    <t xml:space="preserve">PPA price</t>
  </si>
  <si>
    <t xml:space="preserve">Net generation</t>
  </si>
  <si>
    <t xml:space="preserve">Revenue</t>
  </si>
  <si>
    <t xml:space="preserve">Variable opex (balancing, grid)</t>
  </si>
  <si>
    <t xml:space="preserve">Fixed opex and administration</t>
  </si>
  <si>
    <t xml:space="preserve">Land lease</t>
  </si>
  <si>
    <t xml:space="preserve">MEKH fee and HIPA</t>
  </si>
  <si>
    <t xml:space="preserve">EBITDA</t>
  </si>
  <si>
    <t xml:space="preserve">Tax</t>
  </si>
  <si>
    <t xml:space="preserve">Tax depreciation (E: base)</t>
  </si>
  <si>
    <t xml:space="preserve">Taxable income</t>
  </si>
  <si>
    <t xml:space="preserve">Tax losses: opening</t>
  </si>
  <si>
    <t xml:space="preserve">Losses added</t>
  </si>
  <si>
    <t xml:space="preserve">Losses used</t>
  </si>
  <si>
    <t xml:space="preserve">Tax losses: closing</t>
  </si>
  <si>
    <t xml:space="preserve">Exit waterfall (E: due, F: paid)</t>
  </si>
  <si>
    <t xml:space="preserve">Cash available (E: buyer reimbursement)</t>
  </si>
  <si>
    <t xml:space="preserve">Sale costs</t>
  </si>
  <si>
    <t xml:space="preserve">Recoverable principal</t>
  </si>
  <si>
    <t xml:space="preserve">12 % return</t>
  </si>
  <si>
    <t xml:space="preserve">Land principal</t>
  </si>
  <si>
    <t xml:space="preserve">At-risk return</t>
  </si>
  <si>
    <t xml:space="preserve">6 % guarantee return</t>
  </si>
  <si>
    <t xml:space="preserve">Developer success fee (DSA)</t>
  </si>
  <si>
    <t xml:space="preserve">FEP receipts at the exit</t>
  </si>
  <si>
    <t xml:space="preserve">Developer: DSA and share</t>
  </si>
  <si>
    <t xml:space="preserve">Exit split, devex-file view (paid amounts)</t>
  </si>
  <si>
    <t xml:space="preserve">FEP (E: principal returned, F: 70 % of distributable)</t>
  </si>
  <si>
    <t xml:space="preserve">FEP-borne devex, contingency and participation fee</t>
  </si>
  <si>
    <t xml:space="preserve">FEP interest claims (E) and FEP net (F: claims + 70 % - devex)</t>
  </si>
  <si>
    <t xml:space="preserve">A.RES 30 % of distributable</t>
  </si>
  <si>
    <t xml:space="preserve">Per installed wind MW (E: FEP net, F: A.RES total)</t>
  </si>
  <si>
    <t xml:space="preserve">FEP returns – RtB route</t>
  </si>
  <si>
    <t xml:space="preserve">FEP pre-tax cash flow (E: tax at the exit)</t>
  </si>
  <si>
    <t xml:space="preserve">FEP cash flow – RtB route</t>
  </si>
  <si>
    <t xml:space="preserve">FEP MOIC – RtB route (receipts after tax ÷ outlays)</t>
  </si>
  <si>
    <t xml:space="preserve">FEP contributions to COD</t>
  </si>
  <si>
    <t xml:space="preserve">Buyer: community contribution vs reference (E: PV at COD)</t>
  </si>
  <si>
    <t xml:space="preserve">COD price (E: gross, F: price effect)</t>
  </si>
  <si>
    <t xml:space="preserve">JV waterfall at COD (E: due, F: paid)</t>
  </si>
  <si>
    <t xml:space="preserve">Cash available (E: debt repaid)</t>
  </si>
  <si>
    <t xml:space="preserve">FEP funding returned</t>
  </si>
  <si>
    <t xml:space="preserve">FEP claims to COD</t>
  </si>
  <si>
    <t xml:space="preserve">FEP cash flow – sale at COD</t>
  </si>
  <si>
    <t xml:space="preserve">FEP MOIC – sale at COD (proceeds ÷ contributions)</t>
  </si>
  <si>
    <t xml:space="preserve">Capex breakdown to COD (two items per row)</t>
  </si>
  <si>
    <t xml:space="preserve">Turbines (E), installation (F)</t>
  </si>
  <si>
    <t xml:space="preserve">Foundations (E), balance of plant (F)</t>
  </si>
  <si>
    <t xml:space="preserve">Owner's costs (E), land, easements and pre-COD lease (F)</t>
  </si>
  <si>
    <t xml:space="preserve">Contingency (E), substation and 132 kV bay (F)</t>
  </si>
  <si>
    <t xml:space="preserve">BESS (E), connection fees (F)</t>
  </si>
  <si>
    <t xml:space="preserve">Municipal one-off (E), development: devex, land, signing, securities (F)</t>
  </si>
  <si>
    <t xml:space="preserve">All-in cost to COD (E: uses, F: sources)</t>
  </si>
  <si>
    <t xml:space="preserve">Funding: construction equity (E: capex, lease less debt), debt fees (F)</t>
  </si>
  <si>
    <t xml:space="preserve">Commitment</t>
  </si>
  <si>
    <t xml:space="preserve">Total commitment: all-in cost to COD and guarantee</t>
  </si>
  <si>
    <t xml:space="preserve">Penalty if overbuild not built, a call on the PB (F: full call)</t>
  </si>
  <si>
    <t xml:space="preserve">FEP equity cash flow – hold to maturity</t>
  </si>
  <si>
    <t xml:space="preserve">DSCR (E: minimum)</t>
  </si>
  <si>
    <t xml:space="preserve">Status</t>
  </si>
  <si>
    <t xml:space="preserve">Fails</t>
  </si>
  <si>
    <t xml:space="preserve">Checks (0 = OK)</t>
  </si>
  <si>
    <t xml:space="preserve">Levers within the tender rules – Calc_1</t>
  </si>
  <si>
    <t xml:space="preserve">Levers within the tender rules – Calc_2</t>
  </si>
  <si>
    <t xml:space="preserve">Exit and COD fall on a quarter end – Calc_1</t>
  </si>
  <si>
    <t xml:space="preserve">Exit and COD fall on a quarter end – Calc_2</t>
  </si>
  <si>
    <t xml:space="preserve">Cash posted to the exit = buyer reimbursement + participation fee – Calc_1</t>
  </si>
  <si>
    <t xml:space="preserve">Cash posted to the exit = buyer reimbursement + participation fee – Calc_2</t>
  </si>
  <si>
    <t xml:space="preserve">RtB waterfall: paid + distributable = cash available – Calc_1</t>
  </si>
  <si>
    <t xml:space="preserve">RtB waterfall: paid + distributable = cash available – Calc_2</t>
  </si>
  <si>
    <t xml:space="preserve">FEP net (devex-file view) + route costs = FEP RtB profit – Calc_1</t>
  </si>
  <si>
    <t xml:space="preserve">FEP net (devex-file view) + route costs = FEP RtB profit – Calc_2</t>
  </si>
  <si>
    <t xml:space="preserve">RtB waterfall: no step paid above its amount due – Calc_1</t>
  </si>
  <si>
    <t xml:space="preserve">RtB waterfall: no step paid above its amount due – Calc_2</t>
  </si>
  <si>
    <t xml:space="preserve">COD waterfall: distributable not negative, paid within cash available – Calc_1</t>
  </si>
  <si>
    <t xml:space="preserve">COD waterfall: distributable not negative, paid within cash available – Calc_2</t>
  </si>
  <si>
    <t xml:space="preserve">Sources = uses to COD (equity + debt vs all-in cost lines) – Calc_1</t>
  </si>
  <si>
    <t xml:space="preserve">Sources = uses to COD (equity + debt vs all-in cost lines) – Calc_2</t>
  </si>
  <si>
    <t xml:space="preserve">Funding table: cumulative cash = FEP contributions to COD (both bids)</t>
  </si>
  <si>
    <t xml:space="preserve">Capex breakdown sums to the all-in cost to COD (both bids)</t>
  </si>
  <si>
    <t xml:space="preserve">Debt repaid by the end of the tenor – Calc_1</t>
  </si>
  <si>
    <t xml:space="preserve">Debt repaid by the end of the tenor – Calc_2</t>
  </si>
  <si>
    <t xml:space="preserve">XIRR returned a number on every route – Calc_1</t>
  </si>
  <si>
    <t xml:space="preserve">XIRR returned a number on every route – Calc_2</t>
  </si>
  <si>
    <t xml:space="preserve">Stored zero bid + Δ = live, base set – bid 1</t>
  </si>
  <si>
    <t xml:space="preserve">Stored zero bid + Δ = live, base set – bid 2</t>
  </si>
  <si>
    <t xml:space="preserve">Stored results = live case</t>
  </si>
</sst>
</file>

<file path=xl/styles.xml><?xml version="1.0" encoding="utf-8"?>
<styleSheet xmlns="http://schemas.openxmlformats.org/spreadsheetml/2006/main">
  <numFmts count="15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0%"/>
    <numFmt numFmtId="170" formatCode="0.0%;\(0.0%\);\–"/>
    <numFmt numFmtId="171" formatCode="0;\-0;\–"/>
    <numFmt numFmtId="172" formatCode="#,##0.0;\(#,##0.0\);\–"/>
    <numFmt numFmtId="173" formatCode="0.00\x"/>
    <numFmt numFmtId="174" formatCode="0.000"/>
    <numFmt numFmtId="175" formatCode="0"/>
    <numFmt numFmtId="176" formatCode="0.000;\(0.000\);\–"/>
    <numFmt numFmtId="177" formatCode="0.000%"/>
    <numFmt numFmtId="178" formatCode="General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V138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18" min="8" style="0" width="12"/>
    <col collapsed="false" customWidth="true" hidden="false" outlineLevel="0" max="19" min="19" style="0" width="3"/>
    <col collapsed="false" customWidth="true" hidden="false" outlineLevel="0" max="20" min="20" style="0" width="34"/>
    <col collapsed="false" customWidth="true" hidden="false" outlineLevel="0" max="21" min="21" style="0" width="10"/>
    <col collapsed="false" customWidth="true" hidden="false" outlineLevel="0" max="22" min="22" style="0" width="12"/>
    <col collapsed="false" customWidth="false" hidden="true" outlineLevel="1" max="16384" min="23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Bora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46307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T9" s="7" t="s">
        <v>11</v>
      </c>
      <c r="U9" s="7" t="s">
        <v>8</v>
      </c>
      <c r="V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10" t="s">
        <v>18</v>
      </c>
      <c r="L11" s="10" t="s">
        <v>19</v>
      </c>
      <c r="M11" s="10" t="s">
        <v>20</v>
      </c>
      <c r="N11" s="10" t="s">
        <v>21</v>
      </c>
      <c r="O11" s="10" t="s">
        <v>22</v>
      </c>
      <c r="P11" s="10" t="s">
        <v>23</v>
      </c>
      <c r="Q11" s="10" t="s">
        <v>24</v>
      </c>
      <c r="R11" s="10" t="s">
        <v>25</v>
      </c>
      <c r="T11" s="9" t="s">
        <v>5</v>
      </c>
      <c r="U11" s="9"/>
      <c r="V11" s="9"/>
    </row>
    <row r="12" customFormat="false" ht="15" hidden="false" customHeight="false" outlineLevel="0" collapsed="false">
      <c r="C12" s="0" t="s">
        <v>26</v>
      </c>
      <c r="D12" s="11" t="s">
        <v>27</v>
      </c>
      <c r="E12" s="12" t="n">
        <v>50</v>
      </c>
      <c r="F12" s="12" t="n">
        <v>50</v>
      </c>
      <c r="H12" s="13" t="s">
        <v>28</v>
      </c>
      <c r="I12" s="14" t="n">
        <f aca="false">Calc_1!$F$30</f>
        <v>20</v>
      </c>
      <c r="J12" s="14" t="n">
        <f aca="false">Calc_2!$F$30</f>
        <v>20</v>
      </c>
      <c r="K12" s="15" t="n">
        <v>0</v>
      </c>
      <c r="L12" s="15" t="n">
        <v>0</v>
      </c>
      <c r="M12" s="16" t="n">
        <v>-0.011627183566342</v>
      </c>
      <c r="N12" s="16" t="n">
        <v>-0.011627183566342</v>
      </c>
      <c r="O12" s="16" t="n">
        <v>-0.00426661763368345</v>
      </c>
      <c r="P12" s="16" t="n">
        <v>-0.00426661763368345</v>
      </c>
      <c r="Q12" s="15" t="n">
        <v>0</v>
      </c>
      <c r="R12" s="15" t="n">
        <v>0</v>
      </c>
      <c r="T12" s="13" t="s">
        <v>5</v>
      </c>
      <c r="U12" s="11" t="s">
        <v>29</v>
      </c>
      <c r="V12" s="17" t="s">
        <v>30</v>
      </c>
    </row>
    <row r="13" customFormat="false" ht="15" hidden="false" customHeight="false" outlineLevel="0" collapsed="false">
      <c r="C13" s="0" t="s">
        <v>31</v>
      </c>
      <c r="D13" s="11" t="s">
        <v>32</v>
      </c>
      <c r="E13" s="18" t="n">
        <v>3</v>
      </c>
      <c r="F13" s="18" t="n">
        <v>3</v>
      </c>
      <c r="H13" s="13" t="s">
        <v>33</v>
      </c>
      <c r="I13" s="14" t="n">
        <f aca="false">Calc_1!$F$31</f>
        <v>15</v>
      </c>
      <c r="J13" s="14" t="n">
        <f aca="false">Calc_2!$F$31</f>
        <v>15</v>
      </c>
      <c r="K13" s="15" t="n">
        <v>0</v>
      </c>
      <c r="L13" s="15" t="n">
        <v>0</v>
      </c>
      <c r="M13" s="16" t="n">
        <v>-0.0256631536392726</v>
      </c>
      <c r="N13" s="16" t="n">
        <v>-0.0256631536392726</v>
      </c>
      <c r="O13" s="16" t="n">
        <v>-0.00608428062140405</v>
      </c>
      <c r="P13" s="16" t="n">
        <v>-0.00608428062140405</v>
      </c>
      <c r="Q13" s="15" t="n">
        <v>0</v>
      </c>
      <c r="R13" s="15" t="n">
        <v>0</v>
      </c>
    </row>
    <row r="14" customFormat="false" ht="15" hidden="false" customHeight="false" outlineLevel="0" collapsed="false">
      <c r="C14" s="0" t="s">
        <v>34</v>
      </c>
      <c r="D14" s="11" t="s">
        <v>35</v>
      </c>
      <c r="E14" s="19" t="n">
        <v>0.51</v>
      </c>
      <c r="F14" s="19" t="n">
        <v>0.51</v>
      </c>
      <c r="H14" s="13" t="s">
        <v>36</v>
      </c>
      <c r="I14" s="14" t="n">
        <f aca="false">Calc_1!$F$32</f>
        <v>10</v>
      </c>
      <c r="J14" s="14" t="n">
        <f aca="false">Calc_2!$F$32</f>
        <v>10</v>
      </c>
      <c r="K14" s="15" t="n">
        <v>-0.472016523939481</v>
      </c>
      <c r="L14" s="15" t="n">
        <v>-0.472016523939481</v>
      </c>
      <c r="M14" s="16" t="n">
        <v>-0.0114884312103539</v>
      </c>
      <c r="N14" s="16" t="n">
        <v>-0.0114884312103539</v>
      </c>
      <c r="O14" s="16" t="n">
        <v>-0.00245398179669998</v>
      </c>
      <c r="P14" s="16" t="n">
        <v>-0.00245398179669998</v>
      </c>
      <c r="Q14" s="15" t="n">
        <v>1.41821917808219</v>
      </c>
      <c r="R14" s="15" t="n">
        <v>1.41821917808219</v>
      </c>
      <c r="T14" s="9" t="s">
        <v>37</v>
      </c>
      <c r="U14" s="9"/>
      <c r="V14" s="9"/>
    </row>
    <row r="15" customFormat="false" ht="15" hidden="false" customHeight="false" outlineLevel="0" collapsed="false">
      <c r="C15" s="0" t="s">
        <v>38</v>
      </c>
      <c r="D15" s="11" t="s">
        <v>35</v>
      </c>
      <c r="E15" s="19" t="n">
        <v>0.51</v>
      </c>
      <c r="F15" s="19" t="n">
        <v>0.51</v>
      </c>
      <c r="H15" s="13" t="s">
        <v>39</v>
      </c>
      <c r="I15" s="14" t="n">
        <f aca="false">Calc_1!$F$33</f>
        <v>15</v>
      </c>
      <c r="J15" s="14" t="n">
        <f aca="false">Calc_2!$F$33</f>
        <v>15</v>
      </c>
      <c r="K15" s="15" t="n">
        <v>-0.370742740110629</v>
      </c>
      <c r="L15" s="15" t="n">
        <v>-0.370742740110629</v>
      </c>
      <c r="M15" s="16" t="n">
        <v>-0.102442043254027</v>
      </c>
      <c r="N15" s="16" t="n">
        <v>-0.102442043254027</v>
      </c>
      <c r="O15" s="16" t="n">
        <v>-0.0191443123610924</v>
      </c>
      <c r="P15" s="16" t="n">
        <v>-0.0191443123610924</v>
      </c>
      <c r="Q15" s="15" t="n">
        <v>2.79452054794521</v>
      </c>
      <c r="R15" s="15" t="n">
        <v>2.79452054794521</v>
      </c>
      <c r="T15" s="13" t="s">
        <v>40</v>
      </c>
      <c r="U15" s="11" t="s">
        <v>41</v>
      </c>
      <c r="V15" s="20" t="n">
        <f aca="false">In_CN_Turbine</f>
        <v>0</v>
      </c>
    </row>
    <row r="16" customFormat="false" ht="15" hidden="false" customHeight="false" outlineLevel="0" collapsed="false">
      <c r="C16" s="0" t="s">
        <v>42</v>
      </c>
      <c r="D16" s="11" t="s">
        <v>43</v>
      </c>
      <c r="E16" s="21" t="n">
        <v>4</v>
      </c>
      <c r="F16" s="21" t="n">
        <v>4</v>
      </c>
      <c r="H16" s="13" t="s">
        <v>44</v>
      </c>
      <c r="K16" s="15"/>
      <c r="L16" s="15"/>
      <c r="M16" s="16"/>
      <c r="N16" s="16"/>
      <c r="O16" s="16"/>
      <c r="P16" s="16"/>
      <c r="Q16" s="15"/>
      <c r="R16" s="15"/>
      <c r="T16" s="13" t="s">
        <v>45</v>
      </c>
      <c r="U16" s="11" t="s">
        <v>46</v>
      </c>
      <c r="V16" s="22" t="n">
        <f aca="false">In_RtB_Premium</f>
        <v>150</v>
      </c>
    </row>
    <row r="17" customFormat="false" ht="15" hidden="false" customHeight="false" outlineLevel="0" collapsed="false">
      <c r="C17" s="0" t="s">
        <v>47</v>
      </c>
      <c r="D17" s="11" t="s">
        <v>13</v>
      </c>
      <c r="E17" s="23" t="n">
        <v>1</v>
      </c>
      <c r="F17" s="23" t="n">
        <v>1</v>
      </c>
      <c r="H17" s="13" t="s">
        <v>48</v>
      </c>
      <c r="I17" s="14" t="n">
        <f aca="false">Calc_1!$F$35</f>
        <v>0</v>
      </c>
      <c r="J17" s="14" t="n">
        <f aca="false">Calc_2!$F$35</f>
        <v>0</v>
      </c>
      <c r="K17" s="15" t="n">
        <v>0</v>
      </c>
      <c r="L17" s="15" t="n">
        <v>0</v>
      </c>
      <c r="M17" s="16" t="n">
        <v>0</v>
      </c>
      <c r="N17" s="16" t="n">
        <v>0</v>
      </c>
      <c r="O17" s="16" t="n">
        <v>0</v>
      </c>
      <c r="P17" s="16" t="n">
        <v>0</v>
      </c>
      <c r="Q17" s="15" t="n">
        <v>0</v>
      </c>
      <c r="R17" s="15" t="n">
        <v>0</v>
      </c>
      <c r="T17" s="13" t="s">
        <v>49</v>
      </c>
      <c r="U17" s="11" t="s">
        <v>27</v>
      </c>
      <c r="V17" s="22" t="n">
        <f aca="false">In_COD_Price</f>
        <v>2450</v>
      </c>
    </row>
    <row r="18" customFormat="false" ht="15" hidden="false" customHeight="false" outlineLevel="0" collapsed="false">
      <c r="C18" s="0" t="s">
        <v>50</v>
      </c>
      <c r="D18" s="11" t="s">
        <v>41</v>
      </c>
      <c r="E18" s="24" t="n">
        <v>1</v>
      </c>
      <c r="F18" s="24" t="n">
        <v>1</v>
      </c>
      <c r="H18" s="13" t="s">
        <v>51</v>
      </c>
      <c r="I18" s="14" t="n">
        <f aca="false">Calc_1!$F$34</f>
        <v>5</v>
      </c>
      <c r="J18" s="14" t="n">
        <f aca="false">Calc_2!$F$34</f>
        <v>5</v>
      </c>
      <c r="K18" s="15" t="n">
        <v>0</v>
      </c>
      <c r="L18" s="15" t="n">
        <v>0</v>
      </c>
      <c r="M18" s="16" t="n">
        <v>0</v>
      </c>
      <c r="N18" s="16" t="n">
        <v>0</v>
      </c>
      <c r="O18" s="16" t="n">
        <v>0</v>
      </c>
      <c r="P18" s="16" t="n">
        <v>0</v>
      </c>
      <c r="Q18" s="15" t="n">
        <v>0</v>
      </c>
      <c r="R18" s="15" t="n">
        <v>0</v>
      </c>
      <c r="T18" s="13" t="s">
        <v>52</v>
      </c>
      <c r="U18" s="11" t="s">
        <v>27</v>
      </c>
      <c r="V18" s="22" t="n">
        <f aca="false">In_Turbine</f>
        <v>600</v>
      </c>
    </row>
    <row r="19" customFormat="false" ht="15" hidden="false" customHeight="false" outlineLevel="0" collapsed="false">
      <c r="C19" s="0" t="s">
        <v>53</v>
      </c>
      <c r="D19" s="11" t="s">
        <v>41</v>
      </c>
      <c r="E19" s="24" t="n">
        <v>0</v>
      </c>
      <c r="F19" s="24" t="n">
        <v>0</v>
      </c>
      <c r="H19" s="13" t="s">
        <v>51</v>
      </c>
      <c r="I19" s="14" t="n">
        <f aca="false">Calc_1!$F$36</f>
        <v>0</v>
      </c>
      <c r="J19" s="14" t="n">
        <f aca="false">Calc_2!$F$36</f>
        <v>0</v>
      </c>
      <c r="K19" s="15" t="n">
        <v>0</v>
      </c>
      <c r="L19" s="15" t="n">
        <v>0</v>
      </c>
      <c r="M19" s="16" t="n">
        <v>0</v>
      </c>
      <c r="N19" s="16" t="n">
        <v>0</v>
      </c>
      <c r="O19" s="16" t="n">
        <v>0</v>
      </c>
      <c r="P19" s="16" t="n">
        <v>0</v>
      </c>
      <c r="Q19" s="15" t="n">
        <v>0</v>
      </c>
      <c r="R19" s="15" t="n">
        <v>0</v>
      </c>
      <c r="T19" s="13" t="s">
        <v>54</v>
      </c>
      <c r="U19" s="11" t="s">
        <v>32</v>
      </c>
      <c r="V19" s="25" t="n">
        <f aca="false">In_PPA_Price</f>
        <v>90</v>
      </c>
    </row>
    <row r="20" customFormat="false" ht="15" hidden="false" customHeight="false" outlineLevel="0" collapsed="false">
      <c r="C20" s="0" t="s">
        <v>55</v>
      </c>
      <c r="D20" s="11" t="s">
        <v>41</v>
      </c>
      <c r="E20" s="24" t="n">
        <v>1</v>
      </c>
      <c r="F20" s="24" t="n">
        <v>1</v>
      </c>
      <c r="H20" s="13" t="s">
        <v>51</v>
      </c>
      <c r="I20" s="14" t="n">
        <f aca="false">Calc_1!$F$37</f>
        <v>5</v>
      </c>
      <c r="J20" s="14" t="n">
        <f aca="false">Calc_2!$F$37</f>
        <v>5</v>
      </c>
      <c r="K20" s="15" t="n">
        <v>0</v>
      </c>
      <c r="L20" s="15" t="n">
        <v>0</v>
      </c>
      <c r="M20" s="16" t="n">
        <v>0</v>
      </c>
      <c r="N20" s="16" t="n">
        <v>0</v>
      </c>
      <c r="O20" s="16" t="n">
        <v>0</v>
      </c>
      <c r="P20" s="16" t="n">
        <v>0</v>
      </c>
      <c r="Q20" s="15" t="n">
        <v>0</v>
      </c>
      <c r="R20" s="15" t="n">
        <v>0</v>
      </c>
      <c r="T20" s="13" t="s">
        <v>56</v>
      </c>
      <c r="U20" s="11" t="s">
        <v>35</v>
      </c>
      <c r="V20" s="26" t="n">
        <f aca="false">In_Gearing</f>
        <v>0.6</v>
      </c>
    </row>
    <row r="21" customFormat="false" ht="15" hidden="false" customHeight="false" outlineLevel="0" collapsed="false">
      <c r="C21" s="0" t="s">
        <v>57</v>
      </c>
      <c r="D21" s="11" t="s">
        <v>41</v>
      </c>
      <c r="E21" s="24" t="n">
        <v>1</v>
      </c>
      <c r="F21" s="24" t="n">
        <v>1</v>
      </c>
      <c r="H21" s="13" t="s">
        <v>51</v>
      </c>
      <c r="I21" s="14" t="n">
        <f aca="false">Calc_1!$F$38</f>
        <v>12</v>
      </c>
      <c r="J21" s="14" t="n">
        <f aca="false">Calc_2!$F$38</f>
        <v>12</v>
      </c>
      <c r="K21" s="15" t="n">
        <v>0</v>
      </c>
      <c r="L21" s="15" t="n">
        <v>0</v>
      </c>
      <c r="M21" s="16" t="n">
        <v>0</v>
      </c>
      <c r="N21" s="16" t="n">
        <v>0</v>
      </c>
      <c r="O21" s="16" t="n">
        <v>0</v>
      </c>
      <c r="P21" s="16" t="n">
        <v>0</v>
      </c>
      <c r="Q21" s="15" t="n">
        <v>0</v>
      </c>
      <c r="R21" s="15" t="n">
        <v>0</v>
      </c>
      <c r="T21" s="13" t="s">
        <v>58</v>
      </c>
      <c r="U21" s="11" t="s">
        <v>35</v>
      </c>
      <c r="V21" s="26" t="n">
        <f aca="false">In_Debt_Rate</f>
        <v>0.05</v>
      </c>
    </row>
    <row r="22" customFormat="false" ht="15" hidden="false" customHeight="false" outlineLevel="0" collapsed="false">
      <c r="C22" s="0" t="s">
        <v>59</v>
      </c>
      <c r="D22" s="11" t="s">
        <v>41</v>
      </c>
      <c r="E22" s="24" t="n">
        <v>1</v>
      </c>
      <c r="F22" s="24" t="n">
        <v>1</v>
      </c>
      <c r="H22" s="13" t="s">
        <v>51</v>
      </c>
      <c r="I22" s="14" t="n">
        <f aca="false">Calc_1!$F$39</f>
        <v>3</v>
      </c>
      <c r="J22" s="14" t="n">
        <f aca="false">Calc_2!$F$39</f>
        <v>3</v>
      </c>
      <c r="K22" s="15" t="n">
        <v>0</v>
      </c>
      <c r="L22" s="15" t="n">
        <v>0</v>
      </c>
      <c r="M22" s="16" t="n">
        <v>0</v>
      </c>
      <c r="N22" s="16" t="n">
        <v>0</v>
      </c>
      <c r="O22" s="16" t="n">
        <v>0</v>
      </c>
      <c r="P22" s="16" t="n">
        <v>0</v>
      </c>
      <c r="Q22" s="15" t="n">
        <v>0</v>
      </c>
      <c r="R22" s="15" t="n">
        <v>0</v>
      </c>
      <c r="T22" s="13" t="s">
        <v>60</v>
      </c>
      <c r="U22" s="11" t="s">
        <v>35</v>
      </c>
      <c r="V22" s="26" t="n">
        <f aca="false">In_Discount_Rate</f>
        <v>0.08</v>
      </c>
    </row>
    <row r="23" customFormat="false" ht="15" hidden="false" customHeight="false" outlineLevel="0" collapsed="false">
      <c r="T23" s="0" t="s">
        <v>61</v>
      </c>
      <c r="U23" s="11" t="s">
        <v>62</v>
      </c>
      <c r="V23" s="27" t="n">
        <f aca="false">In_COD</f>
        <v>48121</v>
      </c>
    </row>
    <row r="24" customFormat="false" ht="15" hidden="false" customHeight="false" outlineLevel="0" collapsed="false">
      <c r="A24" s="9" t="s">
        <v>13</v>
      </c>
      <c r="B24" s="9"/>
      <c r="C24" s="9" t="s">
        <v>63</v>
      </c>
      <c r="D24" s="9"/>
      <c r="E24" s="10" t="s">
        <v>9</v>
      </c>
      <c r="F24" s="10" t="s">
        <v>10</v>
      </c>
      <c r="G24" s="9"/>
      <c r="H24" s="10" t="s">
        <v>64</v>
      </c>
      <c r="I24" s="10" t="s">
        <v>65</v>
      </c>
      <c r="J24" s="10" t="s">
        <v>66</v>
      </c>
      <c r="K24" s="9"/>
      <c r="L24" s="9"/>
      <c r="M24" s="9"/>
      <c r="N24" s="9"/>
      <c r="O24" s="9"/>
      <c r="P24" s="9"/>
      <c r="Q24" s="9"/>
      <c r="R24" s="9"/>
      <c r="T24" s="13" t="s">
        <v>67</v>
      </c>
      <c r="U24" s="11" t="s">
        <v>68</v>
      </c>
      <c r="V24" s="22" t="n">
        <f aca="false">In_FX</f>
        <v>365</v>
      </c>
    </row>
    <row r="25" customFormat="false" ht="15" hidden="false" customHeight="false" outlineLevel="0" collapsed="false">
      <c r="C25" s="0" t="s">
        <v>69</v>
      </c>
      <c r="D25" s="11" t="s">
        <v>70</v>
      </c>
      <c r="E25" s="14" t="n">
        <f aca="false">Calc_1!$E41</f>
        <v>85</v>
      </c>
      <c r="F25" s="14" t="n">
        <f aca="false">Calc_2!$E41</f>
        <v>85</v>
      </c>
      <c r="H25" s="15" t="n">
        <v>0</v>
      </c>
      <c r="T25" s="13" t="s">
        <v>71</v>
      </c>
      <c r="U25" s="11" t="s">
        <v>41</v>
      </c>
      <c r="V25" s="20" t="n">
        <f aca="false">In_Freeze_On</f>
        <v>1</v>
      </c>
    </row>
    <row r="26" customFormat="false" ht="15" hidden="false" customHeight="false" outlineLevel="0" collapsed="false">
      <c r="C26" s="0" t="s">
        <v>72</v>
      </c>
      <c r="D26" s="11" t="s">
        <v>73</v>
      </c>
      <c r="E26" s="28" t="n">
        <f aca="false">Calc_1!$I153/Thousand</f>
        <v>6.54675873853232</v>
      </c>
      <c r="F26" s="28" t="n">
        <f aca="false">Calc_2!$I153/Thousand</f>
        <v>6.54675873853232</v>
      </c>
      <c r="H26" s="15" t="n">
        <v>7.38951800258242</v>
      </c>
      <c r="I26" s="15" t="n">
        <v>-0.842759264050099</v>
      </c>
      <c r="J26" s="15" t="n">
        <v>-0.842759264050099</v>
      </c>
      <c r="T26" s="13" t="s">
        <v>74</v>
      </c>
      <c r="U26" s="11" t="s">
        <v>41</v>
      </c>
      <c r="V26" s="20" t="n">
        <f aca="false">In_Overbuild_Built</f>
        <v>0</v>
      </c>
    </row>
    <row r="27" customFormat="false" ht="15" hidden="false" customHeight="false" outlineLevel="0" collapsed="false">
      <c r="C27" s="0" t="s">
        <v>75</v>
      </c>
      <c r="D27" s="11" t="s">
        <v>35</v>
      </c>
      <c r="E27" s="26" t="n">
        <f aca="false">Calc_1!$E155</f>
        <v>0.221510760619134</v>
      </c>
      <c r="F27" s="26" t="n">
        <f aca="false">Calc_2!$E155</f>
        <v>0.221510760619134</v>
      </c>
      <c r="H27" s="29" t="n">
        <v>0.257826283818653</v>
      </c>
      <c r="I27" s="29" t="n">
        <v>-0.0363155231995194</v>
      </c>
      <c r="J27" s="29" t="n">
        <v>-0.0363155231995194</v>
      </c>
      <c r="T27" s="13" t="s">
        <v>76</v>
      </c>
      <c r="U27" s="11" t="s">
        <v>41</v>
      </c>
      <c r="V27" s="20" t="n">
        <f aca="false">In_BESS_Built</f>
        <v>1</v>
      </c>
    </row>
    <row r="28" customFormat="false" ht="15" hidden="false" customHeight="false" outlineLevel="0" collapsed="false">
      <c r="C28" s="0" t="s">
        <v>77</v>
      </c>
      <c r="D28" s="11" t="s">
        <v>35</v>
      </c>
      <c r="E28" s="26" t="n">
        <f aca="false">Calc_1!$E172</f>
        <v>0.339207407992561</v>
      </c>
      <c r="F28" s="26" t="n">
        <f aca="false">Calc_2!$E172</f>
        <v>0.339207407992561</v>
      </c>
      <c r="H28" s="29" t="n">
        <v>0.495635416758283</v>
      </c>
      <c r="I28" s="29" t="n">
        <v>-0.156428008765722</v>
      </c>
      <c r="J28" s="29" t="n">
        <v>-0.156428008765722</v>
      </c>
      <c r="T28" s="13" t="s">
        <v>78</v>
      </c>
      <c r="U28" s="11" t="s">
        <v>41</v>
      </c>
      <c r="V28" s="20" t="n">
        <f aca="false">In_Delivered</f>
        <v>1</v>
      </c>
    </row>
    <row r="29" customFormat="false" ht="15" hidden="false" customHeight="false" outlineLevel="0" collapsed="false">
      <c r="C29" s="0" t="s">
        <v>79</v>
      </c>
      <c r="D29" s="11" t="s">
        <v>73</v>
      </c>
      <c r="E29" s="28" t="n">
        <f aca="false">Calc_1!$E174/Thousand</f>
        <v>26.530583975982</v>
      </c>
      <c r="F29" s="28" t="n">
        <f aca="false">Calc_2!$E174/Thousand</f>
        <v>26.530583975982</v>
      </c>
      <c r="H29" s="15" t="n">
        <v>44.6105521842832</v>
      </c>
      <c r="I29" s="15" t="n">
        <v>-18.0799682083012</v>
      </c>
      <c r="J29" s="15" t="n">
        <v>-18.0799682083012</v>
      </c>
      <c r="T29" s="13" t="s">
        <v>80</v>
      </c>
      <c r="U29" s="11" t="s">
        <v>41</v>
      </c>
      <c r="V29" s="20" t="n">
        <f aca="false">In_Sanction_Regime</f>
        <v>1</v>
      </c>
    </row>
    <row r="30" customFormat="false" ht="15" hidden="false" customHeight="false" outlineLevel="0" collapsed="false">
      <c r="C30" s="0" t="s">
        <v>81</v>
      </c>
      <c r="D30" s="11" t="s">
        <v>35</v>
      </c>
      <c r="E30" s="26" t="n">
        <f aca="false">Calc_1!$E192</f>
        <v>0.0887506658196496</v>
      </c>
      <c r="F30" s="26" t="n">
        <f aca="false">Calc_2!$E192</f>
        <v>0.0887506658196496</v>
      </c>
      <c r="H30" s="29" t="n">
        <v>0.118654233690466</v>
      </c>
      <c r="I30" s="29" t="n">
        <v>-0.0299035678708159</v>
      </c>
      <c r="J30" s="29" t="n">
        <v>-0.0299035678708159</v>
      </c>
      <c r="T30" s="13" t="s">
        <v>82</v>
      </c>
      <c r="U30" s="11" t="s">
        <v>41</v>
      </c>
      <c r="V30" s="20" t="n">
        <f aca="false">In_OSZ4_Basis</f>
        <v>0</v>
      </c>
    </row>
    <row r="31" customFormat="false" ht="15" hidden="false" customHeight="false" outlineLevel="0" collapsed="false">
      <c r="C31" s="0" t="s">
        <v>83</v>
      </c>
      <c r="D31" s="11" t="s">
        <v>73</v>
      </c>
      <c r="E31" s="28" t="n">
        <f aca="false">Calc_1!$E194/Thousand</f>
        <v>8.14180305533397</v>
      </c>
      <c r="F31" s="28" t="n">
        <f aca="false">Calc_2!$E194/Thousand</f>
        <v>8.14180305533397</v>
      </c>
      <c r="H31" s="15" t="n">
        <v>31.4248287787171</v>
      </c>
      <c r="I31" s="15" t="n">
        <v>-23.2830257233831</v>
      </c>
      <c r="J31" s="15" t="n">
        <v>-23.2830257233831</v>
      </c>
    </row>
    <row r="32" customFormat="false" ht="15" hidden="false" customHeight="false" outlineLevel="0" collapsed="false">
      <c r="C32" s="30" t="s">
        <v>84</v>
      </c>
      <c r="D32" s="11" t="s">
        <v>73</v>
      </c>
      <c r="E32" s="31" t="n">
        <f aca="false">Calc_1!$E187/Thousand</f>
        <v>179.728594789817</v>
      </c>
      <c r="F32" s="31" t="n">
        <f aca="false">Calc_2!$E187/Thousand</f>
        <v>179.728594789817</v>
      </c>
      <c r="H32" s="15" t="n">
        <v>147.799682151735</v>
      </c>
      <c r="I32" s="15" t="n">
        <v>31.9289126380823</v>
      </c>
      <c r="J32" s="15" t="n">
        <v>31.9289126380823</v>
      </c>
    </row>
    <row r="34" customFormat="false" ht="15" hidden="false" customHeight="false" outlineLevel="0" collapsed="false">
      <c r="A34" s="9" t="s">
        <v>13</v>
      </c>
      <c r="B34" s="9"/>
      <c r="C34" s="9" t="s">
        <v>85</v>
      </c>
      <c r="D34" s="9"/>
      <c r="E34" s="10" t="s">
        <v>86</v>
      </c>
      <c r="F34" s="10" t="s">
        <v>87</v>
      </c>
      <c r="G34" s="9"/>
      <c r="H34" s="10" t="s">
        <v>88</v>
      </c>
      <c r="I34" s="10" t="s">
        <v>89</v>
      </c>
      <c r="J34" s="9"/>
      <c r="K34" s="9"/>
      <c r="L34" s="9"/>
      <c r="M34" s="9"/>
      <c r="N34" s="9"/>
      <c r="O34" s="9"/>
      <c r="P34" s="9"/>
      <c r="Q34" s="9"/>
      <c r="R34" s="9"/>
    </row>
    <row r="35" customFormat="false" ht="15" hidden="false" customHeight="false" outlineLevel="0" collapsed="false">
      <c r="C35" s="0" t="s">
        <v>90</v>
      </c>
      <c r="D35" s="11" t="s">
        <v>73</v>
      </c>
      <c r="E35" s="27" t="n">
        <f aca="false">In_Invest_Date</f>
        <v>46234</v>
      </c>
      <c r="F35" s="28" t="n">
        <f aca="false">-(Calc_1!$I46+Calc_2!$I46)/Thousand</f>
        <v>0.8</v>
      </c>
      <c r="I35" s="28" t="n">
        <f aca="false">F35</f>
        <v>0.8</v>
      </c>
    </row>
    <row r="36" customFormat="false" ht="15" hidden="false" customHeight="false" outlineLevel="0" collapsed="false">
      <c r="C36" s="0" t="s">
        <v>91</v>
      </c>
      <c r="D36" s="11" t="s">
        <v>73</v>
      </c>
      <c r="E36" s="27" t="n">
        <f aca="false">In_Bid_Date</f>
        <v>46325</v>
      </c>
      <c r="F36" s="28" t="n">
        <f aca="false">(Calc_1!$E47+Calc_2!$E47)/Thousand</f>
        <v>0.0164383561643836</v>
      </c>
      <c r="H36" s="28" t="n">
        <f aca="false">(Calc_1!$E48+Calc_2!$E48)/Thousand</f>
        <v>2.79742465753425</v>
      </c>
      <c r="I36" s="28" t="n">
        <f aca="false">F36+I35</f>
        <v>0.816438356164384</v>
      </c>
    </row>
    <row r="37" customFormat="false" ht="15" hidden="false" customHeight="false" outlineLevel="0" collapsed="false">
      <c r="C37" s="0" t="s">
        <v>92</v>
      </c>
      <c r="D37" s="11" t="s">
        <v>73</v>
      </c>
      <c r="E37" s="27" t="n">
        <f aca="false">Calc_1!$F$49</f>
        <v>46384</v>
      </c>
      <c r="H37" s="28" t="n">
        <f aca="false">(Calc_1!$E49+Calc_2!$E49)/Thousand</f>
        <v>13.9871232876712</v>
      </c>
      <c r="I37" s="28" t="n">
        <f aca="false">F37+I36</f>
        <v>0.816438356164384</v>
      </c>
    </row>
    <row r="38" customFormat="false" ht="15" hidden="false" customHeight="false" outlineLevel="0" collapsed="false">
      <c r="C38" s="0" t="s">
        <v>93</v>
      </c>
      <c r="D38" s="11" t="s">
        <v>73</v>
      </c>
      <c r="E38" s="27" t="n">
        <f aca="false">In_TSO_Date</f>
        <v>46386</v>
      </c>
      <c r="F38" s="28" t="n">
        <f aca="false">(Calc_1!$E50+Calc_2!$E50)/Thousand</f>
        <v>2.46575342465753</v>
      </c>
      <c r="I38" s="28" t="n">
        <f aca="false">F38+I37</f>
        <v>3.28219178082192</v>
      </c>
    </row>
    <row r="39" customFormat="false" ht="15" hidden="false" customHeight="false" outlineLevel="0" collapsed="false">
      <c r="C39" s="0" t="s">
        <v>94</v>
      </c>
      <c r="D39" s="11" t="s">
        <v>73</v>
      </c>
      <c r="E39" s="27" t="n">
        <f aca="false">Calc_1!K$4</f>
        <v>46387</v>
      </c>
      <c r="F39" s="28" t="n">
        <f aca="false">-(Calc_1!K58+Calc_2!K58)/Thousand</f>
        <v>0.357041095890411</v>
      </c>
      <c r="I39" s="28" t="n">
        <f aca="false">F39+I38</f>
        <v>3.63923287671233</v>
      </c>
    </row>
    <row r="40" customFormat="false" ht="15" hidden="false" customHeight="false" outlineLevel="0" collapsed="false">
      <c r="C40" s="0" t="s">
        <v>95</v>
      </c>
      <c r="D40" s="11" t="s">
        <v>73</v>
      </c>
      <c r="E40" s="27" t="n">
        <f aca="false">Calc_1!O$4</f>
        <v>46752</v>
      </c>
      <c r="F40" s="28" t="n">
        <f aca="false">-(Calc_1!O58+Calc_2!O58)/Thousand</f>
        <v>1.72095479452055</v>
      </c>
      <c r="I40" s="28" t="n">
        <f aca="false">F40+I39</f>
        <v>5.36018767123288</v>
      </c>
    </row>
    <row r="41" customFormat="false" ht="15" hidden="false" customHeight="false" outlineLevel="0" collapsed="false">
      <c r="C41" s="0" t="s">
        <v>96</v>
      </c>
      <c r="D41" s="11" t="s">
        <v>73</v>
      </c>
      <c r="E41" s="27" t="n">
        <f aca="false">Calc_1!S$4</f>
        <v>47118</v>
      </c>
      <c r="F41" s="28" t="n">
        <f aca="false">-(Calc_1!S58+Calc_2!S58)/Thousand</f>
        <v>3.55193806503774</v>
      </c>
      <c r="I41" s="28" t="n">
        <f aca="false">F41+I40</f>
        <v>8.91212573627062</v>
      </c>
    </row>
    <row r="42" customFormat="false" ht="15" hidden="false" customHeight="false" outlineLevel="0" collapsed="false">
      <c r="C42" s="0" t="s">
        <v>97</v>
      </c>
      <c r="D42" s="11" t="s">
        <v>73</v>
      </c>
      <c r="E42" s="27" t="n">
        <f aca="false">In_HCSSZ_Date</f>
        <v>47126</v>
      </c>
      <c r="F42" s="28" t="n">
        <f aca="false">-(Calc_1!$I53+Calc_2!$I53)/Thousand</f>
        <v>40.3587748164384</v>
      </c>
      <c r="I42" s="28" t="n">
        <f aca="false">F42+I41</f>
        <v>49.270900552709</v>
      </c>
    </row>
    <row r="43" customFormat="false" ht="15" hidden="false" customHeight="false" outlineLevel="0" collapsed="false">
      <c r="C43" s="0" t="s">
        <v>98</v>
      </c>
      <c r="D43" s="11" t="s">
        <v>73</v>
      </c>
      <c r="E43" s="27" t="n">
        <f aca="false">Calc_1!W$4</f>
        <v>47483</v>
      </c>
      <c r="F43" s="28" t="n">
        <f aca="false">-(Calc_1!W58+Calc_2!W58)/Thousand</f>
        <v>0.609315068493151</v>
      </c>
      <c r="I43" s="28" t="n">
        <f aca="false">F43+I42</f>
        <v>49.8802156212021</v>
      </c>
    </row>
    <row r="44" customFormat="false" ht="15" hidden="false" customHeight="false" outlineLevel="0" collapsed="false">
      <c r="C44" s="0" t="s">
        <v>99</v>
      </c>
      <c r="D44" s="11" t="s">
        <v>73</v>
      </c>
      <c r="E44" s="27" t="n">
        <f aca="false">In_COD</f>
        <v>48121</v>
      </c>
      <c r="F44" s="28" t="n">
        <f aca="false">(Calc_1!$E184+Calc_2!$E184)/Thousand</f>
        <v>77.6417176466245</v>
      </c>
      <c r="I44" s="28" t="n">
        <f aca="false">F44+I43</f>
        <v>127.521933267827</v>
      </c>
    </row>
    <row r="45" customFormat="false" ht="15" hidden="false" customHeight="false" outlineLevel="0" collapsed="false">
      <c r="C45" s="0" t="s">
        <v>100</v>
      </c>
      <c r="D45" s="11" t="s">
        <v>73</v>
      </c>
      <c r="E45" s="27" t="n">
        <f aca="false">In_COD</f>
        <v>48121</v>
      </c>
      <c r="F45" s="28" t="n">
        <f aca="false">(Calc_1!$F184+Calc_2!$F184)/Thousand</f>
        <v>5.25278060479041</v>
      </c>
      <c r="I45" s="28" t="n">
        <f aca="false">F45+I44</f>
        <v>132.774713872617</v>
      </c>
    </row>
    <row r="46" customFormat="false" ht="15" hidden="false" customHeight="false" outlineLevel="0" collapsed="false">
      <c r="C46" s="0" t="s">
        <v>101</v>
      </c>
      <c r="D46" s="11" t="s">
        <v>73</v>
      </c>
      <c r="E46" s="27" t="n">
        <f aca="false">In_COD</f>
        <v>48121</v>
      </c>
      <c r="F46" s="28" t="n">
        <f aca="false">-(Calc_1!$F59+Calc_2!$F59)/Thousand</f>
        <v>4.02323314993432</v>
      </c>
      <c r="I46" s="28" t="n">
        <f aca="false">F46+I45</f>
        <v>136.797947022551</v>
      </c>
    </row>
    <row r="47" customFormat="false" ht="15" hidden="false" customHeight="false" outlineLevel="0" collapsed="false">
      <c r="C47" s="0" t="s">
        <v>102</v>
      </c>
      <c r="D47" s="11" t="s">
        <v>73</v>
      </c>
      <c r="E47" s="27" t="n">
        <f aca="false">In_COD</f>
        <v>48121</v>
      </c>
      <c r="F47" s="28" t="n">
        <f aca="false">-(Calc_1!$I96+Calc_2!$I96)/Thousand</f>
        <v>10</v>
      </c>
      <c r="I47" s="28" t="n">
        <f aca="false">F47+I46</f>
        <v>146.797947022551</v>
      </c>
    </row>
    <row r="48" customFormat="false" ht="15" hidden="false" customHeight="false" outlineLevel="0" collapsed="false">
      <c r="C48" s="30" t="s">
        <v>103</v>
      </c>
      <c r="D48" s="11" t="s">
        <v>73</v>
      </c>
      <c r="F48" s="31" t="n">
        <f aca="false">-(Calc_1!$I160+Calc_2!$I160)/Thousand</f>
        <v>146.797947022551</v>
      </c>
      <c r="H48" s="31" t="n">
        <f aca="false">(Calc_1!$E49+Calc_2!$E49)/Thousand</f>
        <v>13.9871232876712</v>
      </c>
    </row>
    <row r="50" customFormat="false" ht="15" hidden="false" customHeight="false" outlineLevel="0" collapsed="false">
      <c r="A50" s="9" t="s">
        <v>13</v>
      </c>
      <c r="B50" s="9"/>
      <c r="C50" s="9" t="s">
        <v>104</v>
      </c>
      <c r="D50" s="9"/>
      <c r="E50" s="10" t="s">
        <v>105</v>
      </c>
      <c r="F50" s="10" t="s">
        <v>106</v>
      </c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</row>
    <row r="51" customFormat="false" ht="15" hidden="false" customHeight="false" outlineLevel="0" collapsed="false">
      <c r="C51" s="0" t="s">
        <v>107</v>
      </c>
      <c r="D51" s="11" t="s">
        <v>73</v>
      </c>
      <c r="E51" s="32" t="n">
        <f aca="false">(Calc_1!$E176+Calc_2!$E176)/Thousand</f>
        <v>120</v>
      </c>
      <c r="F51" s="33" t="n">
        <f aca="false">(Calc_1!$E176+Calc_2!$E176)/(Calc_1!$F24+Calc_2!$F24)</f>
        <v>600</v>
      </c>
    </row>
    <row r="52" customFormat="false" ht="15" hidden="false" customHeight="false" outlineLevel="0" collapsed="false">
      <c r="C52" s="0" t="s">
        <v>108</v>
      </c>
      <c r="D52" s="11" t="s">
        <v>73</v>
      </c>
      <c r="E52" s="32" t="n">
        <f aca="false">(Calc_1!$F176+Calc_2!$F176)/Thousand</f>
        <v>16</v>
      </c>
      <c r="F52" s="33" t="n">
        <f aca="false">(Calc_1!$F176+Calc_2!$F176)/(Calc_1!$F24+Calc_2!$F24)</f>
        <v>80</v>
      </c>
    </row>
    <row r="53" customFormat="false" ht="15" hidden="false" customHeight="false" outlineLevel="0" collapsed="false">
      <c r="C53" s="0" t="s">
        <v>109</v>
      </c>
      <c r="D53" s="11" t="s">
        <v>73</v>
      </c>
      <c r="E53" s="32" t="n">
        <f aca="false">(Calc_1!$E177+Calc_2!$E177)/Thousand</f>
        <v>18</v>
      </c>
      <c r="F53" s="33" t="n">
        <f aca="false">(Calc_1!$E177+Calc_2!$E177)/(Calc_1!$F24+Calc_2!$F24)</f>
        <v>90</v>
      </c>
    </row>
    <row r="54" customFormat="false" ht="15" hidden="false" customHeight="false" outlineLevel="0" collapsed="false">
      <c r="C54" s="0" t="s">
        <v>110</v>
      </c>
      <c r="D54" s="11" t="s">
        <v>73</v>
      </c>
      <c r="E54" s="32" t="n">
        <f aca="false">(Calc_1!$F177+Calc_2!$F177)/Thousand</f>
        <v>26</v>
      </c>
      <c r="F54" s="33" t="n">
        <f aca="false">(Calc_1!$F177+Calc_2!$F177)/(Calc_1!$F24+Calc_2!$F24)</f>
        <v>130</v>
      </c>
    </row>
    <row r="55" customFormat="false" ht="15" hidden="false" customHeight="false" outlineLevel="0" collapsed="false">
      <c r="C55" s="0" t="s">
        <v>111</v>
      </c>
      <c r="D55" s="11" t="s">
        <v>73</v>
      </c>
      <c r="E55" s="32" t="n">
        <f aca="false">(Calc_1!$E178+Calc_2!$E178)/Thousand</f>
        <v>8</v>
      </c>
      <c r="F55" s="33" t="n">
        <f aca="false">(Calc_1!$E178+Calc_2!$E178)/(Calc_1!$F24+Calc_2!$F24)</f>
        <v>40</v>
      </c>
    </row>
    <row r="56" customFormat="false" ht="15" hidden="false" customHeight="false" outlineLevel="0" collapsed="false">
      <c r="C56" s="0" t="s">
        <v>112</v>
      </c>
      <c r="D56" s="11" t="s">
        <v>73</v>
      </c>
      <c r="E56" s="32" t="n">
        <f aca="false">(Calc_1!$F178+Calc_2!$F178)/Thousand</f>
        <v>4.23698253648758</v>
      </c>
      <c r="F56" s="33" t="n">
        <f aca="false">(Calc_1!$F178+Calc_2!$F178)/(Calc_1!$F24+Calc_2!$F24)</f>
        <v>21.1849126824379</v>
      </c>
    </row>
    <row r="57" customFormat="false" ht="15" hidden="false" customHeight="false" outlineLevel="0" collapsed="false">
      <c r="C57" s="0" t="s">
        <v>113</v>
      </c>
      <c r="D57" s="11" t="s">
        <v>73</v>
      </c>
      <c r="E57" s="32" t="n">
        <f aca="false">(Calc_1!$E179+Calc_2!$E179)/Thousand</f>
        <v>10.75</v>
      </c>
      <c r="F57" s="33" t="n">
        <f aca="false">(Calc_1!$E179+Calc_2!$E179)/(Calc_1!$F24+Calc_2!$F24)</f>
        <v>53.75</v>
      </c>
    </row>
    <row r="58" customFormat="false" ht="15" hidden="false" customHeight="false" outlineLevel="0" collapsed="false">
      <c r="C58" s="0" t="s">
        <v>114</v>
      </c>
      <c r="D58" s="11" t="s">
        <v>73</v>
      </c>
      <c r="E58" s="32" t="n">
        <f aca="false">(Calc_1!$F179+Calc_2!$F179)/Thousand</f>
        <v>24</v>
      </c>
      <c r="F58" s="33" t="n">
        <f aca="false">(Calc_1!$F179+Calc_2!$F179)/(Calc_1!$F24+Calc_2!$F24)</f>
        <v>120</v>
      </c>
    </row>
    <row r="59" customFormat="false" ht="15" hidden="false" customHeight="false" outlineLevel="0" collapsed="false">
      <c r="C59" s="0" t="s">
        <v>115</v>
      </c>
      <c r="D59" s="11" t="s">
        <v>73</v>
      </c>
      <c r="E59" s="32" t="n">
        <f aca="false">(Calc_1!$E180+Calc_2!$E180)/Thousand</f>
        <v>40.8</v>
      </c>
      <c r="F59" s="33" t="n">
        <f aca="false">(Calc_1!$E180+Calc_2!$E180)/(Calc_1!$F24+Calc_2!$F24)</f>
        <v>204</v>
      </c>
    </row>
    <row r="60" customFormat="false" ht="15" hidden="false" customHeight="false" outlineLevel="0" collapsed="false">
      <c r="C60" s="0" t="s">
        <v>116</v>
      </c>
      <c r="D60" s="11" t="s">
        <v>73</v>
      </c>
      <c r="E60" s="32" t="n">
        <f aca="false">(Calc_1!$F180+Calc_2!$F180)/Thousand</f>
        <v>40.3587748164384</v>
      </c>
      <c r="F60" s="33" t="n">
        <f aca="false">(Calc_1!$F180+Calc_2!$F180)/(Calc_1!$F24+Calc_2!$F24)</f>
        <v>201.793874082192</v>
      </c>
    </row>
    <row r="61" customFormat="false" ht="15" hidden="false" customHeight="false" outlineLevel="0" collapsed="false">
      <c r="C61" s="0" t="s">
        <v>117</v>
      </c>
      <c r="D61" s="11" t="s">
        <v>73</v>
      </c>
      <c r="E61" s="32" t="n">
        <f aca="false">(Calc_1!$E181+Calc_2!$E181)/Thousand</f>
        <v>10</v>
      </c>
      <c r="F61" s="33" t="n">
        <f aca="false">(Calc_1!$E181+Calc_2!$E181)/(Calc_1!$F24+Calc_2!$F24)</f>
        <v>50</v>
      </c>
    </row>
    <row r="62" customFormat="false" ht="15" hidden="false" customHeight="false" outlineLevel="0" collapsed="false">
      <c r="C62" s="0" t="s">
        <v>118</v>
      </c>
      <c r="D62" s="11" t="s">
        <v>73</v>
      </c>
      <c r="E62" s="32" t="n">
        <f aca="false">(Calc_1!$F181+Calc_2!$F181)/Thousand</f>
        <v>9.52144080476377</v>
      </c>
      <c r="F62" s="33" t="n">
        <f aca="false">(Calc_1!$F181+Calc_2!$F181)/(Calc_1!$F24+Calc_2!$F24)</f>
        <v>47.6072040238188</v>
      </c>
    </row>
    <row r="63" customFormat="false" ht="15" hidden="false" customHeight="false" outlineLevel="0" collapsed="false">
      <c r="C63" s="0" t="s">
        <v>119</v>
      </c>
      <c r="D63" s="11" t="s">
        <v>73</v>
      </c>
      <c r="E63" s="32" t="n">
        <f aca="false">(Calc_1!$E182+Calc_2!$E182)/Thousand</f>
        <v>17.8028681342734</v>
      </c>
      <c r="F63" s="33" t="n">
        <f aca="false">(Calc_1!$E182+Calc_2!$E182)/(Calc_1!$F24+Calc_2!$F24)</f>
        <v>89.0143406713672</v>
      </c>
    </row>
    <row r="64" customFormat="false" ht="15" hidden="false" customHeight="false" outlineLevel="0" collapsed="false">
      <c r="C64" s="30" t="s">
        <v>120</v>
      </c>
      <c r="D64" s="11" t="s">
        <v>73</v>
      </c>
      <c r="E64" s="34" t="n">
        <f aca="false">(Calc_1!$E183+Calc_2!$E183)/Thousand</f>
        <v>345.470066291963</v>
      </c>
      <c r="F64" s="35" t="n">
        <f aca="false">(Calc_1!$E183+Calc_2!$E183)/(Calc_1!$F24+Calc_2!$F24)</f>
        <v>1727.35033145982</v>
      </c>
    </row>
    <row r="66" customFormat="false" ht="15" hidden="false" customHeight="false" outlineLevel="0" collapsed="false">
      <c r="A66" s="9" t="s">
        <v>13</v>
      </c>
      <c r="B66" s="9"/>
      <c r="C66" s="9" t="s">
        <v>121</v>
      </c>
      <c r="D66" s="9"/>
      <c r="E66" s="10" t="s">
        <v>9</v>
      </c>
      <c r="F66" s="10" t="s">
        <v>10</v>
      </c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</row>
    <row r="67" customFormat="false" ht="15" hidden="false" customHeight="false" outlineLevel="0" collapsed="false">
      <c r="C67" s="0" t="s">
        <v>122</v>
      </c>
      <c r="D67" s="11" t="s">
        <v>123</v>
      </c>
      <c r="E67" s="25" t="n">
        <f aca="false">Calc_1!$E24</f>
        <v>151</v>
      </c>
      <c r="F67" s="25" t="n">
        <f aca="false">Calc_2!$E24</f>
        <v>151</v>
      </c>
    </row>
    <row r="68" customFormat="false" ht="15" hidden="false" customHeight="false" outlineLevel="0" collapsed="false">
      <c r="C68" s="0" t="s">
        <v>124</v>
      </c>
      <c r="D68" s="11" t="s">
        <v>123</v>
      </c>
      <c r="E68" s="25" t="n">
        <f aca="false">Calc_1!$F24</f>
        <v>100</v>
      </c>
      <c r="F68" s="25" t="n">
        <f aca="false">Calc_2!$F24</f>
        <v>100</v>
      </c>
    </row>
    <row r="69" customFormat="false" ht="15" hidden="false" customHeight="false" outlineLevel="0" collapsed="false">
      <c r="C69" s="0" t="s">
        <v>125</v>
      </c>
      <c r="D69" s="11" t="s">
        <v>123</v>
      </c>
      <c r="E69" s="25" t="n">
        <f aca="false">Calc_1!$E25</f>
        <v>51</v>
      </c>
      <c r="F69" s="25" t="n">
        <f aca="false">Calc_2!$E25</f>
        <v>51</v>
      </c>
    </row>
    <row r="70" customFormat="false" ht="15" hidden="false" customHeight="false" outlineLevel="0" collapsed="false">
      <c r="C70" s="0" t="s">
        <v>126</v>
      </c>
      <c r="D70" s="11" t="s">
        <v>41</v>
      </c>
      <c r="E70" s="36" t="str">
        <f aca="false">IF(Calc_1!$E42=0,"OK","CHECK")</f>
        <v>OK</v>
      </c>
      <c r="F70" s="36" t="str">
        <f aca="false">IF(Calc_2!$E42=0,"OK","CHECK")</f>
        <v>OK</v>
      </c>
    </row>
    <row r="71" customFormat="false" ht="15" hidden="false" customHeight="false" outlineLevel="0" collapsed="false">
      <c r="C71" s="0" t="s">
        <v>127</v>
      </c>
      <c r="D71" s="11" t="s">
        <v>41</v>
      </c>
      <c r="E71" s="36" t="str">
        <f aca="false">IF(Calc_1!$F42=0,"OK","CHECK")</f>
        <v>OK</v>
      </c>
      <c r="F71" s="36" t="str">
        <f aca="false">IF(Calc_2!$F42=0,"OK","CHECK")</f>
        <v>OK</v>
      </c>
    </row>
    <row r="73" customFormat="false" ht="15" hidden="false" customHeight="false" outlineLevel="0" collapsed="false">
      <c r="A73" s="9" t="s">
        <v>13</v>
      </c>
      <c r="B73" s="9"/>
      <c r="C73" s="9" t="s">
        <v>128</v>
      </c>
      <c r="D73" s="9"/>
      <c r="E73" s="10" t="s">
        <v>9</v>
      </c>
      <c r="F73" s="10" t="s">
        <v>10</v>
      </c>
      <c r="G73" s="9"/>
      <c r="H73" s="10" t="s">
        <v>129</v>
      </c>
      <c r="I73" s="10" t="s">
        <v>130</v>
      </c>
      <c r="J73" s="10" t="s">
        <v>131</v>
      </c>
      <c r="K73" s="9"/>
      <c r="L73" s="9"/>
      <c r="M73" s="9"/>
      <c r="N73" s="9"/>
      <c r="O73" s="9"/>
      <c r="P73" s="9"/>
      <c r="Q73" s="9"/>
      <c r="R73" s="9"/>
    </row>
    <row r="74" customFormat="false" ht="15" hidden="false" customHeight="false" outlineLevel="0" collapsed="false">
      <c r="C74" s="0" t="s">
        <v>132</v>
      </c>
      <c r="D74" s="11" t="s">
        <v>73</v>
      </c>
      <c r="E74" s="37" t="n">
        <f aca="false">Calc_1!$E47/Thousand</f>
        <v>0.00821917808219178</v>
      </c>
      <c r="F74" s="37" t="n">
        <f aca="false">Calc_2!$E47/Thousand</f>
        <v>0.00821917808219178</v>
      </c>
      <c r="H74" s="13" t="s">
        <v>133</v>
      </c>
      <c r="I74" s="27" t="n">
        <f aca="false">In_Bid_Date</f>
        <v>46325</v>
      </c>
      <c r="J74" s="38" t="s">
        <v>134</v>
      </c>
    </row>
    <row r="75" customFormat="false" ht="15" hidden="false" customHeight="false" outlineLevel="0" collapsed="false">
      <c r="C75" s="0" t="s">
        <v>135</v>
      </c>
      <c r="D75" s="11" t="s">
        <v>73</v>
      </c>
      <c r="E75" s="37" t="n">
        <f aca="false">Calc_1!$E48/Thousand</f>
        <v>1.39871232876712</v>
      </c>
      <c r="F75" s="37" t="n">
        <f aca="false">Calc_2!$E48/Thousand</f>
        <v>1.39871232876712</v>
      </c>
      <c r="H75" s="13" t="s">
        <v>136</v>
      </c>
      <c r="I75" s="27" t="n">
        <f aca="false">In_Bid_Date</f>
        <v>46325</v>
      </c>
      <c r="J75" s="27" t="n">
        <f aca="false">Calc_1!$F$49</f>
        <v>46384</v>
      </c>
    </row>
    <row r="76" customFormat="false" ht="15" hidden="false" customHeight="false" outlineLevel="0" collapsed="false">
      <c r="C76" s="0" t="s">
        <v>137</v>
      </c>
      <c r="D76" s="11" t="s">
        <v>73</v>
      </c>
      <c r="E76" s="37" t="n">
        <f aca="false">Calc_1!$E49/Thousand</f>
        <v>6.99356164383562</v>
      </c>
      <c r="F76" s="37" t="n">
        <f aca="false">Calc_2!$E49/Thousand</f>
        <v>6.99356164383562</v>
      </c>
      <c r="H76" s="13" t="s">
        <v>136</v>
      </c>
      <c r="I76" s="27" t="n">
        <f aca="false">Calc_1!$F$49</f>
        <v>46384</v>
      </c>
      <c r="J76" s="38" t="s">
        <v>138</v>
      </c>
    </row>
    <row r="77" customFormat="false" ht="15" hidden="false" customHeight="false" outlineLevel="0" collapsed="false">
      <c r="C77" s="0" t="s">
        <v>139</v>
      </c>
      <c r="D77" s="11" t="s">
        <v>73</v>
      </c>
      <c r="E77" s="37" t="n">
        <f aca="false">Calc_1!$E50/Thousand</f>
        <v>1.23287671232877</v>
      </c>
      <c r="F77" s="37" t="n">
        <f aca="false">Calc_2!$E50/Thousand</f>
        <v>1.23287671232877</v>
      </c>
      <c r="H77" s="13" t="s">
        <v>133</v>
      </c>
      <c r="I77" s="27" t="n">
        <f aca="false">In_TSO_Date</f>
        <v>46386</v>
      </c>
      <c r="J77" s="38" t="s">
        <v>140</v>
      </c>
    </row>
    <row r="78" customFormat="false" ht="15" hidden="false" customHeight="false" outlineLevel="0" collapsed="false">
      <c r="C78" s="0" t="s">
        <v>141</v>
      </c>
      <c r="D78" s="11" t="s">
        <v>73</v>
      </c>
      <c r="E78" s="37" t="n">
        <f aca="false">Calc_1!$E51/Thousand</f>
        <v>1.39272823013699</v>
      </c>
      <c r="F78" s="37" t="n">
        <f aca="false">Calc_2!$E51/Thousand</f>
        <v>1.39272823013699</v>
      </c>
      <c r="H78" s="13" t="s">
        <v>133</v>
      </c>
      <c r="I78" s="27" t="n">
        <f aca="false">In_HCSSZ_Date</f>
        <v>47126</v>
      </c>
      <c r="J78" s="38" t="s">
        <v>134</v>
      </c>
    </row>
    <row r="79" customFormat="false" ht="15" hidden="false" customHeight="false" outlineLevel="0" collapsed="false">
      <c r="C79" s="0" t="s">
        <v>142</v>
      </c>
      <c r="D79" s="11" t="s">
        <v>73</v>
      </c>
      <c r="E79" s="37" t="n">
        <f aca="false">Calc_1!$E52/Thousand</f>
        <v>18.7866591780822</v>
      </c>
      <c r="F79" s="37" t="n">
        <f aca="false">Calc_2!$E52/Thousand</f>
        <v>18.7866591780822</v>
      </c>
      <c r="H79" s="13" t="s">
        <v>133</v>
      </c>
      <c r="I79" s="27" t="n">
        <f aca="false">In_HCSSZ_Date</f>
        <v>47126</v>
      </c>
      <c r="J79" s="38" t="s">
        <v>134</v>
      </c>
    </row>
    <row r="80" customFormat="false" ht="15" hidden="false" customHeight="false" outlineLevel="0" collapsed="false">
      <c r="C80" s="0" t="s">
        <v>143</v>
      </c>
      <c r="D80" s="11" t="s">
        <v>73</v>
      </c>
      <c r="E80" s="28" t="n">
        <f aca="false">Calc_1!$E186/Thousand</f>
        <v>8.23465753424658</v>
      </c>
      <c r="F80" s="28" t="n">
        <f aca="false">Calc_2!$E186/Thousand</f>
        <v>8.23465753424658</v>
      </c>
    </row>
    <row r="81" customFormat="false" ht="15" hidden="false" customHeight="false" outlineLevel="0" collapsed="false">
      <c r="C81" s="0" t="s">
        <v>144</v>
      </c>
      <c r="D81" s="11" t="s">
        <v>73</v>
      </c>
      <c r="E81" s="28" t="n">
        <f aca="false">Calc_1!$E188/Thousand</f>
        <v>1.41821917808219</v>
      </c>
      <c r="F81" s="28" t="n">
        <f aca="false">Calc_2!$E188/Thousand</f>
        <v>1.41821917808219</v>
      </c>
    </row>
    <row r="82" customFormat="false" ht="15" hidden="false" customHeight="false" outlineLevel="0" collapsed="false">
      <c r="C82" s="0" t="s">
        <v>145</v>
      </c>
      <c r="D82" s="11" t="s">
        <v>73</v>
      </c>
      <c r="E82" s="28" t="n">
        <f aca="false">Calc_1!$F188/Thousand</f>
        <v>6.99356164383562</v>
      </c>
      <c r="F82" s="28" t="n">
        <f aca="false">Calc_2!$F188/Thousand</f>
        <v>6.99356164383562</v>
      </c>
    </row>
    <row r="83" customFormat="false" ht="15" hidden="false" customHeight="false" outlineLevel="0" collapsed="false">
      <c r="C83" s="0" t="s">
        <v>146</v>
      </c>
      <c r="D83" s="11" t="s">
        <v>147</v>
      </c>
      <c r="E83" s="22" t="n">
        <f aca="false">Calc_1!$E88</f>
        <v>33.7748344370861</v>
      </c>
      <c r="F83" s="22" t="n">
        <f aca="false">Calc_2!$E88</f>
        <v>33.7748344370861</v>
      </c>
    </row>
    <row r="84" customFormat="false" ht="15" hidden="false" customHeight="false" outlineLevel="0" collapsed="false">
      <c r="C84" s="0" t="s">
        <v>148</v>
      </c>
      <c r="D84" s="11" t="s">
        <v>41</v>
      </c>
      <c r="E84" s="20" t="n">
        <f aca="false">Calc_1!$E89</f>
        <v>1</v>
      </c>
      <c r="F84" s="20" t="n">
        <f aca="false">Calc_2!$E89</f>
        <v>1</v>
      </c>
    </row>
    <row r="86" customFormat="false" ht="15" hidden="false" customHeight="false" outlineLevel="0" collapsed="false">
      <c r="A86" s="9" t="s">
        <v>13</v>
      </c>
      <c r="B86" s="9"/>
      <c r="C86" s="9" t="s">
        <v>149</v>
      </c>
      <c r="D86" s="9"/>
      <c r="E86" s="10" t="s">
        <v>9</v>
      </c>
      <c r="F86" s="10" t="s">
        <v>10</v>
      </c>
      <c r="G86" s="9"/>
      <c r="H86" s="10" t="s">
        <v>150</v>
      </c>
      <c r="I86" s="10" t="s">
        <v>151</v>
      </c>
      <c r="J86" s="10" t="s">
        <v>152</v>
      </c>
      <c r="K86" s="9"/>
      <c r="L86" s="9"/>
      <c r="M86" s="9"/>
      <c r="N86" s="9"/>
      <c r="O86" s="9"/>
      <c r="P86" s="9"/>
      <c r="Q86" s="9"/>
      <c r="R86" s="9"/>
    </row>
    <row r="87" customFormat="false" ht="15" hidden="false" customHeight="false" outlineLevel="0" collapsed="false">
      <c r="C87" s="0" t="s">
        <v>153</v>
      </c>
      <c r="D87" s="11" t="s">
        <v>62</v>
      </c>
      <c r="E87" s="4" t="n">
        <v>47483</v>
      </c>
      <c r="F87" s="4" t="n">
        <v>47483</v>
      </c>
    </row>
    <row r="88" customFormat="false" ht="15" hidden="false" customHeight="false" outlineLevel="0" collapsed="false">
      <c r="C88" s="0" t="s">
        <v>154</v>
      </c>
      <c r="D88" s="11" t="s">
        <v>73</v>
      </c>
      <c r="E88" s="28" t="n">
        <f aca="false">Calc_1!$E146/Thousand</f>
        <v>21.8427086410959</v>
      </c>
      <c r="F88" s="28" t="n">
        <f aca="false">Calc_2!$E146/Thousand</f>
        <v>21.8427086410959</v>
      </c>
      <c r="H88" s="28" t="n">
        <f aca="false">E88+F88</f>
        <v>43.6854172821918</v>
      </c>
    </row>
    <row r="89" customFormat="false" ht="15" hidden="false" customHeight="false" outlineLevel="0" collapsed="false">
      <c r="C89" s="30" t="s">
        <v>155</v>
      </c>
      <c r="D89" s="11" t="s">
        <v>73</v>
      </c>
      <c r="E89" s="31" t="n">
        <f aca="false">Calc_1!$E132/Thousand</f>
        <v>15</v>
      </c>
      <c r="F89" s="31" t="n">
        <f aca="false">Calc_2!$E132/Thousand</f>
        <v>15</v>
      </c>
      <c r="H89" s="31" t="n">
        <f aca="false">E89+F89</f>
        <v>30</v>
      </c>
    </row>
    <row r="90" customFormat="false" ht="15" hidden="false" customHeight="false" outlineLevel="0" collapsed="false">
      <c r="C90" s="0" t="s">
        <v>156</v>
      </c>
      <c r="D90" s="11" t="s">
        <v>73</v>
      </c>
      <c r="E90" s="28" t="n">
        <f aca="false">(-Calc_1!$F135)/Thousand</f>
        <v>-0.5</v>
      </c>
      <c r="F90" s="28" t="n">
        <f aca="false">(-Calc_2!$F135)/Thousand</f>
        <v>-0.5</v>
      </c>
      <c r="H90" s="28" t="n">
        <f aca="false">E90+F90</f>
        <v>-1</v>
      </c>
    </row>
    <row r="91" customFormat="false" ht="15" hidden="false" customHeight="false" outlineLevel="0" collapsed="false">
      <c r="C91" s="0" t="s">
        <v>157</v>
      </c>
      <c r="D91" s="11" t="s">
        <v>73</v>
      </c>
      <c r="E91" s="28" t="n">
        <f aca="false">(-Calc_1!$F137)/Thousand</f>
        <v>-1.56453664418093</v>
      </c>
      <c r="F91" s="28" t="n">
        <f aca="false">(-Calc_2!$F137)/Thousand</f>
        <v>-1.56453664418093</v>
      </c>
      <c r="H91" s="28" t="n">
        <f aca="false">E91+F91</f>
        <v>-3.12907328836186</v>
      </c>
    </row>
    <row r="92" customFormat="false" ht="15" hidden="false" customHeight="false" outlineLevel="0" collapsed="false">
      <c r="C92" s="0" t="s">
        <v>158</v>
      </c>
      <c r="D92" s="11" t="s">
        <v>73</v>
      </c>
      <c r="E92" s="28" t="n">
        <f aca="false">(-Calc_1!$F139)/Thousand</f>
        <v>-3.11962451197093</v>
      </c>
      <c r="F92" s="28" t="n">
        <f aca="false">(-Calc_2!$F139)/Thousand</f>
        <v>-3.11962451197093</v>
      </c>
      <c r="H92" s="28" t="n">
        <f aca="false">E92+F92</f>
        <v>-6.23924902394185</v>
      </c>
    </row>
    <row r="93" customFormat="false" ht="15" hidden="false" customHeight="false" outlineLevel="0" collapsed="false">
      <c r="C93" s="0" t="s">
        <v>159</v>
      </c>
      <c r="D93" s="11" t="s">
        <v>73</v>
      </c>
      <c r="E93" s="28" t="n">
        <f aca="false">(-Calc_1!$F140)/Thousand</f>
        <v>-1.12048016110676</v>
      </c>
      <c r="F93" s="28" t="n">
        <f aca="false">(-Calc_2!$F140)/Thousand</f>
        <v>-1.12048016110676</v>
      </c>
      <c r="H93" s="28" t="n">
        <f aca="false">E93+F93</f>
        <v>-2.24096032221352</v>
      </c>
    </row>
    <row r="94" customFormat="false" ht="15" hidden="false" customHeight="false" outlineLevel="0" collapsed="false">
      <c r="C94" s="0" t="s">
        <v>160</v>
      </c>
      <c r="D94" s="11" t="s">
        <v>73</v>
      </c>
      <c r="E94" s="28" t="n">
        <f aca="false">(-Calc_1!$E148)/Thousand</f>
        <v>-5.80464131725861</v>
      </c>
      <c r="F94" s="28" t="n">
        <f aca="false">(-Calc_2!$E148)/Thousand</f>
        <v>-5.80464131725861</v>
      </c>
      <c r="H94" s="28" t="n">
        <f aca="false">E94+F94</f>
        <v>-11.6092826345172</v>
      </c>
    </row>
    <row r="95" customFormat="false" ht="15" hidden="false" customHeight="false" outlineLevel="0" collapsed="false">
      <c r="C95" s="0" t="s">
        <v>161</v>
      </c>
      <c r="D95" s="11" t="s">
        <v>73</v>
      </c>
      <c r="E95" s="28" t="n">
        <f aca="false">(-Calc_1!$F141)/Thousand</f>
        <v>-1.20065972222222</v>
      </c>
      <c r="F95" s="28" t="n">
        <f aca="false">(-Calc_2!$F141)/Thousand</f>
        <v>-1.20065972222222</v>
      </c>
      <c r="H95" s="28" t="n">
        <f aca="false">E95+F95</f>
        <v>-2.40131944444444</v>
      </c>
    </row>
    <row r="96" customFormat="false" ht="15" hidden="false" customHeight="false" outlineLevel="0" collapsed="false">
      <c r="C96" s="30" t="s">
        <v>162</v>
      </c>
      <c r="D96" s="11" t="s">
        <v>73</v>
      </c>
      <c r="E96" s="31" t="n">
        <f aca="false">Calc_1!$F142/Thousand</f>
        <v>7.49469896051916</v>
      </c>
      <c r="F96" s="31" t="n">
        <f aca="false">Calc_2!$F142/Thousand</f>
        <v>7.49469896051916</v>
      </c>
      <c r="H96" s="31" t="n">
        <f aca="false">E96+F96</f>
        <v>14.9893979210383</v>
      </c>
    </row>
    <row r="97" customFormat="false" ht="15" hidden="false" customHeight="false" outlineLevel="0" collapsed="false">
      <c r="C97" s="0" t="s">
        <v>163</v>
      </c>
      <c r="D97" s="11" t="s">
        <v>73</v>
      </c>
      <c r="E97" s="28" t="n">
        <f aca="false">Calc_1!$F146/Thousand</f>
        <v>5.24628927236341</v>
      </c>
      <c r="F97" s="28" t="n">
        <f aca="false">Calc_2!$F146/Thousand</f>
        <v>5.24628927236341</v>
      </c>
      <c r="H97" s="28" t="n">
        <f aca="false">E97+F97</f>
        <v>10.4925785447268</v>
      </c>
    </row>
    <row r="98" customFormat="false" ht="15" hidden="false" customHeight="false" outlineLevel="0" collapsed="false">
      <c r="C98" s="0" t="s">
        <v>164</v>
      </c>
      <c r="D98" s="11" t="s">
        <v>73</v>
      </c>
      <c r="E98" s="28" t="n">
        <f aca="false">Calc_1!$E147/Thousand</f>
        <v>-2.69739916950517</v>
      </c>
      <c r="F98" s="28" t="n">
        <f aca="false">Calc_2!$E147/Thousand</f>
        <v>-2.69739916950517</v>
      </c>
      <c r="H98" s="28" t="n">
        <f aca="false">E98+F98</f>
        <v>-5.39479833901034</v>
      </c>
    </row>
    <row r="99" customFormat="false" ht="15" hidden="false" customHeight="false" outlineLevel="0" collapsed="false">
      <c r="C99" s="30" t="s">
        <v>165</v>
      </c>
      <c r="D99" s="11" t="s">
        <v>73</v>
      </c>
      <c r="E99" s="31" t="n">
        <f aca="false">Calc_1!$F148/Thousand</f>
        <v>8.35353142011685</v>
      </c>
      <c r="F99" s="31" t="n">
        <f aca="false">Calc_2!$F148/Thousand</f>
        <v>8.35353142011685</v>
      </c>
      <c r="H99" s="31" t="n">
        <f aca="false">E99+F99</f>
        <v>16.7070628402337</v>
      </c>
      <c r="I99" s="25" t="n">
        <f aca="false">Calc_1!$E150</f>
        <v>55.3214001332242</v>
      </c>
      <c r="J99" s="25" t="n">
        <f aca="false">Calc_2!$E150</f>
        <v>55.3214001332242</v>
      </c>
    </row>
    <row r="100" customFormat="false" ht="15" hidden="false" customHeight="false" outlineLevel="0" collapsed="false">
      <c r="C100" s="0" t="s">
        <v>166</v>
      </c>
      <c r="D100" s="11" t="s">
        <v>73</v>
      </c>
      <c r="E100" s="28" t="n">
        <f aca="false">Calc_1!$E149/Thousand</f>
        <v>2.24840968815575</v>
      </c>
      <c r="F100" s="28" t="n">
        <f aca="false">Calc_2!$E149/Thousand</f>
        <v>2.24840968815575</v>
      </c>
      <c r="H100" s="28" t="n">
        <f aca="false">E100+F100</f>
        <v>4.4968193763115</v>
      </c>
    </row>
    <row r="101" customFormat="false" ht="15" hidden="false" customHeight="false" outlineLevel="0" collapsed="false">
      <c r="C101" s="30" t="s">
        <v>167</v>
      </c>
      <c r="D101" s="11" t="s">
        <v>73</v>
      </c>
      <c r="E101" s="31" t="n">
        <f aca="false">Calc_1!$F144/Thousand</f>
        <v>3.44906941037797</v>
      </c>
      <c r="F101" s="31" t="n">
        <f aca="false">Calc_2!$F144/Thousand</f>
        <v>3.44906941037797</v>
      </c>
      <c r="H101" s="31" t="n">
        <f aca="false">E101+F101</f>
        <v>6.89813882075594</v>
      </c>
      <c r="I101" s="25" t="n">
        <f aca="false">Calc_1!$F150</f>
        <v>22.8415192740263</v>
      </c>
      <c r="J101" s="25" t="n">
        <f aca="false">Calc_2!$F150</f>
        <v>22.8415192740263</v>
      </c>
    </row>
    <row r="102" customFormat="false" ht="15" hidden="false" customHeight="false" outlineLevel="0" collapsed="false">
      <c r="C102" s="0" t="s">
        <v>168</v>
      </c>
      <c r="D102" s="11" t="s">
        <v>73</v>
      </c>
      <c r="E102" s="28" t="n">
        <f aca="false">Calc_1!$E154/Thousand</f>
        <v>-1.80677268158454</v>
      </c>
      <c r="F102" s="28" t="n">
        <f aca="false">Calc_2!$E154/Thousand</f>
        <v>-1.80677268158454</v>
      </c>
      <c r="H102" s="28" t="n">
        <f aca="false">E102+F102</f>
        <v>-3.61354536316909</v>
      </c>
    </row>
    <row r="103" customFormat="false" ht="15" hidden="false" customHeight="false" outlineLevel="0" collapsed="false">
      <c r="C103" s="30" t="s">
        <v>72</v>
      </c>
      <c r="D103" s="11" t="s">
        <v>73</v>
      </c>
      <c r="E103" s="31" t="n">
        <f aca="false">Calc_1!$I153/Thousand</f>
        <v>6.54675873853232</v>
      </c>
      <c r="F103" s="31" t="n">
        <f aca="false">Calc_2!$I153/Thousand</f>
        <v>6.54675873853232</v>
      </c>
      <c r="H103" s="31" t="n">
        <f aca="false">E103+F103</f>
        <v>13.0935174770646</v>
      </c>
    </row>
    <row r="104" customFormat="false" ht="15" hidden="false" customHeight="false" outlineLevel="0" collapsed="false">
      <c r="C104" s="0" t="s">
        <v>169</v>
      </c>
      <c r="D104" s="11" t="s">
        <v>13</v>
      </c>
      <c r="E104" s="39" t="n">
        <f aca="false">Calc_1!$E156</f>
        <v>1.24970223352323</v>
      </c>
      <c r="F104" s="39" t="n">
        <f aca="false">Calc_2!$E156</f>
        <v>1.24970223352323</v>
      </c>
    </row>
    <row r="105" customFormat="false" ht="15" hidden="false" customHeight="false" outlineLevel="0" collapsed="false">
      <c r="C105" s="0" t="s">
        <v>170</v>
      </c>
      <c r="D105" s="11" t="s">
        <v>73</v>
      </c>
      <c r="E105" s="28" t="n">
        <f aca="false">Calc_1!$E157/Thousand</f>
        <v>3.32854248477583</v>
      </c>
      <c r="F105" s="28" t="n">
        <f aca="false">Calc_2!$E157/Thousand</f>
        <v>3.32854248477583</v>
      </c>
    </row>
    <row r="107" customFormat="false" ht="15" hidden="false" customHeight="false" outlineLevel="0" collapsed="false">
      <c r="A107" s="9" t="s">
        <v>13</v>
      </c>
      <c r="B107" s="9"/>
      <c r="C107" s="9" t="s">
        <v>171</v>
      </c>
      <c r="D107" s="9"/>
      <c r="E107" s="10" t="s">
        <v>9</v>
      </c>
      <c r="F107" s="10" t="s">
        <v>10</v>
      </c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</row>
    <row r="108" customFormat="false" ht="15" hidden="false" customHeight="false" outlineLevel="0" collapsed="false">
      <c r="C108" s="30" t="s">
        <v>120</v>
      </c>
      <c r="D108" s="11" t="s">
        <v>73</v>
      </c>
      <c r="E108" s="31" t="n">
        <f aca="false">Calc_1!$E183/Thousand</f>
        <v>172.735033145982</v>
      </c>
      <c r="F108" s="31" t="n">
        <f aca="false">Calc_2!$E183/Thousand</f>
        <v>172.735033145982</v>
      </c>
    </row>
    <row r="109" customFormat="false" ht="15" hidden="false" customHeight="false" outlineLevel="0" collapsed="false">
      <c r="C109" s="0" t="s">
        <v>172</v>
      </c>
      <c r="D109" s="11" t="s">
        <v>73</v>
      </c>
      <c r="E109" s="28" t="n">
        <f aca="false">Calc_1!$E162/Thousand</f>
        <v>245</v>
      </c>
      <c r="F109" s="28" t="n">
        <f aca="false">Calc_2!$E162/Thousand</f>
        <v>245</v>
      </c>
    </row>
    <row r="110" customFormat="false" ht="15" hidden="false" customHeight="false" outlineLevel="0" collapsed="false">
      <c r="C110" s="0" t="s">
        <v>173</v>
      </c>
      <c r="D110" s="11" t="s">
        <v>73</v>
      </c>
      <c r="E110" s="28" t="n">
        <f aca="false">Calc_1!$F162/Thousand</f>
        <v>-3.83908122210466</v>
      </c>
      <c r="F110" s="28" t="n">
        <f aca="false">Calc_2!$F162/Thousand</f>
        <v>-3.83908122210466</v>
      </c>
    </row>
    <row r="111" customFormat="false" ht="15" hidden="false" customHeight="false" outlineLevel="0" collapsed="false">
      <c r="C111" s="0" t="s">
        <v>174</v>
      </c>
      <c r="D111" s="11" t="s">
        <v>73</v>
      </c>
      <c r="E111" s="28" t="n">
        <f aca="false">Calc_1!$E164/Thousand</f>
        <v>99.3360596347059</v>
      </c>
      <c r="F111" s="28" t="n">
        <f aca="false">Calc_2!$E164/Thousand</f>
        <v>99.3360596347059</v>
      </c>
    </row>
    <row r="112" customFormat="false" ht="15" hidden="false" customHeight="false" outlineLevel="0" collapsed="false">
      <c r="C112" s="0" t="s">
        <v>175</v>
      </c>
      <c r="D112" s="11" t="s">
        <v>73</v>
      </c>
      <c r="E112" s="28" t="n">
        <f aca="false">Calc_1!$F170/Thousand</f>
        <v>121.881251129122</v>
      </c>
      <c r="F112" s="28" t="n">
        <f aca="false">Calc_2!$F170/Thousand</f>
        <v>121.881251129122</v>
      </c>
    </row>
    <row r="113" customFormat="false" ht="15" hidden="false" customHeight="false" outlineLevel="0" collapsed="false">
      <c r="C113" s="0" t="s">
        <v>176</v>
      </c>
      <c r="D113" s="11" t="s">
        <v>73</v>
      </c>
      <c r="E113" s="28" t="n">
        <f aca="false">Calc_1!$I171/Thousand</f>
        <v>48.4822776178466</v>
      </c>
      <c r="F113" s="28" t="n">
        <f aca="false">Calc_2!$I171/Thousand</f>
        <v>48.4822776178466</v>
      </c>
    </row>
    <row r="114" customFormat="false" ht="15" hidden="false" customHeight="false" outlineLevel="0" collapsed="false">
      <c r="C114" s="0" t="s">
        <v>177</v>
      </c>
      <c r="D114" s="11" t="s">
        <v>13</v>
      </c>
      <c r="E114" s="39" t="n">
        <f aca="false">Calc_1!$E173</f>
        <v>1.66053073086095</v>
      </c>
      <c r="F114" s="39" t="n">
        <f aca="false">Calc_2!$E173</f>
        <v>1.66053073086095</v>
      </c>
    </row>
    <row r="116" customFormat="false" ht="15" hidden="false" customHeight="false" outlineLevel="0" collapsed="false">
      <c r="A116" s="9" t="s">
        <v>13</v>
      </c>
      <c r="B116" s="9"/>
      <c r="C116" s="9" t="s">
        <v>178</v>
      </c>
      <c r="D116" s="9"/>
      <c r="E116" s="10" t="s">
        <v>9</v>
      </c>
      <c r="F116" s="10" t="s">
        <v>10</v>
      </c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</row>
    <row r="117" customFormat="false" ht="15" hidden="false" customHeight="false" outlineLevel="0" collapsed="false">
      <c r="C117" s="0" t="s">
        <v>179</v>
      </c>
      <c r="D117" s="11" t="s">
        <v>13</v>
      </c>
      <c r="E117" s="39" t="n">
        <f aca="false">Calc_1!$E193</f>
        <v>4.59742181090224</v>
      </c>
      <c r="F117" s="39" t="n">
        <f aca="false">Calc_2!$E193</f>
        <v>4.59742181090224</v>
      </c>
    </row>
    <row r="118" customFormat="false" ht="15" hidden="false" customHeight="false" outlineLevel="0" collapsed="false">
      <c r="C118" s="0" t="s">
        <v>180</v>
      </c>
      <c r="D118" s="11" t="s">
        <v>13</v>
      </c>
      <c r="E118" s="39" t="n">
        <f aca="false">Calc_1!$E195</f>
        <v>1.26316018482958</v>
      </c>
      <c r="F118" s="39" t="n">
        <f aca="false">Calc_2!$E195</f>
        <v>1.26316018482958</v>
      </c>
    </row>
    <row r="120" customFormat="false" ht="15" hidden="false" customHeight="false" outlineLevel="0" collapsed="false">
      <c r="A120" s="9" t="s">
        <v>13</v>
      </c>
      <c r="B120" s="9"/>
      <c r="C120" s="9" t="s">
        <v>181</v>
      </c>
      <c r="D120" s="9"/>
      <c r="E120" s="10" t="s">
        <v>12</v>
      </c>
      <c r="F120" s="10"/>
      <c r="G120" s="9"/>
      <c r="H120" s="10" t="str">
        <f aca="false">Inputs!H$7</f>
        <v>Base</v>
      </c>
      <c r="I120" s="10" t="str">
        <f aca="false">Inputs!I$7</f>
        <v>Overbuild built</v>
      </c>
      <c r="J120" s="10" t="str">
        <f aca="false">Inputs!J$7</f>
        <v>Full PB call</v>
      </c>
      <c r="K120" s="10" t="str">
        <f aca="false">Inputs!K$7</f>
        <v>Freeze off</v>
      </c>
      <c r="L120" s="10" t="str">
        <f aca="false">Inputs!L$7</f>
        <v>Low premium</v>
      </c>
      <c r="M120" s="10" t="str">
        <f aca="false">Inputs!M$7</f>
        <v>ÖSZ-4 on wind</v>
      </c>
      <c r="N120" s="10" t="str">
        <f aca="false">Inputs!N$7</f>
        <v>Nothing delivered</v>
      </c>
      <c r="O120" s="9"/>
      <c r="P120" s="9"/>
      <c r="Q120" s="9"/>
      <c r="R120" s="9"/>
    </row>
    <row r="121" customFormat="false" ht="15" hidden="false" customHeight="false" outlineLevel="0" collapsed="false">
      <c r="C121" s="0" t="s">
        <v>182</v>
      </c>
      <c r="D121" s="11" t="s">
        <v>70</v>
      </c>
      <c r="E121" s="14" t="n">
        <f aca="false">Calc_1!$E41</f>
        <v>85</v>
      </c>
      <c r="H121" s="15" t="n">
        <v>85</v>
      </c>
      <c r="I121" s="15" t="n">
        <v>85</v>
      </c>
      <c r="J121" s="15" t="n">
        <v>85</v>
      </c>
      <c r="K121" s="15" t="n">
        <v>85</v>
      </c>
      <c r="L121" s="15" t="n">
        <v>85</v>
      </c>
      <c r="M121" s="15" t="n">
        <v>80.5</v>
      </c>
      <c r="N121" s="15" t="n">
        <v>85</v>
      </c>
    </row>
    <row r="122" customFormat="false" ht="15" hidden="false" customHeight="false" outlineLevel="0" collapsed="false">
      <c r="C122" s="0" t="s">
        <v>183</v>
      </c>
      <c r="D122" s="11" t="s">
        <v>70</v>
      </c>
      <c r="E122" s="14" t="n">
        <f aca="false">Calc_2!$E41</f>
        <v>85</v>
      </c>
      <c r="H122" s="15" t="n">
        <v>85</v>
      </c>
      <c r="I122" s="15" t="n">
        <v>85</v>
      </c>
      <c r="J122" s="15" t="n">
        <v>85</v>
      </c>
      <c r="K122" s="15" t="n">
        <v>85</v>
      </c>
      <c r="L122" s="15" t="n">
        <v>85</v>
      </c>
      <c r="M122" s="15" t="n">
        <v>80.5</v>
      </c>
      <c r="N122" s="15" t="n">
        <v>85</v>
      </c>
    </row>
    <row r="123" customFormat="false" ht="15" hidden="false" customHeight="false" outlineLevel="0" collapsed="false">
      <c r="C123" s="0" t="s">
        <v>184</v>
      </c>
      <c r="D123" s="11" t="s">
        <v>73</v>
      </c>
      <c r="E123" s="28" t="n">
        <f aca="false">Calc_1!$I153/Thousand</f>
        <v>6.54675873853232</v>
      </c>
      <c r="H123" s="15" t="n">
        <v>6.54675873853232</v>
      </c>
      <c r="I123" s="15" t="n">
        <v>6.54675873853232</v>
      </c>
      <c r="J123" s="15" t="n">
        <v>6.54675873853232</v>
      </c>
      <c r="K123" s="15" t="n">
        <v>6.87295703790594</v>
      </c>
      <c r="L123" s="15" t="n">
        <v>3.04675873853231</v>
      </c>
      <c r="M123" s="15" t="n">
        <v>6.54675873853232</v>
      </c>
      <c r="N123" s="15" t="n">
        <v>6.54675873853232</v>
      </c>
    </row>
    <row r="124" customFormat="false" ht="15" hidden="false" customHeight="false" outlineLevel="0" collapsed="false">
      <c r="C124" s="0" t="s">
        <v>185</v>
      </c>
      <c r="D124" s="11" t="s">
        <v>73</v>
      </c>
      <c r="E124" s="28" t="n">
        <f aca="false">Calc_2!$I153/Thousand</f>
        <v>6.54675873853232</v>
      </c>
      <c r="H124" s="15" t="n">
        <v>6.54675873853232</v>
      </c>
      <c r="I124" s="15" t="n">
        <v>6.54675873853232</v>
      </c>
      <c r="J124" s="15" t="n">
        <v>6.54675873853232</v>
      </c>
      <c r="K124" s="15" t="n">
        <v>6.87295703790594</v>
      </c>
      <c r="L124" s="15" t="n">
        <v>3.04675873853231</v>
      </c>
      <c r="M124" s="15" t="n">
        <v>6.54675873853232</v>
      </c>
      <c r="N124" s="15" t="n">
        <v>6.54675873853232</v>
      </c>
    </row>
    <row r="125" customFormat="false" ht="15" hidden="false" customHeight="false" outlineLevel="0" collapsed="false">
      <c r="C125" s="0" t="s">
        <v>186</v>
      </c>
      <c r="D125" s="11" t="s">
        <v>35</v>
      </c>
      <c r="E125" s="26" t="n">
        <f aca="false">Calc_1!$E172</f>
        <v>0.339207407992561</v>
      </c>
      <c r="H125" s="29" t="n">
        <v>0.339207407992561</v>
      </c>
      <c r="I125" s="29" t="n">
        <v>0.513549105607292</v>
      </c>
      <c r="J125" s="29" t="n">
        <v>0.317836478854976</v>
      </c>
      <c r="K125" s="29" t="n">
        <v>0.342346888525294</v>
      </c>
      <c r="L125" s="29" t="n">
        <v>0.339207407992561</v>
      </c>
      <c r="M125" s="29" t="n">
        <v>0.339207407992561</v>
      </c>
      <c r="N125" s="29" t="n">
        <v>0.508514693618435</v>
      </c>
    </row>
    <row r="126" customFormat="false" ht="15" hidden="false" customHeight="false" outlineLevel="0" collapsed="false">
      <c r="C126" s="0" t="s">
        <v>187</v>
      </c>
      <c r="D126" s="11" t="s">
        <v>35</v>
      </c>
      <c r="E126" s="26" t="n">
        <f aca="false">Calc_2!$E172</f>
        <v>0.339207407992561</v>
      </c>
      <c r="H126" s="29" t="n">
        <v>0.339207407992561</v>
      </c>
      <c r="I126" s="29" t="n">
        <v>0.513549105607292</v>
      </c>
      <c r="J126" s="29" t="n">
        <v>0.317836478854976</v>
      </c>
      <c r="K126" s="29" t="n">
        <v>0.342346888525294</v>
      </c>
      <c r="L126" s="29" t="n">
        <v>0.339207407992561</v>
      </c>
      <c r="M126" s="29" t="n">
        <v>0.339207407992561</v>
      </c>
      <c r="N126" s="29" t="n">
        <v>0.508514693618435</v>
      </c>
    </row>
    <row r="127" customFormat="false" ht="15" hidden="false" customHeight="false" outlineLevel="0" collapsed="false">
      <c r="C127" s="0" t="s">
        <v>188</v>
      </c>
      <c r="D127" s="11" t="s">
        <v>35</v>
      </c>
      <c r="E127" s="26" t="n">
        <f aca="false">Calc_1!$E192</f>
        <v>0.0887506658196496</v>
      </c>
      <c r="H127" s="29" t="n">
        <v>0.0887506658196496</v>
      </c>
      <c r="I127" s="29" t="n">
        <v>0.10946601029228</v>
      </c>
      <c r="J127" s="29" t="n">
        <v>0.0846861685089813</v>
      </c>
      <c r="K127" s="29" t="n">
        <v>0.0891761508900598</v>
      </c>
      <c r="L127" s="29" t="n">
        <v>0.0901324728589762</v>
      </c>
      <c r="M127" s="29" t="n">
        <v>0.0887506658196496</v>
      </c>
      <c r="N127" s="29" t="n">
        <v>0.120651641354488</v>
      </c>
    </row>
    <row r="128" customFormat="false" ht="15" hidden="false" customHeight="false" outlineLevel="0" collapsed="false">
      <c r="C128" s="0" t="s">
        <v>189</v>
      </c>
      <c r="D128" s="11" t="s">
        <v>35</v>
      </c>
      <c r="E128" s="26" t="n">
        <f aca="false">Calc_2!$E192</f>
        <v>0.0887506658196496</v>
      </c>
      <c r="H128" s="29" t="n">
        <v>0.0887506658196496</v>
      </c>
      <c r="I128" s="29" t="n">
        <v>0.10946601029228</v>
      </c>
      <c r="J128" s="29" t="n">
        <v>0.0846861685089813</v>
      </c>
      <c r="K128" s="29" t="n">
        <v>0.0891761508900598</v>
      </c>
      <c r="L128" s="29" t="n">
        <v>0.0901324728589762</v>
      </c>
      <c r="M128" s="29" t="n">
        <v>0.0887506658196496</v>
      </c>
      <c r="N128" s="29" t="n">
        <v>0.120651641354488</v>
      </c>
    </row>
    <row r="129" customFormat="false" ht="15" hidden="false" customHeight="false" outlineLevel="0" collapsed="false">
      <c r="C129" s="0" t="s">
        <v>190</v>
      </c>
      <c r="D129" s="11" t="s">
        <v>73</v>
      </c>
      <c r="E129" s="28" t="n">
        <f aca="false">Calc_1!$E194/Thousand</f>
        <v>8.14180305533397</v>
      </c>
      <c r="H129" s="15" t="n">
        <v>8.14180305533397</v>
      </c>
      <c r="I129" s="15" t="n">
        <v>35.0944391185876</v>
      </c>
      <c r="J129" s="15" t="n">
        <v>4.49171336570258</v>
      </c>
      <c r="K129" s="15" t="n">
        <v>8.50454367978792</v>
      </c>
      <c r="L129" s="15" t="n">
        <v>9.30942917848671</v>
      </c>
      <c r="M129" s="15" t="n">
        <v>8.14180305533397</v>
      </c>
      <c r="N129" s="15" t="n">
        <v>33.0745391842743</v>
      </c>
    </row>
    <row r="130" customFormat="false" ht="15" hidden="false" customHeight="false" outlineLevel="0" collapsed="false">
      <c r="C130" s="0" t="s">
        <v>191</v>
      </c>
      <c r="D130" s="11" t="s">
        <v>73</v>
      </c>
      <c r="E130" s="28" t="n">
        <f aca="false">Calc_2!$E194/Thousand</f>
        <v>8.14180305533397</v>
      </c>
      <c r="H130" s="15" t="n">
        <v>8.14180305533397</v>
      </c>
      <c r="I130" s="15" t="n">
        <v>35.0944391185876</v>
      </c>
      <c r="J130" s="15" t="n">
        <v>4.49171336570258</v>
      </c>
      <c r="K130" s="15" t="n">
        <v>8.50454367978792</v>
      </c>
      <c r="L130" s="15" t="n">
        <v>9.30942917848671</v>
      </c>
      <c r="M130" s="15" t="n">
        <v>8.14180305533397</v>
      </c>
      <c r="N130" s="15" t="n">
        <v>33.0745391842743</v>
      </c>
    </row>
    <row r="131" customFormat="false" ht="15" hidden="false" customHeight="false" outlineLevel="0" collapsed="false">
      <c r="C131" s="0" t="s">
        <v>192</v>
      </c>
      <c r="D131" s="11" t="s">
        <v>73</v>
      </c>
      <c r="E131" s="28" t="n">
        <f aca="false">Calc_1!$E188/Thousand</f>
        <v>1.41821917808219</v>
      </c>
      <c r="H131" s="15" t="n">
        <v>1.41821917808219</v>
      </c>
      <c r="I131" s="15" t="n">
        <v>0</v>
      </c>
      <c r="J131" s="15" t="n">
        <v>6.99356164383562</v>
      </c>
      <c r="K131" s="15" t="n">
        <v>1.41821917808219</v>
      </c>
      <c r="L131" s="15" t="n">
        <v>1.41821917808219</v>
      </c>
      <c r="M131" s="15" t="n">
        <v>1.41821917808219</v>
      </c>
      <c r="N131" s="15" t="n">
        <v>6.99356164383562</v>
      </c>
    </row>
    <row r="132" customFormat="false" ht="15" hidden="false" customHeight="false" outlineLevel="0" collapsed="false">
      <c r="C132" s="0" t="s">
        <v>193</v>
      </c>
      <c r="D132" s="11" t="s">
        <v>73</v>
      </c>
      <c r="E132" s="28" t="n">
        <f aca="false">Calc_2!$E188/Thousand</f>
        <v>1.41821917808219</v>
      </c>
      <c r="H132" s="15" t="n">
        <v>1.41821917808219</v>
      </c>
      <c r="I132" s="15" t="n">
        <v>0</v>
      </c>
      <c r="J132" s="15" t="n">
        <v>6.99356164383562</v>
      </c>
      <c r="K132" s="15" t="n">
        <v>1.41821917808219</v>
      </c>
      <c r="L132" s="15" t="n">
        <v>1.41821917808219</v>
      </c>
      <c r="M132" s="15" t="n">
        <v>1.41821917808219</v>
      </c>
      <c r="N132" s="15" t="n">
        <v>6.99356164383562</v>
      </c>
    </row>
    <row r="133" customFormat="false" ht="15" hidden="false" customHeight="false" outlineLevel="0" collapsed="false">
      <c r="C133" s="0" t="s">
        <v>194</v>
      </c>
      <c r="D133" s="11" t="s">
        <v>73</v>
      </c>
      <c r="E133" s="28" t="n">
        <f aca="false">Calc_1!$F142/Thousand</f>
        <v>7.49469896051916</v>
      </c>
      <c r="H133" s="15" t="n">
        <v>7.49469896051916</v>
      </c>
      <c r="I133" s="15" t="n">
        <v>7.49469896051916</v>
      </c>
      <c r="J133" s="15" t="n">
        <v>7.49469896051916</v>
      </c>
      <c r="K133" s="15" t="n">
        <v>5.94137372540667</v>
      </c>
      <c r="L133" s="15" t="n">
        <v>2.49469896051917</v>
      </c>
      <c r="M133" s="15" t="n">
        <v>7.49469896051916</v>
      </c>
      <c r="N133" s="15" t="n">
        <v>7.49469896051916</v>
      </c>
    </row>
    <row r="134" customFormat="false" ht="15" hidden="false" customHeight="false" outlineLevel="0" collapsed="false">
      <c r="C134" s="0" t="s">
        <v>195</v>
      </c>
      <c r="D134" s="11" t="s">
        <v>73</v>
      </c>
      <c r="E134" s="28" t="n">
        <f aca="false">Calc_2!$F142/Thousand</f>
        <v>7.49469896051916</v>
      </c>
      <c r="H134" s="15" t="n">
        <v>7.49469896051916</v>
      </c>
      <c r="I134" s="15" t="n">
        <v>7.49469896051916</v>
      </c>
      <c r="J134" s="15" t="n">
        <v>7.49469896051916</v>
      </c>
      <c r="K134" s="15" t="n">
        <v>5.94137372540667</v>
      </c>
      <c r="L134" s="15" t="n">
        <v>2.49469896051917</v>
      </c>
      <c r="M134" s="15" t="n">
        <v>7.49469896051916</v>
      </c>
      <c r="N134" s="15" t="n">
        <v>7.49469896051916</v>
      </c>
    </row>
    <row r="135" customFormat="false" ht="15" hidden="false" customHeight="false" outlineLevel="0" collapsed="false">
      <c r="C135" s="0" t="s">
        <v>196</v>
      </c>
      <c r="D135" s="11" t="s">
        <v>73</v>
      </c>
      <c r="E135" s="28" t="n">
        <f aca="false">Calc_1!$E183/Thousand</f>
        <v>172.735033145982</v>
      </c>
      <c r="H135" s="15" t="n">
        <v>172.735033145982</v>
      </c>
      <c r="I135" s="15" t="n">
        <v>226.41436300138</v>
      </c>
      <c r="J135" s="15" t="n">
        <v>172.735033145982</v>
      </c>
      <c r="K135" s="15" t="n">
        <v>172.735033145982</v>
      </c>
      <c r="L135" s="15" t="n">
        <v>172.735033145982</v>
      </c>
      <c r="M135" s="15" t="n">
        <v>172.735033145982</v>
      </c>
      <c r="N135" s="15" t="n">
        <v>133.959264581938</v>
      </c>
    </row>
    <row r="136" customFormat="false" ht="15" hidden="false" customHeight="false" outlineLevel="0" collapsed="false">
      <c r="C136" s="0" t="s">
        <v>197</v>
      </c>
      <c r="D136" s="11" t="s">
        <v>73</v>
      </c>
      <c r="E136" s="28" t="n">
        <f aca="false">Calc_2!$E183/Thousand</f>
        <v>172.735033145982</v>
      </c>
      <c r="H136" s="15" t="n">
        <v>172.735033145982</v>
      </c>
      <c r="I136" s="15" t="n">
        <v>226.41436300138</v>
      </c>
      <c r="J136" s="15" t="n">
        <v>172.735033145982</v>
      </c>
      <c r="K136" s="15" t="n">
        <v>172.735033145982</v>
      </c>
      <c r="L136" s="15" t="n">
        <v>172.735033145982</v>
      </c>
      <c r="M136" s="15" t="n">
        <v>172.735033145982</v>
      </c>
      <c r="N136" s="15" t="n">
        <v>133.959264581938</v>
      </c>
    </row>
    <row r="138" customFormat="false" ht="15" hidden="false" customHeight="false" outlineLevel="0" collapsed="false">
      <c r="C138" s="40" t="s">
        <v>198</v>
      </c>
    </row>
  </sheetData>
  <conditionalFormatting sqref="E70:F70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71:F71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conditionalFormatting sqref="E8">
    <cfRule type="cellIs" priority="6" operator="equal" aboveAverage="0" equalAverage="0" bottom="0" percent="0" rank="0" text="" dxfId="0">
      <formula>"OK"</formula>
    </cfRule>
    <cfRule type="cellIs" priority="7" operator="equal" aboveAverage="0" equalAverage="0" bottom="0" percent="0" rank="0" text="" dxfId="1">
      <formula>"CHECK"</formula>
    </cfRule>
  </conditionalFormatting>
  <dataValidations count="7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E22:F22" type="list">
      <formula1>"0,1"</formula1>
      <formula2>0</formula2>
    </dataValidation>
    <dataValidation allowBlank="false" errorStyle="stop" operator="between" showDropDown="false" showErrorMessage="false" showInputMessage="false" sqref="E87:F87" type="list">
      <formula1>Period_Ends</formula1>
      <formula2>0</formula2>
    </dataValidation>
    <dataValidation allowBlank="false" errorStyle="stop" operator="between" showDropDown="false" showErrorMessage="false" showInputMessage="false" sqref="V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P12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15" min="8" style="0" width="12"/>
    <col collapsed="false" customWidth="true" hidden="false" outlineLevel="0" max="16" min="16" style="0" width="2"/>
    <col collapsed="false" customWidth="false" hidden="true" outlineLevel="1" max="16384" min="17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Bora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customFormat="false" ht="19.7" hidden="false" customHeight="false" outlineLevel="0" collapsed="false"/>
    <row r="4" customFormat="false" ht="15" hidden="false" customHeight="false" outlineLevel="0" collapsed="false">
      <c r="B4" s="0" t="s">
        <v>199</v>
      </c>
      <c r="D4" s="0" t="s">
        <v>200</v>
      </c>
      <c r="F4" s="41" t="str">
        <f aca="false">Scenario_Name</f>
        <v>Base</v>
      </c>
    </row>
    <row r="5" customFormat="false" ht="15" hidden="false" customHeight="false" outlineLevel="0" collapsed="false">
      <c r="B5" s="0" t="s">
        <v>201</v>
      </c>
      <c r="F5" s="42" t="n">
        <f aca="false">MATCH(Scenario_Name,Scenario_Names,0)</f>
        <v>1</v>
      </c>
    </row>
    <row r="7" customFormat="false" ht="15" hidden="false" customHeight="false" outlineLevel="0" collapsed="false">
      <c r="B7" s="7" t="s">
        <v>202</v>
      </c>
      <c r="C7" s="7" t="s">
        <v>8</v>
      </c>
      <c r="D7" s="7" t="s">
        <v>203</v>
      </c>
      <c r="F7" s="8" t="s">
        <v>12</v>
      </c>
      <c r="H7" s="43" t="s">
        <v>30</v>
      </c>
      <c r="I7" s="43" t="s">
        <v>74</v>
      </c>
      <c r="J7" s="43" t="s">
        <v>204</v>
      </c>
      <c r="K7" s="43" t="s">
        <v>205</v>
      </c>
      <c r="L7" s="43" t="s">
        <v>206</v>
      </c>
      <c r="M7" s="43" t="s">
        <v>207</v>
      </c>
      <c r="N7" s="43" t="s">
        <v>208</v>
      </c>
      <c r="O7" s="8"/>
    </row>
    <row r="10" customFormat="false" ht="15" hidden="false" customHeight="false" outlineLevel="0" collapsed="false">
      <c r="A10" s="9" t="s">
        <v>13</v>
      </c>
      <c r="B10" s="9"/>
      <c r="C10" s="9" t="s">
        <v>209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</row>
    <row r="11" customFormat="false" ht="15" hidden="false" customHeight="false" outlineLevel="0" collapsed="false">
      <c r="B11" s="0" t="s">
        <v>210</v>
      </c>
      <c r="C11" s="11" t="s">
        <v>211</v>
      </c>
      <c r="D11" s="13" t="s">
        <v>212</v>
      </c>
      <c r="F11" s="43" t="n">
        <v>1000</v>
      </c>
    </row>
    <row r="12" customFormat="false" ht="15" hidden="false" customHeight="false" outlineLevel="0" collapsed="false">
      <c r="B12" s="0" t="s">
        <v>213</v>
      </c>
      <c r="C12" s="11" t="s">
        <v>211</v>
      </c>
      <c r="D12" s="13" t="s">
        <v>212</v>
      </c>
      <c r="F12" s="43" t="n">
        <v>1000000</v>
      </c>
    </row>
    <row r="13" customFormat="false" ht="15" hidden="false" customHeight="false" outlineLevel="0" collapsed="false">
      <c r="B13" s="0" t="s">
        <v>214</v>
      </c>
      <c r="C13" s="11" t="s">
        <v>215</v>
      </c>
      <c r="D13" s="13" t="s">
        <v>216</v>
      </c>
      <c r="F13" s="43" t="n">
        <v>365</v>
      </c>
    </row>
    <row r="14" customFormat="false" ht="15" hidden="false" customHeight="false" outlineLevel="0" collapsed="false">
      <c r="B14" s="0" t="s">
        <v>217</v>
      </c>
      <c r="C14" s="11" t="s">
        <v>218</v>
      </c>
      <c r="F14" s="43" t="n">
        <v>12</v>
      </c>
    </row>
    <row r="15" customFormat="false" ht="15" hidden="false" customHeight="false" outlineLevel="0" collapsed="false">
      <c r="B15" s="0" t="s">
        <v>219</v>
      </c>
      <c r="C15" s="11" t="s">
        <v>218</v>
      </c>
      <c r="D15" s="13" t="s">
        <v>220</v>
      </c>
      <c r="F15" s="43" t="n">
        <v>3</v>
      </c>
    </row>
    <row r="16" customFormat="false" ht="15" hidden="false" customHeight="false" outlineLevel="0" collapsed="false">
      <c r="B16" s="0" t="s">
        <v>221</v>
      </c>
      <c r="C16" s="11" t="s">
        <v>211</v>
      </c>
      <c r="D16" s="13" t="s">
        <v>222</v>
      </c>
      <c r="F16" s="43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223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</row>
    <row r="19" customFormat="false" ht="15" hidden="false" customHeight="false" outlineLevel="0" collapsed="false">
      <c r="B19" s="0" t="s">
        <v>224</v>
      </c>
      <c r="C19" s="11" t="s">
        <v>62</v>
      </c>
      <c r="D19" s="13" t="s">
        <v>225</v>
      </c>
      <c r="F19" s="44" t="n">
        <f aca="false">IF(INDEX($H19:$O19,1,Scenario_Selected)="",$H19,INDEX($H19:$O19,1,Scenario_Selected))</f>
        <v>46204</v>
      </c>
      <c r="H19" s="4" t="n">
        <v>46204</v>
      </c>
      <c r="I19" s="4"/>
      <c r="J19" s="4"/>
      <c r="K19" s="4"/>
      <c r="L19" s="4"/>
      <c r="M19" s="4"/>
      <c r="N19" s="4"/>
    </row>
    <row r="20" customFormat="false" ht="15" hidden="false" customHeight="false" outlineLevel="0" collapsed="false">
      <c r="B20" s="0" t="s">
        <v>226</v>
      </c>
      <c r="C20" s="11" t="s">
        <v>62</v>
      </c>
      <c r="D20" s="13" t="s">
        <v>227</v>
      </c>
      <c r="F20" s="44" t="n">
        <f aca="false">IF(INDEX($H20:$O20,1,Scenario_Selected)="",$H20,INDEX($H20:$O20,1,Scenario_Selected))</f>
        <v>46234</v>
      </c>
      <c r="H20" s="4" t="n">
        <v>46234</v>
      </c>
      <c r="I20" s="4"/>
      <c r="J20" s="4"/>
      <c r="K20" s="4"/>
      <c r="L20" s="4"/>
      <c r="M20" s="4"/>
      <c r="N20" s="4"/>
    </row>
    <row r="21" customFormat="false" ht="15" hidden="false" customHeight="false" outlineLevel="0" collapsed="false">
      <c r="B21" s="0" t="s">
        <v>228</v>
      </c>
      <c r="C21" s="11" t="s">
        <v>62</v>
      </c>
      <c r="D21" s="13" t="s">
        <v>229</v>
      </c>
      <c r="F21" s="44" t="n">
        <f aca="false">IF(INDEX($H21:$O21,1,Scenario_Selected)="",$H21,INDEX($H21:$O21,1,Scenario_Selected))</f>
        <v>46321</v>
      </c>
      <c r="H21" s="4" t="n">
        <v>46321</v>
      </c>
      <c r="I21" s="4"/>
      <c r="J21" s="4"/>
      <c r="K21" s="4"/>
      <c r="L21" s="4"/>
      <c r="M21" s="4"/>
      <c r="N21" s="4"/>
    </row>
    <row r="22" customFormat="false" ht="15" hidden="false" customHeight="false" outlineLevel="0" collapsed="false">
      <c r="B22" s="0" t="s">
        <v>230</v>
      </c>
      <c r="C22" s="11" t="s">
        <v>62</v>
      </c>
      <c r="D22" s="13" t="s">
        <v>231</v>
      </c>
      <c r="F22" s="44" t="n">
        <f aca="false">IF(INDEX($H22:$O22,1,Scenario_Selected)="",$H22,INDEX($H22:$O22,1,Scenario_Selected))</f>
        <v>47118</v>
      </c>
      <c r="H22" s="4" t="n">
        <v>47118</v>
      </c>
      <c r="I22" s="4"/>
      <c r="J22" s="4"/>
      <c r="K22" s="4"/>
      <c r="L22" s="4"/>
      <c r="M22" s="4"/>
      <c r="N22" s="4"/>
    </row>
    <row r="23" customFormat="false" ht="15" hidden="false" customHeight="false" outlineLevel="0" collapsed="false">
      <c r="B23" s="0" t="s">
        <v>232</v>
      </c>
      <c r="C23" s="11" t="s">
        <v>62</v>
      </c>
      <c r="D23" s="13" t="s">
        <v>233</v>
      </c>
      <c r="F23" s="44" t="n">
        <f aca="false">IF(INDEX($H23:$O23,1,Scenario_Selected)="",$H23,INDEX($H23:$O23,1,Scenario_Selected))</f>
        <v>47391</v>
      </c>
      <c r="H23" s="4" t="n">
        <v>47391</v>
      </c>
      <c r="I23" s="4"/>
      <c r="J23" s="4"/>
      <c r="K23" s="4"/>
      <c r="L23" s="4"/>
      <c r="M23" s="4"/>
      <c r="N23" s="4"/>
    </row>
    <row r="24" customFormat="false" ht="15" hidden="false" customHeight="false" outlineLevel="0" collapsed="false">
      <c r="B24" s="0" t="s">
        <v>234</v>
      </c>
      <c r="C24" s="11" t="s">
        <v>62</v>
      </c>
      <c r="D24" s="13" t="s">
        <v>235</v>
      </c>
      <c r="F24" s="44" t="n">
        <f aca="false">IF(INDEX($H24:$O24,1,Scenario_Selected)="",$H24,INDEX($H24:$O24,1,Scenario_Selected))</f>
        <v>48121</v>
      </c>
      <c r="H24" s="4" t="n">
        <v>48121</v>
      </c>
      <c r="I24" s="4"/>
      <c r="J24" s="4"/>
      <c r="K24" s="4"/>
      <c r="L24" s="4"/>
      <c r="M24" s="4"/>
      <c r="N24" s="4"/>
    </row>
    <row r="25" customFormat="false" ht="15" hidden="false" customHeight="false" outlineLevel="0" collapsed="false">
      <c r="B25" s="0" t="s">
        <v>236</v>
      </c>
      <c r="C25" s="11" t="s">
        <v>237</v>
      </c>
      <c r="D25" s="13" t="s">
        <v>238</v>
      </c>
      <c r="F25" s="42" t="n">
        <f aca="false">IF(INDEX($H25:$O25,1,Scenario_Selected)="",$H25,INDEX($H25:$O25,1,Scenario_Selected))</f>
        <v>30</v>
      </c>
      <c r="H25" s="45" t="n">
        <v>30</v>
      </c>
      <c r="I25" s="45"/>
      <c r="J25" s="45"/>
      <c r="K25" s="45"/>
      <c r="L25" s="45"/>
      <c r="M25" s="45"/>
      <c r="N25" s="45"/>
    </row>
    <row r="26" customFormat="false" ht="15" hidden="false" customHeight="false" outlineLevel="0" collapsed="false">
      <c r="B26" s="0" t="s">
        <v>239</v>
      </c>
      <c r="C26" s="11" t="s">
        <v>62</v>
      </c>
      <c r="D26" s="13" t="s">
        <v>240</v>
      </c>
      <c r="F26" s="44" t="n">
        <f aca="false">IF(INDEX($H26:$O26,1,Scenario_Selected)="",$H26,INDEX($H26:$O26,1,Scenario_Selected))</f>
        <v>47299</v>
      </c>
      <c r="H26" s="4" t="n">
        <v>47299</v>
      </c>
      <c r="I26" s="4"/>
      <c r="J26" s="4"/>
      <c r="K26" s="4"/>
      <c r="L26" s="4"/>
      <c r="M26" s="4"/>
      <c r="N26" s="4"/>
    </row>
    <row r="27" customFormat="false" ht="15" hidden="false" customHeight="false" outlineLevel="0" collapsed="false">
      <c r="B27" s="0" t="s">
        <v>241</v>
      </c>
      <c r="C27" s="11" t="s">
        <v>62</v>
      </c>
      <c r="D27" s="13" t="s">
        <v>242</v>
      </c>
      <c r="F27" s="44" t="n">
        <f aca="false">IF(INDEX($H27:$O27,1,Scenario_Selected)="",$H27,INDEX($H27:$O27,1,Scenario_Selected))</f>
        <v>47484</v>
      </c>
      <c r="H27" s="4" t="n">
        <v>47484</v>
      </c>
      <c r="I27" s="4"/>
      <c r="J27" s="4"/>
      <c r="K27" s="4"/>
      <c r="L27" s="4"/>
      <c r="M27" s="4"/>
      <c r="N27" s="4"/>
    </row>
    <row r="28" customFormat="false" ht="15" hidden="false" customHeight="false" outlineLevel="0" collapsed="false">
      <c r="B28" s="0" t="s">
        <v>243</v>
      </c>
      <c r="C28" s="11" t="s">
        <v>41</v>
      </c>
      <c r="D28" s="13" t="s">
        <v>244</v>
      </c>
      <c r="F28" s="46" t="n">
        <f aca="false">IF(INDEX($H28:$O28,1,Scenario_Selected)="",$H28,INDEX($H28:$O28,1,Scenario_Selected))</f>
        <v>1</v>
      </c>
      <c r="H28" s="24" t="n">
        <v>1</v>
      </c>
      <c r="I28" s="24"/>
      <c r="J28" s="24"/>
      <c r="K28" s="24" t="n">
        <v>0</v>
      </c>
      <c r="L28" s="24"/>
      <c r="M28" s="24"/>
      <c r="N28" s="24"/>
    </row>
    <row r="29" customFormat="false" ht="15" hidden="false" customHeight="false" outlineLevel="0" collapsed="false">
      <c r="B29" s="0" t="s">
        <v>245</v>
      </c>
      <c r="C29" s="11" t="s">
        <v>218</v>
      </c>
      <c r="D29" s="13" t="s">
        <v>246</v>
      </c>
      <c r="F29" s="42" t="n">
        <f aca="false">IF(INDEX($H29:$O29,1,Scenario_Selected)="",$H29,INDEX($H29:$O29,1,Scenario_Selected))</f>
        <v>6</v>
      </c>
      <c r="H29" s="45" t="n">
        <v>6</v>
      </c>
      <c r="I29" s="45"/>
      <c r="J29" s="45"/>
      <c r="K29" s="45"/>
      <c r="L29" s="45"/>
      <c r="M29" s="45"/>
      <c r="N29" s="45"/>
    </row>
    <row r="31" customFormat="false" ht="15" hidden="false" customHeight="false" outlineLevel="0" collapsed="false">
      <c r="A31" s="9" t="s">
        <v>13</v>
      </c>
      <c r="B31" s="9"/>
      <c r="C31" s="9" t="s">
        <v>247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</row>
    <row r="32" customFormat="false" ht="15" hidden="false" customHeight="false" outlineLevel="0" collapsed="false">
      <c r="B32" s="0" t="s">
        <v>248</v>
      </c>
      <c r="C32" s="11" t="s">
        <v>68</v>
      </c>
      <c r="D32" s="13" t="s">
        <v>249</v>
      </c>
      <c r="F32" s="33" t="n">
        <f aca="false">IF(INDEX($H32:$O32,1,Scenario_Selected)="",$H32,INDEX($H32:$O32,1,Scenario_Selected))</f>
        <v>365</v>
      </c>
      <c r="H32" s="12" t="n">
        <v>365</v>
      </c>
      <c r="I32" s="12"/>
      <c r="J32" s="12"/>
      <c r="K32" s="12"/>
      <c r="L32" s="12"/>
      <c r="M32" s="12"/>
      <c r="N32" s="12"/>
    </row>
    <row r="33" customFormat="false" ht="15" hidden="false" customHeight="false" outlineLevel="0" collapsed="false">
      <c r="B33" s="0" t="s">
        <v>250</v>
      </c>
      <c r="C33" s="11" t="s">
        <v>35</v>
      </c>
      <c r="D33" s="13" t="s">
        <v>251</v>
      </c>
      <c r="F33" s="47" t="n">
        <f aca="false">IF(INDEX($H33:$O33,1,Scenario_Selected)="",$H33,INDEX($H33:$O33,1,Scenario_Selected))</f>
        <v>0.09</v>
      </c>
      <c r="H33" s="19" t="n">
        <v>0.09</v>
      </c>
      <c r="I33" s="19"/>
      <c r="J33" s="19"/>
      <c r="K33" s="19"/>
      <c r="L33" s="19"/>
      <c r="M33" s="19"/>
      <c r="N33" s="19"/>
    </row>
    <row r="34" customFormat="false" ht="15" hidden="false" customHeight="false" outlineLevel="0" collapsed="false">
      <c r="B34" s="0" t="s">
        <v>252</v>
      </c>
      <c r="C34" s="11" t="s">
        <v>253</v>
      </c>
      <c r="D34" s="13" t="s">
        <v>254</v>
      </c>
      <c r="F34" s="33" t="n">
        <f aca="false">IF(INDEX($H34:$O34,1,Scenario_Selected)="",$H34,INDEX($H34:$O34,1,Scenario_Selected))</f>
        <v>250</v>
      </c>
      <c r="H34" s="12" t="n">
        <v>250</v>
      </c>
      <c r="I34" s="12"/>
      <c r="J34" s="12"/>
      <c r="K34" s="12"/>
      <c r="L34" s="12"/>
      <c r="M34" s="12"/>
      <c r="N34" s="12"/>
    </row>
    <row r="35" customFormat="false" ht="15" hidden="false" customHeight="false" outlineLevel="0" collapsed="false">
      <c r="B35" s="0" t="s">
        <v>255</v>
      </c>
      <c r="C35" s="11" t="s">
        <v>253</v>
      </c>
      <c r="D35" s="13" t="s">
        <v>256</v>
      </c>
      <c r="F35" s="33" t="n">
        <f aca="false">IF(INDEX($H35:$O35,1,Scenario_Selected)="",$H35,INDEX($H35:$O35,1,Scenario_Selected))</f>
        <v>150</v>
      </c>
      <c r="H35" s="12" t="n">
        <v>150</v>
      </c>
      <c r="I35" s="12"/>
      <c r="J35" s="12"/>
      <c r="K35" s="12"/>
      <c r="L35" s="12"/>
      <c r="M35" s="12"/>
      <c r="N35" s="12"/>
    </row>
    <row r="36" customFormat="false" ht="15" hidden="false" customHeight="false" outlineLevel="0" collapsed="false">
      <c r="B36" s="0" t="s">
        <v>257</v>
      </c>
      <c r="C36" s="11" t="s">
        <v>253</v>
      </c>
      <c r="D36" s="13" t="s">
        <v>258</v>
      </c>
      <c r="F36" s="33" t="n">
        <f aca="false">IF(INDEX($H36:$O36,1,Scenario_Selected)="",$H36,INDEX($H36:$O36,1,Scenario_Selected))</f>
        <v>500</v>
      </c>
      <c r="H36" s="12" t="n">
        <v>500</v>
      </c>
      <c r="I36" s="12"/>
      <c r="J36" s="12"/>
      <c r="K36" s="12"/>
      <c r="L36" s="12"/>
      <c r="M36" s="12"/>
      <c r="N36" s="12"/>
    </row>
    <row r="37" customFormat="false" ht="15" hidden="false" customHeight="false" outlineLevel="0" collapsed="false">
      <c r="B37" s="0" t="s">
        <v>259</v>
      </c>
      <c r="C37" s="11" t="s">
        <v>35</v>
      </c>
      <c r="D37" s="13" t="s">
        <v>260</v>
      </c>
      <c r="F37" s="47" t="n">
        <f aca="false">IF(INDEX($H37:$O37,1,Scenario_Selected)="",$H37,INDEX($H37:$O37,1,Scenario_Selected))</f>
        <v>0.7</v>
      </c>
      <c r="H37" s="19" t="n">
        <v>0.7</v>
      </c>
      <c r="I37" s="19"/>
      <c r="J37" s="19"/>
      <c r="K37" s="19"/>
      <c r="L37" s="19"/>
      <c r="M37" s="19"/>
      <c r="N37" s="19"/>
    </row>
    <row r="38" customFormat="false" ht="15" hidden="false" customHeight="false" outlineLevel="0" collapsed="false">
      <c r="B38" s="0" t="s">
        <v>261</v>
      </c>
      <c r="C38" s="11" t="s">
        <v>27</v>
      </c>
      <c r="D38" s="13" t="s">
        <v>262</v>
      </c>
      <c r="F38" s="32" t="n">
        <f aca="false">IF(INDEX($H38:$O38,1,Scenario_Selected)="",$H38,INDEX($H38:$O38,1,Scenario_Selected))</f>
        <v>2.5</v>
      </c>
      <c r="H38" s="21" t="n">
        <v>2.5</v>
      </c>
      <c r="I38" s="21"/>
      <c r="J38" s="21"/>
      <c r="K38" s="21"/>
      <c r="L38" s="21"/>
      <c r="M38" s="21"/>
      <c r="N38" s="21"/>
    </row>
    <row r="39" customFormat="false" ht="15" hidden="false" customHeight="false" outlineLevel="0" collapsed="false">
      <c r="B39" s="0" t="s">
        <v>263</v>
      </c>
      <c r="C39" s="11" t="s">
        <v>27</v>
      </c>
      <c r="D39" s="13" t="s">
        <v>264</v>
      </c>
      <c r="F39" s="33" t="n">
        <f aca="false">IF(INDEX($H39:$O39,1,Scenario_Selected)="",$H39,INDEX($H39:$O39,1,Scenario_Selected))</f>
        <v>10</v>
      </c>
      <c r="H39" s="12" t="n">
        <v>10</v>
      </c>
      <c r="I39" s="12"/>
      <c r="J39" s="12"/>
      <c r="K39" s="12"/>
      <c r="L39" s="12"/>
      <c r="M39" s="12"/>
      <c r="N39" s="12"/>
    </row>
    <row r="41" customFormat="false" ht="15" hidden="false" customHeight="false" outlineLevel="0" collapsed="false">
      <c r="A41" s="9" t="s">
        <v>13</v>
      </c>
      <c r="B41" s="9"/>
      <c r="C41" s="9" t="s">
        <v>265</v>
      </c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</row>
    <row r="42" customFormat="false" ht="15" hidden="false" customHeight="false" outlineLevel="0" collapsed="false">
      <c r="B42" s="0" t="s">
        <v>266</v>
      </c>
      <c r="C42" s="11" t="s">
        <v>211</v>
      </c>
      <c r="D42" s="13" t="s">
        <v>267</v>
      </c>
      <c r="F42" s="43" t="n">
        <v>2</v>
      </c>
    </row>
    <row r="43" customFormat="false" ht="15" hidden="false" customHeight="false" outlineLevel="0" collapsed="false">
      <c r="B43" s="0" t="s">
        <v>268</v>
      </c>
      <c r="C43" s="11" t="s">
        <v>147</v>
      </c>
      <c r="D43" s="13" t="s">
        <v>269</v>
      </c>
      <c r="F43" s="33" t="n">
        <f aca="false">IF(INDEX($H43:$O43,1,Scenario_Selected)="",$H43,INDEX($H43:$O43,1,Scenario_Selected))</f>
        <v>100</v>
      </c>
      <c r="H43" s="12" t="n">
        <v>100</v>
      </c>
      <c r="I43" s="12"/>
      <c r="J43" s="12"/>
      <c r="K43" s="12"/>
      <c r="L43" s="12"/>
      <c r="M43" s="12"/>
      <c r="N43" s="12"/>
    </row>
    <row r="44" customFormat="false" ht="15" hidden="false" customHeight="false" outlineLevel="0" collapsed="false">
      <c r="B44" s="0" t="s">
        <v>270</v>
      </c>
      <c r="C44" s="11" t="s">
        <v>147</v>
      </c>
      <c r="D44" s="13" t="s">
        <v>271</v>
      </c>
      <c r="F44" s="33" t="n">
        <f aca="false">IF(INDEX($H44:$O44,1,Scenario_Selected)="",$H44,INDEX($H44:$O44,1,Scenario_Selected))</f>
        <v>100</v>
      </c>
      <c r="H44" s="12" t="n">
        <v>100</v>
      </c>
      <c r="I44" s="12"/>
      <c r="J44" s="12"/>
      <c r="K44" s="12"/>
      <c r="L44" s="12"/>
      <c r="M44" s="12"/>
      <c r="N44" s="12"/>
    </row>
    <row r="45" customFormat="false" ht="15" hidden="false" customHeight="false" outlineLevel="0" collapsed="false">
      <c r="B45" s="0" t="s">
        <v>272</v>
      </c>
      <c r="C45" s="11" t="s">
        <v>35</v>
      </c>
      <c r="D45" s="13" t="s">
        <v>273</v>
      </c>
      <c r="F45" s="47" t="n">
        <f aca="false">IF(INDEX($H45:$O45,1,Scenario_Selected)="",$H45,INDEX($H45:$O45,1,Scenario_Selected))</f>
        <v>0.1</v>
      </c>
      <c r="H45" s="19" t="n">
        <v>0.1</v>
      </c>
      <c r="I45" s="19"/>
      <c r="J45" s="19"/>
      <c r="K45" s="19"/>
      <c r="L45" s="19"/>
      <c r="M45" s="19"/>
      <c r="N45" s="19"/>
    </row>
    <row r="46" customFormat="false" ht="15" hidden="false" customHeight="false" outlineLevel="0" collapsed="false">
      <c r="B46" s="0" t="s">
        <v>274</v>
      </c>
      <c r="C46" s="11" t="s">
        <v>43</v>
      </c>
      <c r="D46" s="13" t="s">
        <v>275</v>
      </c>
      <c r="F46" s="32" t="n">
        <f aca="false">IF(INDEX($H46:$O46,1,Scenario_Selected)="",$H46,INDEX($H46:$O46,1,Scenario_Selected))</f>
        <v>4</v>
      </c>
      <c r="H46" s="21" t="n">
        <v>4</v>
      </c>
      <c r="I46" s="21"/>
      <c r="J46" s="21"/>
      <c r="K46" s="21"/>
      <c r="L46" s="21"/>
      <c r="M46" s="21"/>
      <c r="N46" s="21"/>
    </row>
    <row r="47" customFormat="false" ht="15" hidden="false" customHeight="false" outlineLevel="0" collapsed="false">
      <c r="B47" s="0" t="s">
        <v>276</v>
      </c>
      <c r="C47" s="11" t="s">
        <v>41</v>
      </c>
      <c r="D47" s="13" t="s">
        <v>277</v>
      </c>
      <c r="F47" s="46" t="n">
        <f aca="false">IF(INDEX($H47:$O47,1,Scenario_Selected)="",$H47,INDEX($H47:$O47,1,Scenario_Selected))</f>
        <v>0</v>
      </c>
      <c r="H47" s="24" t="n">
        <v>0</v>
      </c>
      <c r="I47" s="24"/>
      <c r="J47" s="24"/>
      <c r="K47" s="24"/>
      <c r="L47" s="24"/>
      <c r="M47" s="24" t="n">
        <v>1</v>
      </c>
      <c r="N47" s="24"/>
    </row>
    <row r="49" customFormat="false" ht="15" hidden="false" customHeight="false" outlineLevel="0" collapsed="false">
      <c r="A49" s="9" t="s">
        <v>13</v>
      </c>
      <c r="B49" s="9"/>
      <c r="C49" s="9" t="s">
        <v>278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</row>
    <row r="50" customFormat="false" ht="15" hidden="false" customHeight="false" outlineLevel="0" collapsed="false">
      <c r="B50" s="0" t="s">
        <v>279</v>
      </c>
      <c r="C50" s="11" t="s">
        <v>280</v>
      </c>
      <c r="D50" s="13" t="s">
        <v>281</v>
      </c>
      <c r="F50" s="33" t="n">
        <f aca="false">IF(INDEX($H50:$O50,1,Scenario_Selected)="",$H50,INDEX($H50:$O50,1,Scenario_Selected))</f>
        <v>406</v>
      </c>
      <c r="H50" s="12" t="n">
        <v>406</v>
      </c>
      <c r="I50" s="12"/>
      <c r="J50" s="12"/>
      <c r="K50" s="12"/>
      <c r="L50" s="12"/>
      <c r="M50" s="12"/>
      <c r="N50" s="12"/>
    </row>
    <row r="51" customFormat="false" ht="15" hidden="false" customHeight="false" outlineLevel="0" collapsed="false">
      <c r="B51" s="0" t="s">
        <v>282</v>
      </c>
      <c r="C51" s="11" t="s">
        <v>283</v>
      </c>
      <c r="D51" s="13" t="s">
        <v>281</v>
      </c>
      <c r="F51" s="33" t="n">
        <f aca="false">IF(INDEX($H51:$O51,1,Scenario_Selected)="",$H51,INDEX($H51:$O51,1,Scenario_Selected))</f>
        <v>200</v>
      </c>
      <c r="H51" s="12" t="n">
        <v>200</v>
      </c>
      <c r="I51" s="12"/>
      <c r="J51" s="12"/>
      <c r="K51" s="12"/>
      <c r="L51" s="12"/>
      <c r="M51" s="12"/>
      <c r="N51" s="12"/>
    </row>
    <row r="52" customFormat="false" ht="15" hidden="false" customHeight="false" outlineLevel="0" collapsed="false">
      <c r="B52" s="0" t="s">
        <v>284</v>
      </c>
      <c r="C52" s="11" t="s">
        <v>62</v>
      </c>
      <c r="D52" s="13" t="s">
        <v>285</v>
      </c>
      <c r="F52" s="44" t="n">
        <f aca="false">IF(INDEX($H52:$O52,1,Scenario_Selected)="",$H52,INDEX($H52:$O52,1,Scenario_Selected))</f>
        <v>46325</v>
      </c>
      <c r="H52" s="4" t="n">
        <v>46325</v>
      </c>
      <c r="I52" s="4"/>
      <c r="J52" s="4"/>
      <c r="K52" s="4"/>
      <c r="L52" s="4"/>
      <c r="M52" s="4"/>
      <c r="N52" s="4"/>
    </row>
    <row r="53" customFormat="false" ht="15" hidden="false" customHeight="false" outlineLevel="0" collapsed="false">
      <c r="B53" s="0" t="s">
        <v>286</v>
      </c>
      <c r="C53" s="11" t="s">
        <v>287</v>
      </c>
      <c r="D53" s="13" t="s">
        <v>288</v>
      </c>
      <c r="F53" s="32" t="n">
        <f aca="false">IF(INDEX($H53:$O53,1,Scenario_Selected)="",$H53,INDEX($H53:$O53,1,Scenario_Selected))</f>
        <v>3</v>
      </c>
      <c r="H53" s="21" t="n">
        <v>3</v>
      </c>
      <c r="I53" s="21"/>
      <c r="J53" s="21"/>
      <c r="K53" s="21"/>
      <c r="L53" s="21"/>
      <c r="M53" s="21"/>
      <c r="N53" s="21"/>
    </row>
    <row r="54" customFormat="false" ht="15" hidden="false" customHeight="false" outlineLevel="0" collapsed="false">
      <c r="B54" s="0" t="s">
        <v>289</v>
      </c>
      <c r="C54" s="11" t="s">
        <v>35</v>
      </c>
      <c r="D54" s="13" t="s">
        <v>290</v>
      </c>
      <c r="F54" s="48" t="n">
        <f aca="false">IF(INDEX($H54:$O54,1,Scenario_Selected)="",$H54,INDEX($H54:$O54,1,Scenario_Selected))</f>
        <v>0.005</v>
      </c>
      <c r="H54" s="49" t="n">
        <v>0.005</v>
      </c>
      <c r="I54" s="49"/>
      <c r="J54" s="49"/>
      <c r="K54" s="49"/>
      <c r="L54" s="49"/>
      <c r="M54" s="49"/>
      <c r="N54" s="49"/>
    </row>
    <row r="55" customFormat="false" ht="15" hidden="false" customHeight="false" outlineLevel="0" collapsed="false">
      <c r="B55" s="0" t="s">
        <v>291</v>
      </c>
      <c r="C55" s="11" t="s">
        <v>62</v>
      </c>
      <c r="D55" s="13" t="s">
        <v>292</v>
      </c>
      <c r="F55" s="44" t="n">
        <f aca="false">IF(INDEX($H55:$O55,1,Scenario_Selected)="",$H55,INDEX($H55:$O55,1,Scenario_Selected))</f>
        <v>46369</v>
      </c>
      <c r="H55" s="4" t="n">
        <v>46369</v>
      </c>
      <c r="I55" s="4"/>
      <c r="J55" s="4"/>
      <c r="K55" s="4"/>
      <c r="L55" s="4"/>
      <c r="M55" s="4"/>
      <c r="N55" s="4"/>
    </row>
    <row r="56" customFormat="false" ht="15" hidden="false" customHeight="false" outlineLevel="0" collapsed="false">
      <c r="B56" s="0" t="s">
        <v>293</v>
      </c>
      <c r="C56" s="11" t="s">
        <v>215</v>
      </c>
      <c r="D56" s="13" t="s">
        <v>294</v>
      </c>
      <c r="F56" s="42" t="n">
        <f aca="false">IF(INDEX($H56:$O56,1,Scenario_Selected)="",$H56,INDEX($H56:$O56,1,Scenario_Selected))</f>
        <v>15</v>
      </c>
      <c r="H56" s="45" t="n">
        <v>15</v>
      </c>
      <c r="I56" s="45"/>
      <c r="J56" s="45"/>
      <c r="K56" s="45"/>
      <c r="L56" s="45"/>
      <c r="M56" s="45"/>
      <c r="N56" s="45"/>
    </row>
    <row r="57" customFormat="false" ht="15" hidden="false" customHeight="false" outlineLevel="0" collapsed="false">
      <c r="B57" s="0" t="s">
        <v>295</v>
      </c>
      <c r="C57" s="11" t="s">
        <v>35</v>
      </c>
      <c r="D57" s="13" t="s">
        <v>296</v>
      </c>
      <c r="F57" s="48" t="n">
        <f aca="false">IF(INDEX($H57:$O57,1,Scenario_Selected)="",$H57,INDEX($H57:$O57,1,Scenario_Selected))</f>
        <v>0.025</v>
      </c>
      <c r="H57" s="49" t="n">
        <v>0.025</v>
      </c>
      <c r="I57" s="49"/>
      <c r="J57" s="49"/>
      <c r="K57" s="49"/>
      <c r="L57" s="49"/>
      <c r="M57" s="49"/>
      <c r="N57" s="49"/>
    </row>
    <row r="58" customFormat="false" ht="15" hidden="false" customHeight="false" outlineLevel="0" collapsed="false">
      <c r="B58" s="0" t="s">
        <v>297</v>
      </c>
      <c r="C58" s="11" t="s">
        <v>62</v>
      </c>
      <c r="D58" s="13" t="s">
        <v>298</v>
      </c>
      <c r="F58" s="44" t="n">
        <f aca="false">IF(INDEX($H58:$O58,1,Scenario_Selected)="",$H58,INDEX($H58:$O58,1,Scenario_Selected))</f>
        <v>46386</v>
      </c>
      <c r="H58" s="4" t="n">
        <v>46386</v>
      </c>
      <c r="I58" s="4"/>
      <c r="J58" s="4"/>
      <c r="K58" s="4"/>
      <c r="L58" s="4"/>
      <c r="M58" s="4"/>
      <c r="N58" s="4"/>
    </row>
    <row r="59" customFormat="false" ht="15" hidden="false" customHeight="false" outlineLevel="0" collapsed="false">
      <c r="B59" s="0" t="s">
        <v>299</v>
      </c>
      <c r="C59" s="11" t="s">
        <v>300</v>
      </c>
      <c r="D59" s="13" t="s">
        <v>301</v>
      </c>
      <c r="F59" s="32" t="n">
        <f aca="false">IF(INDEX($H59:$O59,1,Scenario_Selected)="",$H59,INDEX($H59:$O59,1,Scenario_Selected))</f>
        <v>4.5</v>
      </c>
      <c r="H59" s="21" t="n">
        <v>4.5</v>
      </c>
      <c r="I59" s="21"/>
      <c r="J59" s="21"/>
      <c r="K59" s="21"/>
      <c r="L59" s="21"/>
      <c r="M59" s="21"/>
      <c r="N59" s="21"/>
    </row>
    <row r="60" customFormat="false" ht="15" hidden="false" customHeight="false" outlineLevel="0" collapsed="false">
      <c r="B60" s="0" t="s">
        <v>302</v>
      </c>
      <c r="C60" s="11" t="s">
        <v>62</v>
      </c>
      <c r="D60" s="13" t="s">
        <v>303</v>
      </c>
      <c r="F60" s="44" t="n">
        <f aca="false">IF(INDEX($H60:$O60,1,Scenario_Selected)="",$H60,INDEX($H60:$O60,1,Scenario_Selected))</f>
        <v>47126</v>
      </c>
      <c r="H60" s="4" t="n">
        <v>47126</v>
      </c>
      <c r="I60" s="4"/>
      <c r="J60" s="4"/>
      <c r="K60" s="4"/>
      <c r="L60" s="4"/>
      <c r="M60" s="4"/>
      <c r="N60" s="4"/>
    </row>
    <row r="61" customFormat="false" ht="15" hidden="false" customHeight="false" outlineLevel="0" collapsed="false">
      <c r="B61" s="0" t="s">
        <v>304</v>
      </c>
      <c r="C61" s="11" t="s">
        <v>287</v>
      </c>
      <c r="D61" s="13" t="s">
        <v>305</v>
      </c>
      <c r="F61" s="28" t="n">
        <f aca="false">IF(INDEX($H61:$O61,1,Scenario_Selected)="",$H61,INDEX($H61:$O61,1,Scenario_Selected))</f>
        <v>508.345804</v>
      </c>
      <c r="H61" s="18" t="n">
        <v>508.345804</v>
      </c>
      <c r="I61" s="18"/>
      <c r="J61" s="18"/>
      <c r="K61" s="18"/>
      <c r="L61" s="18"/>
      <c r="M61" s="18"/>
      <c r="N61" s="18"/>
    </row>
    <row r="62" customFormat="false" ht="15" hidden="false" customHeight="false" outlineLevel="0" collapsed="false">
      <c r="B62" s="0" t="s">
        <v>306</v>
      </c>
      <c r="C62" s="11" t="s">
        <v>300</v>
      </c>
      <c r="D62" s="13" t="s">
        <v>307</v>
      </c>
      <c r="F62" s="28" t="n">
        <f aca="false">IF(INDEX($H62:$O62,1,Scenario_Selected)="",$H62,INDEX($H62:$O62,1,Scenario_Selected))</f>
        <v>73.071306</v>
      </c>
      <c r="H62" s="18" t="n">
        <v>73.071306</v>
      </c>
      <c r="I62" s="18"/>
      <c r="J62" s="18"/>
      <c r="K62" s="18"/>
      <c r="L62" s="18"/>
      <c r="M62" s="18"/>
      <c r="N62" s="18"/>
    </row>
    <row r="63" customFormat="false" ht="15" hidden="false" customHeight="false" outlineLevel="0" collapsed="false">
      <c r="B63" s="0" t="s">
        <v>308</v>
      </c>
      <c r="C63" s="11" t="s">
        <v>62</v>
      </c>
      <c r="D63" s="13" t="s">
        <v>309</v>
      </c>
      <c r="F63" s="44" t="n">
        <f aca="false">IF(INDEX($H63:$O63,1,Scenario_Selected)="",$H63,INDEX($H63:$O63,1,Scenario_Selected))</f>
        <v>48669</v>
      </c>
      <c r="H63" s="4" t="n">
        <v>48669</v>
      </c>
      <c r="I63" s="4"/>
      <c r="J63" s="4"/>
      <c r="K63" s="4"/>
      <c r="L63" s="4"/>
      <c r="M63" s="4"/>
      <c r="N63" s="4"/>
    </row>
    <row r="64" customFormat="false" ht="15" hidden="false" customHeight="false" outlineLevel="0" collapsed="false">
      <c r="B64" s="0" t="s">
        <v>310</v>
      </c>
      <c r="C64" s="11" t="s">
        <v>35</v>
      </c>
      <c r="D64" s="13" t="s">
        <v>311</v>
      </c>
      <c r="F64" s="47" t="n">
        <f aca="false">IF(INDEX($H64:$O64,1,Scenario_Selected)="",$H64,INDEX($H64:$O64,1,Scenario_Selected))</f>
        <v>0.06</v>
      </c>
      <c r="H64" s="19" t="n">
        <v>0.06</v>
      </c>
      <c r="I64" s="19"/>
      <c r="J64" s="19"/>
      <c r="K64" s="19"/>
      <c r="L64" s="19"/>
      <c r="M64" s="19"/>
      <c r="N64" s="19"/>
    </row>
    <row r="66" customFormat="false" ht="15" hidden="false" customHeight="false" outlineLevel="0" collapsed="false">
      <c r="A66" s="9" t="s">
        <v>13</v>
      </c>
      <c r="B66" s="9"/>
      <c r="C66" s="9" t="s">
        <v>312</v>
      </c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</row>
    <row r="67" customFormat="false" ht="15" hidden="false" customHeight="false" outlineLevel="0" collapsed="false">
      <c r="B67" s="0" t="s">
        <v>313</v>
      </c>
      <c r="C67" s="11" t="s">
        <v>35</v>
      </c>
      <c r="D67" s="13" t="s">
        <v>314</v>
      </c>
      <c r="F67" s="47" t="n">
        <f aca="false">IF(INDEX($H67:$O67,1,Scenario_Selected)="",$H67,INDEX($H67:$O67,1,Scenario_Selected))</f>
        <v>0.12</v>
      </c>
      <c r="H67" s="19" t="n">
        <v>0.12</v>
      </c>
      <c r="I67" s="19"/>
      <c r="J67" s="19"/>
      <c r="K67" s="19"/>
      <c r="L67" s="19"/>
      <c r="M67" s="19"/>
      <c r="N67" s="19"/>
    </row>
    <row r="68" customFormat="false" ht="15" hidden="false" customHeight="false" outlineLevel="0" collapsed="false">
      <c r="B68" s="0" t="s">
        <v>315</v>
      </c>
      <c r="C68" s="11" t="s">
        <v>35</v>
      </c>
      <c r="D68" s="13" t="s">
        <v>316</v>
      </c>
      <c r="F68" s="47" t="n">
        <f aca="false">IF(INDEX($H68:$O68,1,Scenario_Selected)="",$H68,INDEX($H68:$O68,1,Scenario_Selected))</f>
        <v>0.06</v>
      </c>
      <c r="H68" s="19" t="n">
        <v>0.06</v>
      </c>
      <c r="I68" s="19"/>
      <c r="J68" s="19"/>
      <c r="K68" s="19"/>
      <c r="L68" s="19"/>
      <c r="M68" s="19"/>
      <c r="N68" s="19"/>
    </row>
    <row r="69" customFormat="false" ht="15" hidden="false" customHeight="false" outlineLevel="0" collapsed="false">
      <c r="B69" s="0" t="s">
        <v>317</v>
      </c>
      <c r="C69" s="11" t="s">
        <v>35</v>
      </c>
      <c r="D69" s="13" t="s">
        <v>318</v>
      </c>
      <c r="F69" s="47" t="n">
        <f aca="false">IF(INDEX($H69:$O69,1,Scenario_Selected)="",$H69,INDEX($H69:$O69,1,Scenario_Selected))</f>
        <v>0.2</v>
      </c>
      <c r="H69" s="19" t="n">
        <v>0.2</v>
      </c>
      <c r="I69" s="19"/>
      <c r="J69" s="19"/>
      <c r="K69" s="19"/>
      <c r="L69" s="19"/>
      <c r="M69" s="19"/>
      <c r="N69" s="19"/>
    </row>
    <row r="70" customFormat="false" ht="15" hidden="false" customHeight="false" outlineLevel="0" collapsed="false">
      <c r="B70" s="0" t="s">
        <v>319</v>
      </c>
      <c r="C70" s="11" t="s">
        <v>13</v>
      </c>
      <c r="D70" s="13" t="s">
        <v>320</v>
      </c>
      <c r="F70" s="50" t="n">
        <f aca="false">IF(INDEX($H70:$O70,1,Scenario_Selected)="",$H70,INDEX($H70:$O70,1,Scenario_Selected))</f>
        <v>2</v>
      </c>
      <c r="H70" s="23" t="n">
        <v>2</v>
      </c>
      <c r="I70" s="23"/>
      <c r="J70" s="23"/>
      <c r="K70" s="23"/>
      <c r="L70" s="23"/>
      <c r="M70" s="23"/>
      <c r="N70" s="23"/>
    </row>
    <row r="71" customFormat="false" ht="15" hidden="false" customHeight="false" outlineLevel="0" collapsed="false">
      <c r="B71" s="0" t="s">
        <v>321</v>
      </c>
      <c r="C71" s="11" t="s">
        <v>35</v>
      </c>
      <c r="D71" s="13" t="s">
        <v>322</v>
      </c>
      <c r="F71" s="47" t="n">
        <f aca="false">IF(INDEX($H71:$O71,1,Scenario_Selected)="",$H71,INDEX($H71:$O71,1,Scenario_Selected))</f>
        <v>0.1</v>
      </c>
      <c r="H71" s="19" t="n">
        <v>0.1</v>
      </c>
      <c r="I71" s="19"/>
      <c r="J71" s="19"/>
      <c r="K71" s="19"/>
      <c r="L71" s="19"/>
      <c r="M71" s="19"/>
      <c r="N71" s="19"/>
    </row>
    <row r="73" customFormat="false" ht="15" hidden="false" customHeight="false" outlineLevel="0" collapsed="false">
      <c r="A73" s="9" t="s">
        <v>13</v>
      </c>
      <c r="B73" s="9"/>
      <c r="C73" s="9" t="s">
        <v>323</v>
      </c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</row>
    <row r="74" customFormat="false" ht="15" hidden="false" customHeight="false" outlineLevel="0" collapsed="false">
      <c r="B74" s="0" t="s">
        <v>324</v>
      </c>
      <c r="C74" s="11" t="s">
        <v>46</v>
      </c>
      <c r="D74" s="13" t="s">
        <v>325</v>
      </c>
      <c r="F74" s="33" t="n">
        <f aca="false">IF(INDEX($H74:$O74,1,Scenario_Selected)="",$H74,INDEX($H74:$O74,1,Scenario_Selected))</f>
        <v>150</v>
      </c>
      <c r="H74" s="12" t="n">
        <v>150</v>
      </c>
      <c r="I74" s="12"/>
      <c r="J74" s="12"/>
      <c r="K74" s="12"/>
      <c r="L74" s="12" t="n">
        <v>100</v>
      </c>
      <c r="M74" s="12"/>
      <c r="N74" s="12"/>
    </row>
    <row r="75" customFormat="false" ht="15" hidden="false" customHeight="false" outlineLevel="0" collapsed="false">
      <c r="B75" s="0" t="s">
        <v>326</v>
      </c>
      <c r="C75" s="11" t="s">
        <v>35</v>
      </c>
      <c r="D75" s="13" t="s">
        <v>327</v>
      </c>
      <c r="F75" s="47" t="n">
        <f aca="false">IF(INDEX($H75:$O75,1,Scenario_Selected)="",$H75,INDEX($H75:$O75,1,Scenario_Selected))</f>
        <v>0.08</v>
      </c>
      <c r="H75" s="19" t="n">
        <v>0.08</v>
      </c>
      <c r="I75" s="19"/>
      <c r="J75" s="19"/>
      <c r="K75" s="19"/>
      <c r="L75" s="19"/>
      <c r="M75" s="19"/>
      <c r="N75" s="19"/>
    </row>
    <row r="76" customFormat="false" ht="15" hidden="false" customHeight="false" outlineLevel="0" collapsed="false">
      <c r="B76" s="0" t="s">
        <v>328</v>
      </c>
      <c r="C76" s="11" t="s">
        <v>27</v>
      </c>
      <c r="D76" s="13" t="s">
        <v>329</v>
      </c>
      <c r="F76" s="33" t="n">
        <f aca="false">IF(INDEX($H76:$O76,1,Scenario_Selected)="",$H76,INDEX($H76:$O76,1,Scenario_Selected))</f>
        <v>2450</v>
      </c>
      <c r="H76" s="12" t="n">
        <v>2450</v>
      </c>
      <c r="I76" s="12"/>
      <c r="J76" s="12"/>
      <c r="K76" s="12"/>
      <c r="L76" s="12"/>
      <c r="M76" s="12"/>
      <c r="N76" s="12"/>
    </row>
    <row r="77" customFormat="false" ht="15" hidden="false" customHeight="false" outlineLevel="0" collapsed="false">
      <c r="B77" s="0" t="s">
        <v>330</v>
      </c>
      <c r="C77" s="11" t="s">
        <v>27</v>
      </c>
      <c r="D77" s="13" t="s">
        <v>331</v>
      </c>
      <c r="F77" s="33" t="n">
        <f aca="false">IF(INDEX($H77:$O77,1,Scenario_Selected)="",$H77,INDEX($H77:$O77,1,Scenario_Selected))</f>
        <v>2100</v>
      </c>
      <c r="H77" s="12" t="n">
        <v>2100</v>
      </c>
      <c r="I77" s="12"/>
      <c r="J77" s="12"/>
      <c r="K77" s="12"/>
      <c r="L77" s="12"/>
      <c r="M77" s="12"/>
      <c r="N77" s="12"/>
    </row>
    <row r="78" customFormat="false" ht="15" hidden="false" customHeight="false" outlineLevel="0" collapsed="false">
      <c r="B78" s="0" t="s">
        <v>332</v>
      </c>
      <c r="C78" s="11" t="s">
        <v>32</v>
      </c>
      <c r="D78" s="13" t="s">
        <v>333</v>
      </c>
      <c r="F78" s="28" t="n">
        <f aca="false">IF(INDEX($H78:$O78,1,Scenario_Selected)="",$H78,INDEX($H78:$O78,1,Scenario_Selected))</f>
        <v>2</v>
      </c>
      <c r="H78" s="18" t="n">
        <v>2</v>
      </c>
      <c r="I78" s="18"/>
      <c r="J78" s="18"/>
      <c r="K78" s="18"/>
      <c r="L78" s="18"/>
      <c r="M78" s="18"/>
      <c r="N78" s="18"/>
    </row>
    <row r="79" customFormat="false" ht="15" hidden="false" customHeight="false" outlineLevel="0" collapsed="false">
      <c r="B79" s="0" t="s">
        <v>334</v>
      </c>
      <c r="C79" s="11" t="s">
        <v>35</v>
      </c>
      <c r="D79" s="13" t="s">
        <v>335</v>
      </c>
      <c r="F79" s="47" t="n">
        <f aca="false">IF(INDEX($H79:$O79,1,Scenario_Selected)="",$H79,INDEX($H79:$O79,1,Scenario_Selected))</f>
        <v>1</v>
      </c>
      <c r="H79" s="19" t="n">
        <v>1</v>
      </c>
      <c r="I79" s="19"/>
      <c r="J79" s="19"/>
      <c r="K79" s="19"/>
      <c r="L79" s="19"/>
      <c r="M79" s="19"/>
      <c r="N79" s="19"/>
    </row>
    <row r="80" customFormat="false" ht="15" hidden="false" customHeight="false" outlineLevel="0" collapsed="false">
      <c r="B80" s="0" t="s">
        <v>336</v>
      </c>
      <c r="C80" s="11" t="s">
        <v>35</v>
      </c>
      <c r="D80" s="13" t="s">
        <v>337</v>
      </c>
      <c r="F80" s="47" t="n">
        <f aca="false">IF(INDEX($H80:$O80,1,Scenario_Selected)="",$H80,INDEX($H80:$O80,1,Scenario_Selected))</f>
        <v>0.08</v>
      </c>
      <c r="H80" s="19" t="n">
        <v>0.08</v>
      </c>
      <c r="I80" s="19"/>
      <c r="J80" s="19"/>
      <c r="K80" s="19"/>
      <c r="L80" s="19"/>
      <c r="M80" s="19"/>
      <c r="N80" s="19"/>
    </row>
    <row r="82" customFormat="false" ht="15" hidden="false" customHeight="false" outlineLevel="0" collapsed="false">
      <c r="A82" s="9" t="s">
        <v>13</v>
      </c>
      <c r="B82" s="9"/>
      <c r="C82" s="9" t="s">
        <v>338</v>
      </c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</row>
    <row r="83" customFormat="false" ht="15" hidden="false" customHeight="false" outlineLevel="0" collapsed="false">
      <c r="B83" s="0" t="s">
        <v>339</v>
      </c>
      <c r="C83" s="11" t="s">
        <v>41</v>
      </c>
      <c r="D83" s="13" t="s">
        <v>340</v>
      </c>
      <c r="F83" s="46" t="n">
        <f aca="false">IF(INDEX($H83:$O83,1,Scenario_Selected)="",$H83,INDEX($H83:$O83,1,Scenario_Selected))</f>
        <v>0</v>
      </c>
      <c r="H83" s="24" t="n">
        <v>0</v>
      </c>
      <c r="I83" s="24" t="n">
        <v>1</v>
      </c>
      <c r="J83" s="24"/>
      <c r="K83" s="24"/>
      <c r="L83" s="24"/>
      <c r="M83" s="24"/>
      <c r="N83" s="24"/>
    </row>
    <row r="84" customFormat="false" ht="15" hidden="false" customHeight="false" outlineLevel="0" collapsed="false">
      <c r="B84" s="0" t="s">
        <v>341</v>
      </c>
      <c r="C84" s="11" t="s">
        <v>41</v>
      </c>
      <c r="D84" s="13" t="s">
        <v>342</v>
      </c>
      <c r="F84" s="46" t="n">
        <f aca="false">IF(INDEX($H84:$O84,1,Scenario_Selected)="",$H84,INDEX($H84:$O84,1,Scenario_Selected))</f>
        <v>1</v>
      </c>
      <c r="H84" s="24" t="n">
        <v>1</v>
      </c>
      <c r="I84" s="24"/>
      <c r="J84" s="24"/>
      <c r="K84" s="24"/>
      <c r="L84" s="24"/>
      <c r="M84" s="24"/>
      <c r="N84" s="24" t="n">
        <v>0</v>
      </c>
    </row>
    <row r="85" customFormat="false" ht="15" hidden="false" customHeight="false" outlineLevel="0" collapsed="false">
      <c r="B85" s="0" t="s">
        <v>343</v>
      </c>
      <c r="C85" s="11" t="s">
        <v>41</v>
      </c>
      <c r="D85" s="13" t="s">
        <v>344</v>
      </c>
      <c r="F85" s="46" t="n">
        <f aca="false">IF(INDEX($H85:$O85,1,Scenario_Selected)="",$H85,INDEX($H85:$O85,1,Scenario_Selected))</f>
        <v>1</v>
      </c>
      <c r="H85" s="24" t="n">
        <v>1</v>
      </c>
      <c r="I85" s="24"/>
      <c r="J85" s="24"/>
      <c r="K85" s="24"/>
      <c r="L85" s="24"/>
      <c r="M85" s="24"/>
      <c r="N85" s="24" t="n">
        <v>0</v>
      </c>
    </row>
    <row r="86" customFormat="false" ht="15" hidden="false" customHeight="false" outlineLevel="0" collapsed="false">
      <c r="B86" s="0" t="s">
        <v>345</v>
      </c>
      <c r="C86" s="11" t="s">
        <v>41</v>
      </c>
      <c r="D86" s="13" t="s">
        <v>346</v>
      </c>
      <c r="F86" s="46" t="n">
        <f aca="false">IF(INDEX($H86:$O86,1,Scenario_Selected)="",$H86,INDEX($H86:$O86,1,Scenario_Selected))</f>
        <v>1</v>
      </c>
      <c r="H86" s="24" t="n">
        <v>1</v>
      </c>
      <c r="I86" s="24"/>
      <c r="J86" s="24" t="n">
        <v>2</v>
      </c>
      <c r="K86" s="24"/>
      <c r="L86" s="24"/>
      <c r="M86" s="24"/>
      <c r="N86" s="24" t="n">
        <v>2</v>
      </c>
    </row>
    <row r="87" customFormat="false" ht="15" hidden="false" customHeight="false" outlineLevel="0" collapsed="false">
      <c r="B87" s="0" t="s">
        <v>347</v>
      </c>
      <c r="C87" s="11" t="s">
        <v>35</v>
      </c>
      <c r="D87" s="13" t="s">
        <v>348</v>
      </c>
      <c r="F87" s="47" t="n">
        <f aca="false">IF(INDEX($H87:$O87,1,Scenario_Selected)="",$H87,INDEX($H87:$O87,1,Scenario_Selected))</f>
        <v>0.05</v>
      </c>
      <c r="H87" s="19" t="n">
        <v>0.05</v>
      </c>
      <c r="I87" s="19"/>
      <c r="J87" s="19"/>
      <c r="K87" s="19"/>
      <c r="L87" s="19"/>
      <c r="M87" s="19"/>
      <c r="N87" s="19"/>
    </row>
    <row r="89" customFormat="false" ht="15" hidden="false" customHeight="false" outlineLevel="0" collapsed="false">
      <c r="A89" s="9" t="s">
        <v>13</v>
      </c>
      <c r="B89" s="9"/>
      <c r="C89" s="9" t="s">
        <v>349</v>
      </c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</row>
    <row r="90" customFormat="false" ht="15" hidden="false" customHeight="false" outlineLevel="0" collapsed="false">
      <c r="B90" s="0" t="s">
        <v>40</v>
      </c>
      <c r="C90" s="11" t="s">
        <v>41</v>
      </c>
      <c r="D90" s="13" t="s">
        <v>350</v>
      </c>
      <c r="F90" s="46" t="n">
        <f aca="false">IF(INDEX($H90:$O90,1,Scenario_Selected)="",$H90,INDEX($H90:$O90,1,Scenario_Selected))</f>
        <v>0</v>
      </c>
      <c r="H90" s="24" t="n">
        <v>0</v>
      </c>
      <c r="I90" s="24"/>
      <c r="J90" s="24"/>
      <c r="K90" s="24"/>
      <c r="L90" s="24"/>
      <c r="M90" s="24"/>
      <c r="N90" s="24"/>
    </row>
    <row r="91" customFormat="false" ht="15" hidden="false" customHeight="false" outlineLevel="0" collapsed="false">
      <c r="B91" s="0" t="s">
        <v>351</v>
      </c>
      <c r="C91" s="11" t="s">
        <v>27</v>
      </c>
      <c r="D91" s="13" t="s">
        <v>350</v>
      </c>
      <c r="F91" s="33" t="n">
        <f aca="false">IF(INDEX($H91:$O91,1,Scenario_Selected)="",$H91,INDEX($H91:$O91,1,Scenario_Selected))</f>
        <v>600</v>
      </c>
      <c r="H91" s="12" t="n">
        <v>600</v>
      </c>
      <c r="I91" s="12"/>
      <c r="J91" s="12"/>
      <c r="K91" s="12"/>
      <c r="L91" s="12"/>
      <c r="M91" s="12"/>
      <c r="N91" s="12"/>
    </row>
    <row r="92" customFormat="false" ht="15" hidden="false" customHeight="false" outlineLevel="0" collapsed="false">
      <c r="B92" s="0" t="s">
        <v>352</v>
      </c>
      <c r="C92" s="11" t="s">
        <v>27</v>
      </c>
      <c r="D92" s="13" t="s">
        <v>353</v>
      </c>
      <c r="F92" s="33" t="n">
        <f aca="false">IF(INDEX($H92:$O92,1,Scenario_Selected)="",$H92,INDEX($H92:$O92,1,Scenario_Selected))</f>
        <v>500</v>
      </c>
      <c r="H92" s="12" t="n">
        <v>500</v>
      </c>
      <c r="I92" s="12"/>
      <c r="J92" s="12"/>
      <c r="K92" s="12"/>
      <c r="L92" s="12"/>
      <c r="M92" s="12"/>
      <c r="N92" s="12"/>
    </row>
    <row r="93" customFormat="false" ht="15" hidden="false" customHeight="false" outlineLevel="0" collapsed="false">
      <c r="B93" s="0" t="s">
        <v>354</v>
      </c>
      <c r="C93" s="11" t="s">
        <v>27</v>
      </c>
      <c r="D93" s="13" t="s">
        <v>355</v>
      </c>
      <c r="F93" s="33" t="n">
        <f aca="false">IF(INDEX($H93:$O93,1,Scenario_Selected)="",$H93,INDEX($H93:$O93,1,Scenario_Selected))</f>
        <v>80</v>
      </c>
      <c r="H93" s="12" t="n">
        <v>80</v>
      </c>
      <c r="I93" s="12"/>
      <c r="J93" s="12"/>
      <c r="K93" s="12"/>
      <c r="L93" s="12"/>
      <c r="M93" s="12"/>
      <c r="N93" s="12"/>
    </row>
    <row r="94" customFormat="false" ht="15" hidden="false" customHeight="false" outlineLevel="0" collapsed="false">
      <c r="B94" s="0" t="s">
        <v>109</v>
      </c>
      <c r="C94" s="11" t="s">
        <v>27</v>
      </c>
      <c r="D94" s="13" t="s">
        <v>356</v>
      </c>
      <c r="F94" s="33" t="n">
        <f aca="false">IF(INDEX($H94:$O94,1,Scenario_Selected)="",$H94,INDEX($H94:$O94,1,Scenario_Selected))</f>
        <v>90</v>
      </c>
      <c r="H94" s="12" t="n">
        <v>90</v>
      </c>
      <c r="I94" s="12"/>
      <c r="J94" s="12"/>
      <c r="K94" s="12"/>
      <c r="L94" s="12"/>
      <c r="M94" s="12"/>
      <c r="N94" s="12"/>
    </row>
    <row r="95" customFormat="false" ht="15" hidden="false" customHeight="false" outlineLevel="0" collapsed="false">
      <c r="B95" s="0" t="s">
        <v>357</v>
      </c>
      <c r="C95" s="11" t="s">
        <v>27</v>
      </c>
      <c r="D95" s="13" t="s">
        <v>358</v>
      </c>
      <c r="F95" s="33" t="n">
        <f aca="false">IF(INDEX($H95:$O95,1,Scenario_Selected)="",$H95,INDEX($H95:$O95,1,Scenario_Selected))</f>
        <v>130</v>
      </c>
      <c r="H95" s="12" t="n">
        <v>130</v>
      </c>
      <c r="I95" s="12"/>
      <c r="J95" s="12"/>
      <c r="K95" s="12"/>
      <c r="L95" s="12"/>
      <c r="M95" s="12"/>
      <c r="N95" s="12"/>
    </row>
    <row r="96" customFormat="false" ht="15" hidden="false" customHeight="false" outlineLevel="0" collapsed="false">
      <c r="B96" s="0" t="s">
        <v>359</v>
      </c>
      <c r="C96" s="11" t="s">
        <v>27</v>
      </c>
      <c r="D96" s="13" t="s">
        <v>360</v>
      </c>
      <c r="F96" s="33" t="n">
        <f aca="false">IF(INDEX($H96:$O96,1,Scenario_Selected)="",$H96,INDEX($H96:$O96,1,Scenario_Selected))</f>
        <v>40</v>
      </c>
      <c r="H96" s="12" t="n">
        <v>40</v>
      </c>
      <c r="I96" s="12"/>
      <c r="J96" s="12"/>
      <c r="K96" s="12"/>
      <c r="L96" s="12"/>
      <c r="M96" s="12"/>
      <c r="N96" s="12"/>
    </row>
    <row r="97" customFormat="false" ht="15" hidden="false" customHeight="false" outlineLevel="0" collapsed="false">
      <c r="B97" s="0" t="s">
        <v>361</v>
      </c>
      <c r="C97" s="11" t="s">
        <v>27</v>
      </c>
      <c r="D97" s="13" t="s">
        <v>362</v>
      </c>
      <c r="F97" s="33" t="n">
        <f aca="false">IF(INDEX($H97:$O97,1,Scenario_Selected)="",$H97,INDEX($H97:$O97,1,Scenario_Selected))</f>
        <v>15</v>
      </c>
      <c r="H97" s="12" t="n">
        <v>15</v>
      </c>
      <c r="I97" s="12"/>
      <c r="J97" s="12"/>
      <c r="K97" s="12"/>
      <c r="L97" s="12"/>
      <c r="M97" s="12"/>
      <c r="N97" s="12"/>
    </row>
    <row r="98" customFormat="false" ht="15" hidden="false" customHeight="false" outlineLevel="0" collapsed="false">
      <c r="B98" s="0" t="s">
        <v>363</v>
      </c>
      <c r="C98" s="11" t="s">
        <v>253</v>
      </c>
      <c r="D98" s="13" t="s">
        <v>364</v>
      </c>
      <c r="F98" s="33" t="n">
        <f aca="false">IF(INDEX($H98:$O98,1,Scenario_Selected)="",$H98,INDEX($H98:$O98,1,Scenario_Selected))</f>
        <v>12000</v>
      </c>
      <c r="H98" s="12" t="n">
        <v>12000</v>
      </c>
      <c r="I98" s="12"/>
      <c r="J98" s="12"/>
      <c r="K98" s="12"/>
      <c r="L98" s="12"/>
      <c r="M98" s="12"/>
      <c r="N98" s="12"/>
    </row>
    <row r="99" customFormat="false" ht="15" hidden="false" customHeight="false" outlineLevel="0" collapsed="false">
      <c r="B99" s="0" t="s">
        <v>365</v>
      </c>
      <c r="C99" s="11" t="s">
        <v>253</v>
      </c>
      <c r="D99" s="13" t="s">
        <v>366</v>
      </c>
      <c r="F99" s="33" t="n">
        <f aca="false">IF(INDEX($H99:$O99,1,Scenario_Selected)="",$H99,INDEX($H99:$O99,1,Scenario_Selected))</f>
        <v>10800</v>
      </c>
      <c r="H99" s="12" t="n">
        <v>10800</v>
      </c>
      <c r="I99" s="12"/>
      <c r="J99" s="12"/>
      <c r="K99" s="12"/>
      <c r="L99" s="12"/>
      <c r="M99" s="12"/>
      <c r="N99" s="12"/>
    </row>
    <row r="100" customFormat="false" ht="15" hidden="false" customHeight="false" outlineLevel="0" collapsed="false">
      <c r="B100" s="0" t="s">
        <v>367</v>
      </c>
      <c r="C100" s="11" t="s">
        <v>35</v>
      </c>
      <c r="D100" s="13" t="s">
        <v>368</v>
      </c>
      <c r="F100" s="47" t="n">
        <f aca="false">IF(INDEX($H100:$O100,1,Scenario_Selected)="",$H100,INDEX($H100:$O100,1,Scenario_Selected))</f>
        <v>0.05</v>
      </c>
      <c r="H100" s="19" t="n">
        <v>0.05</v>
      </c>
      <c r="I100" s="19"/>
      <c r="J100" s="19"/>
      <c r="K100" s="19"/>
      <c r="L100" s="19"/>
      <c r="M100" s="19"/>
      <c r="N100" s="19"/>
    </row>
    <row r="101" customFormat="false" ht="15" hidden="false" customHeight="false" outlineLevel="0" collapsed="false">
      <c r="B101" s="0" t="s">
        <v>369</v>
      </c>
      <c r="C101" s="11" t="s">
        <v>370</v>
      </c>
      <c r="D101" s="13" t="s">
        <v>344</v>
      </c>
      <c r="F101" s="33" t="n">
        <f aca="false">IF(INDEX($H101:$O101,1,Scenario_Selected)="",$H101,INDEX($H101:$O101,1,Scenario_Selected))</f>
        <v>100</v>
      </c>
      <c r="H101" s="12" t="n">
        <v>100</v>
      </c>
      <c r="I101" s="12"/>
      <c r="J101" s="12"/>
      <c r="K101" s="12"/>
      <c r="L101" s="12"/>
      <c r="M101" s="12"/>
      <c r="N101" s="12"/>
    </row>
    <row r="103" customFormat="false" ht="15" hidden="false" customHeight="false" outlineLevel="0" collapsed="false">
      <c r="A103" s="9" t="s">
        <v>13</v>
      </c>
      <c r="B103" s="9"/>
      <c r="C103" s="9" t="s">
        <v>371</v>
      </c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</row>
    <row r="104" customFormat="false" ht="15" hidden="false" customHeight="false" outlineLevel="0" collapsed="false">
      <c r="B104" s="0" t="s">
        <v>372</v>
      </c>
      <c r="C104" s="11" t="s">
        <v>373</v>
      </c>
      <c r="D104" s="13" t="s">
        <v>374</v>
      </c>
      <c r="F104" s="33" t="n">
        <f aca="false">IF(INDEX($H104:$O104,1,Scenario_Selected)="",$H104,INDEX($H104:$O104,1,Scenario_Selected))</f>
        <v>2460</v>
      </c>
      <c r="H104" s="12" t="n">
        <v>2460</v>
      </c>
      <c r="I104" s="12"/>
      <c r="J104" s="12"/>
      <c r="K104" s="12"/>
      <c r="L104" s="12"/>
      <c r="M104" s="12"/>
      <c r="N104" s="12"/>
    </row>
    <row r="105" customFormat="false" ht="15" hidden="false" customHeight="false" outlineLevel="0" collapsed="false">
      <c r="B105" s="0" t="s">
        <v>375</v>
      </c>
      <c r="C105" s="11" t="s">
        <v>35</v>
      </c>
      <c r="D105" s="13" t="s">
        <v>376</v>
      </c>
      <c r="F105" s="47" t="n">
        <f aca="false">IF(INDEX($H105:$O105,1,Scenario_Selected)="",$H105,INDEX($H105:$O105,1,Scenario_Selected))</f>
        <v>0.02</v>
      </c>
      <c r="H105" s="19" t="n">
        <v>0.02</v>
      </c>
      <c r="I105" s="19"/>
      <c r="J105" s="19"/>
      <c r="K105" s="19"/>
      <c r="L105" s="19"/>
      <c r="M105" s="19"/>
      <c r="N105" s="19"/>
    </row>
    <row r="106" customFormat="false" ht="15" hidden="false" customHeight="false" outlineLevel="0" collapsed="false">
      <c r="B106" s="0" t="s">
        <v>377</v>
      </c>
      <c r="C106" s="11" t="s">
        <v>35</v>
      </c>
      <c r="D106" s="13" t="s">
        <v>378</v>
      </c>
      <c r="F106" s="48" t="n">
        <f aca="false">IF(INDEX($H106:$O106,1,Scenario_Selected)="",$H106,INDEX($H106:$O106,1,Scenario_Selected))</f>
        <v>0.003</v>
      </c>
      <c r="H106" s="49" t="n">
        <v>0.003</v>
      </c>
      <c r="I106" s="49"/>
      <c r="J106" s="49"/>
      <c r="K106" s="49"/>
      <c r="L106" s="49"/>
      <c r="M106" s="49"/>
      <c r="N106" s="49"/>
    </row>
    <row r="107" customFormat="false" ht="15" hidden="false" customHeight="false" outlineLevel="0" collapsed="false">
      <c r="B107" s="0" t="s">
        <v>379</v>
      </c>
      <c r="C107" s="11" t="s">
        <v>32</v>
      </c>
      <c r="D107" s="13" t="s">
        <v>350</v>
      </c>
      <c r="F107" s="32" t="n">
        <f aca="false">IF(INDEX($H107:$O107,1,Scenario_Selected)="",$H107,INDEX($H107:$O107,1,Scenario_Selected))</f>
        <v>90</v>
      </c>
      <c r="H107" s="21" t="n">
        <v>90</v>
      </c>
      <c r="I107" s="21"/>
      <c r="J107" s="21"/>
      <c r="K107" s="21"/>
      <c r="L107" s="21"/>
      <c r="M107" s="21"/>
      <c r="N107" s="21"/>
    </row>
    <row r="108" customFormat="false" ht="15" hidden="false" customHeight="false" outlineLevel="0" collapsed="false">
      <c r="B108" s="0" t="s">
        <v>380</v>
      </c>
      <c r="C108" s="11" t="s">
        <v>35</v>
      </c>
      <c r="D108" s="13" t="s">
        <v>381</v>
      </c>
      <c r="F108" s="47" t="n">
        <f aca="false">IF(INDEX($H108:$O108,1,Scenario_Selected)="",$H108,INDEX($H108:$O108,1,Scenario_Selected))</f>
        <v>0.01</v>
      </c>
      <c r="H108" s="19" t="n">
        <v>0.01</v>
      </c>
      <c r="I108" s="19"/>
      <c r="J108" s="19"/>
      <c r="K108" s="19"/>
      <c r="L108" s="19"/>
      <c r="M108" s="19"/>
      <c r="N108" s="19"/>
    </row>
    <row r="109" customFormat="false" ht="15" hidden="false" customHeight="false" outlineLevel="0" collapsed="false">
      <c r="B109" s="0" t="s">
        <v>382</v>
      </c>
      <c r="C109" s="11" t="s">
        <v>32</v>
      </c>
      <c r="D109" s="13" t="s">
        <v>383</v>
      </c>
      <c r="F109" s="32" t="n">
        <f aca="false">IF(INDEX($H109:$O109,1,Scenario_Selected)="",$H109,INDEX($H109:$O109,1,Scenario_Selected))</f>
        <v>5</v>
      </c>
      <c r="H109" s="21" t="n">
        <v>5</v>
      </c>
      <c r="I109" s="21"/>
      <c r="J109" s="21"/>
      <c r="K109" s="21"/>
      <c r="L109" s="21"/>
      <c r="M109" s="21"/>
      <c r="N109" s="21"/>
    </row>
    <row r="110" customFormat="false" ht="15" hidden="false" customHeight="false" outlineLevel="0" collapsed="false">
      <c r="B110" s="0" t="s">
        <v>384</v>
      </c>
      <c r="C110" s="11" t="s">
        <v>27</v>
      </c>
      <c r="D110" s="13" t="s">
        <v>385</v>
      </c>
      <c r="F110" s="33" t="n">
        <f aca="false">IF(INDEX($H110:$O110,1,Scenario_Selected)="",$H110,INDEX($H110:$O110,1,Scenario_Selected))</f>
        <v>22</v>
      </c>
      <c r="H110" s="12" t="n">
        <v>22</v>
      </c>
      <c r="I110" s="12"/>
      <c r="J110" s="12"/>
      <c r="K110" s="12"/>
      <c r="L110" s="12"/>
      <c r="M110" s="12"/>
      <c r="N110" s="12"/>
    </row>
    <row r="111" customFormat="false" ht="15" hidden="false" customHeight="false" outlineLevel="0" collapsed="false">
      <c r="B111" s="0" t="s">
        <v>386</v>
      </c>
      <c r="C111" s="11" t="s">
        <v>27</v>
      </c>
      <c r="D111" s="13" t="s">
        <v>387</v>
      </c>
      <c r="F111" s="33" t="n">
        <f aca="false">IF(INDEX($H111:$O111,1,Scenario_Selected)="",$H111,INDEX($H111:$O111,1,Scenario_Selected))</f>
        <v>3</v>
      </c>
      <c r="H111" s="12" t="n">
        <v>3</v>
      </c>
      <c r="I111" s="12"/>
      <c r="J111" s="12"/>
      <c r="K111" s="12"/>
      <c r="L111" s="12"/>
      <c r="M111" s="12"/>
      <c r="N111" s="12"/>
    </row>
    <row r="112" customFormat="false" ht="15" hidden="false" customHeight="false" outlineLevel="0" collapsed="false">
      <c r="B112" s="0" t="s">
        <v>388</v>
      </c>
      <c r="C112" s="11" t="s">
        <v>253</v>
      </c>
      <c r="D112" s="13" t="s">
        <v>389</v>
      </c>
      <c r="F112" s="33" t="n">
        <f aca="false">IF(INDEX($H112:$O112,1,Scenario_Selected)="",$H112,INDEX($H112:$O112,1,Scenario_Selected))</f>
        <v>150</v>
      </c>
      <c r="H112" s="12" t="n">
        <v>150</v>
      </c>
      <c r="I112" s="12"/>
      <c r="J112" s="12"/>
      <c r="K112" s="12"/>
      <c r="L112" s="12"/>
      <c r="M112" s="12"/>
      <c r="N112" s="12"/>
    </row>
    <row r="113" customFormat="false" ht="15" hidden="false" customHeight="false" outlineLevel="0" collapsed="false">
      <c r="B113" s="0" t="s">
        <v>390</v>
      </c>
      <c r="C113" s="11" t="s">
        <v>35</v>
      </c>
      <c r="D113" s="13" t="s">
        <v>391</v>
      </c>
      <c r="F113" s="47" t="n">
        <f aca="false">IF(INDEX($H113:$O113,1,Scenario_Selected)="",$H113,INDEX($H113:$O113,1,Scenario_Selected))</f>
        <v>0.05</v>
      </c>
      <c r="H113" s="19" t="n">
        <v>0.05</v>
      </c>
      <c r="I113" s="19"/>
      <c r="J113" s="19"/>
      <c r="K113" s="19"/>
      <c r="L113" s="19"/>
      <c r="M113" s="19"/>
      <c r="N113" s="19"/>
    </row>
    <row r="114" customFormat="false" ht="15" hidden="false" customHeight="false" outlineLevel="0" collapsed="false">
      <c r="B114" s="0" t="s">
        <v>392</v>
      </c>
      <c r="C114" s="11" t="s">
        <v>35</v>
      </c>
      <c r="D114" s="13" t="s">
        <v>393</v>
      </c>
      <c r="F114" s="47" t="n">
        <f aca="false">IF(INDEX($H114:$O114,1,Scenario_Selected)="",$H114,INDEX($H114:$O114,1,Scenario_Selected))</f>
        <v>0.025</v>
      </c>
      <c r="H114" s="19" t="n">
        <v>0.025</v>
      </c>
      <c r="I114" s="19"/>
      <c r="J114" s="19"/>
      <c r="K114" s="19"/>
      <c r="L114" s="19"/>
      <c r="M114" s="19"/>
      <c r="N114" s="19"/>
    </row>
    <row r="115" customFormat="false" ht="15" hidden="false" customHeight="false" outlineLevel="0" collapsed="false">
      <c r="B115" s="0" t="s">
        <v>394</v>
      </c>
      <c r="C115" s="11" t="s">
        <v>35</v>
      </c>
      <c r="D115" s="13" t="s">
        <v>395</v>
      </c>
      <c r="F115" s="48" t="n">
        <f aca="false">IF(INDEX($H115:$O115,1,Scenario_Selected)="",$H115,INDEX($H115:$O115,1,Scenario_Selected))</f>
        <v>0.001</v>
      </c>
      <c r="H115" s="49" t="n">
        <v>0.001</v>
      </c>
      <c r="I115" s="49"/>
      <c r="J115" s="49"/>
      <c r="K115" s="49"/>
      <c r="L115" s="49"/>
      <c r="M115" s="49"/>
      <c r="N115" s="49"/>
    </row>
    <row r="116" customFormat="false" ht="15" hidden="false" customHeight="false" outlineLevel="0" collapsed="false">
      <c r="B116" s="0" t="s">
        <v>396</v>
      </c>
      <c r="C116" s="11" t="s">
        <v>35</v>
      </c>
      <c r="D116" s="13" t="s">
        <v>397</v>
      </c>
      <c r="F116" s="47" t="n">
        <f aca="false">IF(INDEX($H116:$O116,1,Scenario_Selected)="",$H116,INDEX($H116:$O116,1,Scenario_Selected))</f>
        <v>0.02</v>
      </c>
      <c r="H116" s="19" t="n">
        <v>0.02</v>
      </c>
      <c r="I116" s="19"/>
      <c r="J116" s="19"/>
      <c r="K116" s="19"/>
      <c r="L116" s="19"/>
      <c r="M116" s="19"/>
      <c r="N116" s="19"/>
    </row>
    <row r="118" customFormat="false" ht="15" hidden="false" customHeight="false" outlineLevel="0" collapsed="false">
      <c r="A118" s="9" t="s">
        <v>13</v>
      </c>
      <c r="B118" s="9"/>
      <c r="C118" s="9" t="s">
        <v>398</v>
      </c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</row>
    <row r="119" customFormat="false" ht="15" hidden="false" customHeight="false" outlineLevel="0" collapsed="false">
      <c r="B119" s="0" t="s">
        <v>399</v>
      </c>
      <c r="C119" s="11" t="s">
        <v>35</v>
      </c>
      <c r="D119" s="13" t="s">
        <v>400</v>
      </c>
      <c r="F119" s="47" t="n">
        <f aca="false">IF(INDEX($H119:$O119,1,Scenario_Selected)="",$H119,INDEX($H119:$O119,1,Scenario_Selected))</f>
        <v>0.6</v>
      </c>
      <c r="H119" s="19" t="n">
        <v>0.6</v>
      </c>
      <c r="I119" s="19"/>
      <c r="J119" s="19"/>
      <c r="K119" s="19"/>
      <c r="L119" s="19"/>
      <c r="M119" s="19"/>
      <c r="N119" s="19"/>
    </row>
    <row r="120" customFormat="false" ht="15" hidden="false" customHeight="false" outlineLevel="0" collapsed="false">
      <c r="B120" s="0" t="s">
        <v>401</v>
      </c>
      <c r="C120" s="11" t="s">
        <v>35</v>
      </c>
      <c r="D120" s="13" t="s">
        <v>402</v>
      </c>
      <c r="F120" s="47" t="n">
        <f aca="false">IF(INDEX($H120:$O120,1,Scenario_Selected)="",$H120,INDEX($H120:$O120,1,Scenario_Selected))</f>
        <v>0.5</v>
      </c>
      <c r="H120" s="19" t="n">
        <v>0.5</v>
      </c>
      <c r="I120" s="19"/>
      <c r="J120" s="19"/>
      <c r="K120" s="19"/>
      <c r="L120" s="19"/>
      <c r="M120" s="19"/>
      <c r="N120" s="19"/>
    </row>
    <row r="121" customFormat="false" ht="15" hidden="false" customHeight="false" outlineLevel="0" collapsed="false">
      <c r="B121" s="0" t="s">
        <v>403</v>
      </c>
      <c r="C121" s="11" t="s">
        <v>35</v>
      </c>
      <c r="D121" s="13" t="s">
        <v>404</v>
      </c>
      <c r="F121" s="47" t="n">
        <f aca="false">IF(INDEX($H121:$O121,1,Scenario_Selected)="",$H121,INDEX($H121:$O121,1,Scenario_Selected))</f>
        <v>0.05</v>
      </c>
      <c r="H121" s="19" t="n">
        <v>0.05</v>
      </c>
      <c r="I121" s="19"/>
      <c r="J121" s="19"/>
      <c r="K121" s="19"/>
      <c r="L121" s="19"/>
      <c r="M121" s="19"/>
      <c r="N121" s="19"/>
    </row>
    <row r="122" customFormat="false" ht="15" hidden="false" customHeight="false" outlineLevel="0" collapsed="false">
      <c r="B122" s="0" t="s">
        <v>405</v>
      </c>
      <c r="C122" s="11" t="s">
        <v>35</v>
      </c>
      <c r="D122" s="13" t="s">
        <v>406</v>
      </c>
      <c r="F122" s="48" t="n">
        <f aca="false">IF(INDEX($H122:$O122,1,Scenario_Selected)="",$H122,INDEX($H122:$O122,1,Scenario_Selected))</f>
        <v>0.0175</v>
      </c>
      <c r="H122" s="49" t="n">
        <v>0.0175</v>
      </c>
      <c r="I122" s="49"/>
      <c r="J122" s="49"/>
      <c r="K122" s="49"/>
      <c r="L122" s="49"/>
      <c r="M122" s="49"/>
      <c r="N122" s="49"/>
    </row>
    <row r="123" customFormat="false" ht="15" hidden="false" customHeight="false" outlineLevel="0" collapsed="false">
      <c r="B123" s="0" t="s">
        <v>407</v>
      </c>
      <c r="C123" s="11" t="s">
        <v>35</v>
      </c>
      <c r="D123" s="13" t="s">
        <v>408</v>
      </c>
      <c r="F123" s="48" t="n">
        <f aca="false">IF(INDEX($H123:$O123,1,Scenario_Selected)="",$H123,INDEX($H123:$O123,1,Scenario_Selected))</f>
        <v>0.009</v>
      </c>
      <c r="H123" s="49" t="n">
        <v>0.009</v>
      </c>
      <c r="I123" s="49"/>
      <c r="J123" s="49"/>
      <c r="K123" s="49"/>
      <c r="L123" s="49"/>
      <c r="M123" s="49"/>
      <c r="N123" s="49"/>
    </row>
    <row r="124" customFormat="false" ht="15" hidden="false" customHeight="false" outlineLevel="0" collapsed="false">
      <c r="B124" s="0" t="s">
        <v>409</v>
      </c>
      <c r="C124" s="11" t="s">
        <v>237</v>
      </c>
      <c r="D124" s="13" t="s">
        <v>410</v>
      </c>
      <c r="F124" s="42" t="n">
        <f aca="false">IF(INDEX($H124:$O124,1,Scenario_Selected)="",$H124,INDEX($H124:$O124,1,Scenario_Selected))</f>
        <v>10</v>
      </c>
      <c r="H124" s="45" t="n">
        <v>10</v>
      </c>
      <c r="I124" s="45"/>
      <c r="J124" s="45"/>
      <c r="K124" s="45"/>
      <c r="L124" s="45"/>
      <c r="M124" s="45"/>
      <c r="N124" s="45"/>
    </row>
    <row r="125" customFormat="false" ht="15" hidden="false" customHeight="false" outlineLevel="0" collapsed="false">
      <c r="B125" s="0" t="s">
        <v>411</v>
      </c>
      <c r="C125" s="11" t="s">
        <v>237</v>
      </c>
      <c r="D125" s="13" t="s">
        <v>412</v>
      </c>
      <c r="F125" s="42" t="n">
        <f aca="false">IF(INDEX($H125:$O125,1,Scenario_Selected)="",$H125,INDEX($H125:$O125,1,Scenario_Selected))</f>
        <v>20</v>
      </c>
      <c r="H125" s="45" t="n">
        <v>20</v>
      </c>
      <c r="I125" s="45"/>
      <c r="J125" s="45"/>
      <c r="K125" s="45"/>
      <c r="L125" s="45"/>
      <c r="M125" s="45"/>
      <c r="N125" s="45"/>
    </row>
    <row r="127" customFormat="false" ht="15" hidden="false" customHeight="false" outlineLevel="0" collapsed="false">
      <c r="C127" s="40" t="s">
        <v>198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T6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Bora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/>
    <row r="5" customFormat="false" ht="15" hidden="false" customHeight="false" outlineLevel="0" collapsed="false">
      <c r="A5" s="9" t="s">
        <v>13</v>
      </c>
      <c r="B5" s="9"/>
      <c r="C5" s="9" t="s">
        <v>413</v>
      </c>
      <c r="D5" s="9"/>
      <c r="E5" s="9" t="s">
        <v>414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</row>
    <row r="6" customFormat="false" ht="15" hidden="false" customHeight="false" outlineLevel="0" collapsed="false">
      <c r="E6" s="8" t="s">
        <v>415</v>
      </c>
      <c r="F6" s="8" t="s">
        <v>416</v>
      </c>
      <c r="J6" s="8" t="s">
        <v>417</v>
      </c>
    </row>
    <row r="7" customFormat="false" ht="15" hidden="false" customHeight="false" outlineLevel="0" collapsed="false">
      <c r="C7" s="0" t="s">
        <v>418</v>
      </c>
      <c r="D7" s="11" t="s">
        <v>27</v>
      </c>
      <c r="E7" s="43" t="n">
        <v>10</v>
      </c>
      <c r="F7" s="43" t="n">
        <v>50</v>
      </c>
      <c r="J7" s="43" t="n">
        <v>10</v>
      </c>
      <c r="K7" s="43" t="n">
        <v>15</v>
      </c>
      <c r="L7" s="43" t="n">
        <v>20</v>
      </c>
      <c r="M7" s="43" t="n">
        <v>25</v>
      </c>
      <c r="N7" s="43" t="n">
        <v>30</v>
      </c>
      <c r="O7" s="43" t="n">
        <v>35</v>
      </c>
      <c r="P7" s="43" t="n">
        <v>40</v>
      </c>
      <c r="Q7" s="43" t="n">
        <v>45</v>
      </c>
      <c r="R7" s="43" t="n">
        <v>50</v>
      </c>
    </row>
    <row r="8" customFormat="false" ht="15" hidden="false" customHeight="false" outlineLevel="0" collapsed="false">
      <c r="C8" s="0" t="s">
        <v>419</v>
      </c>
      <c r="D8" s="11" t="s">
        <v>41</v>
      </c>
      <c r="J8" s="24" t="n">
        <v>0</v>
      </c>
      <c r="K8" s="24" t="n">
        <v>0</v>
      </c>
      <c r="L8" s="24" t="n">
        <v>0</v>
      </c>
      <c r="M8" s="24" t="n">
        <v>0</v>
      </c>
      <c r="N8" s="24" t="n">
        <v>0</v>
      </c>
      <c r="O8" s="24" t="n">
        <v>0</v>
      </c>
      <c r="P8" s="24" t="n">
        <v>0</v>
      </c>
      <c r="Q8" s="24" t="n">
        <v>0</v>
      </c>
      <c r="R8" s="24" t="n">
        <v>1</v>
      </c>
    </row>
    <row r="9" customFormat="false" ht="15" hidden="false" customHeight="false" outlineLevel="0" collapsed="false">
      <c r="C9" s="0" t="s">
        <v>420</v>
      </c>
      <c r="D9" s="11" t="s">
        <v>70</v>
      </c>
      <c r="E9" s="19" t="n">
        <v>0.2</v>
      </c>
      <c r="J9" s="45" t="n">
        <v>0</v>
      </c>
      <c r="K9" s="45" t="n">
        <v>10</v>
      </c>
      <c r="L9" s="45" t="n">
        <v>20</v>
      </c>
      <c r="M9" s="45" t="n">
        <v>30</v>
      </c>
      <c r="N9" s="45" t="n">
        <v>40</v>
      </c>
      <c r="O9" s="45" t="n">
        <v>55</v>
      </c>
      <c r="P9" s="45" t="n">
        <v>70</v>
      </c>
      <c r="Q9" s="45" t="n">
        <v>80</v>
      </c>
      <c r="R9" s="45" t="n">
        <v>90</v>
      </c>
      <c r="S9" s="45" t="n">
        <v>100</v>
      </c>
    </row>
    <row r="10" customFormat="false" ht="15" hidden="false" customHeight="false" outlineLevel="0" collapsed="false">
      <c r="C10" s="0" t="s">
        <v>421</v>
      </c>
      <c r="D10" s="11" t="s">
        <v>32</v>
      </c>
      <c r="E10" s="43" t="n">
        <v>2</v>
      </c>
      <c r="F10" s="43" t="n">
        <v>3</v>
      </c>
      <c r="J10" s="43" t="n">
        <v>2</v>
      </c>
      <c r="K10" s="43" t="n">
        <v>2.1</v>
      </c>
      <c r="L10" s="43" t="n">
        <v>2.2</v>
      </c>
      <c r="M10" s="43" t="n">
        <v>2.3</v>
      </c>
      <c r="N10" s="43" t="n">
        <v>2.4</v>
      </c>
      <c r="O10" s="43" t="n">
        <v>2.5</v>
      </c>
      <c r="P10" s="43" t="n">
        <v>2.6</v>
      </c>
      <c r="Q10" s="43" t="n">
        <v>2.7</v>
      </c>
      <c r="R10" s="43" t="n">
        <v>2.8</v>
      </c>
      <c r="S10" s="43" t="n">
        <v>2.9</v>
      </c>
      <c r="T10" s="43" t="n">
        <v>3</v>
      </c>
    </row>
    <row r="11" customFormat="false" ht="15" hidden="false" customHeight="false" outlineLevel="0" collapsed="false">
      <c r="C11" s="0" t="s">
        <v>422</v>
      </c>
      <c r="D11" s="11" t="s">
        <v>41</v>
      </c>
      <c r="J11" s="24" t="n">
        <v>0</v>
      </c>
      <c r="K11" s="24" t="n">
        <v>0</v>
      </c>
      <c r="L11" s="24" t="n">
        <v>0</v>
      </c>
      <c r="M11" s="24" t="n">
        <v>0</v>
      </c>
      <c r="N11" s="24" t="n">
        <v>0</v>
      </c>
      <c r="O11" s="24" t="n">
        <v>0</v>
      </c>
      <c r="P11" s="24" t="n">
        <v>0</v>
      </c>
      <c r="Q11" s="24" t="n">
        <v>0</v>
      </c>
      <c r="R11" s="24" t="n">
        <v>0</v>
      </c>
      <c r="S11" s="24" t="n">
        <v>0</v>
      </c>
      <c r="T11" s="24" t="n">
        <v>1</v>
      </c>
    </row>
    <row r="12" customFormat="false" ht="15" hidden="false" customHeight="false" outlineLevel="0" collapsed="false">
      <c r="C12" s="0" t="s">
        <v>423</v>
      </c>
      <c r="D12" s="11" t="s">
        <v>70</v>
      </c>
      <c r="E12" s="19" t="n">
        <v>0.15</v>
      </c>
      <c r="J12" s="45" t="n">
        <v>0</v>
      </c>
      <c r="K12" s="45" t="n">
        <v>5</v>
      </c>
      <c r="L12" s="45" t="n">
        <v>10</v>
      </c>
      <c r="M12" s="45" t="n">
        <v>20</v>
      </c>
      <c r="N12" s="45" t="n">
        <v>30</v>
      </c>
      <c r="O12" s="45" t="n">
        <v>40</v>
      </c>
      <c r="P12" s="45" t="n">
        <v>50</v>
      </c>
      <c r="Q12" s="45" t="n">
        <v>60</v>
      </c>
      <c r="R12" s="45" t="n">
        <v>70</v>
      </c>
      <c r="S12" s="45" t="n">
        <v>80</v>
      </c>
      <c r="T12" s="45" t="n">
        <v>90</v>
      </c>
      <c r="U12" s="45" t="n">
        <v>100</v>
      </c>
    </row>
    <row r="13" customFormat="false" ht="15" hidden="false" customHeight="false" outlineLevel="0" collapsed="false">
      <c r="C13" s="0" t="s">
        <v>424</v>
      </c>
      <c r="D13" s="11" t="s">
        <v>35</v>
      </c>
      <c r="J13" s="43" t="n">
        <v>0.02</v>
      </c>
      <c r="K13" s="43" t="n">
        <v>0.05</v>
      </c>
      <c r="L13" s="43" t="n">
        <v>0.1</v>
      </c>
      <c r="M13" s="43" t="n">
        <v>0.15</v>
      </c>
      <c r="N13" s="43" t="n">
        <v>0.2</v>
      </c>
      <c r="O13" s="43" t="n">
        <v>0.25</v>
      </c>
      <c r="P13" s="43" t="n">
        <v>0.3</v>
      </c>
      <c r="Q13" s="43" t="n">
        <v>0.35</v>
      </c>
      <c r="R13" s="43" t="n">
        <v>0.4</v>
      </c>
      <c r="S13" s="43" t="n">
        <v>0.5</v>
      </c>
    </row>
    <row r="14" customFormat="false" ht="15" hidden="false" customHeight="false" outlineLevel="0" collapsed="false">
      <c r="C14" s="0" t="s">
        <v>425</v>
      </c>
      <c r="D14" s="11" t="s">
        <v>41</v>
      </c>
      <c r="J14" s="24" t="n">
        <v>0</v>
      </c>
      <c r="K14" s="24" t="n">
        <v>1</v>
      </c>
      <c r="L14" s="24" t="n">
        <v>1</v>
      </c>
      <c r="M14" s="24" t="n">
        <v>1</v>
      </c>
      <c r="N14" s="24" t="n">
        <v>1</v>
      </c>
      <c r="O14" s="24" t="n">
        <v>1</v>
      </c>
      <c r="P14" s="24" t="n">
        <v>1</v>
      </c>
      <c r="Q14" s="24" t="n">
        <v>1</v>
      </c>
      <c r="R14" s="24" t="n">
        <v>1</v>
      </c>
      <c r="S14" s="24" t="n">
        <v>0</v>
      </c>
    </row>
    <row r="15" customFormat="false" ht="15" hidden="false" customHeight="false" outlineLevel="0" collapsed="false">
      <c r="C15" s="0" t="s">
        <v>426</v>
      </c>
      <c r="D15" s="11" t="s">
        <v>70</v>
      </c>
      <c r="E15" s="19" t="n">
        <v>0.1</v>
      </c>
      <c r="J15" s="45" t="n">
        <v>0</v>
      </c>
      <c r="K15" s="45" t="n">
        <v>10</v>
      </c>
      <c r="L15" s="45" t="n">
        <v>20</v>
      </c>
      <c r="M15" s="45" t="n">
        <v>30</v>
      </c>
      <c r="N15" s="45" t="n">
        <v>40</v>
      </c>
      <c r="O15" s="45" t="n">
        <v>50</v>
      </c>
      <c r="P15" s="45" t="n">
        <v>60</v>
      </c>
      <c r="Q15" s="45" t="n">
        <v>70</v>
      </c>
      <c r="R15" s="45" t="n">
        <v>80</v>
      </c>
      <c r="S15" s="45" t="n">
        <v>90</v>
      </c>
      <c r="T15" s="45" t="n">
        <v>100</v>
      </c>
    </row>
    <row r="16" customFormat="false" ht="15" hidden="false" customHeight="false" outlineLevel="0" collapsed="false">
      <c r="C16" s="0" t="s">
        <v>427</v>
      </c>
      <c r="D16" s="11" t="s">
        <v>35</v>
      </c>
      <c r="E16" s="43" t="n">
        <v>0.05</v>
      </c>
      <c r="J16" s="43" t="n">
        <v>0.02</v>
      </c>
      <c r="K16" s="43" t="n">
        <v>0.05</v>
      </c>
      <c r="L16" s="43" t="n">
        <v>0.1</v>
      </c>
      <c r="M16" s="43" t="n">
        <v>0.15</v>
      </c>
      <c r="N16" s="43" t="n">
        <v>0.2</v>
      </c>
      <c r="O16" s="43" t="n">
        <v>0.25</v>
      </c>
      <c r="P16" s="43" t="n">
        <v>0.3</v>
      </c>
      <c r="Q16" s="43" t="n">
        <v>0.35</v>
      </c>
      <c r="R16" s="43" t="n">
        <v>0.4</v>
      </c>
      <c r="S16" s="43" t="n">
        <v>0.5</v>
      </c>
    </row>
    <row r="17" customFormat="false" ht="15" hidden="false" customHeight="false" outlineLevel="0" collapsed="false">
      <c r="C17" s="0" t="s">
        <v>428</v>
      </c>
      <c r="D17" s="11" t="s">
        <v>41</v>
      </c>
      <c r="J17" s="24" t="n">
        <v>0</v>
      </c>
      <c r="K17" s="24" t="n">
        <v>1</v>
      </c>
      <c r="L17" s="24" t="n">
        <v>1</v>
      </c>
      <c r="M17" s="24" t="n">
        <v>1</v>
      </c>
      <c r="N17" s="24" t="n">
        <v>1</v>
      </c>
      <c r="O17" s="24" t="n">
        <v>1</v>
      </c>
      <c r="P17" s="24" t="n">
        <v>1</v>
      </c>
      <c r="Q17" s="24" t="n">
        <v>1</v>
      </c>
      <c r="R17" s="24" t="n">
        <v>1</v>
      </c>
      <c r="S17" s="24" t="n">
        <v>0</v>
      </c>
    </row>
    <row r="18" customFormat="false" ht="15" hidden="false" customHeight="false" outlineLevel="0" collapsed="false">
      <c r="C18" s="0" t="s">
        <v>429</v>
      </c>
      <c r="D18" s="11" t="s">
        <v>70</v>
      </c>
      <c r="E18" s="19" t="n">
        <v>0.15</v>
      </c>
      <c r="J18" s="45" t="n">
        <v>0</v>
      </c>
      <c r="K18" s="45" t="n">
        <v>10</v>
      </c>
      <c r="L18" s="45" t="n">
        <v>20</v>
      </c>
      <c r="M18" s="45" t="n">
        <v>30</v>
      </c>
      <c r="N18" s="45" t="n">
        <v>40</v>
      </c>
      <c r="O18" s="45" t="n">
        <v>50</v>
      </c>
      <c r="P18" s="45" t="n">
        <v>60</v>
      </c>
      <c r="Q18" s="45" t="n">
        <v>70</v>
      </c>
      <c r="R18" s="45" t="n">
        <v>80</v>
      </c>
      <c r="S18" s="45" t="n">
        <v>90</v>
      </c>
      <c r="T18" s="45" t="n">
        <v>100</v>
      </c>
    </row>
    <row r="19" customFormat="false" ht="15" hidden="false" customHeight="false" outlineLevel="0" collapsed="false">
      <c r="C19" s="0" t="s">
        <v>430</v>
      </c>
      <c r="D19" s="11" t="s">
        <v>13</v>
      </c>
      <c r="J19" s="43" t="n">
        <v>1</v>
      </c>
      <c r="K19" s="43" t="n">
        <v>1.2</v>
      </c>
      <c r="L19" s="43" t="n">
        <v>1.3</v>
      </c>
      <c r="M19" s="43" t="n">
        <v>1.4</v>
      </c>
      <c r="N19" s="43" t="n">
        <v>1.5</v>
      </c>
      <c r="O19" s="43" t="n">
        <v>1.6</v>
      </c>
      <c r="P19" s="43" t="n">
        <v>1.7</v>
      </c>
      <c r="Q19" s="43" t="n">
        <v>1.8</v>
      </c>
      <c r="R19" s="43" t="n">
        <v>1.9</v>
      </c>
      <c r="S19" s="43" t="n">
        <v>2</v>
      </c>
    </row>
    <row r="20" customFormat="false" ht="15" hidden="false" customHeight="false" outlineLevel="0" collapsed="false">
      <c r="C20" s="0" t="s">
        <v>431</v>
      </c>
      <c r="D20" s="11" t="s">
        <v>41</v>
      </c>
      <c r="J20" s="24" t="n">
        <v>0</v>
      </c>
      <c r="K20" s="24" t="n">
        <v>1</v>
      </c>
      <c r="L20" s="24" t="n">
        <v>1</v>
      </c>
      <c r="M20" s="24" t="n">
        <v>1</v>
      </c>
      <c r="N20" s="24" t="n">
        <v>1</v>
      </c>
      <c r="O20" s="24" t="n">
        <v>1</v>
      </c>
      <c r="P20" s="24" t="n">
        <v>1</v>
      </c>
      <c r="Q20" s="24" t="n">
        <v>1</v>
      </c>
      <c r="R20" s="24" t="n">
        <v>1</v>
      </c>
      <c r="S20" s="24" t="n">
        <v>1</v>
      </c>
    </row>
    <row r="21" customFormat="false" ht="15" hidden="false" customHeight="false" outlineLevel="0" collapsed="false">
      <c r="C21" s="0" t="s">
        <v>432</v>
      </c>
      <c r="D21" s="11" t="s">
        <v>70</v>
      </c>
      <c r="E21" s="19" t="n">
        <v>0.05</v>
      </c>
      <c r="J21" s="45" t="n">
        <v>0</v>
      </c>
      <c r="K21" s="45" t="n">
        <v>10</v>
      </c>
      <c r="L21" s="45" t="n">
        <v>20</v>
      </c>
      <c r="M21" s="45" t="n">
        <v>30</v>
      </c>
      <c r="N21" s="45" t="n">
        <v>40</v>
      </c>
      <c r="O21" s="45" t="n">
        <v>50</v>
      </c>
      <c r="P21" s="45" t="n">
        <v>60</v>
      </c>
      <c r="Q21" s="45" t="n">
        <v>70</v>
      </c>
      <c r="R21" s="45" t="n">
        <v>80</v>
      </c>
      <c r="S21" s="45" t="n">
        <v>90</v>
      </c>
      <c r="T21" s="45" t="n">
        <v>100</v>
      </c>
    </row>
    <row r="22" customFormat="false" ht="15" hidden="false" customHeight="false" outlineLevel="0" collapsed="false">
      <c r="C22" s="0" t="s">
        <v>433</v>
      </c>
      <c r="D22" s="11" t="s">
        <v>70</v>
      </c>
      <c r="E22" s="19" t="n">
        <v>0.05</v>
      </c>
      <c r="J22" s="45" t="n">
        <v>100</v>
      </c>
    </row>
    <row r="23" customFormat="false" ht="15" hidden="false" customHeight="false" outlineLevel="0" collapsed="false">
      <c r="C23" s="0" t="s">
        <v>434</v>
      </c>
      <c r="D23" s="11" t="s">
        <v>70</v>
      </c>
      <c r="E23" s="19" t="n">
        <v>0.1</v>
      </c>
      <c r="J23" s="45" t="n">
        <v>100</v>
      </c>
    </row>
    <row r="24" customFormat="false" ht="15" hidden="false" customHeight="false" outlineLevel="0" collapsed="false">
      <c r="C24" s="0" t="s">
        <v>435</v>
      </c>
      <c r="D24" s="11" t="s">
        <v>70</v>
      </c>
      <c r="E24" s="19" t="n">
        <v>0.05</v>
      </c>
      <c r="J24" s="45" t="n">
        <v>100</v>
      </c>
    </row>
    <row r="25" customFormat="false" ht="15" hidden="false" customHeight="false" outlineLevel="0" collapsed="false">
      <c r="C25" s="0" t="s">
        <v>436</v>
      </c>
      <c r="D25" s="11" t="s">
        <v>70</v>
      </c>
      <c r="E25" s="19" t="n">
        <v>0.15</v>
      </c>
      <c r="J25" s="45" t="n">
        <v>80</v>
      </c>
    </row>
    <row r="26" customFormat="false" ht="15" hidden="false" customHeight="false" outlineLevel="0" collapsed="false">
      <c r="C26" s="0" t="s">
        <v>437</v>
      </c>
      <c r="D26" s="11" t="s">
        <v>70</v>
      </c>
      <c r="J26" s="45" t="n">
        <v>20</v>
      </c>
    </row>
    <row r="28" customFormat="false" ht="15" hidden="false" customHeight="false" outlineLevel="0" collapsed="false">
      <c r="A28" s="9" t="s">
        <v>13</v>
      </c>
      <c r="B28" s="9"/>
      <c r="C28" s="9" t="s">
        <v>438</v>
      </c>
      <c r="D28" s="9"/>
      <c r="E28" s="9" t="s">
        <v>439</v>
      </c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</row>
    <row r="29" customFormat="false" ht="15" hidden="false" customHeight="false" outlineLevel="0" collapsed="false">
      <c r="C29" s="8" t="s">
        <v>440</v>
      </c>
      <c r="E29" s="8" t="s">
        <v>441</v>
      </c>
      <c r="F29" s="8" t="s">
        <v>253</v>
      </c>
      <c r="I29" s="8" t="s">
        <v>442</v>
      </c>
      <c r="J29" s="8" t="s">
        <v>443</v>
      </c>
      <c r="K29" s="8" t="s">
        <v>444</v>
      </c>
    </row>
    <row r="30" customFormat="false" ht="15" hidden="false" customHeight="false" outlineLevel="0" collapsed="false">
      <c r="C30" s="0" t="s">
        <v>445</v>
      </c>
      <c r="E30" s="18" t="n">
        <v>0</v>
      </c>
      <c r="F30" s="18" t="n">
        <v>55.65</v>
      </c>
      <c r="I30" s="28" t="n">
        <f aca="false">E30*Thousand/In_FX+F30</f>
        <v>55.65</v>
      </c>
      <c r="J30" s="4" t="n">
        <v>46431</v>
      </c>
      <c r="K30" s="24" t="n">
        <v>1</v>
      </c>
    </row>
    <row r="31" customFormat="false" ht="15" hidden="false" customHeight="false" outlineLevel="0" collapsed="false">
      <c r="C31" s="0" t="s">
        <v>446</v>
      </c>
      <c r="E31" s="18" t="n">
        <v>45.6</v>
      </c>
      <c r="F31" s="18" t="n">
        <v>0</v>
      </c>
      <c r="I31" s="28" t="n">
        <f aca="false">E31*Thousand/In_FX+F31</f>
        <v>124.931506849315</v>
      </c>
      <c r="J31" s="4" t="n">
        <v>46431</v>
      </c>
      <c r="K31" s="24" t="n">
        <v>1</v>
      </c>
    </row>
    <row r="32" customFormat="false" ht="15" hidden="false" customHeight="false" outlineLevel="0" collapsed="false">
      <c r="C32" s="0" t="s">
        <v>447</v>
      </c>
      <c r="E32" s="18" t="n">
        <v>59.1428571428571</v>
      </c>
      <c r="F32" s="18" t="n">
        <v>0</v>
      </c>
      <c r="I32" s="28" t="n">
        <f aca="false">E32*Thousand/In_FX+F32</f>
        <v>162.035225048924</v>
      </c>
      <c r="J32" s="4" t="n">
        <v>46976</v>
      </c>
      <c r="K32" s="24" t="n">
        <v>0</v>
      </c>
    </row>
    <row r="33" customFormat="false" ht="15" hidden="false" customHeight="false" outlineLevel="0" collapsed="false">
      <c r="C33" s="0" t="s">
        <v>448</v>
      </c>
      <c r="E33" s="18" t="n">
        <v>0.750544</v>
      </c>
      <c r="F33" s="18" t="n">
        <v>0</v>
      </c>
      <c r="I33" s="28" t="n">
        <f aca="false">E33*Thousand/In_FX+F33</f>
        <v>2.05628493150685</v>
      </c>
      <c r="J33" s="4" t="n">
        <v>46976</v>
      </c>
      <c r="K33" s="24" t="n">
        <v>0</v>
      </c>
    </row>
    <row r="34" customFormat="false" ht="15" hidden="false" customHeight="false" outlineLevel="0" collapsed="false">
      <c r="C34" s="0" t="s">
        <v>449</v>
      </c>
      <c r="E34" s="18" t="n">
        <v>34.5</v>
      </c>
      <c r="F34" s="18" t="n">
        <v>84</v>
      </c>
      <c r="I34" s="28" t="n">
        <f aca="false">E34*Thousand/In_FX+F34</f>
        <v>178.520547945205</v>
      </c>
      <c r="J34" s="4" t="n">
        <v>46296</v>
      </c>
      <c r="K34" s="24" t="n">
        <v>0</v>
      </c>
    </row>
    <row r="35" customFormat="false" ht="15" hidden="false" customHeight="false" outlineLevel="0" collapsed="false">
      <c r="C35" s="0" t="s">
        <v>450</v>
      </c>
      <c r="E35" s="18" t="n">
        <v>0</v>
      </c>
      <c r="F35" s="18" t="n">
        <v>398</v>
      </c>
      <c r="I35" s="28" t="n">
        <f aca="false">E35*Thousand/In_FX+F35</f>
        <v>398</v>
      </c>
      <c r="J35" s="4" t="n">
        <v>46447</v>
      </c>
      <c r="K35" s="24" t="n">
        <v>0</v>
      </c>
    </row>
    <row r="36" customFormat="false" ht="15" hidden="false" customHeight="false" outlineLevel="0" collapsed="false">
      <c r="C36" s="0" t="s">
        <v>451</v>
      </c>
      <c r="E36" s="18" t="n">
        <v>3.6</v>
      </c>
      <c r="F36" s="18" t="n">
        <v>0</v>
      </c>
      <c r="I36" s="28" t="n">
        <f aca="false">E36*Thousand/In_FX+F36</f>
        <v>9.86301369863014</v>
      </c>
      <c r="J36" s="4" t="n">
        <v>46388</v>
      </c>
      <c r="K36" s="24" t="n">
        <v>0</v>
      </c>
    </row>
    <row r="37" customFormat="false" ht="15" hidden="false" customHeight="false" outlineLevel="0" collapsed="false">
      <c r="C37" s="0" t="s">
        <v>452</v>
      </c>
      <c r="E37" s="18" t="n">
        <v>0</v>
      </c>
      <c r="F37" s="18" t="n">
        <v>4.5</v>
      </c>
      <c r="I37" s="28" t="n">
        <f aca="false">E37*Thousand/In_FX+F37</f>
        <v>4.5</v>
      </c>
      <c r="J37" s="4" t="n">
        <v>46932</v>
      </c>
      <c r="K37" s="24" t="n">
        <v>0</v>
      </c>
    </row>
    <row r="38" customFormat="false" ht="15" hidden="false" customHeight="false" outlineLevel="0" collapsed="false">
      <c r="C38" s="0" t="s">
        <v>453</v>
      </c>
      <c r="E38" s="18" t="n">
        <v>0.96</v>
      </c>
      <c r="F38" s="18" t="n">
        <v>0</v>
      </c>
      <c r="I38" s="28" t="n">
        <f aca="false">E38*Thousand/In_FX+F38</f>
        <v>2.63013698630137</v>
      </c>
      <c r="J38" s="4" t="n">
        <v>46746</v>
      </c>
      <c r="K38" s="24" t="n">
        <v>0</v>
      </c>
    </row>
    <row r="39" customFormat="false" ht="15" hidden="false" customHeight="false" outlineLevel="0" collapsed="false">
      <c r="C39" s="0" t="s">
        <v>454</v>
      </c>
      <c r="E39" s="18" t="n">
        <v>8</v>
      </c>
      <c r="F39" s="18" t="n">
        <v>0</v>
      </c>
      <c r="I39" s="28" t="n">
        <f aca="false">E39*Thousand/In_FX+F39</f>
        <v>21.9178082191781</v>
      </c>
      <c r="J39" s="4" t="n">
        <v>46596</v>
      </c>
      <c r="K39" s="24" t="n">
        <v>0</v>
      </c>
    </row>
    <row r="40" customFormat="false" ht="15" hidden="false" customHeight="false" outlineLevel="0" collapsed="false">
      <c r="C40" s="0" t="s">
        <v>455</v>
      </c>
      <c r="E40" s="18" t="n">
        <v>50</v>
      </c>
      <c r="F40" s="18" t="n">
        <v>0</v>
      </c>
      <c r="I40" s="28" t="n">
        <f aca="false">E40*Thousand/In_FX+F40</f>
        <v>136.986301369863</v>
      </c>
      <c r="J40" s="4" t="n">
        <v>46806</v>
      </c>
      <c r="K40" s="24" t="n">
        <v>0</v>
      </c>
    </row>
    <row r="41" customFormat="false" ht="15" hidden="false" customHeight="false" outlineLevel="0" collapsed="false">
      <c r="C41" s="0" t="s">
        <v>456</v>
      </c>
      <c r="E41" s="18" t="n">
        <v>35</v>
      </c>
      <c r="F41" s="18" t="n">
        <v>0</v>
      </c>
      <c r="I41" s="28" t="n">
        <f aca="false">E41*Thousand/In_FX+F41</f>
        <v>95.8904109589041</v>
      </c>
      <c r="J41" s="4" t="n">
        <v>46806</v>
      </c>
      <c r="K41" s="24" t="n">
        <v>0</v>
      </c>
    </row>
    <row r="42" customFormat="false" ht="15" hidden="false" customHeight="false" outlineLevel="0" collapsed="false">
      <c r="C42" s="0" t="s">
        <v>457</v>
      </c>
      <c r="E42" s="18" t="n">
        <v>14.832</v>
      </c>
      <c r="F42" s="18" t="n">
        <v>0</v>
      </c>
      <c r="I42" s="28" t="n">
        <f aca="false">E42*Thousand/In_FX+F42</f>
        <v>40.6356164383562</v>
      </c>
      <c r="J42" s="4" t="n">
        <v>46751</v>
      </c>
      <c r="K42" s="24" t="n">
        <v>0</v>
      </c>
    </row>
    <row r="43" customFormat="false" ht="15" hidden="false" customHeight="false" outlineLevel="0" collapsed="false">
      <c r="C43" s="0" t="s">
        <v>458</v>
      </c>
      <c r="E43" s="18" t="n">
        <v>0.04</v>
      </c>
      <c r="F43" s="18" t="n">
        <v>0</v>
      </c>
      <c r="I43" s="28" t="n">
        <f aca="false">E43*Thousand/In_FX+F43</f>
        <v>0.10958904109589</v>
      </c>
      <c r="J43" s="4" t="n">
        <v>46871</v>
      </c>
      <c r="K43" s="24" t="n">
        <v>0</v>
      </c>
    </row>
    <row r="44" customFormat="false" ht="15" hidden="false" customHeight="false" outlineLevel="0" collapsed="false">
      <c r="C44" s="0" t="s">
        <v>459</v>
      </c>
      <c r="E44" s="18" t="n">
        <v>32.61</v>
      </c>
      <c r="F44" s="18" t="n">
        <v>0</v>
      </c>
      <c r="I44" s="28" t="n">
        <f aca="false">E44*Thousand/In_FX+F44</f>
        <v>89.3424657534247</v>
      </c>
      <c r="J44" s="4" t="n">
        <v>46841</v>
      </c>
      <c r="K44" s="24" t="n">
        <v>0</v>
      </c>
    </row>
    <row r="45" customFormat="false" ht="15" hidden="false" customHeight="false" outlineLevel="0" collapsed="false">
      <c r="C45" s="0" t="s">
        <v>460</v>
      </c>
      <c r="E45" s="18" t="n">
        <v>8</v>
      </c>
      <c r="F45" s="18" t="n">
        <v>0</v>
      </c>
      <c r="I45" s="28" t="n">
        <f aca="false">E45*Thousand/In_FX+F45</f>
        <v>21.9178082191781</v>
      </c>
      <c r="J45" s="4" t="n">
        <v>46596</v>
      </c>
      <c r="K45" s="24" t="n">
        <v>0</v>
      </c>
    </row>
    <row r="46" customFormat="false" ht="15" hidden="false" customHeight="false" outlineLevel="0" collapsed="false">
      <c r="C46" s="0" t="s">
        <v>461</v>
      </c>
      <c r="E46" s="18" t="n">
        <v>8</v>
      </c>
      <c r="F46" s="18" t="n">
        <v>0</v>
      </c>
      <c r="I46" s="28" t="n">
        <f aca="false">E46*Thousand/In_FX+F46</f>
        <v>21.9178082191781</v>
      </c>
      <c r="J46" s="4" t="n">
        <v>46566</v>
      </c>
      <c r="K46" s="24" t="n">
        <v>0</v>
      </c>
    </row>
    <row r="47" customFormat="false" ht="15" hidden="false" customHeight="false" outlineLevel="0" collapsed="false">
      <c r="C47" s="0" t="s">
        <v>462</v>
      </c>
      <c r="E47" s="18" t="n">
        <v>8</v>
      </c>
      <c r="F47" s="18" t="n">
        <v>0</v>
      </c>
      <c r="I47" s="28" t="n">
        <f aca="false">E47*Thousand/In_FX+F47</f>
        <v>21.9178082191781</v>
      </c>
      <c r="J47" s="4" t="n">
        <v>46566</v>
      </c>
      <c r="K47" s="24" t="n">
        <v>0</v>
      </c>
    </row>
    <row r="48" customFormat="false" ht="15" hidden="false" customHeight="false" outlineLevel="0" collapsed="false">
      <c r="C48" s="0" t="s">
        <v>463</v>
      </c>
      <c r="E48" s="18" t="n">
        <v>4.59</v>
      </c>
      <c r="F48" s="18" t="n">
        <v>0</v>
      </c>
      <c r="I48" s="28" t="n">
        <f aca="false">E48*Thousand/In_FX+F48</f>
        <v>12.5753424657534</v>
      </c>
      <c r="J48" s="4" t="n">
        <v>46780</v>
      </c>
      <c r="K48" s="24" t="n">
        <v>0</v>
      </c>
    </row>
    <row r="49" customFormat="false" ht="15" hidden="false" customHeight="false" outlineLevel="0" collapsed="false">
      <c r="C49" s="0" t="s">
        <v>464</v>
      </c>
      <c r="E49" s="18" t="n">
        <v>138</v>
      </c>
      <c r="F49" s="18" t="n">
        <v>0</v>
      </c>
      <c r="I49" s="28" t="n">
        <f aca="false">E49*Thousand/In_FX+F49</f>
        <v>378.082191780822</v>
      </c>
      <c r="J49" s="4" t="n">
        <v>46780</v>
      </c>
      <c r="K49" s="24" t="n">
        <v>0</v>
      </c>
    </row>
    <row r="50" customFormat="false" ht="15" hidden="false" customHeight="false" outlineLevel="0" collapsed="false">
      <c r="C50" s="0" t="s">
        <v>465</v>
      </c>
      <c r="E50" s="18" t="n">
        <v>45</v>
      </c>
      <c r="F50" s="18" t="n">
        <v>0</v>
      </c>
      <c r="I50" s="28" t="n">
        <f aca="false">E50*Thousand/In_FX+F50</f>
        <v>123.287671232877</v>
      </c>
      <c r="J50" s="4" t="n">
        <v>46780</v>
      </c>
      <c r="K50" s="24" t="n">
        <v>0</v>
      </c>
    </row>
    <row r="51" customFormat="false" ht="15" hidden="false" customHeight="false" outlineLevel="0" collapsed="false">
      <c r="C51" s="0" t="s">
        <v>466</v>
      </c>
      <c r="E51" s="18" t="n">
        <v>74.8966836734694</v>
      </c>
      <c r="F51" s="18" t="n">
        <v>0</v>
      </c>
      <c r="I51" s="28" t="n">
        <f aca="false">E51*Thousand/In_FX+F51</f>
        <v>205.196393625944</v>
      </c>
      <c r="J51" s="4" t="n">
        <v>46780</v>
      </c>
      <c r="K51" s="24" t="n">
        <v>0</v>
      </c>
    </row>
    <row r="52" customFormat="false" ht="15" hidden="false" customHeight="false" outlineLevel="0" collapsed="false">
      <c r="C52" s="0" t="s">
        <v>467</v>
      </c>
      <c r="E52" s="18" t="n">
        <v>15</v>
      </c>
      <c r="F52" s="18" t="n">
        <v>0</v>
      </c>
      <c r="I52" s="28" t="n">
        <f aca="false">E52*Thousand/In_FX+F52</f>
        <v>41.0958904109589</v>
      </c>
      <c r="J52" s="4" t="n">
        <v>46720</v>
      </c>
      <c r="K52" s="24" t="n">
        <v>0</v>
      </c>
    </row>
    <row r="53" customFormat="false" ht="15" hidden="false" customHeight="false" outlineLevel="0" collapsed="false">
      <c r="C53" s="0" t="s">
        <v>468</v>
      </c>
      <c r="E53" s="18" t="n">
        <v>6</v>
      </c>
      <c r="F53" s="18" t="n">
        <v>0</v>
      </c>
      <c r="I53" s="28" t="n">
        <f aca="false">E53*Thousand/In_FX+F53</f>
        <v>16.4383561643836</v>
      </c>
      <c r="J53" s="4" t="n">
        <v>46780</v>
      </c>
      <c r="K53" s="24" t="n">
        <v>0</v>
      </c>
    </row>
    <row r="54" customFormat="false" ht="15" hidden="false" customHeight="false" outlineLevel="0" collapsed="false">
      <c r="C54" s="0" t="s">
        <v>469</v>
      </c>
      <c r="E54" s="18" t="n">
        <v>45.1785714285714</v>
      </c>
      <c r="F54" s="18" t="n">
        <v>0</v>
      </c>
      <c r="I54" s="28" t="n">
        <f aca="false">E54*Thousand/In_FX+F54</f>
        <v>123.776908023483</v>
      </c>
      <c r="J54" s="4" t="n">
        <v>46780</v>
      </c>
      <c r="K54" s="24" t="n">
        <v>0</v>
      </c>
    </row>
    <row r="55" customFormat="false" ht="15" hidden="false" customHeight="false" outlineLevel="0" collapsed="false">
      <c r="C55" s="0" t="s">
        <v>470</v>
      </c>
      <c r="E55" s="18" t="n">
        <v>4.59</v>
      </c>
      <c r="F55" s="18" t="n">
        <v>0</v>
      </c>
      <c r="I55" s="28" t="n">
        <f aca="false">E55*Thousand/In_FX+F55</f>
        <v>12.5753424657534</v>
      </c>
      <c r="J55" s="4" t="n">
        <v>46780</v>
      </c>
      <c r="K55" s="24" t="n">
        <v>0</v>
      </c>
    </row>
    <row r="56" customFormat="false" ht="15" hidden="false" customHeight="false" outlineLevel="0" collapsed="false">
      <c r="C56" s="0" t="s">
        <v>471</v>
      </c>
      <c r="E56" s="18" t="n">
        <v>35</v>
      </c>
      <c r="F56" s="18" t="n">
        <v>0</v>
      </c>
      <c r="I56" s="28" t="n">
        <f aca="false">E56*Thousand/In_FX+F56</f>
        <v>95.8904109589041</v>
      </c>
      <c r="J56" s="4" t="n">
        <v>46780</v>
      </c>
      <c r="K56" s="24" t="n">
        <v>0</v>
      </c>
    </row>
    <row r="57" customFormat="false" ht="15" hidden="false" customHeight="false" outlineLevel="0" collapsed="false">
      <c r="C57" s="0" t="s">
        <v>472</v>
      </c>
      <c r="E57" s="18" t="n">
        <v>20</v>
      </c>
      <c r="F57" s="18" t="n">
        <v>0</v>
      </c>
      <c r="I57" s="28" t="n">
        <f aca="false">E57*Thousand/In_FX+F57</f>
        <v>54.7945205479452</v>
      </c>
      <c r="J57" s="4" t="n">
        <v>47126</v>
      </c>
      <c r="K57" s="24" t="n">
        <v>0</v>
      </c>
    </row>
    <row r="58" customFormat="false" ht="15" hidden="false" customHeight="false" outlineLevel="0" collapsed="false">
      <c r="C58" s="0" t="s">
        <v>473</v>
      </c>
      <c r="E58" s="18" t="n">
        <v>12</v>
      </c>
      <c r="F58" s="18" t="n">
        <v>0</v>
      </c>
      <c r="I58" s="28" t="n">
        <f aca="false">E58*Thousand/In_FX+F58</f>
        <v>32.8767123287671</v>
      </c>
      <c r="J58" s="4" t="n">
        <v>47066</v>
      </c>
      <c r="K58" s="24" t="n">
        <v>0</v>
      </c>
    </row>
    <row r="59" customFormat="false" ht="15" hidden="false" customHeight="false" outlineLevel="0" collapsed="false">
      <c r="C59" s="0" t="s">
        <v>474</v>
      </c>
      <c r="E59" s="18" t="n">
        <v>0</v>
      </c>
      <c r="F59" s="18" t="n">
        <v>20</v>
      </c>
      <c r="I59" s="28" t="n">
        <f aca="false">E59*Thousand/In_FX+F59</f>
        <v>20</v>
      </c>
      <c r="J59" s="4" t="n">
        <v>46752</v>
      </c>
      <c r="K59" s="24" t="n">
        <v>0</v>
      </c>
    </row>
    <row r="60" customFormat="false" ht="15" hidden="false" customHeight="false" outlineLevel="0" collapsed="false">
      <c r="C60" s="0" t="s">
        <v>475</v>
      </c>
      <c r="E60" s="18" t="n">
        <v>0</v>
      </c>
      <c r="F60" s="18" t="n">
        <v>80</v>
      </c>
      <c r="I60" s="28" t="n">
        <f aca="false">E60*Thousand/In_FX+F60</f>
        <v>80</v>
      </c>
      <c r="J60" s="4" t="n">
        <v>46752</v>
      </c>
      <c r="K60" s="24" t="n">
        <v>0</v>
      </c>
    </row>
    <row r="61" customFormat="false" ht="15" hidden="false" customHeight="false" outlineLevel="0" collapsed="false">
      <c r="C61" s="0" t="s">
        <v>476</v>
      </c>
      <c r="E61" s="18" t="n">
        <v>91.2</v>
      </c>
      <c r="F61" s="18" t="n">
        <v>0</v>
      </c>
      <c r="I61" s="28" t="n">
        <f aca="false">E61*Thousand/In_FX+F61</f>
        <v>249.86301369863</v>
      </c>
      <c r="J61" s="4" t="n">
        <v>47201</v>
      </c>
      <c r="K61" s="24" t="n">
        <v>1</v>
      </c>
    </row>
    <row r="62" customFormat="false" ht="15" hidden="false" customHeight="false" outlineLevel="0" collapsed="false">
      <c r="E62" s="18"/>
      <c r="F62" s="18"/>
      <c r="I62" s="28" t="n">
        <f aca="false">E62*Thousand/In_FX+F62</f>
        <v>0</v>
      </c>
      <c r="J62" s="4"/>
      <c r="K62" s="24"/>
    </row>
    <row r="63" customFormat="false" ht="15" hidden="false" customHeight="false" outlineLevel="0" collapsed="false">
      <c r="E63" s="18"/>
      <c r="F63" s="18"/>
      <c r="I63" s="28" t="n">
        <f aca="false">E63*Thousand/In_FX+F63</f>
        <v>0</v>
      </c>
      <c r="J63" s="4"/>
      <c r="K63" s="24"/>
    </row>
    <row r="65" customFormat="false" ht="15" hidden="false" customHeight="false" outlineLevel="0" collapsed="false">
      <c r="C65" s="40" t="s">
        <v>198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T19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1" customFormat="false" ht="15" hidden="false" customHeight="false" outlineLevel="0" collapsed="false">
      <c r="A1" s="45" t="n">
        <v>1</v>
      </c>
      <c r="C1" s="13" t="s">
        <v>477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Bora – Calculations – BORA 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>
      <c r="C3" s="0" t="s">
        <v>478</v>
      </c>
      <c r="D3" s="11" t="s">
        <v>62</v>
      </c>
      <c r="J3" s="44" t="n">
        <f aca="false">I$4+1</f>
        <v>46204</v>
      </c>
      <c r="K3" s="44" t="n">
        <f aca="false">J$4+1</f>
        <v>46296</v>
      </c>
      <c r="L3" s="44" t="n">
        <f aca="false">K$4+1</f>
        <v>46388</v>
      </c>
      <c r="M3" s="44" t="n">
        <f aca="false">L$4+1</f>
        <v>46478</v>
      </c>
      <c r="N3" s="44" t="n">
        <f aca="false">M$4+1</f>
        <v>46569</v>
      </c>
      <c r="O3" s="44" t="n">
        <f aca="false">N$4+1</f>
        <v>46661</v>
      </c>
      <c r="P3" s="44" t="n">
        <f aca="false">O$4+1</f>
        <v>46753</v>
      </c>
      <c r="Q3" s="44" t="n">
        <f aca="false">P$4+1</f>
        <v>46844</v>
      </c>
      <c r="R3" s="44" t="n">
        <f aca="false">Q$4+1</f>
        <v>46935</v>
      </c>
      <c r="S3" s="44" t="n">
        <f aca="false">R$4+1</f>
        <v>47027</v>
      </c>
      <c r="T3" s="44" t="n">
        <f aca="false">S$4+1</f>
        <v>47119</v>
      </c>
      <c r="U3" s="44" t="n">
        <f aca="false">T$4+1</f>
        <v>47209</v>
      </c>
      <c r="V3" s="44" t="n">
        <f aca="false">U$4+1</f>
        <v>47300</v>
      </c>
      <c r="W3" s="44" t="n">
        <f aca="false">V$4+1</f>
        <v>47392</v>
      </c>
      <c r="X3" s="44" t="n">
        <f aca="false">W$4+1</f>
        <v>47484</v>
      </c>
      <c r="Y3" s="44" t="n">
        <f aca="false">X$4+1</f>
        <v>47574</v>
      </c>
      <c r="Z3" s="44" t="n">
        <f aca="false">Y$4+1</f>
        <v>47665</v>
      </c>
      <c r="AA3" s="44" t="n">
        <f aca="false">Z$4+1</f>
        <v>47757</v>
      </c>
      <c r="AB3" s="44" t="n">
        <f aca="false">AA$4+1</f>
        <v>47849</v>
      </c>
      <c r="AC3" s="44" t="n">
        <f aca="false">AB$4+1</f>
        <v>47939</v>
      </c>
      <c r="AD3" s="44" t="n">
        <f aca="false">AC$4+1</f>
        <v>48030</v>
      </c>
      <c r="AE3" s="44" t="n">
        <f aca="false">AD$4+1</f>
        <v>48122</v>
      </c>
      <c r="AF3" s="44" t="n">
        <f aca="false">AE$4+1</f>
        <v>48214</v>
      </c>
      <c r="AG3" s="44" t="n">
        <f aca="false">AF$4+1</f>
        <v>48305</v>
      </c>
      <c r="AH3" s="44" t="n">
        <f aca="false">AG$4+1</f>
        <v>48396</v>
      </c>
      <c r="AI3" s="44" t="n">
        <f aca="false">AH$4+1</f>
        <v>48488</v>
      </c>
      <c r="AJ3" s="44" t="n">
        <f aca="false">AI$4+1</f>
        <v>48580</v>
      </c>
      <c r="AK3" s="44" t="n">
        <f aca="false">AJ$4+1</f>
        <v>48670</v>
      </c>
      <c r="AL3" s="44" t="n">
        <f aca="false">AK$4+1</f>
        <v>48761</v>
      </c>
      <c r="AM3" s="44" t="n">
        <f aca="false">AL$4+1</f>
        <v>48853</v>
      </c>
      <c r="AN3" s="44" t="n">
        <f aca="false">AM$4+1</f>
        <v>48945</v>
      </c>
      <c r="AO3" s="44" t="n">
        <f aca="false">AN$4+1</f>
        <v>49035</v>
      </c>
      <c r="AP3" s="44" t="n">
        <f aca="false">AO$4+1</f>
        <v>49126</v>
      </c>
      <c r="AQ3" s="44" t="n">
        <f aca="false">AP$4+1</f>
        <v>49218</v>
      </c>
      <c r="AR3" s="44" t="n">
        <f aca="false">AQ$4+1</f>
        <v>49310</v>
      </c>
      <c r="AS3" s="44" t="n">
        <f aca="false">AR$4+1</f>
        <v>49400</v>
      </c>
      <c r="AT3" s="44" t="n">
        <f aca="false">AS$4+1</f>
        <v>49491</v>
      </c>
      <c r="AU3" s="44" t="n">
        <f aca="false">AT$4+1</f>
        <v>49583</v>
      </c>
      <c r="AV3" s="44" t="n">
        <f aca="false">AU$4+1</f>
        <v>49675</v>
      </c>
      <c r="AW3" s="44" t="n">
        <f aca="false">AV$4+1</f>
        <v>49766</v>
      </c>
      <c r="AX3" s="44" t="n">
        <f aca="false">AW$4+1</f>
        <v>49857</v>
      </c>
      <c r="AY3" s="44" t="n">
        <f aca="false">AX$4+1</f>
        <v>49949</v>
      </c>
      <c r="AZ3" s="44" t="n">
        <f aca="false">AY$4+1</f>
        <v>50041</v>
      </c>
      <c r="BA3" s="44" t="n">
        <f aca="false">AZ$4+1</f>
        <v>50131</v>
      </c>
      <c r="BB3" s="44" t="n">
        <f aca="false">BA$4+1</f>
        <v>50222</v>
      </c>
      <c r="BC3" s="44" t="n">
        <f aca="false">BB$4+1</f>
        <v>50314</v>
      </c>
      <c r="BD3" s="44" t="n">
        <f aca="false">BC$4+1</f>
        <v>50406</v>
      </c>
      <c r="BE3" s="44" t="n">
        <f aca="false">BD$4+1</f>
        <v>50496</v>
      </c>
      <c r="BF3" s="44" t="n">
        <f aca="false">BE$4+1</f>
        <v>50587</v>
      </c>
      <c r="BG3" s="44" t="n">
        <f aca="false">BF$4+1</f>
        <v>50679</v>
      </c>
      <c r="BH3" s="44" t="n">
        <f aca="false">BG$4+1</f>
        <v>50771</v>
      </c>
      <c r="BI3" s="44" t="n">
        <f aca="false">BH$4+1</f>
        <v>50861</v>
      </c>
      <c r="BJ3" s="44" t="n">
        <f aca="false">BI$4+1</f>
        <v>50952</v>
      </c>
      <c r="BK3" s="44" t="n">
        <f aca="false">BJ$4+1</f>
        <v>51044</v>
      </c>
      <c r="BL3" s="44" t="n">
        <f aca="false">BK$4+1</f>
        <v>51136</v>
      </c>
      <c r="BM3" s="44" t="n">
        <f aca="false">BL$4+1</f>
        <v>51227</v>
      </c>
      <c r="BN3" s="44" t="n">
        <f aca="false">BM$4+1</f>
        <v>51318</v>
      </c>
      <c r="BO3" s="44" t="n">
        <f aca="false">BN$4+1</f>
        <v>51410</v>
      </c>
      <c r="BP3" s="44" t="n">
        <f aca="false">BO$4+1</f>
        <v>51502</v>
      </c>
      <c r="BQ3" s="44" t="n">
        <f aca="false">BP$4+1</f>
        <v>51592</v>
      </c>
      <c r="BR3" s="44" t="n">
        <f aca="false">BQ$4+1</f>
        <v>51683</v>
      </c>
      <c r="BS3" s="44" t="n">
        <f aca="false">BR$4+1</f>
        <v>51775</v>
      </c>
      <c r="BT3" s="44" t="n">
        <f aca="false">BS$4+1</f>
        <v>51867</v>
      </c>
      <c r="BU3" s="44" t="n">
        <f aca="false">BT$4+1</f>
        <v>51957</v>
      </c>
      <c r="BV3" s="44" t="n">
        <f aca="false">BU$4+1</f>
        <v>52048</v>
      </c>
      <c r="BW3" s="44" t="n">
        <f aca="false">BV$4+1</f>
        <v>52140</v>
      </c>
      <c r="BX3" s="44" t="n">
        <f aca="false">BW$4+1</f>
        <v>52232</v>
      </c>
      <c r="BY3" s="44" t="n">
        <f aca="false">BX$4+1</f>
        <v>52322</v>
      </c>
      <c r="BZ3" s="44" t="n">
        <f aca="false">BY$4+1</f>
        <v>52413</v>
      </c>
      <c r="CA3" s="44" t="n">
        <f aca="false">BZ$4+1</f>
        <v>52505</v>
      </c>
      <c r="CB3" s="44" t="n">
        <f aca="false">CA$4+1</f>
        <v>52597</v>
      </c>
      <c r="CC3" s="44" t="n">
        <f aca="false">CB$4+1</f>
        <v>52688</v>
      </c>
      <c r="CD3" s="44" t="n">
        <f aca="false">CC$4+1</f>
        <v>52779</v>
      </c>
      <c r="CE3" s="44" t="n">
        <f aca="false">CD$4+1</f>
        <v>52871</v>
      </c>
      <c r="CF3" s="44" t="n">
        <f aca="false">CE$4+1</f>
        <v>52963</v>
      </c>
      <c r="CG3" s="44" t="n">
        <f aca="false">CF$4+1</f>
        <v>53053</v>
      </c>
      <c r="CH3" s="44" t="n">
        <f aca="false">CG$4+1</f>
        <v>53144</v>
      </c>
      <c r="CI3" s="44" t="n">
        <f aca="false">CH$4+1</f>
        <v>53236</v>
      </c>
      <c r="CJ3" s="44" t="n">
        <f aca="false">CI$4+1</f>
        <v>53328</v>
      </c>
      <c r="CK3" s="44" t="n">
        <f aca="false">CJ$4+1</f>
        <v>53418</v>
      </c>
      <c r="CL3" s="44" t="n">
        <f aca="false">CK$4+1</f>
        <v>53509</v>
      </c>
      <c r="CM3" s="44" t="n">
        <f aca="false">CL$4+1</f>
        <v>53601</v>
      </c>
      <c r="CN3" s="44" t="n">
        <f aca="false">CM$4+1</f>
        <v>53693</v>
      </c>
      <c r="CO3" s="44" t="n">
        <f aca="false">CN$4+1</f>
        <v>53783</v>
      </c>
      <c r="CP3" s="44" t="n">
        <f aca="false">CO$4+1</f>
        <v>53874</v>
      </c>
      <c r="CQ3" s="44" t="n">
        <f aca="false">CP$4+1</f>
        <v>53966</v>
      </c>
      <c r="CR3" s="44" t="n">
        <f aca="false">CQ$4+1</f>
        <v>54058</v>
      </c>
      <c r="CS3" s="44" t="n">
        <f aca="false">CR$4+1</f>
        <v>54149</v>
      </c>
      <c r="CT3" s="44" t="n">
        <f aca="false">CS$4+1</f>
        <v>54240</v>
      </c>
      <c r="CU3" s="44" t="n">
        <f aca="false">CT$4+1</f>
        <v>54332</v>
      </c>
      <c r="CV3" s="44" t="n">
        <f aca="false">CU$4+1</f>
        <v>54424</v>
      </c>
      <c r="CW3" s="44" t="n">
        <f aca="false">CV$4+1</f>
        <v>54514</v>
      </c>
      <c r="CX3" s="44" t="n">
        <f aca="false">CW$4+1</f>
        <v>54605</v>
      </c>
      <c r="CY3" s="44" t="n">
        <f aca="false">CX$4+1</f>
        <v>54697</v>
      </c>
      <c r="CZ3" s="44" t="n">
        <f aca="false">CY$4+1</f>
        <v>54789</v>
      </c>
      <c r="DA3" s="44" t="n">
        <f aca="false">CZ$4+1</f>
        <v>54879</v>
      </c>
      <c r="DB3" s="44" t="n">
        <f aca="false">DA$4+1</f>
        <v>54970</v>
      </c>
      <c r="DC3" s="44" t="n">
        <f aca="false">DB$4+1</f>
        <v>55062</v>
      </c>
      <c r="DD3" s="44" t="n">
        <f aca="false">DC$4+1</f>
        <v>55154</v>
      </c>
      <c r="DE3" s="44" t="n">
        <f aca="false">DD$4+1</f>
        <v>55244</v>
      </c>
      <c r="DF3" s="44" t="n">
        <f aca="false">DE$4+1</f>
        <v>55335</v>
      </c>
      <c r="DG3" s="44" t="n">
        <f aca="false">DF$4+1</f>
        <v>55427</v>
      </c>
      <c r="DH3" s="44" t="n">
        <f aca="false">DG$4+1</f>
        <v>55519</v>
      </c>
      <c r="DI3" s="44" t="n">
        <f aca="false">DH$4+1</f>
        <v>55610</v>
      </c>
      <c r="DJ3" s="44" t="n">
        <f aca="false">DI$4+1</f>
        <v>55701</v>
      </c>
      <c r="DK3" s="44" t="n">
        <f aca="false">DJ$4+1</f>
        <v>55793</v>
      </c>
      <c r="DL3" s="44" t="n">
        <f aca="false">DK$4+1</f>
        <v>55885</v>
      </c>
      <c r="DM3" s="44" t="n">
        <f aca="false">DL$4+1</f>
        <v>55975</v>
      </c>
      <c r="DN3" s="44" t="n">
        <f aca="false">DM$4+1</f>
        <v>56066</v>
      </c>
      <c r="DO3" s="44" t="n">
        <f aca="false">DN$4+1</f>
        <v>56158</v>
      </c>
      <c r="DP3" s="44" t="n">
        <f aca="false">DO$4+1</f>
        <v>56250</v>
      </c>
      <c r="DQ3" s="44" t="n">
        <f aca="false">DP$4+1</f>
        <v>56340</v>
      </c>
      <c r="DR3" s="44" t="n">
        <f aca="false">DQ$4+1</f>
        <v>56431</v>
      </c>
      <c r="DS3" s="44" t="n">
        <f aca="false">DR$4+1</f>
        <v>56523</v>
      </c>
      <c r="DT3" s="44" t="n">
        <f aca="false">DS$4+1</f>
        <v>56615</v>
      </c>
      <c r="DU3" s="44" t="n">
        <f aca="false">DT$4+1</f>
        <v>56705</v>
      </c>
      <c r="DV3" s="44" t="n">
        <f aca="false">DU$4+1</f>
        <v>56796</v>
      </c>
      <c r="DW3" s="44" t="n">
        <f aca="false">DV$4+1</f>
        <v>56888</v>
      </c>
      <c r="DX3" s="44" t="n">
        <f aca="false">DW$4+1</f>
        <v>56980</v>
      </c>
      <c r="DY3" s="44" t="n">
        <f aca="false">DX$4+1</f>
        <v>57071</v>
      </c>
      <c r="DZ3" s="44" t="n">
        <f aca="false">DY$4+1</f>
        <v>57162</v>
      </c>
      <c r="EA3" s="44" t="n">
        <f aca="false">DZ$4+1</f>
        <v>57254</v>
      </c>
      <c r="EB3" s="44" t="n">
        <f aca="false">EA$4+1</f>
        <v>57346</v>
      </c>
      <c r="EC3" s="44" t="n">
        <f aca="false">EB$4+1</f>
        <v>57436</v>
      </c>
      <c r="ED3" s="44" t="n">
        <f aca="false">EC$4+1</f>
        <v>57527</v>
      </c>
      <c r="EE3" s="44" t="n">
        <f aca="false">ED$4+1</f>
        <v>57619</v>
      </c>
      <c r="EF3" s="44" t="n">
        <f aca="false">EE$4+1</f>
        <v>57711</v>
      </c>
      <c r="EG3" s="44" t="n">
        <f aca="false">EF$4+1</f>
        <v>57801</v>
      </c>
      <c r="EH3" s="44" t="n">
        <f aca="false">EG$4+1</f>
        <v>57892</v>
      </c>
      <c r="EI3" s="44" t="n">
        <f aca="false">EH$4+1</f>
        <v>57984</v>
      </c>
      <c r="EJ3" s="44" t="n">
        <f aca="false">EI$4+1</f>
        <v>58076</v>
      </c>
      <c r="EK3" s="44" t="n">
        <f aca="false">EJ$4+1</f>
        <v>58166</v>
      </c>
      <c r="EL3" s="44" t="n">
        <f aca="false">EK$4+1</f>
        <v>58257</v>
      </c>
      <c r="EM3" s="44" t="n">
        <f aca="false">EL$4+1</f>
        <v>58349</v>
      </c>
      <c r="EN3" s="44" t="n">
        <f aca="false">EM$4+1</f>
        <v>58441</v>
      </c>
      <c r="EO3" s="44" t="n">
        <f aca="false">EN$4+1</f>
        <v>58532</v>
      </c>
      <c r="EP3" s="44" t="n">
        <f aca="false">EO$4+1</f>
        <v>58623</v>
      </c>
      <c r="EQ3" s="44" t="n">
        <f aca="false">EP$4+1</f>
        <v>58715</v>
      </c>
      <c r="ER3" s="44" t="n">
        <f aca="false">EQ$4+1</f>
        <v>58807</v>
      </c>
      <c r="ES3" s="44" t="n">
        <f aca="false">ER$4+1</f>
        <v>58897</v>
      </c>
      <c r="ET3" s="44" t="n">
        <f aca="false">ES$4+1</f>
        <v>58988</v>
      </c>
    </row>
    <row r="4" customFormat="false" ht="15" hidden="false" customHeight="false" outlineLevel="0" collapsed="false">
      <c r="C4" s="0" t="s">
        <v>479</v>
      </c>
      <c r="D4" s="11" t="s">
        <v>62</v>
      </c>
      <c r="I4" s="44" t="n">
        <f aca="false">In_Model_Start-1</f>
        <v>46203</v>
      </c>
      <c r="J4" s="51" t="n">
        <f aca="false">EOMONTH(J$3,Months_Per_Period-1)</f>
        <v>46295</v>
      </c>
      <c r="K4" s="51" t="n">
        <f aca="false">EOMONTH(K$3,Months_Per_Period-1)</f>
        <v>46387</v>
      </c>
      <c r="L4" s="51" t="n">
        <f aca="false">EOMONTH(L$3,Months_Per_Period-1)</f>
        <v>46477</v>
      </c>
      <c r="M4" s="51" t="n">
        <f aca="false">EOMONTH(M$3,Months_Per_Period-1)</f>
        <v>46568</v>
      </c>
      <c r="N4" s="51" t="n">
        <f aca="false">EOMONTH(N$3,Months_Per_Period-1)</f>
        <v>46660</v>
      </c>
      <c r="O4" s="51" t="n">
        <f aca="false">EOMONTH(O$3,Months_Per_Period-1)</f>
        <v>46752</v>
      </c>
      <c r="P4" s="51" t="n">
        <f aca="false">EOMONTH(P$3,Months_Per_Period-1)</f>
        <v>46843</v>
      </c>
      <c r="Q4" s="51" t="n">
        <f aca="false">EOMONTH(Q$3,Months_Per_Period-1)</f>
        <v>46934</v>
      </c>
      <c r="R4" s="51" t="n">
        <f aca="false">EOMONTH(R$3,Months_Per_Period-1)</f>
        <v>47026</v>
      </c>
      <c r="S4" s="51" t="n">
        <f aca="false">EOMONTH(S$3,Months_Per_Period-1)</f>
        <v>47118</v>
      </c>
      <c r="T4" s="51" t="n">
        <f aca="false">EOMONTH(T$3,Months_Per_Period-1)</f>
        <v>47208</v>
      </c>
      <c r="U4" s="51" t="n">
        <f aca="false">EOMONTH(U$3,Months_Per_Period-1)</f>
        <v>47299</v>
      </c>
      <c r="V4" s="51" t="n">
        <f aca="false">EOMONTH(V$3,Months_Per_Period-1)</f>
        <v>47391</v>
      </c>
      <c r="W4" s="51" t="n">
        <f aca="false">EOMONTH(W$3,Months_Per_Period-1)</f>
        <v>47483</v>
      </c>
      <c r="X4" s="51" t="n">
        <f aca="false">EOMONTH(X$3,Months_Per_Period-1)</f>
        <v>47573</v>
      </c>
      <c r="Y4" s="51" t="n">
        <f aca="false">EOMONTH(Y$3,Months_Per_Period-1)</f>
        <v>47664</v>
      </c>
      <c r="Z4" s="51" t="n">
        <f aca="false">EOMONTH(Z$3,Months_Per_Period-1)</f>
        <v>47756</v>
      </c>
      <c r="AA4" s="51" t="n">
        <f aca="false">EOMONTH(AA$3,Months_Per_Period-1)</f>
        <v>47848</v>
      </c>
      <c r="AB4" s="51" t="n">
        <f aca="false">EOMONTH(AB$3,Months_Per_Period-1)</f>
        <v>47938</v>
      </c>
      <c r="AC4" s="51" t="n">
        <f aca="false">EOMONTH(AC$3,Months_Per_Period-1)</f>
        <v>48029</v>
      </c>
      <c r="AD4" s="51" t="n">
        <f aca="false">EOMONTH(AD$3,Months_Per_Period-1)</f>
        <v>48121</v>
      </c>
      <c r="AE4" s="51" t="n">
        <f aca="false">EOMONTH(AE$3,Months_Per_Period-1)</f>
        <v>48213</v>
      </c>
      <c r="AF4" s="51" t="n">
        <f aca="false">EOMONTH(AF$3,Months_Per_Period-1)</f>
        <v>48304</v>
      </c>
      <c r="AG4" s="51" t="n">
        <f aca="false">EOMONTH(AG$3,Months_Per_Period-1)</f>
        <v>48395</v>
      </c>
      <c r="AH4" s="51" t="n">
        <f aca="false">EOMONTH(AH$3,Months_Per_Period-1)</f>
        <v>48487</v>
      </c>
      <c r="AI4" s="51" t="n">
        <f aca="false">EOMONTH(AI$3,Months_Per_Period-1)</f>
        <v>48579</v>
      </c>
      <c r="AJ4" s="51" t="n">
        <f aca="false">EOMONTH(AJ$3,Months_Per_Period-1)</f>
        <v>48669</v>
      </c>
      <c r="AK4" s="51" t="n">
        <f aca="false">EOMONTH(AK$3,Months_Per_Period-1)</f>
        <v>48760</v>
      </c>
      <c r="AL4" s="51" t="n">
        <f aca="false">EOMONTH(AL$3,Months_Per_Period-1)</f>
        <v>48852</v>
      </c>
      <c r="AM4" s="51" t="n">
        <f aca="false">EOMONTH(AM$3,Months_Per_Period-1)</f>
        <v>48944</v>
      </c>
      <c r="AN4" s="51" t="n">
        <f aca="false">EOMONTH(AN$3,Months_Per_Period-1)</f>
        <v>49034</v>
      </c>
      <c r="AO4" s="51" t="n">
        <f aca="false">EOMONTH(AO$3,Months_Per_Period-1)</f>
        <v>49125</v>
      </c>
      <c r="AP4" s="51" t="n">
        <f aca="false">EOMONTH(AP$3,Months_Per_Period-1)</f>
        <v>49217</v>
      </c>
      <c r="AQ4" s="51" t="n">
        <f aca="false">EOMONTH(AQ$3,Months_Per_Period-1)</f>
        <v>49309</v>
      </c>
      <c r="AR4" s="51" t="n">
        <f aca="false">EOMONTH(AR$3,Months_Per_Period-1)</f>
        <v>49399</v>
      </c>
      <c r="AS4" s="51" t="n">
        <f aca="false">EOMONTH(AS$3,Months_Per_Period-1)</f>
        <v>49490</v>
      </c>
      <c r="AT4" s="51" t="n">
        <f aca="false">EOMONTH(AT$3,Months_Per_Period-1)</f>
        <v>49582</v>
      </c>
      <c r="AU4" s="51" t="n">
        <f aca="false">EOMONTH(AU$3,Months_Per_Period-1)</f>
        <v>49674</v>
      </c>
      <c r="AV4" s="51" t="n">
        <f aca="false">EOMONTH(AV$3,Months_Per_Period-1)</f>
        <v>49765</v>
      </c>
      <c r="AW4" s="51" t="n">
        <f aca="false">EOMONTH(AW$3,Months_Per_Period-1)</f>
        <v>49856</v>
      </c>
      <c r="AX4" s="51" t="n">
        <f aca="false">EOMONTH(AX$3,Months_Per_Period-1)</f>
        <v>49948</v>
      </c>
      <c r="AY4" s="51" t="n">
        <f aca="false">EOMONTH(AY$3,Months_Per_Period-1)</f>
        <v>50040</v>
      </c>
      <c r="AZ4" s="51" t="n">
        <f aca="false">EOMONTH(AZ$3,Months_Per_Period-1)</f>
        <v>50130</v>
      </c>
      <c r="BA4" s="51" t="n">
        <f aca="false">EOMONTH(BA$3,Months_Per_Period-1)</f>
        <v>50221</v>
      </c>
      <c r="BB4" s="51" t="n">
        <f aca="false">EOMONTH(BB$3,Months_Per_Period-1)</f>
        <v>50313</v>
      </c>
      <c r="BC4" s="51" t="n">
        <f aca="false">EOMONTH(BC$3,Months_Per_Period-1)</f>
        <v>50405</v>
      </c>
      <c r="BD4" s="51" t="n">
        <f aca="false">EOMONTH(BD$3,Months_Per_Period-1)</f>
        <v>50495</v>
      </c>
      <c r="BE4" s="51" t="n">
        <f aca="false">EOMONTH(BE$3,Months_Per_Period-1)</f>
        <v>50586</v>
      </c>
      <c r="BF4" s="51" t="n">
        <f aca="false">EOMONTH(BF$3,Months_Per_Period-1)</f>
        <v>50678</v>
      </c>
      <c r="BG4" s="51" t="n">
        <f aca="false">EOMONTH(BG$3,Months_Per_Period-1)</f>
        <v>50770</v>
      </c>
      <c r="BH4" s="51" t="n">
        <f aca="false">EOMONTH(BH$3,Months_Per_Period-1)</f>
        <v>50860</v>
      </c>
      <c r="BI4" s="51" t="n">
        <f aca="false">EOMONTH(BI$3,Months_Per_Period-1)</f>
        <v>50951</v>
      </c>
      <c r="BJ4" s="51" t="n">
        <f aca="false">EOMONTH(BJ$3,Months_Per_Period-1)</f>
        <v>51043</v>
      </c>
      <c r="BK4" s="51" t="n">
        <f aca="false">EOMONTH(BK$3,Months_Per_Period-1)</f>
        <v>51135</v>
      </c>
      <c r="BL4" s="51" t="n">
        <f aca="false">EOMONTH(BL$3,Months_Per_Period-1)</f>
        <v>51226</v>
      </c>
      <c r="BM4" s="51" t="n">
        <f aca="false">EOMONTH(BM$3,Months_Per_Period-1)</f>
        <v>51317</v>
      </c>
      <c r="BN4" s="51" t="n">
        <f aca="false">EOMONTH(BN$3,Months_Per_Period-1)</f>
        <v>51409</v>
      </c>
      <c r="BO4" s="51" t="n">
        <f aca="false">EOMONTH(BO$3,Months_Per_Period-1)</f>
        <v>51501</v>
      </c>
      <c r="BP4" s="51" t="n">
        <f aca="false">EOMONTH(BP$3,Months_Per_Period-1)</f>
        <v>51591</v>
      </c>
      <c r="BQ4" s="51" t="n">
        <f aca="false">EOMONTH(BQ$3,Months_Per_Period-1)</f>
        <v>51682</v>
      </c>
      <c r="BR4" s="51" t="n">
        <f aca="false">EOMONTH(BR$3,Months_Per_Period-1)</f>
        <v>51774</v>
      </c>
      <c r="BS4" s="51" t="n">
        <f aca="false">EOMONTH(BS$3,Months_Per_Period-1)</f>
        <v>51866</v>
      </c>
      <c r="BT4" s="51" t="n">
        <f aca="false">EOMONTH(BT$3,Months_Per_Period-1)</f>
        <v>51956</v>
      </c>
      <c r="BU4" s="51" t="n">
        <f aca="false">EOMONTH(BU$3,Months_Per_Period-1)</f>
        <v>52047</v>
      </c>
      <c r="BV4" s="51" t="n">
        <f aca="false">EOMONTH(BV$3,Months_Per_Period-1)</f>
        <v>52139</v>
      </c>
      <c r="BW4" s="51" t="n">
        <f aca="false">EOMONTH(BW$3,Months_Per_Period-1)</f>
        <v>52231</v>
      </c>
      <c r="BX4" s="51" t="n">
        <f aca="false">EOMONTH(BX$3,Months_Per_Period-1)</f>
        <v>52321</v>
      </c>
      <c r="BY4" s="51" t="n">
        <f aca="false">EOMONTH(BY$3,Months_Per_Period-1)</f>
        <v>52412</v>
      </c>
      <c r="BZ4" s="51" t="n">
        <f aca="false">EOMONTH(BZ$3,Months_Per_Period-1)</f>
        <v>52504</v>
      </c>
      <c r="CA4" s="51" t="n">
        <f aca="false">EOMONTH(CA$3,Months_Per_Period-1)</f>
        <v>52596</v>
      </c>
      <c r="CB4" s="51" t="n">
        <f aca="false">EOMONTH(CB$3,Months_Per_Period-1)</f>
        <v>52687</v>
      </c>
      <c r="CC4" s="51" t="n">
        <f aca="false">EOMONTH(CC$3,Months_Per_Period-1)</f>
        <v>52778</v>
      </c>
      <c r="CD4" s="51" t="n">
        <f aca="false">EOMONTH(CD$3,Months_Per_Period-1)</f>
        <v>52870</v>
      </c>
      <c r="CE4" s="51" t="n">
        <f aca="false">EOMONTH(CE$3,Months_Per_Period-1)</f>
        <v>52962</v>
      </c>
      <c r="CF4" s="51" t="n">
        <f aca="false">EOMONTH(CF$3,Months_Per_Period-1)</f>
        <v>53052</v>
      </c>
      <c r="CG4" s="51" t="n">
        <f aca="false">EOMONTH(CG$3,Months_Per_Period-1)</f>
        <v>53143</v>
      </c>
      <c r="CH4" s="51" t="n">
        <f aca="false">EOMONTH(CH$3,Months_Per_Period-1)</f>
        <v>53235</v>
      </c>
      <c r="CI4" s="51" t="n">
        <f aca="false">EOMONTH(CI$3,Months_Per_Period-1)</f>
        <v>53327</v>
      </c>
      <c r="CJ4" s="51" t="n">
        <f aca="false">EOMONTH(CJ$3,Months_Per_Period-1)</f>
        <v>53417</v>
      </c>
      <c r="CK4" s="51" t="n">
        <f aca="false">EOMONTH(CK$3,Months_Per_Period-1)</f>
        <v>53508</v>
      </c>
      <c r="CL4" s="51" t="n">
        <f aca="false">EOMONTH(CL$3,Months_Per_Period-1)</f>
        <v>53600</v>
      </c>
      <c r="CM4" s="51" t="n">
        <f aca="false">EOMONTH(CM$3,Months_Per_Period-1)</f>
        <v>53692</v>
      </c>
      <c r="CN4" s="51" t="n">
        <f aca="false">EOMONTH(CN$3,Months_Per_Period-1)</f>
        <v>53782</v>
      </c>
      <c r="CO4" s="51" t="n">
        <f aca="false">EOMONTH(CO$3,Months_Per_Period-1)</f>
        <v>53873</v>
      </c>
      <c r="CP4" s="51" t="n">
        <f aca="false">EOMONTH(CP$3,Months_Per_Period-1)</f>
        <v>53965</v>
      </c>
      <c r="CQ4" s="51" t="n">
        <f aca="false">EOMONTH(CQ$3,Months_Per_Period-1)</f>
        <v>54057</v>
      </c>
      <c r="CR4" s="51" t="n">
        <f aca="false">EOMONTH(CR$3,Months_Per_Period-1)</f>
        <v>54148</v>
      </c>
      <c r="CS4" s="51" t="n">
        <f aca="false">EOMONTH(CS$3,Months_Per_Period-1)</f>
        <v>54239</v>
      </c>
      <c r="CT4" s="51" t="n">
        <f aca="false">EOMONTH(CT$3,Months_Per_Period-1)</f>
        <v>54331</v>
      </c>
      <c r="CU4" s="51" t="n">
        <f aca="false">EOMONTH(CU$3,Months_Per_Period-1)</f>
        <v>54423</v>
      </c>
      <c r="CV4" s="51" t="n">
        <f aca="false">EOMONTH(CV$3,Months_Per_Period-1)</f>
        <v>54513</v>
      </c>
      <c r="CW4" s="51" t="n">
        <f aca="false">EOMONTH(CW$3,Months_Per_Period-1)</f>
        <v>54604</v>
      </c>
      <c r="CX4" s="51" t="n">
        <f aca="false">EOMONTH(CX$3,Months_Per_Period-1)</f>
        <v>54696</v>
      </c>
      <c r="CY4" s="51" t="n">
        <f aca="false">EOMONTH(CY$3,Months_Per_Period-1)</f>
        <v>54788</v>
      </c>
      <c r="CZ4" s="51" t="n">
        <f aca="false">EOMONTH(CZ$3,Months_Per_Period-1)</f>
        <v>54878</v>
      </c>
      <c r="DA4" s="51" t="n">
        <f aca="false">EOMONTH(DA$3,Months_Per_Period-1)</f>
        <v>54969</v>
      </c>
      <c r="DB4" s="51" t="n">
        <f aca="false">EOMONTH(DB$3,Months_Per_Period-1)</f>
        <v>55061</v>
      </c>
      <c r="DC4" s="51" t="n">
        <f aca="false">EOMONTH(DC$3,Months_Per_Period-1)</f>
        <v>55153</v>
      </c>
      <c r="DD4" s="51" t="n">
        <f aca="false">EOMONTH(DD$3,Months_Per_Period-1)</f>
        <v>55243</v>
      </c>
      <c r="DE4" s="51" t="n">
        <f aca="false">EOMONTH(DE$3,Months_Per_Period-1)</f>
        <v>55334</v>
      </c>
      <c r="DF4" s="51" t="n">
        <f aca="false">EOMONTH(DF$3,Months_Per_Period-1)</f>
        <v>55426</v>
      </c>
      <c r="DG4" s="51" t="n">
        <f aca="false">EOMONTH(DG$3,Months_Per_Period-1)</f>
        <v>55518</v>
      </c>
      <c r="DH4" s="51" t="n">
        <f aca="false">EOMONTH(DH$3,Months_Per_Period-1)</f>
        <v>55609</v>
      </c>
      <c r="DI4" s="51" t="n">
        <f aca="false">EOMONTH(DI$3,Months_Per_Period-1)</f>
        <v>55700</v>
      </c>
      <c r="DJ4" s="51" t="n">
        <f aca="false">EOMONTH(DJ$3,Months_Per_Period-1)</f>
        <v>55792</v>
      </c>
      <c r="DK4" s="51" t="n">
        <f aca="false">EOMONTH(DK$3,Months_Per_Period-1)</f>
        <v>55884</v>
      </c>
      <c r="DL4" s="51" t="n">
        <f aca="false">EOMONTH(DL$3,Months_Per_Period-1)</f>
        <v>55974</v>
      </c>
      <c r="DM4" s="51" t="n">
        <f aca="false">EOMONTH(DM$3,Months_Per_Period-1)</f>
        <v>56065</v>
      </c>
      <c r="DN4" s="51" t="n">
        <f aca="false">EOMONTH(DN$3,Months_Per_Period-1)</f>
        <v>56157</v>
      </c>
      <c r="DO4" s="51" t="n">
        <f aca="false">EOMONTH(DO$3,Months_Per_Period-1)</f>
        <v>56249</v>
      </c>
      <c r="DP4" s="51" t="n">
        <f aca="false">EOMONTH(DP$3,Months_Per_Period-1)</f>
        <v>56339</v>
      </c>
      <c r="DQ4" s="51" t="n">
        <f aca="false">EOMONTH(DQ$3,Months_Per_Period-1)</f>
        <v>56430</v>
      </c>
      <c r="DR4" s="51" t="n">
        <f aca="false">EOMONTH(DR$3,Months_Per_Period-1)</f>
        <v>56522</v>
      </c>
      <c r="DS4" s="51" t="n">
        <f aca="false">EOMONTH(DS$3,Months_Per_Period-1)</f>
        <v>56614</v>
      </c>
      <c r="DT4" s="51" t="n">
        <f aca="false">EOMONTH(DT$3,Months_Per_Period-1)</f>
        <v>56704</v>
      </c>
      <c r="DU4" s="51" t="n">
        <f aca="false">EOMONTH(DU$3,Months_Per_Period-1)</f>
        <v>56795</v>
      </c>
      <c r="DV4" s="51" t="n">
        <f aca="false">EOMONTH(DV$3,Months_Per_Period-1)</f>
        <v>56887</v>
      </c>
      <c r="DW4" s="51" t="n">
        <f aca="false">EOMONTH(DW$3,Months_Per_Period-1)</f>
        <v>56979</v>
      </c>
      <c r="DX4" s="51" t="n">
        <f aca="false">EOMONTH(DX$3,Months_Per_Period-1)</f>
        <v>57070</v>
      </c>
      <c r="DY4" s="51" t="n">
        <f aca="false">EOMONTH(DY$3,Months_Per_Period-1)</f>
        <v>57161</v>
      </c>
      <c r="DZ4" s="51" t="n">
        <f aca="false">EOMONTH(DZ$3,Months_Per_Period-1)</f>
        <v>57253</v>
      </c>
      <c r="EA4" s="51" t="n">
        <f aca="false">EOMONTH(EA$3,Months_Per_Period-1)</f>
        <v>57345</v>
      </c>
      <c r="EB4" s="51" t="n">
        <f aca="false">EOMONTH(EB$3,Months_Per_Period-1)</f>
        <v>57435</v>
      </c>
      <c r="EC4" s="51" t="n">
        <f aca="false">EOMONTH(EC$3,Months_Per_Period-1)</f>
        <v>57526</v>
      </c>
      <c r="ED4" s="51" t="n">
        <f aca="false">EOMONTH(ED$3,Months_Per_Period-1)</f>
        <v>57618</v>
      </c>
      <c r="EE4" s="51" t="n">
        <f aca="false">EOMONTH(EE$3,Months_Per_Period-1)</f>
        <v>57710</v>
      </c>
      <c r="EF4" s="51" t="n">
        <f aca="false">EOMONTH(EF$3,Months_Per_Period-1)</f>
        <v>57800</v>
      </c>
      <c r="EG4" s="51" t="n">
        <f aca="false">EOMONTH(EG$3,Months_Per_Period-1)</f>
        <v>57891</v>
      </c>
      <c r="EH4" s="51" t="n">
        <f aca="false">EOMONTH(EH$3,Months_Per_Period-1)</f>
        <v>57983</v>
      </c>
      <c r="EI4" s="51" t="n">
        <f aca="false">EOMONTH(EI$3,Months_Per_Period-1)</f>
        <v>58075</v>
      </c>
      <c r="EJ4" s="51" t="n">
        <f aca="false">EOMONTH(EJ$3,Months_Per_Period-1)</f>
        <v>58165</v>
      </c>
      <c r="EK4" s="51" t="n">
        <f aca="false">EOMONTH(EK$3,Months_Per_Period-1)</f>
        <v>58256</v>
      </c>
      <c r="EL4" s="51" t="n">
        <f aca="false">EOMONTH(EL$3,Months_Per_Period-1)</f>
        <v>58348</v>
      </c>
      <c r="EM4" s="51" t="n">
        <f aca="false">EOMONTH(EM$3,Months_Per_Period-1)</f>
        <v>58440</v>
      </c>
      <c r="EN4" s="51" t="n">
        <f aca="false">EOMONTH(EN$3,Months_Per_Period-1)</f>
        <v>58531</v>
      </c>
      <c r="EO4" s="51" t="n">
        <f aca="false">EOMONTH(EO$3,Months_Per_Period-1)</f>
        <v>58622</v>
      </c>
      <c r="EP4" s="51" t="n">
        <f aca="false">EOMONTH(EP$3,Months_Per_Period-1)</f>
        <v>58714</v>
      </c>
      <c r="EQ4" s="51" t="n">
        <f aca="false">EOMONTH(EQ$3,Months_Per_Period-1)</f>
        <v>58806</v>
      </c>
      <c r="ER4" s="51" t="n">
        <f aca="false">EOMONTH(ER$3,Months_Per_Period-1)</f>
        <v>58896</v>
      </c>
      <c r="ES4" s="51" t="n">
        <f aca="false">EOMONTH(ES$3,Months_Per_Period-1)</f>
        <v>58987</v>
      </c>
      <c r="ET4" s="51" t="n">
        <f aca="false">EOMONTH(ET$3,Months_Per_Period-1)</f>
        <v>59079</v>
      </c>
    </row>
    <row r="5" customFormat="false" ht="15" hidden="false" customHeight="false" outlineLevel="0" collapsed="false">
      <c r="C5" s="0" t="s">
        <v>480</v>
      </c>
      <c r="D5" s="11" t="s">
        <v>215</v>
      </c>
      <c r="J5" s="42" t="n">
        <f aca="false">J$4-J$3+1</f>
        <v>92</v>
      </c>
      <c r="K5" s="42" t="n">
        <f aca="false">K$4-K$3+1</f>
        <v>92</v>
      </c>
      <c r="L5" s="42" t="n">
        <f aca="false">L$4-L$3+1</f>
        <v>90</v>
      </c>
      <c r="M5" s="42" t="n">
        <f aca="false">M$4-M$3+1</f>
        <v>91</v>
      </c>
      <c r="N5" s="42" t="n">
        <f aca="false">N$4-N$3+1</f>
        <v>92</v>
      </c>
      <c r="O5" s="42" t="n">
        <f aca="false">O$4-O$3+1</f>
        <v>92</v>
      </c>
      <c r="P5" s="42" t="n">
        <f aca="false">P$4-P$3+1</f>
        <v>91</v>
      </c>
      <c r="Q5" s="42" t="n">
        <f aca="false">Q$4-Q$3+1</f>
        <v>91</v>
      </c>
      <c r="R5" s="42" t="n">
        <f aca="false">R$4-R$3+1</f>
        <v>92</v>
      </c>
      <c r="S5" s="42" t="n">
        <f aca="false">S$4-S$3+1</f>
        <v>92</v>
      </c>
      <c r="T5" s="42" t="n">
        <f aca="false">T$4-T$3+1</f>
        <v>90</v>
      </c>
      <c r="U5" s="42" t="n">
        <f aca="false">U$4-U$3+1</f>
        <v>91</v>
      </c>
      <c r="V5" s="42" t="n">
        <f aca="false">V$4-V$3+1</f>
        <v>92</v>
      </c>
      <c r="W5" s="42" t="n">
        <f aca="false">W$4-W$3+1</f>
        <v>92</v>
      </c>
      <c r="X5" s="42" t="n">
        <f aca="false">X$4-X$3+1</f>
        <v>90</v>
      </c>
      <c r="Y5" s="42" t="n">
        <f aca="false">Y$4-Y$3+1</f>
        <v>91</v>
      </c>
      <c r="Z5" s="42" t="n">
        <f aca="false">Z$4-Z$3+1</f>
        <v>92</v>
      </c>
      <c r="AA5" s="42" t="n">
        <f aca="false">AA$4-AA$3+1</f>
        <v>92</v>
      </c>
      <c r="AB5" s="42" t="n">
        <f aca="false">AB$4-AB$3+1</f>
        <v>90</v>
      </c>
      <c r="AC5" s="42" t="n">
        <f aca="false">AC$4-AC$3+1</f>
        <v>91</v>
      </c>
      <c r="AD5" s="42" t="n">
        <f aca="false">AD$4-AD$3+1</f>
        <v>92</v>
      </c>
      <c r="AE5" s="42" t="n">
        <f aca="false">AE$4-AE$3+1</f>
        <v>92</v>
      </c>
      <c r="AF5" s="42" t="n">
        <f aca="false">AF$4-AF$3+1</f>
        <v>91</v>
      </c>
      <c r="AG5" s="42" t="n">
        <f aca="false">AG$4-AG$3+1</f>
        <v>91</v>
      </c>
      <c r="AH5" s="42" t="n">
        <f aca="false">AH$4-AH$3+1</f>
        <v>92</v>
      </c>
      <c r="AI5" s="42" t="n">
        <f aca="false">AI$4-AI$3+1</f>
        <v>92</v>
      </c>
      <c r="AJ5" s="42" t="n">
        <f aca="false">AJ$4-AJ$3+1</f>
        <v>90</v>
      </c>
      <c r="AK5" s="42" t="n">
        <f aca="false">AK$4-AK$3+1</f>
        <v>91</v>
      </c>
      <c r="AL5" s="42" t="n">
        <f aca="false">AL$4-AL$3+1</f>
        <v>92</v>
      </c>
      <c r="AM5" s="42" t="n">
        <f aca="false">AM$4-AM$3+1</f>
        <v>92</v>
      </c>
      <c r="AN5" s="42" t="n">
        <f aca="false">AN$4-AN$3+1</f>
        <v>90</v>
      </c>
      <c r="AO5" s="42" t="n">
        <f aca="false">AO$4-AO$3+1</f>
        <v>91</v>
      </c>
      <c r="AP5" s="42" t="n">
        <f aca="false">AP$4-AP$3+1</f>
        <v>92</v>
      </c>
      <c r="AQ5" s="42" t="n">
        <f aca="false">AQ$4-AQ$3+1</f>
        <v>92</v>
      </c>
      <c r="AR5" s="42" t="n">
        <f aca="false">AR$4-AR$3+1</f>
        <v>90</v>
      </c>
      <c r="AS5" s="42" t="n">
        <f aca="false">AS$4-AS$3+1</f>
        <v>91</v>
      </c>
      <c r="AT5" s="42" t="n">
        <f aca="false">AT$4-AT$3+1</f>
        <v>92</v>
      </c>
      <c r="AU5" s="42" t="n">
        <f aca="false">AU$4-AU$3+1</f>
        <v>92</v>
      </c>
      <c r="AV5" s="42" t="n">
        <f aca="false">AV$4-AV$3+1</f>
        <v>91</v>
      </c>
      <c r="AW5" s="42" t="n">
        <f aca="false">AW$4-AW$3+1</f>
        <v>91</v>
      </c>
      <c r="AX5" s="42" t="n">
        <f aca="false">AX$4-AX$3+1</f>
        <v>92</v>
      </c>
      <c r="AY5" s="42" t="n">
        <f aca="false">AY$4-AY$3+1</f>
        <v>92</v>
      </c>
      <c r="AZ5" s="42" t="n">
        <f aca="false">AZ$4-AZ$3+1</f>
        <v>90</v>
      </c>
      <c r="BA5" s="42" t="n">
        <f aca="false">BA$4-BA$3+1</f>
        <v>91</v>
      </c>
      <c r="BB5" s="42" t="n">
        <f aca="false">BB$4-BB$3+1</f>
        <v>92</v>
      </c>
      <c r="BC5" s="42" t="n">
        <f aca="false">BC$4-BC$3+1</f>
        <v>92</v>
      </c>
      <c r="BD5" s="42" t="n">
        <f aca="false">BD$4-BD$3+1</f>
        <v>90</v>
      </c>
      <c r="BE5" s="42" t="n">
        <f aca="false">BE$4-BE$3+1</f>
        <v>91</v>
      </c>
      <c r="BF5" s="42" t="n">
        <f aca="false">BF$4-BF$3+1</f>
        <v>92</v>
      </c>
      <c r="BG5" s="42" t="n">
        <f aca="false">BG$4-BG$3+1</f>
        <v>92</v>
      </c>
      <c r="BH5" s="42" t="n">
        <f aca="false">BH$4-BH$3+1</f>
        <v>90</v>
      </c>
      <c r="BI5" s="42" t="n">
        <f aca="false">BI$4-BI$3+1</f>
        <v>91</v>
      </c>
      <c r="BJ5" s="42" t="n">
        <f aca="false">BJ$4-BJ$3+1</f>
        <v>92</v>
      </c>
      <c r="BK5" s="42" t="n">
        <f aca="false">BK$4-BK$3+1</f>
        <v>92</v>
      </c>
      <c r="BL5" s="42" t="n">
        <f aca="false">BL$4-BL$3+1</f>
        <v>91</v>
      </c>
      <c r="BM5" s="42" t="n">
        <f aca="false">BM$4-BM$3+1</f>
        <v>91</v>
      </c>
      <c r="BN5" s="42" t="n">
        <f aca="false">BN$4-BN$3+1</f>
        <v>92</v>
      </c>
      <c r="BO5" s="42" t="n">
        <f aca="false">BO$4-BO$3+1</f>
        <v>92</v>
      </c>
      <c r="BP5" s="42" t="n">
        <f aca="false">BP$4-BP$3+1</f>
        <v>90</v>
      </c>
      <c r="BQ5" s="42" t="n">
        <f aca="false">BQ$4-BQ$3+1</f>
        <v>91</v>
      </c>
      <c r="BR5" s="42" t="n">
        <f aca="false">BR$4-BR$3+1</f>
        <v>92</v>
      </c>
      <c r="BS5" s="42" t="n">
        <f aca="false">BS$4-BS$3+1</f>
        <v>92</v>
      </c>
      <c r="BT5" s="42" t="n">
        <f aca="false">BT$4-BT$3+1</f>
        <v>90</v>
      </c>
      <c r="BU5" s="42" t="n">
        <f aca="false">BU$4-BU$3+1</f>
        <v>91</v>
      </c>
      <c r="BV5" s="42" t="n">
        <f aca="false">BV$4-BV$3+1</f>
        <v>92</v>
      </c>
      <c r="BW5" s="42" t="n">
        <f aca="false">BW$4-BW$3+1</f>
        <v>92</v>
      </c>
      <c r="BX5" s="42" t="n">
        <f aca="false">BX$4-BX$3+1</f>
        <v>90</v>
      </c>
      <c r="BY5" s="42" t="n">
        <f aca="false">BY$4-BY$3+1</f>
        <v>91</v>
      </c>
      <c r="BZ5" s="42" t="n">
        <f aca="false">BZ$4-BZ$3+1</f>
        <v>92</v>
      </c>
      <c r="CA5" s="42" t="n">
        <f aca="false">CA$4-CA$3+1</f>
        <v>92</v>
      </c>
      <c r="CB5" s="42" t="n">
        <f aca="false">CB$4-CB$3+1</f>
        <v>91</v>
      </c>
      <c r="CC5" s="42" t="n">
        <f aca="false">CC$4-CC$3+1</f>
        <v>91</v>
      </c>
      <c r="CD5" s="42" t="n">
        <f aca="false">CD$4-CD$3+1</f>
        <v>92</v>
      </c>
      <c r="CE5" s="42" t="n">
        <f aca="false">CE$4-CE$3+1</f>
        <v>92</v>
      </c>
      <c r="CF5" s="42" t="n">
        <f aca="false">CF$4-CF$3+1</f>
        <v>90</v>
      </c>
      <c r="CG5" s="42" t="n">
        <f aca="false">CG$4-CG$3+1</f>
        <v>91</v>
      </c>
      <c r="CH5" s="42" t="n">
        <f aca="false">CH$4-CH$3+1</f>
        <v>92</v>
      </c>
      <c r="CI5" s="42" t="n">
        <f aca="false">CI$4-CI$3+1</f>
        <v>92</v>
      </c>
      <c r="CJ5" s="42" t="n">
        <f aca="false">CJ$4-CJ$3+1</f>
        <v>90</v>
      </c>
      <c r="CK5" s="42" t="n">
        <f aca="false">CK$4-CK$3+1</f>
        <v>91</v>
      </c>
      <c r="CL5" s="42" t="n">
        <f aca="false">CL$4-CL$3+1</f>
        <v>92</v>
      </c>
      <c r="CM5" s="42" t="n">
        <f aca="false">CM$4-CM$3+1</f>
        <v>92</v>
      </c>
      <c r="CN5" s="42" t="n">
        <f aca="false">CN$4-CN$3+1</f>
        <v>90</v>
      </c>
      <c r="CO5" s="42" t="n">
        <f aca="false">CO$4-CO$3+1</f>
        <v>91</v>
      </c>
      <c r="CP5" s="42" t="n">
        <f aca="false">CP$4-CP$3+1</f>
        <v>92</v>
      </c>
      <c r="CQ5" s="42" t="n">
        <f aca="false">CQ$4-CQ$3+1</f>
        <v>92</v>
      </c>
      <c r="CR5" s="42" t="n">
        <f aca="false">CR$4-CR$3+1</f>
        <v>91</v>
      </c>
      <c r="CS5" s="42" t="n">
        <f aca="false">CS$4-CS$3+1</f>
        <v>91</v>
      </c>
      <c r="CT5" s="42" t="n">
        <f aca="false">CT$4-CT$3+1</f>
        <v>92</v>
      </c>
      <c r="CU5" s="42" t="n">
        <f aca="false">CU$4-CU$3+1</f>
        <v>92</v>
      </c>
      <c r="CV5" s="42" t="n">
        <f aca="false">CV$4-CV$3+1</f>
        <v>90</v>
      </c>
      <c r="CW5" s="42" t="n">
        <f aca="false">CW$4-CW$3+1</f>
        <v>91</v>
      </c>
      <c r="CX5" s="42" t="n">
        <f aca="false">CX$4-CX$3+1</f>
        <v>92</v>
      </c>
      <c r="CY5" s="42" t="n">
        <f aca="false">CY$4-CY$3+1</f>
        <v>92</v>
      </c>
      <c r="CZ5" s="42" t="n">
        <f aca="false">CZ$4-CZ$3+1</f>
        <v>90</v>
      </c>
      <c r="DA5" s="42" t="n">
        <f aca="false">DA$4-DA$3+1</f>
        <v>91</v>
      </c>
      <c r="DB5" s="42" t="n">
        <f aca="false">DB$4-DB$3+1</f>
        <v>92</v>
      </c>
      <c r="DC5" s="42" t="n">
        <f aca="false">DC$4-DC$3+1</f>
        <v>92</v>
      </c>
      <c r="DD5" s="42" t="n">
        <f aca="false">DD$4-DD$3+1</f>
        <v>90</v>
      </c>
      <c r="DE5" s="42" t="n">
        <f aca="false">DE$4-DE$3+1</f>
        <v>91</v>
      </c>
      <c r="DF5" s="42" t="n">
        <f aca="false">DF$4-DF$3+1</f>
        <v>92</v>
      </c>
      <c r="DG5" s="42" t="n">
        <f aca="false">DG$4-DG$3+1</f>
        <v>92</v>
      </c>
      <c r="DH5" s="42" t="n">
        <f aca="false">DH$4-DH$3+1</f>
        <v>91</v>
      </c>
      <c r="DI5" s="42" t="n">
        <f aca="false">DI$4-DI$3+1</f>
        <v>91</v>
      </c>
      <c r="DJ5" s="42" t="n">
        <f aca="false">DJ$4-DJ$3+1</f>
        <v>92</v>
      </c>
      <c r="DK5" s="42" t="n">
        <f aca="false">DK$4-DK$3+1</f>
        <v>92</v>
      </c>
      <c r="DL5" s="42" t="n">
        <f aca="false">DL$4-DL$3+1</f>
        <v>90</v>
      </c>
      <c r="DM5" s="42" t="n">
        <f aca="false">DM$4-DM$3+1</f>
        <v>91</v>
      </c>
      <c r="DN5" s="42" t="n">
        <f aca="false">DN$4-DN$3+1</f>
        <v>92</v>
      </c>
      <c r="DO5" s="42" t="n">
        <f aca="false">DO$4-DO$3+1</f>
        <v>92</v>
      </c>
      <c r="DP5" s="42" t="n">
        <f aca="false">DP$4-DP$3+1</f>
        <v>90</v>
      </c>
      <c r="DQ5" s="42" t="n">
        <f aca="false">DQ$4-DQ$3+1</f>
        <v>91</v>
      </c>
      <c r="DR5" s="42" t="n">
        <f aca="false">DR$4-DR$3+1</f>
        <v>92</v>
      </c>
      <c r="DS5" s="42" t="n">
        <f aca="false">DS$4-DS$3+1</f>
        <v>92</v>
      </c>
      <c r="DT5" s="42" t="n">
        <f aca="false">DT$4-DT$3+1</f>
        <v>90</v>
      </c>
      <c r="DU5" s="42" t="n">
        <f aca="false">DU$4-DU$3+1</f>
        <v>91</v>
      </c>
      <c r="DV5" s="42" t="n">
        <f aca="false">DV$4-DV$3+1</f>
        <v>92</v>
      </c>
      <c r="DW5" s="42" t="n">
        <f aca="false">DW$4-DW$3+1</f>
        <v>92</v>
      </c>
      <c r="DX5" s="42" t="n">
        <f aca="false">DX$4-DX$3+1</f>
        <v>91</v>
      </c>
      <c r="DY5" s="42" t="n">
        <f aca="false">DY$4-DY$3+1</f>
        <v>91</v>
      </c>
      <c r="DZ5" s="42" t="n">
        <f aca="false">DZ$4-DZ$3+1</f>
        <v>92</v>
      </c>
      <c r="EA5" s="42" t="n">
        <f aca="false">EA$4-EA$3+1</f>
        <v>92</v>
      </c>
      <c r="EB5" s="42" t="n">
        <f aca="false">EB$4-EB$3+1</f>
        <v>90</v>
      </c>
      <c r="EC5" s="42" t="n">
        <f aca="false">EC$4-EC$3+1</f>
        <v>91</v>
      </c>
      <c r="ED5" s="42" t="n">
        <f aca="false">ED$4-ED$3+1</f>
        <v>92</v>
      </c>
      <c r="EE5" s="42" t="n">
        <f aca="false">EE$4-EE$3+1</f>
        <v>92</v>
      </c>
      <c r="EF5" s="42" t="n">
        <f aca="false">EF$4-EF$3+1</f>
        <v>90</v>
      </c>
      <c r="EG5" s="42" t="n">
        <f aca="false">EG$4-EG$3+1</f>
        <v>91</v>
      </c>
      <c r="EH5" s="42" t="n">
        <f aca="false">EH$4-EH$3+1</f>
        <v>92</v>
      </c>
      <c r="EI5" s="42" t="n">
        <f aca="false">EI$4-EI$3+1</f>
        <v>92</v>
      </c>
      <c r="EJ5" s="42" t="n">
        <f aca="false">EJ$4-EJ$3+1</f>
        <v>90</v>
      </c>
      <c r="EK5" s="42" t="n">
        <f aca="false">EK$4-EK$3+1</f>
        <v>91</v>
      </c>
      <c r="EL5" s="42" t="n">
        <f aca="false">EL$4-EL$3+1</f>
        <v>92</v>
      </c>
      <c r="EM5" s="42" t="n">
        <f aca="false">EM$4-EM$3+1</f>
        <v>92</v>
      </c>
      <c r="EN5" s="42" t="n">
        <f aca="false">EN$4-EN$3+1</f>
        <v>91</v>
      </c>
      <c r="EO5" s="42" t="n">
        <f aca="false">EO$4-EO$3+1</f>
        <v>91</v>
      </c>
      <c r="EP5" s="42" t="n">
        <f aca="false">EP$4-EP$3+1</f>
        <v>92</v>
      </c>
      <c r="EQ5" s="42" t="n">
        <f aca="false">EQ$4-EQ$3+1</f>
        <v>92</v>
      </c>
      <c r="ER5" s="42" t="n">
        <f aca="false">ER$4-ER$3+1</f>
        <v>90</v>
      </c>
      <c r="ES5" s="42" t="n">
        <f aca="false">ES$4-ES$3+1</f>
        <v>91</v>
      </c>
      <c r="ET5" s="42" t="n">
        <f aca="false">ET$4-ET$3+1</f>
        <v>92</v>
      </c>
    </row>
    <row r="6" customFormat="false" ht="15" hidden="false" customHeight="false" outlineLevel="0" collapsed="false">
      <c r="C6" s="0" t="s">
        <v>481</v>
      </c>
      <c r="D6" s="11" t="s">
        <v>482</v>
      </c>
      <c r="J6" s="52" t="n">
        <f aca="false">J$5/Days_In_Year</f>
        <v>0.252054794520548</v>
      </c>
      <c r="K6" s="52" t="n">
        <f aca="false">K$5/Days_In_Year</f>
        <v>0.252054794520548</v>
      </c>
      <c r="L6" s="52" t="n">
        <f aca="false">L$5/Days_In_Year</f>
        <v>0.246575342465753</v>
      </c>
      <c r="M6" s="52" t="n">
        <f aca="false">M$5/Days_In_Year</f>
        <v>0.249315068493151</v>
      </c>
      <c r="N6" s="52" t="n">
        <f aca="false">N$5/Days_In_Year</f>
        <v>0.252054794520548</v>
      </c>
      <c r="O6" s="52" t="n">
        <f aca="false">O$5/Days_In_Year</f>
        <v>0.252054794520548</v>
      </c>
      <c r="P6" s="52" t="n">
        <f aca="false">P$5/Days_In_Year</f>
        <v>0.249315068493151</v>
      </c>
      <c r="Q6" s="52" t="n">
        <f aca="false">Q$5/Days_In_Year</f>
        <v>0.249315068493151</v>
      </c>
      <c r="R6" s="52" t="n">
        <f aca="false">R$5/Days_In_Year</f>
        <v>0.252054794520548</v>
      </c>
      <c r="S6" s="52" t="n">
        <f aca="false">S$5/Days_In_Year</f>
        <v>0.252054794520548</v>
      </c>
      <c r="T6" s="52" t="n">
        <f aca="false">T$5/Days_In_Year</f>
        <v>0.246575342465753</v>
      </c>
      <c r="U6" s="52" t="n">
        <f aca="false">U$5/Days_In_Year</f>
        <v>0.249315068493151</v>
      </c>
      <c r="V6" s="52" t="n">
        <f aca="false">V$5/Days_In_Year</f>
        <v>0.252054794520548</v>
      </c>
      <c r="W6" s="52" t="n">
        <f aca="false">W$5/Days_In_Year</f>
        <v>0.252054794520548</v>
      </c>
      <c r="X6" s="52" t="n">
        <f aca="false">X$5/Days_In_Year</f>
        <v>0.246575342465753</v>
      </c>
      <c r="Y6" s="52" t="n">
        <f aca="false">Y$5/Days_In_Year</f>
        <v>0.249315068493151</v>
      </c>
      <c r="Z6" s="52" t="n">
        <f aca="false">Z$5/Days_In_Year</f>
        <v>0.252054794520548</v>
      </c>
      <c r="AA6" s="52" t="n">
        <f aca="false">AA$5/Days_In_Year</f>
        <v>0.252054794520548</v>
      </c>
      <c r="AB6" s="52" t="n">
        <f aca="false">AB$5/Days_In_Year</f>
        <v>0.246575342465753</v>
      </c>
      <c r="AC6" s="52" t="n">
        <f aca="false">AC$5/Days_In_Year</f>
        <v>0.249315068493151</v>
      </c>
      <c r="AD6" s="52" t="n">
        <f aca="false">AD$5/Days_In_Year</f>
        <v>0.252054794520548</v>
      </c>
      <c r="AE6" s="52" t="n">
        <f aca="false">AE$5/Days_In_Year</f>
        <v>0.252054794520548</v>
      </c>
      <c r="AF6" s="52" t="n">
        <f aca="false">AF$5/Days_In_Year</f>
        <v>0.249315068493151</v>
      </c>
      <c r="AG6" s="52" t="n">
        <f aca="false">AG$5/Days_In_Year</f>
        <v>0.249315068493151</v>
      </c>
      <c r="AH6" s="52" t="n">
        <f aca="false">AH$5/Days_In_Year</f>
        <v>0.252054794520548</v>
      </c>
      <c r="AI6" s="52" t="n">
        <f aca="false">AI$5/Days_In_Year</f>
        <v>0.252054794520548</v>
      </c>
      <c r="AJ6" s="52" t="n">
        <f aca="false">AJ$5/Days_In_Year</f>
        <v>0.246575342465753</v>
      </c>
      <c r="AK6" s="52" t="n">
        <f aca="false">AK$5/Days_In_Year</f>
        <v>0.249315068493151</v>
      </c>
      <c r="AL6" s="52" t="n">
        <f aca="false">AL$5/Days_In_Year</f>
        <v>0.252054794520548</v>
      </c>
      <c r="AM6" s="52" t="n">
        <f aca="false">AM$5/Days_In_Year</f>
        <v>0.252054794520548</v>
      </c>
      <c r="AN6" s="52" t="n">
        <f aca="false">AN$5/Days_In_Year</f>
        <v>0.246575342465753</v>
      </c>
      <c r="AO6" s="52" t="n">
        <f aca="false">AO$5/Days_In_Year</f>
        <v>0.249315068493151</v>
      </c>
      <c r="AP6" s="52" t="n">
        <f aca="false">AP$5/Days_In_Year</f>
        <v>0.252054794520548</v>
      </c>
      <c r="AQ6" s="52" t="n">
        <f aca="false">AQ$5/Days_In_Year</f>
        <v>0.252054794520548</v>
      </c>
      <c r="AR6" s="52" t="n">
        <f aca="false">AR$5/Days_In_Year</f>
        <v>0.246575342465753</v>
      </c>
      <c r="AS6" s="52" t="n">
        <f aca="false">AS$5/Days_In_Year</f>
        <v>0.249315068493151</v>
      </c>
      <c r="AT6" s="52" t="n">
        <f aca="false">AT$5/Days_In_Year</f>
        <v>0.252054794520548</v>
      </c>
      <c r="AU6" s="52" t="n">
        <f aca="false">AU$5/Days_In_Year</f>
        <v>0.252054794520548</v>
      </c>
      <c r="AV6" s="52" t="n">
        <f aca="false">AV$5/Days_In_Year</f>
        <v>0.249315068493151</v>
      </c>
      <c r="AW6" s="52" t="n">
        <f aca="false">AW$5/Days_In_Year</f>
        <v>0.249315068493151</v>
      </c>
      <c r="AX6" s="52" t="n">
        <f aca="false">AX$5/Days_In_Year</f>
        <v>0.252054794520548</v>
      </c>
      <c r="AY6" s="52" t="n">
        <f aca="false">AY$5/Days_In_Year</f>
        <v>0.252054794520548</v>
      </c>
      <c r="AZ6" s="52" t="n">
        <f aca="false">AZ$5/Days_In_Year</f>
        <v>0.246575342465753</v>
      </c>
      <c r="BA6" s="52" t="n">
        <f aca="false">BA$5/Days_In_Year</f>
        <v>0.249315068493151</v>
      </c>
      <c r="BB6" s="52" t="n">
        <f aca="false">BB$5/Days_In_Year</f>
        <v>0.252054794520548</v>
      </c>
      <c r="BC6" s="52" t="n">
        <f aca="false">BC$5/Days_In_Year</f>
        <v>0.252054794520548</v>
      </c>
      <c r="BD6" s="52" t="n">
        <f aca="false">BD$5/Days_In_Year</f>
        <v>0.246575342465753</v>
      </c>
      <c r="BE6" s="52" t="n">
        <f aca="false">BE$5/Days_In_Year</f>
        <v>0.249315068493151</v>
      </c>
      <c r="BF6" s="52" t="n">
        <f aca="false">BF$5/Days_In_Year</f>
        <v>0.252054794520548</v>
      </c>
      <c r="BG6" s="52" t="n">
        <f aca="false">BG$5/Days_In_Year</f>
        <v>0.252054794520548</v>
      </c>
      <c r="BH6" s="52" t="n">
        <f aca="false">BH$5/Days_In_Year</f>
        <v>0.246575342465753</v>
      </c>
      <c r="BI6" s="52" t="n">
        <f aca="false">BI$5/Days_In_Year</f>
        <v>0.249315068493151</v>
      </c>
      <c r="BJ6" s="52" t="n">
        <f aca="false">BJ$5/Days_In_Year</f>
        <v>0.252054794520548</v>
      </c>
      <c r="BK6" s="52" t="n">
        <f aca="false">BK$5/Days_In_Year</f>
        <v>0.252054794520548</v>
      </c>
      <c r="BL6" s="52" t="n">
        <f aca="false">BL$5/Days_In_Year</f>
        <v>0.249315068493151</v>
      </c>
      <c r="BM6" s="52" t="n">
        <f aca="false">BM$5/Days_In_Year</f>
        <v>0.249315068493151</v>
      </c>
      <c r="BN6" s="52" t="n">
        <f aca="false">BN$5/Days_In_Year</f>
        <v>0.252054794520548</v>
      </c>
      <c r="BO6" s="52" t="n">
        <f aca="false">BO$5/Days_In_Year</f>
        <v>0.252054794520548</v>
      </c>
      <c r="BP6" s="52" t="n">
        <f aca="false">BP$5/Days_In_Year</f>
        <v>0.246575342465753</v>
      </c>
      <c r="BQ6" s="52" t="n">
        <f aca="false">BQ$5/Days_In_Year</f>
        <v>0.249315068493151</v>
      </c>
      <c r="BR6" s="52" t="n">
        <f aca="false">BR$5/Days_In_Year</f>
        <v>0.252054794520548</v>
      </c>
      <c r="BS6" s="52" t="n">
        <f aca="false">BS$5/Days_In_Year</f>
        <v>0.252054794520548</v>
      </c>
      <c r="BT6" s="52" t="n">
        <f aca="false">BT$5/Days_In_Year</f>
        <v>0.246575342465753</v>
      </c>
      <c r="BU6" s="52" t="n">
        <f aca="false">BU$5/Days_In_Year</f>
        <v>0.249315068493151</v>
      </c>
      <c r="BV6" s="52" t="n">
        <f aca="false">BV$5/Days_In_Year</f>
        <v>0.252054794520548</v>
      </c>
      <c r="BW6" s="52" t="n">
        <f aca="false">BW$5/Days_In_Year</f>
        <v>0.252054794520548</v>
      </c>
      <c r="BX6" s="52" t="n">
        <f aca="false">BX$5/Days_In_Year</f>
        <v>0.246575342465753</v>
      </c>
      <c r="BY6" s="52" t="n">
        <f aca="false">BY$5/Days_In_Year</f>
        <v>0.249315068493151</v>
      </c>
      <c r="BZ6" s="52" t="n">
        <f aca="false">BZ$5/Days_In_Year</f>
        <v>0.252054794520548</v>
      </c>
      <c r="CA6" s="52" t="n">
        <f aca="false">CA$5/Days_In_Year</f>
        <v>0.252054794520548</v>
      </c>
      <c r="CB6" s="52" t="n">
        <f aca="false">CB$5/Days_In_Year</f>
        <v>0.249315068493151</v>
      </c>
      <c r="CC6" s="52" t="n">
        <f aca="false">CC$5/Days_In_Year</f>
        <v>0.249315068493151</v>
      </c>
      <c r="CD6" s="52" t="n">
        <f aca="false">CD$5/Days_In_Year</f>
        <v>0.252054794520548</v>
      </c>
      <c r="CE6" s="52" t="n">
        <f aca="false">CE$5/Days_In_Year</f>
        <v>0.252054794520548</v>
      </c>
      <c r="CF6" s="52" t="n">
        <f aca="false">CF$5/Days_In_Year</f>
        <v>0.246575342465753</v>
      </c>
      <c r="CG6" s="52" t="n">
        <f aca="false">CG$5/Days_In_Year</f>
        <v>0.249315068493151</v>
      </c>
      <c r="CH6" s="52" t="n">
        <f aca="false">CH$5/Days_In_Year</f>
        <v>0.252054794520548</v>
      </c>
      <c r="CI6" s="52" t="n">
        <f aca="false">CI$5/Days_In_Year</f>
        <v>0.252054794520548</v>
      </c>
      <c r="CJ6" s="52" t="n">
        <f aca="false">CJ$5/Days_In_Year</f>
        <v>0.246575342465753</v>
      </c>
      <c r="CK6" s="52" t="n">
        <f aca="false">CK$5/Days_In_Year</f>
        <v>0.249315068493151</v>
      </c>
      <c r="CL6" s="52" t="n">
        <f aca="false">CL$5/Days_In_Year</f>
        <v>0.252054794520548</v>
      </c>
      <c r="CM6" s="52" t="n">
        <f aca="false">CM$5/Days_In_Year</f>
        <v>0.252054794520548</v>
      </c>
      <c r="CN6" s="52" t="n">
        <f aca="false">CN$5/Days_In_Year</f>
        <v>0.246575342465753</v>
      </c>
      <c r="CO6" s="52" t="n">
        <f aca="false">CO$5/Days_In_Year</f>
        <v>0.249315068493151</v>
      </c>
      <c r="CP6" s="52" t="n">
        <f aca="false">CP$5/Days_In_Year</f>
        <v>0.252054794520548</v>
      </c>
      <c r="CQ6" s="52" t="n">
        <f aca="false">CQ$5/Days_In_Year</f>
        <v>0.252054794520548</v>
      </c>
      <c r="CR6" s="52" t="n">
        <f aca="false">CR$5/Days_In_Year</f>
        <v>0.249315068493151</v>
      </c>
      <c r="CS6" s="52" t="n">
        <f aca="false">CS$5/Days_In_Year</f>
        <v>0.249315068493151</v>
      </c>
      <c r="CT6" s="52" t="n">
        <f aca="false">CT$5/Days_In_Year</f>
        <v>0.252054794520548</v>
      </c>
      <c r="CU6" s="52" t="n">
        <f aca="false">CU$5/Days_In_Year</f>
        <v>0.252054794520548</v>
      </c>
      <c r="CV6" s="52" t="n">
        <f aca="false">CV$5/Days_In_Year</f>
        <v>0.246575342465753</v>
      </c>
      <c r="CW6" s="52" t="n">
        <f aca="false">CW$5/Days_In_Year</f>
        <v>0.249315068493151</v>
      </c>
      <c r="CX6" s="52" t="n">
        <f aca="false">CX$5/Days_In_Year</f>
        <v>0.252054794520548</v>
      </c>
      <c r="CY6" s="52" t="n">
        <f aca="false">CY$5/Days_In_Year</f>
        <v>0.252054794520548</v>
      </c>
      <c r="CZ6" s="52" t="n">
        <f aca="false">CZ$5/Days_In_Year</f>
        <v>0.246575342465753</v>
      </c>
      <c r="DA6" s="52" t="n">
        <f aca="false">DA$5/Days_In_Year</f>
        <v>0.249315068493151</v>
      </c>
      <c r="DB6" s="52" t="n">
        <f aca="false">DB$5/Days_In_Year</f>
        <v>0.252054794520548</v>
      </c>
      <c r="DC6" s="52" t="n">
        <f aca="false">DC$5/Days_In_Year</f>
        <v>0.252054794520548</v>
      </c>
      <c r="DD6" s="52" t="n">
        <f aca="false">DD$5/Days_In_Year</f>
        <v>0.246575342465753</v>
      </c>
      <c r="DE6" s="52" t="n">
        <f aca="false">DE$5/Days_In_Year</f>
        <v>0.249315068493151</v>
      </c>
      <c r="DF6" s="52" t="n">
        <f aca="false">DF$5/Days_In_Year</f>
        <v>0.252054794520548</v>
      </c>
      <c r="DG6" s="52" t="n">
        <f aca="false">DG$5/Days_In_Year</f>
        <v>0.252054794520548</v>
      </c>
      <c r="DH6" s="52" t="n">
        <f aca="false">DH$5/Days_In_Year</f>
        <v>0.249315068493151</v>
      </c>
      <c r="DI6" s="52" t="n">
        <f aca="false">DI$5/Days_In_Year</f>
        <v>0.249315068493151</v>
      </c>
      <c r="DJ6" s="52" t="n">
        <f aca="false">DJ$5/Days_In_Year</f>
        <v>0.252054794520548</v>
      </c>
      <c r="DK6" s="52" t="n">
        <f aca="false">DK$5/Days_In_Year</f>
        <v>0.252054794520548</v>
      </c>
      <c r="DL6" s="52" t="n">
        <f aca="false">DL$5/Days_In_Year</f>
        <v>0.246575342465753</v>
      </c>
      <c r="DM6" s="52" t="n">
        <f aca="false">DM$5/Days_In_Year</f>
        <v>0.249315068493151</v>
      </c>
      <c r="DN6" s="52" t="n">
        <f aca="false">DN$5/Days_In_Year</f>
        <v>0.252054794520548</v>
      </c>
      <c r="DO6" s="52" t="n">
        <f aca="false">DO$5/Days_In_Year</f>
        <v>0.252054794520548</v>
      </c>
      <c r="DP6" s="52" t="n">
        <f aca="false">DP$5/Days_In_Year</f>
        <v>0.246575342465753</v>
      </c>
      <c r="DQ6" s="52" t="n">
        <f aca="false">DQ$5/Days_In_Year</f>
        <v>0.249315068493151</v>
      </c>
      <c r="DR6" s="52" t="n">
        <f aca="false">DR$5/Days_In_Year</f>
        <v>0.252054794520548</v>
      </c>
      <c r="DS6" s="52" t="n">
        <f aca="false">DS$5/Days_In_Year</f>
        <v>0.252054794520548</v>
      </c>
      <c r="DT6" s="52" t="n">
        <f aca="false">DT$5/Days_In_Year</f>
        <v>0.246575342465753</v>
      </c>
      <c r="DU6" s="52" t="n">
        <f aca="false">DU$5/Days_In_Year</f>
        <v>0.249315068493151</v>
      </c>
      <c r="DV6" s="52" t="n">
        <f aca="false">DV$5/Days_In_Year</f>
        <v>0.252054794520548</v>
      </c>
      <c r="DW6" s="52" t="n">
        <f aca="false">DW$5/Days_In_Year</f>
        <v>0.252054794520548</v>
      </c>
      <c r="DX6" s="52" t="n">
        <f aca="false">DX$5/Days_In_Year</f>
        <v>0.249315068493151</v>
      </c>
      <c r="DY6" s="52" t="n">
        <f aca="false">DY$5/Days_In_Year</f>
        <v>0.249315068493151</v>
      </c>
      <c r="DZ6" s="52" t="n">
        <f aca="false">DZ$5/Days_In_Year</f>
        <v>0.252054794520548</v>
      </c>
      <c r="EA6" s="52" t="n">
        <f aca="false">EA$5/Days_In_Year</f>
        <v>0.252054794520548</v>
      </c>
      <c r="EB6" s="52" t="n">
        <f aca="false">EB$5/Days_In_Year</f>
        <v>0.246575342465753</v>
      </c>
      <c r="EC6" s="52" t="n">
        <f aca="false">EC$5/Days_In_Year</f>
        <v>0.249315068493151</v>
      </c>
      <c r="ED6" s="52" t="n">
        <f aca="false">ED$5/Days_In_Year</f>
        <v>0.252054794520548</v>
      </c>
      <c r="EE6" s="52" t="n">
        <f aca="false">EE$5/Days_In_Year</f>
        <v>0.252054794520548</v>
      </c>
      <c r="EF6" s="52" t="n">
        <f aca="false">EF$5/Days_In_Year</f>
        <v>0.246575342465753</v>
      </c>
      <c r="EG6" s="52" t="n">
        <f aca="false">EG$5/Days_In_Year</f>
        <v>0.249315068493151</v>
      </c>
      <c r="EH6" s="52" t="n">
        <f aca="false">EH$5/Days_In_Year</f>
        <v>0.252054794520548</v>
      </c>
      <c r="EI6" s="52" t="n">
        <f aca="false">EI$5/Days_In_Year</f>
        <v>0.252054794520548</v>
      </c>
      <c r="EJ6" s="52" t="n">
        <f aca="false">EJ$5/Days_In_Year</f>
        <v>0.246575342465753</v>
      </c>
      <c r="EK6" s="52" t="n">
        <f aca="false">EK$5/Days_In_Year</f>
        <v>0.249315068493151</v>
      </c>
      <c r="EL6" s="52" t="n">
        <f aca="false">EL$5/Days_In_Year</f>
        <v>0.252054794520548</v>
      </c>
      <c r="EM6" s="52" t="n">
        <f aca="false">EM$5/Days_In_Year</f>
        <v>0.252054794520548</v>
      </c>
      <c r="EN6" s="52" t="n">
        <f aca="false">EN$5/Days_In_Year</f>
        <v>0.249315068493151</v>
      </c>
      <c r="EO6" s="52" t="n">
        <f aca="false">EO$5/Days_In_Year</f>
        <v>0.249315068493151</v>
      </c>
      <c r="EP6" s="52" t="n">
        <f aca="false">EP$5/Days_In_Year</f>
        <v>0.252054794520548</v>
      </c>
      <c r="EQ6" s="52" t="n">
        <f aca="false">EQ$5/Days_In_Year</f>
        <v>0.252054794520548</v>
      </c>
      <c r="ER6" s="52" t="n">
        <f aca="false">ER$5/Days_In_Year</f>
        <v>0.246575342465753</v>
      </c>
      <c r="ES6" s="52" t="n">
        <f aca="false">ES$5/Days_In_Year</f>
        <v>0.249315068493151</v>
      </c>
      <c r="ET6" s="52" t="n">
        <f aca="false">ET$5/Days_In_Year</f>
        <v>0.252054794520548</v>
      </c>
    </row>
    <row r="7" customFormat="false" ht="15" hidden="false" customHeight="false" outlineLevel="0" collapsed="false">
      <c r="C7" s="0" t="s">
        <v>483</v>
      </c>
      <c r="D7" s="11" t="s">
        <v>484</v>
      </c>
      <c r="J7" s="42" t="n">
        <f aca="false">YEAR(J$4)</f>
        <v>2026</v>
      </c>
      <c r="K7" s="42" t="n">
        <f aca="false">YEAR(K$4)</f>
        <v>2026</v>
      </c>
      <c r="L7" s="42" t="n">
        <f aca="false">YEAR(L$4)</f>
        <v>2027</v>
      </c>
      <c r="M7" s="42" t="n">
        <f aca="false">YEAR(M$4)</f>
        <v>2027</v>
      </c>
      <c r="N7" s="42" t="n">
        <f aca="false">YEAR(N$4)</f>
        <v>2027</v>
      </c>
      <c r="O7" s="42" t="n">
        <f aca="false">YEAR(O$4)</f>
        <v>2027</v>
      </c>
      <c r="P7" s="42" t="n">
        <f aca="false">YEAR(P$4)</f>
        <v>2028</v>
      </c>
      <c r="Q7" s="42" t="n">
        <f aca="false">YEAR(Q$4)</f>
        <v>2028</v>
      </c>
      <c r="R7" s="42" t="n">
        <f aca="false">YEAR(R$4)</f>
        <v>2028</v>
      </c>
      <c r="S7" s="42" t="n">
        <f aca="false">YEAR(S$4)</f>
        <v>2028</v>
      </c>
      <c r="T7" s="42" t="n">
        <f aca="false">YEAR(T$4)</f>
        <v>2029</v>
      </c>
      <c r="U7" s="42" t="n">
        <f aca="false">YEAR(U$4)</f>
        <v>2029</v>
      </c>
      <c r="V7" s="42" t="n">
        <f aca="false">YEAR(V$4)</f>
        <v>2029</v>
      </c>
      <c r="W7" s="42" t="n">
        <f aca="false">YEAR(W$4)</f>
        <v>2029</v>
      </c>
      <c r="X7" s="42" t="n">
        <f aca="false">YEAR(X$4)</f>
        <v>2030</v>
      </c>
      <c r="Y7" s="42" t="n">
        <f aca="false">YEAR(Y$4)</f>
        <v>2030</v>
      </c>
      <c r="Z7" s="42" t="n">
        <f aca="false">YEAR(Z$4)</f>
        <v>2030</v>
      </c>
      <c r="AA7" s="42" t="n">
        <f aca="false">YEAR(AA$4)</f>
        <v>2030</v>
      </c>
      <c r="AB7" s="42" t="n">
        <f aca="false">YEAR(AB$4)</f>
        <v>2031</v>
      </c>
      <c r="AC7" s="42" t="n">
        <f aca="false">YEAR(AC$4)</f>
        <v>2031</v>
      </c>
      <c r="AD7" s="42" t="n">
        <f aca="false">YEAR(AD$4)</f>
        <v>2031</v>
      </c>
      <c r="AE7" s="42" t="n">
        <f aca="false">YEAR(AE$4)</f>
        <v>2031</v>
      </c>
      <c r="AF7" s="42" t="n">
        <f aca="false">YEAR(AF$4)</f>
        <v>2032</v>
      </c>
      <c r="AG7" s="42" t="n">
        <f aca="false">YEAR(AG$4)</f>
        <v>2032</v>
      </c>
      <c r="AH7" s="42" t="n">
        <f aca="false">YEAR(AH$4)</f>
        <v>2032</v>
      </c>
      <c r="AI7" s="42" t="n">
        <f aca="false">YEAR(AI$4)</f>
        <v>2032</v>
      </c>
      <c r="AJ7" s="42" t="n">
        <f aca="false">YEAR(AJ$4)</f>
        <v>2033</v>
      </c>
      <c r="AK7" s="42" t="n">
        <f aca="false">YEAR(AK$4)</f>
        <v>2033</v>
      </c>
      <c r="AL7" s="42" t="n">
        <f aca="false">YEAR(AL$4)</f>
        <v>2033</v>
      </c>
      <c r="AM7" s="42" t="n">
        <f aca="false">YEAR(AM$4)</f>
        <v>2033</v>
      </c>
      <c r="AN7" s="42" t="n">
        <f aca="false">YEAR(AN$4)</f>
        <v>2034</v>
      </c>
      <c r="AO7" s="42" t="n">
        <f aca="false">YEAR(AO$4)</f>
        <v>2034</v>
      </c>
      <c r="AP7" s="42" t="n">
        <f aca="false">YEAR(AP$4)</f>
        <v>2034</v>
      </c>
      <c r="AQ7" s="42" t="n">
        <f aca="false">YEAR(AQ$4)</f>
        <v>2034</v>
      </c>
      <c r="AR7" s="42" t="n">
        <f aca="false">YEAR(AR$4)</f>
        <v>2035</v>
      </c>
      <c r="AS7" s="42" t="n">
        <f aca="false">YEAR(AS$4)</f>
        <v>2035</v>
      </c>
      <c r="AT7" s="42" t="n">
        <f aca="false">YEAR(AT$4)</f>
        <v>2035</v>
      </c>
      <c r="AU7" s="42" t="n">
        <f aca="false">YEAR(AU$4)</f>
        <v>2035</v>
      </c>
      <c r="AV7" s="42" t="n">
        <f aca="false">YEAR(AV$4)</f>
        <v>2036</v>
      </c>
      <c r="AW7" s="42" t="n">
        <f aca="false">YEAR(AW$4)</f>
        <v>2036</v>
      </c>
      <c r="AX7" s="42" t="n">
        <f aca="false">YEAR(AX$4)</f>
        <v>2036</v>
      </c>
      <c r="AY7" s="42" t="n">
        <f aca="false">YEAR(AY$4)</f>
        <v>2036</v>
      </c>
      <c r="AZ7" s="42" t="n">
        <f aca="false">YEAR(AZ$4)</f>
        <v>2037</v>
      </c>
      <c r="BA7" s="42" t="n">
        <f aca="false">YEAR(BA$4)</f>
        <v>2037</v>
      </c>
      <c r="BB7" s="42" t="n">
        <f aca="false">YEAR(BB$4)</f>
        <v>2037</v>
      </c>
      <c r="BC7" s="42" t="n">
        <f aca="false">YEAR(BC$4)</f>
        <v>2037</v>
      </c>
      <c r="BD7" s="42" t="n">
        <f aca="false">YEAR(BD$4)</f>
        <v>2038</v>
      </c>
      <c r="BE7" s="42" t="n">
        <f aca="false">YEAR(BE$4)</f>
        <v>2038</v>
      </c>
      <c r="BF7" s="42" t="n">
        <f aca="false">YEAR(BF$4)</f>
        <v>2038</v>
      </c>
      <c r="BG7" s="42" t="n">
        <f aca="false">YEAR(BG$4)</f>
        <v>2038</v>
      </c>
      <c r="BH7" s="42" t="n">
        <f aca="false">YEAR(BH$4)</f>
        <v>2039</v>
      </c>
      <c r="BI7" s="42" t="n">
        <f aca="false">YEAR(BI$4)</f>
        <v>2039</v>
      </c>
      <c r="BJ7" s="42" t="n">
        <f aca="false">YEAR(BJ$4)</f>
        <v>2039</v>
      </c>
      <c r="BK7" s="42" t="n">
        <f aca="false">YEAR(BK$4)</f>
        <v>2039</v>
      </c>
      <c r="BL7" s="42" t="n">
        <f aca="false">YEAR(BL$4)</f>
        <v>2040</v>
      </c>
      <c r="BM7" s="42" t="n">
        <f aca="false">YEAR(BM$4)</f>
        <v>2040</v>
      </c>
      <c r="BN7" s="42" t="n">
        <f aca="false">YEAR(BN$4)</f>
        <v>2040</v>
      </c>
      <c r="BO7" s="42" t="n">
        <f aca="false">YEAR(BO$4)</f>
        <v>2040</v>
      </c>
      <c r="BP7" s="42" t="n">
        <f aca="false">YEAR(BP$4)</f>
        <v>2041</v>
      </c>
      <c r="BQ7" s="42" t="n">
        <f aca="false">YEAR(BQ$4)</f>
        <v>2041</v>
      </c>
      <c r="BR7" s="42" t="n">
        <f aca="false">YEAR(BR$4)</f>
        <v>2041</v>
      </c>
      <c r="BS7" s="42" t="n">
        <f aca="false">YEAR(BS$4)</f>
        <v>2041</v>
      </c>
      <c r="BT7" s="42" t="n">
        <f aca="false">YEAR(BT$4)</f>
        <v>2042</v>
      </c>
      <c r="BU7" s="42" t="n">
        <f aca="false">YEAR(BU$4)</f>
        <v>2042</v>
      </c>
      <c r="BV7" s="42" t="n">
        <f aca="false">YEAR(BV$4)</f>
        <v>2042</v>
      </c>
      <c r="BW7" s="42" t="n">
        <f aca="false">YEAR(BW$4)</f>
        <v>2042</v>
      </c>
      <c r="BX7" s="42" t="n">
        <f aca="false">YEAR(BX$4)</f>
        <v>2043</v>
      </c>
      <c r="BY7" s="42" t="n">
        <f aca="false">YEAR(BY$4)</f>
        <v>2043</v>
      </c>
      <c r="BZ7" s="42" t="n">
        <f aca="false">YEAR(BZ$4)</f>
        <v>2043</v>
      </c>
      <c r="CA7" s="42" t="n">
        <f aca="false">YEAR(CA$4)</f>
        <v>2043</v>
      </c>
      <c r="CB7" s="42" t="n">
        <f aca="false">YEAR(CB$4)</f>
        <v>2044</v>
      </c>
      <c r="CC7" s="42" t="n">
        <f aca="false">YEAR(CC$4)</f>
        <v>2044</v>
      </c>
      <c r="CD7" s="42" t="n">
        <f aca="false">YEAR(CD$4)</f>
        <v>2044</v>
      </c>
      <c r="CE7" s="42" t="n">
        <f aca="false">YEAR(CE$4)</f>
        <v>2044</v>
      </c>
      <c r="CF7" s="42" t="n">
        <f aca="false">YEAR(CF$4)</f>
        <v>2045</v>
      </c>
      <c r="CG7" s="42" t="n">
        <f aca="false">YEAR(CG$4)</f>
        <v>2045</v>
      </c>
      <c r="CH7" s="42" t="n">
        <f aca="false">YEAR(CH$4)</f>
        <v>2045</v>
      </c>
      <c r="CI7" s="42" t="n">
        <f aca="false">YEAR(CI$4)</f>
        <v>2045</v>
      </c>
      <c r="CJ7" s="42" t="n">
        <f aca="false">YEAR(CJ$4)</f>
        <v>2046</v>
      </c>
      <c r="CK7" s="42" t="n">
        <f aca="false">YEAR(CK$4)</f>
        <v>2046</v>
      </c>
      <c r="CL7" s="42" t="n">
        <f aca="false">YEAR(CL$4)</f>
        <v>2046</v>
      </c>
      <c r="CM7" s="42" t="n">
        <f aca="false">YEAR(CM$4)</f>
        <v>2046</v>
      </c>
      <c r="CN7" s="42" t="n">
        <f aca="false">YEAR(CN$4)</f>
        <v>2047</v>
      </c>
      <c r="CO7" s="42" t="n">
        <f aca="false">YEAR(CO$4)</f>
        <v>2047</v>
      </c>
      <c r="CP7" s="42" t="n">
        <f aca="false">YEAR(CP$4)</f>
        <v>2047</v>
      </c>
      <c r="CQ7" s="42" t="n">
        <f aca="false">YEAR(CQ$4)</f>
        <v>2047</v>
      </c>
      <c r="CR7" s="42" t="n">
        <f aca="false">YEAR(CR$4)</f>
        <v>2048</v>
      </c>
      <c r="CS7" s="42" t="n">
        <f aca="false">YEAR(CS$4)</f>
        <v>2048</v>
      </c>
      <c r="CT7" s="42" t="n">
        <f aca="false">YEAR(CT$4)</f>
        <v>2048</v>
      </c>
      <c r="CU7" s="42" t="n">
        <f aca="false">YEAR(CU$4)</f>
        <v>2048</v>
      </c>
      <c r="CV7" s="42" t="n">
        <f aca="false">YEAR(CV$4)</f>
        <v>2049</v>
      </c>
      <c r="CW7" s="42" t="n">
        <f aca="false">YEAR(CW$4)</f>
        <v>2049</v>
      </c>
      <c r="CX7" s="42" t="n">
        <f aca="false">YEAR(CX$4)</f>
        <v>2049</v>
      </c>
      <c r="CY7" s="42" t="n">
        <f aca="false">YEAR(CY$4)</f>
        <v>2049</v>
      </c>
      <c r="CZ7" s="42" t="n">
        <f aca="false">YEAR(CZ$4)</f>
        <v>2050</v>
      </c>
      <c r="DA7" s="42" t="n">
        <f aca="false">YEAR(DA$4)</f>
        <v>2050</v>
      </c>
      <c r="DB7" s="42" t="n">
        <f aca="false">YEAR(DB$4)</f>
        <v>2050</v>
      </c>
      <c r="DC7" s="42" t="n">
        <f aca="false">YEAR(DC$4)</f>
        <v>2050</v>
      </c>
      <c r="DD7" s="42" t="n">
        <f aca="false">YEAR(DD$4)</f>
        <v>2051</v>
      </c>
      <c r="DE7" s="42" t="n">
        <f aca="false">YEAR(DE$4)</f>
        <v>2051</v>
      </c>
      <c r="DF7" s="42" t="n">
        <f aca="false">YEAR(DF$4)</f>
        <v>2051</v>
      </c>
      <c r="DG7" s="42" t="n">
        <f aca="false">YEAR(DG$4)</f>
        <v>2051</v>
      </c>
      <c r="DH7" s="42" t="n">
        <f aca="false">YEAR(DH$4)</f>
        <v>2052</v>
      </c>
      <c r="DI7" s="42" t="n">
        <f aca="false">YEAR(DI$4)</f>
        <v>2052</v>
      </c>
      <c r="DJ7" s="42" t="n">
        <f aca="false">YEAR(DJ$4)</f>
        <v>2052</v>
      </c>
      <c r="DK7" s="42" t="n">
        <f aca="false">YEAR(DK$4)</f>
        <v>2052</v>
      </c>
      <c r="DL7" s="42" t="n">
        <f aca="false">YEAR(DL$4)</f>
        <v>2053</v>
      </c>
      <c r="DM7" s="42" t="n">
        <f aca="false">YEAR(DM$4)</f>
        <v>2053</v>
      </c>
      <c r="DN7" s="42" t="n">
        <f aca="false">YEAR(DN$4)</f>
        <v>2053</v>
      </c>
      <c r="DO7" s="42" t="n">
        <f aca="false">YEAR(DO$4)</f>
        <v>2053</v>
      </c>
      <c r="DP7" s="42" t="n">
        <f aca="false">YEAR(DP$4)</f>
        <v>2054</v>
      </c>
      <c r="DQ7" s="42" t="n">
        <f aca="false">YEAR(DQ$4)</f>
        <v>2054</v>
      </c>
      <c r="DR7" s="42" t="n">
        <f aca="false">YEAR(DR$4)</f>
        <v>2054</v>
      </c>
      <c r="DS7" s="42" t="n">
        <f aca="false">YEAR(DS$4)</f>
        <v>2054</v>
      </c>
      <c r="DT7" s="42" t="n">
        <f aca="false">YEAR(DT$4)</f>
        <v>2055</v>
      </c>
      <c r="DU7" s="42" t="n">
        <f aca="false">YEAR(DU$4)</f>
        <v>2055</v>
      </c>
      <c r="DV7" s="42" t="n">
        <f aca="false">YEAR(DV$4)</f>
        <v>2055</v>
      </c>
      <c r="DW7" s="42" t="n">
        <f aca="false">YEAR(DW$4)</f>
        <v>2055</v>
      </c>
      <c r="DX7" s="42" t="n">
        <f aca="false">YEAR(DX$4)</f>
        <v>2056</v>
      </c>
      <c r="DY7" s="42" t="n">
        <f aca="false">YEAR(DY$4)</f>
        <v>2056</v>
      </c>
      <c r="DZ7" s="42" t="n">
        <f aca="false">YEAR(DZ$4)</f>
        <v>2056</v>
      </c>
      <c r="EA7" s="42" t="n">
        <f aca="false">YEAR(EA$4)</f>
        <v>2056</v>
      </c>
      <c r="EB7" s="42" t="n">
        <f aca="false">YEAR(EB$4)</f>
        <v>2057</v>
      </c>
      <c r="EC7" s="42" t="n">
        <f aca="false">YEAR(EC$4)</f>
        <v>2057</v>
      </c>
      <c r="ED7" s="42" t="n">
        <f aca="false">YEAR(ED$4)</f>
        <v>2057</v>
      </c>
      <c r="EE7" s="42" t="n">
        <f aca="false">YEAR(EE$4)</f>
        <v>2057</v>
      </c>
      <c r="EF7" s="42" t="n">
        <f aca="false">YEAR(EF$4)</f>
        <v>2058</v>
      </c>
      <c r="EG7" s="42" t="n">
        <f aca="false">YEAR(EG$4)</f>
        <v>2058</v>
      </c>
      <c r="EH7" s="42" t="n">
        <f aca="false">YEAR(EH$4)</f>
        <v>2058</v>
      </c>
      <c r="EI7" s="42" t="n">
        <f aca="false">YEAR(EI$4)</f>
        <v>2058</v>
      </c>
      <c r="EJ7" s="42" t="n">
        <f aca="false">YEAR(EJ$4)</f>
        <v>2059</v>
      </c>
      <c r="EK7" s="42" t="n">
        <f aca="false">YEAR(EK$4)</f>
        <v>2059</v>
      </c>
      <c r="EL7" s="42" t="n">
        <f aca="false">YEAR(EL$4)</f>
        <v>2059</v>
      </c>
      <c r="EM7" s="42" t="n">
        <f aca="false">YEAR(EM$4)</f>
        <v>2059</v>
      </c>
      <c r="EN7" s="42" t="n">
        <f aca="false">YEAR(EN$4)</f>
        <v>2060</v>
      </c>
      <c r="EO7" s="42" t="n">
        <f aca="false">YEAR(EO$4)</f>
        <v>2060</v>
      </c>
      <c r="EP7" s="42" t="n">
        <f aca="false">YEAR(EP$4)</f>
        <v>2060</v>
      </c>
      <c r="EQ7" s="42" t="n">
        <f aca="false">YEAR(EQ$4)</f>
        <v>2060</v>
      </c>
      <c r="ER7" s="42" t="n">
        <f aca="false">YEAR(ER$4)</f>
        <v>2061</v>
      </c>
      <c r="ES7" s="42" t="n">
        <f aca="false">YEAR(ES$4)</f>
        <v>2061</v>
      </c>
      <c r="ET7" s="42" t="n">
        <f aca="false">YEAR(ET$4)</f>
        <v>2061</v>
      </c>
    </row>
    <row r="8" customFormat="false" ht="15" hidden="false" customHeight="false" outlineLevel="0" collapsed="false">
      <c r="C8" s="0" t="s">
        <v>485</v>
      </c>
      <c r="D8" s="11" t="s">
        <v>211</v>
      </c>
      <c r="J8" s="42" t="n">
        <f aca="false">I$8+1</f>
        <v>1</v>
      </c>
      <c r="K8" s="42" t="n">
        <f aca="false">J$8+1</f>
        <v>2</v>
      </c>
      <c r="L8" s="42" t="n">
        <f aca="false">K$8+1</f>
        <v>3</v>
      </c>
      <c r="M8" s="42" t="n">
        <f aca="false">L$8+1</f>
        <v>4</v>
      </c>
      <c r="N8" s="42" t="n">
        <f aca="false">M$8+1</f>
        <v>5</v>
      </c>
      <c r="O8" s="42" t="n">
        <f aca="false">N$8+1</f>
        <v>6</v>
      </c>
      <c r="P8" s="42" t="n">
        <f aca="false">O$8+1</f>
        <v>7</v>
      </c>
      <c r="Q8" s="42" t="n">
        <f aca="false">P$8+1</f>
        <v>8</v>
      </c>
      <c r="R8" s="42" t="n">
        <f aca="false">Q$8+1</f>
        <v>9</v>
      </c>
      <c r="S8" s="42" t="n">
        <f aca="false">R$8+1</f>
        <v>10</v>
      </c>
      <c r="T8" s="42" t="n">
        <f aca="false">S$8+1</f>
        <v>11</v>
      </c>
      <c r="U8" s="42" t="n">
        <f aca="false">T$8+1</f>
        <v>12</v>
      </c>
      <c r="V8" s="42" t="n">
        <f aca="false">U$8+1</f>
        <v>13</v>
      </c>
      <c r="W8" s="42" t="n">
        <f aca="false">V$8+1</f>
        <v>14</v>
      </c>
      <c r="X8" s="42" t="n">
        <f aca="false">W$8+1</f>
        <v>15</v>
      </c>
      <c r="Y8" s="42" t="n">
        <f aca="false">X$8+1</f>
        <v>16</v>
      </c>
      <c r="Z8" s="42" t="n">
        <f aca="false">Y$8+1</f>
        <v>17</v>
      </c>
      <c r="AA8" s="42" t="n">
        <f aca="false">Z$8+1</f>
        <v>18</v>
      </c>
      <c r="AB8" s="42" t="n">
        <f aca="false">AA$8+1</f>
        <v>19</v>
      </c>
      <c r="AC8" s="42" t="n">
        <f aca="false">AB$8+1</f>
        <v>20</v>
      </c>
      <c r="AD8" s="42" t="n">
        <f aca="false">AC$8+1</f>
        <v>21</v>
      </c>
      <c r="AE8" s="42" t="n">
        <f aca="false">AD$8+1</f>
        <v>22</v>
      </c>
      <c r="AF8" s="42" t="n">
        <f aca="false">AE$8+1</f>
        <v>23</v>
      </c>
      <c r="AG8" s="42" t="n">
        <f aca="false">AF$8+1</f>
        <v>24</v>
      </c>
      <c r="AH8" s="42" t="n">
        <f aca="false">AG$8+1</f>
        <v>25</v>
      </c>
      <c r="AI8" s="42" t="n">
        <f aca="false">AH$8+1</f>
        <v>26</v>
      </c>
      <c r="AJ8" s="42" t="n">
        <f aca="false">AI$8+1</f>
        <v>27</v>
      </c>
      <c r="AK8" s="42" t="n">
        <f aca="false">AJ$8+1</f>
        <v>28</v>
      </c>
      <c r="AL8" s="42" t="n">
        <f aca="false">AK$8+1</f>
        <v>29</v>
      </c>
      <c r="AM8" s="42" t="n">
        <f aca="false">AL$8+1</f>
        <v>30</v>
      </c>
      <c r="AN8" s="42" t="n">
        <f aca="false">AM$8+1</f>
        <v>31</v>
      </c>
      <c r="AO8" s="42" t="n">
        <f aca="false">AN$8+1</f>
        <v>32</v>
      </c>
      <c r="AP8" s="42" t="n">
        <f aca="false">AO$8+1</f>
        <v>33</v>
      </c>
      <c r="AQ8" s="42" t="n">
        <f aca="false">AP$8+1</f>
        <v>34</v>
      </c>
      <c r="AR8" s="42" t="n">
        <f aca="false">AQ$8+1</f>
        <v>35</v>
      </c>
      <c r="AS8" s="42" t="n">
        <f aca="false">AR$8+1</f>
        <v>36</v>
      </c>
      <c r="AT8" s="42" t="n">
        <f aca="false">AS$8+1</f>
        <v>37</v>
      </c>
      <c r="AU8" s="42" t="n">
        <f aca="false">AT$8+1</f>
        <v>38</v>
      </c>
      <c r="AV8" s="42" t="n">
        <f aca="false">AU$8+1</f>
        <v>39</v>
      </c>
      <c r="AW8" s="42" t="n">
        <f aca="false">AV$8+1</f>
        <v>40</v>
      </c>
      <c r="AX8" s="42" t="n">
        <f aca="false">AW$8+1</f>
        <v>41</v>
      </c>
      <c r="AY8" s="42" t="n">
        <f aca="false">AX$8+1</f>
        <v>42</v>
      </c>
      <c r="AZ8" s="42" t="n">
        <f aca="false">AY$8+1</f>
        <v>43</v>
      </c>
      <c r="BA8" s="42" t="n">
        <f aca="false">AZ$8+1</f>
        <v>44</v>
      </c>
      <c r="BB8" s="42" t="n">
        <f aca="false">BA$8+1</f>
        <v>45</v>
      </c>
      <c r="BC8" s="42" t="n">
        <f aca="false">BB$8+1</f>
        <v>46</v>
      </c>
      <c r="BD8" s="42" t="n">
        <f aca="false">BC$8+1</f>
        <v>47</v>
      </c>
      <c r="BE8" s="42" t="n">
        <f aca="false">BD$8+1</f>
        <v>48</v>
      </c>
      <c r="BF8" s="42" t="n">
        <f aca="false">BE$8+1</f>
        <v>49</v>
      </c>
      <c r="BG8" s="42" t="n">
        <f aca="false">BF$8+1</f>
        <v>50</v>
      </c>
      <c r="BH8" s="42" t="n">
        <f aca="false">BG$8+1</f>
        <v>51</v>
      </c>
      <c r="BI8" s="42" t="n">
        <f aca="false">BH$8+1</f>
        <v>52</v>
      </c>
      <c r="BJ8" s="42" t="n">
        <f aca="false">BI$8+1</f>
        <v>53</v>
      </c>
      <c r="BK8" s="42" t="n">
        <f aca="false">BJ$8+1</f>
        <v>54</v>
      </c>
      <c r="BL8" s="42" t="n">
        <f aca="false">BK$8+1</f>
        <v>55</v>
      </c>
      <c r="BM8" s="42" t="n">
        <f aca="false">BL$8+1</f>
        <v>56</v>
      </c>
      <c r="BN8" s="42" t="n">
        <f aca="false">BM$8+1</f>
        <v>57</v>
      </c>
      <c r="BO8" s="42" t="n">
        <f aca="false">BN$8+1</f>
        <v>58</v>
      </c>
      <c r="BP8" s="42" t="n">
        <f aca="false">BO$8+1</f>
        <v>59</v>
      </c>
      <c r="BQ8" s="42" t="n">
        <f aca="false">BP$8+1</f>
        <v>60</v>
      </c>
      <c r="BR8" s="42" t="n">
        <f aca="false">BQ$8+1</f>
        <v>61</v>
      </c>
      <c r="BS8" s="42" t="n">
        <f aca="false">BR$8+1</f>
        <v>62</v>
      </c>
      <c r="BT8" s="42" t="n">
        <f aca="false">BS$8+1</f>
        <v>63</v>
      </c>
      <c r="BU8" s="42" t="n">
        <f aca="false">BT$8+1</f>
        <v>64</v>
      </c>
      <c r="BV8" s="42" t="n">
        <f aca="false">BU$8+1</f>
        <v>65</v>
      </c>
      <c r="BW8" s="42" t="n">
        <f aca="false">BV$8+1</f>
        <v>66</v>
      </c>
      <c r="BX8" s="42" t="n">
        <f aca="false">BW$8+1</f>
        <v>67</v>
      </c>
      <c r="BY8" s="42" t="n">
        <f aca="false">BX$8+1</f>
        <v>68</v>
      </c>
      <c r="BZ8" s="42" t="n">
        <f aca="false">BY$8+1</f>
        <v>69</v>
      </c>
      <c r="CA8" s="42" t="n">
        <f aca="false">BZ$8+1</f>
        <v>70</v>
      </c>
      <c r="CB8" s="42" t="n">
        <f aca="false">CA$8+1</f>
        <v>71</v>
      </c>
      <c r="CC8" s="42" t="n">
        <f aca="false">CB$8+1</f>
        <v>72</v>
      </c>
      <c r="CD8" s="42" t="n">
        <f aca="false">CC$8+1</f>
        <v>73</v>
      </c>
      <c r="CE8" s="42" t="n">
        <f aca="false">CD$8+1</f>
        <v>74</v>
      </c>
      <c r="CF8" s="42" t="n">
        <f aca="false">CE$8+1</f>
        <v>75</v>
      </c>
      <c r="CG8" s="42" t="n">
        <f aca="false">CF$8+1</f>
        <v>76</v>
      </c>
      <c r="CH8" s="42" t="n">
        <f aca="false">CG$8+1</f>
        <v>77</v>
      </c>
      <c r="CI8" s="42" t="n">
        <f aca="false">CH$8+1</f>
        <v>78</v>
      </c>
      <c r="CJ8" s="42" t="n">
        <f aca="false">CI$8+1</f>
        <v>79</v>
      </c>
      <c r="CK8" s="42" t="n">
        <f aca="false">CJ$8+1</f>
        <v>80</v>
      </c>
      <c r="CL8" s="42" t="n">
        <f aca="false">CK$8+1</f>
        <v>81</v>
      </c>
      <c r="CM8" s="42" t="n">
        <f aca="false">CL$8+1</f>
        <v>82</v>
      </c>
      <c r="CN8" s="42" t="n">
        <f aca="false">CM$8+1</f>
        <v>83</v>
      </c>
      <c r="CO8" s="42" t="n">
        <f aca="false">CN$8+1</f>
        <v>84</v>
      </c>
      <c r="CP8" s="42" t="n">
        <f aca="false">CO$8+1</f>
        <v>85</v>
      </c>
      <c r="CQ8" s="42" t="n">
        <f aca="false">CP$8+1</f>
        <v>86</v>
      </c>
      <c r="CR8" s="42" t="n">
        <f aca="false">CQ$8+1</f>
        <v>87</v>
      </c>
      <c r="CS8" s="42" t="n">
        <f aca="false">CR$8+1</f>
        <v>88</v>
      </c>
      <c r="CT8" s="42" t="n">
        <f aca="false">CS$8+1</f>
        <v>89</v>
      </c>
      <c r="CU8" s="42" t="n">
        <f aca="false">CT$8+1</f>
        <v>90</v>
      </c>
      <c r="CV8" s="42" t="n">
        <f aca="false">CU$8+1</f>
        <v>91</v>
      </c>
      <c r="CW8" s="42" t="n">
        <f aca="false">CV$8+1</f>
        <v>92</v>
      </c>
      <c r="CX8" s="42" t="n">
        <f aca="false">CW$8+1</f>
        <v>93</v>
      </c>
      <c r="CY8" s="42" t="n">
        <f aca="false">CX$8+1</f>
        <v>94</v>
      </c>
      <c r="CZ8" s="42" t="n">
        <f aca="false">CY$8+1</f>
        <v>95</v>
      </c>
      <c r="DA8" s="42" t="n">
        <f aca="false">CZ$8+1</f>
        <v>96</v>
      </c>
      <c r="DB8" s="42" t="n">
        <f aca="false">DA$8+1</f>
        <v>97</v>
      </c>
      <c r="DC8" s="42" t="n">
        <f aca="false">DB$8+1</f>
        <v>98</v>
      </c>
      <c r="DD8" s="42" t="n">
        <f aca="false">DC$8+1</f>
        <v>99</v>
      </c>
      <c r="DE8" s="42" t="n">
        <f aca="false">DD$8+1</f>
        <v>100</v>
      </c>
      <c r="DF8" s="42" t="n">
        <f aca="false">DE$8+1</f>
        <v>101</v>
      </c>
      <c r="DG8" s="42" t="n">
        <f aca="false">DF$8+1</f>
        <v>102</v>
      </c>
      <c r="DH8" s="42" t="n">
        <f aca="false">DG$8+1</f>
        <v>103</v>
      </c>
      <c r="DI8" s="42" t="n">
        <f aca="false">DH$8+1</f>
        <v>104</v>
      </c>
      <c r="DJ8" s="42" t="n">
        <f aca="false">DI$8+1</f>
        <v>105</v>
      </c>
      <c r="DK8" s="42" t="n">
        <f aca="false">DJ$8+1</f>
        <v>106</v>
      </c>
      <c r="DL8" s="42" t="n">
        <f aca="false">DK$8+1</f>
        <v>107</v>
      </c>
      <c r="DM8" s="42" t="n">
        <f aca="false">DL$8+1</f>
        <v>108</v>
      </c>
      <c r="DN8" s="42" t="n">
        <f aca="false">DM$8+1</f>
        <v>109</v>
      </c>
      <c r="DO8" s="42" t="n">
        <f aca="false">DN$8+1</f>
        <v>110</v>
      </c>
      <c r="DP8" s="42" t="n">
        <f aca="false">DO$8+1</f>
        <v>111</v>
      </c>
      <c r="DQ8" s="42" t="n">
        <f aca="false">DP$8+1</f>
        <v>112</v>
      </c>
      <c r="DR8" s="42" t="n">
        <f aca="false">DQ$8+1</f>
        <v>113</v>
      </c>
      <c r="DS8" s="42" t="n">
        <f aca="false">DR$8+1</f>
        <v>114</v>
      </c>
      <c r="DT8" s="42" t="n">
        <f aca="false">DS$8+1</f>
        <v>115</v>
      </c>
      <c r="DU8" s="42" t="n">
        <f aca="false">DT$8+1</f>
        <v>116</v>
      </c>
      <c r="DV8" s="42" t="n">
        <f aca="false">DU$8+1</f>
        <v>117</v>
      </c>
      <c r="DW8" s="42" t="n">
        <f aca="false">DV$8+1</f>
        <v>118</v>
      </c>
      <c r="DX8" s="42" t="n">
        <f aca="false">DW$8+1</f>
        <v>119</v>
      </c>
      <c r="DY8" s="42" t="n">
        <f aca="false">DX$8+1</f>
        <v>120</v>
      </c>
      <c r="DZ8" s="42" t="n">
        <f aca="false">DY$8+1</f>
        <v>121</v>
      </c>
      <c r="EA8" s="42" t="n">
        <f aca="false">DZ$8+1</f>
        <v>122</v>
      </c>
      <c r="EB8" s="42" t="n">
        <f aca="false">EA$8+1</f>
        <v>123</v>
      </c>
      <c r="EC8" s="42" t="n">
        <f aca="false">EB$8+1</f>
        <v>124</v>
      </c>
      <c r="ED8" s="42" t="n">
        <f aca="false">EC$8+1</f>
        <v>125</v>
      </c>
      <c r="EE8" s="42" t="n">
        <f aca="false">ED$8+1</f>
        <v>126</v>
      </c>
      <c r="EF8" s="42" t="n">
        <f aca="false">EE$8+1</f>
        <v>127</v>
      </c>
      <c r="EG8" s="42" t="n">
        <f aca="false">EF$8+1</f>
        <v>128</v>
      </c>
      <c r="EH8" s="42" t="n">
        <f aca="false">EG$8+1</f>
        <v>129</v>
      </c>
      <c r="EI8" s="42" t="n">
        <f aca="false">EH$8+1</f>
        <v>130</v>
      </c>
      <c r="EJ8" s="42" t="n">
        <f aca="false">EI$8+1</f>
        <v>131</v>
      </c>
      <c r="EK8" s="42" t="n">
        <f aca="false">EJ$8+1</f>
        <v>132</v>
      </c>
      <c r="EL8" s="42" t="n">
        <f aca="false">EK$8+1</f>
        <v>133</v>
      </c>
      <c r="EM8" s="42" t="n">
        <f aca="false">EL$8+1</f>
        <v>134</v>
      </c>
      <c r="EN8" s="42" t="n">
        <f aca="false">EM$8+1</f>
        <v>135</v>
      </c>
      <c r="EO8" s="42" t="n">
        <f aca="false">EN$8+1</f>
        <v>136</v>
      </c>
      <c r="EP8" s="42" t="n">
        <f aca="false">EO$8+1</f>
        <v>137</v>
      </c>
      <c r="EQ8" s="42" t="n">
        <f aca="false">EP$8+1</f>
        <v>138</v>
      </c>
      <c r="ER8" s="42" t="n">
        <f aca="false">EQ$8+1</f>
        <v>139</v>
      </c>
      <c r="ES8" s="42" t="n">
        <f aca="false">ER$8+1</f>
        <v>140</v>
      </c>
      <c r="ET8" s="42" t="n">
        <f aca="false">ES$8+1</f>
        <v>141</v>
      </c>
    </row>
    <row r="11" customFormat="false" ht="15" hidden="false" customHeight="false" outlineLevel="0" collapsed="false">
      <c r="A11" s="9" t="s">
        <v>13</v>
      </c>
      <c r="B11" s="9"/>
      <c r="C11" s="9" t="s">
        <v>486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487</v>
      </c>
      <c r="D12" s="11" t="s">
        <v>41</v>
      </c>
      <c r="E12" s="44" t="n">
        <f aca="false">INDEX(Dash_Exit_Date,1,$A$1)</f>
        <v>47483</v>
      </c>
      <c r="I12" s="46" t="n">
        <f aca="false">SUM(J12:ET12)</f>
        <v>1</v>
      </c>
      <c r="J12" s="46" t="n">
        <f aca="false">N(AND(J$3&lt;=$E12,J$4&gt;=$E12))</f>
        <v>0</v>
      </c>
      <c r="K12" s="46" t="n">
        <f aca="false">N(AND(K$3&lt;=$E12,K$4&gt;=$E12))</f>
        <v>0</v>
      </c>
      <c r="L12" s="46" t="n">
        <f aca="false">N(AND(L$3&lt;=$E12,L$4&gt;=$E12))</f>
        <v>0</v>
      </c>
      <c r="M12" s="46" t="n">
        <f aca="false">N(AND(M$3&lt;=$E12,M$4&gt;=$E12))</f>
        <v>0</v>
      </c>
      <c r="N12" s="46" t="n">
        <f aca="false">N(AND(N$3&lt;=$E12,N$4&gt;=$E12))</f>
        <v>0</v>
      </c>
      <c r="O12" s="46" t="n">
        <f aca="false">N(AND(O$3&lt;=$E12,O$4&gt;=$E12))</f>
        <v>0</v>
      </c>
      <c r="P12" s="46" t="n">
        <f aca="false">N(AND(P$3&lt;=$E12,P$4&gt;=$E12))</f>
        <v>0</v>
      </c>
      <c r="Q12" s="46" t="n">
        <f aca="false">N(AND(Q$3&lt;=$E12,Q$4&gt;=$E12))</f>
        <v>0</v>
      </c>
      <c r="R12" s="46" t="n">
        <f aca="false">N(AND(R$3&lt;=$E12,R$4&gt;=$E12))</f>
        <v>0</v>
      </c>
      <c r="S12" s="46" t="n">
        <f aca="false">N(AND(S$3&lt;=$E12,S$4&gt;=$E12))</f>
        <v>0</v>
      </c>
      <c r="T12" s="46" t="n">
        <f aca="false">N(AND(T$3&lt;=$E12,T$4&gt;=$E12))</f>
        <v>0</v>
      </c>
      <c r="U12" s="46" t="n">
        <f aca="false">N(AND(U$3&lt;=$E12,U$4&gt;=$E12))</f>
        <v>0</v>
      </c>
      <c r="V12" s="46" t="n">
        <f aca="false">N(AND(V$3&lt;=$E12,V$4&gt;=$E12))</f>
        <v>0</v>
      </c>
      <c r="W12" s="46" t="n">
        <f aca="false">N(AND(W$3&lt;=$E12,W$4&gt;=$E12))</f>
        <v>1</v>
      </c>
      <c r="X12" s="46" t="n">
        <f aca="false">N(AND(X$3&lt;=$E12,X$4&gt;=$E12))</f>
        <v>0</v>
      </c>
      <c r="Y12" s="46" t="n">
        <f aca="false">N(AND(Y$3&lt;=$E12,Y$4&gt;=$E12))</f>
        <v>0</v>
      </c>
      <c r="Z12" s="46" t="n">
        <f aca="false">N(AND(Z$3&lt;=$E12,Z$4&gt;=$E12))</f>
        <v>0</v>
      </c>
      <c r="AA12" s="46" t="n">
        <f aca="false">N(AND(AA$3&lt;=$E12,AA$4&gt;=$E12))</f>
        <v>0</v>
      </c>
      <c r="AB12" s="46" t="n">
        <f aca="false">N(AND(AB$3&lt;=$E12,AB$4&gt;=$E12))</f>
        <v>0</v>
      </c>
      <c r="AC12" s="46" t="n">
        <f aca="false">N(AND(AC$3&lt;=$E12,AC$4&gt;=$E12))</f>
        <v>0</v>
      </c>
      <c r="AD12" s="46" t="n">
        <f aca="false">N(AND(AD$3&lt;=$E12,AD$4&gt;=$E12))</f>
        <v>0</v>
      </c>
      <c r="AE12" s="46" t="n">
        <f aca="false">N(AND(AE$3&lt;=$E12,AE$4&gt;=$E12))</f>
        <v>0</v>
      </c>
      <c r="AF12" s="46" t="n">
        <f aca="false">N(AND(AF$3&lt;=$E12,AF$4&gt;=$E12))</f>
        <v>0</v>
      </c>
      <c r="AG12" s="46" t="n">
        <f aca="false">N(AND(AG$3&lt;=$E12,AG$4&gt;=$E12))</f>
        <v>0</v>
      </c>
      <c r="AH12" s="46" t="n">
        <f aca="false">N(AND(AH$3&lt;=$E12,AH$4&gt;=$E12))</f>
        <v>0</v>
      </c>
      <c r="AI12" s="46" t="n">
        <f aca="false">N(AND(AI$3&lt;=$E12,AI$4&gt;=$E12))</f>
        <v>0</v>
      </c>
      <c r="AJ12" s="46" t="n">
        <f aca="false">N(AND(AJ$3&lt;=$E12,AJ$4&gt;=$E12))</f>
        <v>0</v>
      </c>
      <c r="AK12" s="46" t="n">
        <f aca="false">N(AND(AK$3&lt;=$E12,AK$4&gt;=$E12))</f>
        <v>0</v>
      </c>
      <c r="AL12" s="46" t="n">
        <f aca="false">N(AND(AL$3&lt;=$E12,AL$4&gt;=$E12))</f>
        <v>0</v>
      </c>
      <c r="AM12" s="46" t="n">
        <f aca="false">N(AND(AM$3&lt;=$E12,AM$4&gt;=$E12))</f>
        <v>0</v>
      </c>
      <c r="AN12" s="46" t="n">
        <f aca="false">N(AND(AN$3&lt;=$E12,AN$4&gt;=$E12))</f>
        <v>0</v>
      </c>
      <c r="AO12" s="46" t="n">
        <f aca="false">N(AND(AO$3&lt;=$E12,AO$4&gt;=$E12))</f>
        <v>0</v>
      </c>
      <c r="AP12" s="46" t="n">
        <f aca="false">N(AND(AP$3&lt;=$E12,AP$4&gt;=$E12))</f>
        <v>0</v>
      </c>
      <c r="AQ12" s="46" t="n">
        <f aca="false">N(AND(AQ$3&lt;=$E12,AQ$4&gt;=$E12))</f>
        <v>0</v>
      </c>
      <c r="AR12" s="46" t="n">
        <f aca="false">N(AND(AR$3&lt;=$E12,AR$4&gt;=$E12))</f>
        <v>0</v>
      </c>
      <c r="AS12" s="46" t="n">
        <f aca="false">N(AND(AS$3&lt;=$E12,AS$4&gt;=$E12))</f>
        <v>0</v>
      </c>
      <c r="AT12" s="46" t="n">
        <f aca="false">N(AND(AT$3&lt;=$E12,AT$4&gt;=$E12))</f>
        <v>0</v>
      </c>
      <c r="AU12" s="46" t="n">
        <f aca="false">N(AND(AU$3&lt;=$E12,AU$4&gt;=$E12))</f>
        <v>0</v>
      </c>
      <c r="AV12" s="46" t="n">
        <f aca="false">N(AND(AV$3&lt;=$E12,AV$4&gt;=$E12))</f>
        <v>0</v>
      </c>
      <c r="AW12" s="46" t="n">
        <f aca="false">N(AND(AW$3&lt;=$E12,AW$4&gt;=$E12))</f>
        <v>0</v>
      </c>
      <c r="AX12" s="46" t="n">
        <f aca="false">N(AND(AX$3&lt;=$E12,AX$4&gt;=$E12))</f>
        <v>0</v>
      </c>
      <c r="AY12" s="46" t="n">
        <f aca="false">N(AND(AY$3&lt;=$E12,AY$4&gt;=$E12))</f>
        <v>0</v>
      </c>
      <c r="AZ12" s="46" t="n">
        <f aca="false">N(AND(AZ$3&lt;=$E12,AZ$4&gt;=$E12))</f>
        <v>0</v>
      </c>
      <c r="BA12" s="46" t="n">
        <f aca="false">N(AND(BA$3&lt;=$E12,BA$4&gt;=$E12))</f>
        <v>0</v>
      </c>
      <c r="BB12" s="46" t="n">
        <f aca="false">N(AND(BB$3&lt;=$E12,BB$4&gt;=$E12))</f>
        <v>0</v>
      </c>
      <c r="BC12" s="46" t="n">
        <f aca="false">N(AND(BC$3&lt;=$E12,BC$4&gt;=$E12))</f>
        <v>0</v>
      </c>
      <c r="BD12" s="46" t="n">
        <f aca="false">N(AND(BD$3&lt;=$E12,BD$4&gt;=$E12))</f>
        <v>0</v>
      </c>
      <c r="BE12" s="46" t="n">
        <f aca="false">N(AND(BE$3&lt;=$E12,BE$4&gt;=$E12))</f>
        <v>0</v>
      </c>
      <c r="BF12" s="46" t="n">
        <f aca="false">N(AND(BF$3&lt;=$E12,BF$4&gt;=$E12))</f>
        <v>0</v>
      </c>
      <c r="BG12" s="46" t="n">
        <f aca="false">N(AND(BG$3&lt;=$E12,BG$4&gt;=$E12))</f>
        <v>0</v>
      </c>
      <c r="BH12" s="46" t="n">
        <f aca="false">N(AND(BH$3&lt;=$E12,BH$4&gt;=$E12))</f>
        <v>0</v>
      </c>
      <c r="BI12" s="46" t="n">
        <f aca="false">N(AND(BI$3&lt;=$E12,BI$4&gt;=$E12))</f>
        <v>0</v>
      </c>
      <c r="BJ12" s="46" t="n">
        <f aca="false">N(AND(BJ$3&lt;=$E12,BJ$4&gt;=$E12))</f>
        <v>0</v>
      </c>
      <c r="BK12" s="46" t="n">
        <f aca="false">N(AND(BK$3&lt;=$E12,BK$4&gt;=$E12))</f>
        <v>0</v>
      </c>
      <c r="BL12" s="46" t="n">
        <f aca="false">N(AND(BL$3&lt;=$E12,BL$4&gt;=$E12))</f>
        <v>0</v>
      </c>
      <c r="BM12" s="46" t="n">
        <f aca="false">N(AND(BM$3&lt;=$E12,BM$4&gt;=$E12))</f>
        <v>0</v>
      </c>
      <c r="BN12" s="46" t="n">
        <f aca="false">N(AND(BN$3&lt;=$E12,BN$4&gt;=$E12))</f>
        <v>0</v>
      </c>
      <c r="BO12" s="46" t="n">
        <f aca="false">N(AND(BO$3&lt;=$E12,BO$4&gt;=$E12))</f>
        <v>0</v>
      </c>
      <c r="BP12" s="46" t="n">
        <f aca="false">N(AND(BP$3&lt;=$E12,BP$4&gt;=$E12))</f>
        <v>0</v>
      </c>
      <c r="BQ12" s="46" t="n">
        <f aca="false">N(AND(BQ$3&lt;=$E12,BQ$4&gt;=$E12))</f>
        <v>0</v>
      </c>
      <c r="BR12" s="46" t="n">
        <f aca="false">N(AND(BR$3&lt;=$E12,BR$4&gt;=$E12))</f>
        <v>0</v>
      </c>
      <c r="BS12" s="46" t="n">
        <f aca="false">N(AND(BS$3&lt;=$E12,BS$4&gt;=$E12))</f>
        <v>0</v>
      </c>
      <c r="BT12" s="46" t="n">
        <f aca="false">N(AND(BT$3&lt;=$E12,BT$4&gt;=$E12))</f>
        <v>0</v>
      </c>
      <c r="BU12" s="46" t="n">
        <f aca="false">N(AND(BU$3&lt;=$E12,BU$4&gt;=$E12))</f>
        <v>0</v>
      </c>
      <c r="BV12" s="46" t="n">
        <f aca="false">N(AND(BV$3&lt;=$E12,BV$4&gt;=$E12))</f>
        <v>0</v>
      </c>
      <c r="BW12" s="46" t="n">
        <f aca="false">N(AND(BW$3&lt;=$E12,BW$4&gt;=$E12))</f>
        <v>0</v>
      </c>
      <c r="BX12" s="46" t="n">
        <f aca="false">N(AND(BX$3&lt;=$E12,BX$4&gt;=$E12))</f>
        <v>0</v>
      </c>
      <c r="BY12" s="46" t="n">
        <f aca="false">N(AND(BY$3&lt;=$E12,BY$4&gt;=$E12))</f>
        <v>0</v>
      </c>
      <c r="BZ12" s="46" t="n">
        <f aca="false">N(AND(BZ$3&lt;=$E12,BZ$4&gt;=$E12))</f>
        <v>0</v>
      </c>
      <c r="CA12" s="46" t="n">
        <f aca="false">N(AND(CA$3&lt;=$E12,CA$4&gt;=$E12))</f>
        <v>0</v>
      </c>
      <c r="CB12" s="46" t="n">
        <f aca="false">N(AND(CB$3&lt;=$E12,CB$4&gt;=$E12))</f>
        <v>0</v>
      </c>
      <c r="CC12" s="46" t="n">
        <f aca="false">N(AND(CC$3&lt;=$E12,CC$4&gt;=$E12))</f>
        <v>0</v>
      </c>
      <c r="CD12" s="46" t="n">
        <f aca="false">N(AND(CD$3&lt;=$E12,CD$4&gt;=$E12))</f>
        <v>0</v>
      </c>
      <c r="CE12" s="46" t="n">
        <f aca="false">N(AND(CE$3&lt;=$E12,CE$4&gt;=$E12))</f>
        <v>0</v>
      </c>
      <c r="CF12" s="46" t="n">
        <f aca="false">N(AND(CF$3&lt;=$E12,CF$4&gt;=$E12))</f>
        <v>0</v>
      </c>
      <c r="CG12" s="46" t="n">
        <f aca="false">N(AND(CG$3&lt;=$E12,CG$4&gt;=$E12))</f>
        <v>0</v>
      </c>
      <c r="CH12" s="46" t="n">
        <f aca="false">N(AND(CH$3&lt;=$E12,CH$4&gt;=$E12))</f>
        <v>0</v>
      </c>
      <c r="CI12" s="46" t="n">
        <f aca="false">N(AND(CI$3&lt;=$E12,CI$4&gt;=$E12))</f>
        <v>0</v>
      </c>
      <c r="CJ12" s="46" t="n">
        <f aca="false">N(AND(CJ$3&lt;=$E12,CJ$4&gt;=$E12))</f>
        <v>0</v>
      </c>
      <c r="CK12" s="46" t="n">
        <f aca="false">N(AND(CK$3&lt;=$E12,CK$4&gt;=$E12))</f>
        <v>0</v>
      </c>
      <c r="CL12" s="46" t="n">
        <f aca="false">N(AND(CL$3&lt;=$E12,CL$4&gt;=$E12))</f>
        <v>0</v>
      </c>
      <c r="CM12" s="46" t="n">
        <f aca="false">N(AND(CM$3&lt;=$E12,CM$4&gt;=$E12))</f>
        <v>0</v>
      </c>
      <c r="CN12" s="46" t="n">
        <f aca="false">N(AND(CN$3&lt;=$E12,CN$4&gt;=$E12))</f>
        <v>0</v>
      </c>
      <c r="CO12" s="46" t="n">
        <f aca="false">N(AND(CO$3&lt;=$E12,CO$4&gt;=$E12))</f>
        <v>0</v>
      </c>
      <c r="CP12" s="46" t="n">
        <f aca="false">N(AND(CP$3&lt;=$E12,CP$4&gt;=$E12))</f>
        <v>0</v>
      </c>
      <c r="CQ12" s="46" t="n">
        <f aca="false">N(AND(CQ$3&lt;=$E12,CQ$4&gt;=$E12))</f>
        <v>0</v>
      </c>
      <c r="CR12" s="46" t="n">
        <f aca="false">N(AND(CR$3&lt;=$E12,CR$4&gt;=$E12))</f>
        <v>0</v>
      </c>
      <c r="CS12" s="46" t="n">
        <f aca="false">N(AND(CS$3&lt;=$E12,CS$4&gt;=$E12))</f>
        <v>0</v>
      </c>
      <c r="CT12" s="46" t="n">
        <f aca="false">N(AND(CT$3&lt;=$E12,CT$4&gt;=$E12))</f>
        <v>0</v>
      </c>
      <c r="CU12" s="46" t="n">
        <f aca="false">N(AND(CU$3&lt;=$E12,CU$4&gt;=$E12))</f>
        <v>0</v>
      </c>
      <c r="CV12" s="46" t="n">
        <f aca="false">N(AND(CV$3&lt;=$E12,CV$4&gt;=$E12))</f>
        <v>0</v>
      </c>
      <c r="CW12" s="46" t="n">
        <f aca="false">N(AND(CW$3&lt;=$E12,CW$4&gt;=$E12))</f>
        <v>0</v>
      </c>
      <c r="CX12" s="46" t="n">
        <f aca="false">N(AND(CX$3&lt;=$E12,CX$4&gt;=$E12))</f>
        <v>0</v>
      </c>
      <c r="CY12" s="46" t="n">
        <f aca="false">N(AND(CY$3&lt;=$E12,CY$4&gt;=$E12))</f>
        <v>0</v>
      </c>
      <c r="CZ12" s="46" t="n">
        <f aca="false">N(AND(CZ$3&lt;=$E12,CZ$4&gt;=$E12))</f>
        <v>0</v>
      </c>
      <c r="DA12" s="46" t="n">
        <f aca="false">N(AND(DA$3&lt;=$E12,DA$4&gt;=$E12))</f>
        <v>0</v>
      </c>
      <c r="DB12" s="46" t="n">
        <f aca="false">N(AND(DB$3&lt;=$E12,DB$4&gt;=$E12))</f>
        <v>0</v>
      </c>
      <c r="DC12" s="46" t="n">
        <f aca="false">N(AND(DC$3&lt;=$E12,DC$4&gt;=$E12))</f>
        <v>0</v>
      </c>
      <c r="DD12" s="46" t="n">
        <f aca="false">N(AND(DD$3&lt;=$E12,DD$4&gt;=$E12))</f>
        <v>0</v>
      </c>
      <c r="DE12" s="46" t="n">
        <f aca="false">N(AND(DE$3&lt;=$E12,DE$4&gt;=$E12))</f>
        <v>0</v>
      </c>
      <c r="DF12" s="46" t="n">
        <f aca="false">N(AND(DF$3&lt;=$E12,DF$4&gt;=$E12))</f>
        <v>0</v>
      </c>
      <c r="DG12" s="46" t="n">
        <f aca="false">N(AND(DG$3&lt;=$E12,DG$4&gt;=$E12))</f>
        <v>0</v>
      </c>
      <c r="DH12" s="46" t="n">
        <f aca="false">N(AND(DH$3&lt;=$E12,DH$4&gt;=$E12))</f>
        <v>0</v>
      </c>
      <c r="DI12" s="46" t="n">
        <f aca="false">N(AND(DI$3&lt;=$E12,DI$4&gt;=$E12))</f>
        <v>0</v>
      </c>
      <c r="DJ12" s="46" t="n">
        <f aca="false">N(AND(DJ$3&lt;=$E12,DJ$4&gt;=$E12))</f>
        <v>0</v>
      </c>
      <c r="DK12" s="46" t="n">
        <f aca="false">N(AND(DK$3&lt;=$E12,DK$4&gt;=$E12))</f>
        <v>0</v>
      </c>
      <c r="DL12" s="46" t="n">
        <f aca="false">N(AND(DL$3&lt;=$E12,DL$4&gt;=$E12))</f>
        <v>0</v>
      </c>
      <c r="DM12" s="46" t="n">
        <f aca="false">N(AND(DM$3&lt;=$E12,DM$4&gt;=$E12))</f>
        <v>0</v>
      </c>
      <c r="DN12" s="46" t="n">
        <f aca="false">N(AND(DN$3&lt;=$E12,DN$4&gt;=$E12))</f>
        <v>0</v>
      </c>
      <c r="DO12" s="46" t="n">
        <f aca="false">N(AND(DO$3&lt;=$E12,DO$4&gt;=$E12))</f>
        <v>0</v>
      </c>
      <c r="DP12" s="46" t="n">
        <f aca="false">N(AND(DP$3&lt;=$E12,DP$4&gt;=$E12))</f>
        <v>0</v>
      </c>
      <c r="DQ12" s="46" t="n">
        <f aca="false">N(AND(DQ$3&lt;=$E12,DQ$4&gt;=$E12))</f>
        <v>0</v>
      </c>
      <c r="DR12" s="46" t="n">
        <f aca="false">N(AND(DR$3&lt;=$E12,DR$4&gt;=$E12))</f>
        <v>0</v>
      </c>
      <c r="DS12" s="46" t="n">
        <f aca="false">N(AND(DS$3&lt;=$E12,DS$4&gt;=$E12))</f>
        <v>0</v>
      </c>
      <c r="DT12" s="46" t="n">
        <f aca="false">N(AND(DT$3&lt;=$E12,DT$4&gt;=$E12))</f>
        <v>0</v>
      </c>
      <c r="DU12" s="46" t="n">
        <f aca="false">N(AND(DU$3&lt;=$E12,DU$4&gt;=$E12))</f>
        <v>0</v>
      </c>
      <c r="DV12" s="46" t="n">
        <f aca="false">N(AND(DV$3&lt;=$E12,DV$4&gt;=$E12))</f>
        <v>0</v>
      </c>
      <c r="DW12" s="46" t="n">
        <f aca="false">N(AND(DW$3&lt;=$E12,DW$4&gt;=$E12))</f>
        <v>0</v>
      </c>
      <c r="DX12" s="46" t="n">
        <f aca="false">N(AND(DX$3&lt;=$E12,DX$4&gt;=$E12))</f>
        <v>0</v>
      </c>
      <c r="DY12" s="46" t="n">
        <f aca="false">N(AND(DY$3&lt;=$E12,DY$4&gt;=$E12))</f>
        <v>0</v>
      </c>
      <c r="DZ12" s="46" t="n">
        <f aca="false">N(AND(DZ$3&lt;=$E12,DZ$4&gt;=$E12))</f>
        <v>0</v>
      </c>
      <c r="EA12" s="46" t="n">
        <f aca="false">N(AND(EA$3&lt;=$E12,EA$4&gt;=$E12))</f>
        <v>0</v>
      </c>
      <c r="EB12" s="46" t="n">
        <f aca="false">N(AND(EB$3&lt;=$E12,EB$4&gt;=$E12))</f>
        <v>0</v>
      </c>
      <c r="EC12" s="46" t="n">
        <f aca="false">N(AND(EC$3&lt;=$E12,EC$4&gt;=$E12))</f>
        <v>0</v>
      </c>
      <c r="ED12" s="46" t="n">
        <f aca="false">N(AND(ED$3&lt;=$E12,ED$4&gt;=$E12))</f>
        <v>0</v>
      </c>
      <c r="EE12" s="46" t="n">
        <f aca="false">N(AND(EE$3&lt;=$E12,EE$4&gt;=$E12))</f>
        <v>0</v>
      </c>
      <c r="EF12" s="46" t="n">
        <f aca="false">N(AND(EF$3&lt;=$E12,EF$4&gt;=$E12))</f>
        <v>0</v>
      </c>
      <c r="EG12" s="46" t="n">
        <f aca="false">N(AND(EG$3&lt;=$E12,EG$4&gt;=$E12))</f>
        <v>0</v>
      </c>
      <c r="EH12" s="46" t="n">
        <f aca="false">N(AND(EH$3&lt;=$E12,EH$4&gt;=$E12))</f>
        <v>0</v>
      </c>
      <c r="EI12" s="46" t="n">
        <f aca="false">N(AND(EI$3&lt;=$E12,EI$4&gt;=$E12))</f>
        <v>0</v>
      </c>
      <c r="EJ12" s="46" t="n">
        <f aca="false">N(AND(EJ$3&lt;=$E12,EJ$4&gt;=$E12))</f>
        <v>0</v>
      </c>
      <c r="EK12" s="46" t="n">
        <f aca="false">N(AND(EK$3&lt;=$E12,EK$4&gt;=$E12))</f>
        <v>0</v>
      </c>
      <c r="EL12" s="46" t="n">
        <f aca="false">N(AND(EL$3&lt;=$E12,EL$4&gt;=$E12))</f>
        <v>0</v>
      </c>
      <c r="EM12" s="46" t="n">
        <f aca="false">N(AND(EM$3&lt;=$E12,EM$4&gt;=$E12))</f>
        <v>0</v>
      </c>
      <c r="EN12" s="46" t="n">
        <f aca="false">N(AND(EN$3&lt;=$E12,EN$4&gt;=$E12))</f>
        <v>0</v>
      </c>
      <c r="EO12" s="46" t="n">
        <f aca="false">N(AND(EO$3&lt;=$E12,EO$4&gt;=$E12))</f>
        <v>0</v>
      </c>
      <c r="EP12" s="46" t="n">
        <f aca="false">N(AND(EP$3&lt;=$E12,EP$4&gt;=$E12))</f>
        <v>0</v>
      </c>
      <c r="EQ12" s="46" t="n">
        <f aca="false">N(AND(EQ$3&lt;=$E12,EQ$4&gt;=$E12))</f>
        <v>0</v>
      </c>
      <c r="ER12" s="46" t="n">
        <f aca="false">N(AND(ER$3&lt;=$E12,ER$4&gt;=$E12))</f>
        <v>0</v>
      </c>
      <c r="ES12" s="46" t="n">
        <f aca="false">N(AND(ES$3&lt;=$E12,ES$4&gt;=$E12))</f>
        <v>0</v>
      </c>
      <c r="ET12" s="46" t="n">
        <f aca="false">N(AND(ET$3&lt;=$E12,ET$4&gt;=$E12))</f>
        <v>0</v>
      </c>
    </row>
    <row r="13" customFormat="false" ht="15" hidden="false" customHeight="false" outlineLevel="0" collapsed="false">
      <c r="C13" s="0" t="s">
        <v>488</v>
      </c>
      <c r="D13" s="11" t="s">
        <v>482</v>
      </c>
      <c r="E13" s="44" t="n">
        <f aca="false">In_NTP+1</f>
        <v>47392</v>
      </c>
      <c r="F13" s="27" t="n">
        <f aca="false">In_COD</f>
        <v>48121</v>
      </c>
      <c r="I13" s="52" t="n">
        <f aca="false">SUM(J13:ET13)</f>
        <v>1</v>
      </c>
      <c r="J13" s="52" t="n">
        <f aca="false">MAX(0,MIN($F13,J$4)-MAX($E13,J$3)+1)/($F13-$E13+1)</f>
        <v>0</v>
      </c>
      <c r="K13" s="52" t="n">
        <f aca="false">MAX(0,MIN($F13,K$4)-MAX($E13,K$3)+1)/($F13-$E13+1)</f>
        <v>0</v>
      </c>
      <c r="L13" s="52" t="n">
        <f aca="false">MAX(0,MIN($F13,L$4)-MAX($E13,L$3)+1)/($F13-$E13+1)</f>
        <v>0</v>
      </c>
      <c r="M13" s="52" t="n">
        <f aca="false">MAX(0,MIN($F13,M$4)-MAX($E13,M$3)+1)/($F13-$E13+1)</f>
        <v>0</v>
      </c>
      <c r="N13" s="52" t="n">
        <f aca="false">MAX(0,MIN($F13,N$4)-MAX($E13,N$3)+1)/($F13-$E13+1)</f>
        <v>0</v>
      </c>
      <c r="O13" s="52" t="n">
        <f aca="false">MAX(0,MIN($F13,O$4)-MAX($E13,O$3)+1)/($F13-$E13+1)</f>
        <v>0</v>
      </c>
      <c r="P13" s="52" t="n">
        <f aca="false">MAX(0,MIN($F13,P$4)-MAX($E13,P$3)+1)/($F13-$E13+1)</f>
        <v>0</v>
      </c>
      <c r="Q13" s="52" t="n">
        <f aca="false">MAX(0,MIN($F13,Q$4)-MAX($E13,Q$3)+1)/($F13-$E13+1)</f>
        <v>0</v>
      </c>
      <c r="R13" s="52" t="n">
        <f aca="false">MAX(0,MIN($F13,R$4)-MAX($E13,R$3)+1)/($F13-$E13+1)</f>
        <v>0</v>
      </c>
      <c r="S13" s="52" t="n">
        <f aca="false">MAX(0,MIN($F13,S$4)-MAX($E13,S$3)+1)/($F13-$E13+1)</f>
        <v>0</v>
      </c>
      <c r="T13" s="52" t="n">
        <f aca="false">MAX(0,MIN($F13,T$4)-MAX($E13,T$3)+1)/($F13-$E13+1)</f>
        <v>0</v>
      </c>
      <c r="U13" s="52" t="n">
        <f aca="false">MAX(0,MIN($F13,U$4)-MAX($E13,U$3)+1)/($F13-$E13+1)</f>
        <v>0</v>
      </c>
      <c r="V13" s="52" t="n">
        <f aca="false">MAX(0,MIN($F13,V$4)-MAX($E13,V$3)+1)/($F13-$E13+1)</f>
        <v>0</v>
      </c>
      <c r="W13" s="52" t="n">
        <f aca="false">MAX(0,MIN($F13,W$4)-MAX($E13,W$3)+1)/($F13-$E13+1)</f>
        <v>0.126027397260274</v>
      </c>
      <c r="X13" s="52" t="n">
        <f aca="false">MAX(0,MIN($F13,X$4)-MAX($E13,X$3)+1)/($F13-$E13+1)</f>
        <v>0.123287671232877</v>
      </c>
      <c r="Y13" s="52" t="n">
        <f aca="false">MAX(0,MIN($F13,Y$4)-MAX($E13,Y$3)+1)/($F13-$E13+1)</f>
        <v>0.124657534246575</v>
      </c>
      <c r="Z13" s="52" t="n">
        <f aca="false">MAX(0,MIN($F13,Z$4)-MAX($E13,Z$3)+1)/($F13-$E13+1)</f>
        <v>0.126027397260274</v>
      </c>
      <c r="AA13" s="52" t="n">
        <f aca="false">MAX(0,MIN($F13,AA$4)-MAX($E13,AA$3)+1)/($F13-$E13+1)</f>
        <v>0.126027397260274</v>
      </c>
      <c r="AB13" s="52" t="n">
        <f aca="false">MAX(0,MIN($F13,AB$4)-MAX($E13,AB$3)+1)/($F13-$E13+1)</f>
        <v>0.123287671232877</v>
      </c>
      <c r="AC13" s="52" t="n">
        <f aca="false">MAX(0,MIN($F13,AC$4)-MAX($E13,AC$3)+1)/($F13-$E13+1)</f>
        <v>0.124657534246575</v>
      </c>
      <c r="AD13" s="52" t="n">
        <f aca="false">MAX(0,MIN($F13,AD$4)-MAX($E13,AD$3)+1)/($F13-$E13+1)</f>
        <v>0.126027397260274</v>
      </c>
      <c r="AE13" s="52" t="n">
        <f aca="false">MAX(0,MIN($F13,AE$4)-MAX($E13,AE$3)+1)/($F13-$E13+1)</f>
        <v>0</v>
      </c>
      <c r="AF13" s="52" t="n">
        <f aca="false">MAX(0,MIN($F13,AF$4)-MAX($E13,AF$3)+1)/($F13-$E13+1)</f>
        <v>0</v>
      </c>
      <c r="AG13" s="52" t="n">
        <f aca="false">MAX(0,MIN($F13,AG$4)-MAX($E13,AG$3)+1)/($F13-$E13+1)</f>
        <v>0</v>
      </c>
      <c r="AH13" s="52" t="n">
        <f aca="false">MAX(0,MIN($F13,AH$4)-MAX($E13,AH$3)+1)/($F13-$E13+1)</f>
        <v>0</v>
      </c>
      <c r="AI13" s="52" t="n">
        <f aca="false">MAX(0,MIN($F13,AI$4)-MAX($E13,AI$3)+1)/($F13-$E13+1)</f>
        <v>0</v>
      </c>
      <c r="AJ13" s="52" t="n">
        <f aca="false">MAX(0,MIN($F13,AJ$4)-MAX($E13,AJ$3)+1)/($F13-$E13+1)</f>
        <v>0</v>
      </c>
      <c r="AK13" s="52" t="n">
        <f aca="false">MAX(0,MIN($F13,AK$4)-MAX($E13,AK$3)+1)/($F13-$E13+1)</f>
        <v>0</v>
      </c>
      <c r="AL13" s="52" t="n">
        <f aca="false">MAX(0,MIN($F13,AL$4)-MAX($E13,AL$3)+1)/($F13-$E13+1)</f>
        <v>0</v>
      </c>
      <c r="AM13" s="52" t="n">
        <f aca="false">MAX(0,MIN($F13,AM$4)-MAX($E13,AM$3)+1)/($F13-$E13+1)</f>
        <v>0</v>
      </c>
      <c r="AN13" s="52" t="n">
        <f aca="false">MAX(0,MIN($F13,AN$4)-MAX($E13,AN$3)+1)/($F13-$E13+1)</f>
        <v>0</v>
      </c>
      <c r="AO13" s="52" t="n">
        <f aca="false">MAX(0,MIN($F13,AO$4)-MAX($E13,AO$3)+1)/($F13-$E13+1)</f>
        <v>0</v>
      </c>
      <c r="AP13" s="52" t="n">
        <f aca="false">MAX(0,MIN($F13,AP$4)-MAX($E13,AP$3)+1)/($F13-$E13+1)</f>
        <v>0</v>
      </c>
      <c r="AQ13" s="52" t="n">
        <f aca="false">MAX(0,MIN($F13,AQ$4)-MAX($E13,AQ$3)+1)/($F13-$E13+1)</f>
        <v>0</v>
      </c>
      <c r="AR13" s="52" t="n">
        <f aca="false">MAX(0,MIN($F13,AR$4)-MAX($E13,AR$3)+1)/($F13-$E13+1)</f>
        <v>0</v>
      </c>
      <c r="AS13" s="52" t="n">
        <f aca="false">MAX(0,MIN($F13,AS$4)-MAX($E13,AS$3)+1)/($F13-$E13+1)</f>
        <v>0</v>
      </c>
      <c r="AT13" s="52" t="n">
        <f aca="false">MAX(0,MIN($F13,AT$4)-MAX($E13,AT$3)+1)/($F13-$E13+1)</f>
        <v>0</v>
      </c>
      <c r="AU13" s="52" t="n">
        <f aca="false">MAX(0,MIN($F13,AU$4)-MAX($E13,AU$3)+1)/($F13-$E13+1)</f>
        <v>0</v>
      </c>
      <c r="AV13" s="52" t="n">
        <f aca="false">MAX(0,MIN($F13,AV$4)-MAX($E13,AV$3)+1)/($F13-$E13+1)</f>
        <v>0</v>
      </c>
      <c r="AW13" s="52" t="n">
        <f aca="false">MAX(0,MIN($F13,AW$4)-MAX($E13,AW$3)+1)/($F13-$E13+1)</f>
        <v>0</v>
      </c>
      <c r="AX13" s="52" t="n">
        <f aca="false">MAX(0,MIN($F13,AX$4)-MAX($E13,AX$3)+1)/($F13-$E13+1)</f>
        <v>0</v>
      </c>
      <c r="AY13" s="52" t="n">
        <f aca="false">MAX(0,MIN($F13,AY$4)-MAX($E13,AY$3)+1)/($F13-$E13+1)</f>
        <v>0</v>
      </c>
      <c r="AZ13" s="52" t="n">
        <f aca="false">MAX(0,MIN($F13,AZ$4)-MAX($E13,AZ$3)+1)/($F13-$E13+1)</f>
        <v>0</v>
      </c>
      <c r="BA13" s="52" t="n">
        <f aca="false">MAX(0,MIN($F13,BA$4)-MAX($E13,BA$3)+1)/($F13-$E13+1)</f>
        <v>0</v>
      </c>
      <c r="BB13" s="52" t="n">
        <f aca="false">MAX(0,MIN($F13,BB$4)-MAX($E13,BB$3)+1)/($F13-$E13+1)</f>
        <v>0</v>
      </c>
      <c r="BC13" s="52" t="n">
        <f aca="false">MAX(0,MIN($F13,BC$4)-MAX($E13,BC$3)+1)/($F13-$E13+1)</f>
        <v>0</v>
      </c>
      <c r="BD13" s="52" t="n">
        <f aca="false">MAX(0,MIN($F13,BD$4)-MAX($E13,BD$3)+1)/($F13-$E13+1)</f>
        <v>0</v>
      </c>
      <c r="BE13" s="52" t="n">
        <f aca="false">MAX(0,MIN($F13,BE$4)-MAX($E13,BE$3)+1)/($F13-$E13+1)</f>
        <v>0</v>
      </c>
      <c r="BF13" s="52" t="n">
        <f aca="false">MAX(0,MIN($F13,BF$4)-MAX($E13,BF$3)+1)/($F13-$E13+1)</f>
        <v>0</v>
      </c>
      <c r="BG13" s="52" t="n">
        <f aca="false">MAX(0,MIN($F13,BG$4)-MAX($E13,BG$3)+1)/($F13-$E13+1)</f>
        <v>0</v>
      </c>
      <c r="BH13" s="52" t="n">
        <f aca="false">MAX(0,MIN($F13,BH$4)-MAX($E13,BH$3)+1)/($F13-$E13+1)</f>
        <v>0</v>
      </c>
      <c r="BI13" s="52" t="n">
        <f aca="false">MAX(0,MIN($F13,BI$4)-MAX($E13,BI$3)+1)/($F13-$E13+1)</f>
        <v>0</v>
      </c>
      <c r="BJ13" s="52" t="n">
        <f aca="false">MAX(0,MIN($F13,BJ$4)-MAX($E13,BJ$3)+1)/($F13-$E13+1)</f>
        <v>0</v>
      </c>
      <c r="BK13" s="52" t="n">
        <f aca="false">MAX(0,MIN($F13,BK$4)-MAX($E13,BK$3)+1)/($F13-$E13+1)</f>
        <v>0</v>
      </c>
      <c r="BL13" s="52" t="n">
        <f aca="false">MAX(0,MIN($F13,BL$4)-MAX($E13,BL$3)+1)/($F13-$E13+1)</f>
        <v>0</v>
      </c>
      <c r="BM13" s="52" t="n">
        <f aca="false">MAX(0,MIN($F13,BM$4)-MAX($E13,BM$3)+1)/($F13-$E13+1)</f>
        <v>0</v>
      </c>
      <c r="BN13" s="52" t="n">
        <f aca="false">MAX(0,MIN($F13,BN$4)-MAX($E13,BN$3)+1)/($F13-$E13+1)</f>
        <v>0</v>
      </c>
      <c r="BO13" s="52" t="n">
        <f aca="false">MAX(0,MIN($F13,BO$4)-MAX($E13,BO$3)+1)/($F13-$E13+1)</f>
        <v>0</v>
      </c>
      <c r="BP13" s="52" t="n">
        <f aca="false">MAX(0,MIN($F13,BP$4)-MAX($E13,BP$3)+1)/($F13-$E13+1)</f>
        <v>0</v>
      </c>
      <c r="BQ13" s="52" t="n">
        <f aca="false">MAX(0,MIN($F13,BQ$4)-MAX($E13,BQ$3)+1)/($F13-$E13+1)</f>
        <v>0</v>
      </c>
      <c r="BR13" s="52" t="n">
        <f aca="false">MAX(0,MIN($F13,BR$4)-MAX($E13,BR$3)+1)/($F13-$E13+1)</f>
        <v>0</v>
      </c>
      <c r="BS13" s="52" t="n">
        <f aca="false">MAX(0,MIN($F13,BS$4)-MAX($E13,BS$3)+1)/($F13-$E13+1)</f>
        <v>0</v>
      </c>
      <c r="BT13" s="52" t="n">
        <f aca="false">MAX(0,MIN($F13,BT$4)-MAX($E13,BT$3)+1)/($F13-$E13+1)</f>
        <v>0</v>
      </c>
      <c r="BU13" s="52" t="n">
        <f aca="false">MAX(0,MIN($F13,BU$4)-MAX($E13,BU$3)+1)/($F13-$E13+1)</f>
        <v>0</v>
      </c>
      <c r="BV13" s="52" t="n">
        <f aca="false">MAX(0,MIN($F13,BV$4)-MAX($E13,BV$3)+1)/($F13-$E13+1)</f>
        <v>0</v>
      </c>
      <c r="BW13" s="52" t="n">
        <f aca="false">MAX(0,MIN($F13,BW$4)-MAX($E13,BW$3)+1)/($F13-$E13+1)</f>
        <v>0</v>
      </c>
      <c r="BX13" s="52" t="n">
        <f aca="false">MAX(0,MIN($F13,BX$4)-MAX($E13,BX$3)+1)/($F13-$E13+1)</f>
        <v>0</v>
      </c>
      <c r="BY13" s="52" t="n">
        <f aca="false">MAX(0,MIN($F13,BY$4)-MAX($E13,BY$3)+1)/($F13-$E13+1)</f>
        <v>0</v>
      </c>
      <c r="BZ13" s="52" t="n">
        <f aca="false">MAX(0,MIN($F13,BZ$4)-MAX($E13,BZ$3)+1)/($F13-$E13+1)</f>
        <v>0</v>
      </c>
      <c r="CA13" s="52" t="n">
        <f aca="false">MAX(0,MIN($F13,CA$4)-MAX($E13,CA$3)+1)/($F13-$E13+1)</f>
        <v>0</v>
      </c>
      <c r="CB13" s="52" t="n">
        <f aca="false">MAX(0,MIN($F13,CB$4)-MAX($E13,CB$3)+1)/($F13-$E13+1)</f>
        <v>0</v>
      </c>
      <c r="CC13" s="52" t="n">
        <f aca="false">MAX(0,MIN($F13,CC$4)-MAX($E13,CC$3)+1)/($F13-$E13+1)</f>
        <v>0</v>
      </c>
      <c r="CD13" s="52" t="n">
        <f aca="false">MAX(0,MIN($F13,CD$4)-MAX($E13,CD$3)+1)/($F13-$E13+1)</f>
        <v>0</v>
      </c>
      <c r="CE13" s="52" t="n">
        <f aca="false">MAX(0,MIN($F13,CE$4)-MAX($E13,CE$3)+1)/($F13-$E13+1)</f>
        <v>0</v>
      </c>
      <c r="CF13" s="52" t="n">
        <f aca="false">MAX(0,MIN($F13,CF$4)-MAX($E13,CF$3)+1)/($F13-$E13+1)</f>
        <v>0</v>
      </c>
      <c r="CG13" s="52" t="n">
        <f aca="false">MAX(0,MIN($F13,CG$4)-MAX($E13,CG$3)+1)/($F13-$E13+1)</f>
        <v>0</v>
      </c>
      <c r="CH13" s="52" t="n">
        <f aca="false">MAX(0,MIN($F13,CH$4)-MAX($E13,CH$3)+1)/($F13-$E13+1)</f>
        <v>0</v>
      </c>
      <c r="CI13" s="52" t="n">
        <f aca="false">MAX(0,MIN($F13,CI$4)-MAX($E13,CI$3)+1)/($F13-$E13+1)</f>
        <v>0</v>
      </c>
      <c r="CJ13" s="52" t="n">
        <f aca="false">MAX(0,MIN($F13,CJ$4)-MAX($E13,CJ$3)+1)/($F13-$E13+1)</f>
        <v>0</v>
      </c>
      <c r="CK13" s="52" t="n">
        <f aca="false">MAX(0,MIN($F13,CK$4)-MAX($E13,CK$3)+1)/($F13-$E13+1)</f>
        <v>0</v>
      </c>
      <c r="CL13" s="52" t="n">
        <f aca="false">MAX(0,MIN($F13,CL$4)-MAX($E13,CL$3)+1)/($F13-$E13+1)</f>
        <v>0</v>
      </c>
      <c r="CM13" s="52" t="n">
        <f aca="false">MAX(0,MIN($F13,CM$4)-MAX($E13,CM$3)+1)/($F13-$E13+1)</f>
        <v>0</v>
      </c>
      <c r="CN13" s="52" t="n">
        <f aca="false">MAX(0,MIN($F13,CN$4)-MAX($E13,CN$3)+1)/($F13-$E13+1)</f>
        <v>0</v>
      </c>
      <c r="CO13" s="52" t="n">
        <f aca="false">MAX(0,MIN($F13,CO$4)-MAX($E13,CO$3)+1)/($F13-$E13+1)</f>
        <v>0</v>
      </c>
      <c r="CP13" s="52" t="n">
        <f aca="false">MAX(0,MIN($F13,CP$4)-MAX($E13,CP$3)+1)/($F13-$E13+1)</f>
        <v>0</v>
      </c>
      <c r="CQ13" s="52" t="n">
        <f aca="false">MAX(0,MIN($F13,CQ$4)-MAX($E13,CQ$3)+1)/($F13-$E13+1)</f>
        <v>0</v>
      </c>
      <c r="CR13" s="52" t="n">
        <f aca="false">MAX(0,MIN($F13,CR$4)-MAX($E13,CR$3)+1)/($F13-$E13+1)</f>
        <v>0</v>
      </c>
      <c r="CS13" s="52" t="n">
        <f aca="false">MAX(0,MIN($F13,CS$4)-MAX($E13,CS$3)+1)/($F13-$E13+1)</f>
        <v>0</v>
      </c>
      <c r="CT13" s="52" t="n">
        <f aca="false">MAX(0,MIN($F13,CT$4)-MAX($E13,CT$3)+1)/($F13-$E13+1)</f>
        <v>0</v>
      </c>
      <c r="CU13" s="52" t="n">
        <f aca="false">MAX(0,MIN($F13,CU$4)-MAX($E13,CU$3)+1)/($F13-$E13+1)</f>
        <v>0</v>
      </c>
      <c r="CV13" s="52" t="n">
        <f aca="false">MAX(0,MIN($F13,CV$4)-MAX($E13,CV$3)+1)/($F13-$E13+1)</f>
        <v>0</v>
      </c>
      <c r="CW13" s="52" t="n">
        <f aca="false">MAX(0,MIN($F13,CW$4)-MAX($E13,CW$3)+1)/($F13-$E13+1)</f>
        <v>0</v>
      </c>
      <c r="CX13" s="52" t="n">
        <f aca="false">MAX(0,MIN($F13,CX$4)-MAX($E13,CX$3)+1)/($F13-$E13+1)</f>
        <v>0</v>
      </c>
      <c r="CY13" s="52" t="n">
        <f aca="false">MAX(0,MIN($F13,CY$4)-MAX($E13,CY$3)+1)/($F13-$E13+1)</f>
        <v>0</v>
      </c>
      <c r="CZ13" s="52" t="n">
        <f aca="false">MAX(0,MIN($F13,CZ$4)-MAX($E13,CZ$3)+1)/($F13-$E13+1)</f>
        <v>0</v>
      </c>
      <c r="DA13" s="52" t="n">
        <f aca="false">MAX(0,MIN($F13,DA$4)-MAX($E13,DA$3)+1)/($F13-$E13+1)</f>
        <v>0</v>
      </c>
      <c r="DB13" s="52" t="n">
        <f aca="false">MAX(0,MIN($F13,DB$4)-MAX($E13,DB$3)+1)/($F13-$E13+1)</f>
        <v>0</v>
      </c>
      <c r="DC13" s="52" t="n">
        <f aca="false">MAX(0,MIN($F13,DC$4)-MAX($E13,DC$3)+1)/($F13-$E13+1)</f>
        <v>0</v>
      </c>
      <c r="DD13" s="52" t="n">
        <f aca="false">MAX(0,MIN($F13,DD$4)-MAX($E13,DD$3)+1)/($F13-$E13+1)</f>
        <v>0</v>
      </c>
      <c r="DE13" s="52" t="n">
        <f aca="false">MAX(0,MIN($F13,DE$4)-MAX($E13,DE$3)+1)/($F13-$E13+1)</f>
        <v>0</v>
      </c>
      <c r="DF13" s="52" t="n">
        <f aca="false">MAX(0,MIN($F13,DF$4)-MAX($E13,DF$3)+1)/($F13-$E13+1)</f>
        <v>0</v>
      </c>
      <c r="DG13" s="52" t="n">
        <f aca="false">MAX(0,MIN($F13,DG$4)-MAX($E13,DG$3)+1)/($F13-$E13+1)</f>
        <v>0</v>
      </c>
      <c r="DH13" s="52" t="n">
        <f aca="false">MAX(0,MIN($F13,DH$4)-MAX($E13,DH$3)+1)/($F13-$E13+1)</f>
        <v>0</v>
      </c>
      <c r="DI13" s="52" t="n">
        <f aca="false">MAX(0,MIN($F13,DI$4)-MAX($E13,DI$3)+1)/($F13-$E13+1)</f>
        <v>0</v>
      </c>
      <c r="DJ13" s="52" t="n">
        <f aca="false">MAX(0,MIN($F13,DJ$4)-MAX($E13,DJ$3)+1)/($F13-$E13+1)</f>
        <v>0</v>
      </c>
      <c r="DK13" s="52" t="n">
        <f aca="false">MAX(0,MIN($F13,DK$4)-MAX($E13,DK$3)+1)/($F13-$E13+1)</f>
        <v>0</v>
      </c>
      <c r="DL13" s="52" t="n">
        <f aca="false">MAX(0,MIN($F13,DL$4)-MAX($E13,DL$3)+1)/($F13-$E13+1)</f>
        <v>0</v>
      </c>
      <c r="DM13" s="52" t="n">
        <f aca="false">MAX(0,MIN($F13,DM$4)-MAX($E13,DM$3)+1)/($F13-$E13+1)</f>
        <v>0</v>
      </c>
      <c r="DN13" s="52" t="n">
        <f aca="false">MAX(0,MIN($F13,DN$4)-MAX($E13,DN$3)+1)/($F13-$E13+1)</f>
        <v>0</v>
      </c>
      <c r="DO13" s="52" t="n">
        <f aca="false">MAX(0,MIN($F13,DO$4)-MAX($E13,DO$3)+1)/($F13-$E13+1)</f>
        <v>0</v>
      </c>
      <c r="DP13" s="52" t="n">
        <f aca="false">MAX(0,MIN($F13,DP$4)-MAX($E13,DP$3)+1)/($F13-$E13+1)</f>
        <v>0</v>
      </c>
      <c r="DQ13" s="52" t="n">
        <f aca="false">MAX(0,MIN($F13,DQ$4)-MAX($E13,DQ$3)+1)/($F13-$E13+1)</f>
        <v>0</v>
      </c>
      <c r="DR13" s="52" t="n">
        <f aca="false">MAX(0,MIN($F13,DR$4)-MAX($E13,DR$3)+1)/($F13-$E13+1)</f>
        <v>0</v>
      </c>
      <c r="DS13" s="52" t="n">
        <f aca="false">MAX(0,MIN($F13,DS$4)-MAX($E13,DS$3)+1)/($F13-$E13+1)</f>
        <v>0</v>
      </c>
      <c r="DT13" s="52" t="n">
        <f aca="false">MAX(0,MIN($F13,DT$4)-MAX($E13,DT$3)+1)/($F13-$E13+1)</f>
        <v>0</v>
      </c>
      <c r="DU13" s="52" t="n">
        <f aca="false">MAX(0,MIN($F13,DU$4)-MAX($E13,DU$3)+1)/($F13-$E13+1)</f>
        <v>0</v>
      </c>
      <c r="DV13" s="52" t="n">
        <f aca="false">MAX(0,MIN($F13,DV$4)-MAX($E13,DV$3)+1)/($F13-$E13+1)</f>
        <v>0</v>
      </c>
      <c r="DW13" s="52" t="n">
        <f aca="false">MAX(0,MIN($F13,DW$4)-MAX($E13,DW$3)+1)/($F13-$E13+1)</f>
        <v>0</v>
      </c>
      <c r="DX13" s="52" t="n">
        <f aca="false">MAX(0,MIN($F13,DX$4)-MAX($E13,DX$3)+1)/($F13-$E13+1)</f>
        <v>0</v>
      </c>
      <c r="DY13" s="52" t="n">
        <f aca="false">MAX(0,MIN($F13,DY$4)-MAX($E13,DY$3)+1)/($F13-$E13+1)</f>
        <v>0</v>
      </c>
      <c r="DZ13" s="52" t="n">
        <f aca="false">MAX(0,MIN($F13,DZ$4)-MAX($E13,DZ$3)+1)/($F13-$E13+1)</f>
        <v>0</v>
      </c>
      <c r="EA13" s="52" t="n">
        <f aca="false">MAX(0,MIN($F13,EA$4)-MAX($E13,EA$3)+1)/($F13-$E13+1)</f>
        <v>0</v>
      </c>
      <c r="EB13" s="52" t="n">
        <f aca="false">MAX(0,MIN($F13,EB$4)-MAX($E13,EB$3)+1)/($F13-$E13+1)</f>
        <v>0</v>
      </c>
      <c r="EC13" s="52" t="n">
        <f aca="false">MAX(0,MIN($F13,EC$4)-MAX($E13,EC$3)+1)/($F13-$E13+1)</f>
        <v>0</v>
      </c>
      <c r="ED13" s="52" t="n">
        <f aca="false">MAX(0,MIN($F13,ED$4)-MAX($E13,ED$3)+1)/($F13-$E13+1)</f>
        <v>0</v>
      </c>
      <c r="EE13" s="52" t="n">
        <f aca="false">MAX(0,MIN($F13,EE$4)-MAX($E13,EE$3)+1)/($F13-$E13+1)</f>
        <v>0</v>
      </c>
      <c r="EF13" s="52" t="n">
        <f aca="false">MAX(0,MIN($F13,EF$4)-MAX($E13,EF$3)+1)/($F13-$E13+1)</f>
        <v>0</v>
      </c>
      <c r="EG13" s="52" t="n">
        <f aca="false">MAX(0,MIN($F13,EG$4)-MAX($E13,EG$3)+1)/($F13-$E13+1)</f>
        <v>0</v>
      </c>
      <c r="EH13" s="52" t="n">
        <f aca="false">MAX(0,MIN($F13,EH$4)-MAX($E13,EH$3)+1)/($F13-$E13+1)</f>
        <v>0</v>
      </c>
      <c r="EI13" s="52" t="n">
        <f aca="false">MAX(0,MIN($F13,EI$4)-MAX($E13,EI$3)+1)/($F13-$E13+1)</f>
        <v>0</v>
      </c>
      <c r="EJ13" s="52" t="n">
        <f aca="false">MAX(0,MIN($F13,EJ$4)-MAX($E13,EJ$3)+1)/($F13-$E13+1)</f>
        <v>0</v>
      </c>
      <c r="EK13" s="52" t="n">
        <f aca="false">MAX(0,MIN($F13,EK$4)-MAX($E13,EK$3)+1)/($F13-$E13+1)</f>
        <v>0</v>
      </c>
      <c r="EL13" s="52" t="n">
        <f aca="false">MAX(0,MIN($F13,EL$4)-MAX($E13,EL$3)+1)/($F13-$E13+1)</f>
        <v>0</v>
      </c>
      <c r="EM13" s="52" t="n">
        <f aca="false">MAX(0,MIN($F13,EM$4)-MAX($E13,EM$3)+1)/($F13-$E13+1)</f>
        <v>0</v>
      </c>
      <c r="EN13" s="52" t="n">
        <f aca="false">MAX(0,MIN($F13,EN$4)-MAX($E13,EN$3)+1)/($F13-$E13+1)</f>
        <v>0</v>
      </c>
      <c r="EO13" s="52" t="n">
        <f aca="false">MAX(0,MIN($F13,EO$4)-MAX($E13,EO$3)+1)/($F13-$E13+1)</f>
        <v>0</v>
      </c>
      <c r="EP13" s="52" t="n">
        <f aca="false">MAX(0,MIN($F13,EP$4)-MAX($E13,EP$3)+1)/($F13-$E13+1)</f>
        <v>0</v>
      </c>
      <c r="EQ13" s="52" t="n">
        <f aca="false">MAX(0,MIN($F13,EQ$4)-MAX($E13,EQ$3)+1)/($F13-$E13+1)</f>
        <v>0</v>
      </c>
      <c r="ER13" s="52" t="n">
        <f aca="false">MAX(0,MIN($F13,ER$4)-MAX($E13,ER$3)+1)/($F13-$E13+1)</f>
        <v>0</v>
      </c>
      <c r="ES13" s="52" t="n">
        <f aca="false">MAX(0,MIN($F13,ES$4)-MAX($E13,ES$3)+1)/($F13-$E13+1)</f>
        <v>0</v>
      </c>
      <c r="ET13" s="52" t="n">
        <f aca="false">MAX(0,MIN($F13,ET$4)-MAX($E13,ET$3)+1)/($F13-$E13+1)</f>
        <v>0</v>
      </c>
    </row>
    <row r="14" customFormat="false" ht="15" hidden="false" customHeight="false" outlineLevel="0" collapsed="false">
      <c r="C14" s="0" t="s">
        <v>61</v>
      </c>
      <c r="D14" s="11" t="s">
        <v>41</v>
      </c>
      <c r="E14" s="27" t="n">
        <f aca="false">In_COD</f>
        <v>48121</v>
      </c>
      <c r="I14" s="46" t="n">
        <f aca="false">SUM(J14:ET14)</f>
        <v>1</v>
      </c>
      <c r="J14" s="46" t="n">
        <f aca="false">N(AND(J$3&lt;=$E14,J$4&gt;=$E14))</f>
        <v>0</v>
      </c>
      <c r="K14" s="46" t="n">
        <f aca="false">N(AND(K$3&lt;=$E14,K$4&gt;=$E14))</f>
        <v>0</v>
      </c>
      <c r="L14" s="46" t="n">
        <f aca="false">N(AND(L$3&lt;=$E14,L$4&gt;=$E14))</f>
        <v>0</v>
      </c>
      <c r="M14" s="46" t="n">
        <f aca="false">N(AND(M$3&lt;=$E14,M$4&gt;=$E14))</f>
        <v>0</v>
      </c>
      <c r="N14" s="46" t="n">
        <f aca="false">N(AND(N$3&lt;=$E14,N$4&gt;=$E14))</f>
        <v>0</v>
      </c>
      <c r="O14" s="46" t="n">
        <f aca="false">N(AND(O$3&lt;=$E14,O$4&gt;=$E14))</f>
        <v>0</v>
      </c>
      <c r="P14" s="46" t="n">
        <f aca="false">N(AND(P$3&lt;=$E14,P$4&gt;=$E14))</f>
        <v>0</v>
      </c>
      <c r="Q14" s="46" t="n">
        <f aca="false">N(AND(Q$3&lt;=$E14,Q$4&gt;=$E14))</f>
        <v>0</v>
      </c>
      <c r="R14" s="46" t="n">
        <f aca="false">N(AND(R$3&lt;=$E14,R$4&gt;=$E14))</f>
        <v>0</v>
      </c>
      <c r="S14" s="46" t="n">
        <f aca="false">N(AND(S$3&lt;=$E14,S$4&gt;=$E14))</f>
        <v>0</v>
      </c>
      <c r="T14" s="46" t="n">
        <f aca="false">N(AND(T$3&lt;=$E14,T$4&gt;=$E14))</f>
        <v>0</v>
      </c>
      <c r="U14" s="46" t="n">
        <f aca="false">N(AND(U$3&lt;=$E14,U$4&gt;=$E14))</f>
        <v>0</v>
      </c>
      <c r="V14" s="46" t="n">
        <f aca="false">N(AND(V$3&lt;=$E14,V$4&gt;=$E14))</f>
        <v>0</v>
      </c>
      <c r="W14" s="46" t="n">
        <f aca="false">N(AND(W$3&lt;=$E14,W$4&gt;=$E14))</f>
        <v>0</v>
      </c>
      <c r="X14" s="46" t="n">
        <f aca="false">N(AND(X$3&lt;=$E14,X$4&gt;=$E14))</f>
        <v>0</v>
      </c>
      <c r="Y14" s="46" t="n">
        <f aca="false">N(AND(Y$3&lt;=$E14,Y$4&gt;=$E14))</f>
        <v>0</v>
      </c>
      <c r="Z14" s="46" t="n">
        <f aca="false">N(AND(Z$3&lt;=$E14,Z$4&gt;=$E14))</f>
        <v>0</v>
      </c>
      <c r="AA14" s="46" t="n">
        <f aca="false">N(AND(AA$3&lt;=$E14,AA$4&gt;=$E14))</f>
        <v>0</v>
      </c>
      <c r="AB14" s="46" t="n">
        <f aca="false">N(AND(AB$3&lt;=$E14,AB$4&gt;=$E14))</f>
        <v>0</v>
      </c>
      <c r="AC14" s="46" t="n">
        <f aca="false">N(AND(AC$3&lt;=$E14,AC$4&gt;=$E14))</f>
        <v>0</v>
      </c>
      <c r="AD14" s="46" t="n">
        <f aca="false">N(AND(AD$3&lt;=$E14,AD$4&gt;=$E14))</f>
        <v>1</v>
      </c>
      <c r="AE14" s="46" t="n">
        <f aca="false">N(AND(AE$3&lt;=$E14,AE$4&gt;=$E14))</f>
        <v>0</v>
      </c>
      <c r="AF14" s="46" t="n">
        <f aca="false">N(AND(AF$3&lt;=$E14,AF$4&gt;=$E14))</f>
        <v>0</v>
      </c>
      <c r="AG14" s="46" t="n">
        <f aca="false">N(AND(AG$3&lt;=$E14,AG$4&gt;=$E14))</f>
        <v>0</v>
      </c>
      <c r="AH14" s="46" t="n">
        <f aca="false">N(AND(AH$3&lt;=$E14,AH$4&gt;=$E14))</f>
        <v>0</v>
      </c>
      <c r="AI14" s="46" t="n">
        <f aca="false">N(AND(AI$3&lt;=$E14,AI$4&gt;=$E14))</f>
        <v>0</v>
      </c>
      <c r="AJ14" s="46" t="n">
        <f aca="false">N(AND(AJ$3&lt;=$E14,AJ$4&gt;=$E14))</f>
        <v>0</v>
      </c>
      <c r="AK14" s="46" t="n">
        <f aca="false">N(AND(AK$3&lt;=$E14,AK$4&gt;=$E14))</f>
        <v>0</v>
      </c>
      <c r="AL14" s="46" t="n">
        <f aca="false">N(AND(AL$3&lt;=$E14,AL$4&gt;=$E14))</f>
        <v>0</v>
      </c>
      <c r="AM14" s="46" t="n">
        <f aca="false">N(AND(AM$3&lt;=$E14,AM$4&gt;=$E14))</f>
        <v>0</v>
      </c>
      <c r="AN14" s="46" t="n">
        <f aca="false">N(AND(AN$3&lt;=$E14,AN$4&gt;=$E14))</f>
        <v>0</v>
      </c>
      <c r="AO14" s="46" t="n">
        <f aca="false">N(AND(AO$3&lt;=$E14,AO$4&gt;=$E14))</f>
        <v>0</v>
      </c>
      <c r="AP14" s="46" t="n">
        <f aca="false">N(AND(AP$3&lt;=$E14,AP$4&gt;=$E14))</f>
        <v>0</v>
      </c>
      <c r="AQ14" s="46" t="n">
        <f aca="false">N(AND(AQ$3&lt;=$E14,AQ$4&gt;=$E14))</f>
        <v>0</v>
      </c>
      <c r="AR14" s="46" t="n">
        <f aca="false">N(AND(AR$3&lt;=$E14,AR$4&gt;=$E14))</f>
        <v>0</v>
      </c>
      <c r="AS14" s="46" t="n">
        <f aca="false">N(AND(AS$3&lt;=$E14,AS$4&gt;=$E14))</f>
        <v>0</v>
      </c>
      <c r="AT14" s="46" t="n">
        <f aca="false">N(AND(AT$3&lt;=$E14,AT$4&gt;=$E14))</f>
        <v>0</v>
      </c>
      <c r="AU14" s="46" t="n">
        <f aca="false">N(AND(AU$3&lt;=$E14,AU$4&gt;=$E14))</f>
        <v>0</v>
      </c>
      <c r="AV14" s="46" t="n">
        <f aca="false">N(AND(AV$3&lt;=$E14,AV$4&gt;=$E14))</f>
        <v>0</v>
      </c>
      <c r="AW14" s="46" t="n">
        <f aca="false">N(AND(AW$3&lt;=$E14,AW$4&gt;=$E14))</f>
        <v>0</v>
      </c>
      <c r="AX14" s="46" t="n">
        <f aca="false">N(AND(AX$3&lt;=$E14,AX$4&gt;=$E14))</f>
        <v>0</v>
      </c>
      <c r="AY14" s="46" t="n">
        <f aca="false">N(AND(AY$3&lt;=$E14,AY$4&gt;=$E14))</f>
        <v>0</v>
      </c>
      <c r="AZ14" s="46" t="n">
        <f aca="false">N(AND(AZ$3&lt;=$E14,AZ$4&gt;=$E14))</f>
        <v>0</v>
      </c>
      <c r="BA14" s="46" t="n">
        <f aca="false">N(AND(BA$3&lt;=$E14,BA$4&gt;=$E14))</f>
        <v>0</v>
      </c>
      <c r="BB14" s="46" t="n">
        <f aca="false">N(AND(BB$3&lt;=$E14,BB$4&gt;=$E14))</f>
        <v>0</v>
      </c>
      <c r="BC14" s="46" t="n">
        <f aca="false">N(AND(BC$3&lt;=$E14,BC$4&gt;=$E14))</f>
        <v>0</v>
      </c>
      <c r="BD14" s="46" t="n">
        <f aca="false">N(AND(BD$3&lt;=$E14,BD$4&gt;=$E14))</f>
        <v>0</v>
      </c>
      <c r="BE14" s="46" t="n">
        <f aca="false">N(AND(BE$3&lt;=$E14,BE$4&gt;=$E14))</f>
        <v>0</v>
      </c>
      <c r="BF14" s="46" t="n">
        <f aca="false">N(AND(BF$3&lt;=$E14,BF$4&gt;=$E14))</f>
        <v>0</v>
      </c>
      <c r="BG14" s="46" t="n">
        <f aca="false">N(AND(BG$3&lt;=$E14,BG$4&gt;=$E14))</f>
        <v>0</v>
      </c>
      <c r="BH14" s="46" t="n">
        <f aca="false">N(AND(BH$3&lt;=$E14,BH$4&gt;=$E14))</f>
        <v>0</v>
      </c>
      <c r="BI14" s="46" t="n">
        <f aca="false">N(AND(BI$3&lt;=$E14,BI$4&gt;=$E14))</f>
        <v>0</v>
      </c>
      <c r="BJ14" s="46" t="n">
        <f aca="false">N(AND(BJ$3&lt;=$E14,BJ$4&gt;=$E14))</f>
        <v>0</v>
      </c>
      <c r="BK14" s="46" t="n">
        <f aca="false">N(AND(BK$3&lt;=$E14,BK$4&gt;=$E14))</f>
        <v>0</v>
      </c>
      <c r="BL14" s="46" t="n">
        <f aca="false">N(AND(BL$3&lt;=$E14,BL$4&gt;=$E14))</f>
        <v>0</v>
      </c>
      <c r="BM14" s="46" t="n">
        <f aca="false">N(AND(BM$3&lt;=$E14,BM$4&gt;=$E14))</f>
        <v>0</v>
      </c>
      <c r="BN14" s="46" t="n">
        <f aca="false">N(AND(BN$3&lt;=$E14,BN$4&gt;=$E14))</f>
        <v>0</v>
      </c>
      <c r="BO14" s="46" t="n">
        <f aca="false">N(AND(BO$3&lt;=$E14,BO$4&gt;=$E14))</f>
        <v>0</v>
      </c>
      <c r="BP14" s="46" t="n">
        <f aca="false">N(AND(BP$3&lt;=$E14,BP$4&gt;=$E14))</f>
        <v>0</v>
      </c>
      <c r="BQ14" s="46" t="n">
        <f aca="false">N(AND(BQ$3&lt;=$E14,BQ$4&gt;=$E14))</f>
        <v>0</v>
      </c>
      <c r="BR14" s="46" t="n">
        <f aca="false">N(AND(BR$3&lt;=$E14,BR$4&gt;=$E14))</f>
        <v>0</v>
      </c>
      <c r="BS14" s="46" t="n">
        <f aca="false">N(AND(BS$3&lt;=$E14,BS$4&gt;=$E14))</f>
        <v>0</v>
      </c>
      <c r="BT14" s="46" t="n">
        <f aca="false">N(AND(BT$3&lt;=$E14,BT$4&gt;=$E14))</f>
        <v>0</v>
      </c>
      <c r="BU14" s="46" t="n">
        <f aca="false">N(AND(BU$3&lt;=$E14,BU$4&gt;=$E14))</f>
        <v>0</v>
      </c>
      <c r="BV14" s="46" t="n">
        <f aca="false">N(AND(BV$3&lt;=$E14,BV$4&gt;=$E14))</f>
        <v>0</v>
      </c>
      <c r="BW14" s="46" t="n">
        <f aca="false">N(AND(BW$3&lt;=$E14,BW$4&gt;=$E14))</f>
        <v>0</v>
      </c>
      <c r="BX14" s="46" t="n">
        <f aca="false">N(AND(BX$3&lt;=$E14,BX$4&gt;=$E14))</f>
        <v>0</v>
      </c>
      <c r="BY14" s="46" t="n">
        <f aca="false">N(AND(BY$3&lt;=$E14,BY$4&gt;=$E14))</f>
        <v>0</v>
      </c>
      <c r="BZ14" s="46" t="n">
        <f aca="false">N(AND(BZ$3&lt;=$E14,BZ$4&gt;=$E14))</f>
        <v>0</v>
      </c>
      <c r="CA14" s="46" t="n">
        <f aca="false">N(AND(CA$3&lt;=$E14,CA$4&gt;=$E14))</f>
        <v>0</v>
      </c>
      <c r="CB14" s="46" t="n">
        <f aca="false">N(AND(CB$3&lt;=$E14,CB$4&gt;=$E14))</f>
        <v>0</v>
      </c>
      <c r="CC14" s="46" t="n">
        <f aca="false">N(AND(CC$3&lt;=$E14,CC$4&gt;=$E14))</f>
        <v>0</v>
      </c>
      <c r="CD14" s="46" t="n">
        <f aca="false">N(AND(CD$3&lt;=$E14,CD$4&gt;=$E14))</f>
        <v>0</v>
      </c>
      <c r="CE14" s="46" t="n">
        <f aca="false">N(AND(CE$3&lt;=$E14,CE$4&gt;=$E14))</f>
        <v>0</v>
      </c>
      <c r="CF14" s="46" t="n">
        <f aca="false">N(AND(CF$3&lt;=$E14,CF$4&gt;=$E14))</f>
        <v>0</v>
      </c>
      <c r="CG14" s="46" t="n">
        <f aca="false">N(AND(CG$3&lt;=$E14,CG$4&gt;=$E14))</f>
        <v>0</v>
      </c>
      <c r="CH14" s="46" t="n">
        <f aca="false">N(AND(CH$3&lt;=$E14,CH$4&gt;=$E14))</f>
        <v>0</v>
      </c>
      <c r="CI14" s="46" t="n">
        <f aca="false">N(AND(CI$3&lt;=$E14,CI$4&gt;=$E14))</f>
        <v>0</v>
      </c>
      <c r="CJ14" s="46" t="n">
        <f aca="false">N(AND(CJ$3&lt;=$E14,CJ$4&gt;=$E14))</f>
        <v>0</v>
      </c>
      <c r="CK14" s="46" t="n">
        <f aca="false">N(AND(CK$3&lt;=$E14,CK$4&gt;=$E14))</f>
        <v>0</v>
      </c>
      <c r="CL14" s="46" t="n">
        <f aca="false">N(AND(CL$3&lt;=$E14,CL$4&gt;=$E14))</f>
        <v>0</v>
      </c>
      <c r="CM14" s="46" t="n">
        <f aca="false">N(AND(CM$3&lt;=$E14,CM$4&gt;=$E14))</f>
        <v>0</v>
      </c>
      <c r="CN14" s="46" t="n">
        <f aca="false">N(AND(CN$3&lt;=$E14,CN$4&gt;=$E14))</f>
        <v>0</v>
      </c>
      <c r="CO14" s="46" t="n">
        <f aca="false">N(AND(CO$3&lt;=$E14,CO$4&gt;=$E14))</f>
        <v>0</v>
      </c>
      <c r="CP14" s="46" t="n">
        <f aca="false">N(AND(CP$3&lt;=$E14,CP$4&gt;=$E14))</f>
        <v>0</v>
      </c>
      <c r="CQ14" s="46" t="n">
        <f aca="false">N(AND(CQ$3&lt;=$E14,CQ$4&gt;=$E14))</f>
        <v>0</v>
      </c>
      <c r="CR14" s="46" t="n">
        <f aca="false">N(AND(CR$3&lt;=$E14,CR$4&gt;=$E14))</f>
        <v>0</v>
      </c>
      <c r="CS14" s="46" t="n">
        <f aca="false">N(AND(CS$3&lt;=$E14,CS$4&gt;=$E14))</f>
        <v>0</v>
      </c>
      <c r="CT14" s="46" t="n">
        <f aca="false">N(AND(CT$3&lt;=$E14,CT$4&gt;=$E14))</f>
        <v>0</v>
      </c>
      <c r="CU14" s="46" t="n">
        <f aca="false">N(AND(CU$3&lt;=$E14,CU$4&gt;=$E14))</f>
        <v>0</v>
      </c>
      <c r="CV14" s="46" t="n">
        <f aca="false">N(AND(CV$3&lt;=$E14,CV$4&gt;=$E14))</f>
        <v>0</v>
      </c>
      <c r="CW14" s="46" t="n">
        <f aca="false">N(AND(CW$3&lt;=$E14,CW$4&gt;=$E14))</f>
        <v>0</v>
      </c>
      <c r="CX14" s="46" t="n">
        <f aca="false">N(AND(CX$3&lt;=$E14,CX$4&gt;=$E14))</f>
        <v>0</v>
      </c>
      <c r="CY14" s="46" t="n">
        <f aca="false">N(AND(CY$3&lt;=$E14,CY$4&gt;=$E14))</f>
        <v>0</v>
      </c>
      <c r="CZ14" s="46" t="n">
        <f aca="false">N(AND(CZ$3&lt;=$E14,CZ$4&gt;=$E14))</f>
        <v>0</v>
      </c>
      <c r="DA14" s="46" t="n">
        <f aca="false">N(AND(DA$3&lt;=$E14,DA$4&gt;=$E14))</f>
        <v>0</v>
      </c>
      <c r="DB14" s="46" t="n">
        <f aca="false">N(AND(DB$3&lt;=$E14,DB$4&gt;=$E14))</f>
        <v>0</v>
      </c>
      <c r="DC14" s="46" t="n">
        <f aca="false">N(AND(DC$3&lt;=$E14,DC$4&gt;=$E14))</f>
        <v>0</v>
      </c>
      <c r="DD14" s="46" t="n">
        <f aca="false">N(AND(DD$3&lt;=$E14,DD$4&gt;=$E14))</f>
        <v>0</v>
      </c>
      <c r="DE14" s="46" t="n">
        <f aca="false">N(AND(DE$3&lt;=$E14,DE$4&gt;=$E14))</f>
        <v>0</v>
      </c>
      <c r="DF14" s="46" t="n">
        <f aca="false">N(AND(DF$3&lt;=$E14,DF$4&gt;=$E14))</f>
        <v>0</v>
      </c>
      <c r="DG14" s="46" t="n">
        <f aca="false">N(AND(DG$3&lt;=$E14,DG$4&gt;=$E14))</f>
        <v>0</v>
      </c>
      <c r="DH14" s="46" t="n">
        <f aca="false">N(AND(DH$3&lt;=$E14,DH$4&gt;=$E14))</f>
        <v>0</v>
      </c>
      <c r="DI14" s="46" t="n">
        <f aca="false">N(AND(DI$3&lt;=$E14,DI$4&gt;=$E14))</f>
        <v>0</v>
      </c>
      <c r="DJ14" s="46" t="n">
        <f aca="false">N(AND(DJ$3&lt;=$E14,DJ$4&gt;=$E14))</f>
        <v>0</v>
      </c>
      <c r="DK14" s="46" t="n">
        <f aca="false">N(AND(DK$3&lt;=$E14,DK$4&gt;=$E14))</f>
        <v>0</v>
      </c>
      <c r="DL14" s="46" t="n">
        <f aca="false">N(AND(DL$3&lt;=$E14,DL$4&gt;=$E14))</f>
        <v>0</v>
      </c>
      <c r="DM14" s="46" t="n">
        <f aca="false">N(AND(DM$3&lt;=$E14,DM$4&gt;=$E14))</f>
        <v>0</v>
      </c>
      <c r="DN14" s="46" t="n">
        <f aca="false">N(AND(DN$3&lt;=$E14,DN$4&gt;=$E14))</f>
        <v>0</v>
      </c>
      <c r="DO14" s="46" t="n">
        <f aca="false">N(AND(DO$3&lt;=$E14,DO$4&gt;=$E14))</f>
        <v>0</v>
      </c>
      <c r="DP14" s="46" t="n">
        <f aca="false">N(AND(DP$3&lt;=$E14,DP$4&gt;=$E14))</f>
        <v>0</v>
      </c>
      <c r="DQ14" s="46" t="n">
        <f aca="false">N(AND(DQ$3&lt;=$E14,DQ$4&gt;=$E14))</f>
        <v>0</v>
      </c>
      <c r="DR14" s="46" t="n">
        <f aca="false">N(AND(DR$3&lt;=$E14,DR$4&gt;=$E14))</f>
        <v>0</v>
      </c>
      <c r="DS14" s="46" t="n">
        <f aca="false">N(AND(DS$3&lt;=$E14,DS$4&gt;=$E14))</f>
        <v>0</v>
      </c>
      <c r="DT14" s="46" t="n">
        <f aca="false">N(AND(DT$3&lt;=$E14,DT$4&gt;=$E14))</f>
        <v>0</v>
      </c>
      <c r="DU14" s="46" t="n">
        <f aca="false">N(AND(DU$3&lt;=$E14,DU$4&gt;=$E14))</f>
        <v>0</v>
      </c>
      <c r="DV14" s="46" t="n">
        <f aca="false">N(AND(DV$3&lt;=$E14,DV$4&gt;=$E14))</f>
        <v>0</v>
      </c>
      <c r="DW14" s="46" t="n">
        <f aca="false">N(AND(DW$3&lt;=$E14,DW$4&gt;=$E14))</f>
        <v>0</v>
      </c>
      <c r="DX14" s="46" t="n">
        <f aca="false">N(AND(DX$3&lt;=$E14,DX$4&gt;=$E14))</f>
        <v>0</v>
      </c>
      <c r="DY14" s="46" t="n">
        <f aca="false">N(AND(DY$3&lt;=$E14,DY$4&gt;=$E14))</f>
        <v>0</v>
      </c>
      <c r="DZ14" s="46" t="n">
        <f aca="false">N(AND(DZ$3&lt;=$E14,DZ$4&gt;=$E14))</f>
        <v>0</v>
      </c>
      <c r="EA14" s="46" t="n">
        <f aca="false">N(AND(EA$3&lt;=$E14,EA$4&gt;=$E14))</f>
        <v>0</v>
      </c>
      <c r="EB14" s="46" t="n">
        <f aca="false">N(AND(EB$3&lt;=$E14,EB$4&gt;=$E14))</f>
        <v>0</v>
      </c>
      <c r="EC14" s="46" t="n">
        <f aca="false">N(AND(EC$3&lt;=$E14,EC$4&gt;=$E14))</f>
        <v>0</v>
      </c>
      <c r="ED14" s="46" t="n">
        <f aca="false">N(AND(ED$3&lt;=$E14,ED$4&gt;=$E14))</f>
        <v>0</v>
      </c>
      <c r="EE14" s="46" t="n">
        <f aca="false">N(AND(EE$3&lt;=$E14,EE$4&gt;=$E14))</f>
        <v>0</v>
      </c>
      <c r="EF14" s="46" t="n">
        <f aca="false">N(AND(EF$3&lt;=$E14,EF$4&gt;=$E14))</f>
        <v>0</v>
      </c>
      <c r="EG14" s="46" t="n">
        <f aca="false">N(AND(EG$3&lt;=$E14,EG$4&gt;=$E14))</f>
        <v>0</v>
      </c>
      <c r="EH14" s="46" t="n">
        <f aca="false">N(AND(EH$3&lt;=$E14,EH$4&gt;=$E14))</f>
        <v>0</v>
      </c>
      <c r="EI14" s="46" t="n">
        <f aca="false">N(AND(EI$3&lt;=$E14,EI$4&gt;=$E14))</f>
        <v>0</v>
      </c>
      <c r="EJ14" s="46" t="n">
        <f aca="false">N(AND(EJ$3&lt;=$E14,EJ$4&gt;=$E14))</f>
        <v>0</v>
      </c>
      <c r="EK14" s="46" t="n">
        <f aca="false">N(AND(EK$3&lt;=$E14,EK$4&gt;=$E14))</f>
        <v>0</v>
      </c>
      <c r="EL14" s="46" t="n">
        <f aca="false">N(AND(EL$3&lt;=$E14,EL$4&gt;=$E14))</f>
        <v>0</v>
      </c>
      <c r="EM14" s="46" t="n">
        <f aca="false">N(AND(EM$3&lt;=$E14,EM$4&gt;=$E14))</f>
        <v>0</v>
      </c>
      <c r="EN14" s="46" t="n">
        <f aca="false">N(AND(EN$3&lt;=$E14,EN$4&gt;=$E14))</f>
        <v>0</v>
      </c>
      <c r="EO14" s="46" t="n">
        <f aca="false">N(AND(EO$3&lt;=$E14,EO$4&gt;=$E14))</f>
        <v>0</v>
      </c>
      <c r="EP14" s="46" t="n">
        <f aca="false">N(AND(EP$3&lt;=$E14,EP$4&gt;=$E14))</f>
        <v>0</v>
      </c>
      <c r="EQ14" s="46" t="n">
        <f aca="false">N(AND(EQ$3&lt;=$E14,EQ$4&gt;=$E14))</f>
        <v>0</v>
      </c>
      <c r="ER14" s="46" t="n">
        <f aca="false">N(AND(ER$3&lt;=$E14,ER$4&gt;=$E14))</f>
        <v>0</v>
      </c>
      <c r="ES14" s="46" t="n">
        <f aca="false">N(AND(ES$3&lt;=$E14,ES$4&gt;=$E14))</f>
        <v>0</v>
      </c>
      <c r="ET14" s="46" t="n">
        <f aca="false">N(AND(ET$3&lt;=$E14,ET$4&gt;=$E14))</f>
        <v>0</v>
      </c>
    </row>
    <row r="15" customFormat="false" ht="15" hidden="false" customHeight="false" outlineLevel="0" collapsed="false">
      <c r="C15" s="0" t="s">
        <v>371</v>
      </c>
      <c r="D15" s="11" t="s">
        <v>41</v>
      </c>
      <c r="E15" s="44" t="n">
        <f aca="false">In_COD+1</f>
        <v>48122</v>
      </c>
      <c r="F15" s="44" t="n">
        <f aca="false">EDATE(In_COD,In_Life*Months_In_Year)</f>
        <v>59079</v>
      </c>
      <c r="J15" s="52" t="n">
        <f aca="false">MAX(0,(MIN($F15,J$4)-MAX($E15,J$3)+1)/J$5)</f>
        <v>0</v>
      </c>
      <c r="K15" s="52" t="n">
        <f aca="false">MAX(0,(MIN($F15,K$4)-MAX($E15,K$3)+1)/K$5)</f>
        <v>0</v>
      </c>
      <c r="L15" s="52" t="n">
        <f aca="false">MAX(0,(MIN($F15,L$4)-MAX($E15,L$3)+1)/L$5)</f>
        <v>0</v>
      </c>
      <c r="M15" s="52" t="n">
        <f aca="false">MAX(0,(MIN($F15,M$4)-MAX($E15,M$3)+1)/M$5)</f>
        <v>0</v>
      </c>
      <c r="N15" s="52" t="n">
        <f aca="false">MAX(0,(MIN($F15,N$4)-MAX($E15,N$3)+1)/N$5)</f>
        <v>0</v>
      </c>
      <c r="O15" s="52" t="n">
        <f aca="false">MAX(0,(MIN($F15,O$4)-MAX($E15,O$3)+1)/O$5)</f>
        <v>0</v>
      </c>
      <c r="P15" s="52" t="n">
        <f aca="false">MAX(0,(MIN($F15,P$4)-MAX($E15,P$3)+1)/P$5)</f>
        <v>0</v>
      </c>
      <c r="Q15" s="52" t="n">
        <f aca="false">MAX(0,(MIN($F15,Q$4)-MAX($E15,Q$3)+1)/Q$5)</f>
        <v>0</v>
      </c>
      <c r="R15" s="52" t="n">
        <f aca="false">MAX(0,(MIN($F15,R$4)-MAX($E15,R$3)+1)/R$5)</f>
        <v>0</v>
      </c>
      <c r="S15" s="52" t="n">
        <f aca="false">MAX(0,(MIN($F15,S$4)-MAX($E15,S$3)+1)/S$5)</f>
        <v>0</v>
      </c>
      <c r="T15" s="52" t="n">
        <f aca="false">MAX(0,(MIN($F15,T$4)-MAX($E15,T$3)+1)/T$5)</f>
        <v>0</v>
      </c>
      <c r="U15" s="52" t="n">
        <f aca="false">MAX(0,(MIN($F15,U$4)-MAX($E15,U$3)+1)/U$5)</f>
        <v>0</v>
      </c>
      <c r="V15" s="52" t="n">
        <f aca="false">MAX(0,(MIN($F15,V$4)-MAX($E15,V$3)+1)/V$5)</f>
        <v>0</v>
      </c>
      <c r="W15" s="52" t="n">
        <f aca="false">MAX(0,(MIN($F15,W$4)-MAX($E15,W$3)+1)/W$5)</f>
        <v>0</v>
      </c>
      <c r="X15" s="52" t="n">
        <f aca="false">MAX(0,(MIN($F15,X$4)-MAX($E15,X$3)+1)/X$5)</f>
        <v>0</v>
      </c>
      <c r="Y15" s="52" t="n">
        <f aca="false">MAX(0,(MIN($F15,Y$4)-MAX($E15,Y$3)+1)/Y$5)</f>
        <v>0</v>
      </c>
      <c r="Z15" s="52" t="n">
        <f aca="false">MAX(0,(MIN($F15,Z$4)-MAX($E15,Z$3)+1)/Z$5)</f>
        <v>0</v>
      </c>
      <c r="AA15" s="52" t="n">
        <f aca="false">MAX(0,(MIN($F15,AA$4)-MAX($E15,AA$3)+1)/AA$5)</f>
        <v>0</v>
      </c>
      <c r="AB15" s="52" t="n">
        <f aca="false">MAX(0,(MIN($F15,AB$4)-MAX($E15,AB$3)+1)/AB$5)</f>
        <v>0</v>
      </c>
      <c r="AC15" s="52" t="n">
        <f aca="false">MAX(0,(MIN($F15,AC$4)-MAX($E15,AC$3)+1)/AC$5)</f>
        <v>0</v>
      </c>
      <c r="AD15" s="52" t="n">
        <f aca="false">MAX(0,(MIN($F15,AD$4)-MAX($E15,AD$3)+1)/AD$5)</f>
        <v>0</v>
      </c>
      <c r="AE15" s="52" t="n">
        <f aca="false">MAX(0,(MIN($F15,AE$4)-MAX($E15,AE$3)+1)/AE$5)</f>
        <v>1</v>
      </c>
      <c r="AF15" s="52" t="n">
        <f aca="false">MAX(0,(MIN($F15,AF$4)-MAX($E15,AF$3)+1)/AF$5)</f>
        <v>1</v>
      </c>
      <c r="AG15" s="52" t="n">
        <f aca="false">MAX(0,(MIN($F15,AG$4)-MAX($E15,AG$3)+1)/AG$5)</f>
        <v>1</v>
      </c>
      <c r="AH15" s="52" t="n">
        <f aca="false">MAX(0,(MIN($F15,AH$4)-MAX($E15,AH$3)+1)/AH$5)</f>
        <v>1</v>
      </c>
      <c r="AI15" s="52" t="n">
        <f aca="false">MAX(0,(MIN($F15,AI$4)-MAX($E15,AI$3)+1)/AI$5)</f>
        <v>1</v>
      </c>
      <c r="AJ15" s="52" t="n">
        <f aca="false">MAX(0,(MIN($F15,AJ$4)-MAX($E15,AJ$3)+1)/AJ$5)</f>
        <v>1</v>
      </c>
      <c r="AK15" s="52" t="n">
        <f aca="false">MAX(0,(MIN($F15,AK$4)-MAX($E15,AK$3)+1)/AK$5)</f>
        <v>1</v>
      </c>
      <c r="AL15" s="52" t="n">
        <f aca="false">MAX(0,(MIN($F15,AL$4)-MAX($E15,AL$3)+1)/AL$5)</f>
        <v>1</v>
      </c>
      <c r="AM15" s="52" t="n">
        <f aca="false">MAX(0,(MIN($F15,AM$4)-MAX($E15,AM$3)+1)/AM$5)</f>
        <v>1</v>
      </c>
      <c r="AN15" s="52" t="n">
        <f aca="false">MAX(0,(MIN($F15,AN$4)-MAX($E15,AN$3)+1)/AN$5)</f>
        <v>1</v>
      </c>
      <c r="AO15" s="52" t="n">
        <f aca="false">MAX(0,(MIN($F15,AO$4)-MAX($E15,AO$3)+1)/AO$5)</f>
        <v>1</v>
      </c>
      <c r="AP15" s="52" t="n">
        <f aca="false">MAX(0,(MIN($F15,AP$4)-MAX($E15,AP$3)+1)/AP$5)</f>
        <v>1</v>
      </c>
      <c r="AQ15" s="52" t="n">
        <f aca="false">MAX(0,(MIN($F15,AQ$4)-MAX($E15,AQ$3)+1)/AQ$5)</f>
        <v>1</v>
      </c>
      <c r="AR15" s="52" t="n">
        <f aca="false">MAX(0,(MIN($F15,AR$4)-MAX($E15,AR$3)+1)/AR$5)</f>
        <v>1</v>
      </c>
      <c r="AS15" s="52" t="n">
        <f aca="false">MAX(0,(MIN($F15,AS$4)-MAX($E15,AS$3)+1)/AS$5)</f>
        <v>1</v>
      </c>
      <c r="AT15" s="52" t="n">
        <f aca="false">MAX(0,(MIN($F15,AT$4)-MAX($E15,AT$3)+1)/AT$5)</f>
        <v>1</v>
      </c>
      <c r="AU15" s="52" t="n">
        <f aca="false">MAX(0,(MIN($F15,AU$4)-MAX($E15,AU$3)+1)/AU$5)</f>
        <v>1</v>
      </c>
      <c r="AV15" s="52" t="n">
        <f aca="false">MAX(0,(MIN($F15,AV$4)-MAX($E15,AV$3)+1)/AV$5)</f>
        <v>1</v>
      </c>
      <c r="AW15" s="52" t="n">
        <f aca="false">MAX(0,(MIN($F15,AW$4)-MAX($E15,AW$3)+1)/AW$5)</f>
        <v>1</v>
      </c>
      <c r="AX15" s="52" t="n">
        <f aca="false">MAX(0,(MIN($F15,AX$4)-MAX($E15,AX$3)+1)/AX$5)</f>
        <v>1</v>
      </c>
      <c r="AY15" s="52" t="n">
        <f aca="false">MAX(0,(MIN($F15,AY$4)-MAX($E15,AY$3)+1)/AY$5)</f>
        <v>1</v>
      </c>
      <c r="AZ15" s="52" t="n">
        <f aca="false">MAX(0,(MIN($F15,AZ$4)-MAX($E15,AZ$3)+1)/AZ$5)</f>
        <v>1</v>
      </c>
      <c r="BA15" s="52" t="n">
        <f aca="false">MAX(0,(MIN($F15,BA$4)-MAX($E15,BA$3)+1)/BA$5)</f>
        <v>1</v>
      </c>
      <c r="BB15" s="52" t="n">
        <f aca="false">MAX(0,(MIN($F15,BB$4)-MAX($E15,BB$3)+1)/BB$5)</f>
        <v>1</v>
      </c>
      <c r="BC15" s="52" t="n">
        <f aca="false">MAX(0,(MIN($F15,BC$4)-MAX($E15,BC$3)+1)/BC$5)</f>
        <v>1</v>
      </c>
      <c r="BD15" s="52" t="n">
        <f aca="false">MAX(0,(MIN($F15,BD$4)-MAX($E15,BD$3)+1)/BD$5)</f>
        <v>1</v>
      </c>
      <c r="BE15" s="52" t="n">
        <f aca="false">MAX(0,(MIN($F15,BE$4)-MAX($E15,BE$3)+1)/BE$5)</f>
        <v>1</v>
      </c>
      <c r="BF15" s="52" t="n">
        <f aca="false">MAX(0,(MIN($F15,BF$4)-MAX($E15,BF$3)+1)/BF$5)</f>
        <v>1</v>
      </c>
      <c r="BG15" s="52" t="n">
        <f aca="false">MAX(0,(MIN($F15,BG$4)-MAX($E15,BG$3)+1)/BG$5)</f>
        <v>1</v>
      </c>
      <c r="BH15" s="52" t="n">
        <f aca="false">MAX(0,(MIN($F15,BH$4)-MAX($E15,BH$3)+1)/BH$5)</f>
        <v>1</v>
      </c>
      <c r="BI15" s="52" t="n">
        <f aca="false">MAX(0,(MIN($F15,BI$4)-MAX($E15,BI$3)+1)/BI$5)</f>
        <v>1</v>
      </c>
      <c r="BJ15" s="52" t="n">
        <f aca="false">MAX(0,(MIN($F15,BJ$4)-MAX($E15,BJ$3)+1)/BJ$5)</f>
        <v>1</v>
      </c>
      <c r="BK15" s="52" t="n">
        <f aca="false">MAX(0,(MIN($F15,BK$4)-MAX($E15,BK$3)+1)/BK$5)</f>
        <v>1</v>
      </c>
      <c r="BL15" s="52" t="n">
        <f aca="false">MAX(0,(MIN($F15,BL$4)-MAX($E15,BL$3)+1)/BL$5)</f>
        <v>1</v>
      </c>
      <c r="BM15" s="52" t="n">
        <f aca="false">MAX(0,(MIN($F15,BM$4)-MAX($E15,BM$3)+1)/BM$5)</f>
        <v>1</v>
      </c>
      <c r="BN15" s="52" t="n">
        <f aca="false">MAX(0,(MIN($F15,BN$4)-MAX($E15,BN$3)+1)/BN$5)</f>
        <v>1</v>
      </c>
      <c r="BO15" s="52" t="n">
        <f aca="false">MAX(0,(MIN($F15,BO$4)-MAX($E15,BO$3)+1)/BO$5)</f>
        <v>1</v>
      </c>
      <c r="BP15" s="52" t="n">
        <f aca="false">MAX(0,(MIN($F15,BP$4)-MAX($E15,BP$3)+1)/BP$5)</f>
        <v>1</v>
      </c>
      <c r="BQ15" s="52" t="n">
        <f aca="false">MAX(0,(MIN($F15,BQ$4)-MAX($E15,BQ$3)+1)/BQ$5)</f>
        <v>1</v>
      </c>
      <c r="BR15" s="52" t="n">
        <f aca="false">MAX(0,(MIN($F15,BR$4)-MAX($E15,BR$3)+1)/BR$5)</f>
        <v>1</v>
      </c>
      <c r="BS15" s="52" t="n">
        <f aca="false">MAX(0,(MIN($F15,BS$4)-MAX($E15,BS$3)+1)/BS$5)</f>
        <v>1</v>
      </c>
      <c r="BT15" s="52" t="n">
        <f aca="false">MAX(0,(MIN($F15,BT$4)-MAX($E15,BT$3)+1)/BT$5)</f>
        <v>1</v>
      </c>
      <c r="BU15" s="52" t="n">
        <f aca="false">MAX(0,(MIN($F15,BU$4)-MAX($E15,BU$3)+1)/BU$5)</f>
        <v>1</v>
      </c>
      <c r="BV15" s="52" t="n">
        <f aca="false">MAX(0,(MIN($F15,BV$4)-MAX($E15,BV$3)+1)/BV$5)</f>
        <v>1</v>
      </c>
      <c r="BW15" s="52" t="n">
        <f aca="false">MAX(0,(MIN($F15,BW$4)-MAX($E15,BW$3)+1)/BW$5)</f>
        <v>1</v>
      </c>
      <c r="BX15" s="52" t="n">
        <f aca="false">MAX(0,(MIN($F15,BX$4)-MAX($E15,BX$3)+1)/BX$5)</f>
        <v>1</v>
      </c>
      <c r="BY15" s="52" t="n">
        <f aca="false">MAX(0,(MIN($F15,BY$4)-MAX($E15,BY$3)+1)/BY$5)</f>
        <v>1</v>
      </c>
      <c r="BZ15" s="52" t="n">
        <f aca="false">MAX(0,(MIN($F15,BZ$4)-MAX($E15,BZ$3)+1)/BZ$5)</f>
        <v>1</v>
      </c>
      <c r="CA15" s="52" t="n">
        <f aca="false">MAX(0,(MIN($F15,CA$4)-MAX($E15,CA$3)+1)/CA$5)</f>
        <v>1</v>
      </c>
      <c r="CB15" s="52" t="n">
        <f aca="false">MAX(0,(MIN($F15,CB$4)-MAX($E15,CB$3)+1)/CB$5)</f>
        <v>1</v>
      </c>
      <c r="CC15" s="52" t="n">
        <f aca="false">MAX(0,(MIN($F15,CC$4)-MAX($E15,CC$3)+1)/CC$5)</f>
        <v>1</v>
      </c>
      <c r="CD15" s="52" t="n">
        <f aca="false">MAX(0,(MIN($F15,CD$4)-MAX($E15,CD$3)+1)/CD$5)</f>
        <v>1</v>
      </c>
      <c r="CE15" s="52" t="n">
        <f aca="false">MAX(0,(MIN($F15,CE$4)-MAX($E15,CE$3)+1)/CE$5)</f>
        <v>1</v>
      </c>
      <c r="CF15" s="52" t="n">
        <f aca="false">MAX(0,(MIN($F15,CF$4)-MAX($E15,CF$3)+1)/CF$5)</f>
        <v>1</v>
      </c>
      <c r="CG15" s="52" t="n">
        <f aca="false">MAX(0,(MIN($F15,CG$4)-MAX($E15,CG$3)+1)/CG$5)</f>
        <v>1</v>
      </c>
      <c r="CH15" s="52" t="n">
        <f aca="false">MAX(0,(MIN($F15,CH$4)-MAX($E15,CH$3)+1)/CH$5)</f>
        <v>1</v>
      </c>
      <c r="CI15" s="52" t="n">
        <f aca="false">MAX(0,(MIN($F15,CI$4)-MAX($E15,CI$3)+1)/CI$5)</f>
        <v>1</v>
      </c>
      <c r="CJ15" s="52" t="n">
        <f aca="false">MAX(0,(MIN($F15,CJ$4)-MAX($E15,CJ$3)+1)/CJ$5)</f>
        <v>1</v>
      </c>
      <c r="CK15" s="52" t="n">
        <f aca="false">MAX(0,(MIN($F15,CK$4)-MAX($E15,CK$3)+1)/CK$5)</f>
        <v>1</v>
      </c>
      <c r="CL15" s="52" t="n">
        <f aca="false">MAX(0,(MIN($F15,CL$4)-MAX($E15,CL$3)+1)/CL$5)</f>
        <v>1</v>
      </c>
      <c r="CM15" s="52" t="n">
        <f aca="false">MAX(0,(MIN($F15,CM$4)-MAX($E15,CM$3)+1)/CM$5)</f>
        <v>1</v>
      </c>
      <c r="CN15" s="52" t="n">
        <f aca="false">MAX(0,(MIN($F15,CN$4)-MAX($E15,CN$3)+1)/CN$5)</f>
        <v>1</v>
      </c>
      <c r="CO15" s="52" t="n">
        <f aca="false">MAX(0,(MIN($F15,CO$4)-MAX($E15,CO$3)+1)/CO$5)</f>
        <v>1</v>
      </c>
      <c r="CP15" s="52" t="n">
        <f aca="false">MAX(0,(MIN($F15,CP$4)-MAX($E15,CP$3)+1)/CP$5)</f>
        <v>1</v>
      </c>
      <c r="CQ15" s="52" t="n">
        <f aca="false">MAX(0,(MIN($F15,CQ$4)-MAX($E15,CQ$3)+1)/CQ$5)</f>
        <v>1</v>
      </c>
      <c r="CR15" s="52" t="n">
        <f aca="false">MAX(0,(MIN($F15,CR$4)-MAX($E15,CR$3)+1)/CR$5)</f>
        <v>1</v>
      </c>
      <c r="CS15" s="52" t="n">
        <f aca="false">MAX(0,(MIN($F15,CS$4)-MAX($E15,CS$3)+1)/CS$5)</f>
        <v>1</v>
      </c>
      <c r="CT15" s="52" t="n">
        <f aca="false">MAX(0,(MIN($F15,CT$4)-MAX($E15,CT$3)+1)/CT$5)</f>
        <v>1</v>
      </c>
      <c r="CU15" s="52" t="n">
        <f aca="false">MAX(0,(MIN($F15,CU$4)-MAX($E15,CU$3)+1)/CU$5)</f>
        <v>1</v>
      </c>
      <c r="CV15" s="52" t="n">
        <f aca="false">MAX(0,(MIN($F15,CV$4)-MAX($E15,CV$3)+1)/CV$5)</f>
        <v>1</v>
      </c>
      <c r="CW15" s="52" t="n">
        <f aca="false">MAX(0,(MIN($F15,CW$4)-MAX($E15,CW$3)+1)/CW$5)</f>
        <v>1</v>
      </c>
      <c r="CX15" s="52" t="n">
        <f aca="false">MAX(0,(MIN($F15,CX$4)-MAX($E15,CX$3)+1)/CX$5)</f>
        <v>1</v>
      </c>
      <c r="CY15" s="52" t="n">
        <f aca="false">MAX(0,(MIN($F15,CY$4)-MAX($E15,CY$3)+1)/CY$5)</f>
        <v>1</v>
      </c>
      <c r="CZ15" s="52" t="n">
        <f aca="false">MAX(0,(MIN($F15,CZ$4)-MAX($E15,CZ$3)+1)/CZ$5)</f>
        <v>1</v>
      </c>
      <c r="DA15" s="52" t="n">
        <f aca="false">MAX(0,(MIN($F15,DA$4)-MAX($E15,DA$3)+1)/DA$5)</f>
        <v>1</v>
      </c>
      <c r="DB15" s="52" t="n">
        <f aca="false">MAX(0,(MIN($F15,DB$4)-MAX($E15,DB$3)+1)/DB$5)</f>
        <v>1</v>
      </c>
      <c r="DC15" s="52" t="n">
        <f aca="false">MAX(0,(MIN($F15,DC$4)-MAX($E15,DC$3)+1)/DC$5)</f>
        <v>1</v>
      </c>
      <c r="DD15" s="52" t="n">
        <f aca="false">MAX(0,(MIN($F15,DD$4)-MAX($E15,DD$3)+1)/DD$5)</f>
        <v>1</v>
      </c>
      <c r="DE15" s="52" t="n">
        <f aca="false">MAX(0,(MIN($F15,DE$4)-MAX($E15,DE$3)+1)/DE$5)</f>
        <v>1</v>
      </c>
      <c r="DF15" s="52" t="n">
        <f aca="false">MAX(0,(MIN($F15,DF$4)-MAX($E15,DF$3)+1)/DF$5)</f>
        <v>1</v>
      </c>
      <c r="DG15" s="52" t="n">
        <f aca="false">MAX(0,(MIN($F15,DG$4)-MAX($E15,DG$3)+1)/DG$5)</f>
        <v>1</v>
      </c>
      <c r="DH15" s="52" t="n">
        <f aca="false">MAX(0,(MIN($F15,DH$4)-MAX($E15,DH$3)+1)/DH$5)</f>
        <v>1</v>
      </c>
      <c r="DI15" s="52" t="n">
        <f aca="false">MAX(0,(MIN($F15,DI$4)-MAX($E15,DI$3)+1)/DI$5)</f>
        <v>1</v>
      </c>
      <c r="DJ15" s="52" t="n">
        <f aca="false">MAX(0,(MIN($F15,DJ$4)-MAX($E15,DJ$3)+1)/DJ$5)</f>
        <v>1</v>
      </c>
      <c r="DK15" s="52" t="n">
        <f aca="false">MAX(0,(MIN($F15,DK$4)-MAX($E15,DK$3)+1)/DK$5)</f>
        <v>1</v>
      </c>
      <c r="DL15" s="52" t="n">
        <f aca="false">MAX(0,(MIN($F15,DL$4)-MAX($E15,DL$3)+1)/DL$5)</f>
        <v>1</v>
      </c>
      <c r="DM15" s="52" t="n">
        <f aca="false">MAX(0,(MIN($F15,DM$4)-MAX($E15,DM$3)+1)/DM$5)</f>
        <v>1</v>
      </c>
      <c r="DN15" s="52" t="n">
        <f aca="false">MAX(0,(MIN($F15,DN$4)-MAX($E15,DN$3)+1)/DN$5)</f>
        <v>1</v>
      </c>
      <c r="DO15" s="52" t="n">
        <f aca="false">MAX(0,(MIN($F15,DO$4)-MAX($E15,DO$3)+1)/DO$5)</f>
        <v>1</v>
      </c>
      <c r="DP15" s="52" t="n">
        <f aca="false">MAX(0,(MIN($F15,DP$4)-MAX($E15,DP$3)+1)/DP$5)</f>
        <v>1</v>
      </c>
      <c r="DQ15" s="52" t="n">
        <f aca="false">MAX(0,(MIN($F15,DQ$4)-MAX($E15,DQ$3)+1)/DQ$5)</f>
        <v>1</v>
      </c>
      <c r="DR15" s="52" t="n">
        <f aca="false">MAX(0,(MIN($F15,DR$4)-MAX($E15,DR$3)+1)/DR$5)</f>
        <v>1</v>
      </c>
      <c r="DS15" s="52" t="n">
        <f aca="false">MAX(0,(MIN($F15,DS$4)-MAX($E15,DS$3)+1)/DS$5)</f>
        <v>1</v>
      </c>
      <c r="DT15" s="52" t="n">
        <f aca="false">MAX(0,(MIN($F15,DT$4)-MAX($E15,DT$3)+1)/DT$5)</f>
        <v>1</v>
      </c>
      <c r="DU15" s="52" t="n">
        <f aca="false">MAX(0,(MIN($F15,DU$4)-MAX($E15,DU$3)+1)/DU$5)</f>
        <v>1</v>
      </c>
      <c r="DV15" s="52" t="n">
        <f aca="false">MAX(0,(MIN($F15,DV$4)-MAX($E15,DV$3)+1)/DV$5)</f>
        <v>1</v>
      </c>
      <c r="DW15" s="52" t="n">
        <f aca="false">MAX(0,(MIN($F15,DW$4)-MAX($E15,DW$3)+1)/DW$5)</f>
        <v>1</v>
      </c>
      <c r="DX15" s="52" t="n">
        <f aca="false">MAX(0,(MIN($F15,DX$4)-MAX($E15,DX$3)+1)/DX$5)</f>
        <v>1</v>
      </c>
      <c r="DY15" s="52" t="n">
        <f aca="false">MAX(0,(MIN($F15,DY$4)-MAX($E15,DY$3)+1)/DY$5)</f>
        <v>1</v>
      </c>
      <c r="DZ15" s="52" t="n">
        <f aca="false">MAX(0,(MIN($F15,DZ$4)-MAX($E15,DZ$3)+1)/DZ$5)</f>
        <v>1</v>
      </c>
      <c r="EA15" s="52" t="n">
        <f aca="false">MAX(0,(MIN($F15,EA$4)-MAX($E15,EA$3)+1)/EA$5)</f>
        <v>1</v>
      </c>
      <c r="EB15" s="52" t="n">
        <f aca="false">MAX(0,(MIN($F15,EB$4)-MAX($E15,EB$3)+1)/EB$5)</f>
        <v>1</v>
      </c>
      <c r="EC15" s="52" t="n">
        <f aca="false">MAX(0,(MIN($F15,EC$4)-MAX($E15,EC$3)+1)/EC$5)</f>
        <v>1</v>
      </c>
      <c r="ED15" s="52" t="n">
        <f aca="false">MAX(0,(MIN($F15,ED$4)-MAX($E15,ED$3)+1)/ED$5)</f>
        <v>1</v>
      </c>
      <c r="EE15" s="52" t="n">
        <f aca="false">MAX(0,(MIN($F15,EE$4)-MAX($E15,EE$3)+1)/EE$5)</f>
        <v>1</v>
      </c>
      <c r="EF15" s="52" t="n">
        <f aca="false">MAX(0,(MIN($F15,EF$4)-MAX($E15,EF$3)+1)/EF$5)</f>
        <v>1</v>
      </c>
      <c r="EG15" s="52" t="n">
        <f aca="false">MAX(0,(MIN($F15,EG$4)-MAX($E15,EG$3)+1)/EG$5)</f>
        <v>1</v>
      </c>
      <c r="EH15" s="52" t="n">
        <f aca="false">MAX(0,(MIN($F15,EH$4)-MAX($E15,EH$3)+1)/EH$5)</f>
        <v>1</v>
      </c>
      <c r="EI15" s="52" t="n">
        <f aca="false">MAX(0,(MIN($F15,EI$4)-MAX($E15,EI$3)+1)/EI$5)</f>
        <v>1</v>
      </c>
      <c r="EJ15" s="52" t="n">
        <f aca="false">MAX(0,(MIN($F15,EJ$4)-MAX($E15,EJ$3)+1)/EJ$5)</f>
        <v>1</v>
      </c>
      <c r="EK15" s="52" t="n">
        <f aca="false">MAX(0,(MIN($F15,EK$4)-MAX($E15,EK$3)+1)/EK$5)</f>
        <v>1</v>
      </c>
      <c r="EL15" s="52" t="n">
        <f aca="false">MAX(0,(MIN($F15,EL$4)-MAX($E15,EL$3)+1)/EL$5)</f>
        <v>1</v>
      </c>
      <c r="EM15" s="52" t="n">
        <f aca="false">MAX(0,(MIN($F15,EM$4)-MAX($E15,EM$3)+1)/EM$5)</f>
        <v>1</v>
      </c>
      <c r="EN15" s="52" t="n">
        <f aca="false">MAX(0,(MIN($F15,EN$4)-MAX($E15,EN$3)+1)/EN$5)</f>
        <v>1</v>
      </c>
      <c r="EO15" s="52" t="n">
        <f aca="false">MAX(0,(MIN($F15,EO$4)-MAX($E15,EO$3)+1)/EO$5)</f>
        <v>1</v>
      </c>
      <c r="EP15" s="52" t="n">
        <f aca="false">MAX(0,(MIN($F15,EP$4)-MAX($E15,EP$3)+1)/EP$5)</f>
        <v>1</v>
      </c>
      <c r="EQ15" s="52" t="n">
        <f aca="false">MAX(0,(MIN($F15,EQ$4)-MAX($E15,EQ$3)+1)/EQ$5)</f>
        <v>1</v>
      </c>
      <c r="ER15" s="52" t="n">
        <f aca="false">MAX(0,(MIN($F15,ER$4)-MAX($E15,ER$3)+1)/ER$5)</f>
        <v>1</v>
      </c>
      <c r="ES15" s="52" t="n">
        <f aca="false">MAX(0,(MIN($F15,ES$4)-MAX($E15,ES$3)+1)/ES$5)</f>
        <v>1</v>
      </c>
      <c r="ET15" s="52" t="n">
        <f aca="false">MAX(0,(MIN($F15,ET$4)-MAX($E15,ET$3)+1)/ET$5)</f>
        <v>1</v>
      </c>
    </row>
    <row r="16" customFormat="false" ht="15" hidden="false" customHeight="false" outlineLevel="0" collapsed="false">
      <c r="C16" s="0" t="s">
        <v>489</v>
      </c>
      <c r="D16" s="11" t="s">
        <v>41</v>
      </c>
      <c r="E16" s="44" t="n">
        <f aca="false">In_NTP+1</f>
        <v>47392</v>
      </c>
      <c r="F16" s="44" t="n">
        <f aca="false">EDATE(In_COD,In_Life*Months_In_Year)</f>
        <v>59079</v>
      </c>
      <c r="J16" s="52" t="n">
        <f aca="false">MAX(0,(MIN($F16,J$4)-MAX($E16,J$3)+1)/J$5)</f>
        <v>0</v>
      </c>
      <c r="K16" s="52" t="n">
        <f aca="false">MAX(0,(MIN($F16,K$4)-MAX($E16,K$3)+1)/K$5)</f>
        <v>0</v>
      </c>
      <c r="L16" s="52" t="n">
        <f aca="false">MAX(0,(MIN($F16,L$4)-MAX($E16,L$3)+1)/L$5)</f>
        <v>0</v>
      </c>
      <c r="M16" s="52" t="n">
        <f aca="false">MAX(0,(MIN($F16,M$4)-MAX($E16,M$3)+1)/M$5)</f>
        <v>0</v>
      </c>
      <c r="N16" s="52" t="n">
        <f aca="false">MAX(0,(MIN($F16,N$4)-MAX($E16,N$3)+1)/N$5)</f>
        <v>0</v>
      </c>
      <c r="O16" s="52" t="n">
        <f aca="false">MAX(0,(MIN($F16,O$4)-MAX($E16,O$3)+1)/O$5)</f>
        <v>0</v>
      </c>
      <c r="P16" s="52" t="n">
        <f aca="false">MAX(0,(MIN($F16,P$4)-MAX($E16,P$3)+1)/P$5)</f>
        <v>0</v>
      </c>
      <c r="Q16" s="52" t="n">
        <f aca="false">MAX(0,(MIN($F16,Q$4)-MAX($E16,Q$3)+1)/Q$5)</f>
        <v>0</v>
      </c>
      <c r="R16" s="52" t="n">
        <f aca="false">MAX(0,(MIN($F16,R$4)-MAX($E16,R$3)+1)/R$5)</f>
        <v>0</v>
      </c>
      <c r="S16" s="52" t="n">
        <f aca="false">MAX(0,(MIN($F16,S$4)-MAX($E16,S$3)+1)/S$5)</f>
        <v>0</v>
      </c>
      <c r="T16" s="52" t="n">
        <f aca="false">MAX(0,(MIN($F16,T$4)-MAX($E16,T$3)+1)/T$5)</f>
        <v>0</v>
      </c>
      <c r="U16" s="52" t="n">
        <f aca="false">MAX(0,(MIN($F16,U$4)-MAX($E16,U$3)+1)/U$5)</f>
        <v>0</v>
      </c>
      <c r="V16" s="52" t="n">
        <f aca="false">MAX(0,(MIN($F16,V$4)-MAX($E16,V$3)+1)/V$5)</f>
        <v>0</v>
      </c>
      <c r="W16" s="52" t="n">
        <f aca="false">MAX(0,(MIN($F16,W$4)-MAX($E16,W$3)+1)/W$5)</f>
        <v>1</v>
      </c>
      <c r="X16" s="52" t="n">
        <f aca="false">MAX(0,(MIN($F16,X$4)-MAX($E16,X$3)+1)/X$5)</f>
        <v>1</v>
      </c>
      <c r="Y16" s="52" t="n">
        <f aca="false">MAX(0,(MIN($F16,Y$4)-MAX($E16,Y$3)+1)/Y$5)</f>
        <v>1</v>
      </c>
      <c r="Z16" s="52" t="n">
        <f aca="false">MAX(0,(MIN($F16,Z$4)-MAX($E16,Z$3)+1)/Z$5)</f>
        <v>1</v>
      </c>
      <c r="AA16" s="52" t="n">
        <f aca="false">MAX(0,(MIN($F16,AA$4)-MAX($E16,AA$3)+1)/AA$5)</f>
        <v>1</v>
      </c>
      <c r="AB16" s="52" t="n">
        <f aca="false">MAX(0,(MIN($F16,AB$4)-MAX($E16,AB$3)+1)/AB$5)</f>
        <v>1</v>
      </c>
      <c r="AC16" s="52" t="n">
        <f aca="false">MAX(0,(MIN($F16,AC$4)-MAX($E16,AC$3)+1)/AC$5)</f>
        <v>1</v>
      </c>
      <c r="AD16" s="52" t="n">
        <f aca="false">MAX(0,(MIN($F16,AD$4)-MAX($E16,AD$3)+1)/AD$5)</f>
        <v>1</v>
      </c>
      <c r="AE16" s="52" t="n">
        <f aca="false">MAX(0,(MIN($F16,AE$4)-MAX($E16,AE$3)+1)/AE$5)</f>
        <v>1</v>
      </c>
      <c r="AF16" s="52" t="n">
        <f aca="false">MAX(0,(MIN($F16,AF$4)-MAX($E16,AF$3)+1)/AF$5)</f>
        <v>1</v>
      </c>
      <c r="AG16" s="52" t="n">
        <f aca="false">MAX(0,(MIN($F16,AG$4)-MAX($E16,AG$3)+1)/AG$5)</f>
        <v>1</v>
      </c>
      <c r="AH16" s="52" t="n">
        <f aca="false">MAX(0,(MIN($F16,AH$4)-MAX($E16,AH$3)+1)/AH$5)</f>
        <v>1</v>
      </c>
      <c r="AI16" s="52" t="n">
        <f aca="false">MAX(0,(MIN($F16,AI$4)-MAX($E16,AI$3)+1)/AI$5)</f>
        <v>1</v>
      </c>
      <c r="AJ16" s="52" t="n">
        <f aca="false">MAX(0,(MIN($F16,AJ$4)-MAX($E16,AJ$3)+1)/AJ$5)</f>
        <v>1</v>
      </c>
      <c r="AK16" s="52" t="n">
        <f aca="false">MAX(0,(MIN($F16,AK$4)-MAX($E16,AK$3)+1)/AK$5)</f>
        <v>1</v>
      </c>
      <c r="AL16" s="52" t="n">
        <f aca="false">MAX(0,(MIN($F16,AL$4)-MAX($E16,AL$3)+1)/AL$5)</f>
        <v>1</v>
      </c>
      <c r="AM16" s="52" t="n">
        <f aca="false">MAX(0,(MIN($F16,AM$4)-MAX($E16,AM$3)+1)/AM$5)</f>
        <v>1</v>
      </c>
      <c r="AN16" s="52" t="n">
        <f aca="false">MAX(0,(MIN($F16,AN$4)-MAX($E16,AN$3)+1)/AN$5)</f>
        <v>1</v>
      </c>
      <c r="AO16" s="52" t="n">
        <f aca="false">MAX(0,(MIN($F16,AO$4)-MAX($E16,AO$3)+1)/AO$5)</f>
        <v>1</v>
      </c>
      <c r="AP16" s="52" t="n">
        <f aca="false">MAX(0,(MIN($F16,AP$4)-MAX($E16,AP$3)+1)/AP$5)</f>
        <v>1</v>
      </c>
      <c r="AQ16" s="52" t="n">
        <f aca="false">MAX(0,(MIN($F16,AQ$4)-MAX($E16,AQ$3)+1)/AQ$5)</f>
        <v>1</v>
      </c>
      <c r="AR16" s="52" t="n">
        <f aca="false">MAX(0,(MIN($F16,AR$4)-MAX($E16,AR$3)+1)/AR$5)</f>
        <v>1</v>
      </c>
      <c r="AS16" s="52" t="n">
        <f aca="false">MAX(0,(MIN($F16,AS$4)-MAX($E16,AS$3)+1)/AS$5)</f>
        <v>1</v>
      </c>
      <c r="AT16" s="52" t="n">
        <f aca="false">MAX(0,(MIN($F16,AT$4)-MAX($E16,AT$3)+1)/AT$5)</f>
        <v>1</v>
      </c>
      <c r="AU16" s="52" t="n">
        <f aca="false">MAX(0,(MIN($F16,AU$4)-MAX($E16,AU$3)+1)/AU$5)</f>
        <v>1</v>
      </c>
      <c r="AV16" s="52" t="n">
        <f aca="false">MAX(0,(MIN($F16,AV$4)-MAX($E16,AV$3)+1)/AV$5)</f>
        <v>1</v>
      </c>
      <c r="AW16" s="52" t="n">
        <f aca="false">MAX(0,(MIN($F16,AW$4)-MAX($E16,AW$3)+1)/AW$5)</f>
        <v>1</v>
      </c>
      <c r="AX16" s="52" t="n">
        <f aca="false">MAX(0,(MIN($F16,AX$4)-MAX($E16,AX$3)+1)/AX$5)</f>
        <v>1</v>
      </c>
      <c r="AY16" s="52" t="n">
        <f aca="false">MAX(0,(MIN($F16,AY$4)-MAX($E16,AY$3)+1)/AY$5)</f>
        <v>1</v>
      </c>
      <c r="AZ16" s="52" t="n">
        <f aca="false">MAX(0,(MIN($F16,AZ$4)-MAX($E16,AZ$3)+1)/AZ$5)</f>
        <v>1</v>
      </c>
      <c r="BA16" s="52" t="n">
        <f aca="false">MAX(0,(MIN($F16,BA$4)-MAX($E16,BA$3)+1)/BA$5)</f>
        <v>1</v>
      </c>
      <c r="BB16" s="52" t="n">
        <f aca="false">MAX(0,(MIN($F16,BB$4)-MAX($E16,BB$3)+1)/BB$5)</f>
        <v>1</v>
      </c>
      <c r="BC16" s="52" t="n">
        <f aca="false">MAX(0,(MIN($F16,BC$4)-MAX($E16,BC$3)+1)/BC$5)</f>
        <v>1</v>
      </c>
      <c r="BD16" s="52" t="n">
        <f aca="false">MAX(0,(MIN($F16,BD$4)-MAX($E16,BD$3)+1)/BD$5)</f>
        <v>1</v>
      </c>
      <c r="BE16" s="52" t="n">
        <f aca="false">MAX(0,(MIN($F16,BE$4)-MAX($E16,BE$3)+1)/BE$5)</f>
        <v>1</v>
      </c>
      <c r="BF16" s="52" t="n">
        <f aca="false">MAX(0,(MIN($F16,BF$4)-MAX($E16,BF$3)+1)/BF$5)</f>
        <v>1</v>
      </c>
      <c r="BG16" s="52" t="n">
        <f aca="false">MAX(0,(MIN($F16,BG$4)-MAX($E16,BG$3)+1)/BG$5)</f>
        <v>1</v>
      </c>
      <c r="BH16" s="52" t="n">
        <f aca="false">MAX(0,(MIN($F16,BH$4)-MAX($E16,BH$3)+1)/BH$5)</f>
        <v>1</v>
      </c>
      <c r="BI16" s="52" t="n">
        <f aca="false">MAX(0,(MIN($F16,BI$4)-MAX($E16,BI$3)+1)/BI$5)</f>
        <v>1</v>
      </c>
      <c r="BJ16" s="52" t="n">
        <f aca="false">MAX(0,(MIN($F16,BJ$4)-MAX($E16,BJ$3)+1)/BJ$5)</f>
        <v>1</v>
      </c>
      <c r="BK16" s="52" t="n">
        <f aca="false">MAX(0,(MIN($F16,BK$4)-MAX($E16,BK$3)+1)/BK$5)</f>
        <v>1</v>
      </c>
      <c r="BL16" s="52" t="n">
        <f aca="false">MAX(0,(MIN($F16,BL$4)-MAX($E16,BL$3)+1)/BL$5)</f>
        <v>1</v>
      </c>
      <c r="BM16" s="52" t="n">
        <f aca="false">MAX(0,(MIN($F16,BM$4)-MAX($E16,BM$3)+1)/BM$5)</f>
        <v>1</v>
      </c>
      <c r="BN16" s="52" t="n">
        <f aca="false">MAX(0,(MIN($F16,BN$4)-MAX($E16,BN$3)+1)/BN$5)</f>
        <v>1</v>
      </c>
      <c r="BO16" s="52" t="n">
        <f aca="false">MAX(0,(MIN($F16,BO$4)-MAX($E16,BO$3)+1)/BO$5)</f>
        <v>1</v>
      </c>
      <c r="BP16" s="52" t="n">
        <f aca="false">MAX(0,(MIN($F16,BP$4)-MAX($E16,BP$3)+1)/BP$5)</f>
        <v>1</v>
      </c>
      <c r="BQ16" s="52" t="n">
        <f aca="false">MAX(0,(MIN($F16,BQ$4)-MAX($E16,BQ$3)+1)/BQ$5)</f>
        <v>1</v>
      </c>
      <c r="BR16" s="52" t="n">
        <f aca="false">MAX(0,(MIN($F16,BR$4)-MAX($E16,BR$3)+1)/BR$5)</f>
        <v>1</v>
      </c>
      <c r="BS16" s="52" t="n">
        <f aca="false">MAX(0,(MIN($F16,BS$4)-MAX($E16,BS$3)+1)/BS$5)</f>
        <v>1</v>
      </c>
      <c r="BT16" s="52" t="n">
        <f aca="false">MAX(0,(MIN($F16,BT$4)-MAX($E16,BT$3)+1)/BT$5)</f>
        <v>1</v>
      </c>
      <c r="BU16" s="52" t="n">
        <f aca="false">MAX(0,(MIN($F16,BU$4)-MAX($E16,BU$3)+1)/BU$5)</f>
        <v>1</v>
      </c>
      <c r="BV16" s="52" t="n">
        <f aca="false">MAX(0,(MIN($F16,BV$4)-MAX($E16,BV$3)+1)/BV$5)</f>
        <v>1</v>
      </c>
      <c r="BW16" s="52" t="n">
        <f aca="false">MAX(0,(MIN($F16,BW$4)-MAX($E16,BW$3)+1)/BW$5)</f>
        <v>1</v>
      </c>
      <c r="BX16" s="52" t="n">
        <f aca="false">MAX(0,(MIN($F16,BX$4)-MAX($E16,BX$3)+1)/BX$5)</f>
        <v>1</v>
      </c>
      <c r="BY16" s="52" t="n">
        <f aca="false">MAX(0,(MIN($F16,BY$4)-MAX($E16,BY$3)+1)/BY$5)</f>
        <v>1</v>
      </c>
      <c r="BZ16" s="52" t="n">
        <f aca="false">MAX(0,(MIN($F16,BZ$4)-MAX($E16,BZ$3)+1)/BZ$5)</f>
        <v>1</v>
      </c>
      <c r="CA16" s="52" t="n">
        <f aca="false">MAX(0,(MIN($F16,CA$4)-MAX($E16,CA$3)+1)/CA$5)</f>
        <v>1</v>
      </c>
      <c r="CB16" s="52" t="n">
        <f aca="false">MAX(0,(MIN($F16,CB$4)-MAX($E16,CB$3)+1)/CB$5)</f>
        <v>1</v>
      </c>
      <c r="CC16" s="52" t="n">
        <f aca="false">MAX(0,(MIN($F16,CC$4)-MAX($E16,CC$3)+1)/CC$5)</f>
        <v>1</v>
      </c>
      <c r="CD16" s="52" t="n">
        <f aca="false">MAX(0,(MIN($F16,CD$4)-MAX($E16,CD$3)+1)/CD$5)</f>
        <v>1</v>
      </c>
      <c r="CE16" s="52" t="n">
        <f aca="false">MAX(0,(MIN($F16,CE$4)-MAX($E16,CE$3)+1)/CE$5)</f>
        <v>1</v>
      </c>
      <c r="CF16" s="52" t="n">
        <f aca="false">MAX(0,(MIN($F16,CF$4)-MAX($E16,CF$3)+1)/CF$5)</f>
        <v>1</v>
      </c>
      <c r="CG16" s="52" t="n">
        <f aca="false">MAX(0,(MIN($F16,CG$4)-MAX($E16,CG$3)+1)/CG$5)</f>
        <v>1</v>
      </c>
      <c r="CH16" s="52" t="n">
        <f aca="false">MAX(0,(MIN($F16,CH$4)-MAX($E16,CH$3)+1)/CH$5)</f>
        <v>1</v>
      </c>
      <c r="CI16" s="52" t="n">
        <f aca="false">MAX(0,(MIN($F16,CI$4)-MAX($E16,CI$3)+1)/CI$5)</f>
        <v>1</v>
      </c>
      <c r="CJ16" s="52" t="n">
        <f aca="false">MAX(0,(MIN($F16,CJ$4)-MAX($E16,CJ$3)+1)/CJ$5)</f>
        <v>1</v>
      </c>
      <c r="CK16" s="52" t="n">
        <f aca="false">MAX(0,(MIN($F16,CK$4)-MAX($E16,CK$3)+1)/CK$5)</f>
        <v>1</v>
      </c>
      <c r="CL16" s="52" t="n">
        <f aca="false">MAX(0,(MIN($F16,CL$4)-MAX($E16,CL$3)+1)/CL$5)</f>
        <v>1</v>
      </c>
      <c r="CM16" s="52" t="n">
        <f aca="false">MAX(0,(MIN($F16,CM$4)-MAX($E16,CM$3)+1)/CM$5)</f>
        <v>1</v>
      </c>
      <c r="CN16" s="52" t="n">
        <f aca="false">MAX(0,(MIN($F16,CN$4)-MAX($E16,CN$3)+1)/CN$5)</f>
        <v>1</v>
      </c>
      <c r="CO16" s="52" t="n">
        <f aca="false">MAX(0,(MIN($F16,CO$4)-MAX($E16,CO$3)+1)/CO$5)</f>
        <v>1</v>
      </c>
      <c r="CP16" s="52" t="n">
        <f aca="false">MAX(0,(MIN($F16,CP$4)-MAX($E16,CP$3)+1)/CP$5)</f>
        <v>1</v>
      </c>
      <c r="CQ16" s="52" t="n">
        <f aca="false">MAX(0,(MIN($F16,CQ$4)-MAX($E16,CQ$3)+1)/CQ$5)</f>
        <v>1</v>
      </c>
      <c r="CR16" s="52" t="n">
        <f aca="false">MAX(0,(MIN($F16,CR$4)-MAX($E16,CR$3)+1)/CR$5)</f>
        <v>1</v>
      </c>
      <c r="CS16" s="52" t="n">
        <f aca="false">MAX(0,(MIN($F16,CS$4)-MAX($E16,CS$3)+1)/CS$5)</f>
        <v>1</v>
      </c>
      <c r="CT16" s="52" t="n">
        <f aca="false">MAX(0,(MIN($F16,CT$4)-MAX($E16,CT$3)+1)/CT$5)</f>
        <v>1</v>
      </c>
      <c r="CU16" s="52" t="n">
        <f aca="false">MAX(0,(MIN($F16,CU$4)-MAX($E16,CU$3)+1)/CU$5)</f>
        <v>1</v>
      </c>
      <c r="CV16" s="52" t="n">
        <f aca="false">MAX(0,(MIN($F16,CV$4)-MAX($E16,CV$3)+1)/CV$5)</f>
        <v>1</v>
      </c>
      <c r="CW16" s="52" t="n">
        <f aca="false">MAX(0,(MIN($F16,CW$4)-MAX($E16,CW$3)+1)/CW$5)</f>
        <v>1</v>
      </c>
      <c r="CX16" s="52" t="n">
        <f aca="false">MAX(0,(MIN($F16,CX$4)-MAX($E16,CX$3)+1)/CX$5)</f>
        <v>1</v>
      </c>
      <c r="CY16" s="52" t="n">
        <f aca="false">MAX(0,(MIN($F16,CY$4)-MAX($E16,CY$3)+1)/CY$5)</f>
        <v>1</v>
      </c>
      <c r="CZ16" s="52" t="n">
        <f aca="false">MAX(0,(MIN($F16,CZ$4)-MAX($E16,CZ$3)+1)/CZ$5)</f>
        <v>1</v>
      </c>
      <c r="DA16" s="52" t="n">
        <f aca="false">MAX(0,(MIN($F16,DA$4)-MAX($E16,DA$3)+1)/DA$5)</f>
        <v>1</v>
      </c>
      <c r="DB16" s="52" t="n">
        <f aca="false">MAX(0,(MIN($F16,DB$4)-MAX($E16,DB$3)+1)/DB$5)</f>
        <v>1</v>
      </c>
      <c r="DC16" s="52" t="n">
        <f aca="false">MAX(0,(MIN($F16,DC$4)-MAX($E16,DC$3)+1)/DC$5)</f>
        <v>1</v>
      </c>
      <c r="DD16" s="52" t="n">
        <f aca="false">MAX(0,(MIN($F16,DD$4)-MAX($E16,DD$3)+1)/DD$5)</f>
        <v>1</v>
      </c>
      <c r="DE16" s="52" t="n">
        <f aca="false">MAX(0,(MIN($F16,DE$4)-MAX($E16,DE$3)+1)/DE$5)</f>
        <v>1</v>
      </c>
      <c r="DF16" s="52" t="n">
        <f aca="false">MAX(0,(MIN($F16,DF$4)-MAX($E16,DF$3)+1)/DF$5)</f>
        <v>1</v>
      </c>
      <c r="DG16" s="52" t="n">
        <f aca="false">MAX(0,(MIN($F16,DG$4)-MAX($E16,DG$3)+1)/DG$5)</f>
        <v>1</v>
      </c>
      <c r="DH16" s="52" t="n">
        <f aca="false">MAX(0,(MIN($F16,DH$4)-MAX($E16,DH$3)+1)/DH$5)</f>
        <v>1</v>
      </c>
      <c r="DI16" s="52" t="n">
        <f aca="false">MAX(0,(MIN($F16,DI$4)-MAX($E16,DI$3)+1)/DI$5)</f>
        <v>1</v>
      </c>
      <c r="DJ16" s="52" t="n">
        <f aca="false">MAX(0,(MIN($F16,DJ$4)-MAX($E16,DJ$3)+1)/DJ$5)</f>
        <v>1</v>
      </c>
      <c r="DK16" s="52" t="n">
        <f aca="false">MAX(0,(MIN($F16,DK$4)-MAX($E16,DK$3)+1)/DK$5)</f>
        <v>1</v>
      </c>
      <c r="DL16" s="52" t="n">
        <f aca="false">MAX(0,(MIN($F16,DL$4)-MAX($E16,DL$3)+1)/DL$5)</f>
        <v>1</v>
      </c>
      <c r="DM16" s="52" t="n">
        <f aca="false">MAX(0,(MIN($F16,DM$4)-MAX($E16,DM$3)+1)/DM$5)</f>
        <v>1</v>
      </c>
      <c r="DN16" s="52" t="n">
        <f aca="false">MAX(0,(MIN($F16,DN$4)-MAX($E16,DN$3)+1)/DN$5)</f>
        <v>1</v>
      </c>
      <c r="DO16" s="52" t="n">
        <f aca="false">MAX(0,(MIN($F16,DO$4)-MAX($E16,DO$3)+1)/DO$5)</f>
        <v>1</v>
      </c>
      <c r="DP16" s="52" t="n">
        <f aca="false">MAX(0,(MIN($F16,DP$4)-MAX($E16,DP$3)+1)/DP$5)</f>
        <v>1</v>
      </c>
      <c r="DQ16" s="52" t="n">
        <f aca="false">MAX(0,(MIN($F16,DQ$4)-MAX($E16,DQ$3)+1)/DQ$5)</f>
        <v>1</v>
      </c>
      <c r="DR16" s="52" t="n">
        <f aca="false">MAX(0,(MIN($F16,DR$4)-MAX($E16,DR$3)+1)/DR$5)</f>
        <v>1</v>
      </c>
      <c r="DS16" s="52" t="n">
        <f aca="false">MAX(0,(MIN($F16,DS$4)-MAX($E16,DS$3)+1)/DS$5)</f>
        <v>1</v>
      </c>
      <c r="DT16" s="52" t="n">
        <f aca="false">MAX(0,(MIN($F16,DT$4)-MAX($E16,DT$3)+1)/DT$5)</f>
        <v>1</v>
      </c>
      <c r="DU16" s="52" t="n">
        <f aca="false">MAX(0,(MIN($F16,DU$4)-MAX($E16,DU$3)+1)/DU$5)</f>
        <v>1</v>
      </c>
      <c r="DV16" s="52" t="n">
        <f aca="false">MAX(0,(MIN($F16,DV$4)-MAX($E16,DV$3)+1)/DV$5)</f>
        <v>1</v>
      </c>
      <c r="DW16" s="52" t="n">
        <f aca="false">MAX(0,(MIN($F16,DW$4)-MAX($E16,DW$3)+1)/DW$5)</f>
        <v>1</v>
      </c>
      <c r="DX16" s="52" t="n">
        <f aca="false">MAX(0,(MIN($F16,DX$4)-MAX($E16,DX$3)+1)/DX$5)</f>
        <v>1</v>
      </c>
      <c r="DY16" s="52" t="n">
        <f aca="false">MAX(0,(MIN($F16,DY$4)-MAX($E16,DY$3)+1)/DY$5)</f>
        <v>1</v>
      </c>
      <c r="DZ16" s="52" t="n">
        <f aca="false">MAX(0,(MIN($F16,DZ$4)-MAX($E16,DZ$3)+1)/DZ$5)</f>
        <v>1</v>
      </c>
      <c r="EA16" s="52" t="n">
        <f aca="false">MAX(0,(MIN($F16,EA$4)-MAX($E16,EA$3)+1)/EA$5)</f>
        <v>1</v>
      </c>
      <c r="EB16" s="52" t="n">
        <f aca="false">MAX(0,(MIN($F16,EB$4)-MAX($E16,EB$3)+1)/EB$5)</f>
        <v>1</v>
      </c>
      <c r="EC16" s="52" t="n">
        <f aca="false">MAX(0,(MIN($F16,EC$4)-MAX($E16,EC$3)+1)/EC$5)</f>
        <v>1</v>
      </c>
      <c r="ED16" s="52" t="n">
        <f aca="false">MAX(0,(MIN($F16,ED$4)-MAX($E16,ED$3)+1)/ED$5)</f>
        <v>1</v>
      </c>
      <c r="EE16" s="52" t="n">
        <f aca="false">MAX(0,(MIN($F16,EE$4)-MAX($E16,EE$3)+1)/EE$5)</f>
        <v>1</v>
      </c>
      <c r="EF16" s="52" t="n">
        <f aca="false">MAX(0,(MIN($F16,EF$4)-MAX($E16,EF$3)+1)/EF$5)</f>
        <v>1</v>
      </c>
      <c r="EG16" s="52" t="n">
        <f aca="false">MAX(0,(MIN($F16,EG$4)-MAX($E16,EG$3)+1)/EG$5)</f>
        <v>1</v>
      </c>
      <c r="EH16" s="52" t="n">
        <f aca="false">MAX(0,(MIN($F16,EH$4)-MAX($E16,EH$3)+1)/EH$5)</f>
        <v>1</v>
      </c>
      <c r="EI16" s="52" t="n">
        <f aca="false">MAX(0,(MIN($F16,EI$4)-MAX($E16,EI$3)+1)/EI$5)</f>
        <v>1</v>
      </c>
      <c r="EJ16" s="52" t="n">
        <f aca="false">MAX(0,(MIN($F16,EJ$4)-MAX($E16,EJ$3)+1)/EJ$5)</f>
        <v>1</v>
      </c>
      <c r="EK16" s="52" t="n">
        <f aca="false">MAX(0,(MIN($F16,EK$4)-MAX($E16,EK$3)+1)/EK$5)</f>
        <v>1</v>
      </c>
      <c r="EL16" s="52" t="n">
        <f aca="false">MAX(0,(MIN($F16,EL$4)-MAX($E16,EL$3)+1)/EL$5)</f>
        <v>1</v>
      </c>
      <c r="EM16" s="52" t="n">
        <f aca="false">MAX(0,(MIN($F16,EM$4)-MAX($E16,EM$3)+1)/EM$5)</f>
        <v>1</v>
      </c>
      <c r="EN16" s="52" t="n">
        <f aca="false">MAX(0,(MIN($F16,EN$4)-MAX($E16,EN$3)+1)/EN$5)</f>
        <v>1</v>
      </c>
      <c r="EO16" s="52" t="n">
        <f aca="false">MAX(0,(MIN($F16,EO$4)-MAX($E16,EO$3)+1)/EO$5)</f>
        <v>1</v>
      </c>
      <c r="EP16" s="52" t="n">
        <f aca="false">MAX(0,(MIN($F16,EP$4)-MAX($E16,EP$3)+1)/EP$5)</f>
        <v>1</v>
      </c>
      <c r="EQ16" s="52" t="n">
        <f aca="false">MAX(0,(MIN($F16,EQ$4)-MAX($E16,EQ$3)+1)/EQ$5)</f>
        <v>1</v>
      </c>
      <c r="ER16" s="52" t="n">
        <f aca="false">MAX(0,(MIN($F16,ER$4)-MAX($E16,ER$3)+1)/ER$5)</f>
        <v>1</v>
      </c>
      <c r="ES16" s="52" t="n">
        <f aca="false">MAX(0,(MIN($F16,ES$4)-MAX($E16,ES$3)+1)/ES$5)</f>
        <v>1</v>
      </c>
      <c r="ET16" s="52" t="n">
        <f aca="false">MAX(0,(MIN($F16,ET$4)-MAX($E16,ET$3)+1)/ET$5)</f>
        <v>1</v>
      </c>
    </row>
    <row r="17" customFormat="false" ht="15" hidden="false" customHeight="false" outlineLevel="0" collapsed="false">
      <c r="C17" s="0" t="s">
        <v>490</v>
      </c>
      <c r="D17" s="11" t="s">
        <v>41</v>
      </c>
      <c r="E17" s="44" t="n">
        <f aca="false">In_COD+1</f>
        <v>48122</v>
      </c>
      <c r="F17" s="44" t="n">
        <f aca="false">EDATE(In_COD,In_Debt_Tenor*Months_In_Year)</f>
        <v>51774</v>
      </c>
      <c r="J17" s="52" t="n">
        <f aca="false">MAX(0,(MIN($F17,J$4)-MAX($E17,J$3)+1)/J$5)</f>
        <v>0</v>
      </c>
      <c r="K17" s="52" t="n">
        <f aca="false">MAX(0,(MIN($F17,K$4)-MAX($E17,K$3)+1)/K$5)</f>
        <v>0</v>
      </c>
      <c r="L17" s="52" t="n">
        <f aca="false">MAX(0,(MIN($F17,L$4)-MAX($E17,L$3)+1)/L$5)</f>
        <v>0</v>
      </c>
      <c r="M17" s="52" t="n">
        <f aca="false">MAX(0,(MIN($F17,M$4)-MAX($E17,M$3)+1)/M$5)</f>
        <v>0</v>
      </c>
      <c r="N17" s="52" t="n">
        <f aca="false">MAX(0,(MIN($F17,N$4)-MAX($E17,N$3)+1)/N$5)</f>
        <v>0</v>
      </c>
      <c r="O17" s="52" t="n">
        <f aca="false">MAX(0,(MIN($F17,O$4)-MAX($E17,O$3)+1)/O$5)</f>
        <v>0</v>
      </c>
      <c r="P17" s="52" t="n">
        <f aca="false">MAX(0,(MIN($F17,P$4)-MAX($E17,P$3)+1)/P$5)</f>
        <v>0</v>
      </c>
      <c r="Q17" s="52" t="n">
        <f aca="false">MAX(0,(MIN($F17,Q$4)-MAX($E17,Q$3)+1)/Q$5)</f>
        <v>0</v>
      </c>
      <c r="R17" s="52" t="n">
        <f aca="false">MAX(0,(MIN($F17,R$4)-MAX($E17,R$3)+1)/R$5)</f>
        <v>0</v>
      </c>
      <c r="S17" s="52" t="n">
        <f aca="false">MAX(0,(MIN($F17,S$4)-MAX($E17,S$3)+1)/S$5)</f>
        <v>0</v>
      </c>
      <c r="T17" s="52" t="n">
        <f aca="false">MAX(0,(MIN($F17,T$4)-MAX($E17,T$3)+1)/T$5)</f>
        <v>0</v>
      </c>
      <c r="U17" s="52" t="n">
        <f aca="false">MAX(0,(MIN($F17,U$4)-MAX($E17,U$3)+1)/U$5)</f>
        <v>0</v>
      </c>
      <c r="V17" s="52" t="n">
        <f aca="false">MAX(0,(MIN($F17,V$4)-MAX($E17,V$3)+1)/V$5)</f>
        <v>0</v>
      </c>
      <c r="W17" s="52" t="n">
        <f aca="false">MAX(0,(MIN($F17,W$4)-MAX($E17,W$3)+1)/W$5)</f>
        <v>0</v>
      </c>
      <c r="X17" s="52" t="n">
        <f aca="false">MAX(0,(MIN($F17,X$4)-MAX($E17,X$3)+1)/X$5)</f>
        <v>0</v>
      </c>
      <c r="Y17" s="52" t="n">
        <f aca="false">MAX(0,(MIN($F17,Y$4)-MAX($E17,Y$3)+1)/Y$5)</f>
        <v>0</v>
      </c>
      <c r="Z17" s="52" t="n">
        <f aca="false">MAX(0,(MIN($F17,Z$4)-MAX($E17,Z$3)+1)/Z$5)</f>
        <v>0</v>
      </c>
      <c r="AA17" s="52" t="n">
        <f aca="false">MAX(0,(MIN($F17,AA$4)-MAX($E17,AA$3)+1)/AA$5)</f>
        <v>0</v>
      </c>
      <c r="AB17" s="52" t="n">
        <f aca="false">MAX(0,(MIN($F17,AB$4)-MAX($E17,AB$3)+1)/AB$5)</f>
        <v>0</v>
      </c>
      <c r="AC17" s="52" t="n">
        <f aca="false">MAX(0,(MIN($F17,AC$4)-MAX($E17,AC$3)+1)/AC$5)</f>
        <v>0</v>
      </c>
      <c r="AD17" s="52" t="n">
        <f aca="false">MAX(0,(MIN($F17,AD$4)-MAX($E17,AD$3)+1)/AD$5)</f>
        <v>0</v>
      </c>
      <c r="AE17" s="52" t="n">
        <f aca="false">MAX(0,(MIN($F17,AE$4)-MAX($E17,AE$3)+1)/AE$5)</f>
        <v>1</v>
      </c>
      <c r="AF17" s="52" t="n">
        <f aca="false">MAX(0,(MIN($F17,AF$4)-MAX($E17,AF$3)+1)/AF$5)</f>
        <v>1</v>
      </c>
      <c r="AG17" s="52" t="n">
        <f aca="false">MAX(0,(MIN($F17,AG$4)-MAX($E17,AG$3)+1)/AG$5)</f>
        <v>1</v>
      </c>
      <c r="AH17" s="52" t="n">
        <f aca="false">MAX(0,(MIN($F17,AH$4)-MAX($E17,AH$3)+1)/AH$5)</f>
        <v>1</v>
      </c>
      <c r="AI17" s="52" t="n">
        <f aca="false">MAX(0,(MIN($F17,AI$4)-MAX($E17,AI$3)+1)/AI$5)</f>
        <v>1</v>
      </c>
      <c r="AJ17" s="52" t="n">
        <f aca="false">MAX(0,(MIN($F17,AJ$4)-MAX($E17,AJ$3)+1)/AJ$5)</f>
        <v>1</v>
      </c>
      <c r="AK17" s="52" t="n">
        <f aca="false">MAX(0,(MIN($F17,AK$4)-MAX($E17,AK$3)+1)/AK$5)</f>
        <v>1</v>
      </c>
      <c r="AL17" s="52" t="n">
        <f aca="false">MAX(0,(MIN($F17,AL$4)-MAX($E17,AL$3)+1)/AL$5)</f>
        <v>1</v>
      </c>
      <c r="AM17" s="52" t="n">
        <f aca="false">MAX(0,(MIN($F17,AM$4)-MAX($E17,AM$3)+1)/AM$5)</f>
        <v>1</v>
      </c>
      <c r="AN17" s="52" t="n">
        <f aca="false">MAX(0,(MIN($F17,AN$4)-MAX($E17,AN$3)+1)/AN$5)</f>
        <v>1</v>
      </c>
      <c r="AO17" s="52" t="n">
        <f aca="false">MAX(0,(MIN($F17,AO$4)-MAX($E17,AO$3)+1)/AO$5)</f>
        <v>1</v>
      </c>
      <c r="AP17" s="52" t="n">
        <f aca="false">MAX(0,(MIN($F17,AP$4)-MAX($E17,AP$3)+1)/AP$5)</f>
        <v>1</v>
      </c>
      <c r="AQ17" s="52" t="n">
        <f aca="false">MAX(0,(MIN($F17,AQ$4)-MAX($E17,AQ$3)+1)/AQ$5)</f>
        <v>1</v>
      </c>
      <c r="AR17" s="52" t="n">
        <f aca="false">MAX(0,(MIN($F17,AR$4)-MAX($E17,AR$3)+1)/AR$5)</f>
        <v>1</v>
      </c>
      <c r="AS17" s="52" t="n">
        <f aca="false">MAX(0,(MIN($F17,AS$4)-MAX($E17,AS$3)+1)/AS$5)</f>
        <v>1</v>
      </c>
      <c r="AT17" s="52" t="n">
        <f aca="false">MAX(0,(MIN($F17,AT$4)-MAX($E17,AT$3)+1)/AT$5)</f>
        <v>1</v>
      </c>
      <c r="AU17" s="52" t="n">
        <f aca="false">MAX(0,(MIN($F17,AU$4)-MAX($E17,AU$3)+1)/AU$5)</f>
        <v>1</v>
      </c>
      <c r="AV17" s="52" t="n">
        <f aca="false">MAX(0,(MIN($F17,AV$4)-MAX($E17,AV$3)+1)/AV$5)</f>
        <v>1</v>
      </c>
      <c r="AW17" s="52" t="n">
        <f aca="false">MAX(0,(MIN($F17,AW$4)-MAX($E17,AW$3)+1)/AW$5)</f>
        <v>1</v>
      </c>
      <c r="AX17" s="52" t="n">
        <f aca="false">MAX(0,(MIN($F17,AX$4)-MAX($E17,AX$3)+1)/AX$5)</f>
        <v>1</v>
      </c>
      <c r="AY17" s="52" t="n">
        <f aca="false">MAX(0,(MIN($F17,AY$4)-MAX($E17,AY$3)+1)/AY$5)</f>
        <v>1</v>
      </c>
      <c r="AZ17" s="52" t="n">
        <f aca="false">MAX(0,(MIN($F17,AZ$4)-MAX($E17,AZ$3)+1)/AZ$5)</f>
        <v>1</v>
      </c>
      <c r="BA17" s="52" t="n">
        <f aca="false">MAX(0,(MIN($F17,BA$4)-MAX($E17,BA$3)+1)/BA$5)</f>
        <v>1</v>
      </c>
      <c r="BB17" s="52" t="n">
        <f aca="false">MAX(0,(MIN($F17,BB$4)-MAX($E17,BB$3)+1)/BB$5)</f>
        <v>1</v>
      </c>
      <c r="BC17" s="52" t="n">
        <f aca="false">MAX(0,(MIN($F17,BC$4)-MAX($E17,BC$3)+1)/BC$5)</f>
        <v>1</v>
      </c>
      <c r="BD17" s="52" t="n">
        <f aca="false">MAX(0,(MIN($F17,BD$4)-MAX($E17,BD$3)+1)/BD$5)</f>
        <v>1</v>
      </c>
      <c r="BE17" s="52" t="n">
        <f aca="false">MAX(0,(MIN($F17,BE$4)-MAX($E17,BE$3)+1)/BE$5)</f>
        <v>1</v>
      </c>
      <c r="BF17" s="52" t="n">
        <f aca="false">MAX(0,(MIN($F17,BF$4)-MAX($E17,BF$3)+1)/BF$5)</f>
        <v>1</v>
      </c>
      <c r="BG17" s="52" t="n">
        <f aca="false">MAX(0,(MIN($F17,BG$4)-MAX($E17,BG$3)+1)/BG$5)</f>
        <v>1</v>
      </c>
      <c r="BH17" s="52" t="n">
        <f aca="false">MAX(0,(MIN($F17,BH$4)-MAX($E17,BH$3)+1)/BH$5)</f>
        <v>1</v>
      </c>
      <c r="BI17" s="52" t="n">
        <f aca="false">MAX(0,(MIN($F17,BI$4)-MAX($E17,BI$3)+1)/BI$5)</f>
        <v>1</v>
      </c>
      <c r="BJ17" s="52" t="n">
        <f aca="false">MAX(0,(MIN($F17,BJ$4)-MAX($E17,BJ$3)+1)/BJ$5)</f>
        <v>1</v>
      </c>
      <c r="BK17" s="52" t="n">
        <f aca="false">MAX(0,(MIN($F17,BK$4)-MAX($E17,BK$3)+1)/BK$5)</f>
        <v>1</v>
      </c>
      <c r="BL17" s="52" t="n">
        <f aca="false">MAX(0,(MIN($F17,BL$4)-MAX($E17,BL$3)+1)/BL$5)</f>
        <v>1</v>
      </c>
      <c r="BM17" s="52" t="n">
        <f aca="false">MAX(0,(MIN($F17,BM$4)-MAX($E17,BM$3)+1)/BM$5)</f>
        <v>1</v>
      </c>
      <c r="BN17" s="52" t="n">
        <f aca="false">MAX(0,(MIN($F17,BN$4)-MAX($E17,BN$3)+1)/BN$5)</f>
        <v>1</v>
      </c>
      <c r="BO17" s="52" t="n">
        <f aca="false">MAX(0,(MIN($F17,BO$4)-MAX($E17,BO$3)+1)/BO$5)</f>
        <v>1</v>
      </c>
      <c r="BP17" s="52" t="n">
        <f aca="false">MAX(0,(MIN($F17,BP$4)-MAX($E17,BP$3)+1)/BP$5)</f>
        <v>1</v>
      </c>
      <c r="BQ17" s="52" t="n">
        <f aca="false">MAX(0,(MIN($F17,BQ$4)-MAX($E17,BQ$3)+1)/BQ$5)</f>
        <v>1</v>
      </c>
      <c r="BR17" s="52" t="n">
        <f aca="false">MAX(0,(MIN($F17,BR$4)-MAX($E17,BR$3)+1)/BR$5)</f>
        <v>1</v>
      </c>
      <c r="BS17" s="52" t="n">
        <f aca="false">MAX(0,(MIN($F17,BS$4)-MAX($E17,BS$3)+1)/BS$5)</f>
        <v>0</v>
      </c>
      <c r="BT17" s="52" t="n">
        <f aca="false">MAX(0,(MIN($F17,BT$4)-MAX($E17,BT$3)+1)/BT$5)</f>
        <v>0</v>
      </c>
      <c r="BU17" s="52" t="n">
        <f aca="false">MAX(0,(MIN($F17,BU$4)-MAX($E17,BU$3)+1)/BU$5)</f>
        <v>0</v>
      </c>
      <c r="BV17" s="52" t="n">
        <f aca="false">MAX(0,(MIN($F17,BV$4)-MAX($E17,BV$3)+1)/BV$5)</f>
        <v>0</v>
      </c>
      <c r="BW17" s="52" t="n">
        <f aca="false">MAX(0,(MIN($F17,BW$4)-MAX($E17,BW$3)+1)/BW$5)</f>
        <v>0</v>
      </c>
      <c r="BX17" s="52" t="n">
        <f aca="false">MAX(0,(MIN($F17,BX$4)-MAX($E17,BX$3)+1)/BX$5)</f>
        <v>0</v>
      </c>
      <c r="BY17" s="52" t="n">
        <f aca="false">MAX(0,(MIN($F17,BY$4)-MAX($E17,BY$3)+1)/BY$5)</f>
        <v>0</v>
      </c>
      <c r="BZ17" s="52" t="n">
        <f aca="false">MAX(0,(MIN($F17,BZ$4)-MAX($E17,BZ$3)+1)/BZ$5)</f>
        <v>0</v>
      </c>
      <c r="CA17" s="52" t="n">
        <f aca="false">MAX(0,(MIN($F17,CA$4)-MAX($E17,CA$3)+1)/CA$5)</f>
        <v>0</v>
      </c>
      <c r="CB17" s="52" t="n">
        <f aca="false">MAX(0,(MIN($F17,CB$4)-MAX($E17,CB$3)+1)/CB$5)</f>
        <v>0</v>
      </c>
      <c r="CC17" s="52" t="n">
        <f aca="false">MAX(0,(MIN($F17,CC$4)-MAX($E17,CC$3)+1)/CC$5)</f>
        <v>0</v>
      </c>
      <c r="CD17" s="52" t="n">
        <f aca="false">MAX(0,(MIN($F17,CD$4)-MAX($E17,CD$3)+1)/CD$5)</f>
        <v>0</v>
      </c>
      <c r="CE17" s="52" t="n">
        <f aca="false">MAX(0,(MIN($F17,CE$4)-MAX($E17,CE$3)+1)/CE$5)</f>
        <v>0</v>
      </c>
      <c r="CF17" s="52" t="n">
        <f aca="false">MAX(0,(MIN($F17,CF$4)-MAX($E17,CF$3)+1)/CF$5)</f>
        <v>0</v>
      </c>
      <c r="CG17" s="52" t="n">
        <f aca="false">MAX(0,(MIN($F17,CG$4)-MAX($E17,CG$3)+1)/CG$5)</f>
        <v>0</v>
      </c>
      <c r="CH17" s="52" t="n">
        <f aca="false">MAX(0,(MIN($F17,CH$4)-MAX($E17,CH$3)+1)/CH$5)</f>
        <v>0</v>
      </c>
      <c r="CI17" s="52" t="n">
        <f aca="false">MAX(0,(MIN($F17,CI$4)-MAX($E17,CI$3)+1)/CI$5)</f>
        <v>0</v>
      </c>
      <c r="CJ17" s="52" t="n">
        <f aca="false">MAX(0,(MIN($F17,CJ$4)-MAX($E17,CJ$3)+1)/CJ$5)</f>
        <v>0</v>
      </c>
      <c r="CK17" s="52" t="n">
        <f aca="false">MAX(0,(MIN($F17,CK$4)-MAX($E17,CK$3)+1)/CK$5)</f>
        <v>0</v>
      </c>
      <c r="CL17" s="52" t="n">
        <f aca="false">MAX(0,(MIN($F17,CL$4)-MAX($E17,CL$3)+1)/CL$5)</f>
        <v>0</v>
      </c>
      <c r="CM17" s="52" t="n">
        <f aca="false">MAX(0,(MIN($F17,CM$4)-MAX($E17,CM$3)+1)/CM$5)</f>
        <v>0</v>
      </c>
      <c r="CN17" s="52" t="n">
        <f aca="false">MAX(0,(MIN($F17,CN$4)-MAX($E17,CN$3)+1)/CN$5)</f>
        <v>0</v>
      </c>
      <c r="CO17" s="52" t="n">
        <f aca="false">MAX(0,(MIN($F17,CO$4)-MAX($E17,CO$3)+1)/CO$5)</f>
        <v>0</v>
      </c>
      <c r="CP17" s="52" t="n">
        <f aca="false">MAX(0,(MIN($F17,CP$4)-MAX($E17,CP$3)+1)/CP$5)</f>
        <v>0</v>
      </c>
      <c r="CQ17" s="52" t="n">
        <f aca="false">MAX(0,(MIN($F17,CQ$4)-MAX($E17,CQ$3)+1)/CQ$5)</f>
        <v>0</v>
      </c>
      <c r="CR17" s="52" t="n">
        <f aca="false">MAX(0,(MIN($F17,CR$4)-MAX($E17,CR$3)+1)/CR$5)</f>
        <v>0</v>
      </c>
      <c r="CS17" s="52" t="n">
        <f aca="false">MAX(0,(MIN($F17,CS$4)-MAX($E17,CS$3)+1)/CS$5)</f>
        <v>0</v>
      </c>
      <c r="CT17" s="52" t="n">
        <f aca="false">MAX(0,(MIN($F17,CT$4)-MAX($E17,CT$3)+1)/CT$5)</f>
        <v>0</v>
      </c>
      <c r="CU17" s="52" t="n">
        <f aca="false">MAX(0,(MIN($F17,CU$4)-MAX($E17,CU$3)+1)/CU$5)</f>
        <v>0</v>
      </c>
      <c r="CV17" s="52" t="n">
        <f aca="false">MAX(0,(MIN($F17,CV$4)-MAX($E17,CV$3)+1)/CV$5)</f>
        <v>0</v>
      </c>
      <c r="CW17" s="52" t="n">
        <f aca="false">MAX(0,(MIN($F17,CW$4)-MAX($E17,CW$3)+1)/CW$5)</f>
        <v>0</v>
      </c>
      <c r="CX17" s="52" t="n">
        <f aca="false">MAX(0,(MIN($F17,CX$4)-MAX($E17,CX$3)+1)/CX$5)</f>
        <v>0</v>
      </c>
      <c r="CY17" s="52" t="n">
        <f aca="false">MAX(0,(MIN($F17,CY$4)-MAX($E17,CY$3)+1)/CY$5)</f>
        <v>0</v>
      </c>
      <c r="CZ17" s="52" t="n">
        <f aca="false">MAX(0,(MIN($F17,CZ$4)-MAX($E17,CZ$3)+1)/CZ$5)</f>
        <v>0</v>
      </c>
      <c r="DA17" s="52" t="n">
        <f aca="false">MAX(0,(MIN($F17,DA$4)-MAX($E17,DA$3)+1)/DA$5)</f>
        <v>0</v>
      </c>
      <c r="DB17" s="52" t="n">
        <f aca="false">MAX(0,(MIN($F17,DB$4)-MAX($E17,DB$3)+1)/DB$5)</f>
        <v>0</v>
      </c>
      <c r="DC17" s="52" t="n">
        <f aca="false">MAX(0,(MIN($F17,DC$4)-MAX($E17,DC$3)+1)/DC$5)</f>
        <v>0</v>
      </c>
      <c r="DD17" s="52" t="n">
        <f aca="false">MAX(0,(MIN($F17,DD$4)-MAX($E17,DD$3)+1)/DD$5)</f>
        <v>0</v>
      </c>
      <c r="DE17" s="52" t="n">
        <f aca="false">MAX(0,(MIN($F17,DE$4)-MAX($E17,DE$3)+1)/DE$5)</f>
        <v>0</v>
      </c>
      <c r="DF17" s="52" t="n">
        <f aca="false">MAX(0,(MIN($F17,DF$4)-MAX($E17,DF$3)+1)/DF$5)</f>
        <v>0</v>
      </c>
      <c r="DG17" s="52" t="n">
        <f aca="false">MAX(0,(MIN($F17,DG$4)-MAX($E17,DG$3)+1)/DG$5)</f>
        <v>0</v>
      </c>
      <c r="DH17" s="52" t="n">
        <f aca="false">MAX(0,(MIN($F17,DH$4)-MAX($E17,DH$3)+1)/DH$5)</f>
        <v>0</v>
      </c>
      <c r="DI17" s="52" t="n">
        <f aca="false">MAX(0,(MIN($F17,DI$4)-MAX($E17,DI$3)+1)/DI$5)</f>
        <v>0</v>
      </c>
      <c r="DJ17" s="52" t="n">
        <f aca="false">MAX(0,(MIN($F17,DJ$4)-MAX($E17,DJ$3)+1)/DJ$5)</f>
        <v>0</v>
      </c>
      <c r="DK17" s="52" t="n">
        <f aca="false">MAX(0,(MIN($F17,DK$4)-MAX($E17,DK$3)+1)/DK$5)</f>
        <v>0</v>
      </c>
      <c r="DL17" s="52" t="n">
        <f aca="false">MAX(0,(MIN($F17,DL$4)-MAX($E17,DL$3)+1)/DL$5)</f>
        <v>0</v>
      </c>
      <c r="DM17" s="52" t="n">
        <f aca="false">MAX(0,(MIN($F17,DM$4)-MAX($E17,DM$3)+1)/DM$5)</f>
        <v>0</v>
      </c>
      <c r="DN17" s="52" t="n">
        <f aca="false">MAX(0,(MIN($F17,DN$4)-MAX($E17,DN$3)+1)/DN$5)</f>
        <v>0</v>
      </c>
      <c r="DO17" s="52" t="n">
        <f aca="false">MAX(0,(MIN($F17,DO$4)-MAX($E17,DO$3)+1)/DO$5)</f>
        <v>0</v>
      </c>
      <c r="DP17" s="52" t="n">
        <f aca="false">MAX(0,(MIN($F17,DP$4)-MAX($E17,DP$3)+1)/DP$5)</f>
        <v>0</v>
      </c>
      <c r="DQ17" s="52" t="n">
        <f aca="false">MAX(0,(MIN($F17,DQ$4)-MAX($E17,DQ$3)+1)/DQ$5)</f>
        <v>0</v>
      </c>
      <c r="DR17" s="52" t="n">
        <f aca="false">MAX(0,(MIN($F17,DR$4)-MAX($E17,DR$3)+1)/DR$5)</f>
        <v>0</v>
      </c>
      <c r="DS17" s="52" t="n">
        <f aca="false">MAX(0,(MIN($F17,DS$4)-MAX($E17,DS$3)+1)/DS$5)</f>
        <v>0</v>
      </c>
      <c r="DT17" s="52" t="n">
        <f aca="false">MAX(0,(MIN($F17,DT$4)-MAX($E17,DT$3)+1)/DT$5)</f>
        <v>0</v>
      </c>
      <c r="DU17" s="52" t="n">
        <f aca="false">MAX(0,(MIN($F17,DU$4)-MAX($E17,DU$3)+1)/DU$5)</f>
        <v>0</v>
      </c>
      <c r="DV17" s="52" t="n">
        <f aca="false">MAX(0,(MIN($F17,DV$4)-MAX($E17,DV$3)+1)/DV$5)</f>
        <v>0</v>
      </c>
      <c r="DW17" s="52" t="n">
        <f aca="false">MAX(0,(MIN($F17,DW$4)-MAX($E17,DW$3)+1)/DW$5)</f>
        <v>0</v>
      </c>
      <c r="DX17" s="52" t="n">
        <f aca="false">MAX(0,(MIN($F17,DX$4)-MAX($E17,DX$3)+1)/DX$5)</f>
        <v>0</v>
      </c>
      <c r="DY17" s="52" t="n">
        <f aca="false">MAX(0,(MIN($F17,DY$4)-MAX($E17,DY$3)+1)/DY$5)</f>
        <v>0</v>
      </c>
      <c r="DZ17" s="52" t="n">
        <f aca="false">MAX(0,(MIN($F17,DZ$4)-MAX($E17,DZ$3)+1)/DZ$5)</f>
        <v>0</v>
      </c>
      <c r="EA17" s="52" t="n">
        <f aca="false">MAX(0,(MIN($F17,EA$4)-MAX($E17,EA$3)+1)/EA$5)</f>
        <v>0</v>
      </c>
      <c r="EB17" s="52" t="n">
        <f aca="false">MAX(0,(MIN($F17,EB$4)-MAX($E17,EB$3)+1)/EB$5)</f>
        <v>0</v>
      </c>
      <c r="EC17" s="52" t="n">
        <f aca="false">MAX(0,(MIN($F17,EC$4)-MAX($E17,EC$3)+1)/EC$5)</f>
        <v>0</v>
      </c>
      <c r="ED17" s="52" t="n">
        <f aca="false">MAX(0,(MIN($F17,ED$4)-MAX($E17,ED$3)+1)/ED$5)</f>
        <v>0</v>
      </c>
      <c r="EE17" s="52" t="n">
        <f aca="false">MAX(0,(MIN($F17,EE$4)-MAX($E17,EE$3)+1)/EE$5)</f>
        <v>0</v>
      </c>
      <c r="EF17" s="52" t="n">
        <f aca="false">MAX(0,(MIN($F17,EF$4)-MAX($E17,EF$3)+1)/EF$5)</f>
        <v>0</v>
      </c>
      <c r="EG17" s="52" t="n">
        <f aca="false">MAX(0,(MIN($F17,EG$4)-MAX($E17,EG$3)+1)/EG$5)</f>
        <v>0</v>
      </c>
      <c r="EH17" s="52" t="n">
        <f aca="false">MAX(0,(MIN($F17,EH$4)-MAX($E17,EH$3)+1)/EH$5)</f>
        <v>0</v>
      </c>
      <c r="EI17" s="52" t="n">
        <f aca="false">MAX(0,(MIN($F17,EI$4)-MAX($E17,EI$3)+1)/EI$5)</f>
        <v>0</v>
      </c>
      <c r="EJ17" s="52" t="n">
        <f aca="false">MAX(0,(MIN($F17,EJ$4)-MAX($E17,EJ$3)+1)/EJ$5)</f>
        <v>0</v>
      </c>
      <c r="EK17" s="52" t="n">
        <f aca="false">MAX(0,(MIN($F17,EK$4)-MAX($E17,EK$3)+1)/EK$5)</f>
        <v>0</v>
      </c>
      <c r="EL17" s="52" t="n">
        <f aca="false">MAX(0,(MIN($F17,EL$4)-MAX($E17,EL$3)+1)/EL$5)</f>
        <v>0</v>
      </c>
      <c r="EM17" s="52" t="n">
        <f aca="false">MAX(0,(MIN($F17,EM$4)-MAX($E17,EM$3)+1)/EM$5)</f>
        <v>0</v>
      </c>
      <c r="EN17" s="52" t="n">
        <f aca="false">MAX(0,(MIN($F17,EN$4)-MAX($E17,EN$3)+1)/EN$5)</f>
        <v>0</v>
      </c>
      <c r="EO17" s="52" t="n">
        <f aca="false">MAX(0,(MIN($F17,EO$4)-MAX($E17,EO$3)+1)/EO$5)</f>
        <v>0</v>
      </c>
      <c r="EP17" s="52" t="n">
        <f aca="false">MAX(0,(MIN($F17,EP$4)-MAX($E17,EP$3)+1)/EP$5)</f>
        <v>0</v>
      </c>
      <c r="EQ17" s="52" t="n">
        <f aca="false">MAX(0,(MIN($F17,EQ$4)-MAX($E17,EQ$3)+1)/EQ$5)</f>
        <v>0</v>
      </c>
      <c r="ER17" s="52" t="n">
        <f aca="false">MAX(0,(MIN($F17,ER$4)-MAX($E17,ER$3)+1)/ER$5)</f>
        <v>0</v>
      </c>
      <c r="ES17" s="52" t="n">
        <f aca="false">MAX(0,(MIN($F17,ES$4)-MAX($E17,ES$3)+1)/ES$5)</f>
        <v>0</v>
      </c>
      <c r="ET17" s="52" t="n">
        <f aca="false">MAX(0,(MIN($F17,ET$4)-MAX($E17,ET$3)+1)/ET$5)</f>
        <v>0</v>
      </c>
    </row>
    <row r="18" customFormat="false" ht="15" hidden="false" customHeight="false" outlineLevel="0" collapsed="false">
      <c r="C18" s="0" t="s">
        <v>491</v>
      </c>
      <c r="D18" s="11" t="s">
        <v>482</v>
      </c>
      <c r="E18" s="44" t="n">
        <f aca="false">In_COD+1</f>
        <v>48122</v>
      </c>
      <c r="F18" s="44" t="n">
        <f aca="false">EDATE(In_COD,In_Dep_Years*Months_In_Year)</f>
        <v>55426</v>
      </c>
      <c r="I18" s="52" t="n">
        <f aca="false">SUM(J18:ET18)</f>
        <v>1</v>
      </c>
      <c r="J18" s="52" t="n">
        <f aca="false">MAX(0,MIN($F18,J$4)-MAX($E18,J$3)+1)/($F18-$E18+1)</f>
        <v>0</v>
      </c>
      <c r="K18" s="52" t="n">
        <f aca="false">MAX(0,MIN($F18,K$4)-MAX($E18,K$3)+1)/($F18-$E18+1)</f>
        <v>0</v>
      </c>
      <c r="L18" s="52" t="n">
        <f aca="false">MAX(0,MIN($F18,L$4)-MAX($E18,L$3)+1)/($F18-$E18+1)</f>
        <v>0</v>
      </c>
      <c r="M18" s="52" t="n">
        <f aca="false">MAX(0,MIN($F18,M$4)-MAX($E18,M$3)+1)/($F18-$E18+1)</f>
        <v>0</v>
      </c>
      <c r="N18" s="52" t="n">
        <f aca="false">MAX(0,MIN($F18,N$4)-MAX($E18,N$3)+1)/($F18-$E18+1)</f>
        <v>0</v>
      </c>
      <c r="O18" s="52" t="n">
        <f aca="false">MAX(0,MIN($F18,O$4)-MAX($E18,O$3)+1)/($F18-$E18+1)</f>
        <v>0</v>
      </c>
      <c r="P18" s="52" t="n">
        <f aca="false">MAX(0,MIN($F18,P$4)-MAX($E18,P$3)+1)/($F18-$E18+1)</f>
        <v>0</v>
      </c>
      <c r="Q18" s="52" t="n">
        <f aca="false">MAX(0,MIN($F18,Q$4)-MAX($E18,Q$3)+1)/($F18-$E18+1)</f>
        <v>0</v>
      </c>
      <c r="R18" s="52" t="n">
        <f aca="false">MAX(0,MIN($F18,R$4)-MAX($E18,R$3)+1)/($F18-$E18+1)</f>
        <v>0</v>
      </c>
      <c r="S18" s="52" t="n">
        <f aca="false">MAX(0,MIN($F18,S$4)-MAX($E18,S$3)+1)/($F18-$E18+1)</f>
        <v>0</v>
      </c>
      <c r="T18" s="52" t="n">
        <f aca="false">MAX(0,MIN($F18,T$4)-MAX($E18,T$3)+1)/($F18-$E18+1)</f>
        <v>0</v>
      </c>
      <c r="U18" s="52" t="n">
        <f aca="false">MAX(0,MIN($F18,U$4)-MAX($E18,U$3)+1)/($F18-$E18+1)</f>
        <v>0</v>
      </c>
      <c r="V18" s="52" t="n">
        <f aca="false">MAX(0,MIN($F18,V$4)-MAX($E18,V$3)+1)/($F18-$E18+1)</f>
        <v>0</v>
      </c>
      <c r="W18" s="52" t="n">
        <f aca="false">MAX(0,MIN($F18,W$4)-MAX($E18,W$3)+1)/($F18-$E18+1)</f>
        <v>0</v>
      </c>
      <c r="X18" s="52" t="n">
        <f aca="false">MAX(0,MIN($F18,X$4)-MAX($E18,X$3)+1)/($F18-$E18+1)</f>
        <v>0</v>
      </c>
      <c r="Y18" s="52" t="n">
        <f aca="false">MAX(0,MIN($F18,Y$4)-MAX($E18,Y$3)+1)/($F18-$E18+1)</f>
        <v>0</v>
      </c>
      <c r="Z18" s="52" t="n">
        <f aca="false">MAX(0,MIN($F18,Z$4)-MAX($E18,Z$3)+1)/($F18-$E18+1)</f>
        <v>0</v>
      </c>
      <c r="AA18" s="52" t="n">
        <f aca="false">MAX(0,MIN($F18,AA$4)-MAX($E18,AA$3)+1)/($F18-$E18+1)</f>
        <v>0</v>
      </c>
      <c r="AB18" s="52" t="n">
        <f aca="false">MAX(0,MIN($F18,AB$4)-MAX($E18,AB$3)+1)/($F18-$E18+1)</f>
        <v>0</v>
      </c>
      <c r="AC18" s="52" t="n">
        <f aca="false">MAX(0,MIN($F18,AC$4)-MAX($E18,AC$3)+1)/($F18-$E18+1)</f>
        <v>0</v>
      </c>
      <c r="AD18" s="52" t="n">
        <f aca="false">MAX(0,MIN($F18,AD$4)-MAX($E18,AD$3)+1)/($F18-$E18+1)</f>
        <v>0</v>
      </c>
      <c r="AE18" s="52" t="n">
        <f aca="false">MAX(0,MIN($F18,AE$4)-MAX($E18,AE$3)+1)/($F18-$E18+1)</f>
        <v>0.0125941136208077</v>
      </c>
      <c r="AF18" s="52" t="n">
        <f aca="false">MAX(0,MIN($F18,AF$4)-MAX($E18,AF$3)+1)/($F18-$E18+1)</f>
        <v>0.0124572210814511</v>
      </c>
      <c r="AG18" s="52" t="n">
        <f aca="false">MAX(0,MIN($F18,AG$4)-MAX($E18,AG$3)+1)/($F18-$E18+1)</f>
        <v>0.0124572210814511</v>
      </c>
      <c r="AH18" s="52" t="n">
        <f aca="false">MAX(0,MIN($F18,AH$4)-MAX($E18,AH$3)+1)/($F18-$E18+1)</f>
        <v>0.0125941136208077</v>
      </c>
      <c r="AI18" s="52" t="n">
        <f aca="false">MAX(0,MIN($F18,AI$4)-MAX($E18,AI$3)+1)/($F18-$E18+1)</f>
        <v>0.0125941136208077</v>
      </c>
      <c r="AJ18" s="52" t="n">
        <f aca="false">MAX(0,MIN($F18,AJ$4)-MAX($E18,AJ$3)+1)/($F18-$E18+1)</f>
        <v>0.0123203285420945</v>
      </c>
      <c r="AK18" s="52" t="n">
        <f aca="false">MAX(0,MIN($F18,AK$4)-MAX($E18,AK$3)+1)/($F18-$E18+1)</f>
        <v>0.0124572210814511</v>
      </c>
      <c r="AL18" s="52" t="n">
        <f aca="false">MAX(0,MIN($F18,AL$4)-MAX($E18,AL$3)+1)/($F18-$E18+1)</f>
        <v>0.0125941136208077</v>
      </c>
      <c r="AM18" s="52" t="n">
        <f aca="false">MAX(0,MIN($F18,AM$4)-MAX($E18,AM$3)+1)/($F18-$E18+1)</f>
        <v>0.0125941136208077</v>
      </c>
      <c r="AN18" s="52" t="n">
        <f aca="false">MAX(0,MIN($F18,AN$4)-MAX($E18,AN$3)+1)/($F18-$E18+1)</f>
        <v>0.0123203285420945</v>
      </c>
      <c r="AO18" s="52" t="n">
        <f aca="false">MAX(0,MIN($F18,AO$4)-MAX($E18,AO$3)+1)/($F18-$E18+1)</f>
        <v>0.0124572210814511</v>
      </c>
      <c r="AP18" s="52" t="n">
        <f aca="false">MAX(0,MIN($F18,AP$4)-MAX($E18,AP$3)+1)/($F18-$E18+1)</f>
        <v>0.0125941136208077</v>
      </c>
      <c r="AQ18" s="52" t="n">
        <f aca="false">MAX(0,MIN($F18,AQ$4)-MAX($E18,AQ$3)+1)/($F18-$E18+1)</f>
        <v>0.0125941136208077</v>
      </c>
      <c r="AR18" s="52" t="n">
        <f aca="false">MAX(0,MIN($F18,AR$4)-MAX($E18,AR$3)+1)/($F18-$E18+1)</f>
        <v>0.0123203285420945</v>
      </c>
      <c r="AS18" s="52" t="n">
        <f aca="false">MAX(0,MIN($F18,AS$4)-MAX($E18,AS$3)+1)/($F18-$E18+1)</f>
        <v>0.0124572210814511</v>
      </c>
      <c r="AT18" s="52" t="n">
        <f aca="false">MAX(0,MIN($F18,AT$4)-MAX($E18,AT$3)+1)/($F18-$E18+1)</f>
        <v>0.0125941136208077</v>
      </c>
      <c r="AU18" s="52" t="n">
        <f aca="false">MAX(0,MIN($F18,AU$4)-MAX($E18,AU$3)+1)/($F18-$E18+1)</f>
        <v>0.0125941136208077</v>
      </c>
      <c r="AV18" s="52" t="n">
        <f aca="false">MAX(0,MIN($F18,AV$4)-MAX($E18,AV$3)+1)/($F18-$E18+1)</f>
        <v>0.0124572210814511</v>
      </c>
      <c r="AW18" s="52" t="n">
        <f aca="false">MAX(0,MIN($F18,AW$4)-MAX($E18,AW$3)+1)/($F18-$E18+1)</f>
        <v>0.0124572210814511</v>
      </c>
      <c r="AX18" s="52" t="n">
        <f aca="false">MAX(0,MIN($F18,AX$4)-MAX($E18,AX$3)+1)/($F18-$E18+1)</f>
        <v>0.0125941136208077</v>
      </c>
      <c r="AY18" s="52" t="n">
        <f aca="false">MAX(0,MIN($F18,AY$4)-MAX($E18,AY$3)+1)/($F18-$E18+1)</f>
        <v>0.0125941136208077</v>
      </c>
      <c r="AZ18" s="52" t="n">
        <f aca="false">MAX(0,MIN($F18,AZ$4)-MAX($E18,AZ$3)+1)/($F18-$E18+1)</f>
        <v>0.0123203285420945</v>
      </c>
      <c r="BA18" s="52" t="n">
        <f aca="false">MAX(0,MIN($F18,BA$4)-MAX($E18,BA$3)+1)/($F18-$E18+1)</f>
        <v>0.0124572210814511</v>
      </c>
      <c r="BB18" s="52" t="n">
        <f aca="false">MAX(0,MIN($F18,BB$4)-MAX($E18,BB$3)+1)/($F18-$E18+1)</f>
        <v>0.0125941136208077</v>
      </c>
      <c r="BC18" s="52" t="n">
        <f aca="false">MAX(0,MIN($F18,BC$4)-MAX($E18,BC$3)+1)/($F18-$E18+1)</f>
        <v>0.0125941136208077</v>
      </c>
      <c r="BD18" s="52" t="n">
        <f aca="false">MAX(0,MIN($F18,BD$4)-MAX($E18,BD$3)+1)/($F18-$E18+1)</f>
        <v>0.0123203285420945</v>
      </c>
      <c r="BE18" s="52" t="n">
        <f aca="false">MAX(0,MIN($F18,BE$4)-MAX($E18,BE$3)+1)/($F18-$E18+1)</f>
        <v>0.0124572210814511</v>
      </c>
      <c r="BF18" s="52" t="n">
        <f aca="false">MAX(0,MIN($F18,BF$4)-MAX($E18,BF$3)+1)/($F18-$E18+1)</f>
        <v>0.0125941136208077</v>
      </c>
      <c r="BG18" s="52" t="n">
        <f aca="false">MAX(0,MIN($F18,BG$4)-MAX($E18,BG$3)+1)/($F18-$E18+1)</f>
        <v>0.0125941136208077</v>
      </c>
      <c r="BH18" s="52" t="n">
        <f aca="false">MAX(0,MIN($F18,BH$4)-MAX($E18,BH$3)+1)/($F18-$E18+1)</f>
        <v>0.0123203285420945</v>
      </c>
      <c r="BI18" s="52" t="n">
        <f aca="false">MAX(0,MIN($F18,BI$4)-MAX($E18,BI$3)+1)/($F18-$E18+1)</f>
        <v>0.0124572210814511</v>
      </c>
      <c r="BJ18" s="52" t="n">
        <f aca="false">MAX(0,MIN($F18,BJ$4)-MAX($E18,BJ$3)+1)/($F18-$E18+1)</f>
        <v>0.0125941136208077</v>
      </c>
      <c r="BK18" s="52" t="n">
        <f aca="false">MAX(0,MIN($F18,BK$4)-MAX($E18,BK$3)+1)/($F18-$E18+1)</f>
        <v>0.0125941136208077</v>
      </c>
      <c r="BL18" s="52" t="n">
        <f aca="false">MAX(0,MIN($F18,BL$4)-MAX($E18,BL$3)+1)/($F18-$E18+1)</f>
        <v>0.0124572210814511</v>
      </c>
      <c r="BM18" s="52" t="n">
        <f aca="false">MAX(0,MIN($F18,BM$4)-MAX($E18,BM$3)+1)/($F18-$E18+1)</f>
        <v>0.0124572210814511</v>
      </c>
      <c r="BN18" s="52" t="n">
        <f aca="false">MAX(0,MIN($F18,BN$4)-MAX($E18,BN$3)+1)/($F18-$E18+1)</f>
        <v>0.0125941136208077</v>
      </c>
      <c r="BO18" s="52" t="n">
        <f aca="false">MAX(0,MIN($F18,BO$4)-MAX($E18,BO$3)+1)/($F18-$E18+1)</f>
        <v>0.0125941136208077</v>
      </c>
      <c r="BP18" s="52" t="n">
        <f aca="false">MAX(0,MIN($F18,BP$4)-MAX($E18,BP$3)+1)/($F18-$E18+1)</f>
        <v>0.0123203285420945</v>
      </c>
      <c r="BQ18" s="52" t="n">
        <f aca="false">MAX(0,MIN($F18,BQ$4)-MAX($E18,BQ$3)+1)/($F18-$E18+1)</f>
        <v>0.0124572210814511</v>
      </c>
      <c r="BR18" s="52" t="n">
        <f aca="false">MAX(0,MIN($F18,BR$4)-MAX($E18,BR$3)+1)/($F18-$E18+1)</f>
        <v>0.0125941136208077</v>
      </c>
      <c r="BS18" s="52" t="n">
        <f aca="false">MAX(0,MIN($F18,BS$4)-MAX($E18,BS$3)+1)/($F18-$E18+1)</f>
        <v>0.0125941136208077</v>
      </c>
      <c r="BT18" s="52" t="n">
        <f aca="false">MAX(0,MIN($F18,BT$4)-MAX($E18,BT$3)+1)/($F18-$E18+1)</f>
        <v>0.0123203285420945</v>
      </c>
      <c r="BU18" s="52" t="n">
        <f aca="false">MAX(0,MIN($F18,BU$4)-MAX($E18,BU$3)+1)/($F18-$E18+1)</f>
        <v>0.0124572210814511</v>
      </c>
      <c r="BV18" s="52" t="n">
        <f aca="false">MAX(0,MIN($F18,BV$4)-MAX($E18,BV$3)+1)/($F18-$E18+1)</f>
        <v>0.0125941136208077</v>
      </c>
      <c r="BW18" s="52" t="n">
        <f aca="false">MAX(0,MIN($F18,BW$4)-MAX($E18,BW$3)+1)/($F18-$E18+1)</f>
        <v>0.0125941136208077</v>
      </c>
      <c r="BX18" s="52" t="n">
        <f aca="false">MAX(0,MIN($F18,BX$4)-MAX($E18,BX$3)+1)/($F18-$E18+1)</f>
        <v>0.0123203285420945</v>
      </c>
      <c r="BY18" s="52" t="n">
        <f aca="false">MAX(0,MIN($F18,BY$4)-MAX($E18,BY$3)+1)/($F18-$E18+1)</f>
        <v>0.0124572210814511</v>
      </c>
      <c r="BZ18" s="52" t="n">
        <f aca="false">MAX(0,MIN($F18,BZ$4)-MAX($E18,BZ$3)+1)/($F18-$E18+1)</f>
        <v>0.0125941136208077</v>
      </c>
      <c r="CA18" s="52" t="n">
        <f aca="false">MAX(0,MIN($F18,CA$4)-MAX($E18,CA$3)+1)/($F18-$E18+1)</f>
        <v>0.0125941136208077</v>
      </c>
      <c r="CB18" s="52" t="n">
        <f aca="false">MAX(0,MIN($F18,CB$4)-MAX($E18,CB$3)+1)/($F18-$E18+1)</f>
        <v>0.0124572210814511</v>
      </c>
      <c r="CC18" s="52" t="n">
        <f aca="false">MAX(0,MIN($F18,CC$4)-MAX($E18,CC$3)+1)/($F18-$E18+1)</f>
        <v>0.0124572210814511</v>
      </c>
      <c r="CD18" s="52" t="n">
        <f aca="false">MAX(0,MIN($F18,CD$4)-MAX($E18,CD$3)+1)/($F18-$E18+1)</f>
        <v>0.0125941136208077</v>
      </c>
      <c r="CE18" s="52" t="n">
        <f aca="false">MAX(0,MIN($F18,CE$4)-MAX($E18,CE$3)+1)/($F18-$E18+1)</f>
        <v>0.0125941136208077</v>
      </c>
      <c r="CF18" s="52" t="n">
        <f aca="false">MAX(0,MIN($F18,CF$4)-MAX($E18,CF$3)+1)/($F18-$E18+1)</f>
        <v>0.0123203285420945</v>
      </c>
      <c r="CG18" s="52" t="n">
        <f aca="false">MAX(0,MIN($F18,CG$4)-MAX($E18,CG$3)+1)/($F18-$E18+1)</f>
        <v>0.0124572210814511</v>
      </c>
      <c r="CH18" s="52" t="n">
        <f aca="false">MAX(0,MIN($F18,CH$4)-MAX($E18,CH$3)+1)/($F18-$E18+1)</f>
        <v>0.0125941136208077</v>
      </c>
      <c r="CI18" s="52" t="n">
        <f aca="false">MAX(0,MIN($F18,CI$4)-MAX($E18,CI$3)+1)/($F18-$E18+1)</f>
        <v>0.0125941136208077</v>
      </c>
      <c r="CJ18" s="52" t="n">
        <f aca="false">MAX(0,MIN($F18,CJ$4)-MAX($E18,CJ$3)+1)/($F18-$E18+1)</f>
        <v>0.0123203285420945</v>
      </c>
      <c r="CK18" s="52" t="n">
        <f aca="false">MAX(0,MIN($F18,CK$4)-MAX($E18,CK$3)+1)/($F18-$E18+1)</f>
        <v>0.0124572210814511</v>
      </c>
      <c r="CL18" s="52" t="n">
        <f aca="false">MAX(0,MIN($F18,CL$4)-MAX($E18,CL$3)+1)/($F18-$E18+1)</f>
        <v>0.0125941136208077</v>
      </c>
      <c r="CM18" s="52" t="n">
        <f aca="false">MAX(0,MIN($F18,CM$4)-MAX($E18,CM$3)+1)/($F18-$E18+1)</f>
        <v>0.0125941136208077</v>
      </c>
      <c r="CN18" s="52" t="n">
        <f aca="false">MAX(0,MIN($F18,CN$4)-MAX($E18,CN$3)+1)/($F18-$E18+1)</f>
        <v>0.0123203285420945</v>
      </c>
      <c r="CO18" s="52" t="n">
        <f aca="false">MAX(0,MIN($F18,CO$4)-MAX($E18,CO$3)+1)/($F18-$E18+1)</f>
        <v>0.0124572210814511</v>
      </c>
      <c r="CP18" s="52" t="n">
        <f aca="false">MAX(0,MIN($F18,CP$4)-MAX($E18,CP$3)+1)/($F18-$E18+1)</f>
        <v>0.0125941136208077</v>
      </c>
      <c r="CQ18" s="52" t="n">
        <f aca="false">MAX(0,MIN($F18,CQ$4)-MAX($E18,CQ$3)+1)/($F18-$E18+1)</f>
        <v>0.0125941136208077</v>
      </c>
      <c r="CR18" s="52" t="n">
        <f aca="false">MAX(0,MIN($F18,CR$4)-MAX($E18,CR$3)+1)/($F18-$E18+1)</f>
        <v>0.0124572210814511</v>
      </c>
      <c r="CS18" s="52" t="n">
        <f aca="false">MAX(0,MIN($F18,CS$4)-MAX($E18,CS$3)+1)/($F18-$E18+1)</f>
        <v>0.0124572210814511</v>
      </c>
      <c r="CT18" s="52" t="n">
        <f aca="false">MAX(0,MIN($F18,CT$4)-MAX($E18,CT$3)+1)/($F18-$E18+1)</f>
        <v>0.0125941136208077</v>
      </c>
      <c r="CU18" s="52" t="n">
        <f aca="false">MAX(0,MIN($F18,CU$4)-MAX($E18,CU$3)+1)/($F18-$E18+1)</f>
        <v>0.0125941136208077</v>
      </c>
      <c r="CV18" s="52" t="n">
        <f aca="false">MAX(0,MIN($F18,CV$4)-MAX($E18,CV$3)+1)/($F18-$E18+1)</f>
        <v>0.0123203285420945</v>
      </c>
      <c r="CW18" s="52" t="n">
        <f aca="false">MAX(0,MIN($F18,CW$4)-MAX($E18,CW$3)+1)/($F18-$E18+1)</f>
        <v>0.0124572210814511</v>
      </c>
      <c r="CX18" s="52" t="n">
        <f aca="false">MAX(0,MIN($F18,CX$4)-MAX($E18,CX$3)+1)/($F18-$E18+1)</f>
        <v>0.0125941136208077</v>
      </c>
      <c r="CY18" s="52" t="n">
        <f aca="false">MAX(0,MIN($F18,CY$4)-MAX($E18,CY$3)+1)/($F18-$E18+1)</f>
        <v>0.0125941136208077</v>
      </c>
      <c r="CZ18" s="52" t="n">
        <f aca="false">MAX(0,MIN($F18,CZ$4)-MAX($E18,CZ$3)+1)/($F18-$E18+1)</f>
        <v>0.0123203285420945</v>
      </c>
      <c r="DA18" s="52" t="n">
        <f aca="false">MAX(0,MIN($F18,DA$4)-MAX($E18,DA$3)+1)/($F18-$E18+1)</f>
        <v>0.0124572210814511</v>
      </c>
      <c r="DB18" s="52" t="n">
        <f aca="false">MAX(0,MIN($F18,DB$4)-MAX($E18,DB$3)+1)/($F18-$E18+1)</f>
        <v>0.0125941136208077</v>
      </c>
      <c r="DC18" s="52" t="n">
        <f aca="false">MAX(0,MIN($F18,DC$4)-MAX($E18,DC$3)+1)/($F18-$E18+1)</f>
        <v>0.0125941136208077</v>
      </c>
      <c r="DD18" s="52" t="n">
        <f aca="false">MAX(0,MIN($F18,DD$4)-MAX($E18,DD$3)+1)/($F18-$E18+1)</f>
        <v>0.0123203285420945</v>
      </c>
      <c r="DE18" s="52" t="n">
        <f aca="false">MAX(0,MIN($F18,DE$4)-MAX($E18,DE$3)+1)/($F18-$E18+1)</f>
        <v>0.0124572210814511</v>
      </c>
      <c r="DF18" s="52" t="n">
        <f aca="false">MAX(0,MIN($F18,DF$4)-MAX($E18,DF$3)+1)/($F18-$E18+1)</f>
        <v>0.0125941136208077</v>
      </c>
      <c r="DG18" s="52" t="n">
        <f aca="false">MAX(0,MIN($F18,DG$4)-MAX($E18,DG$3)+1)/($F18-$E18+1)</f>
        <v>0</v>
      </c>
      <c r="DH18" s="52" t="n">
        <f aca="false">MAX(0,MIN($F18,DH$4)-MAX($E18,DH$3)+1)/($F18-$E18+1)</f>
        <v>0</v>
      </c>
      <c r="DI18" s="52" t="n">
        <f aca="false">MAX(0,MIN($F18,DI$4)-MAX($E18,DI$3)+1)/($F18-$E18+1)</f>
        <v>0</v>
      </c>
      <c r="DJ18" s="52" t="n">
        <f aca="false">MAX(0,MIN($F18,DJ$4)-MAX($E18,DJ$3)+1)/($F18-$E18+1)</f>
        <v>0</v>
      </c>
      <c r="DK18" s="52" t="n">
        <f aca="false">MAX(0,MIN($F18,DK$4)-MAX($E18,DK$3)+1)/($F18-$E18+1)</f>
        <v>0</v>
      </c>
      <c r="DL18" s="52" t="n">
        <f aca="false">MAX(0,MIN($F18,DL$4)-MAX($E18,DL$3)+1)/($F18-$E18+1)</f>
        <v>0</v>
      </c>
      <c r="DM18" s="52" t="n">
        <f aca="false">MAX(0,MIN($F18,DM$4)-MAX($E18,DM$3)+1)/($F18-$E18+1)</f>
        <v>0</v>
      </c>
      <c r="DN18" s="52" t="n">
        <f aca="false">MAX(0,MIN($F18,DN$4)-MAX($E18,DN$3)+1)/($F18-$E18+1)</f>
        <v>0</v>
      </c>
      <c r="DO18" s="52" t="n">
        <f aca="false">MAX(0,MIN($F18,DO$4)-MAX($E18,DO$3)+1)/($F18-$E18+1)</f>
        <v>0</v>
      </c>
      <c r="DP18" s="52" t="n">
        <f aca="false">MAX(0,MIN($F18,DP$4)-MAX($E18,DP$3)+1)/($F18-$E18+1)</f>
        <v>0</v>
      </c>
      <c r="DQ18" s="52" t="n">
        <f aca="false">MAX(0,MIN($F18,DQ$4)-MAX($E18,DQ$3)+1)/($F18-$E18+1)</f>
        <v>0</v>
      </c>
      <c r="DR18" s="52" t="n">
        <f aca="false">MAX(0,MIN($F18,DR$4)-MAX($E18,DR$3)+1)/($F18-$E18+1)</f>
        <v>0</v>
      </c>
      <c r="DS18" s="52" t="n">
        <f aca="false">MAX(0,MIN($F18,DS$4)-MAX($E18,DS$3)+1)/($F18-$E18+1)</f>
        <v>0</v>
      </c>
      <c r="DT18" s="52" t="n">
        <f aca="false">MAX(0,MIN($F18,DT$4)-MAX($E18,DT$3)+1)/($F18-$E18+1)</f>
        <v>0</v>
      </c>
      <c r="DU18" s="52" t="n">
        <f aca="false">MAX(0,MIN($F18,DU$4)-MAX($E18,DU$3)+1)/($F18-$E18+1)</f>
        <v>0</v>
      </c>
      <c r="DV18" s="52" t="n">
        <f aca="false">MAX(0,MIN($F18,DV$4)-MAX($E18,DV$3)+1)/($F18-$E18+1)</f>
        <v>0</v>
      </c>
      <c r="DW18" s="52" t="n">
        <f aca="false">MAX(0,MIN($F18,DW$4)-MAX($E18,DW$3)+1)/($F18-$E18+1)</f>
        <v>0</v>
      </c>
      <c r="DX18" s="52" t="n">
        <f aca="false">MAX(0,MIN($F18,DX$4)-MAX($E18,DX$3)+1)/($F18-$E18+1)</f>
        <v>0</v>
      </c>
      <c r="DY18" s="52" t="n">
        <f aca="false">MAX(0,MIN($F18,DY$4)-MAX($E18,DY$3)+1)/($F18-$E18+1)</f>
        <v>0</v>
      </c>
      <c r="DZ18" s="52" t="n">
        <f aca="false">MAX(0,MIN($F18,DZ$4)-MAX($E18,DZ$3)+1)/($F18-$E18+1)</f>
        <v>0</v>
      </c>
      <c r="EA18" s="52" t="n">
        <f aca="false">MAX(0,MIN($F18,EA$4)-MAX($E18,EA$3)+1)/($F18-$E18+1)</f>
        <v>0</v>
      </c>
      <c r="EB18" s="52" t="n">
        <f aca="false">MAX(0,MIN($F18,EB$4)-MAX($E18,EB$3)+1)/($F18-$E18+1)</f>
        <v>0</v>
      </c>
      <c r="EC18" s="52" t="n">
        <f aca="false">MAX(0,MIN($F18,EC$4)-MAX($E18,EC$3)+1)/($F18-$E18+1)</f>
        <v>0</v>
      </c>
      <c r="ED18" s="52" t="n">
        <f aca="false">MAX(0,MIN($F18,ED$4)-MAX($E18,ED$3)+1)/($F18-$E18+1)</f>
        <v>0</v>
      </c>
      <c r="EE18" s="52" t="n">
        <f aca="false">MAX(0,MIN($F18,EE$4)-MAX($E18,EE$3)+1)/($F18-$E18+1)</f>
        <v>0</v>
      </c>
      <c r="EF18" s="52" t="n">
        <f aca="false">MAX(0,MIN($F18,EF$4)-MAX($E18,EF$3)+1)/($F18-$E18+1)</f>
        <v>0</v>
      </c>
      <c r="EG18" s="52" t="n">
        <f aca="false">MAX(0,MIN($F18,EG$4)-MAX($E18,EG$3)+1)/($F18-$E18+1)</f>
        <v>0</v>
      </c>
      <c r="EH18" s="52" t="n">
        <f aca="false">MAX(0,MIN($F18,EH$4)-MAX($E18,EH$3)+1)/($F18-$E18+1)</f>
        <v>0</v>
      </c>
      <c r="EI18" s="52" t="n">
        <f aca="false">MAX(0,MIN($F18,EI$4)-MAX($E18,EI$3)+1)/($F18-$E18+1)</f>
        <v>0</v>
      </c>
      <c r="EJ18" s="52" t="n">
        <f aca="false">MAX(0,MIN($F18,EJ$4)-MAX($E18,EJ$3)+1)/($F18-$E18+1)</f>
        <v>0</v>
      </c>
      <c r="EK18" s="52" t="n">
        <f aca="false">MAX(0,MIN($F18,EK$4)-MAX($E18,EK$3)+1)/($F18-$E18+1)</f>
        <v>0</v>
      </c>
      <c r="EL18" s="52" t="n">
        <f aca="false">MAX(0,MIN($F18,EL$4)-MAX($E18,EL$3)+1)/($F18-$E18+1)</f>
        <v>0</v>
      </c>
      <c r="EM18" s="52" t="n">
        <f aca="false">MAX(0,MIN($F18,EM$4)-MAX($E18,EM$3)+1)/($F18-$E18+1)</f>
        <v>0</v>
      </c>
      <c r="EN18" s="52" t="n">
        <f aca="false">MAX(0,MIN($F18,EN$4)-MAX($E18,EN$3)+1)/($F18-$E18+1)</f>
        <v>0</v>
      </c>
      <c r="EO18" s="52" t="n">
        <f aca="false">MAX(0,MIN($F18,EO$4)-MAX($E18,EO$3)+1)/($F18-$E18+1)</f>
        <v>0</v>
      </c>
      <c r="EP18" s="52" t="n">
        <f aca="false">MAX(0,MIN($F18,EP$4)-MAX($E18,EP$3)+1)/($F18-$E18+1)</f>
        <v>0</v>
      </c>
      <c r="EQ18" s="52" t="n">
        <f aca="false">MAX(0,MIN($F18,EQ$4)-MAX($E18,EQ$3)+1)/($F18-$E18+1)</f>
        <v>0</v>
      </c>
      <c r="ER18" s="52" t="n">
        <f aca="false">MAX(0,MIN($F18,ER$4)-MAX($E18,ER$3)+1)/($F18-$E18+1)</f>
        <v>0</v>
      </c>
      <c r="ES18" s="52" t="n">
        <f aca="false">MAX(0,MIN($F18,ES$4)-MAX($E18,ES$3)+1)/($F18-$E18+1)</f>
        <v>0</v>
      </c>
      <c r="ET18" s="52" t="n">
        <f aca="false">MAX(0,MIN($F18,ET$4)-MAX($E18,ET$3)+1)/($F18-$E18+1)</f>
        <v>0</v>
      </c>
    </row>
    <row r="19" customFormat="false" ht="15" hidden="false" customHeight="false" outlineLevel="0" collapsed="false">
      <c r="C19" s="0" t="s">
        <v>492</v>
      </c>
      <c r="D19" s="11" t="s">
        <v>41</v>
      </c>
      <c r="E19" s="44" t="n">
        <f aca="false">In_Freeze_Start+1</f>
        <v>47300</v>
      </c>
      <c r="F19" s="44" t="n">
        <f aca="false">In_Freeze_Start+In_Freeze_On*(In_Freeze_End-In_Freeze_Start)-1</f>
        <v>47483</v>
      </c>
      <c r="J19" s="52" t="n">
        <f aca="false">MAX(0,(MIN($F19,J$4)-MAX($E19,J$3)+1)/J$5)</f>
        <v>0</v>
      </c>
      <c r="K19" s="52" t="n">
        <f aca="false">MAX(0,(MIN($F19,K$4)-MAX($E19,K$3)+1)/K$5)</f>
        <v>0</v>
      </c>
      <c r="L19" s="52" t="n">
        <f aca="false">MAX(0,(MIN($F19,L$4)-MAX($E19,L$3)+1)/L$5)</f>
        <v>0</v>
      </c>
      <c r="M19" s="52" t="n">
        <f aca="false">MAX(0,(MIN($F19,M$4)-MAX($E19,M$3)+1)/M$5)</f>
        <v>0</v>
      </c>
      <c r="N19" s="52" t="n">
        <f aca="false">MAX(0,(MIN($F19,N$4)-MAX($E19,N$3)+1)/N$5)</f>
        <v>0</v>
      </c>
      <c r="O19" s="52" t="n">
        <f aca="false">MAX(0,(MIN($F19,O$4)-MAX($E19,O$3)+1)/O$5)</f>
        <v>0</v>
      </c>
      <c r="P19" s="52" t="n">
        <f aca="false">MAX(0,(MIN($F19,P$4)-MAX($E19,P$3)+1)/P$5)</f>
        <v>0</v>
      </c>
      <c r="Q19" s="52" t="n">
        <f aca="false">MAX(0,(MIN($F19,Q$4)-MAX($E19,Q$3)+1)/Q$5)</f>
        <v>0</v>
      </c>
      <c r="R19" s="52" t="n">
        <f aca="false">MAX(0,(MIN($F19,R$4)-MAX($E19,R$3)+1)/R$5)</f>
        <v>0</v>
      </c>
      <c r="S19" s="52" t="n">
        <f aca="false">MAX(0,(MIN($F19,S$4)-MAX($E19,S$3)+1)/S$5)</f>
        <v>0</v>
      </c>
      <c r="T19" s="52" t="n">
        <f aca="false">MAX(0,(MIN($F19,T$4)-MAX($E19,T$3)+1)/T$5)</f>
        <v>0</v>
      </c>
      <c r="U19" s="52" t="n">
        <f aca="false">MAX(0,(MIN($F19,U$4)-MAX($E19,U$3)+1)/U$5)</f>
        <v>0</v>
      </c>
      <c r="V19" s="52" t="n">
        <f aca="false">MAX(0,(MIN($F19,V$4)-MAX($E19,V$3)+1)/V$5)</f>
        <v>1</v>
      </c>
      <c r="W19" s="52" t="n">
        <f aca="false">MAX(0,(MIN($F19,W$4)-MAX($E19,W$3)+1)/W$5)</f>
        <v>1</v>
      </c>
      <c r="X19" s="52" t="n">
        <f aca="false">MAX(0,(MIN($F19,X$4)-MAX($E19,X$3)+1)/X$5)</f>
        <v>0</v>
      </c>
      <c r="Y19" s="52" t="n">
        <f aca="false">MAX(0,(MIN($F19,Y$4)-MAX($E19,Y$3)+1)/Y$5)</f>
        <v>0</v>
      </c>
      <c r="Z19" s="52" t="n">
        <f aca="false">MAX(0,(MIN($F19,Z$4)-MAX($E19,Z$3)+1)/Z$5)</f>
        <v>0</v>
      </c>
      <c r="AA19" s="52" t="n">
        <f aca="false">MAX(0,(MIN($F19,AA$4)-MAX($E19,AA$3)+1)/AA$5)</f>
        <v>0</v>
      </c>
      <c r="AB19" s="52" t="n">
        <f aca="false">MAX(0,(MIN($F19,AB$4)-MAX($E19,AB$3)+1)/AB$5)</f>
        <v>0</v>
      </c>
      <c r="AC19" s="52" t="n">
        <f aca="false">MAX(0,(MIN($F19,AC$4)-MAX($E19,AC$3)+1)/AC$5)</f>
        <v>0</v>
      </c>
      <c r="AD19" s="52" t="n">
        <f aca="false">MAX(0,(MIN($F19,AD$4)-MAX($E19,AD$3)+1)/AD$5)</f>
        <v>0</v>
      </c>
      <c r="AE19" s="52" t="n">
        <f aca="false">MAX(0,(MIN($F19,AE$4)-MAX($E19,AE$3)+1)/AE$5)</f>
        <v>0</v>
      </c>
      <c r="AF19" s="52" t="n">
        <f aca="false">MAX(0,(MIN($F19,AF$4)-MAX($E19,AF$3)+1)/AF$5)</f>
        <v>0</v>
      </c>
      <c r="AG19" s="52" t="n">
        <f aca="false">MAX(0,(MIN($F19,AG$4)-MAX($E19,AG$3)+1)/AG$5)</f>
        <v>0</v>
      </c>
      <c r="AH19" s="52" t="n">
        <f aca="false">MAX(0,(MIN($F19,AH$4)-MAX($E19,AH$3)+1)/AH$5)</f>
        <v>0</v>
      </c>
      <c r="AI19" s="52" t="n">
        <f aca="false">MAX(0,(MIN($F19,AI$4)-MAX($E19,AI$3)+1)/AI$5)</f>
        <v>0</v>
      </c>
      <c r="AJ19" s="52" t="n">
        <f aca="false">MAX(0,(MIN($F19,AJ$4)-MAX($E19,AJ$3)+1)/AJ$5)</f>
        <v>0</v>
      </c>
      <c r="AK19" s="52" t="n">
        <f aca="false">MAX(0,(MIN($F19,AK$4)-MAX($E19,AK$3)+1)/AK$5)</f>
        <v>0</v>
      </c>
      <c r="AL19" s="52" t="n">
        <f aca="false">MAX(0,(MIN($F19,AL$4)-MAX($E19,AL$3)+1)/AL$5)</f>
        <v>0</v>
      </c>
      <c r="AM19" s="52" t="n">
        <f aca="false">MAX(0,(MIN($F19,AM$4)-MAX($E19,AM$3)+1)/AM$5)</f>
        <v>0</v>
      </c>
      <c r="AN19" s="52" t="n">
        <f aca="false">MAX(0,(MIN($F19,AN$4)-MAX($E19,AN$3)+1)/AN$5)</f>
        <v>0</v>
      </c>
      <c r="AO19" s="52" t="n">
        <f aca="false">MAX(0,(MIN($F19,AO$4)-MAX($E19,AO$3)+1)/AO$5)</f>
        <v>0</v>
      </c>
      <c r="AP19" s="52" t="n">
        <f aca="false">MAX(0,(MIN($F19,AP$4)-MAX($E19,AP$3)+1)/AP$5)</f>
        <v>0</v>
      </c>
      <c r="AQ19" s="52" t="n">
        <f aca="false">MAX(0,(MIN($F19,AQ$4)-MAX($E19,AQ$3)+1)/AQ$5)</f>
        <v>0</v>
      </c>
      <c r="AR19" s="52" t="n">
        <f aca="false">MAX(0,(MIN($F19,AR$4)-MAX($E19,AR$3)+1)/AR$5)</f>
        <v>0</v>
      </c>
      <c r="AS19" s="52" t="n">
        <f aca="false">MAX(0,(MIN($F19,AS$4)-MAX($E19,AS$3)+1)/AS$5)</f>
        <v>0</v>
      </c>
      <c r="AT19" s="52" t="n">
        <f aca="false">MAX(0,(MIN($F19,AT$4)-MAX($E19,AT$3)+1)/AT$5)</f>
        <v>0</v>
      </c>
      <c r="AU19" s="52" t="n">
        <f aca="false">MAX(0,(MIN($F19,AU$4)-MAX($E19,AU$3)+1)/AU$5)</f>
        <v>0</v>
      </c>
      <c r="AV19" s="52" t="n">
        <f aca="false">MAX(0,(MIN($F19,AV$4)-MAX($E19,AV$3)+1)/AV$5)</f>
        <v>0</v>
      </c>
      <c r="AW19" s="52" t="n">
        <f aca="false">MAX(0,(MIN($F19,AW$4)-MAX($E19,AW$3)+1)/AW$5)</f>
        <v>0</v>
      </c>
      <c r="AX19" s="52" t="n">
        <f aca="false">MAX(0,(MIN($F19,AX$4)-MAX($E19,AX$3)+1)/AX$5)</f>
        <v>0</v>
      </c>
      <c r="AY19" s="52" t="n">
        <f aca="false">MAX(0,(MIN($F19,AY$4)-MAX($E19,AY$3)+1)/AY$5)</f>
        <v>0</v>
      </c>
      <c r="AZ19" s="52" t="n">
        <f aca="false">MAX(0,(MIN($F19,AZ$4)-MAX($E19,AZ$3)+1)/AZ$5)</f>
        <v>0</v>
      </c>
      <c r="BA19" s="52" t="n">
        <f aca="false">MAX(0,(MIN($F19,BA$4)-MAX($E19,BA$3)+1)/BA$5)</f>
        <v>0</v>
      </c>
      <c r="BB19" s="52" t="n">
        <f aca="false">MAX(0,(MIN($F19,BB$4)-MAX($E19,BB$3)+1)/BB$5)</f>
        <v>0</v>
      </c>
      <c r="BC19" s="52" t="n">
        <f aca="false">MAX(0,(MIN($F19,BC$4)-MAX($E19,BC$3)+1)/BC$5)</f>
        <v>0</v>
      </c>
      <c r="BD19" s="52" t="n">
        <f aca="false">MAX(0,(MIN($F19,BD$4)-MAX($E19,BD$3)+1)/BD$5)</f>
        <v>0</v>
      </c>
      <c r="BE19" s="52" t="n">
        <f aca="false">MAX(0,(MIN($F19,BE$4)-MAX($E19,BE$3)+1)/BE$5)</f>
        <v>0</v>
      </c>
      <c r="BF19" s="52" t="n">
        <f aca="false">MAX(0,(MIN($F19,BF$4)-MAX($E19,BF$3)+1)/BF$5)</f>
        <v>0</v>
      </c>
      <c r="BG19" s="52" t="n">
        <f aca="false">MAX(0,(MIN($F19,BG$4)-MAX($E19,BG$3)+1)/BG$5)</f>
        <v>0</v>
      </c>
      <c r="BH19" s="52" t="n">
        <f aca="false">MAX(0,(MIN($F19,BH$4)-MAX($E19,BH$3)+1)/BH$5)</f>
        <v>0</v>
      </c>
      <c r="BI19" s="52" t="n">
        <f aca="false">MAX(0,(MIN($F19,BI$4)-MAX($E19,BI$3)+1)/BI$5)</f>
        <v>0</v>
      </c>
      <c r="BJ19" s="52" t="n">
        <f aca="false">MAX(0,(MIN($F19,BJ$4)-MAX($E19,BJ$3)+1)/BJ$5)</f>
        <v>0</v>
      </c>
      <c r="BK19" s="52" t="n">
        <f aca="false">MAX(0,(MIN($F19,BK$4)-MAX($E19,BK$3)+1)/BK$5)</f>
        <v>0</v>
      </c>
      <c r="BL19" s="52" t="n">
        <f aca="false">MAX(0,(MIN($F19,BL$4)-MAX($E19,BL$3)+1)/BL$5)</f>
        <v>0</v>
      </c>
      <c r="BM19" s="52" t="n">
        <f aca="false">MAX(0,(MIN($F19,BM$4)-MAX($E19,BM$3)+1)/BM$5)</f>
        <v>0</v>
      </c>
      <c r="BN19" s="52" t="n">
        <f aca="false">MAX(0,(MIN($F19,BN$4)-MAX($E19,BN$3)+1)/BN$5)</f>
        <v>0</v>
      </c>
      <c r="BO19" s="52" t="n">
        <f aca="false">MAX(0,(MIN($F19,BO$4)-MAX($E19,BO$3)+1)/BO$5)</f>
        <v>0</v>
      </c>
      <c r="BP19" s="52" t="n">
        <f aca="false">MAX(0,(MIN($F19,BP$4)-MAX($E19,BP$3)+1)/BP$5)</f>
        <v>0</v>
      </c>
      <c r="BQ19" s="52" t="n">
        <f aca="false">MAX(0,(MIN($F19,BQ$4)-MAX($E19,BQ$3)+1)/BQ$5)</f>
        <v>0</v>
      </c>
      <c r="BR19" s="52" t="n">
        <f aca="false">MAX(0,(MIN($F19,BR$4)-MAX($E19,BR$3)+1)/BR$5)</f>
        <v>0</v>
      </c>
      <c r="BS19" s="52" t="n">
        <f aca="false">MAX(0,(MIN($F19,BS$4)-MAX($E19,BS$3)+1)/BS$5)</f>
        <v>0</v>
      </c>
      <c r="BT19" s="52" t="n">
        <f aca="false">MAX(0,(MIN($F19,BT$4)-MAX($E19,BT$3)+1)/BT$5)</f>
        <v>0</v>
      </c>
      <c r="BU19" s="52" t="n">
        <f aca="false">MAX(0,(MIN($F19,BU$4)-MAX($E19,BU$3)+1)/BU$5)</f>
        <v>0</v>
      </c>
      <c r="BV19" s="52" t="n">
        <f aca="false">MAX(0,(MIN($F19,BV$4)-MAX($E19,BV$3)+1)/BV$5)</f>
        <v>0</v>
      </c>
      <c r="BW19" s="52" t="n">
        <f aca="false">MAX(0,(MIN($F19,BW$4)-MAX($E19,BW$3)+1)/BW$5)</f>
        <v>0</v>
      </c>
      <c r="BX19" s="52" t="n">
        <f aca="false">MAX(0,(MIN($F19,BX$4)-MAX($E19,BX$3)+1)/BX$5)</f>
        <v>0</v>
      </c>
      <c r="BY19" s="52" t="n">
        <f aca="false">MAX(0,(MIN($F19,BY$4)-MAX($E19,BY$3)+1)/BY$5)</f>
        <v>0</v>
      </c>
      <c r="BZ19" s="52" t="n">
        <f aca="false">MAX(0,(MIN($F19,BZ$4)-MAX($E19,BZ$3)+1)/BZ$5)</f>
        <v>0</v>
      </c>
      <c r="CA19" s="52" t="n">
        <f aca="false">MAX(0,(MIN($F19,CA$4)-MAX($E19,CA$3)+1)/CA$5)</f>
        <v>0</v>
      </c>
      <c r="CB19" s="52" t="n">
        <f aca="false">MAX(0,(MIN($F19,CB$4)-MAX($E19,CB$3)+1)/CB$5)</f>
        <v>0</v>
      </c>
      <c r="CC19" s="52" t="n">
        <f aca="false">MAX(0,(MIN($F19,CC$4)-MAX($E19,CC$3)+1)/CC$5)</f>
        <v>0</v>
      </c>
      <c r="CD19" s="52" t="n">
        <f aca="false">MAX(0,(MIN($F19,CD$4)-MAX($E19,CD$3)+1)/CD$5)</f>
        <v>0</v>
      </c>
      <c r="CE19" s="52" t="n">
        <f aca="false">MAX(0,(MIN($F19,CE$4)-MAX($E19,CE$3)+1)/CE$5)</f>
        <v>0</v>
      </c>
      <c r="CF19" s="52" t="n">
        <f aca="false">MAX(0,(MIN($F19,CF$4)-MAX($E19,CF$3)+1)/CF$5)</f>
        <v>0</v>
      </c>
      <c r="CG19" s="52" t="n">
        <f aca="false">MAX(0,(MIN($F19,CG$4)-MAX($E19,CG$3)+1)/CG$5)</f>
        <v>0</v>
      </c>
      <c r="CH19" s="52" t="n">
        <f aca="false">MAX(0,(MIN($F19,CH$4)-MAX($E19,CH$3)+1)/CH$5)</f>
        <v>0</v>
      </c>
      <c r="CI19" s="52" t="n">
        <f aca="false">MAX(0,(MIN($F19,CI$4)-MAX($E19,CI$3)+1)/CI$5)</f>
        <v>0</v>
      </c>
      <c r="CJ19" s="52" t="n">
        <f aca="false">MAX(0,(MIN($F19,CJ$4)-MAX($E19,CJ$3)+1)/CJ$5)</f>
        <v>0</v>
      </c>
      <c r="CK19" s="52" t="n">
        <f aca="false">MAX(0,(MIN($F19,CK$4)-MAX($E19,CK$3)+1)/CK$5)</f>
        <v>0</v>
      </c>
      <c r="CL19" s="52" t="n">
        <f aca="false">MAX(0,(MIN($F19,CL$4)-MAX($E19,CL$3)+1)/CL$5)</f>
        <v>0</v>
      </c>
      <c r="CM19" s="52" t="n">
        <f aca="false">MAX(0,(MIN($F19,CM$4)-MAX($E19,CM$3)+1)/CM$5)</f>
        <v>0</v>
      </c>
      <c r="CN19" s="52" t="n">
        <f aca="false">MAX(0,(MIN($F19,CN$4)-MAX($E19,CN$3)+1)/CN$5)</f>
        <v>0</v>
      </c>
      <c r="CO19" s="52" t="n">
        <f aca="false">MAX(0,(MIN($F19,CO$4)-MAX($E19,CO$3)+1)/CO$5)</f>
        <v>0</v>
      </c>
      <c r="CP19" s="52" t="n">
        <f aca="false">MAX(0,(MIN($F19,CP$4)-MAX($E19,CP$3)+1)/CP$5)</f>
        <v>0</v>
      </c>
      <c r="CQ19" s="52" t="n">
        <f aca="false">MAX(0,(MIN($F19,CQ$4)-MAX($E19,CQ$3)+1)/CQ$5)</f>
        <v>0</v>
      </c>
      <c r="CR19" s="52" t="n">
        <f aca="false">MAX(0,(MIN($F19,CR$4)-MAX($E19,CR$3)+1)/CR$5)</f>
        <v>0</v>
      </c>
      <c r="CS19" s="52" t="n">
        <f aca="false">MAX(0,(MIN($F19,CS$4)-MAX($E19,CS$3)+1)/CS$5)</f>
        <v>0</v>
      </c>
      <c r="CT19" s="52" t="n">
        <f aca="false">MAX(0,(MIN($F19,CT$4)-MAX($E19,CT$3)+1)/CT$5)</f>
        <v>0</v>
      </c>
      <c r="CU19" s="52" t="n">
        <f aca="false">MAX(0,(MIN($F19,CU$4)-MAX($E19,CU$3)+1)/CU$5)</f>
        <v>0</v>
      </c>
      <c r="CV19" s="52" t="n">
        <f aca="false">MAX(0,(MIN($F19,CV$4)-MAX($E19,CV$3)+1)/CV$5)</f>
        <v>0</v>
      </c>
      <c r="CW19" s="52" t="n">
        <f aca="false">MAX(0,(MIN($F19,CW$4)-MAX($E19,CW$3)+1)/CW$5)</f>
        <v>0</v>
      </c>
      <c r="CX19" s="52" t="n">
        <f aca="false">MAX(0,(MIN($F19,CX$4)-MAX($E19,CX$3)+1)/CX$5)</f>
        <v>0</v>
      </c>
      <c r="CY19" s="52" t="n">
        <f aca="false">MAX(0,(MIN($F19,CY$4)-MAX($E19,CY$3)+1)/CY$5)</f>
        <v>0</v>
      </c>
      <c r="CZ19" s="52" t="n">
        <f aca="false">MAX(0,(MIN($F19,CZ$4)-MAX($E19,CZ$3)+1)/CZ$5)</f>
        <v>0</v>
      </c>
      <c r="DA19" s="52" t="n">
        <f aca="false">MAX(0,(MIN($F19,DA$4)-MAX($E19,DA$3)+1)/DA$5)</f>
        <v>0</v>
      </c>
      <c r="DB19" s="52" t="n">
        <f aca="false">MAX(0,(MIN($F19,DB$4)-MAX($E19,DB$3)+1)/DB$5)</f>
        <v>0</v>
      </c>
      <c r="DC19" s="52" t="n">
        <f aca="false">MAX(0,(MIN($F19,DC$4)-MAX($E19,DC$3)+1)/DC$5)</f>
        <v>0</v>
      </c>
      <c r="DD19" s="52" t="n">
        <f aca="false">MAX(0,(MIN($F19,DD$4)-MAX($E19,DD$3)+1)/DD$5)</f>
        <v>0</v>
      </c>
      <c r="DE19" s="52" t="n">
        <f aca="false">MAX(0,(MIN($F19,DE$4)-MAX($E19,DE$3)+1)/DE$5)</f>
        <v>0</v>
      </c>
      <c r="DF19" s="52" t="n">
        <f aca="false">MAX(0,(MIN($F19,DF$4)-MAX($E19,DF$3)+1)/DF$5)</f>
        <v>0</v>
      </c>
      <c r="DG19" s="52" t="n">
        <f aca="false">MAX(0,(MIN($F19,DG$4)-MAX($E19,DG$3)+1)/DG$5)</f>
        <v>0</v>
      </c>
      <c r="DH19" s="52" t="n">
        <f aca="false">MAX(0,(MIN($F19,DH$4)-MAX($E19,DH$3)+1)/DH$5)</f>
        <v>0</v>
      </c>
      <c r="DI19" s="52" t="n">
        <f aca="false">MAX(0,(MIN($F19,DI$4)-MAX($E19,DI$3)+1)/DI$5)</f>
        <v>0</v>
      </c>
      <c r="DJ19" s="52" t="n">
        <f aca="false">MAX(0,(MIN($F19,DJ$4)-MAX($E19,DJ$3)+1)/DJ$5)</f>
        <v>0</v>
      </c>
      <c r="DK19" s="52" t="n">
        <f aca="false">MAX(0,(MIN($F19,DK$4)-MAX($E19,DK$3)+1)/DK$5)</f>
        <v>0</v>
      </c>
      <c r="DL19" s="52" t="n">
        <f aca="false">MAX(0,(MIN($F19,DL$4)-MAX($E19,DL$3)+1)/DL$5)</f>
        <v>0</v>
      </c>
      <c r="DM19" s="52" t="n">
        <f aca="false">MAX(0,(MIN($F19,DM$4)-MAX($E19,DM$3)+1)/DM$5)</f>
        <v>0</v>
      </c>
      <c r="DN19" s="52" t="n">
        <f aca="false">MAX(0,(MIN($F19,DN$4)-MAX($E19,DN$3)+1)/DN$5)</f>
        <v>0</v>
      </c>
      <c r="DO19" s="52" t="n">
        <f aca="false">MAX(0,(MIN($F19,DO$4)-MAX($E19,DO$3)+1)/DO$5)</f>
        <v>0</v>
      </c>
      <c r="DP19" s="52" t="n">
        <f aca="false">MAX(0,(MIN($F19,DP$4)-MAX($E19,DP$3)+1)/DP$5)</f>
        <v>0</v>
      </c>
      <c r="DQ19" s="52" t="n">
        <f aca="false">MAX(0,(MIN($F19,DQ$4)-MAX($E19,DQ$3)+1)/DQ$5)</f>
        <v>0</v>
      </c>
      <c r="DR19" s="52" t="n">
        <f aca="false">MAX(0,(MIN($F19,DR$4)-MAX($E19,DR$3)+1)/DR$5)</f>
        <v>0</v>
      </c>
      <c r="DS19" s="52" t="n">
        <f aca="false">MAX(0,(MIN($F19,DS$4)-MAX($E19,DS$3)+1)/DS$5)</f>
        <v>0</v>
      </c>
      <c r="DT19" s="52" t="n">
        <f aca="false">MAX(0,(MIN($F19,DT$4)-MAX($E19,DT$3)+1)/DT$5)</f>
        <v>0</v>
      </c>
      <c r="DU19" s="52" t="n">
        <f aca="false">MAX(0,(MIN($F19,DU$4)-MAX($E19,DU$3)+1)/DU$5)</f>
        <v>0</v>
      </c>
      <c r="DV19" s="52" t="n">
        <f aca="false">MAX(0,(MIN($F19,DV$4)-MAX($E19,DV$3)+1)/DV$5)</f>
        <v>0</v>
      </c>
      <c r="DW19" s="52" t="n">
        <f aca="false">MAX(0,(MIN($F19,DW$4)-MAX($E19,DW$3)+1)/DW$5)</f>
        <v>0</v>
      </c>
      <c r="DX19" s="52" t="n">
        <f aca="false">MAX(0,(MIN($F19,DX$4)-MAX($E19,DX$3)+1)/DX$5)</f>
        <v>0</v>
      </c>
      <c r="DY19" s="52" t="n">
        <f aca="false">MAX(0,(MIN($F19,DY$4)-MAX($E19,DY$3)+1)/DY$5)</f>
        <v>0</v>
      </c>
      <c r="DZ19" s="52" t="n">
        <f aca="false">MAX(0,(MIN($F19,DZ$4)-MAX($E19,DZ$3)+1)/DZ$5)</f>
        <v>0</v>
      </c>
      <c r="EA19" s="52" t="n">
        <f aca="false">MAX(0,(MIN($F19,EA$4)-MAX($E19,EA$3)+1)/EA$5)</f>
        <v>0</v>
      </c>
      <c r="EB19" s="52" t="n">
        <f aca="false">MAX(0,(MIN($F19,EB$4)-MAX($E19,EB$3)+1)/EB$5)</f>
        <v>0</v>
      </c>
      <c r="EC19" s="52" t="n">
        <f aca="false">MAX(0,(MIN($F19,EC$4)-MAX($E19,EC$3)+1)/EC$5)</f>
        <v>0</v>
      </c>
      <c r="ED19" s="52" t="n">
        <f aca="false">MAX(0,(MIN($F19,ED$4)-MAX($E19,ED$3)+1)/ED$5)</f>
        <v>0</v>
      </c>
      <c r="EE19" s="52" t="n">
        <f aca="false">MAX(0,(MIN($F19,EE$4)-MAX($E19,EE$3)+1)/EE$5)</f>
        <v>0</v>
      </c>
      <c r="EF19" s="52" t="n">
        <f aca="false">MAX(0,(MIN($F19,EF$4)-MAX($E19,EF$3)+1)/EF$5)</f>
        <v>0</v>
      </c>
      <c r="EG19" s="52" t="n">
        <f aca="false">MAX(0,(MIN($F19,EG$4)-MAX($E19,EG$3)+1)/EG$5)</f>
        <v>0</v>
      </c>
      <c r="EH19" s="52" t="n">
        <f aca="false">MAX(0,(MIN($F19,EH$4)-MAX($E19,EH$3)+1)/EH$5)</f>
        <v>0</v>
      </c>
      <c r="EI19" s="52" t="n">
        <f aca="false">MAX(0,(MIN($F19,EI$4)-MAX($E19,EI$3)+1)/EI$5)</f>
        <v>0</v>
      </c>
      <c r="EJ19" s="52" t="n">
        <f aca="false">MAX(0,(MIN($F19,EJ$4)-MAX($E19,EJ$3)+1)/EJ$5)</f>
        <v>0</v>
      </c>
      <c r="EK19" s="52" t="n">
        <f aca="false">MAX(0,(MIN($F19,EK$4)-MAX($E19,EK$3)+1)/EK$5)</f>
        <v>0</v>
      </c>
      <c r="EL19" s="52" t="n">
        <f aca="false">MAX(0,(MIN($F19,EL$4)-MAX($E19,EL$3)+1)/EL$5)</f>
        <v>0</v>
      </c>
      <c r="EM19" s="52" t="n">
        <f aca="false">MAX(0,(MIN($F19,EM$4)-MAX($E19,EM$3)+1)/EM$5)</f>
        <v>0</v>
      </c>
      <c r="EN19" s="52" t="n">
        <f aca="false">MAX(0,(MIN($F19,EN$4)-MAX($E19,EN$3)+1)/EN$5)</f>
        <v>0</v>
      </c>
      <c r="EO19" s="52" t="n">
        <f aca="false">MAX(0,(MIN($F19,EO$4)-MAX($E19,EO$3)+1)/EO$5)</f>
        <v>0</v>
      </c>
      <c r="EP19" s="52" t="n">
        <f aca="false">MAX(0,(MIN($F19,EP$4)-MAX($E19,EP$3)+1)/EP$5)</f>
        <v>0</v>
      </c>
      <c r="EQ19" s="52" t="n">
        <f aca="false">MAX(0,(MIN($F19,EQ$4)-MAX($E19,EQ$3)+1)/EQ$5)</f>
        <v>0</v>
      </c>
      <c r="ER19" s="52" t="n">
        <f aca="false">MAX(0,(MIN($F19,ER$4)-MAX($E19,ER$3)+1)/ER$5)</f>
        <v>0</v>
      </c>
      <c r="ES19" s="52" t="n">
        <f aca="false">MAX(0,(MIN($F19,ES$4)-MAX($E19,ES$3)+1)/ES$5)</f>
        <v>0</v>
      </c>
      <c r="ET19" s="52" t="n">
        <f aca="false">MAX(0,(MIN($F19,ET$4)-MAX($E19,ET$3)+1)/ET$5)</f>
        <v>0</v>
      </c>
    </row>
    <row r="20" customFormat="false" ht="15" hidden="false" customHeight="false" outlineLevel="0" collapsed="false">
      <c r="C20" s="0" t="s">
        <v>493</v>
      </c>
      <c r="D20" s="11" t="s">
        <v>41</v>
      </c>
      <c r="J20" s="46" t="n">
        <f aca="false">N(MONTH(J$4)=Months_In_Year)</f>
        <v>0</v>
      </c>
      <c r="K20" s="46" t="n">
        <f aca="false">N(MONTH(K$4)=Months_In_Year)</f>
        <v>1</v>
      </c>
      <c r="L20" s="46" t="n">
        <f aca="false">N(MONTH(L$4)=Months_In_Year)</f>
        <v>0</v>
      </c>
      <c r="M20" s="46" t="n">
        <f aca="false">N(MONTH(M$4)=Months_In_Year)</f>
        <v>0</v>
      </c>
      <c r="N20" s="46" t="n">
        <f aca="false">N(MONTH(N$4)=Months_In_Year)</f>
        <v>0</v>
      </c>
      <c r="O20" s="46" t="n">
        <f aca="false">N(MONTH(O$4)=Months_In_Year)</f>
        <v>1</v>
      </c>
      <c r="P20" s="46" t="n">
        <f aca="false">N(MONTH(P$4)=Months_In_Year)</f>
        <v>0</v>
      </c>
      <c r="Q20" s="46" t="n">
        <f aca="false">N(MONTH(Q$4)=Months_In_Year)</f>
        <v>0</v>
      </c>
      <c r="R20" s="46" t="n">
        <f aca="false">N(MONTH(R$4)=Months_In_Year)</f>
        <v>0</v>
      </c>
      <c r="S20" s="46" t="n">
        <f aca="false">N(MONTH(S$4)=Months_In_Year)</f>
        <v>1</v>
      </c>
      <c r="T20" s="46" t="n">
        <f aca="false">N(MONTH(T$4)=Months_In_Year)</f>
        <v>0</v>
      </c>
      <c r="U20" s="46" t="n">
        <f aca="false">N(MONTH(U$4)=Months_In_Year)</f>
        <v>0</v>
      </c>
      <c r="V20" s="46" t="n">
        <f aca="false">N(MONTH(V$4)=Months_In_Year)</f>
        <v>0</v>
      </c>
      <c r="W20" s="46" t="n">
        <f aca="false">N(MONTH(W$4)=Months_In_Year)</f>
        <v>1</v>
      </c>
      <c r="X20" s="46" t="n">
        <f aca="false">N(MONTH(X$4)=Months_In_Year)</f>
        <v>0</v>
      </c>
      <c r="Y20" s="46" t="n">
        <f aca="false">N(MONTH(Y$4)=Months_In_Year)</f>
        <v>0</v>
      </c>
      <c r="Z20" s="46" t="n">
        <f aca="false">N(MONTH(Z$4)=Months_In_Year)</f>
        <v>0</v>
      </c>
      <c r="AA20" s="46" t="n">
        <f aca="false">N(MONTH(AA$4)=Months_In_Year)</f>
        <v>1</v>
      </c>
      <c r="AB20" s="46" t="n">
        <f aca="false">N(MONTH(AB$4)=Months_In_Year)</f>
        <v>0</v>
      </c>
      <c r="AC20" s="46" t="n">
        <f aca="false">N(MONTH(AC$4)=Months_In_Year)</f>
        <v>0</v>
      </c>
      <c r="AD20" s="46" t="n">
        <f aca="false">N(MONTH(AD$4)=Months_In_Year)</f>
        <v>0</v>
      </c>
      <c r="AE20" s="46" t="n">
        <f aca="false">N(MONTH(AE$4)=Months_In_Year)</f>
        <v>1</v>
      </c>
      <c r="AF20" s="46" t="n">
        <f aca="false">N(MONTH(AF$4)=Months_In_Year)</f>
        <v>0</v>
      </c>
      <c r="AG20" s="46" t="n">
        <f aca="false">N(MONTH(AG$4)=Months_In_Year)</f>
        <v>0</v>
      </c>
      <c r="AH20" s="46" t="n">
        <f aca="false">N(MONTH(AH$4)=Months_In_Year)</f>
        <v>0</v>
      </c>
      <c r="AI20" s="46" t="n">
        <f aca="false">N(MONTH(AI$4)=Months_In_Year)</f>
        <v>1</v>
      </c>
      <c r="AJ20" s="46" t="n">
        <f aca="false">N(MONTH(AJ$4)=Months_In_Year)</f>
        <v>0</v>
      </c>
      <c r="AK20" s="46" t="n">
        <f aca="false">N(MONTH(AK$4)=Months_In_Year)</f>
        <v>0</v>
      </c>
      <c r="AL20" s="46" t="n">
        <f aca="false">N(MONTH(AL$4)=Months_In_Year)</f>
        <v>0</v>
      </c>
      <c r="AM20" s="46" t="n">
        <f aca="false">N(MONTH(AM$4)=Months_In_Year)</f>
        <v>1</v>
      </c>
      <c r="AN20" s="46" t="n">
        <f aca="false">N(MONTH(AN$4)=Months_In_Year)</f>
        <v>0</v>
      </c>
      <c r="AO20" s="46" t="n">
        <f aca="false">N(MONTH(AO$4)=Months_In_Year)</f>
        <v>0</v>
      </c>
      <c r="AP20" s="46" t="n">
        <f aca="false">N(MONTH(AP$4)=Months_In_Year)</f>
        <v>0</v>
      </c>
      <c r="AQ20" s="46" t="n">
        <f aca="false">N(MONTH(AQ$4)=Months_In_Year)</f>
        <v>1</v>
      </c>
      <c r="AR20" s="46" t="n">
        <f aca="false">N(MONTH(AR$4)=Months_In_Year)</f>
        <v>0</v>
      </c>
      <c r="AS20" s="46" t="n">
        <f aca="false">N(MONTH(AS$4)=Months_In_Year)</f>
        <v>0</v>
      </c>
      <c r="AT20" s="46" t="n">
        <f aca="false">N(MONTH(AT$4)=Months_In_Year)</f>
        <v>0</v>
      </c>
      <c r="AU20" s="46" t="n">
        <f aca="false">N(MONTH(AU$4)=Months_In_Year)</f>
        <v>1</v>
      </c>
      <c r="AV20" s="46" t="n">
        <f aca="false">N(MONTH(AV$4)=Months_In_Year)</f>
        <v>0</v>
      </c>
      <c r="AW20" s="46" t="n">
        <f aca="false">N(MONTH(AW$4)=Months_In_Year)</f>
        <v>0</v>
      </c>
      <c r="AX20" s="46" t="n">
        <f aca="false">N(MONTH(AX$4)=Months_In_Year)</f>
        <v>0</v>
      </c>
      <c r="AY20" s="46" t="n">
        <f aca="false">N(MONTH(AY$4)=Months_In_Year)</f>
        <v>1</v>
      </c>
      <c r="AZ20" s="46" t="n">
        <f aca="false">N(MONTH(AZ$4)=Months_In_Year)</f>
        <v>0</v>
      </c>
      <c r="BA20" s="46" t="n">
        <f aca="false">N(MONTH(BA$4)=Months_In_Year)</f>
        <v>0</v>
      </c>
      <c r="BB20" s="46" t="n">
        <f aca="false">N(MONTH(BB$4)=Months_In_Year)</f>
        <v>0</v>
      </c>
      <c r="BC20" s="46" t="n">
        <f aca="false">N(MONTH(BC$4)=Months_In_Year)</f>
        <v>1</v>
      </c>
      <c r="BD20" s="46" t="n">
        <f aca="false">N(MONTH(BD$4)=Months_In_Year)</f>
        <v>0</v>
      </c>
      <c r="BE20" s="46" t="n">
        <f aca="false">N(MONTH(BE$4)=Months_In_Year)</f>
        <v>0</v>
      </c>
      <c r="BF20" s="46" t="n">
        <f aca="false">N(MONTH(BF$4)=Months_In_Year)</f>
        <v>0</v>
      </c>
      <c r="BG20" s="46" t="n">
        <f aca="false">N(MONTH(BG$4)=Months_In_Year)</f>
        <v>1</v>
      </c>
      <c r="BH20" s="46" t="n">
        <f aca="false">N(MONTH(BH$4)=Months_In_Year)</f>
        <v>0</v>
      </c>
      <c r="BI20" s="46" t="n">
        <f aca="false">N(MONTH(BI$4)=Months_In_Year)</f>
        <v>0</v>
      </c>
      <c r="BJ20" s="46" t="n">
        <f aca="false">N(MONTH(BJ$4)=Months_In_Year)</f>
        <v>0</v>
      </c>
      <c r="BK20" s="46" t="n">
        <f aca="false">N(MONTH(BK$4)=Months_In_Year)</f>
        <v>1</v>
      </c>
      <c r="BL20" s="46" t="n">
        <f aca="false">N(MONTH(BL$4)=Months_In_Year)</f>
        <v>0</v>
      </c>
      <c r="BM20" s="46" t="n">
        <f aca="false">N(MONTH(BM$4)=Months_In_Year)</f>
        <v>0</v>
      </c>
      <c r="BN20" s="46" t="n">
        <f aca="false">N(MONTH(BN$4)=Months_In_Year)</f>
        <v>0</v>
      </c>
      <c r="BO20" s="46" t="n">
        <f aca="false">N(MONTH(BO$4)=Months_In_Year)</f>
        <v>1</v>
      </c>
      <c r="BP20" s="46" t="n">
        <f aca="false">N(MONTH(BP$4)=Months_In_Year)</f>
        <v>0</v>
      </c>
      <c r="BQ20" s="46" t="n">
        <f aca="false">N(MONTH(BQ$4)=Months_In_Year)</f>
        <v>0</v>
      </c>
      <c r="BR20" s="46" t="n">
        <f aca="false">N(MONTH(BR$4)=Months_In_Year)</f>
        <v>0</v>
      </c>
      <c r="BS20" s="46" t="n">
        <f aca="false">N(MONTH(BS$4)=Months_In_Year)</f>
        <v>1</v>
      </c>
      <c r="BT20" s="46" t="n">
        <f aca="false">N(MONTH(BT$4)=Months_In_Year)</f>
        <v>0</v>
      </c>
      <c r="BU20" s="46" t="n">
        <f aca="false">N(MONTH(BU$4)=Months_In_Year)</f>
        <v>0</v>
      </c>
      <c r="BV20" s="46" t="n">
        <f aca="false">N(MONTH(BV$4)=Months_In_Year)</f>
        <v>0</v>
      </c>
      <c r="BW20" s="46" t="n">
        <f aca="false">N(MONTH(BW$4)=Months_In_Year)</f>
        <v>1</v>
      </c>
      <c r="BX20" s="46" t="n">
        <f aca="false">N(MONTH(BX$4)=Months_In_Year)</f>
        <v>0</v>
      </c>
      <c r="BY20" s="46" t="n">
        <f aca="false">N(MONTH(BY$4)=Months_In_Year)</f>
        <v>0</v>
      </c>
      <c r="BZ20" s="46" t="n">
        <f aca="false">N(MONTH(BZ$4)=Months_In_Year)</f>
        <v>0</v>
      </c>
      <c r="CA20" s="46" t="n">
        <f aca="false">N(MONTH(CA$4)=Months_In_Year)</f>
        <v>1</v>
      </c>
      <c r="CB20" s="46" t="n">
        <f aca="false">N(MONTH(CB$4)=Months_In_Year)</f>
        <v>0</v>
      </c>
      <c r="CC20" s="46" t="n">
        <f aca="false">N(MONTH(CC$4)=Months_In_Year)</f>
        <v>0</v>
      </c>
      <c r="CD20" s="46" t="n">
        <f aca="false">N(MONTH(CD$4)=Months_In_Year)</f>
        <v>0</v>
      </c>
      <c r="CE20" s="46" t="n">
        <f aca="false">N(MONTH(CE$4)=Months_In_Year)</f>
        <v>1</v>
      </c>
      <c r="CF20" s="46" t="n">
        <f aca="false">N(MONTH(CF$4)=Months_In_Year)</f>
        <v>0</v>
      </c>
      <c r="CG20" s="46" t="n">
        <f aca="false">N(MONTH(CG$4)=Months_In_Year)</f>
        <v>0</v>
      </c>
      <c r="CH20" s="46" t="n">
        <f aca="false">N(MONTH(CH$4)=Months_In_Year)</f>
        <v>0</v>
      </c>
      <c r="CI20" s="46" t="n">
        <f aca="false">N(MONTH(CI$4)=Months_In_Year)</f>
        <v>1</v>
      </c>
      <c r="CJ20" s="46" t="n">
        <f aca="false">N(MONTH(CJ$4)=Months_In_Year)</f>
        <v>0</v>
      </c>
      <c r="CK20" s="46" t="n">
        <f aca="false">N(MONTH(CK$4)=Months_In_Year)</f>
        <v>0</v>
      </c>
      <c r="CL20" s="46" t="n">
        <f aca="false">N(MONTH(CL$4)=Months_In_Year)</f>
        <v>0</v>
      </c>
      <c r="CM20" s="46" t="n">
        <f aca="false">N(MONTH(CM$4)=Months_In_Year)</f>
        <v>1</v>
      </c>
      <c r="CN20" s="46" t="n">
        <f aca="false">N(MONTH(CN$4)=Months_In_Year)</f>
        <v>0</v>
      </c>
      <c r="CO20" s="46" t="n">
        <f aca="false">N(MONTH(CO$4)=Months_In_Year)</f>
        <v>0</v>
      </c>
      <c r="CP20" s="46" t="n">
        <f aca="false">N(MONTH(CP$4)=Months_In_Year)</f>
        <v>0</v>
      </c>
      <c r="CQ20" s="46" t="n">
        <f aca="false">N(MONTH(CQ$4)=Months_In_Year)</f>
        <v>1</v>
      </c>
      <c r="CR20" s="46" t="n">
        <f aca="false">N(MONTH(CR$4)=Months_In_Year)</f>
        <v>0</v>
      </c>
      <c r="CS20" s="46" t="n">
        <f aca="false">N(MONTH(CS$4)=Months_In_Year)</f>
        <v>0</v>
      </c>
      <c r="CT20" s="46" t="n">
        <f aca="false">N(MONTH(CT$4)=Months_In_Year)</f>
        <v>0</v>
      </c>
      <c r="CU20" s="46" t="n">
        <f aca="false">N(MONTH(CU$4)=Months_In_Year)</f>
        <v>1</v>
      </c>
      <c r="CV20" s="46" t="n">
        <f aca="false">N(MONTH(CV$4)=Months_In_Year)</f>
        <v>0</v>
      </c>
      <c r="CW20" s="46" t="n">
        <f aca="false">N(MONTH(CW$4)=Months_In_Year)</f>
        <v>0</v>
      </c>
      <c r="CX20" s="46" t="n">
        <f aca="false">N(MONTH(CX$4)=Months_In_Year)</f>
        <v>0</v>
      </c>
      <c r="CY20" s="46" t="n">
        <f aca="false">N(MONTH(CY$4)=Months_In_Year)</f>
        <v>1</v>
      </c>
      <c r="CZ20" s="46" t="n">
        <f aca="false">N(MONTH(CZ$4)=Months_In_Year)</f>
        <v>0</v>
      </c>
      <c r="DA20" s="46" t="n">
        <f aca="false">N(MONTH(DA$4)=Months_In_Year)</f>
        <v>0</v>
      </c>
      <c r="DB20" s="46" t="n">
        <f aca="false">N(MONTH(DB$4)=Months_In_Year)</f>
        <v>0</v>
      </c>
      <c r="DC20" s="46" t="n">
        <f aca="false">N(MONTH(DC$4)=Months_In_Year)</f>
        <v>1</v>
      </c>
      <c r="DD20" s="46" t="n">
        <f aca="false">N(MONTH(DD$4)=Months_In_Year)</f>
        <v>0</v>
      </c>
      <c r="DE20" s="46" t="n">
        <f aca="false">N(MONTH(DE$4)=Months_In_Year)</f>
        <v>0</v>
      </c>
      <c r="DF20" s="46" t="n">
        <f aca="false">N(MONTH(DF$4)=Months_In_Year)</f>
        <v>0</v>
      </c>
      <c r="DG20" s="46" t="n">
        <f aca="false">N(MONTH(DG$4)=Months_In_Year)</f>
        <v>1</v>
      </c>
      <c r="DH20" s="46" t="n">
        <f aca="false">N(MONTH(DH$4)=Months_In_Year)</f>
        <v>0</v>
      </c>
      <c r="DI20" s="46" t="n">
        <f aca="false">N(MONTH(DI$4)=Months_In_Year)</f>
        <v>0</v>
      </c>
      <c r="DJ20" s="46" t="n">
        <f aca="false">N(MONTH(DJ$4)=Months_In_Year)</f>
        <v>0</v>
      </c>
      <c r="DK20" s="46" t="n">
        <f aca="false">N(MONTH(DK$4)=Months_In_Year)</f>
        <v>1</v>
      </c>
      <c r="DL20" s="46" t="n">
        <f aca="false">N(MONTH(DL$4)=Months_In_Year)</f>
        <v>0</v>
      </c>
      <c r="DM20" s="46" t="n">
        <f aca="false">N(MONTH(DM$4)=Months_In_Year)</f>
        <v>0</v>
      </c>
      <c r="DN20" s="46" t="n">
        <f aca="false">N(MONTH(DN$4)=Months_In_Year)</f>
        <v>0</v>
      </c>
      <c r="DO20" s="46" t="n">
        <f aca="false">N(MONTH(DO$4)=Months_In_Year)</f>
        <v>1</v>
      </c>
      <c r="DP20" s="46" t="n">
        <f aca="false">N(MONTH(DP$4)=Months_In_Year)</f>
        <v>0</v>
      </c>
      <c r="DQ20" s="46" t="n">
        <f aca="false">N(MONTH(DQ$4)=Months_In_Year)</f>
        <v>0</v>
      </c>
      <c r="DR20" s="46" t="n">
        <f aca="false">N(MONTH(DR$4)=Months_In_Year)</f>
        <v>0</v>
      </c>
      <c r="DS20" s="46" t="n">
        <f aca="false">N(MONTH(DS$4)=Months_In_Year)</f>
        <v>1</v>
      </c>
      <c r="DT20" s="46" t="n">
        <f aca="false">N(MONTH(DT$4)=Months_In_Year)</f>
        <v>0</v>
      </c>
      <c r="DU20" s="46" t="n">
        <f aca="false">N(MONTH(DU$4)=Months_In_Year)</f>
        <v>0</v>
      </c>
      <c r="DV20" s="46" t="n">
        <f aca="false">N(MONTH(DV$4)=Months_In_Year)</f>
        <v>0</v>
      </c>
      <c r="DW20" s="46" t="n">
        <f aca="false">N(MONTH(DW$4)=Months_In_Year)</f>
        <v>1</v>
      </c>
      <c r="DX20" s="46" t="n">
        <f aca="false">N(MONTH(DX$4)=Months_In_Year)</f>
        <v>0</v>
      </c>
      <c r="DY20" s="46" t="n">
        <f aca="false">N(MONTH(DY$4)=Months_In_Year)</f>
        <v>0</v>
      </c>
      <c r="DZ20" s="46" t="n">
        <f aca="false">N(MONTH(DZ$4)=Months_In_Year)</f>
        <v>0</v>
      </c>
      <c r="EA20" s="46" t="n">
        <f aca="false">N(MONTH(EA$4)=Months_In_Year)</f>
        <v>1</v>
      </c>
      <c r="EB20" s="46" t="n">
        <f aca="false">N(MONTH(EB$4)=Months_In_Year)</f>
        <v>0</v>
      </c>
      <c r="EC20" s="46" t="n">
        <f aca="false">N(MONTH(EC$4)=Months_In_Year)</f>
        <v>0</v>
      </c>
      <c r="ED20" s="46" t="n">
        <f aca="false">N(MONTH(ED$4)=Months_In_Year)</f>
        <v>0</v>
      </c>
      <c r="EE20" s="46" t="n">
        <f aca="false">N(MONTH(EE$4)=Months_In_Year)</f>
        <v>1</v>
      </c>
      <c r="EF20" s="46" t="n">
        <f aca="false">N(MONTH(EF$4)=Months_In_Year)</f>
        <v>0</v>
      </c>
      <c r="EG20" s="46" t="n">
        <f aca="false">N(MONTH(EG$4)=Months_In_Year)</f>
        <v>0</v>
      </c>
      <c r="EH20" s="46" t="n">
        <f aca="false">N(MONTH(EH$4)=Months_In_Year)</f>
        <v>0</v>
      </c>
      <c r="EI20" s="46" t="n">
        <f aca="false">N(MONTH(EI$4)=Months_In_Year)</f>
        <v>1</v>
      </c>
      <c r="EJ20" s="46" t="n">
        <f aca="false">N(MONTH(EJ$4)=Months_In_Year)</f>
        <v>0</v>
      </c>
      <c r="EK20" s="46" t="n">
        <f aca="false">N(MONTH(EK$4)=Months_In_Year)</f>
        <v>0</v>
      </c>
      <c r="EL20" s="46" t="n">
        <f aca="false">N(MONTH(EL$4)=Months_In_Year)</f>
        <v>0</v>
      </c>
      <c r="EM20" s="46" t="n">
        <f aca="false">N(MONTH(EM$4)=Months_In_Year)</f>
        <v>1</v>
      </c>
      <c r="EN20" s="46" t="n">
        <f aca="false">N(MONTH(EN$4)=Months_In_Year)</f>
        <v>0</v>
      </c>
      <c r="EO20" s="46" t="n">
        <f aca="false">N(MONTH(EO$4)=Months_In_Year)</f>
        <v>0</v>
      </c>
      <c r="EP20" s="46" t="n">
        <f aca="false">N(MONTH(EP$4)=Months_In_Year)</f>
        <v>0</v>
      </c>
      <c r="EQ20" s="46" t="n">
        <f aca="false">N(MONTH(EQ$4)=Months_In_Year)</f>
        <v>1</v>
      </c>
      <c r="ER20" s="46" t="n">
        <f aca="false">N(MONTH(ER$4)=Months_In_Year)</f>
        <v>0</v>
      </c>
      <c r="ES20" s="46" t="n">
        <f aca="false">N(MONTH(ES$4)=Months_In_Year)</f>
        <v>0</v>
      </c>
      <c r="ET20" s="46" t="n">
        <f aca="false">N(MONTH(ET$4)=Months_In_Year)</f>
        <v>0</v>
      </c>
    </row>
    <row r="21" customFormat="false" ht="15" hidden="false" customHeight="false" outlineLevel="0" collapsed="false">
      <c r="C21" s="0" t="s">
        <v>494</v>
      </c>
      <c r="D21" s="11" t="s">
        <v>482</v>
      </c>
      <c r="J21" s="52" t="n">
        <f aca="false">1/(1+In_Buyer_Rate)^(MAX(0,J$4-In_COD)/Days_In_Year)</f>
        <v>1</v>
      </c>
      <c r="K21" s="52" t="n">
        <f aca="false">1/(1+In_Buyer_Rate)^(MAX(0,K$4-In_COD)/Days_In_Year)</f>
        <v>1</v>
      </c>
      <c r="L21" s="52" t="n">
        <f aca="false">1/(1+In_Buyer_Rate)^(MAX(0,L$4-In_COD)/Days_In_Year)</f>
        <v>1</v>
      </c>
      <c r="M21" s="52" t="n">
        <f aca="false">1/(1+In_Buyer_Rate)^(MAX(0,M$4-In_COD)/Days_In_Year)</f>
        <v>1</v>
      </c>
      <c r="N21" s="52" t="n">
        <f aca="false">1/(1+In_Buyer_Rate)^(MAX(0,N$4-In_COD)/Days_In_Year)</f>
        <v>1</v>
      </c>
      <c r="O21" s="52" t="n">
        <f aca="false">1/(1+In_Buyer_Rate)^(MAX(0,O$4-In_COD)/Days_In_Year)</f>
        <v>1</v>
      </c>
      <c r="P21" s="52" t="n">
        <f aca="false">1/(1+In_Buyer_Rate)^(MAX(0,P$4-In_COD)/Days_In_Year)</f>
        <v>1</v>
      </c>
      <c r="Q21" s="52" t="n">
        <f aca="false">1/(1+In_Buyer_Rate)^(MAX(0,Q$4-In_COD)/Days_In_Year)</f>
        <v>1</v>
      </c>
      <c r="R21" s="52" t="n">
        <f aca="false">1/(1+In_Buyer_Rate)^(MAX(0,R$4-In_COD)/Days_In_Year)</f>
        <v>1</v>
      </c>
      <c r="S21" s="52" t="n">
        <f aca="false">1/(1+In_Buyer_Rate)^(MAX(0,S$4-In_COD)/Days_In_Year)</f>
        <v>1</v>
      </c>
      <c r="T21" s="52" t="n">
        <f aca="false">1/(1+In_Buyer_Rate)^(MAX(0,T$4-In_COD)/Days_In_Year)</f>
        <v>1</v>
      </c>
      <c r="U21" s="52" t="n">
        <f aca="false">1/(1+In_Buyer_Rate)^(MAX(0,U$4-In_COD)/Days_In_Year)</f>
        <v>1</v>
      </c>
      <c r="V21" s="52" t="n">
        <f aca="false">1/(1+In_Buyer_Rate)^(MAX(0,V$4-In_COD)/Days_In_Year)</f>
        <v>1</v>
      </c>
      <c r="W21" s="52" t="n">
        <f aca="false">1/(1+In_Buyer_Rate)^(MAX(0,W$4-In_COD)/Days_In_Year)</f>
        <v>1</v>
      </c>
      <c r="X21" s="52" t="n">
        <f aca="false">1/(1+In_Buyer_Rate)^(MAX(0,X$4-In_COD)/Days_In_Year)</f>
        <v>1</v>
      </c>
      <c r="Y21" s="52" t="n">
        <f aca="false">1/(1+In_Buyer_Rate)^(MAX(0,Y$4-In_COD)/Days_In_Year)</f>
        <v>1</v>
      </c>
      <c r="Z21" s="52" t="n">
        <f aca="false">1/(1+In_Buyer_Rate)^(MAX(0,Z$4-In_COD)/Days_In_Year)</f>
        <v>1</v>
      </c>
      <c r="AA21" s="52" t="n">
        <f aca="false">1/(1+In_Buyer_Rate)^(MAX(0,AA$4-In_COD)/Days_In_Year)</f>
        <v>1</v>
      </c>
      <c r="AB21" s="52" t="n">
        <f aca="false">1/(1+In_Buyer_Rate)^(MAX(0,AB$4-In_COD)/Days_In_Year)</f>
        <v>1</v>
      </c>
      <c r="AC21" s="52" t="n">
        <f aca="false">1/(1+In_Buyer_Rate)^(MAX(0,AC$4-In_COD)/Days_In_Year)</f>
        <v>1</v>
      </c>
      <c r="AD21" s="52" t="n">
        <f aca="false">1/(1+In_Buyer_Rate)^(MAX(0,AD$4-In_COD)/Days_In_Year)</f>
        <v>1</v>
      </c>
      <c r="AE21" s="52" t="n">
        <f aca="false">1/(1+In_Buyer_Rate)^(MAX(0,AE$4-In_COD)/Days_In_Year)</f>
        <v>0.980788538821203</v>
      </c>
      <c r="AF21" s="52" t="n">
        <f aca="false">1/(1+In_Buyer_Rate)^(MAX(0,AF$4-In_COD)/Days_In_Year)</f>
        <v>0.962149007700345</v>
      </c>
      <c r="AG21" s="52" t="n">
        <f aca="false">1/(1+In_Buyer_Rate)^(MAX(0,AG$4-In_COD)/Days_In_Year)</f>
        <v>0.943863714120663</v>
      </c>
      <c r="AH21" s="52" t="n">
        <f aca="false">1/(1+In_Buyer_Rate)^(MAX(0,AH$4-In_COD)/Days_In_Year)</f>
        <v>0.925730713018759</v>
      </c>
      <c r="AI21" s="52" t="n">
        <f aca="false">1/(1+In_Buyer_Rate)^(MAX(0,AI$4-In_COD)/Days_In_Year)</f>
        <v>0.907946073363579</v>
      </c>
      <c r="AJ21" s="52" t="n">
        <f aca="false">1/(1+In_Buyer_Rate)^(MAX(0,AJ$4-In_COD)/Days_In_Year)</f>
        <v>0.890878710833653</v>
      </c>
      <c r="AK21" s="52" t="n">
        <f aca="false">1/(1+In_Buyer_Rate)^(MAX(0,AK$4-In_COD)/Days_In_Year)</f>
        <v>0.873947883445058</v>
      </c>
      <c r="AL21" s="52" t="n">
        <f aca="false">1/(1+In_Buyer_Rate)^(MAX(0,AL$4-In_COD)/Days_In_Year)</f>
        <v>0.857158067609962</v>
      </c>
      <c r="AM21" s="52" t="n">
        <f aca="false">1/(1+In_Buyer_Rate)^(MAX(0,AM$4-In_COD)/Days_In_Year)</f>
        <v>0.840690808669981</v>
      </c>
      <c r="AN21" s="52" t="n">
        <f aca="false">1/(1+In_Buyer_Rate)^(MAX(0,AN$4-In_COD)/Days_In_Year)</f>
        <v>0.824887695216345</v>
      </c>
      <c r="AO21" s="52" t="n">
        <f aca="false">1/(1+In_Buyer_Rate)^(MAX(0,AO$4-In_COD)/Days_In_Year)</f>
        <v>0.809211003189869</v>
      </c>
      <c r="AP21" s="52" t="n">
        <f aca="false">1/(1+In_Buyer_Rate)^(MAX(0,AP$4-In_COD)/Days_In_Year)</f>
        <v>0.793664877416631</v>
      </c>
      <c r="AQ21" s="52" t="n">
        <f aca="false">1/(1+In_Buyer_Rate)^(MAX(0,AQ$4-In_COD)/Days_In_Year)</f>
        <v>0.778417415435167</v>
      </c>
      <c r="AR21" s="52" t="n">
        <f aca="false">1/(1+In_Buyer_Rate)^(MAX(0,AR$4-In_COD)/Days_In_Year)</f>
        <v>0.763784902978097</v>
      </c>
      <c r="AS21" s="52" t="n">
        <f aca="false">1/(1+In_Buyer_Rate)^(MAX(0,AS$4-In_COD)/Days_In_Year)</f>
        <v>0.749269447398027</v>
      </c>
      <c r="AT21" s="52" t="n">
        <f aca="false">1/(1+In_Buyer_Rate)^(MAX(0,AT$4-In_COD)/Days_In_Year)</f>
        <v>0.734874886496881</v>
      </c>
      <c r="AU21" s="52" t="n">
        <f aca="false">1/(1+In_Buyer_Rate)^(MAX(0,AU$4-In_COD)/Days_In_Year)</f>
        <v>0.720756866143673</v>
      </c>
      <c r="AV21" s="52" t="n">
        <f aca="false">1/(1+In_Buyer_Rate)^(MAX(0,AV$4-In_COD)/Days_In_Year)</f>
        <v>0.707059142826878</v>
      </c>
      <c r="AW21" s="52" t="n">
        <f aca="false">1/(1+In_Buyer_Rate)^(MAX(0,AW$4-In_COD)/Days_In_Year)</f>
        <v>0.693621739782947</v>
      </c>
      <c r="AX21" s="52" t="n">
        <f aca="false">1/(1+In_Buyer_Rate)^(MAX(0,AX$4-In_COD)/Days_In_Year)</f>
        <v>0.680296252656337</v>
      </c>
      <c r="AY21" s="52" t="n">
        <f aca="false">1/(1+In_Buyer_Rate)^(MAX(0,AY$4-In_COD)/Days_In_Year)</f>
        <v>0.667226767608349</v>
      </c>
      <c r="AZ21" s="52" t="n">
        <f aca="false">1/(1+In_Buyer_Rate)^(MAX(0,AZ$4-In_COD)/Days_In_Year)</f>
        <v>0.654684391506368</v>
      </c>
      <c r="BA21" s="52" t="n">
        <f aca="false">1/(1+In_Buyer_Rate)^(MAX(0,BA$4-In_COD)/Days_In_Year)</f>
        <v>0.642242351650877</v>
      </c>
      <c r="BB21" s="52" t="n">
        <f aca="false">1/(1+In_Buyer_Rate)^(MAX(0,BB$4-In_COD)/Days_In_Year)</f>
        <v>0.629903937644757</v>
      </c>
      <c r="BC21" s="52" t="n">
        <f aca="false">1/(1+In_Buyer_Rate)^(MAX(0,BC$4-In_COD)/Days_In_Year)</f>
        <v>0.617802562600323</v>
      </c>
      <c r="BD21" s="52" t="n">
        <f aca="false">1/(1+In_Buyer_Rate)^(MAX(0,BD$4-In_COD)/Days_In_Year)</f>
        <v>0.606189251394785</v>
      </c>
      <c r="BE21" s="52" t="n">
        <f aca="false">1/(1+In_Buyer_Rate)^(MAX(0,BE$4-In_COD)/Days_In_Year)</f>
        <v>0.594668844121182</v>
      </c>
      <c r="BF21" s="52" t="n">
        <f aca="false">1/(1+In_Buyer_Rate)^(MAX(0,BF$4-In_COD)/Days_In_Year)</f>
        <v>0.583244386708108</v>
      </c>
      <c r="BG21" s="52" t="n">
        <f aca="false">1/(1+In_Buyer_Rate)^(MAX(0,BG$4-In_COD)/Days_In_Year)</f>
        <v>0.572039409815114</v>
      </c>
      <c r="BH21" s="52" t="n">
        <f aca="false">1/(1+In_Buyer_Rate)^(MAX(0,BH$4-In_COD)/Days_In_Year)</f>
        <v>0.561286343884061</v>
      </c>
      <c r="BI21" s="52" t="n">
        <f aca="false">1/(1+In_Buyer_Rate)^(MAX(0,BI$4-In_COD)/Days_In_Year)</f>
        <v>0.550619300112206</v>
      </c>
      <c r="BJ21" s="52" t="n">
        <f aca="false">1/(1+In_Buyer_Rate)^(MAX(0,BJ$4-In_COD)/Days_In_Year)</f>
        <v>0.540041098803804</v>
      </c>
      <c r="BK21" s="52" t="n">
        <f aca="false">1/(1+In_Buyer_Rate)^(MAX(0,BK$4-In_COD)/Days_In_Year)</f>
        <v>0.529666120199179</v>
      </c>
      <c r="BL21" s="52" t="n">
        <f aca="false">1/(1+In_Buyer_Rate)^(MAX(0,BL$4-In_COD)/Days_In_Year)</f>
        <v>0.519600007331484</v>
      </c>
      <c r="BM21" s="52" t="n">
        <f aca="false">1/(1+In_Buyer_Rate)^(MAX(0,BM$4-In_COD)/Days_In_Year)</f>
        <v>0.509725197294762</v>
      </c>
      <c r="BN21" s="52" t="n">
        <f aca="false">1/(1+In_Buyer_Rate)^(MAX(0,BN$4-In_COD)/Days_In_Year)</f>
        <v>0.499932631455079</v>
      </c>
      <c r="BO21" s="52" t="n">
        <f aca="false">1/(1+In_Buyer_Rate)^(MAX(0,BO$4-In_COD)/Days_In_Year)</f>
        <v>0.490328195113866</v>
      </c>
      <c r="BP21" s="52" t="n">
        <f aca="false">1/(1+In_Buyer_Rate)^(MAX(0,BP$4-In_COD)/Days_In_Year)</f>
        <v>0.481111117899522</v>
      </c>
      <c r="BQ21" s="52" t="n">
        <f aca="false">1/(1+In_Buyer_Rate)^(MAX(0,BQ$4-In_COD)/Days_In_Year)</f>
        <v>0.471967775272928</v>
      </c>
      <c r="BR21" s="52" t="n">
        <f aca="false">1/(1+In_Buyer_Rate)^(MAX(0,BR$4-In_COD)/Days_In_Year)</f>
        <v>0.462900584680629</v>
      </c>
      <c r="BS21" s="52" t="n">
        <f aca="false">1/(1+In_Buyer_Rate)^(MAX(0,BS$4-In_COD)/Days_In_Year)</f>
        <v>0.454007588068395</v>
      </c>
      <c r="BT21" s="52" t="n">
        <f aca="false">1/(1+In_Buyer_Rate)^(MAX(0,BT$4-In_COD)/Days_In_Year)</f>
        <v>0.445473257314372</v>
      </c>
      <c r="BU21" s="52" t="n">
        <f aca="false">1/(1+In_Buyer_Rate)^(MAX(0,BU$4-In_COD)/Days_In_Year)</f>
        <v>0.437007199326785</v>
      </c>
      <c r="BV21" s="52" t="n">
        <f aca="false">1/(1+In_Buyer_Rate)^(MAX(0,BV$4-In_COD)/Days_In_Year)</f>
        <v>0.428611652482064</v>
      </c>
      <c r="BW21" s="52" t="n">
        <f aca="false">1/(1+In_Buyer_Rate)^(MAX(0,BW$4-In_COD)/Days_In_Year)</f>
        <v>0.420377396359624</v>
      </c>
      <c r="BX21" s="52" t="n">
        <f aca="false">1/(1+In_Buyer_Rate)^(MAX(0,BX$4-In_COD)/Days_In_Year)</f>
        <v>0.412475238254048</v>
      </c>
      <c r="BY21" s="52" t="n">
        <f aca="false">1/(1+In_Buyer_Rate)^(MAX(0,BY$4-In_COD)/Days_In_Year)</f>
        <v>0.404636295672949</v>
      </c>
      <c r="BZ21" s="52" t="n">
        <f aca="false">1/(1+In_Buyer_Rate)^(MAX(0,BZ$4-In_COD)/Days_In_Year)</f>
        <v>0.396862641187096</v>
      </c>
      <c r="CA21" s="52" t="n">
        <f aca="false">1/(1+In_Buyer_Rate)^(MAX(0,CA$4-In_COD)/Days_In_Year)</f>
        <v>0.389238329962615</v>
      </c>
      <c r="CB21" s="52" t="n">
        <f aca="false">1/(1+In_Buyer_Rate)^(MAX(0,CB$4-In_COD)/Days_In_Year)</f>
        <v>0.381840996411503</v>
      </c>
      <c r="CC21" s="52" t="n">
        <f aca="false">1/(1+In_Buyer_Rate)^(MAX(0,CC$4-In_COD)/Days_In_Year)</f>
        <v>0.374584246506588</v>
      </c>
      <c r="CD21" s="52" t="n">
        <f aca="false">1/(1+In_Buyer_Rate)^(MAX(0,CD$4-In_COD)/Days_In_Year)</f>
        <v>0.367387935796638</v>
      </c>
      <c r="CE21" s="52" t="n">
        <f aca="false">1/(1+In_Buyer_Rate)^(MAX(0,CE$4-In_COD)/Days_In_Year)</f>
        <v>0.360329876730523</v>
      </c>
      <c r="CF21" s="52" t="n">
        <f aca="false">1/(1+In_Buyer_Rate)^(MAX(0,CF$4-In_COD)/Days_In_Year)</f>
        <v>0.353556478158799</v>
      </c>
      <c r="CG21" s="52" t="n">
        <f aca="false">1/(1+In_Buyer_Rate)^(MAX(0,CG$4-In_COD)/Days_In_Year)</f>
        <v>0.346837265283878</v>
      </c>
      <c r="CH21" s="52" t="n">
        <f aca="false">1/(1+In_Buyer_Rate)^(MAX(0,CH$4-In_COD)/Days_In_Year)</f>
        <v>0.340174014626517</v>
      </c>
      <c r="CI21" s="52" t="n">
        <f aca="false">1/(1+In_Buyer_Rate)^(MAX(0,CI$4-In_COD)/Days_In_Year)</f>
        <v>0.333638774750484</v>
      </c>
      <c r="CJ21" s="52" t="n">
        <f aca="false">1/(1+In_Buyer_Rate)^(MAX(0,CJ$4-In_COD)/Days_In_Year)</f>
        <v>0.327367109406295</v>
      </c>
      <c r="CK21" s="52" t="n">
        <f aca="false">1/(1+In_Buyer_Rate)^(MAX(0,CK$4-In_COD)/Days_In_Year)</f>
        <v>0.321145616003591</v>
      </c>
      <c r="CL21" s="52" t="n">
        <f aca="false">1/(1+In_Buyer_Rate)^(MAX(0,CL$4-In_COD)/Days_In_Year)</f>
        <v>0.314975939468997</v>
      </c>
      <c r="CM21" s="52" t="n">
        <f aca="false">1/(1+In_Buyer_Rate)^(MAX(0,CM$4-In_COD)/Days_In_Year)</f>
        <v>0.308924791435633</v>
      </c>
      <c r="CN21" s="52" t="n">
        <f aca="false">1/(1+In_Buyer_Rate)^(MAX(0,CN$4-In_COD)/Days_In_Year)</f>
        <v>0.303117693894718</v>
      </c>
      <c r="CO21" s="52" t="n">
        <f aca="false">1/(1+In_Buyer_Rate)^(MAX(0,CO$4-In_COD)/Days_In_Year)</f>
        <v>0.297357051855177</v>
      </c>
      <c r="CP21" s="52" t="n">
        <f aca="false">1/(1+In_Buyer_Rate)^(MAX(0,CP$4-In_COD)/Days_In_Year)</f>
        <v>0.291644388397219</v>
      </c>
      <c r="CQ21" s="52" t="n">
        <f aca="false">1/(1+In_Buyer_Rate)^(MAX(0,CQ$4-In_COD)/Days_In_Year)</f>
        <v>0.286041473551512</v>
      </c>
      <c r="CR21" s="52" t="n">
        <f aca="false">1/(1+In_Buyer_Rate)^(MAX(0,CR$4-In_COD)/Days_In_Year)</f>
        <v>0.280605358897759</v>
      </c>
      <c r="CS21" s="52" t="n">
        <f aca="false">1/(1+In_Buyer_Rate)^(MAX(0,CS$4-In_COD)/Days_In_Year)</f>
        <v>0.275272555635049</v>
      </c>
      <c r="CT21" s="52" t="n">
        <f aca="false">1/(1+In_Buyer_Rate)^(MAX(0,CT$4-In_COD)/Days_In_Year)</f>
        <v>0.269984167618878</v>
      </c>
      <c r="CU21" s="52" t="n">
        <f aca="false">1/(1+In_Buyer_Rate)^(MAX(0,CU$4-In_COD)/Days_In_Year)</f>
        <v>0.264797377263778</v>
      </c>
      <c r="CV21" s="52" t="n">
        <f aca="false">1/(1+In_Buyer_Rate)^(MAX(0,CV$4-In_COD)/Days_In_Year)</f>
        <v>0.259819776757184</v>
      </c>
      <c r="CW21" s="52" t="n">
        <f aca="false">1/(1+In_Buyer_Rate)^(MAX(0,CW$4-In_COD)/Days_In_Year)</f>
        <v>0.254881995958379</v>
      </c>
      <c r="CX21" s="52" t="n">
        <f aca="false">1/(1+In_Buyer_Rate)^(MAX(0,CX$4-In_COD)/Days_In_Year)</f>
        <v>0.24998534038785</v>
      </c>
      <c r="CY21" s="52" t="n">
        <f aca="false">1/(1+In_Buyer_Rate)^(MAX(0,CY$4-In_COD)/Days_In_Year)</f>
        <v>0.24518275672572</v>
      </c>
      <c r="CZ21" s="52" t="n">
        <f aca="false">1/(1+In_Buyer_Rate)^(MAX(0,CZ$4-In_COD)/Days_In_Year)</f>
        <v>0.240573867367763</v>
      </c>
      <c r="DA21" s="52" t="n">
        <f aca="false">1/(1+In_Buyer_Rate)^(MAX(0,DA$4-In_COD)/Days_In_Year)</f>
        <v>0.23600184810961</v>
      </c>
      <c r="DB21" s="52" t="n">
        <f aca="false">1/(1+In_Buyer_Rate)^(MAX(0,DB$4-In_COD)/Days_In_Year)</f>
        <v>0.231467907766528</v>
      </c>
      <c r="DC21" s="52" t="n">
        <f aca="false">1/(1+In_Buyer_Rate)^(MAX(0,DC$4-In_COD)/Days_In_Year)</f>
        <v>0.227021071042334</v>
      </c>
      <c r="DD21" s="52" t="n">
        <f aca="false">1/(1+In_Buyer_Rate)^(MAX(0,DD$4-In_COD)/Days_In_Year)</f>
        <v>0.222753580896077</v>
      </c>
      <c r="DE21" s="52" t="n">
        <f aca="false">1/(1+In_Buyer_Rate)^(MAX(0,DE$4-In_COD)/Days_In_Year)</f>
        <v>0.21852022973112</v>
      </c>
      <c r="DF21" s="52" t="n">
        <f aca="false">1/(1+In_Buyer_Rate)^(MAX(0,DF$4-In_COD)/Days_In_Year)</f>
        <v>0.214322136820859</v>
      </c>
      <c r="DG21" s="52" t="n">
        <f aca="false">1/(1+In_Buyer_Rate)^(MAX(0,DG$4-In_COD)/Days_In_Year)</f>
        <v>0.210204695409568</v>
      </c>
      <c r="DH21" s="52" t="n">
        <f aca="false">1/(1+In_Buyer_Rate)^(MAX(0,DH$4-In_COD)/Days_In_Year)</f>
        <v>0.206209831270407</v>
      </c>
      <c r="DI21" s="52" t="n">
        <f aca="false">1/(1+In_Buyer_Rate)^(MAX(0,DI$4-In_COD)/Days_In_Year)</f>
        <v>0.202290888078013</v>
      </c>
      <c r="DJ21" s="52" t="n">
        <f aca="false">1/(1+In_Buyer_Rate)^(MAX(0,DJ$4-In_COD)/Days_In_Year)</f>
        <v>0.198404584534878</v>
      </c>
      <c r="DK21" s="52" t="n">
        <f aca="false">1/(1+In_Buyer_Rate)^(MAX(0,DK$4-In_COD)/Days_In_Year)</f>
        <v>0.194592942561391</v>
      </c>
      <c r="DL21" s="52" t="n">
        <f aca="false">1/(1+In_Buyer_Rate)^(MAX(0,DL$4-In_COD)/Days_In_Year)</f>
        <v>0.190935028954081</v>
      </c>
      <c r="DM21" s="52" t="n">
        <f aca="false">1/(1+In_Buyer_Rate)^(MAX(0,DM$4-In_COD)/Days_In_Year)</f>
        <v>0.187306377850012</v>
      </c>
      <c r="DN21" s="52" t="n">
        <f aca="false">1/(1+In_Buyer_Rate)^(MAX(0,DN$4-In_COD)/Days_In_Year)</f>
        <v>0.183707948643405</v>
      </c>
      <c r="DO21" s="52" t="n">
        <f aca="false">1/(1+In_Buyer_Rate)^(MAX(0,DO$4-In_COD)/Days_In_Year)</f>
        <v>0.180178650519806</v>
      </c>
      <c r="DP21" s="52" t="n">
        <f aca="false">1/(1+In_Buyer_Rate)^(MAX(0,DP$4-In_COD)/Days_In_Year)</f>
        <v>0.176791693476001</v>
      </c>
      <c r="DQ21" s="52" t="n">
        <f aca="false">1/(1+In_Buyer_Rate)^(MAX(0,DQ$4-In_COD)/Days_In_Year)</f>
        <v>0.173431831342604</v>
      </c>
      <c r="DR21" s="52" t="n">
        <f aca="false">1/(1+In_Buyer_Rate)^(MAX(0,DR$4-In_COD)/Days_In_Year)</f>
        <v>0.170099952447597</v>
      </c>
      <c r="DS21" s="52" t="n">
        <f aca="false">1/(1+In_Buyer_Rate)^(MAX(0,DS$4-In_COD)/Days_In_Year)</f>
        <v>0.166832083814635</v>
      </c>
      <c r="DT21" s="52" t="n">
        <f aca="false">1/(1+In_Buyer_Rate)^(MAX(0,DT$4-In_COD)/Days_In_Year)</f>
        <v>0.163696012477778</v>
      </c>
      <c r="DU21" s="52" t="n">
        <f aca="false">1/(1+In_Buyer_Rate)^(MAX(0,DU$4-In_COD)/Days_In_Year)</f>
        <v>0.160585029020929</v>
      </c>
      <c r="DV21" s="52" t="n">
        <f aca="false">1/(1+In_Buyer_Rate)^(MAX(0,DV$4-In_COD)/Days_In_Year)</f>
        <v>0.157499955969998</v>
      </c>
      <c r="DW21" s="52" t="n">
        <f aca="false">1/(1+In_Buyer_Rate)^(MAX(0,DW$4-In_COD)/Days_In_Year)</f>
        <v>0.154474151680218</v>
      </c>
      <c r="DX21" s="52" t="n">
        <f aca="false">1/(1+In_Buyer_Rate)^(MAX(0,DX$4-In_COD)/Days_In_Year)</f>
        <v>0.151538426349381</v>
      </c>
      <c r="DY21" s="52" t="n">
        <f aca="false">1/(1+In_Buyer_Rate)^(MAX(0,DY$4-In_COD)/Days_In_Year)</f>
        <v>0.148658493415683</v>
      </c>
      <c r="DZ21" s="52" t="n">
        <f aca="false">1/(1+In_Buyer_Rate)^(MAX(0,DZ$4-In_COD)/Days_In_Year)</f>
        <v>0.145802546540529</v>
      </c>
      <c r="EA21" s="52" t="n">
        <f aca="false">1/(1+In_Buyer_Rate)^(MAX(0,EA$4-In_COD)/Days_In_Year)</f>
        <v>0.143001466577896</v>
      </c>
      <c r="EB21" s="52" t="n">
        <f aca="false">1/(1+In_Buyer_Rate)^(MAX(0,EB$4-In_COD)/Days_In_Year)</f>
        <v>0.140313357730909</v>
      </c>
      <c r="EC21" s="52" t="n">
        <f aca="false">1/(1+In_Buyer_Rate)^(MAX(0,EC$4-In_COD)/Days_In_Year)</f>
        <v>0.137646753162669</v>
      </c>
      <c r="ED21" s="52" t="n">
        <f aca="false">1/(1+In_Buyer_Rate)^(MAX(0,ED$4-In_COD)/Days_In_Year)</f>
        <v>0.135002357907897</v>
      </c>
      <c r="EE21" s="52" t="n">
        <f aca="false">1/(1+In_Buyer_Rate)^(MAX(0,EE$4-In_COD)/Days_In_Year)</f>
        <v>0.132408765349904</v>
      </c>
      <c r="EF21" s="52" t="n">
        <f aca="false">1/(1+In_Buyer_Rate)^(MAX(0,EF$4-In_COD)/Days_In_Year)</f>
        <v>0.129919775676767</v>
      </c>
      <c r="EG21" s="52" t="n">
        <f aca="false">1/(1+In_Buyer_Rate)^(MAX(0,EG$4-In_COD)/Days_In_Year)</f>
        <v>0.127450697372842</v>
      </c>
      <c r="EH21" s="52" t="n">
        <f aca="false">1/(1+In_Buyer_Rate)^(MAX(0,EH$4-In_COD)/Days_In_Year)</f>
        <v>0.125002183248053</v>
      </c>
      <c r="EI21" s="52" t="n">
        <f aca="false">1/(1+In_Buyer_Rate)^(MAX(0,EI$4-In_COD)/Days_In_Year)</f>
        <v>0.122600708657318</v>
      </c>
      <c r="EJ21" s="52" t="n">
        <f aca="false">1/(1+In_Buyer_Rate)^(MAX(0,EJ$4-In_COD)/Days_In_Year)</f>
        <v>0.120296088589599</v>
      </c>
      <c r="EK21" s="52" t="n">
        <f aca="false">1/(1+In_Buyer_Rate)^(MAX(0,EK$4-In_COD)/Days_In_Year)</f>
        <v>0.118009904974854</v>
      </c>
      <c r="EL21" s="52" t="n">
        <f aca="false">1/(1+In_Buyer_Rate)^(MAX(0,EL$4-In_COD)/Days_In_Year)</f>
        <v>0.115742762266716</v>
      </c>
      <c r="EM21" s="52" t="n">
        <f aca="false">1/(1+In_Buyer_Rate)^(MAX(0,EM$4-In_COD)/Days_In_Year)</f>
        <v>0.113519174682702</v>
      </c>
      <c r="EN21" s="52" t="n">
        <f aca="false">1/(1+In_Buyer_Rate)^(MAX(0,EN$4-In_COD)/Days_In_Year)</f>
        <v>0.111361783863418</v>
      </c>
      <c r="EO21" s="52" t="n">
        <f aca="false">1/(1+In_Buyer_Rate)^(MAX(0,EO$4-In_COD)/Days_In_Year)</f>
        <v>0.109245393475647</v>
      </c>
      <c r="EP21" s="52" t="n">
        <f aca="false">1/(1+In_Buyer_Rate)^(MAX(0,EP$4-In_COD)/Days_In_Year)</f>
        <v>0.107146629839927</v>
      </c>
      <c r="EQ21" s="52" t="n">
        <f aca="false">1/(1+In_Buyer_Rate)^(MAX(0,EQ$4-In_COD)/Days_In_Year)</f>
        <v>0.105088186520319</v>
      </c>
      <c r="ER21" s="52" t="n">
        <f aca="false">1/(1+In_Buyer_Rate)^(MAX(0,ER$4-In_COD)/Days_In_Year)</f>
        <v>0.103112762836498</v>
      </c>
      <c r="ES21" s="52" t="n">
        <f aca="false">1/(1+In_Buyer_Rate)^(MAX(0,ES$4-In_COD)/Days_In_Year)</f>
        <v>0.101153142107081</v>
      </c>
      <c r="ET21" s="52" t="n">
        <f aca="false">1/(1+In_Buyer_Rate)^(MAX(0,ET$4-In_COD)/Days_In_Year)</f>
        <v>0.0992098424443773</v>
      </c>
    </row>
    <row r="23" customFormat="false" ht="15" hidden="false" customHeight="false" outlineLevel="0" collapsed="false">
      <c r="A23" s="9" t="s">
        <v>13</v>
      </c>
      <c r="B23" s="9"/>
      <c r="C23" s="9" t="s">
        <v>495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</row>
    <row r="24" customFormat="false" ht="15" hidden="false" customHeight="false" outlineLevel="0" collapsed="false">
      <c r="C24" s="0" t="s">
        <v>496</v>
      </c>
      <c r="D24" s="11" t="s">
        <v>123</v>
      </c>
      <c r="E24" s="32" t="n">
        <f aca="false">In_MVA*(1+INDEX(Dash_Overbuild,1,$A$1))</f>
        <v>151</v>
      </c>
      <c r="F24" s="32" t="n">
        <f aca="false">In_MVA+($E24-In_MVA)*In_Overbuild_Built</f>
        <v>100</v>
      </c>
    </row>
    <row r="25" customFormat="false" ht="15" hidden="false" customHeight="false" outlineLevel="0" collapsed="false">
      <c r="C25" s="0" t="s">
        <v>497</v>
      </c>
      <c r="D25" s="11" t="s">
        <v>123</v>
      </c>
      <c r="E25" s="32" t="n">
        <f aca="false">INDEX(Dash_BESS,1,$A$1)*In_MVA</f>
        <v>51</v>
      </c>
      <c r="F25" s="32" t="n">
        <f aca="false">$E25*In_BESS_Built</f>
        <v>51</v>
      </c>
    </row>
    <row r="26" customFormat="false" ht="15" hidden="false" customHeight="false" outlineLevel="0" collapsed="false">
      <c r="C26" s="0" t="s">
        <v>498</v>
      </c>
      <c r="D26" s="11" t="s">
        <v>499</v>
      </c>
      <c r="E26" s="32" t="n">
        <f aca="false">$E25*INDEX(Dash_BESS_Hours,1,$A$1)</f>
        <v>204</v>
      </c>
      <c r="F26" s="32" t="n">
        <f aca="false">$E26*In_BESS_Built</f>
        <v>204</v>
      </c>
    </row>
    <row r="27" customFormat="false" ht="15" hidden="false" customHeight="false" outlineLevel="0" collapsed="false">
      <c r="C27" s="0" t="s">
        <v>500</v>
      </c>
      <c r="D27" s="11" t="s">
        <v>35</v>
      </c>
      <c r="E27" s="53" t="n">
        <f aca="false">($F24-In_MVA)/$F24*In_Bottleneck_Loss</f>
        <v>0</v>
      </c>
    </row>
    <row r="29" customFormat="false" ht="15" hidden="false" customHeight="false" outlineLevel="0" collapsed="false">
      <c r="A29" s="9" t="s">
        <v>13</v>
      </c>
      <c r="B29" s="9"/>
      <c r="C29" s="9" t="s">
        <v>501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</row>
    <row r="30" customFormat="false" ht="15" hidden="false" customHeight="false" outlineLevel="0" collapsed="false">
      <c r="C30" s="0" t="s">
        <v>502</v>
      </c>
      <c r="D30" s="11" t="s">
        <v>27</v>
      </c>
      <c r="E30" s="28" t="n">
        <f aca="false">INDEX(Dash_Municipal,1,$A$1)</f>
        <v>50</v>
      </c>
      <c r="F30" s="28" t="n">
        <f aca="false">INDEX(Osz1_Pts,1+SUMPRODUCT((Osz1_LB&lt;$E30)+(Osz1_LB=$E30)*Osz1_Incl))*Osz1_W</f>
        <v>20</v>
      </c>
    </row>
    <row r="31" customFormat="false" ht="15" hidden="false" customHeight="false" outlineLevel="0" collapsed="false">
      <c r="C31" s="0" t="s">
        <v>503</v>
      </c>
      <c r="D31" s="11" t="s">
        <v>32</v>
      </c>
      <c r="E31" s="28" t="n">
        <f aca="false">INDEX(Dash_Community,1,$A$1)</f>
        <v>3</v>
      </c>
      <c r="F31" s="28" t="n">
        <f aca="false">INDEX(Osz2_Pts,1+SUMPRODUCT((Osz2_LB&lt;$E31)+(Osz2_LB=$E31)*Osz2_Incl))*Osz2_W</f>
        <v>15</v>
      </c>
    </row>
    <row r="32" customFormat="false" ht="15" hidden="false" customHeight="false" outlineLevel="0" collapsed="false">
      <c r="C32" s="0" t="s">
        <v>504</v>
      </c>
      <c r="D32" s="11" t="s">
        <v>35</v>
      </c>
      <c r="E32" s="47" t="n">
        <f aca="false">INDEX(Dash_Overbuild,1,$A$1)</f>
        <v>0.51</v>
      </c>
      <c r="F32" s="28" t="n">
        <f aca="false">INDEX(Osz3_Pts,1+SUMPRODUCT((Osz3_LB&lt;$E32)+(Osz3_LB=$E32)*Osz3_Incl))*Osz3_W</f>
        <v>10</v>
      </c>
    </row>
    <row r="33" customFormat="false" ht="15" hidden="false" customHeight="false" outlineLevel="0" collapsed="false">
      <c r="C33" s="0" t="s">
        <v>505</v>
      </c>
      <c r="D33" s="11" t="s">
        <v>35</v>
      </c>
      <c r="E33" s="47" t="n">
        <f aca="false">INDEX(Dash_BESS,1,$A$1)/IF(In_OSZ4_Basis=1,$E24/In_MVA,1)</f>
        <v>0.51</v>
      </c>
      <c r="F33" s="28" t="n">
        <f aca="false">INDEX(Osz4_Pts,1+SUMPRODUCT((Osz4_LB&lt;$E33)+(Osz4_LB=$E33)*Osz4_Incl))*Osz4_W*($E33&gt;=Osz4_Min)</f>
        <v>15</v>
      </c>
    </row>
    <row r="34" customFormat="false" ht="15" hidden="false" customHeight="false" outlineLevel="0" collapsed="false">
      <c r="C34" s="0" t="s">
        <v>506</v>
      </c>
      <c r="D34" s="11" t="s">
        <v>41</v>
      </c>
      <c r="E34" s="46" t="n">
        <f aca="false">INDEX(Dash_Partial,1,$A$1)</f>
        <v>1</v>
      </c>
      <c r="F34" s="28" t="n">
        <f aca="false">$E34*Osz5_Pts*Osz5_W</f>
        <v>5</v>
      </c>
    </row>
    <row r="35" customFormat="false" ht="15" hidden="false" customHeight="false" outlineLevel="0" collapsed="false">
      <c r="C35" s="0" t="s">
        <v>507</v>
      </c>
      <c r="D35" s="11" t="s">
        <v>13</v>
      </c>
      <c r="E35" s="50" t="n">
        <f aca="false">INDEX(Dash_PB_Mult,1,$A$1)</f>
        <v>1</v>
      </c>
      <c r="F35" s="28" t="n">
        <f aca="false">INDEX(Osz6_Pts,1+SUMPRODUCT((Osz6_LB&lt;$E35)+(Osz6_LB=$E35)*Osz6_Incl))*Osz6_W</f>
        <v>0</v>
      </c>
    </row>
    <row r="36" customFormat="false" ht="15" hidden="false" customHeight="false" outlineLevel="0" collapsed="false">
      <c r="C36" s="0" t="s">
        <v>508</v>
      </c>
      <c r="D36" s="11" t="s">
        <v>41</v>
      </c>
      <c r="E36" s="46" t="n">
        <f aca="false">INDEX(Dash_Brownfield,1,$A$1)</f>
        <v>0</v>
      </c>
      <c r="F36" s="28" t="n">
        <f aca="false">$E36*Osz7_Pts*Osz7_W</f>
        <v>0</v>
      </c>
    </row>
    <row r="37" customFormat="false" ht="15" hidden="false" customHeight="false" outlineLevel="0" collapsed="false">
      <c r="C37" s="0" t="s">
        <v>509</v>
      </c>
      <c r="D37" s="11" t="s">
        <v>41</v>
      </c>
      <c r="E37" s="46" t="n">
        <f aca="false">INDEX(Dash_Shared,1,$A$1)</f>
        <v>1</v>
      </c>
      <c r="F37" s="28" t="n">
        <f aca="false">$E37*Osz8_Pts*Osz8_W</f>
        <v>5</v>
      </c>
    </row>
    <row r="38" customFormat="false" ht="15" hidden="false" customHeight="false" outlineLevel="0" collapsed="false">
      <c r="C38" s="0" t="s">
        <v>510</v>
      </c>
      <c r="D38" s="11" t="s">
        <v>41</v>
      </c>
      <c r="E38" s="46" t="n">
        <f aca="false">INDEX(Dash_EU_Turbine,1,$A$1)</f>
        <v>1</v>
      </c>
      <c r="F38" s="28" t="n">
        <f aca="false">$E38*Osz9a_Pts*Osz9_W</f>
        <v>12</v>
      </c>
    </row>
    <row r="39" customFormat="false" ht="15" hidden="false" customHeight="false" outlineLevel="0" collapsed="false">
      <c r="C39" s="0" t="s">
        <v>511</v>
      </c>
      <c r="D39" s="11" t="s">
        <v>41</v>
      </c>
      <c r="E39" s="46" t="n">
        <f aca="false">INDEX(Dash_EU_Transformer,1,$A$1)</f>
        <v>1</v>
      </c>
      <c r="F39" s="28" t="n">
        <f aca="false">$E39*Osz9b_Pts*Osz9_W</f>
        <v>3</v>
      </c>
    </row>
    <row r="40" customFormat="false" ht="15" hidden="false" customHeight="false" outlineLevel="0" collapsed="false">
      <c r="C40" s="30" t="s">
        <v>512</v>
      </c>
      <c r="D40" s="11" t="s">
        <v>70</v>
      </c>
      <c r="E40" s="31" t="n">
        <f aca="false">ROUND(SUM($F30:$F39),Points_Decimals)</f>
        <v>85</v>
      </c>
      <c r="F40" s="31" t="n">
        <f aca="false">ROUND(SUM($F30:$F37),Points_Decimals)</f>
        <v>70</v>
      </c>
    </row>
    <row r="41" customFormat="false" ht="15" hidden="false" customHeight="false" outlineLevel="0" collapsed="false">
      <c r="C41" s="0" t="s">
        <v>69</v>
      </c>
      <c r="D41" s="11" t="s">
        <v>70</v>
      </c>
      <c r="E41" s="28" t="n">
        <f aca="false">IF(In_CN_Turbine=1,$F40,$E40)</f>
        <v>85</v>
      </c>
    </row>
    <row r="42" customFormat="false" ht="15" hidden="false" customHeight="false" outlineLevel="0" collapsed="false">
      <c r="C42" s="0" t="s">
        <v>513</v>
      </c>
      <c r="D42" s="11" t="s">
        <v>211</v>
      </c>
      <c r="E42" s="42" t="n">
        <f aca="false">N(In_MVA&gt;In_Group_Cap)+N($E24&lt;In_MVA)+N($E25&gt;$E24)+N($E26&lt;$E25*In_Min_Hours)</f>
        <v>0</v>
      </c>
      <c r="F42" s="42" t="n">
        <f aca="false">($E30&lt;&gt;0)*($E30&lt;Osz1_Min)+($E30&gt;Osz1_Max)+($E31&lt;&gt;0)*($E31&lt;Osz2_Min)+($E31&gt;Osz2_Max)</f>
        <v>0</v>
      </c>
    </row>
    <row r="44" customFormat="false" ht="15" hidden="false" customHeight="false" outlineLevel="0" collapsed="false">
      <c r="A44" s="9" t="s">
        <v>13</v>
      </c>
      <c r="B44" s="9"/>
      <c r="C44" s="9" t="s">
        <v>514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</row>
    <row r="45" customFormat="false" ht="15" hidden="false" customHeight="false" outlineLevel="0" collapsed="false">
      <c r="C45" s="0" t="s">
        <v>515</v>
      </c>
      <c r="D45" s="11" t="s">
        <v>287</v>
      </c>
      <c r="E45" s="33" t="n">
        <f aca="false">$E24*In_Bench_Wind+$E26*In_Bench_BESS</f>
        <v>102106</v>
      </c>
    </row>
    <row r="46" customFormat="false" ht="15" hidden="false" customHeight="false" outlineLevel="0" collapsed="false">
      <c r="C46" s="0" t="s">
        <v>90</v>
      </c>
      <c r="D46" s="11" t="s">
        <v>253</v>
      </c>
      <c r="E46" s="33" t="n">
        <f aca="false">In_Signing_Fee+In_DD</f>
        <v>400</v>
      </c>
      <c r="F46" s="27" t="n">
        <f aca="false">In_Invest_Date</f>
        <v>46234</v>
      </c>
      <c r="I46" s="33" t="n">
        <f aca="false">SUM(J46:ET46)</f>
        <v>-400</v>
      </c>
      <c r="J46" s="33" t="n">
        <f aca="false">-$E46*N(AND(J$3&lt;=$F46,J$4&gt;=$F46))</f>
        <v>-400</v>
      </c>
      <c r="K46" s="33" t="n">
        <f aca="false">-$E46*N(AND(K$3&lt;=$F46,K$4&gt;=$F46))</f>
        <v>-0</v>
      </c>
      <c r="L46" s="33" t="n">
        <f aca="false">-$E46*N(AND(L$3&lt;=$F46,L$4&gt;=$F46))</f>
        <v>-0</v>
      </c>
      <c r="M46" s="33" t="n">
        <f aca="false">-$E46*N(AND(M$3&lt;=$F46,M$4&gt;=$F46))</f>
        <v>-0</v>
      </c>
      <c r="N46" s="33" t="n">
        <f aca="false">-$E46*N(AND(N$3&lt;=$F46,N$4&gt;=$F46))</f>
        <v>-0</v>
      </c>
      <c r="O46" s="33" t="n">
        <f aca="false">-$E46*N(AND(O$3&lt;=$F46,O$4&gt;=$F46))</f>
        <v>-0</v>
      </c>
      <c r="P46" s="33" t="n">
        <f aca="false">-$E46*N(AND(P$3&lt;=$F46,P$4&gt;=$F46))</f>
        <v>-0</v>
      </c>
      <c r="Q46" s="33" t="n">
        <f aca="false">-$E46*N(AND(Q$3&lt;=$F46,Q$4&gt;=$F46))</f>
        <v>-0</v>
      </c>
      <c r="R46" s="33" t="n">
        <f aca="false">-$E46*N(AND(R$3&lt;=$F46,R$4&gt;=$F46))</f>
        <v>-0</v>
      </c>
      <c r="S46" s="33" t="n">
        <f aca="false">-$E46*N(AND(S$3&lt;=$F46,S$4&gt;=$F46))</f>
        <v>-0</v>
      </c>
      <c r="T46" s="33" t="n">
        <f aca="false">-$E46*N(AND(T$3&lt;=$F46,T$4&gt;=$F46))</f>
        <v>-0</v>
      </c>
      <c r="U46" s="33" t="n">
        <f aca="false">-$E46*N(AND(U$3&lt;=$F46,U$4&gt;=$F46))</f>
        <v>-0</v>
      </c>
      <c r="V46" s="33" t="n">
        <f aca="false">-$E46*N(AND(V$3&lt;=$F46,V$4&gt;=$F46))</f>
        <v>-0</v>
      </c>
      <c r="W46" s="33" t="n">
        <f aca="false">-$E46*N(AND(W$3&lt;=$F46,W$4&gt;=$F46))</f>
        <v>-0</v>
      </c>
      <c r="X46" s="33" t="n">
        <f aca="false">-$E46*N(AND(X$3&lt;=$F46,X$4&gt;=$F46))</f>
        <v>-0</v>
      </c>
      <c r="Y46" s="33" t="n">
        <f aca="false">-$E46*N(AND(Y$3&lt;=$F46,Y$4&gt;=$F46))</f>
        <v>-0</v>
      </c>
      <c r="Z46" s="33" t="n">
        <f aca="false">-$E46*N(AND(Z$3&lt;=$F46,Z$4&gt;=$F46))</f>
        <v>-0</v>
      </c>
      <c r="AA46" s="33" t="n">
        <f aca="false">-$E46*N(AND(AA$3&lt;=$F46,AA$4&gt;=$F46))</f>
        <v>-0</v>
      </c>
      <c r="AB46" s="33" t="n">
        <f aca="false">-$E46*N(AND(AB$3&lt;=$F46,AB$4&gt;=$F46))</f>
        <v>-0</v>
      </c>
      <c r="AC46" s="33" t="n">
        <f aca="false">-$E46*N(AND(AC$3&lt;=$F46,AC$4&gt;=$F46))</f>
        <v>-0</v>
      </c>
      <c r="AD46" s="33" t="n">
        <f aca="false">-$E46*N(AND(AD$3&lt;=$F46,AD$4&gt;=$F46))</f>
        <v>-0</v>
      </c>
      <c r="AE46" s="33" t="n">
        <f aca="false">-$E46*N(AND(AE$3&lt;=$F46,AE$4&gt;=$F46))</f>
        <v>-0</v>
      </c>
      <c r="AF46" s="33" t="n">
        <f aca="false">-$E46*N(AND(AF$3&lt;=$F46,AF$4&gt;=$F46))</f>
        <v>-0</v>
      </c>
      <c r="AG46" s="33" t="n">
        <f aca="false">-$E46*N(AND(AG$3&lt;=$F46,AG$4&gt;=$F46))</f>
        <v>-0</v>
      </c>
      <c r="AH46" s="33" t="n">
        <f aca="false">-$E46*N(AND(AH$3&lt;=$F46,AH$4&gt;=$F46))</f>
        <v>-0</v>
      </c>
      <c r="AI46" s="33" t="n">
        <f aca="false">-$E46*N(AND(AI$3&lt;=$F46,AI$4&gt;=$F46))</f>
        <v>-0</v>
      </c>
      <c r="AJ46" s="33" t="n">
        <f aca="false">-$E46*N(AND(AJ$3&lt;=$F46,AJ$4&gt;=$F46))</f>
        <v>-0</v>
      </c>
      <c r="AK46" s="33" t="n">
        <f aca="false">-$E46*N(AND(AK$3&lt;=$F46,AK$4&gt;=$F46))</f>
        <v>-0</v>
      </c>
      <c r="AL46" s="33" t="n">
        <f aca="false">-$E46*N(AND(AL$3&lt;=$F46,AL$4&gt;=$F46))</f>
        <v>-0</v>
      </c>
      <c r="AM46" s="33" t="n">
        <f aca="false">-$E46*N(AND(AM$3&lt;=$F46,AM$4&gt;=$F46))</f>
        <v>-0</v>
      </c>
      <c r="AN46" s="33" t="n">
        <f aca="false">-$E46*N(AND(AN$3&lt;=$F46,AN$4&gt;=$F46))</f>
        <v>-0</v>
      </c>
      <c r="AO46" s="33" t="n">
        <f aca="false">-$E46*N(AND(AO$3&lt;=$F46,AO$4&gt;=$F46))</f>
        <v>-0</v>
      </c>
      <c r="AP46" s="33" t="n">
        <f aca="false">-$E46*N(AND(AP$3&lt;=$F46,AP$4&gt;=$F46))</f>
        <v>-0</v>
      </c>
      <c r="AQ46" s="33" t="n">
        <f aca="false">-$E46*N(AND(AQ$3&lt;=$F46,AQ$4&gt;=$F46))</f>
        <v>-0</v>
      </c>
      <c r="AR46" s="33" t="n">
        <f aca="false">-$E46*N(AND(AR$3&lt;=$F46,AR$4&gt;=$F46))</f>
        <v>-0</v>
      </c>
      <c r="AS46" s="33" t="n">
        <f aca="false">-$E46*N(AND(AS$3&lt;=$F46,AS$4&gt;=$F46))</f>
        <v>-0</v>
      </c>
      <c r="AT46" s="33" t="n">
        <f aca="false">-$E46*N(AND(AT$3&lt;=$F46,AT$4&gt;=$F46))</f>
        <v>-0</v>
      </c>
      <c r="AU46" s="33" t="n">
        <f aca="false">-$E46*N(AND(AU$3&lt;=$F46,AU$4&gt;=$F46))</f>
        <v>-0</v>
      </c>
      <c r="AV46" s="33" t="n">
        <f aca="false">-$E46*N(AND(AV$3&lt;=$F46,AV$4&gt;=$F46))</f>
        <v>-0</v>
      </c>
      <c r="AW46" s="33" t="n">
        <f aca="false">-$E46*N(AND(AW$3&lt;=$F46,AW$4&gt;=$F46))</f>
        <v>-0</v>
      </c>
      <c r="AX46" s="33" t="n">
        <f aca="false">-$E46*N(AND(AX$3&lt;=$F46,AX$4&gt;=$F46))</f>
        <v>-0</v>
      </c>
      <c r="AY46" s="33" t="n">
        <f aca="false">-$E46*N(AND(AY$3&lt;=$F46,AY$4&gt;=$F46))</f>
        <v>-0</v>
      </c>
      <c r="AZ46" s="33" t="n">
        <f aca="false">-$E46*N(AND(AZ$3&lt;=$F46,AZ$4&gt;=$F46))</f>
        <v>-0</v>
      </c>
      <c r="BA46" s="33" t="n">
        <f aca="false">-$E46*N(AND(BA$3&lt;=$F46,BA$4&gt;=$F46))</f>
        <v>-0</v>
      </c>
      <c r="BB46" s="33" t="n">
        <f aca="false">-$E46*N(AND(BB$3&lt;=$F46,BB$4&gt;=$F46))</f>
        <v>-0</v>
      </c>
      <c r="BC46" s="33" t="n">
        <f aca="false">-$E46*N(AND(BC$3&lt;=$F46,BC$4&gt;=$F46))</f>
        <v>-0</v>
      </c>
      <c r="BD46" s="33" t="n">
        <f aca="false">-$E46*N(AND(BD$3&lt;=$F46,BD$4&gt;=$F46))</f>
        <v>-0</v>
      </c>
      <c r="BE46" s="33" t="n">
        <f aca="false">-$E46*N(AND(BE$3&lt;=$F46,BE$4&gt;=$F46))</f>
        <v>-0</v>
      </c>
      <c r="BF46" s="33" t="n">
        <f aca="false">-$E46*N(AND(BF$3&lt;=$F46,BF$4&gt;=$F46))</f>
        <v>-0</v>
      </c>
      <c r="BG46" s="33" t="n">
        <f aca="false">-$E46*N(AND(BG$3&lt;=$F46,BG$4&gt;=$F46))</f>
        <v>-0</v>
      </c>
      <c r="BH46" s="33" t="n">
        <f aca="false">-$E46*N(AND(BH$3&lt;=$F46,BH$4&gt;=$F46))</f>
        <v>-0</v>
      </c>
      <c r="BI46" s="33" t="n">
        <f aca="false">-$E46*N(AND(BI$3&lt;=$F46,BI$4&gt;=$F46))</f>
        <v>-0</v>
      </c>
      <c r="BJ46" s="33" t="n">
        <f aca="false">-$E46*N(AND(BJ$3&lt;=$F46,BJ$4&gt;=$F46))</f>
        <v>-0</v>
      </c>
      <c r="BK46" s="33" t="n">
        <f aca="false">-$E46*N(AND(BK$3&lt;=$F46,BK$4&gt;=$F46))</f>
        <v>-0</v>
      </c>
      <c r="BL46" s="33" t="n">
        <f aca="false">-$E46*N(AND(BL$3&lt;=$F46,BL$4&gt;=$F46))</f>
        <v>-0</v>
      </c>
      <c r="BM46" s="33" t="n">
        <f aca="false">-$E46*N(AND(BM$3&lt;=$F46,BM$4&gt;=$F46))</f>
        <v>-0</v>
      </c>
      <c r="BN46" s="33" t="n">
        <f aca="false">-$E46*N(AND(BN$3&lt;=$F46,BN$4&gt;=$F46))</f>
        <v>-0</v>
      </c>
      <c r="BO46" s="33" t="n">
        <f aca="false">-$E46*N(AND(BO$3&lt;=$F46,BO$4&gt;=$F46))</f>
        <v>-0</v>
      </c>
      <c r="BP46" s="33" t="n">
        <f aca="false">-$E46*N(AND(BP$3&lt;=$F46,BP$4&gt;=$F46))</f>
        <v>-0</v>
      </c>
      <c r="BQ46" s="33" t="n">
        <f aca="false">-$E46*N(AND(BQ$3&lt;=$F46,BQ$4&gt;=$F46))</f>
        <v>-0</v>
      </c>
      <c r="BR46" s="33" t="n">
        <f aca="false">-$E46*N(AND(BR$3&lt;=$F46,BR$4&gt;=$F46))</f>
        <v>-0</v>
      </c>
      <c r="BS46" s="33" t="n">
        <f aca="false">-$E46*N(AND(BS$3&lt;=$F46,BS$4&gt;=$F46))</f>
        <v>-0</v>
      </c>
      <c r="BT46" s="33" t="n">
        <f aca="false">-$E46*N(AND(BT$3&lt;=$F46,BT$4&gt;=$F46))</f>
        <v>-0</v>
      </c>
      <c r="BU46" s="33" t="n">
        <f aca="false">-$E46*N(AND(BU$3&lt;=$F46,BU$4&gt;=$F46))</f>
        <v>-0</v>
      </c>
      <c r="BV46" s="33" t="n">
        <f aca="false">-$E46*N(AND(BV$3&lt;=$F46,BV$4&gt;=$F46))</f>
        <v>-0</v>
      </c>
      <c r="BW46" s="33" t="n">
        <f aca="false">-$E46*N(AND(BW$3&lt;=$F46,BW$4&gt;=$F46))</f>
        <v>-0</v>
      </c>
      <c r="BX46" s="33" t="n">
        <f aca="false">-$E46*N(AND(BX$3&lt;=$F46,BX$4&gt;=$F46))</f>
        <v>-0</v>
      </c>
      <c r="BY46" s="33" t="n">
        <f aca="false">-$E46*N(AND(BY$3&lt;=$F46,BY$4&gt;=$F46))</f>
        <v>-0</v>
      </c>
      <c r="BZ46" s="33" t="n">
        <f aca="false">-$E46*N(AND(BZ$3&lt;=$F46,BZ$4&gt;=$F46))</f>
        <v>-0</v>
      </c>
      <c r="CA46" s="33" t="n">
        <f aca="false">-$E46*N(AND(CA$3&lt;=$F46,CA$4&gt;=$F46))</f>
        <v>-0</v>
      </c>
      <c r="CB46" s="33" t="n">
        <f aca="false">-$E46*N(AND(CB$3&lt;=$F46,CB$4&gt;=$F46))</f>
        <v>-0</v>
      </c>
      <c r="CC46" s="33" t="n">
        <f aca="false">-$E46*N(AND(CC$3&lt;=$F46,CC$4&gt;=$F46))</f>
        <v>-0</v>
      </c>
      <c r="CD46" s="33" t="n">
        <f aca="false">-$E46*N(AND(CD$3&lt;=$F46,CD$4&gt;=$F46))</f>
        <v>-0</v>
      </c>
      <c r="CE46" s="33" t="n">
        <f aca="false">-$E46*N(AND(CE$3&lt;=$F46,CE$4&gt;=$F46))</f>
        <v>-0</v>
      </c>
      <c r="CF46" s="33" t="n">
        <f aca="false">-$E46*N(AND(CF$3&lt;=$F46,CF$4&gt;=$F46))</f>
        <v>-0</v>
      </c>
      <c r="CG46" s="33" t="n">
        <f aca="false">-$E46*N(AND(CG$3&lt;=$F46,CG$4&gt;=$F46))</f>
        <v>-0</v>
      </c>
      <c r="CH46" s="33" t="n">
        <f aca="false">-$E46*N(AND(CH$3&lt;=$F46,CH$4&gt;=$F46))</f>
        <v>-0</v>
      </c>
      <c r="CI46" s="33" t="n">
        <f aca="false">-$E46*N(AND(CI$3&lt;=$F46,CI$4&gt;=$F46))</f>
        <v>-0</v>
      </c>
      <c r="CJ46" s="33" t="n">
        <f aca="false">-$E46*N(AND(CJ$3&lt;=$F46,CJ$4&gt;=$F46))</f>
        <v>-0</v>
      </c>
      <c r="CK46" s="33" t="n">
        <f aca="false">-$E46*N(AND(CK$3&lt;=$F46,CK$4&gt;=$F46))</f>
        <v>-0</v>
      </c>
      <c r="CL46" s="33" t="n">
        <f aca="false">-$E46*N(AND(CL$3&lt;=$F46,CL$4&gt;=$F46))</f>
        <v>-0</v>
      </c>
      <c r="CM46" s="33" t="n">
        <f aca="false">-$E46*N(AND(CM$3&lt;=$F46,CM$4&gt;=$F46))</f>
        <v>-0</v>
      </c>
      <c r="CN46" s="33" t="n">
        <f aca="false">-$E46*N(AND(CN$3&lt;=$F46,CN$4&gt;=$F46))</f>
        <v>-0</v>
      </c>
      <c r="CO46" s="33" t="n">
        <f aca="false">-$E46*N(AND(CO$3&lt;=$F46,CO$4&gt;=$F46))</f>
        <v>-0</v>
      </c>
      <c r="CP46" s="33" t="n">
        <f aca="false">-$E46*N(AND(CP$3&lt;=$F46,CP$4&gt;=$F46))</f>
        <v>-0</v>
      </c>
      <c r="CQ46" s="33" t="n">
        <f aca="false">-$E46*N(AND(CQ$3&lt;=$F46,CQ$4&gt;=$F46))</f>
        <v>-0</v>
      </c>
      <c r="CR46" s="33" t="n">
        <f aca="false">-$E46*N(AND(CR$3&lt;=$F46,CR$4&gt;=$F46))</f>
        <v>-0</v>
      </c>
      <c r="CS46" s="33" t="n">
        <f aca="false">-$E46*N(AND(CS$3&lt;=$F46,CS$4&gt;=$F46))</f>
        <v>-0</v>
      </c>
      <c r="CT46" s="33" t="n">
        <f aca="false">-$E46*N(AND(CT$3&lt;=$F46,CT$4&gt;=$F46))</f>
        <v>-0</v>
      </c>
      <c r="CU46" s="33" t="n">
        <f aca="false">-$E46*N(AND(CU$3&lt;=$F46,CU$4&gt;=$F46))</f>
        <v>-0</v>
      </c>
      <c r="CV46" s="33" t="n">
        <f aca="false">-$E46*N(AND(CV$3&lt;=$F46,CV$4&gt;=$F46))</f>
        <v>-0</v>
      </c>
      <c r="CW46" s="33" t="n">
        <f aca="false">-$E46*N(AND(CW$3&lt;=$F46,CW$4&gt;=$F46))</f>
        <v>-0</v>
      </c>
      <c r="CX46" s="33" t="n">
        <f aca="false">-$E46*N(AND(CX$3&lt;=$F46,CX$4&gt;=$F46))</f>
        <v>-0</v>
      </c>
      <c r="CY46" s="33" t="n">
        <f aca="false">-$E46*N(AND(CY$3&lt;=$F46,CY$4&gt;=$F46))</f>
        <v>-0</v>
      </c>
      <c r="CZ46" s="33" t="n">
        <f aca="false">-$E46*N(AND(CZ$3&lt;=$F46,CZ$4&gt;=$F46))</f>
        <v>-0</v>
      </c>
      <c r="DA46" s="33" t="n">
        <f aca="false">-$E46*N(AND(DA$3&lt;=$F46,DA$4&gt;=$F46))</f>
        <v>-0</v>
      </c>
      <c r="DB46" s="33" t="n">
        <f aca="false">-$E46*N(AND(DB$3&lt;=$F46,DB$4&gt;=$F46))</f>
        <v>-0</v>
      </c>
      <c r="DC46" s="33" t="n">
        <f aca="false">-$E46*N(AND(DC$3&lt;=$F46,DC$4&gt;=$F46))</f>
        <v>-0</v>
      </c>
      <c r="DD46" s="33" t="n">
        <f aca="false">-$E46*N(AND(DD$3&lt;=$F46,DD$4&gt;=$F46))</f>
        <v>-0</v>
      </c>
      <c r="DE46" s="33" t="n">
        <f aca="false">-$E46*N(AND(DE$3&lt;=$F46,DE$4&gt;=$F46))</f>
        <v>-0</v>
      </c>
      <c r="DF46" s="33" t="n">
        <f aca="false">-$E46*N(AND(DF$3&lt;=$F46,DF$4&gt;=$F46))</f>
        <v>-0</v>
      </c>
      <c r="DG46" s="33" t="n">
        <f aca="false">-$E46*N(AND(DG$3&lt;=$F46,DG$4&gt;=$F46))</f>
        <v>-0</v>
      </c>
      <c r="DH46" s="33" t="n">
        <f aca="false">-$E46*N(AND(DH$3&lt;=$F46,DH$4&gt;=$F46))</f>
        <v>-0</v>
      </c>
      <c r="DI46" s="33" t="n">
        <f aca="false">-$E46*N(AND(DI$3&lt;=$F46,DI$4&gt;=$F46))</f>
        <v>-0</v>
      </c>
      <c r="DJ46" s="33" t="n">
        <f aca="false">-$E46*N(AND(DJ$3&lt;=$F46,DJ$4&gt;=$F46))</f>
        <v>-0</v>
      </c>
      <c r="DK46" s="33" t="n">
        <f aca="false">-$E46*N(AND(DK$3&lt;=$F46,DK$4&gt;=$F46))</f>
        <v>-0</v>
      </c>
      <c r="DL46" s="33" t="n">
        <f aca="false">-$E46*N(AND(DL$3&lt;=$F46,DL$4&gt;=$F46))</f>
        <v>-0</v>
      </c>
      <c r="DM46" s="33" t="n">
        <f aca="false">-$E46*N(AND(DM$3&lt;=$F46,DM$4&gt;=$F46))</f>
        <v>-0</v>
      </c>
      <c r="DN46" s="33" t="n">
        <f aca="false">-$E46*N(AND(DN$3&lt;=$F46,DN$4&gt;=$F46))</f>
        <v>-0</v>
      </c>
      <c r="DO46" s="33" t="n">
        <f aca="false">-$E46*N(AND(DO$3&lt;=$F46,DO$4&gt;=$F46))</f>
        <v>-0</v>
      </c>
      <c r="DP46" s="33" t="n">
        <f aca="false">-$E46*N(AND(DP$3&lt;=$F46,DP$4&gt;=$F46))</f>
        <v>-0</v>
      </c>
      <c r="DQ46" s="33" t="n">
        <f aca="false">-$E46*N(AND(DQ$3&lt;=$F46,DQ$4&gt;=$F46))</f>
        <v>-0</v>
      </c>
      <c r="DR46" s="33" t="n">
        <f aca="false">-$E46*N(AND(DR$3&lt;=$F46,DR$4&gt;=$F46))</f>
        <v>-0</v>
      </c>
      <c r="DS46" s="33" t="n">
        <f aca="false">-$E46*N(AND(DS$3&lt;=$F46,DS$4&gt;=$F46))</f>
        <v>-0</v>
      </c>
      <c r="DT46" s="33" t="n">
        <f aca="false">-$E46*N(AND(DT$3&lt;=$F46,DT$4&gt;=$F46))</f>
        <v>-0</v>
      </c>
      <c r="DU46" s="33" t="n">
        <f aca="false">-$E46*N(AND(DU$3&lt;=$F46,DU$4&gt;=$F46))</f>
        <v>-0</v>
      </c>
      <c r="DV46" s="33" t="n">
        <f aca="false">-$E46*N(AND(DV$3&lt;=$F46,DV$4&gt;=$F46))</f>
        <v>-0</v>
      </c>
      <c r="DW46" s="33" t="n">
        <f aca="false">-$E46*N(AND(DW$3&lt;=$F46,DW$4&gt;=$F46))</f>
        <v>-0</v>
      </c>
      <c r="DX46" s="33" t="n">
        <f aca="false">-$E46*N(AND(DX$3&lt;=$F46,DX$4&gt;=$F46))</f>
        <v>-0</v>
      </c>
      <c r="DY46" s="33" t="n">
        <f aca="false">-$E46*N(AND(DY$3&lt;=$F46,DY$4&gt;=$F46))</f>
        <v>-0</v>
      </c>
      <c r="DZ46" s="33" t="n">
        <f aca="false">-$E46*N(AND(DZ$3&lt;=$F46,DZ$4&gt;=$F46))</f>
        <v>-0</v>
      </c>
      <c r="EA46" s="33" t="n">
        <f aca="false">-$E46*N(AND(EA$3&lt;=$F46,EA$4&gt;=$F46))</f>
        <v>-0</v>
      </c>
      <c r="EB46" s="33" t="n">
        <f aca="false">-$E46*N(AND(EB$3&lt;=$F46,EB$4&gt;=$F46))</f>
        <v>-0</v>
      </c>
      <c r="EC46" s="33" t="n">
        <f aca="false">-$E46*N(AND(EC$3&lt;=$F46,EC$4&gt;=$F46))</f>
        <v>-0</v>
      </c>
      <c r="ED46" s="33" t="n">
        <f aca="false">-$E46*N(AND(ED$3&lt;=$F46,ED$4&gt;=$F46))</f>
        <v>-0</v>
      </c>
      <c r="EE46" s="33" t="n">
        <f aca="false">-$E46*N(AND(EE$3&lt;=$F46,EE$4&gt;=$F46))</f>
        <v>-0</v>
      </c>
      <c r="EF46" s="33" t="n">
        <f aca="false">-$E46*N(AND(EF$3&lt;=$F46,EF$4&gt;=$F46))</f>
        <v>-0</v>
      </c>
      <c r="EG46" s="33" t="n">
        <f aca="false">-$E46*N(AND(EG$3&lt;=$F46,EG$4&gt;=$F46))</f>
        <v>-0</v>
      </c>
      <c r="EH46" s="33" t="n">
        <f aca="false">-$E46*N(AND(EH$3&lt;=$F46,EH$4&gt;=$F46))</f>
        <v>-0</v>
      </c>
      <c r="EI46" s="33" t="n">
        <f aca="false">-$E46*N(AND(EI$3&lt;=$F46,EI$4&gt;=$F46))</f>
        <v>-0</v>
      </c>
      <c r="EJ46" s="33" t="n">
        <f aca="false">-$E46*N(AND(EJ$3&lt;=$F46,EJ$4&gt;=$F46))</f>
        <v>-0</v>
      </c>
      <c r="EK46" s="33" t="n">
        <f aca="false">-$E46*N(AND(EK$3&lt;=$F46,EK$4&gt;=$F46))</f>
        <v>-0</v>
      </c>
      <c r="EL46" s="33" t="n">
        <f aca="false">-$E46*N(AND(EL$3&lt;=$F46,EL$4&gt;=$F46))</f>
        <v>-0</v>
      </c>
      <c r="EM46" s="33" t="n">
        <f aca="false">-$E46*N(AND(EM$3&lt;=$F46,EM$4&gt;=$F46))</f>
        <v>-0</v>
      </c>
      <c r="EN46" s="33" t="n">
        <f aca="false">-$E46*N(AND(EN$3&lt;=$F46,EN$4&gt;=$F46))</f>
        <v>-0</v>
      </c>
      <c r="EO46" s="33" t="n">
        <f aca="false">-$E46*N(AND(EO$3&lt;=$F46,EO$4&gt;=$F46))</f>
        <v>-0</v>
      </c>
      <c r="EP46" s="33" t="n">
        <f aca="false">-$E46*N(AND(EP$3&lt;=$F46,EP$4&gt;=$F46))</f>
        <v>-0</v>
      </c>
      <c r="EQ46" s="33" t="n">
        <f aca="false">-$E46*N(AND(EQ$3&lt;=$F46,EQ$4&gt;=$F46))</f>
        <v>-0</v>
      </c>
      <c r="ER46" s="33" t="n">
        <f aca="false">-$E46*N(AND(ER$3&lt;=$F46,ER$4&gt;=$F46))</f>
        <v>-0</v>
      </c>
      <c r="ES46" s="33" t="n">
        <f aca="false">-$E46*N(AND(ES$3&lt;=$F46,ES$4&gt;=$F46))</f>
        <v>-0</v>
      </c>
      <c r="ET46" s="33" t="n">
        <f aca="false">-$E46*N(AND(ET$3&lt;=$F46,ET$4&gt;=$F46))</f>
        <v>-0</v>
      </c>
    </row>
    <row r="47" customFormat="false" ht="15" hidden="false" customHeight="false" outlineLevel="0" collapsed="false">
      <c r="C47" s="0" t="s">
        <v>516</v>
      </c>
      <c r="D47" s="11" t="s">
        <v>253</v>
      </c>
      <c r="E47" s="33" t="n">
        <f aca="false">In_Part_Fee*Thousand/In_FX</f>
        <v>8.21917808219178</v>
      </c>
      <c r="F47" s="27" t="n">
        <f aca="false">In_Bid_Date</f>
        <v>46325</v>
      </c>
      <c r="I47" s="33" t="n">
        <f aca="false">SUM(J47:ET47)</f>
        <v>-8.21917808219178</v>
      </c>
      <c r="J47" s="33" t="n">
        <f aca="false">-$E47*N(AND(J$3&lt;=$F47,J$4&gt;=$F47))</f>
        <v>-0</v>
      </c>
      <c r="K47" s="33" t="n">
        <f aca="false">-$E47*N(AND(K$3&lt;=$F47,K$4&gt;=$F47))</f>
        <v>-8.21917808219178</v>
      </c>
      <c r="L47" s="33" t="n">
        <f aca="false">-$E47*N(AND(L$3&lt;=$F47,L$4&gt;=$F47))</f>
        <v>-0</v>
      </c>
      <c r="M47" s="33" t="n">
        <f aca="false">-$E47*N(AND(M$3&lt;=$F47,M$4&gt;=$F47))</f>
        <v>-0</v>
      </c>
      <c r="N47" s="33" t="n">
        <f aca="false">-$E47*N(AND(N$3&lt;=$F47,N$4&gt;=$F47))</f>
        <v>-0</v>
      </c>
      <c r="O47" s="33" t="n">
        <f aca="false">-$E47*N(AND(O$3&lt;=$F47,O$4&gt;=$F47))</f>
        <v>-0</v>
      </c>
      <c r="P47" s="33" t="n">
        <f aca="false">-$E47*N(AND(P$3&lt;=$F47,P$4&gt;=$F47))</f>
        <v>-0</v>
      </c>
      <c r="Q47" s="33" t="n">
        <f aca="false">-$E47*N(AND(Q$3&lt;=$F47,Q$4&gt;=$F47))</f>
        <v>-0</v>
      </c>
      <c r="R47" s="33" t="n">
        <f aca="false">-$E47*N(AND(R$3&lt;=$F47,R$4&gt;=$F47))</f>
        <v>-0</v>
      </c>
      <c r="S47" s="33" t="n">
        <f aca="false">-$E47*N(AND(S$3&lt;=$F47,S$4&gt;=$F47))</f>
        <v>-0</v>
      </c>
      <c r="T47" s="33" t="n">
        <f aca="false">-$E47*N(AND(T$3&lt;=$F47,T$4&gt;=$F47))</f>
        <v>-0</v>
      </c>
      <c r="U47" s="33" t="n">
        <f aca="false">-$E47*N(AND(U$3&lt;=$F47,U$4&gt;=$F47))</f>
        <v>-0</v>
      </c>
      <c r="V47" s="33" t="n">
        <f aca="false">-$E47*N(AND(V$3&lt;=$F47,V$4&gt;=$F47))</f>
        <v>-0</v>
      </c>
      <c r="W47" s="33" t="n">
        <f aca="false">-$E47*N(AND(W$3&lt;=$F47,W$4&gt;=$F47))</f>
        <v>-0</v>
      </c>
      <c r="X47" s="33" t="n">
        <f aca="false">-$E47*N(AND(X$3&lt;=$F47,X$4&gt;=$F47))</f>
        <v>-0</v>
      </c>
      <c r="Y47" s="33" t="n">
        <f aca="false">-$E47*N(AND(Y$3&lt;=$F47,Y$4&gt;=$F47))</f>
        <v>-0</v>
      </c>
      <c r="Z47" s="33" t="n">
        <f aca="false">-$E47*N(AND(Z$3&lt;=$F47,Z$4&gt;=$F47))</f>
        <v>-0</v>
      </c>
      <c r="AA47" s="33" t="n">
        <f aca="false">-$E47*N(AND(AA$3&lt;=$F47,AA$4&gt;=$F47))</f>
        <v>-0</v>
      </c>
      <c r="AB47" s="33" t="n">
        <f aca="false">-$E47*N(AND(AB$3&lt;=$F47,AB$4&gt;=$F47))</f>
        <v>-0</v>
      </c>
      <c r="AC47" s="33" t="n">
        <f aca="false">-$E47*N(AND(AC$3&lt;=$F47,AC$4&gt;=$F47))</f>
        <v>-0</v>
      </c>
      <c r="AD47" s="33" t="n">
        <f aca="false">-$E47*N(AND(AD$3&lt;=$F47,AD$4&gt;=$F47))</f>
        <v>-0</v>
      </c>
      <c r="AE47" s="33" t="n">
        <f aca="false">-$E47*N(AND(AE$3&lt;=$F47,AE$4&gt;=$F47))</f>
        <v>-0</v>
      </c>
      <c r="AF47" s="33" t="n">
        <f aca="false">-$E47*N(AND(AF$3&lt;=$F47,AF$4&gt;=$F47))</f>
        <v>-0</v>
      </c>
      <c r="AG47" s="33" t="n">
        <f aca="false">-$E47*N(AND(AG$3&lt;=$F47,AG$4&gt;=$F47))</f>
        <v>-0</v>
      </c>
      <c r="AH47" s="33" t="n">
        <f aca="false">-$E47*N(AND(AH$3&lt;=$F47,AH$4&gt;=$F47))</f>
        <v>-0</v>
      </c>
      <c r="AI47" s="33" t="n">
        <f aca="false">-$E47*N(AND(AI$3&lt;=$F47,AI$4&gt;=$F47))</f>
        <v>-0</v>
      </c>
      <c r="AJ47" s="33" t="n">
        <f aca="false">-$E47*N(AND(AJ$3&lt;=$F47,AJ$4&gt;=$F47))</f>
        <v>-0</v>
      </c>
      <c r="AK47" s="33" t="n">
        <f aca="false">-$E47*N(AND(AK$3&lt;=$F47,AK$4&gt;=$F47))</f>
        <v>-0</v>
      </c>
      <c r="AL47" s="33" t="n">
        <f aca="false">-$E47*N(AND(AL$3&lt;=$F47,AL$4&gt;=$F47))</f>
        <v>-0</v>
      </c>
      <c r="AM47" s="33" t="n">
        <f aca="false">-$E47*N(AND(AM$3&lt;=$F47,AM$4&gt;=$F47))</f>
        <v>-0</v>
      </c>
      <c r="AN47" s="33" t="n">
        <f aca="false">-$E47*N(AND(AN$3&lt;=$F47,AN$4&gt;=$F47))</f>
        <v>-0</v>
      </c>
      <c r="AO47" s="33" t="n">
        <f aca="false">-$E47*N(AND(AO$3&lt;=$F47,AO$4&gt;=$F47))</f>
        <v>-0</v>
      </c>
      <c r="AP47" s="33" t="n">
        <f aca="false">-$E47*N(AND(AP$3&lt;=$F47,AP$4&gt;=$F47))</f>
        <v>-0</v>
      </c>
      <c r="AQ47" s="33" t="n">
        <f aca="false">-$E47*N(AND(AQ$3&lt;=$F47,AQ$4&gt;=$F47))</f>
        <v>-0</v>
      </c>
      <c r="AR47" s="33" t="n">
        <f aca="false">-$E47*N(AND(AR$3&lt;=$F47,AR$4&gt;=$F47))</f>
        <v>-0</v>
      </c>
      <c r="AS47" s="33" t="n">
        <f aca="false">-$E47*N(AND(AS$3&lt;=$F47,AS$4&gt;=$F47))</f>
        <v>-0</v>
      </c>
      <c r="AT47" s="33" t="n">
        <f aca="false">-$E47*N(AND(AT$3&lt;=$F47,AT$4&gt;=$F47))</f>
        <v>-0</v>
      </c>
      <c r="AU47" s="33" t="n">
        <f aca="false">-$E47*N(AND(AU$3&lt;=$F47,AU$4&gt;=$F47))</f>
        <v>-0</v>
      </c>
      <c r="AV47" s="33" t="n">
        <f aca="false">-$E47*N(AND(AV$3&lt;=$F47,AV$4&gt;=$F47))</f>
        <v>-0</v>
      </c>
      <c r="AW47" s="33" t="n">
        <f aca="false">-$E47*N(AND(AW$3&lt;=$F47,AW$4&gt;=$F47))</f>
        <v>-0</v>
      </c>
      <c r="AX47" s="33" t="n">
        <f aca="false">-$E47*N(AND(AX$3&lt;=$F47,AX$4&gt;=$F47))</f>
        <v>-0</v>
      </c>
      <c r="AY47" s="33" t="n">
        <f aca="false">-$E47*N(AND(AY$3&lt;=$F47,AY$4&gt;=$F47))</f>
        <v>-0</v>
      </c>
      <c r="AZ47" s="33" t="n">
        <f aca="false">-$E47*N(AND(AZ$3&lt;=$F47,AZ$4&gt;=$F47))</f>
        <v>-0</v>
      </c>
      <c r="BA47" s="33" t="n">
        <f aca="false">-$E47*N(AND(BA$3&lt;=$F47,BA$4&gt;=$F47))</f>
        <v>-0</v>
      </c>
      <c r="BB47" s="33" t="n">
        <f aca="false">-$E47*N(AND(BB$3&lt;=$F47,BB$4&gt;=$F47))</f>
        <v>-0</v>
      </c>
      <c r="BC47" s="33" t="n">
        <f aca="false">-$E47*N(AND(BC$3&lt;=$F47,BC$4&gt;=$F47))</f>
        <v>-0</v>
      </c>
      <c r="BD47" s="33" t="n">
        <f aca="false">-$E47*N(AND(BD$3&lt;=$F47,BD$4&gt;=$F47))</f>
        <v>-0</v>
      </c>
      <c r="BE47" s="33" t="n">
        <f aca="false">-$E47*N(AND(BE$3&lt;=$F47,BE$4&gt;=$F47))</f>
        <v>-0</v>
      </c>
      <c r="BF47" s="33" t="n">
        <f aca="false">-$E47*N(AND(BF$3&lt;=$F47,BF$4&gt;=$F47))</f>
        <v>-0</v>
      </c>
      <c r="BG47" s="33" t="n">
        <f aca="false">-$E47*N(AND(BG$3&lt;=$F47,BG$4&gt;=$F47))</f>
        <v>-0</v>
      </c>
      <c r="BH47" s="33" t="n">
        <f aca="false">-$E47*N(AND(BH$3&lt;=$F47,BH$4&gt;=$F47))</f>
        <v>-0</v>
      </c>
      <c r="BI47" s="33" t="n">
        <f aca="false">-$E47*N(AND(BI$3&lt;=$F47,BI$4&gt;=$F47))</f>
        <v>-0</v>
      </c>
      <c r="BJ47" s="33" t="n">
        <f aca="false">-$E47*N(AND(BJ$3&lt;=$F47,BJ$4&gt;=$F47))</f>
        <v>-0</v>
      </c>
      <c r="BK47" s="33" t="n">
        <f aca="false">-$E47*N(AND(BK$3&lt;=$F47,BK$4&gt;=$F47))</f>
        <v>-0</v>
      </c>
      <c r="BL47" s="33" t="n">
        <f aca="false">-$E47*N(AND(BL$3&lt;=$F47,BL$4&gt;=$F47))</f>
        <v>-0</v>
      </c>
      <c r="BM47" s="33" t="n">
        <f aca="false">-$E47*N(AND(BM$3&lt;=$F47,BM$4&gt;=$F47))</f>
        <v>-0</v>
      </c>
      <c r="BN47" s="33" t="n">
        <f aca="false">-$E47*N(AND(BN$3&lt;=$F47,BN$4&gt;=$F47))</f>
        <v>-0</v>
      </c>
      <c r="BO47" s="33" t="n">
        <f aca="false">-$E47*N(AND(BO$3&lt;=$F47,BO$4&gt;=$F47))</f>
        <v>-0</v>
      </c>
      <c r="BP47" s="33" t="n">
        <f aca="false">-$E47*N(AND(BP$3&lt;=$F47,BP$4&gt;=$F47))</f>
        <v>-0</v>
      </c>
      <c r="BQ47" s="33" t="n">
        <f aca="false">-$E47*N(AND(BQ$3&lt;=$F47,BQ$4&gt;=$F47))</f>
        <v>-0</v>
      </c>
      <c r="BR47" s="33" t="n">
        <f aca="false">-$E47*N(AND(BR$3&lt;=$F47,BR$4&gt;=$F47))</f>
        <v>-0</v>
      </c>
      <c r="BS47" s="33" t="n">
        <f aca="false">-$E47*N(AND(BS$3&lt;=$F47,BS$4&gt;=$F47))</f>
        <v>-0</v>
      </c>
      <c r="BT47" s="33" t="n">
        <f aca="false">-$E47*N(AND(BT$3&lt;=$F47,BT$4&gt;=$F47))</f>
        <v>-0</v>
      </c>
      <c r="BU47" s="33" t="n">
        <f aca="false">-$E47*N(AND(BU$3&lt;=$F47,BU$4&gt;=$F47))</f>
        <v>-0</v>
      </c>
      <c r="BV47" s="33" t="n">
        <f aca="false">-$E47*N(AND(BV$3&lt;=$F47,BV$4&gt;=$F47))</f>
        <v>-0</v>
      </c>
      <c r="BW47" s="33" t="n">
        <f aca="false">-$E47*N(AND(BW$3&lt;=$F47,BW$4&gt;=$F47))</f>
        <v>-0</v>
      </c>
      <c r="BX47" s="33" t="n">
        <f aca="false">-$E47*N(AND(BX$3&lt;=$F47,BX$4&gt;=$F47))</f>
        <v>-0</v>
      </c>
      <c r="BY47" s="33" t="n">
        <f aca="false">-$E47*N(AND(BY$3&lt;=$F47,BY$4&gt;=$F47))</f>
        <v>-0</v>
      </c>
      <c r="BZ47" s="33" t="n">
        <f aca="false">-$E47*N(AND(BZ$3&lt;=$F47,BZ$4&gt;=$F47))</f>
        <v>-0</v>
      </c>
      <c r="CA47" s="33" t="n">
        <f aca="false">-$E47*N(AND(CA$3&lt;=$F47,CA$4&gt;=$F47))</f>
        <v>-0</v>
      </c>
      <c r="CB47" s="33" t="n">
        <f aca="false">-$E47*N(AND(CB$3&lt;=$F47,CB$4&gt;=$F47))</f>
        <v>-0</v>
      </c>
      <c r="CC47" s="33" t="n">
        <f aca="false">-$E47*N(AND(CC$3&lt;=$F47,CC$4&gt;=$F47))</f>
        <v>-0</v>
      </c>
      <c r="CD47" s="33" t="n">
        <f aca="false">-$E47*N(AND(CD$3&lt;=$F47,CD$4&gt;=$F47))</f>
        <v>-0</v>
      </c>
      <c r="CE47" s="33" t="n">
        <f aca="false">-$E47*N(AND(CE$3&lt;=$F47,CE$4&gt;=$F47))</f>
        <v>-0</v>
      </c>
      <c r="CF47" s="33" t="n">
        <f aca="false">-$E47*N(AND(CF$3&lt;=$F47,CF$4&gt;=$F47))</f>
        <v>-0</v>
      </c>
      <c r="CG47" s="33" t="n">
        <f aca="false">-$E47*N(AND(CG$3&lt;=$F47,CG$4&gt;=$F47))</f>
        <v>-0</v>
      </c>
      <c r="CH47" s="33" t="n">
        <f aca="false">-$E47*N(AND(CH$3&lt;=$F47,CH$4&gt;=$F47))</f>
        <v>-0</v>
      </c>
      <c r="CI47" s="33" t="n">
        <f aca="false">-$E47*N(AND(CI$3&lt;=$F47,CI$4&gt;=$F47))</f>
        <v>-0</v>
      </c>
      <c r="CJ47" s="33" t="n">
        <f aca="false">-$E47*N(AND(CJ$3&lt;=$F47,CJ$4&gt;=$F47))</f>
        <v>-0</v>
      </c>
      <c r="CK47" s="33" t="n">
        <f aca="false">-$E47*N(AND(CK$3&lt;=$F47,CK$4&gt;=$F47))</f>
        <v>-0</v>
      </c>
      <c r="CL47" s="33" t="n">
        <f aca="false">-$E47*N(AND(CL$3&lt;=$F47,CL$4&gt;=$F47))</f>
        <v>-0</v>
      </c>
      <c r="CM47" s="33" t="n">
        <f aca="false">-$E47*N(AND(CM$3&lt;=$F47,CM$4&gt;=$F47))</f>
        <v>-0</v>
      </c>
      <c r="CN47" s="33" t="n">
        <f aca="false">-$E47*N(AND(CN$3&lt;=$F47,CN$4&gt;=$F47))</f>
        <v>-0</v>
      </c>
      <c r="CO47" s="33" t="n">
        <f aca="false">-$E47*N(AND(CO$3&lt;=$F47,CO$4&gt;=$F47))</f>
        <v>-0</v>
      </c>
      <c r="CP47" s="33" t="n">
        <f aca="false">-$E47*N(AND(CP$3&lt;=$F47,CP$4&gt;=$F47))</f>
        <v>-0</v>
      </c>
      <c r="CQ47" s="33" t="n">
        <f aca="false">-$E47*N(AND(CQ$3&lt;=$F47,CQ$4&gt;=$F47))</f>
        <v>-0</v>
      </c>
      <c r="CR47" s="33" t="n">
        <f aca="false">-$E47*N(AND(CR$3&lt;=$F47,CR$4&gt;=$F47))</f>
        <v>-0</v>
      </c>
      <c r="CS47" s="33" t="n">
        <f aca="false">-$E47*N(AND(CS$3&lt;=$F47,CS$4&gt;=$F47))</f>
        <v>-0</v>
      </c>
      <c r="CT47" s="33" t="n">
        <f aca="false">-$E47*N(AND(CT$3&lt;=$F47,CT$4&gt;=$F47))</f>
        <v>-0</v>
      </c>
      <c r="CU47" s="33" t="n">
        <f aca="false">-$E47*N(AND(CU$3&lt;=$F47,CU$4&gt;=$F47))</f>
        <v>-0</v>
      </c>
      <c r="CV47" s="33" t="n">
        <f aca="false">-$E47*N(AND(CV$3&lt;=$F47,CV$4&gt;=$F47))</f>
        <v>-0</v>
      </c>
      <c r="CW47" s="33" t="n">
        <f aca="false">-$E47*N(AND(CW$3&lt;=$F47,CW$4&gt;=$F47))</f>
        <v>-0</v>
      </c>
      <c r="CX47" s="33" t="n">
        <f aca="false">-$E47*N(AND(CX$3&lt;=$F47,CX$4&gt;=$F47))</f>
        <v>-0</v>
      </c>
      <c r="CY47" s="33" t="n">
        <f aca="false">-$E47*N(AND(CY$3&lt;=$F47,CY$4&gt;=$F47))</f>
        <v>-0</v>
      </c>
      <c r="CZ47" s="33" t="n">
        <f aca="false">-$E47*N(AND(CZ$3&lt;=$F47,CZ$4&gt;=$F47))</f>
        <v>-0</v>
      </c>
      <c r="DA47" s="33" t="n">
        <f aca="false">-$E47*N(AND(DA$3&lt;=$F47,DA$4&gt;=$F47))</f>
        <v>-0</v>
      </c>
      <c r="DB47" s="33" t="n">
        <f aca="false">-$E47*N(AND(DB$3&lt;=$F47,DB$4&gt;=$F47))</f>
        <v>-0</v>
      </c>
      <c r="DC47" s="33" t="n">
        <f aca="false">-$E47*N(AND(DC$3&lt;=$F47,DC$4&gt;=$F47))</f>
        <v>-0</v>
      </c>
      <c r="DD47" s="33" t="n">
        <f aca="false">-$E47*N(AND(DD$3&lt;=$F47,DD$4&gt;=$F47))</f>
        <v>-0</v>
      </c>
      <c r="DE47" s="33" t="n">
        <f aca="false">-$E47*N(AND(DE$3&lt;=$F47,DE$4&gt;=$F47))</f>
        <v>-0</v>
      </c>
      <c r="DF47" s="33" t="n">
        <f aca="false">-$E47*N(AND(DF$3&lt;=$F47,DF$4&gt;=$F47))</f>
        <v>-0</v>
      </c>
      <c r="DG47" s="33" t="n">
        <f aca="false">-$E47*N(AND(DG$3&lt;=$F47,DG$4&gt;=$F47))</f>
        <v>-0</v>
      </c>
      <c r="DH47" s="33" t="n">
        <f aca="false">-$E47*N(AND(DH$3&lt;=$F47,DH$4&gt;=$F47))</f>
        <v>-0</v>
      </c>
      <c r="DI47" s="33" t="n">
        <f aca="false">-$E47*N(AND(DI$3&lt;=$F47,DI$4&gt;=$F47))</f>
        <v>-0</v>
      </c>
      <c r="DJ47" s="33" t="n">
        <f aca="false">-$E47*N(AND(DJ$3&lt;=$F47,DJ$4&gt;=$F47))</f>
        <v>-0</v>
      </c>
      <c r="DK47" s="33" t="n">
        <f aca="false">-$E47*N(AND(DK$3&lt;=$F47,DK$4&gt;=$F47))</f>
        <v>-0</v>
      </c>
      <c r="DL47" s="33" t="n">
        <f aca="false">-$E47*N(AND(DL$3&lt;=$F47,DL$4&gt;=$F47))</f>
        <v>-0</v>
      </c>
      <c r="DM47" s="33" t="n">
        <f aca="false">-$E47*N(AND(DM$3&lt;=$F47,DM$4&gt;=$F47))</f>
        <v>-0</v>
      </c>
      <c r="DN47" s="33" t="n">
        <f aca="false">-$E47*N(AND(DN$3&lt;=$F47,DN$4&gt;=$F47))</f>
        <v>-0</v>
      </c>
      <c r="DO47" s="33" t="n">
        <f aca="false">-$E47*N(AND(DO$3&lt;=$F47,DO$4&gt;=$F47))</f>
        <v>-0</v>
      </c>
      <c r="DP47" s="33" t="n">
        <f aca="false">-$E47*N(AND(DP$3&lt;=$F47,DP$4&gt;=$F47))</f>
        <v>-0</v>
      </c>
      <c r="DQ47" s="33" t="n">
        <f aca="false">-$E47*N(AND(DQ$3&lt;=$F47,DQ$4&gt;=$F47))</f>
        <v>-0</v>
      </c>
      <c r="DR47" s="33" t="n">
        <f aca="false">-$E47*N(AND(DR$3&lt;=$F47,DR$4&gt;=$F47))</f>
        <v>-0</v>
      </c>
      <c r="DS47" s="33" t="n">
        <f aca="false">-$E47*N(AND(DS$3&lt;=$F47,DS$4&gt;=$F47))</f>
        <v>-0</v>
      </c>
      <c r="DT47" s="33" t="n">
        <f aca="false">-$E47*N(AND(DT$3&lt;=$F47,DT$4&gt;=$F47))</f>
        <v>-0</v>
      </c>
      <c r="DU47" s="33" t="n">
        <f aca="false">-$E47*N(AND(DU$3&lt;=$F47,DU$4&gt;=$F47))</f>
        <v>-0</v>
      </c>
      <c r="DV47" s="33" t="n">
        <f aca="false">-$E47*N(AND(DV$3&lt;=$F47,DV$4&gt;=$F47))</f>
        <v>-0</v>
      </c>
      <c r="DW47" s="33" t="n">
        <f aca="false">-$E47*N(AND(DW$3&lt;=$F47,DW$4&gt;=$F47))</f>
        <v>-0</v>
      </c>
      <c r="DX47" s="33" t="n">
        <f aca="false">-$E47*N(AND(DX$3&lt;=$F47,DX$4&gt;=$F47))</f>
        <v>-0</v>
      </c>
      <c r="DY47" s="33" t="n">
        <f aca="false">-$E47*N(AND(DY$3&lt;=$F47,DY$4&gt;=$F47))</f>
        <v>-0</v>
      </c>
      <c r="DZ47" s="33" t="n">
        <f aca="false">-$E47*N(AND(DZ$3&lt;=$F47,DZ$4&gt;=$F47))</f>
        <v>-0</v>
      </c>
      <c r="EA47" s="33" t="n">
        <f aca="false">-$E47*N(AND(EA$3&lt;=$F47,EA$4&gt;=$F47))</f>
        <v>-0</v>
      </c>
      <c r="EB47" s="33" t="n">
        <f aca="false">-$E47*N(AND(EB$3&lt;=$F47,EB$4&gt;=$F47))</f>
        <v>-0</v>
      </c>
      <c r="EC47" s="33" t="n">
        <f aca="false">-$E47*N(AND(EC$3&lt;=$F47,EC$4&gt;=$F47))</f>
        <v>-0</v>
      </c>
      <c r="ED47" s="33" t="n">
        <f aca="false">-$E47*N(AND(ED$3&lt;=$F47,ED$4&gt;=$F47))</f>
        <v>-0</v>
      </c>
      <c r="EE47" s="33" t="n">
        <f aca="false">-$E47*N(AND(EE$3&lt;=$F47,EE$4&gt;=$F47))</f>
        <v>-0</v>
      </c>
      <c r="EF47" s="33" t="n">
        <f aca="false">-$E47*N(AND(EF$3&lt;=$F47,EF$4&gt;=$F47))</f>
        <v>-0</v>
      </c>
      <c r="EG47" s="33" t="n">
        <f aca="false">-$E47*N(AND(EG$3&lt;=$F47,EG$4&gt;=$F47))</f>
        <v>-0</v>
      </c>
      <c r="EH47" s="33" t="n">
        <f aca="false">-$E47*N(AND(EH$3&lt;=$F47,EH$4&gt;=$F47))</f>
        <v>-0</v>
      </c>
      <c r="EI47" s="33" t="n">
        <f aca="false">-$E47*N(AND(EI$3&lt;=$F47,EI$4&gt;=$F47))</f>
        <v>-0</v>
      </c>
      <c r="EJ47" s="33" t="n">
        <f aca="false">-$E47*N(AND(EJ$3&lt;=$F47,EJ$4&gt;=$F47))</f>
        <v>-0</v>
      </c>
      <c r="EK47" s="33" t="n">
        <f aca="false">-$E47*N(AND(EK$3&lt;=$F47,EK$4&gt;=$F47))</f>
        <v>-0</v>
      </c>
      <c r="EL47" s="33" t="n">
        <f aca="false">-$E47*N(AND(EL$3&lt;=$F47,EL$4&gt;=$F47))</f>
        <v>-0</v>
      </c>
      <c r="EM47" s="33" t="n">
        <f aca="false">-$E47*N(AND(EM$3&lt;=$F47,EM$4&gt;=$F47))</f>
        <v>-0</v>
      </c>
      <c r="EN47" s="33" t="n">
        <f aca="false">-$E47*N(AND(EN$3&lt;=$F47,EN$4&gt;=$F47))</f>
        <v>-0</v>
      </c>
      <c r="EO47" s="33" t="n">
        <f aca="false">-$E47*N(AND(EO$3&lt;=$F47,EO$4&gt;=$F47))</f>
        <v>-0</v>
      </c>
      <c r="EP47" s="33" t="n">
        <f aca="false">-$E47*N(AND(EP$3&lt;=$F47,EP$4&gt;=$F47))</f>
        <v>-0</v>
      </c>
      <c r="EQ47" s="33" t="n">
        <f aca="false">-$E47*N(AND(EQ$3&lt;=$F47,EQ$4&gt;=$F47))</f>
        <v>-0</v>
      </c>
      <c r="ER47" s="33" t="n">
        <f aca="false">-$E47*N(AND(ER$3&lt;=$F47,ER$4&gt;=$F47))</f>
        <v>-0</v>
      </c>
      <c r="ES47" s="33" t="n">
        <f aca="false">-$E47*N(AND(ES$3&lt;=$F47,ES$4&gt;=$F47))</f>
        <v>-0</v>
      </c>
      <c r="ET47" s="33" t="n">
        <f aca="false">-$E47*N(AND(ET$3&lt;=$F47,ET$4&gt;=$F47))</f>
        <v>-0</v>
      </c>
    </row>
    <row r="48" customFormat="false" ht="15" hidden="false" customHeight="false" outlineLevel="0" collapsed="false">
      <c r="C48" s="0" t="s">
        <v>517</v>
      </c>
      <c r="D48" s="11" t="s">
        <v>253</v>
      </c>
      <c r="E48" s="33" t="n">
        <f aca="false">In_Bid_Rate*$E45*Thousand/In_FX</f>
        <v>1398.71232876712</v>
      </c>
      <c r="F48" s="27" t="n">
        <f aca="false">In_Bid_Date</f>
        <v>46325</v>
      </c>
      <c r="J48" s="33" t="n">
        <f aca="false">$E48*MAX(0,(MIN(In_Award_Date+In_PB_Days-1,J$4)-MAX($F48,J$3)+1)/J$5)</f>
        <v>0</v>
      </c>
      <c r="K48" s="33" t="n">
        <f aca="false">$E48*MAX(0,(MIN(In_Award_Date+In_PB_Days-1,K$4)-MAX($F48,K$3)+1)/K$5)</f>
        <v>897.000297796307</v>
      </c>
      <c r="L48" s="33" t="n">
        <f aca="false">$E48*MAX(0,(MIN(In_Award_Date+In_PB_Days-1,L$4)-MAX($F48,L$3)+1)/L$5)</f>
        <v>0</v>
      </c>
      <c r="M48" s="33" t="n">
        <f aca="false">$E48*MAX(0,(MIN(In_Award_Date+In_PB_Days-1,M$4)-MAX($F48,M$3)+1)/M$5)</f>
        <v>0</v>
      </c>
      <c r="N48" s="33" t="n">
        <f aca="false">$E48*MAX(0,(MIN(In_Award_Date+In_PB_Days-1,N$4)-MAX($F48,N$3)+1)/N$5)</f>
        <v>0</v>
      </c>
      <c r="O48" s="33" t="n">
        <f aca="false">$E48*MAX(0,(MIN(In_Award_Date+In_PB_Days-1,O$4)-MAX($F48,O$3)+1)/O$5)</f>
        <v>0</v>
      </c>
      <c r="P48" s="33" t="n">
        <f aca="false">$E48*MAX(0,(MIN(In_Award_Date+In_PB_Days-1,P$4)-MAX($F48,P$3)+1)/P$5)</f>
        <v>0</v>
      </c>
      <c r="Q48" s="33" t="n">
        <f aca="false">$E48*MAX(0,(MIN(In_Award_Date+In_PB_Days-1,Q$4)-MAX($F48,Q$3)+1)/Q$5)</f>
        <v>0</v>
      </c>
      <c r="R48" s="33" t="n">
        <f aca="false">$E48*MAX(0,(MIN(In_Award_Date+In_PB_Days-1,R$4)-MAX($F48,R$3)+1)/R$5)</f>
        <v>0</v>
      </c>
      <c r="S48" s="33" t="n">
        <f aca="false">$E48*MAX(0,(MIN(In_Award_Date+In_PB_Days-1,S$4)-MAX($F48,S$3)+1)/S$5)</f>
        <v>0</v>
      </c>
      <c r="T48" s="33" t="n">
        <f aca="false">$E48*MAX(0,(MIN(In_Award_Date+In_PB_Days-1,T$4)-MAX($F48,T$3)+1)/T$5)</f>
        <v>0</v>
      </c>
      <c r="U48" s="33" t="n">
        <f aca="false">$E48*MAX(0,(MIN(In_Award_Date+In_PB_Days-1,U$4)-MAX($F48,U$3)+1)/U$5)</f>
        <v>0</v>
      </c>
      <c r="V48" s="33" t="n">
        <f aca="false">$E48*MAX(0,(MIN(In_Award_Date+In_PB_Days-1,V$4)-MAX($F48,V$3)+1)/V$5)</f>
        <v>0</v>
      </c>
      <c r="W48" s="33" t="n">
        <f aca="false">$E48*MAX(0,(MIN(In_Award_Date+In_PB_Days-1,W$4)-MAX($F48,W$3)+1)/W$5)</f>
        <v>0</v>
      </c>
      <c r="X48" s="33" t="n">
        <f aca="false">$E48*MAX(0,(MIN(In_Award_Date+In_PB_Days-1,X$4)-MAX($F48,X$3)+1)/X$5)</f>
        <v>0</v>
      </c>
      <c r="Y48" s="33" t="n">
        <f aca="false">$E48*MAX(0,(MIN(In_Award_Date+In_PB_Days-1,Y$4)-MAX($F48,Y$3)+1)/Y$5)</f>
        <v>0</v>
      </c>
      <c r="Z48" s="33" t="n">
        <f aca="false">$E48*MAX(0,(MIN(In_Award_Date+In_PB_Days-1,Z$4)-MAX($F48,Z$3)+1)/Z$5)</f>
        <v>0</v>
      </c>
      <c r="AA48" s="33" t="n">
        <f aca="false">$E48*MAX(0,(MIN(In_Award_Date+In_PB_Days-1,AA$4)-MAX($F48,AA$3)+1)/AA$5)</f>
        <v>0</v>
      </c>
      <c r="AB48" s="33" t="n">
        <f aca="false">$E48*MAX(0,(MIN(In_Award_Date+In_PB_Days-1,AB$4)-MAX($F48,AB$3)+1)/AB$5)</f>
        <v>0</v>
      </c>
      <c r="AC48" s="33" t="n">
        <f aca="false">$E48*MAX(0,(MIN(In_Award_Date+In_PB_Days-1,AC$4)-MAX($F48,AC$3)+1)/AC$5)</f>
        <v>0</v>
      </c>
      <c r="AD48" s="33" t="n">
        <f aca="false">$E48*MAX(0,(MIN(In_Award_Date+In_PB_Days-1,AD$4)-MAX($F48,AD$3)+1)/AD$5)</f>
        <v>0</v>
      </c>
      <c r="AE48" s="33" t="n">
        <f aca="false">$E48*MAX(0,(MIN(In_Award_Date+In_PB_Days-1,AE$4)-MAX($F48,AE$3)+1)/AE$5)</f>
        <v>0</v>
      </c>
      <c r="AF48" s="33" t="n">
        <f aca="false">$E48*MAX(0,(MIN(In_Award_Date+In_PB_Days-1,AF$4)-MAX($F48,AF$3)+1)/AF$5)</f>
        <v>0</v>
      </c>
      <c r="AG48" s="33" t="n">
        <f aca="false">$E48*MAX(0,(MIN(In_Award_Date+In_PB_Days-1,AG$4)-MAX($F48,AG$3)+1)/AG$5)</f>
        <v>0</v>
      </c>
      <c r="AH48" s="33" t="n">
        <f aca="false">$E48*MAX(0,(MIN(In_Award_Date+In_PB_Days-1,AH$4)-MAX($F48,AH$3)+1)/AH$5)</f>
        <v>0</v>
      </c>
      <c r="AI48" s="33" t="n">
        <f aca="false">$E48*MAX(0,(MIN(In_Award_Date+In_PB_Days-1,AI$4)-MAX($F48,AI$3)+1)/AI$5)</f>
        <v>0</v>
      </c>
      <c r="AJ48" s="33" t="n">
        <f aca="false">$E48*MAX(0,(MIN(In_Award_Date+In_PB_Days-1,AJ$4)-MAX($F48,AJ$3)+1)/AJ$5)</f>
        <v>0</v>
      </c>
      <c r="AK48" s="33" t="n">
        <f aca="false">$E48*MAX(0,(MIN(In_Award_Date+In_PB_Days-1,AK$4)-MAX($F48,AK$3)+1)/AK$5)</f>
        <v>0</v>
      </c>
      <c r="AL48" s="33" t="n">
        <f aca="false">$E48*MAX(0,(MIN(In_Award_Date+In_PB_Days-1,AL$4)-MAX($F48,AL$3)+1)/AL$5)</f>
        <v>0</v>
      </c>
      <c r="AM48" s="33" t="n">
        <f aca="false">$E48*MAX(0,(MIN(In_Award_Date+In_PB_Days-1,AM$4)-MAX($F48,AM$3)+1)/AM$5)</f>
        <v>0</v>
      </c>
      <c r="AN48" s="33" t="n">
        <f aca="false">$E48*MAX(0,(MIN(In_Award_Date+In_PB_Days-1,AN$4)-MAX($F48,AN$3)+1)/AN$5)</f>
        <v>0</v>
      </c>
      <c r="AO48" s="33" t="n">
        <f aca="false">$E48*MAX(0,(MIN(In_Award_Date+In_PB_Days-1,AO$4)-MAX($F48,AO$3)+1)/AO$5)</f>
        <v>0</v>
      </c>
      <c r="AP48" s="33" t="n">
        <f aca="false">$E48*MAX(0,(MIN(In_Award_Date+In_PB_Days-1,AP$4)-MAX($F48,AP$3)+1)/AP$5)</f>
        <v>0</v>
      </c>
      <c r="AQ48" s="33" t="n">
        <f aca="false">$E48*MAX(0,(MIN(In_Award_Date+In_PB_Days-1,AQ$4)-MAX($F48,AQ$3)+1)/AQ$5)</f>
        <v>0</v>
      </c>
      <c r="AR48" s="33" t="n">
        <f aca="false">$E48*MAX(0,(MIN(In_Award_Date+In_PB_Days-1,AR$4)-MAX($F48,AR$3)+1)/AR$5)</f>
        <v>0</v>
      </c>
      <c r="AS48" s="33" t="n">
        <f aca="false">$E48*MAX(0,(MIN(In_Award_Date+In_PB_Days-1,AS$4)-MAX($F48,AS$3)+1)/AS$5)</f>
        <v>0</v>
      </c>
      <c r="AT48" s="33" t="n">
        <f aca="false">$E48*MAX(0,(MIN(In_Award_Date+In_PB_Days-1,AT$4)-MAX($F48,AT$3)+1)/AT$5)</f>
        <v>0</v>
      </c>
      <c r="AU48" s="33" t="n">
        <f aca="false">$E48*MAX(0,(MIN(In_Award_Date+In_PB_Days-1,AU$4)-MAX($F48,AU$3)+1)/AU$5)</f>
        <v>0</v>
      </c>
      <c r="AV48" s="33" t="n">
        <f aca="false">$E48*MAX(0,(MIN(In_Award_Date+In_PB_Days-1,AV$4)-MAX($F48,AV$3)+1)/AV$5)</f>
        <v>0</v>
      </c>
      <c r="AW48" s="33" t="n">
        <f aca="false">$E48*MAX(0,(MIN(In_Award_Date+In_PB_Days-1,AW$4)-MAX($F48,AW$3)+1)/AW$5)</f>
        <v>0</v>
      </c>
      <c r="AX48" s="33" t="n">
        <f aca="false">$E48*MAX(0,(MIN(In_Award_Date+In_PB_Days-1,AX$4)-MAX($F48,AX$3)+1)/AX$5)</f>
        <v>0</v>
      </c>
      <c r="AY48" s="33" t="n">
        <f aca="false">$E48*MAX(0,(MIN(In_Award_Date+In_PB_Days-1,AY$4)-MAX($F48,AY$3)+1)/AY$5)</f>
        <v>0</v>
      </c>
      <c r="AZ48" s="33" t="n">
        <f aca="false">$E48*MAX(0,(MIN(In_Award_Date+In_PB_Days-1,AZ$4)-MAX($F48,AZ$3)+1)/AZ$5)</f>
        <v>0</v>
      </c>
      <c r="BA48" s="33" t="n">
        <f aca="false">$E48*MAX(0,(MIN(In_Award_Date+In_PB_Days-1,BA$4)-MAX($F48,BA$3)+1)/BA$5)</f>
        <v>0</v>
      </c>
      <c r="BB48" s="33" t="n">
        <f aca="false">$E48*MAX(0,(MIN(In_Award_Date+In_PB_Days-1,BB$4)-MAX($F48,BB$3)+1)/BB$5)</f>
        <v>0</v>
      </c>
      <c r="BC48" s="33" t="n">
        <f aca="false">$E48*MAX(0,(MIN(In_Award_Date+In_PB_Days-1,BC$4)-MAX($F48,BC$3)+1)/BC$5)</f>
        <v>0</v>
      </c>
      <c r="BD48" s="33" t="n">
        <f aca="false">$E48*MAX(0,(MIN(In_Award_Date+In_PB_Days-1,BD$4)-MAX($F48,BD$3)+1)/BD$5)</f>
        <v>0</v>
      </c>
      <c r="BE48" s="33" t="n">
        <f aca="false">$E48*MAX(0,(MIN(In_Award_Date+In_PB_Days-1,BE$4)-MAX($F48,BE$3)+1)/BE$5)</f>
        <v>0</v>
      </c>
      <c r="BF48" s="33" t="n">
        <f aca="false">$E48*MAX(0,(MIN(In_Award_Date+In_PB_Days-1,BF$4)-MAX($F48,BF$3)+1)/BF$5)</f>
        <v>0</v>
      </c>
      <c r="BG48" s="33" t="n">
        <f aca="false">$E48*MAX(0,(MIN(In_Award_Date+In_PB_Days-1,BG$4)-MAX($F48,BG$3)+1)/BG$5)</f>
        <v>0</v>
      </c>
      <c r="BH48" s="33" t="n">
        <f aca="false">$E48*MAX(0,(MIN(In_Award_Date+In_PB_Days-1,BH$4)-MAX($F48,BH$3)+1)/BH$5)</f>
        <v>0</v>
      </c>
      <c r="BI48" s="33" t="n">
        <f aca="false">$E48*MAX(0,(MIN(In_Award_Date+In_PB_Days-1,BI$4)-MAX($F48,BI$3)+1)/BI$5)</f>
        <v>0</v>
      </c>
      <c r="BJ48" s="33" t="n">
        <f aca="false">$E48*MAX(0,(MIN(In_Award_Date+In_PB_Days-1,BJ$4)-MAX($F48,BJ$3)+1)/BJ$5)</f>
        <v>0</v>
      </c>
      <c r="BK48" s="33" t="n">
        <f aca="false">$E48*MAX(0,(MIN(In_Award_Date+In_PB_Days-1,BK$4)-MAX($F48,BK$3)+1)/BK$5)</f>
        <v>0</v>
      </c>
      <c r="BL48" s="33" t="n">
        <f aca="false">$E48*MAX(0,(MIN(In_Award_Date+In_PB_Days-1,BL$4)-MAX($F48,BL$3)+1)/BL$5)</f>
        <v>0</v>
      </c>
      <c r="BM48" s="33" t="n">
        <f aca="false">$E48*MAX(0,(MIN(In_Award_Date+In_PB_Days-1,BM$4)-MAX($F48,BM$3)+1)/BM$5)</f>
        <v>0</v>
      </c>
      <c r="BN48" s="33" t="n">
        <f aca="false">$E48*MAX(0,(MIN(In_Award_Date+In_PB_Days-1,BN$4)-MAX($F48,BN$3)+1)/BN$5)</f>
        <v>0</v>
      </c>
      <c r="BO48" s="33" t="n">
        <f aca="false">$E48*MAX(0,(MIN(In_Award_Date+In_PB_Days-1,BO$4)-MAX($F48,BO$3)+1)/BO$5)</f>
        <v>0</v>
      </c>
      <c r="BP48" s="33" t="n">
        <f aca="false">$E48*MAX(0,(MIN(In_Award_Date+In_PB_Days-1,BP$4)-MAX($F48,BP$3)+1)/BP$5)</f>
        <v>0</v>
      </c>
      <c r="BQ48" s="33" t="n">
        <f aca="false">$E48*MAX(0,(MIN(In_Award_Date+In_PB_Days-1,BQ$4)-MAX($F48,BQ$3)+1)/BQ$5)</f>
        <v>0</v>
      </c>
      <c r="BR48" s="33" t="n">
        <f aca="false">$E48*MAX(0,(MIN(In_Award_Date+In_PB_Days-1,BR$4)-MAX($F48,BR$3)+1)/BR$5)</f>
        <v>0</v>
      </c>
      <c r="BS48" s="33" t="n">
        <f aca="false">$E48*MAX(0,(MIN(In_Award_Date+In_PB_Days-1,BS$4)-MAX($F48,BS$3)+1)/BS$5)</f>
        <v>0</v>
      </c>
      <c r="BT48" s="33" t="n">
        <f aca="false">$E48*MAX(0,(MIN(In_Award_Date+In_PB_Days-1,BT$4)-MAX($F48,BT$3)+1)/BT$5)</f>
        <v>0</v>
      </c>
      <c r="BU48" s="33" t="n">
        <f aca="false">$E48*MAX(0,(MIN(In_Award_Date+In_PB_Days-1,BU$4)-MAX($F48,BU$3)+1)/BU$5)</f>
        <v>0</v>
      </c>
      <c r="BV48" s="33" t="n">
        <f aca="false">$E48*MAX(0,(MIN(In_Award_Date+In_PB_Days-1,BV$4)-MAX($F48,BV$3)+1)/BV$5)</f>
        <v>0</v>
      </c>
      <c r="BW48" s="33" t="n">
        <f aca="false">$E48*MAX(0,(MIN(In_Award_Date+In_PB_Days-1,BW$4)-MAX($F48,BW$3)+1)/BW$5)</f>
        <v>0</v>
      </c>
      <c r="BX48" s="33" t="n">
        <f aca="false">$E48*MAX(0,(MIN(In_Award_Date+In_PB_Days-1,BX$4)-MAX($F48,BX$3)+1)/BX$5)</f>
        <v>0</v>
      </c>
      <c r="BY48" s="33" t="n">
        <f aca="false">$E48*MAX(0,(MIN(In_Award_Date+In_PB_Days-1,BY$4)-MAX($F48,BY$3)+1)/BY$5)</f>
        <v>0</v>
      </c>
      <c r="BZ48" s="33" t="n">
        <f aca="false">$E48*MAX(0,(MIN(In_Award_Date+In_PB_Days-1,BZ$4)-MAX($F48,BZ$3)+1)/BZ$5)</f>
        <v>0</v>
      </c>
      <c r="CA48" s="33" t="n">
        <f aca="false">$E48*MAX(0,(MIN(In_Award_Date+In_PB_Days-1,CA$4)-MAX($F48,CA$3)+1)/CA$5)</f>
        <v>0</v>
      </c>
      <c r="CB48" s="33" t="n">
        <f aca="false">$E48*MAX(0,(MIN(In_Award_Date+In_PB_Days-1,CB$4)-MAX($F48,CB$3)+1)/CB$5)</f>
        <v>0</v>
      </c>
      <c r="CC48" s="33" t="n">
        <f aca="false">$E48*MAX(0,(MIN(In_Award_Date+In_PB_Days-1,CC$4)-MAX($F48,CC$3)+1)/CC$5)</f>
        <v>0</v>
      </c>
      <c r="CD48" s="33" t="n">
        <f aca="false">$E48*MAX(0,(MIN(In_Award_Date+In_PB_Days-1,CD$4)-MAX($F48,CD$3)+1)/CD$5)</f>
        <v>0</v>
      </c>
      <c r="CE48" s="33" t="n">
        <f aca="false">$E48*MAX(0,(MIN(In_Award_Date+In_PB_Days-1,CE$4)-MAX($F48,CE$3)+1)/CE$5)</f>
        <v>0</v>
      </c>
      <c r="CF48" s="33" t="n">
        <f aca="false">$E48*MAX(0,(MIN(In_Award_Date+In_PB_Days-1,CF$4)-MAX($F48,CF$3)+1)/CF$5)</f>
        <v>0</v>
      </c>
      <c r="CG48" s="33" t="n">
        <f aca="false">$E48*MAX(0,(MIN(In_Award_Date+In_PB_Days-1,CG$4)-MAX($F48,CG$3)+1)/CG$5)</f>
        <v>0</v>
      </c>
      <c r="CH48" s="33" t="n">
        <f aca="false">$E48*MAX(0,(MIN(In_Award_Date+In_PB_Days-1,CH$4)-MAX($F48,CH$3)+1)/CH$5)</f>
        <v>0</v>
      </c>
      <c r="CI48" s="33" t="n">
        <f aca="false">$E48*MAX(0,(MIN(In_Award_Date+In_PB_Days-1,CI$4)-MAX($F48,CI$3)+1)/CI$5)</f>
        <v>0</v>
      </c>
      <c r="CJ48" s="33" t="n">
        <f aca="false">$E48*MAX(0,(MIN(In_Award_Date+In_PB_Days-1,CJ$4)-MAX($F48,CJ$3)+1)/CJ$5)</f>
        <v>0</v>
      </c>
      <c r="CK48" s="33" t="n">
        <f aca="false">$E48*MAX(0,(MIN(In_Award_Date+In_PB_Days-1,CK$4)-MAX($F48,CK$3)+1)/CK$5)</f>
        <v>0</v>
      </c>
      <c r="CL48" s="33" t="n">
        <f aca="false">$E48*MAX(0,(MIN(In_Award_Date+In_PB_Days-1,CL$4)-MAX($F48,CL$3)+1)/CL$5)</f>
        <v>0</v>
      </c>
      <c r="CM48" s="33" t="n">
        <f aca="false">$E48*MAX(0,(MIN(In_Award_Date+In_PB_Days-1,CM$4)-MAX($F48,CM$3)+1)/CM$5)</f>
        <v>0</v>
      </c>
      <c r="CN48" s="33" t="n">
        <f aca="false">$E48*MAX(0,(MIN(In_Award_Date+In_PB_Days-1,CN$4)-MAX($F48,CN$3)+1)/CN$5)</f>
        <v>0</v>
      </c>
      <c r="CO48" s="33" t="n">
        <f aca="false">$E48*MAX(0,(MIN(In_Award_Date+In_PB_Days-1,CO$4)-MAX($F48,CO$3)+1)/CO$5)</f>
        <v>0</v>
      </c>
      <c r="CP48" s="33" t="n">
        <f aca="false">$E48*MAX(0,(MIN(In_Award_Date+In_PB_Days-1,CP$4)-MAX($F48,CP$3)+1)/CP$5)</f>
        <v>0</v>
      </c>
      <c r="CQ48" s="33" t="n">
        <f aca="false">$E48*MAX(0,(MIN(In_Award_Date+In_PB_Days-1,CQ$4)-MAX($F48,CQ$3)+1)/CQ$5)</f>
        <v>0</v>
      </c>
      <c r="CR48" s="33" t="n">
        <f aca="false">$E48*MAX(0,(MIN(In_Award_Date+In_PB_Days-1,CR$4)-MAX($F48,CR$3)+1)/CR$5)</f>
        <v>0</v>
      </c>
      <c r="CS48" s="33" t="n">
        <f aca="false">$E48*MAX(0,(MIN(In_Award_Date+In_PB_Days-1,CS$4)-MAX($F48,CS$3)+1)/CS$5)</f>
        <v>0</v>
      </c>
      <c r="CT48" s="33" t="n">
        <f aca="false">$E48*MAX(0,(MIN(In_Award_Date+In_PB_Days-1,CT$4)-MAX($F48,CT$3)+1)/CT$5)</f>
        <v>0</v>
      </c>
      <c r="CU48" s="33" t="n">
        <f aca="false">$E48*MAX(0,(MIN(In_Award_Date+In_PB_Days-1,CU$4)-MAX($F48,CU$3)+1)/CU$5)</f>
        <v>0</v>
      </c>
      <c r="CV48" s="33" t="n">
        <f aca="false">$E48*MAX(0,(MIN(In_Award_Date+In_PB_Days-1,CV$4)-MAX($F48,CV$3)+1)/CV$5)</f>
        <v>0</v>
      </c>
      <c r="CW48" s="33" t="n">
        <f aca="false">$E48*MAX(0,(MIN(In_Award_Date+In_PB_Days-1,CW$4)-MAX($F48,CW$3)+1)/CW$5)</f>
        <v>0</v>
      </c>
      <c r="CX48" s="33" t="n">
        <f aca="false">$E48*MAX(0,(MIN(In_Award_Date+In_PB_Days-1,CX$4)-MAX($F48,CX$3)+1)/CX$5)</f>
        <v>0</v>
      </c>
      <c r="CY48" s="33" t="n">
        <f aca="false">$E48*MAX(0,(MIN(In_Award_Date+In_PB_Days-1,CY$4)-MAX($F48,CY$3)+1)/CY$5)</f>
        <v>0</v>
      </c>
      <c r="CZ48" s="33" t="n">
        <f aca="false">$E48*MAX(0,(MIN(In_Award_Date+In_PB_Days-1,CZ$4)-MAX($F48,CZ$3)+1)/CZ$5)</f>
        <v>0</v>
      </c>
      <c r="DA48" s="33" t="n">
        <f aca="false">$E48*MAX(0,(MIN(In_Award_Date+In_PB_Days-1,DA$4)-MAX($F48,DA$3)+1)/DA$5)</f>
        <v>0</v>
      </c>
      <c r="DB48" s="33" t="n">
        <f aca="false">$E48*MAX(0,(MIN(In_Award_Date+In_PB_Days-1,DB$4)-MAX($F48,DB$3)+1)/DB$5)</f>
        <v>0</v>
      </c>
      <c r="DC48" s="33" t="n">
        <f aca="false">$E48*MAX(0,(MIN(In_Award_Date+In_PB_Days-1,DC$4)-MAX($F48,DC$3)+1)/DC$5)</f>
        <v>0</v>
      </c>
      <c r="DD48" s="33" t="n">
        <f aca="false">$E48*MAX(0,(MIN(In_Award_Date+In_PB_Days-1,DD$4)-MAX($F48,DD$3)+1)/DD$5)</f>
        <v>0</v>
      </c>
      <c r="DE48" s="33" t="n">
        <f aca="false">$E48*MAX(0,(MIN(In_Award_Date+In_PB_Days-1,DE$4)-MAX($F48,DE$3)+1)/DE$5)</f>
        <v>0</v>
      </c>
      <c r="DF48" s="33" t="n">
        <f aca="false">$E48*MAX(0,(MIN(In_Award_Date+In_PB_Days-1,DF$4)-MAX($F48,DF$3)+1)/DF$5)</f>
        <v>0</v>
      </c>
      <c r="DG48" s="33" t="n">
        <f aca="false">$E48*MAX(0,(MIN(In_Award_Date+In_PB_Days-1,DG$4)-MAX($F48,DG$3)+1)/DG$5)</f>
        <v>0</v>
      </c>
      <c r="DH48" s="33" t="n">
        <f aca="false">$E48*MAX(0,(MIN(In_Award_Date+In_PB_Days-1,DH$4)-MAX($F48,DH$3)+1)/DH$5)</f>
        <v>0</v>
      </c>
      <c r="DI48" s="33" t="n">
        <f aca="false">$E48*MAX(0,(MIN(In_Award_Date+In_PB_Days-1,DI$4)-MAX($F48,DI$3)+1)/DI$5)</f>
        <v>0</v>
      </c>
      <c r="DJ48" s="33" t="n">
        <f aca="false">$E48*MAX(0,(MIN(In_Award_Date+In_PB_Days-1,DJ$4)-MAX($F48,DJ$3)+1)/DJ$5)</f>
        <v>0</v>
      </c>
      <c r="DK48" s="33" t="n">
        <f aca="false">$E48*MAX(0,(MIN(In_Award_Date+In_PB_Days-1,DK$4)-MAX($F48,DK$3)+1)/DK$5)</f>
        <v>0</v>
      </c>
      <c r="DL48" s="33" t="n">
        <f aca="false">$E48*MAX(0,(MIN(In_Award_Date+In_PB_Days-1,DL$4)-MAX($F48,DL$3)+1)/DL$5)</f>
        <v>0</v>
      </c>
      <c r="DM48" s="33" t="n">
        <f aca="false">$E48*MAX(0,(MIN(In_Award_Date+In_PB_Days-1,DM$4)-MAX($F48,DM$3)+1)/DM$5)</f>
        <v>0</v>
      </c>
      <c r="DN48" s="33" t="n">
        <f aca="false">$E48*MAX(0,(MIN(In_Award_Date+In_PB_Days-1,DN$4)-MAX($F48,DN$3)+1)/DN$5)</f>
        <v>0</v>
      </c>
      <c r="DO48" s="33" t="n">
        <f aca="false">$E48*MAX(0,(MIN(In_Award_Date+In_PB_Days-1,DO$4)-MAX($F48,DO$3)+1)/DO$5)</f>
        <v>0</v>
      </c>
      <c r="DP48" s="33" t="n">
        <f aca="false">$E48*MAX(0,(MIN(In_Award_Date+In_PB_Days-1,DP$4)-MAX($F48,DP$3)+1)/DP$5)</f>
        <v>0</v>
      </c>
      <c r="DQ48" s="33" t="n">
        <f aca="false">$E48*MAX(0,(MIN(In_Award_Date+In_PB_Days-1,DQ$4)-MAX($F48,DQ$3)+1)/DQ$5)</f>
        <v>0</v>
      </c>
      <c r="DR48" s="33" t="n">
        <f aca="false">$E48*MAX(0,(MIN(In_Award_Date+In_PB_Days-1,DR$4)-MAX($F48,DR$3)+1)/DR$5)</f>
        <v>0</v>
      </c>
      <c r="DS48" s="33" t="n">
        <f aca="false">$E48*MAX(0,(MIN(In_Award_Date+In_PB_Days-1,DS$4)-MAX($F48,DS$3)+1)/DS$5)</f>
        <v>0</v>
      </c>
      <c r="DT48" s="33" t="n">
        <f aca="false">$E48*MAX(0,(MIN(In_Award_Date+In_PB_Days-1,DT$4)-MAX($F48,DT$3)+1)/DT$5)</f>
        <v>0</v>
      </c>
      <c r="DU48" s="33" t="n">
        <f aca="false">$E48*MAX(0,(MIN(In_Award_Date+In_PB_Days-1,DU$4)-MAX($F48,DU$3)+1)/DU$5)</f>
        <v>0</v>
      </c>
      <c r="DV48" s="33" t="n">
        <f aca="false">$E48*MAX(0,(MIN(In_Award_Date+In_PB_Days-1,DV$4)-MAX($F48,DV$3)+1)/DV$5)</f>
        <v>0</v>
      </c>
      <c r="DW48" s="33" t="n">
        <f aca="false">$E48*MAX(0,(MIN(In_Award_Date+In_PB_Days-1,DW$4)-MAX($F48,DW$3)+1)/DW$5)</f>
        <v>0</v>
      </c>
      <c r="DX48" s="33" t="n">
        <f aca="false">$E48*MAX(0,(MIN(In_Award_Date+In_PB_Days-1,DX$4)-MAX($F48,DX$3)+1)/DX$5)</f>
        <v>0</v>
      </c>
      <c r="DY48" s="33" t="n">
        <f aca="false">$E48*MAX(0,(MIN(In_Award_Date+In_PB_Days-1,DY$4)-MAX($F48,DY$3)+1)/DY$5)</f>
        <v>0</v>
      </c>
      <c r="DZ48" s="33" t="n">
        <f aca="false">$E48*MAX(0,(MIN(In_Award_Date+In_PB_Days-1,DZ$4)-MAX($F48,DZ$3)+1)/DZ$5)</f>
        <v>0</v>
      </c>
      <c r="EA48" s="33" t="n">
        <f aca="false">$E48*MAX(0,(MIN(In_Award_Date+In_PB_Days-1,EA$4)-MAX($F48,EA$3)+1)/EA$5)</f>
        <v>0</v>
      </c>
      <c r="EB48" s="33" t="n">
        <f aca="false">$E48*MAX(0,(MIN(In_Award_Date+In_PB_Days-1,EB$4)-MAX($F48,EB$3)+1)/EB$5)</f>
        <v>0</v>
      </c>
      <c r="EC48" s="33" t="n">
        <f aca="false">$E48*MAX(0,(MIN(In_Award_Date+In_PB_Days-1,EC$4)-MAX($F48,EC$3)+1)/EC$5)</f>
        <v>0</v>
      </c>
      <c r="ED48" s="33" t="n">
        <f aca="false">$E48*MAX(0,(MIN(In_Award_Date+In_PB_Days-1,ED$4)-MAX($F48,ED$3)+1)/ED$5)</f>
        <v>0</v>
      </c>
      <c r="EE48" s="33" t="n">
        <f aca="false">$E48*MAX(0,(MIN(In_Award_Date+In_PB_Days-1,EE$4)-MAX($F48,EE$3)+1)/EE$5)</f>
        <v>0</v>
      </c>
      <c r="EF48" s="33" t="n">
        <f aca="false">$E48*MAX(0,(MIN(In_Award_Date+In_PB_Days-1,EF$4)-MAX($F48,EF$3)+1)/EF$5)</f>
        <v>0</v>
      </c>
      <c r="EG48" s="33" t="n">
        <f aca="false">$E48*MAX(0,(MIN(In_Award_Date+In_PB_Days-1,EG$4)-MAX($F48,EG$3)+1)/EG$5)</f>
        <v>0</v>
      </c>
      <c r="EH48" s="33" t="n">
        <f aca="false">$E48*MAX(0,(MIN(In_Award_Date+In_PB_Days-1,EH$4)-MAX($F48,EH$3)+1)/EH$5)</f>
        <v>0</v>
      </c>
      <c r="EI48" s="33" t="n">
        <f aca="false">$E48*MAX(0,(MIN(In_Award_Date+In_PB_Days-1,EI$4)-MAX($F48,EI$3)+1)/EI$5)</f>
        <v>0</v>
      </c>
      <c r="EJ48" s="33" t="n">
        <f aca="false">$E48*MAX(0,(MIN(In_Award_Date+In_PB_Days-1,EJ$4)-MAX($F48,EJ$3)+1)/EJ$5)</f>
        <v>0</v>
      </c>
      <c r="EK48" s="33" t="n">
        <f aca="false">$E48*MAX(0,(MIN(In_Award_Date+In_PB_Days-1,EK$4)-MAX($F48,EK$3)+1)/EK$5)</f>
        <v>0</v>
      </c>
      <c r="EL48" s="33" t="n">
        <f aca="false">$E48*MAX(0,(MIN(In_Award_Date+In_PB_Days-1,EL$4)-MAX($F48,EL$3)+1)/EL$5)</f>
        <v>0</v>
      </c>
      <c r="EM48" s="33" t="n">
        <f aca="false">$E48*MAX(0,(MIN(In_Award_Date+In_PB_Days-1,EM$4)-MAX($F48,EM$3)+1)/EM$5)</f>
        <v>0</v>
      </c>
      <c r="EN48" s="33" t="n">
        <f aca="false">$E48*MAX(0,(MIN(In_Award_Date+In_PB_Days-1,EN$4)-MAX($F48,EN$3)+1)/EN$5)</f>
        <v>0</v>
      </c>
      <c r="EO48" s="33" t="n">
        <f aca="false">$E48*MAX(0,(MIN(In_Award_Date+In_PB_Days-1,EO$4)-MAX($F48,EO$3)+1)/EO$5)</f>
        <v>0</v>
      </c>
      <c r="EP48" s="33" t="n">
        <f aca="false">$E48*MAX(0,(MIN(In_Award_Date+In_PB_Days-1,EP$4)-MAX($F48,EP$3)+1)/EP$5)</f>
        <v>0</v>
      </c>
      <c r="EQ48" s="33" t="n">
        <f aca="false">$E48*MAX(0,(MIN(In_Award_Date+In_PB_Days-1,EQ$4)-MAX($F48,EQ$3)+1)/EQ$5)</f>
        <v>0</v>
      </c>
      <c r="ER48" s="33" t="n">
        <f aca="false">$E48*MAX(0,(MIN(In_Award_Date+In_PB_Days-1,ER$4)-MAX($F48,ER$3)+1)/ER$5)</f>
        <v>0</v>
      </c>
      <c r="ES48" s="33" t="n">
        <f aca="false">$E48*MAX(0,(MIN(In_Award_Date+In_PB_Days-1,ES$4)-MAX($F48,ES$3)+1)/ES$5)</f>
        <v>0</v>
      </c>
      <c r="ET48" s="33" t="n">
        <f aca="false">$E48*MAX(0,(MIN(In_Award_Date+In_PB_Days-1,ET$4)-MAX($F48,ET$3)+1)/ET$5)</f>
        <v>0</v>
      </c>
    </row>
    <row r="49" customFormat="false" ht="15" hidden="false" customHeight="false" outlineLevel="0" collapsed="false">
      <c r="C49" s="0" t="s">
        <v>518</v>
      </c>
      <c r="D49" s="11" t="s">
        <v>253</v>
      </c>
      <c r="E49" s="33" t="n">
        <f aca="false">In_PB_Rate*$E35*$E45*Thousand/In_FX</f>
        <v>6993.56164383562</v>
      </c>
      <c r="F49" s="44" t="n">
        <f aca="false">In_Award_Date+In_PB_Days</f>
        <v>46384</v>
      </c>
      <c r="J49" s="33" t="n">
        <f aca="false">$E49*MAX(0,(MIN(In_PB_Release,J$4)-MAX($F49,J$3)+1)/J$5)</f>
        <v>0</v>
      </c>
      <c r="K49" s="33" t="n">
        <f aca="false">$E49*MAX(0,(MIN(In_PB_Release,K$4)-MAX($F49,K$3)+1)/K$5)</f>
        <v>304.06789755807</v>
      </c>
      <c r="L49" s="33" t="n">
        <f aca="false">$E49*MAX(0,(MIN(In_PB_Release,L$4)-MAX($F49,L$3)+1)/L$5)</f>
        <v>6993.56164383562</v>
      </c>
      <c r="M49" s="33" t="n">
        <f aca="false">$E49*MAX(0,(MIN(In_PB_Release,M$4)-MAX($F49,M$3)+1)/M$5)</f>
        <v>6993.56164383562</v>
      </c>
      <c r="N49" s="33" t="n">
        <f aca="false">$E49*MAX(0,(MIN(In_PB_Release,N$4)-MAX($F49,N$3)+1)/N$5)</f>
        <v>6993.56164383562</v>
      </c>
      <c r="O49" s="33" t="n">
        <f aca="false">$E49*MAX(0,(MIN(In_PB_Release,O$4)-MAX($F49,O$3)+1)/O$5)</f>
        <v>6993.56164383562</v>
      </c>
      <c r="P49" s="33" t="n">
        <f aca="false">$E49*MAX(0,(MIN(In_PB_Release,P$4)-MAX($F49,P$3)+1)/P$5)</f>
        <v>6993.56164383562</v>
      </c>
      <c r="Q49" s="33" t="n">
        <f aca="false">$E49*MAX(0,(MIN(In_PB_Release,Q$4)-MAX($F49,Q$3)+1)/Q$5)</f>
        <v>6993.56164383562</v>
      </c>
      <c r="R49" s="33" t="n">
        <f aca="false">$E49*MAX(0,(MIN(In_PB_Release,R$4)-MAX($F49,R$3)+1)/R$5)</f>
        <v>6993.56164383562</v>
      </c>
      <c r="S49" s="33" t="n">
        <f aca="false">$E49*MAX(0,(MIN(In_PB_Release,S$4)-MAX($F49,S$3)+1)/S$5)</f>
        <v>6993.56164383562</v>
      </c>
      <c r="T49" s="33" t="n">
        <f aca="false">$E49*MAX(0,(MIN(In_PB_Release,T$4)-MAX($F49,T$3)+1)/T$5)</f>
        <v>6993.56164383562</v>
      </c>
      <c r="U49" s="33" t="n">
        <f aca="false">$E49*MAX(0,(MIN(In_PB_Release,U$4)-MAX($F49,U$3)+1)/U$5)</f>
        <v>6993.56164383562</v>
      </c>
      <c r="V49" s="33" t="n">
        <f aca="false">$E49*MAX(0,(MIN(In_PB_Release,V$4)-MAX($F49,V$3)+1)/V$5)</f>
        <v>6993.56164383562</v>
      </c>
      <c r="W49" s="33" t="n">
        <f aca="false">$E49*MAX(0,(MIN(In_PB_Release,W$4)-MAX($F49,W$3)+1)/W$5)</f>
        <v>6993.56164383562</v>
      </c>
      <c r="X49" s="33" t="n">
        <f aca="false">$E49*MAX(0,(MIN(In_PB_Release,X$4)-MAX($F49,X$3)+1)/X$5)</f>
        <v>6993.56164383562</v>
      </c>
      <c r="Y49" s="33" t="n">
        <f aca="false">$E49*MAX(0,(MIN(In_PB_Release,Y$4)-MAX($F49,Y$3)+1)/Y$5)</f>
        <v>6993.56164383562</v>
      </c>
      <c r="Z49" s="33" t="n">
        <f aca="false">$E49*MAX(0,(MIN(In_PB_Release,Z$4)-MAX($F49,Z$3)+1)/Z$5)</f>
        <v>6993.56164383562</v>
      </c>
      <c r="AA49" s="33" t="n">
        <f aca="false">$E49*MAX(0,(MIN(In_PB_Release,AA$4)-MAX($F49,AA$3)+1)/AA$5)</f>
        <v>6993.56164383562</v>
      </c>
      <c r="AB49" s="33" t="n">
        <f aca="false">$E49*MAX(0,(MIN(In_PB_Release,AB$4)-MAX($F49,AB$3)+1)/AB$5)</f>
        <v>6993.56164383562</v>
      </c>
      <c r="AC49" s="33" t="n">
        <f aca="false">$E49*MAX(0,(MIN(In_PB_Release,AC$4)-MAX($F49,AC$3)+1)/AC$5)</f>
        <v>6993.56164383562</v>
      </c>
      <c r="AD49" s="33" t="n">
        <f aca="false">$E49*MAX(0,(MIN(In_PB_Release,AD$4)-MAX($F49,AD$3)+1)/AD$5)</f>
        <v>6993.56164383562</v>
      </c>
      <c r="AE49" s="33" t="n">
        <f aca="false">$E49*MAX(0,(MIN(In_PB_Release,AE$4)-MAX($F49,AE$3)+1)/AE$5)</f>
        <v>6993.56164383562</v>
      </c>
      <c r="AF49" s="33" t="n">
        <f aca="false">$E49*MAX(0,(MIN(In_PB_Release,AF$4)-MAX($F49,AF$3)+1)/AF$5)</f>
        <v>6993.56164383562</v>
      </c>
      <c r="AG49" s="33" t="n">
        <f aca="false">$E49*MAX(0,(MIN(In_PB_Release,AG$4)-MAX($F49,AG$3)+1)/AG$5)</f>
        <v>6993.56164383562</v>
      </c>
      <c r="AH49" s="33" t="n">
        <f aca="false">$E49*MAX(0,(MIN(In_PB_Release,AH$4)-MAX($F49,AH$3)+1)/AH$5)</f>
        <v>6993.56164383562</v>
      </c>
      <c r="AI49" s="33" t="n">
        <f aca="false">$E49*MAX(0,(MIN(In_PB_Release,AI$4)-MAX($F49,AI$3)+1)/AI$5)</f>
        <v>6993.56164383562</v>
      </c>
      <c r="AJ49" s="33" t="n">
        <f aca="false">$E49*MAX(0,(MIN(In_PB_Release,AJ$4)-MAX($F49,AJ$3)+1)/AJ$5)</f>
        <v>6993.56164383562</v>
      </c>
      <c r="AK49" s="33" t="n">
        <f aca="false">$E49*MAX(0,(MIN(In_PB_Release,AK$4)-MAX($F49,AK$3)+1)/AK$5)</f>
        <v>0</v>
      </c>
      <c r="AL49" s="33" t="n">
        <f aca="false">$E49*MAX(0,(MIN(In_PB_Release,AL$4)-MAX($F49,AL$3)+1)/AL$5)</f>
        <v>0</v>
      </c>
      <c r="AM49" s="33" t="n">
        <f aca="false">$E49*MAX(0,(MIN(In_PB_Release,AM$4)-MAX($F49,AM$3)+1)/AM$5)</f>
        <v>0</v>
      </c>
      <c r="AN49" s="33" t="n">
        <f aca="false">$E49*MAX(0,(MIN(In_PB_Release,AN$4)-MAX($F49,AN$3)+1)/AN$5)</f>
        <v>0</v>
      </c>
      <c r="AO49" s="33" t="n">
        <f aca="false">$E49*MAX(0,(MIN(In_PB_Release,AO$4)-MAX($F49,AO$3)+1)/AO$5)</f>
        <v>0</v>
      </c>
      <c r="AP49" s="33" t="n">
        <f aca="false">$E49*MAX(0,(MIN(In_PB_Release,AP$4)-MAX($F49,AP$3)+1)/AP$5)</f>
        <v>0</v>
      </c>
      <c r="AQ49" s="33" t="n">
        <f aca="false">$E49*MAX(0,(MIN(In_PB_Release,AQ$4)-MAX($F49,AQ$3)+1)/AQ$5)</f>
        <v>0</v>
      </c>
      <c r="AR49" s="33" t="n">
        <f aca="false">$E49*MAX(0,(MIN(In_PB_Release,AR$4)-MAX($F49,AR$3)+1)/AR$5)</f>
        <v>0</v>
      </c>
      <c r="AS49" s="33" t="n">
        <f aca="false">$E49*MAX(0,(MIN(In_PB_Release,AS$4)-MAX($F49,AS$3)+1)/AS$5)</f>
        <v>0</v>
      </c>
      <c r="AT49" s="33" t="n">
        <f aca="false">$E49*MAX(0,(MIN(In_PB_Release,AT$4)-MAX($F49,AT$3)+1)/AT$5)</f>
        <v>0</v>
      </c>
      <c r="AU49" s="33" t="n">
        <f aca="false">$E49*MAX(0,(MIN(In_PB_Release,AU$4)-MAX($F49,AU$3)+1)/AU$5)</f>
        <v>0</v>
      </c>
      <c r="AV49" s="33" t="n">
        <f aca="false">$E49*MAX(0,(MIN(In_PB_Release,AV$4)-MAX($F49,AV$3)+1)/AV$5)</f>
        <v>0</v>
      </c>
      <c r="AW49" s="33" t="n">
        <f aca="false">$E49*MAX(0,(MIN(In_PB_Release,AW$4)-MAX($F49,AW$3)+1)/AW$5)</f>
        <v>0</v>
      </c>
      <c r="AX49" s="33" t="n">
        <f aca="false">$E49*MAX(0,(MIN(In_PB_Release,AX$4)-MAX($F49,AX$3)+1)/AX$5)</f>
        <v>0</v>
      </c>
      <c r="AY49" s="33" t="n">
        <f aca="false">$E49*MAX(0,(MIN(In_PB_Release,AY$4)-MAX($F49,AY$3)+1)/AY$5)</f>
        <v>0</v>
      </c>
      <c r="AZ49" s="33" t="n">
        <f aca="false">$E49*MAX(0,(MIN(In_PB_Release,AZ$4)-MAX($F49,AZ$3)+1)/AZ$5)</f>
        <v>0</v>
      </c>
      <c r="BA49" s="33" t="n">
        <f aca="false">$E49*MAX(0,(MIN(In_PB_Release,BA$4)-MAX($F49,BA$3)+1)/BA$5)</f>
        <v>0</v>
      </c>
      <c r="BB49" s="33" t="n">
        <f aca="false">$E49*MAX(0,(MIN(In_PB_Release,BB$4)-MAX($F49,BB$3)+1)/BB$5)</f>
        <v>0</v>
      </c>
      <c r="BC49" s="33" t="n">
        <f aca="false">$E49*MAX(0,(MIN(In_PB_Release,BC$4)-MAX($F49,BC$3)+1)/BC$5)</f>
        <v>0</v>
      </c>
      <c r="BD49" s="33" t="n">
        <f aca="false">$E49*MAX(0,(MIN(In_PB_Release,BD$4)-MAX($F49,BD$3)+1)/BD$5)</f>
        <v>0</v>
      </c>
      <c r="BE49" s="33" t="n">
        <f aca="false">$E49*MAX(0,(MIN(In_PB_Release,BE$4)-MAX($F49,BE$3)+1)/BE$5)</f>
        <v>0</v>
      </c>
      <c r="BF49" s="33" t="n">
        <f aca="false">$E49*MAX(0,(MIN(In_PB_Release,BF$4)-MAX($F49,BF$3)+1)/BF$5)</f>
        <v>0</v>
      </c>
      <c r="BG49" s="33" t="n">
        <f aca="false">$E49*MAX(0,(MIN(In_PB_Release,BG$4)-MAX($F49,BG$3)+1)/BG$5)</f>
        <v>0</v>
      </c>
      <c r="BH49" s="33" t="n">
        <f aca="false">$E49*MAX(0,(MIN(In_PB_Release,BH$4)-MAX($F49,BH$3)+1)/BH$5)</f>
        <v>0</v>
      </c>
      <c r="BI49" s="33" t="n">
        <f aca="false">$E49*MAX(0,(MIN(In_PB_Release,BI$4)-MAX($F49,BI$3)+1)/BI$5)</f>
        <v>0</v>
      </c>
      <c r="BJ49" s="33" t="n">
        <f aca="false">$E49*MAX(0,(MIN(In_PB_Release,BJ$4)-MAX($F49,BJ$3)+1)/BJ$5)</f>
        <v>0</v>
      </c>
      <c r="BK49" s="33" t="n">
        <f aca="false">$E49*MAX(0,(MIN(In_PB_Release,BK$4)-MAX($F49,BK$3)+1)/BK$5)</f>
        <v>0</v>
      </c>
      <c r="BL49" s="33" t="n">
        <f aca="false">$E49*MAX(0,(MIN(In_PB_Release,BL$4)-MAX($F49,BL$3)+1)/BL$5)</f>
        <v>0</v>
      </c>
      <c r="BM49" s="33" t="n">
        <f aca="false">$E49*MAX(0,(MIN(In_PB_Release,BM$4)-MAX($F49,BM$3)+1)/BM$5)</f>
        <v>0</v>
      </c>
      <c r="BN49" s="33" t="n">
        <f aca="false">$E49*MAX(0,(MIN(In_PB_Release,BN$4)-MAX($F49,BN$3)+1)/BN$5)</f>
        <v>0</v>
      </c>
      <c r="BO49" s="33" t="n">
        <f aca="false">$E49*MAX(0,(MIN(In_PB_Release,BO$4)-MAX($F49,BO$3)+1)/BO$5)</f>
        <v>0</v>
      </c>
      <c r="BP49" s="33" t="n">
        <f aca="false">$E49*MAX(0,(MIN(In_PB_Release,BP$4)-MAX($F49,BP$3)+1)/BP$5)</f>
        <v>0</v>
      </c>
      <c r="BQ49" s="33" t="n">
        <f aca="false">$E49*MAX(0,(MIN(In_PB_Release,BQ$4)-MAX($F49,BQ$3)+1)/BQ$5)</f>
        <v>0</v>
      </c>
      <c r="BR49" s="33" t="n">
        <f aca="false">$E49*MAX(0,(MIN(In_PB_Release,BR$4)-MAX($F49,BR$3)+1)/BR$5)</f>
        <v>0</v>
      </c>
      <c r="BS49" s="33" t="n">
        <f aca="false">$E49*MAX(0,(MIN(In_PB_Release,BS$4)-MAX($F49,BS$3)+1)/BS$5)</f>
        <v>0</v>
      </c>
      <c r="BT49" s="33" t="n">
        <f aca="false">$E49*MAX(0,(MIN(In_PB_Release,BT$4)-MAX($F49,BT$3)+1)/BT$5)</f>
        <v>0</v>
      </c>
      <c r="BU49" s="33" t="n">
        <f aca="false">$E49*MAX(0,(MIN(In_PB_Release,BU$4)-MAX($F49,BU$3)+1)/BU$5)</f>
        <v>0</v>
      </c>
      <c r="BV49" s="33" t="n">
        <f aca="false">$E49*MAX(0,(MIN(In_PB_Release,BV$4)-MAX($F49,BV$3)+1)/BV$5)</f>
        <v>0</v>
      </c>
      <c r="BW49" s="33" t="n">
        <f aca="false">$E49*MAX(0,(MIN(In_PB_Release,BW$4)-MAX($F49,BW$3)+1)/BW$5)</f>
        <v>0</v>
      </c>
      <c r="BX49" s="33" t="n">
        <f aca="false">$E49*MAX(0,(MIN(In_PB_Release,BX$4)-MAX($F49,BX$3)+1)/BX$5)</f>
        <v>0</v>
      </c>
      <c r="BY49" s="33" t="n">
        <f aca="false">$E49*MAX(0,(MIN(In_PB_Release,BY$4)-MAX($F49,BY$3)+1)/BY$5)</f>
        <v>0</v>
      </c>
      <c r="BZ49" s="33" t="n">
        <f aca="false">$E49*MAX(0,(MIN(In_PB_Release,BZ$4)-MAX($F49,BZ$3)+1)/BZ$5)</f>
        <v>0</v>
      </c>
      <c r="CA49" s="33" t="n">
        <f aca="false">$E49*MAX(0,(MIN(In_PB_Release,CA$4)-MAX($F49,CA$3)+1)/CA$5)</f>
        <v>0</v>
      </c>
      <c r="CB49" s="33" t="n">
        <f aca="false">$E49*MAX(0,(MIN(In_PB_Release,CB$4)-MAX($F49,CB$3)+1)/CB$5)</f>
        <v>0</v>
      </c>
      <c r="CC49" s="33" t="n">
        <f aca="false">$E49*MAX(0,(MIN(In_PB_Release,CC$4)-MAX($F49,CC$3)+1)/CC$5)</f>
        <v>0</v>
      </c>
      <c r="CD49" s="33" t="n">
        <f aca="false">$E49*MAX(0,(MIN(In_PB_Release,CD$4)-MAX($F49,CD$3)+1)/CD$5)</f>
        <v>0</v>
      </c>
      <c r="CE49" s="33" t="n">
        <f aca="false">$E49*MAX(0,(MIN(In_PB_Release,CE$4)-MAX($F49,CE$3)+1)/CE$5)</f>
        <v>0</v>
      </c>
      <c r="CF49" s="33" t="n">
        <f aca="false">$E49*MAX(0,(MIN(In_PB_Release,CF$4)-MAX($F49,CF$3)+1)/CF$5)</f>
        <v>0</v>
      </c>
      <c r="CG49" s="33" t="n">
        <f aca="false">$E49*MAX(0,(MIN(In_PB_Release,CG$4)-MAX($F49,CG$3)+1)/CG$5)</f>
        <v>0</v>
      </c>
      <c r="CH49" s="33" t="n">
        <f aca="false">$E49*MAX(0,(MIN(In_PB_Release,CH$4)-MAX($F49,CH$3)+1)/CH$5)</f>
        <v>0</v>
      </c>
      <c r="CI49" s="33" t="n">
        <f aca="false">$E49*MAX(0,(MIN(In_PB_Release,CI$4)-MAX($F49,CI$3)+1)/CI$5)</f>
        <v>0</v>
      </c>
      <c r="CJ49" s="33" t="n">
        <f aca="false">$E49*MAX(0,(MIN(In_PB_Release,CJ$4)-MAX($F49,CJ$3)+1)/CJ$5)</f>
        <v>0</v>
      </c>
      <c r="CK49" s="33" t="n">
        <f aca="false">$E49*MAX(0,(MIN(In_PB_Release,CK$4)-MAX($F49,CK$3)+1)/CK$5)</f>
        <v>0</v>
      </c>
      <c r="CL49" s="33" t="n">
        <f aca="false">$E49*MAX(0,(MIN(In_PB_Release,CL$4)-MAX($F49,CL$3)+1)/CL$5)</f>
        <v>0</v>
      </c>
      <c r="CM49" s="33" t="n">
        <f aca="false">$E49*MAX(0,(MIN(In_PB_Release,CM$4)-MAX($F49,CM$3)+1)/CM$5)</f>
        <v>0</v>
      </c>
      <c r="CN49" s="33" t="n">
        <f aca="false">$E49*MAX(0,(MIN(In_PB_Release,CN$4)-MAX($F49,CN$3)+1)/CN$5)</f>
        <v>0</v>
      </c>
      <c r="CO49" s="33" t="n">
        <f aca="false">$E49*MAX(0,(MIN(In_PB_Release,CO$4)-MAX($F49,CO$3)+1)/CO$5)</f>
        <v>0</v>
      </c>
      <c r="CP49" s="33" t="n">
        <f aca="false">$E49*MAX(0,(MIN(In_PB_Release,CP$4)-MAX($F49,CP$3)+1)/CP$5)</f>
        <v>0</v>
      </c>
      <c r="CQ49" s="33" t="n">
        <f aca="false">$E49*MAX(0,(MIN(In_PB_Release,CQ$4)-MAX($F49,CQ$3)+1)/CQ$5)</f>
        <v>0</v>
      </c>
      <c r="CR49" s="33" t="n">
        <f aca="false">$E49*MAX(0,(MIN(In_PB_Release,CR$4)-MAX($F49,CR$3)+1)/CR$5)</f>
        <v>0</v>
      </c>
      <c r="CS49" s="33" t="n">
        <f aca="false">$E49*MAX(0,(MIN(In_PB_Release,CS$4)-MAX($F49,CS$3)+1)/CS$5)</f>
        <v>0</v>
      </c>
      <c r="CT49" s="33" t="n">
        <f aca="false">$E49*MAX(0,(MIN(In_PB_Release,CT$4)-MAX($F49,CT$3)+1)/CT$5)</f>
        <v>0</v>
      </c>
      <c r="CU49" s="33" t="n">
        <f aca="false">$E49*MAX(0,(MIN(In_PB_Release,CU$4)-MAX($F49,CU$3)+1)/CU$5)</f>
        <v>0</v>
      </c>
      <c r="CV49" s="33" t="n">
        <f aca="false">$E49*MAX(0,(MIN(In_PB_Release,CV$4)-MAX($F49,CV$3)+1)/CV$5)</f>
        <v>0</v>
      </c>
      <c r="CW49" s="33" t="n">
        <f aca="false">$E49*MAX(0,(MIN(In_PB_Release,CW$4)-MAX($F49,CW$3)+1)/CW$5)</f>
        <v>0</v>
      </c>
      <c r="CX49" s="33" t="n">
        <f aca="false">$E49*MAX(0,(MIN(In_PB_Release,CX$4)-MAX($F49,CX$3)+1)/CX$5)</f>
        <v>0</v>
      </c>
      <c r="CY49" s="33" t="n">
        <f aca="false">$E49*MAX(0,(MIN(In_PB_Release,CY$4)-MAX($F49,CY$3)+1)/CY$5)</f>
        <v>0</v>
      </c>
      <c r="CZ49" s="33" t="n">
        <f aca="false">$E49*MAX(0,(MIN(In_PB_Release,CZ$4)-MAX($F49,CZ$3)+1)/CZ$5)</f>
        <v>0</v>
      </c>
      <c r="DA49" s="33" t="n">
        <f aca="false">$E49*MAX(0,(MIN(In_PB_Release,DA$4)-MAX($F49,DA$3)+1)/DA$5)</f>
        <v>0</v>
      </c>
      <c r="DB49" s="33" t="n">
        <f aca="false">$E49*MAX(0,(MIN(In_PB_Release,DB$4)-MAX($F49,DB$3)+1)/DB$5)</f>
        <v>0</v>
      </c>
      <c r="DC49" s="33" t="n">
        <f aca="false">$E49*MAX(0,(MIN(In_PB_Release,DC$4)-MAX($F49,DC$3)+1)/DC$5)</f>
        <v>0</v>
      </c>
      <c r="DD49" s="33" t="n">
        <f aca="false">$E49*MAX(0,(MIN(In_PB_Release,DD$4)-MAX($F49,DD$3)+1)/DD$5)</f>
        <v>0</v>
      </c>
      <c r="DE49" s="33" t="n">
        <f aca="false">$E49*MAX(0,(MIN(In_PB_Release,DE$4)-MAX($F49,DE$3)+1)/DE$5)</f>
        <v>0</v>
      </c>
      <c r="DF49" s="33" t="n">
        <f aca="false">$E49*MAX(0,(MIN(In_PB_Release,DF$4)-MAX($F49,DF$3)+1)/DF$5)</f>
        <v>0</v>
      </c>
      <c r="DG49" s="33" t="n">
        <f aca="false">$E49*MAX(0,(MIN(In_PB_Release,DG$4)-MAX($F49,DG$3)+1)/DG$5)</f>
        <v>0</v>
      </c>
      <c r="DH49" s="33" t="n">
        <f aca="false">$E49*MAX(0,(MIN(In_PB_Release,DH$4)-MAX($F49,DH$3)+1)/DH$5)</f>
        <v>0</v>
      </c>
      <c r="DI49" s="33" t="n">
        <f aca="false">$E49*MAX(0,(MIN(In_PB_Release,DI$4)-MAX($F49,DI$3)+1)/DI$5)</f>
        <v>0</v>
      </c>
      <c r="DJ49" s="33" t="n">
        <f aca="false">$E49*MAX(0,(MIN(In_PB_Release,DJ$4)-MAX($F49,DJ$3)+1)/DJ$5)</f>
        <v>0</v>
      </c>
      <c r="DK49" s="33" t="n">
        <f aca="false">$E49*MAX(0,(MIN(In_PB_Release,DK$4)-MAX($F49,DK$3)+1)/DK$5)</f>
        <v>0</v>
      </c>
      <c r="DL49" s="33" t="n">
        <f aca="false">$E49*MAX(0,(MIN(In_PB_Release,DL$4)-MAX($F49,DL$3)+1)/DL$5)</f>
        <v>0</v>
      </c>
      <c r="DM49" s="33" t="n">
        <f aca="false">$E49*MAX(0,(MIN(In_PB_Release,DM$4)-MAX($F49,DM$3)+1)/DM$5)</f>
        <v>0</v>
      </c>
      <c r="DN49" s="33" t="n">
        <f aca="false">$E49*MAX(0,(MIN(In_PB_Release,DN$4)-MAX($F49,DN$3)+1)/DN$5)</f>
        <v>0</v>
      </c>
      <c r="DO49" s="33" t="n">
        <f aca="false">$E49*MAX(0,(MIN(In_PB_Release,DO$4)-MAX($F49,DO$3)+1)/DO$5)</f>
        <v>0</v>
      </c>
      <c r="DP49" s="33" t="n">
        <f aca="false">$E49*MAX(0,(MIN(In_PB_Release,DP$4)-MAX($F49,DP$3)+1)/DP$5)</f>
        <v>0</v>
      </c>
      <c r="DQ49" s="33" t="n">
        <f aca="false">$E49*MAX(0,(MIN(In_PB_Release,DQ$4)-MAX($F49,DQ$3)+1)/DQ$5)</f>
        <v>0</v>
      </c>
      <c r="DR49" s="33" t="n">
        <f aca="false">$E49*MAX(0,(MIN(In_PB_Release,DR$4)-MAX($F49,DR$3)+1)/DR$5)</f>
        <v>0</v>
      </c>
      <c r="DS49" s="33" t="n">
        <f aca="false">$E49*MAX(0,(MIN(In_PB_Release,DS$4)-MAX($F49,DS$3)+1)/DS$5)</f>
        <v>0</v>
      </c>
      <c r="DT49" s="33" t="n">
        <f aca="false">$E49*MAX(0,(MIN(In_PB_Release,DT$4)-MAX($F49,DT$3)+1)/DT$5)</f>
        <v>0</v>
      </c>
      <c r="DU49" s="33" t="n">
        <f aca="false">$E49*MAX(0,(MIN(In_PB_Release,DU$4)-MAX($F49,DU$3)+1)/DU$5)</f>
        <v>0</v>
      </c>
      <c r="DV49" s="33" t="n">
        <f aca="false">$E49*MAX(0,(MIN(In_PB_Release,DV$4)-MAX($F49,DV$3)+1)/DV$5)</f>
        <v>0</v>
      </c>
      <c r="DW49" s="33" t="n">
        <f aca="false">$E49*MAX(0,(MIN(In_PB_Release,DW$4)-MAX($F49,DW$3)+1)/DW$5)</f>
        <v>0</v>
      </c>
      <c r="DX49" s="33" t="n">
        <f aca="false">$E49*MAX(0,(MIN(In_PB_Release,DX$4)-MAX($F49,DX$3)+1)/DX$5)</f>
        <v>0</v>
      </c>
      <c r="DY49" s="33" t="n">
        <f aca="false">$E49*MAX(0,(MIN(In_PB_Release,DY$4)-MAX($F49,DY$3)+1)/DY$5)</f>
        <v>0</v>
      </c>
      <c r="DZ49" s="33" t="n">
        <f aca="false">$E49*MAX(0,(MIN(In_PB_Release,DZ$4)-MAX($F49,DZ$3)+1)/DZ$5)</f>
        <v>0</v>
      </c>
      <c r="EA49" s="33" t="n">
        <f aca="false">$E49*MAX(0,(MIN(In_PB_Release,EA$4)-MAX($F49,EA$3)+1)/EA$5)</f>
        <v>0</v>
      </c>
      <c r="EB49" s="33" t="n">
        <f aca="false">$E49*MAX(0,(MIN(In_PB_Release,EB$4)-MAX($F49,EB$3)+1)/EB$5)</f>
        <v>0</v>
      </c>
      <c r="EC49" s="33" t="n">
        <f aca="false">$E49*MAX(0,(MIN(In_PB_Release,EC$4)-MAX($F49,EC$3)+1)/EC$5)</f>
        <v>0</v>
      </c>
      <c r="ED49" s="33" t="n">
        <f aca="false">$E49*MAX(0,(MIN(In_PB_Release,ED$4)-MAX($F49,ED$3)+1)/ED$5)</f>
        <v>0</v>
      </c>
      <c r="EE49" s="33" t="n">
        <f aca="false">$E49*MAX(0,(MIN(In_PB_Release,EE$4)-MAX($F49,EE$3)+1)/EE$5)</f>
        <v>0</v>
      </c>
      <c r="EF49" s="33" t="n">
        <f aca="false">$E49*MAX(0,(MIN(In_PB_Release,EF$4)-MAX($F49,EF$3)+1)/EF$5)</f>
        <v>0</v>
      </c>
      <c r="EG49" s="33" t="n">
        <f aca="false">$E49*MAX(0,(MIN(In_PB_Release,EG$4)-MAX($F49,EG$3)+1)/EG$5)</f>
        <v>0</v>
      </c>
      <c r="EH49" s="33" t="n">
        <f aca="false">$E49*MAX(0,(MIN(In_PB_Release,EH$4)-MAX($F49,EH$3)+1)/EH$5)</f>
        <v>0</v>
      </c>
      <c r="EI49" s="33" t="n">
        <f aca="false">$E49*MAX(0,(MIN(In_PB_Release,EI$4)-MAX($F49,EI$3)+1)/EI$5)</f>
        <v>0</v>
      </c>
      <c r="EJ49" s="33" t="n">
        <f aca="false">$E49*MAX(0,(MIN(In_PB_Release,EJ$4)-MAX($F49,EJ$3)+1)/EJ$5)</f>
        <v>0</v>
      </c>
      <c r="EK49" s="33" t="n">
        <f aca="false">$E49*MAX(0,(MIN(In_PB_Release,EK$4)-MAX($F49,EK$3)+1)/EK$5)</f>
        <v>0</v>
      </c>
      <c r="EL49" s="33" t="n">
        <f aca="false">$E49*MAX(0,(MIN(In_PB_Release,EL$4)-MAX($F49,EL$3)+1)/EL$5)</f>
        <v>0</v>
      </c>
      <c r="EM49" s="33" t="n">
        <f aca="false">$E49*MAX(0,(MIN(In_PB_Release,EM$4)-MAX($F49,EM$3)+1)/EM$5)</f>
        <v>0</v>
      </c>
      <c r="EN49" s="33" t="n">
        <f aca="false">$E49*MAX(0,(MIN(In_PB_Release,EN$4)-MAX($F49,EN$3)+1)/EN$5)</f>
        <v>0</v>
      </c>
      <c r="EO49" s="33" t="n">
        <f aca="false">$E49*MAX(0,(MIN(In_PB_Release,EO$4)-MAX($F49,EO$3)+1)/EO$5)</f>
        <v>0</v>
      </c>
      <c r="EP49" s="33" t="n">
        <f aca="false">$E49*MAX(0,(MIN(In_PB_Release,EP$4)-MAX($F49,EP$3)+1)/EP$5)</f>
        <v>0</v>
      </c>
      <c r="EQ49" s="33" t="n">
        <f aca="false">$E49*MAX(0,(MIN(In_PB_Release,EQ$4)-MAX($F49,EQ$3)+1)/EQ$5)</f>
        <v>0</v>
      </c>
      <c r="ER49" s="33" t="n">
        <f aca="false">$E49*MAX(0,(MIN(In_PB_Release,ER$4)-MAX($F49,ER$3)+1)/ER$5)</f>
        <v>0</v>
      </c>
      <c r="ES49" s="33" t="n">
        <f aca="false">$E49*MAX(0,(MIN(In_PB_Release,ES$4)-MAX($F49,ES$3)+1)/ES$5)</f>
        <v>0</v>
      </c>
      <c r="ET49" s="33" t="n">
        <f aca="false">$E49*MAX(0,(MIN(In_PB_Release,ET$4)-MAX($F49,ET$3)+1)/ET$5)</f>
        <v>0</v>
      </c>
    </row>
    <row r="50" customFormat="false" ht="15" hidden="false" customHeight="false" outlineLevel="0" collapsed="false">
      <c r="C50" s="0" t="s">
        <v>519</v>
      </c>
      <c r="D50" s="11" t="s">
        <v>253</v>
      </c>
      <c r="E50" s="33" t="n">
        <f aca="false">In_TSO_Security*In_MVA*Thousand/In_FX</f>
        <v>1232.87671232877</v>
      </c>
      <c r="F50" s="27" t="n">
        <f aca="false">In_TSO_Date</f>
        <v>46386</v>
      </c>
      <c r="I50" s="33" t="n">
        <f aca="false">SUM(J50:ET50)</f>
        <v>-1232.87671232877</v>
      </c>
      <c r="J50" s="33" t="n">
        <f aca="false">-$E50*N(AND(J$3&lt;=$F50,J$4&gt;=$F50))</f>
        <v>-0</v>
      </c>
      <c r="K50" s="33" t="n">
        <f aca="false">-$E50*N(AND(K$3&lt;=$F50,K$4&gt;=$F50))</f>
        <v>-1232.87671232877</v>
      </c>
      <c r="L50" s="33" t="n">
        <f aca="false">-$E50*N(AND(L$3&lt;=$F50,L$4&gt;=$F50))</f>
        <v>-0</v>
      </c>
      <c r="M50" s="33" t="n">
        <f aca="false">-$E50*N(AND(M$3&lt;=$F50,M$4&gt;=$F50))</f>
        <v>-0</v>
      </c>
      <c r="N50" s="33" t="n">
        <f aca="false">-$E50*N(AND(N$3&lt;=$F50,N$4&gt;=$F50))</f>
        <v>-0</v>
      </c>
      <c r="O50" s="33" t="n">
        <f aca="false">-$E50*N(AND(O$3&lt;=$F50,O$4&gt;=$F50))</f>
        <v>-0</v>
      </c>
      <c r="P50" s="33" t="n">
        <f aca="false">-$E50*N(AND(P$3&lt;=$F50,P$4&gt;=$F50))</f>
        <v>-0</v>
      </c>
      <c r="Q50" s="33" t="n">
        <f aca="false">-$E50*N(AND(Q$3&lt;=$F50,Q$4&gt;=$F50))</f>
        <v>-0</v>
      </c>
      <c r="R50" s="33" t="n">
        <f aca="false">-$E50*N(AND(R$3&lt;=$F50,R$4&gt;=$F50))</f>
        <v>-0</v>
      </c>
      <c r="S50" s="33" t="n">
        <f aca="false">-$E50*N(AND(S$3&lt;=$F50,S$4&gt;=$F50))</f>
        <v>-0</v>
      </c>
      <c r="T50" s="33" t="n">
        <f aca="false">-$E50*N(AND(T$3&lt;=$F50,T$4&gt;=$F50))</f>
        <v>-0</v>
      </c>
      <c r="U50" s="33" t="n">
        <f aca="false">-$E50*N(AND(U$3&lt;=$F50,U$4&gt;=$F50))</f>
        <v>-0</v>
      </c>
      <c r="V50" s="33" t="n">
        <f aca="false">-$E50*N(AND(V$3&lt;=$F50,V$4&gt;=$F50))</f>
        <v>-0</v>
      </c>
      <c r="W50" s="33" t="n">
        <f aca="false">-$E50*N(AND(W$3&lt;=$F50,W$4&gt;=$F50))</f>
        <v>-0</v>
      </c>
      <c r="X50" s="33" t="n">
        <f aca="false">-$E50*N(AND(X$3&lt;=$F50,X$4&gt;=$F50))</f>
        <v>-0</v>
      </c>
      <c r="Y50" s="33" t="n">
        <f aca="false">-$E50*N(AND(Y$3&lt;=$F50,Y$4&gt;=$F50))</f>
        <v>-0</v>
      </c>
      <c r="Z50" s="33" t="n">
        <f aca="false">-$E50*N(AND(Z$3&lt;=$F50,Z$4&gt;=$F50))</f>
        <v>-0</v>
      </c>
      <c r="AA50" s="33" t="n">
        <f aca="false">-$E50*N(AND(AA$3&lt;=$F50,AA$4&gt;=$F50))</f>
        <v>-0</v>
      </c>
      <c r="AB50" s="33" t="n">
        <f aca="false">-$E50*N(AND(AB$3&lt;=$F50,AB$4&gt;=$F50))</f>
        <v>-0</v>
      </c>
      <c r="AC50" s="33" t="n">
        <f aca="false">-$E50*N(AND(AC$3&lt;=$F50,AC$4&gt;=$F50))</f>
        <v>-0</v>
      </c>
      <c r="AD50" s="33" t="n">
        <f aca="false">-$E50*N(AND(AD$3&lt;=$F50,AD$4&gt;=$F50))</f>
        <v>-0</v>
      </c>
      <c r="AE50" s="33" t="n">
        <f aca="false">-$E50*N(AND(AE$3&lt;=$F50,AE$4&gt;=$F50))</f>
        <v>-0</v>
      </c>
      <c r="AF50" s="33" t="n">
        <f aca="false">-$E50*N(AND(AF$3&lt;=$F50,AF$4&gt;=$F50))</f>
        <v>-0</v>
      </c>
      <c r="AG50" s="33" t="n">
        <f aca="false">-$E50*N(AND(AG$3&lt;=$F50,AG$4&gt;=$F50))</f>
        <v>-0</v>
      </c>
      <c r="AH50" s="33" t="n">
        <f aca="false">-$E50*N(AND(AH$3&lt;=$F50,AH$4&gt;=$F50))</f>
        <v>-0</v>
      </c>
      <c r="AI50" s="33" t="n">
        <f aca="false">-$E50*N(AND(AI$3&lt;=$F50,AI$4&gt;=$F50))</f>
        <v>-0</v>
      </c>
      <c r="AJ50" s="33" t="n">
        <f aca="false">-$E50*N(AND(AJ$3&lt;=$F50,AJ$4&gt;=$F50))</f>
        <v>-0</v>
      </c>
      <c r="AK50" s="33" t="n">
        <f aca="false">-$E50*N(AND(AK$3&lt;=$F50,AK$4&gt;=$F50))</f>
        <v>-0</v>
      </c>
      <c r="AL50" s="33" t="n">
        <f aca="false">-$E50*N(AND(AL$3&lt;=$F50,AL$4&gt;=$F50))</f>
        <v>-0</v>
      </c>
      <c r="AM50" s="33" t="n">
        <f aca="false">-$E50*N(AND(AM$3&lt;=$F50,AM$4&gt;=$F50))</f>
        <v>-0</v>
      </c>
      <c r="AN50" s="33" t="n">
        <f aca="false">-$E50*N(AND(AN$3&lt;=$F50,AN$4&gt;=$F50))</f>
        <v>-0</v>
      </c>
      <c r="AO50" s="33" t="n">
        <f aca="false">-$E50*N(AND(AO$3&lt;=$F50,AO$4&gt;=$F50))</f>
        <v>-0</v>
      </c>
      <c r="AP50" s="33" t="n">
        <f aca="false">-$E50*N(AND(AP$3&lt;=$F50,AP$4&gt;=$F50))</f>
        <v>-0</v>
      </c>
      <c r="AQ50" s="33" t="n">
        <f aca="false">-$E50*N(AND(AQ$3&lt;=$F50,AQ$4&gt;=$F50))</f>
        <v>-0</v>
      </c>
      <c r="AR50" s="33" t="n">
        <f aca="false">-$E50*N(AND(AR$3&lt;=$F50,AR$4&gt;=$F50))</f>
        <v>-0</v>
      </c>
      <c r="AS50" s="33" t="n">
        <f aca="false">-$E50*N(AND(AS$3&lt;=$F50,AS$4&gt;=$F50))</f>
        <v>-0</v>
      </c>
      <c r="AT50" s="33" t="n">
        <f aca="false">-$E50*N(AND(AT$3&lt;=$F50,AT$4&gt;=$F50))</f>
        <v>-0</v>
      </c>
      <c r="AU50" s="33" t="n">
        <f aca="false">-$E50*N(AND(AU$3&lt;=$F50,AU$4&gt;=$F50))</f>
        <v>-0</v>
      </c>
      <c r="AV50" s="33" t="n">
        <f aca="false">-$E50*N(AND(AV$3&lt;=$F50,AV$4&gt;=$F50))</f>
        <v>-0</v>
      </c>
      <c r="AW50" s="33" t="n">
        <f aca="false">-$E50*N(AND(AW$3&lt;=$F50,AW$4&gt;=$F50))</f>
        <v>-0</v>
      </c>
      <c r="AX50" s="33" t="n">
        <f aca="false">-$E50*N(AND(AX$3&lt;=$F50,AX$4&gt;=$F50))</f>
        <v>-0</v>
      </c>
      <c r="AY50" s="33" t="n">
        <f aca="false">-$E50*N(AND(AY$3&lt;=$F50,AY$4&gt;=$F50))</f>
        <v>-0</v>
      </c>
      <c r="AZ50" s="33" t="n">
        <f aca="false">-$E50*N(AND(AZ$3&lt;=$F50,AZ$4&gt;=$F50))</f>
        <v>-0</v>
      </c>
      <c r="BA50" s="33" t="n">
        <f aca="false">-$E50*N(AND(BA$3&lt;=$F50,BA$4&gt;=$F50))</f>
        <v>-0</v>
      </c>
      <c r="BB50" s="33" t="n">
        <f aca="false">-$E50*N(AND(BB$3&lt;=$F50,BB$4&gt;=$F50))</f>
        <v>-0</v>
      </c>
      <c r="BC50" s="33" t="n">
        <f aca="false">-$E50*N(AND(BC$3&lt;=$F50,BC$4&gt;=$F50))</f>
        <v>-0</v>
      </c>
      <c r="BD50" s="33" t="n">
        <f aca="false">-$E50*N(AND(BD$3&lt;=$F50,BD$4&gt;=$F50))</f>
        <v>-0</v>
      </c>
      <c r="BE50" s="33" t="n">
        <f aca="false">-$E50*N(AND(BE$3&lt;=$F50,BE$4&gt;=$F50))</f>
        <v>-0</v>
      </c>
      <c r="BF50" s="33" t="n">
        <f aca="false">-$E50*N(AND(BF$3&lt;=$F50,BF$4&gt;=$F50))</f>
        <v>-0</v>
      </c>
      <c r="BG50" s="33" t="n">
        <f aca="false">-$E50*N(AND(BG$3&lt;=$F50,BG$4&gt;=$F50))</f>
        <v>-0</v>
      </c>
      <c r="BH50" s="33" t="n">
        <f aca="false">-$E50*N(AND(BH$3&lt;=$F50,BH$4&gt;=$F50))</f>
        <v>-0</v>
      </c>
      <c r="BI50" s="33" t="n">
        <f aca="false">-$E50*N(AND(BI$3&lt;=$F50,BI$4&gt;=$F50))</f>
        <v>-0</v>
      </c>
      <c r="BJ50" s="33" t="n">
        <f aca="false">-$E50*N(AND(BJ$3&lt;=$F50,BJ$4&gt;=$F50))</f>
        <v>-0</v>
      </c>
      <c r="BK50" s="33" t="n">
        <f aca="false">-$E50*N(AND(BK$3&lt;=$F50,BK$4&gt;=$F50))</f>
        <v>-0</v>
      </c>
      <c r="BL50" s="33" t="n">
        <f aca="false">-$E50*N(AND(BL$3&lt;=$F50,BL$4&gt;=$F50))</f>
        <v>-0</v>
      </c>
      <c r="BM50" s="33" t="n">
        <f aca="false">-$E50*N(AND(BM$3&lt;=$F50,BM$4&gt;=$F50))</f>
        <v>-0</v>
      </c>
      <c r="BN50" s="33" t="n">
        <f aca="false">-$E50*N(AND(BN$3&lt;=$F50,BN$4&gt;=$F50))</f>
        <v>-0</v>
      </c>
      <c r="BO50" s="33" t="n">
        <f aca="false">-$E50*N(AND(BO$3&lt;=$F50,BO$4&gt;=$F50))</f>
        <v>-0</v>
      </c>
      <c r="BP50" s="33" t="n">
        <f aca="false">-$E50*N(AND(BP$3&lt;=$F50,BP$4&gt;=$F50))</f>
        <v>-0</v>
      </c>
      <c r="BQ50" s="33" t="n">
        <f aca="false">-$E50*N(AND(BQ$3&lt;=$F50,BQ$4&gt;=$F50))</f>
        <v>-0</v>
      </c>
      <c r="BR50" s="33" t="n">
        <f aca="false">-$E50*N(AND(BR$3&lt;=$F50,BR$4&gt;=$F50))</f>
        <v>-0</v>
      </c>
      <c r="BS50" s="33" t="n">
        <f aca="false">-$E50*N(AND(BS$3&lt;=$F50,BS$4&gt;=$F50))</f>
        <v>-0</v>
      </c>
      <c r="BT50" s="33" t="n">
        <f aca="false">-$E50*N(AND(BT$3&lt;=$F50,BT$4&gt;=$F50))</f>
        <v>-0</v>
      </c>
      <c r="BU50" s="33" t="n">
        <f aca="false">-$E50*N(AND(BU$3&lt;=$F50,BU$4&gt;=$F50))</f>
        <v>-0</v>
      </c>
      <c r="BV50" s="33" t="n">
        <f aca="false">-$E50*N(AND(BV$3&lt;=$F50,BV$4&gt;=$F50))</f>
        <v>-0</v>
      </c>
      <c r="BW50" s="33" t="n">
        <f aca="false">-$E50*N(AND(BW$3&lt;=$F50,BW$4&gt;=$F50))</f>
        <v>-0</v>
      </c>
      <c r="BX50" s="33" t="n">
        <f aca="false">-$E50*N(AND(BX$3&lt;=$F50,BX$4&gt;=$F50))</f>
        <v>-0</v>
      </c>
      <c r="BY50" s="33" t="n">
        <f aca="false">-$E50*N(AND(BY$3&lt;=$F50,BY$4&gt;=$F50))</f>
        <v>-0</v>
      </c>
      <c r="BZ50" s="33" t="n">
        <f aca="false">-$E50*N(AND(BZ$3&lt;=$F50,BZ$4&gt;=$F50))</f>
        <v>-0</v>
      </c>
      <c r="CA50" s="33" t="n">
        <f aca="false">-$E50*N(AND(CA$3&lt;=$F50,CA$4&gt;=$F50))</f>
        <v>-0</v>
      </c>
      <c r="CB50" s="33" t="n">
        <f aca="false">-$E50*N(AND(CB$3&lt;=$F50,CB$4&gt;=$F50))</f>
        <v>-0</v>
      </c>
      <c r="CC50" s="33" t="n">
        <f aca="false">-$E50*N(AND(CC$3&lt;=$F50,CC$4&gt;=$F50))</f>
        <v>-0</v>
      </c>
      <c r="CD50" s="33" t="n">
        <f aca="false">-$E50*N(AND(CD$3&lt;=$F50,CD$4&gt;=$F50))</f>
        <v>-0</v>
      </c>
      <c r="CE50" s="33" t="n">
        <f aca="false">-$E50*N(AND(CE$3&lt;=$F50,CE$4&gt;=$F50))</f>
        <v>-0</v>
      </c>
      <c r="CF50" s="33" t="n">
        <f aca="false">-$E50*N(AND(CF$3&lt;=$F50,CF$4&gt;=$F50))</f>
        <v>-0</v>
      </c>
      <c r="CG50" s="33" t="n">
        <f aca="false">-$E50*N(AND(CG$3&lt;=$F50,CG$4&gt;=$F50))</f>
        <v>-0</v>
      </c>
      <c r="CH50" s="33" t="n">
        <f aca="false">-$E50*N(AND(CH$3&lt;=$F50,CH$4&gt;=$F50))</f>
        <v>-0</v>
      </c>
      <c r="CI50" s="33" t="n">
        <f aca="false">-$E50*N(AND(CI$3&lt;=$F50,CI$4&gt;=$F50))</f>
        <v>-0</v>
      </c>
      <c r="CJ50" s="33" t="n">
        <f aca="false">-$E50*N(AND(CJ$3&lt;=$F50,CJ$4&gt;=$F50))</f>
        <v>-0</v>
      </c>
      <c r="CK50" s="33" t="n">
        <f aca="false">-$E50*N(AND(CK$3&lt;=$F50,CK$4&gt;=$F50))</f>
        <v>-0</v>
      </c>
      <c r="CL50" s="33" t="n">
        <f aca="false">-$E50*N(AND(CL$3&lt;=$F50,CL$4&gt;=$F50))</f>
        <v>-0</v>
      </c>
      <c r="CM50" s="33" t="n">
        <f aca="false">-$E50*N(AND(CM$3&lt;=$F50,CM$4&gt;=$F50))</f>
        <v>-0</v>
      </c>
      <c r="CN50" s="33" t="n">
        <f aca="false">-$E50*N(AND(CN$3&lt;=$F50,CN$4&gt;=$F50))</f>
        <v>-0</v>
      </c>
      <c r="CO50" s="33" t="n">
        <f aca="false">-$E50*N(AND(CO$3&lt;=$F50,CO$4&gt;=$F50))</f>
        <v>-0</v>
      </c>
      <c r="CP50" s="33" t="n">
        <f aca="false">-$E50*N(AND(CP$3&lt;=$F50,CP$4&gt;=$F50))</f>
        <v>-0</v>
      </c>
      <c r="CQ50" s="33" t="n">
        <f aca="false">-$E50*N(AND(CQ$3&lt;=$F50,CQ$4&gt;=$F50))</f>
        <v>-0</v>
      </c>
      <c r="CR50" s="33" t="n">
        <f aca="false">-$E50*N(AND(CR$3&lt;=$F50,CR$4&gt;=$F50))</f>
        <v>-0</v>
      </c>
      <c r="CS50" s="33" t="n">
        <f aca="false">-$E50*N(AND(CS$3&lt;=$F50,CS$4&gt;=$F50))</f>
        <v>-0</v>
      </c>
      <c r="CT50" s="33" t="n">
        <f aca="false">-$E50*N(AND(CT$3&lt;=$F50,CT$4&gt;=$F50))</f>
        <v>-0</v>
      </c>
      <c r="CU50" s="33" t="n">
        <f aca="false">-$E50*N(AND(CU$3&lt;=$F50,CU$4&gt;=$F50))</f>
        <v>-0</v>
      </c>
      <c r="CV50" s="33" t="n">
        <f aca="false">-$E50*N(AND(CV$3&lt;=$F50,CV$4&gt;=$F50))</f>
        <v>-0</v>
      </c>
      <c r="CW50" s="33" t="n">
        <f aca="false">-$E50*N(AND(CW$3&lt;=$F50,CW$4&gt;=$F50))</f>
        <v>-0</v>
      </c>
      <c r="CX50" s="33" t="n">
        <f aca="false">-$E50*N(AND(CX$3&lt;=$F50,CX$4&gt;=$F50))</f>
        <v>-0</v>
      </c>
      <c r="CY50" s="33" t="n">
        <f aca="false">-$E50*N(AND(CY$3&lt;=$F50,CY$4&gt;=$F50))</f>
        <v>-0</v>
      </c>
      <c r="CZ50" s="33" t="n">
        <f aca="false">-$E50*N(AND(CZ$3&lt;=$F50,CZ$4&gt;=$F50))</f>
        <v>-0</v>
      </c>
      <c r="DA50" s="33" t="n">
        <f aca="false">-$E50*N(AND(DA$3&lt;=$F50,DA$4&gt;=$F50))</f>
        <v>-0</v>
      </c>
      <c r="DB50" s="33" t="n">
        <f aca="false">-$E50*N(AND(DB$3&lt;=$F50,DB$4&gt;=$F50))</f>
        <v>-0</v>
      </c>
      <c r="DC50" s="33" t="n">
        <f aca="false">-$E50*N(AND(DC$3&lt;=$F50,DC$4&gt;=$F50))</f>
        <v>-0</v>
      </c>
      <c r="DD50" s="33" t="n">
        <f aca="false">-$E50*N(AND(DD$3&lt;=$F50,DD$4&gt;=$F50))</f>
        <v>-0</v>
      </c>
      <c r="DE50" s="33" t="n">
        <f aca="false">-$E50*N(AND(DE$3&lt;=$F50,DE$4&gt;=$F50))</f>
        <v>-0</v>
      </c>
      <c r="DF50" s="33" t="n">
        <f aca="false">-$E50*N(AND(DF$3&lt;=$F50,DF$4&gt;=$F50))</f>
        <v>-0</v>
      </c>
      <c r="DG50" s="33" t="n">
        <f aca="false">-$E50*N(AND(DG$3&lt;=$F50,DG$4&gt;=$F50))</f>
        <v>-0</v>
      </c>
      <c r="DH50" s="33" t="n">
        <f aca="false">-$E50*N(AND(DH$3&lt;=$F50,DH$4&gt;=$F50))</f>
        <v>-0</v>
      </c>
      <c r="DI50" s="33" t="n">
        <f aca="false">-$E50*N(AND(DI$3&lt;=$F50,DI$4&gt;=$F50))</f>
        <v>-0</v>
      </c>
      <c r="DJ50" s="33" t="n">
        <f aca="false">-$E50*N(AND(DJ$3&lt;=$F50,DJ$4&gt;=$F50))</f>
        <v>-0</v>
      </c>
      <c r="DK50" s="33" t="n">
        <f aca="false">-$E50*N(AND(DK$3&lt;=$F50,DK$4&gt;=$F50))</f>
        <v>-0</v>
      </c>
      <c r="DL50" s="33" t="n">
        <f aca="false">-$E50*N(AND(DL$3&lt;=$F50,DL$4&gt;=$F50))</f>
        <v>-0</v>
      </c>
      <c r="DM50" s="33" t="n">
        <f aca="false">-$E50*N(AND(DM$3&lt;=$F50,DM$4&gt;=$F50))</f>
        <v>-0</v>
      </c>
      <c r="DN50" s="33" t="n">
        <f aca="false">-$E50*N(AND(DN$3&lt;=$F50,DN$4&gt;=$F50))</f>
        <v>-0</v>
      </c>
      <c r="DO50" s="33" t="n">
        <f aca="false">-$E50*N(AND(DO$3&lt;=$F50,DO$4&gt;=$F50))</f>
        <v>-0</v>
      </c>
      <c r="DP50" s="33" t="n">
        <f aca="false">-$E50*N(AND(DP$3&lt;=$F50,DP$4&gt;=$F50))</f>
        <v>-0</v>
      </c>
      <c r="DQ50" s="33" t="n">
        <f aca="false">-$E50*N(AND(DQ$3&lt;=$F50,DQ$4&gt;=$F50))</f>
        <v>-0</v>
      </c>
      <c r="DR50" s="33" t="n">
        <f aca="false">-$E50*N(AND(DR$3&lt;=$F50,DR$4&gt;=$F50))</f>
        <v>-0</v>
      </c>
      <c r="DS50" s="33" t="n">
        <f aca="false">-$E50*N(AND(DS$3&lt;=$F50,DS$4&gt;=$F50))</f>
        <v>-0</v>
      </c>
      <c r="DT50" s="33" t="n">
        <f aca="false">-$E50*N(AND(DT$3&lt;=$F50,DT$4&gt;=$F50))</f>
        <v>-0</v>
      </c>
      <c r="DU50" s="33" t="n">
        <f aca="false">-$E50*N(AND(DU$3&lt;=$F50,DU$4&gt;=$F50))</f>
        <v>-0</v>
      </c>
      <c r="DV50" s="33" t="n">
        <f aca="false">-$E50*N(AND(DV$3&lt;=$F50,DV$4&gt;=$F50))</f>
        <v>-0</v>
      </c>
      <c r="DW50" s="33" t="n">
        <f aca="false">-$E50*N(AND(DW$3&lt;=$F50,DW$4&gt;=$F50))</f>
        <v>-0</v>
      </c>
      <c r="DX50" s="33" t="n">
        <f aca="false">-$E50*N(AND(DX$3&lt;=$F50,DX$4&gt;=$F50))</f>
        <v>-0</v>
      </c>
      <c r="DY50" s="33" t="n">
        <f aca="false">-$E50*N(AND(DY$3&lt;=$F50,DY$4&gt;=$F50))</f>
        <v>-0</v>
      </c>
      <c r="DZ50" s="33" t="n">
        <f aca="false">-$E50*N(AND(DZ$3&lt;=$F50,DZ$4&gt;=$F50))</f>
        <v>-0</v>
      </c>
      <c r="EA50" s="33" t="n">
        <f aca="false">-$E50*N(AND(EA$3&lt;=$F50,EA$4&gt;=$F50))</f>
        <v>-0</v>
      </c>
      <c r="EB50" s="33" t="n">
        <f aca="false">-$E50*N(AND(EB$3&lt;=$F50,EB$4&gt;=$F50))</f>
        <v>-0</v>
      </c>
      <c r="EC50" s="33" t="n">
        <f aca="false">-$E50*N(AND(EC$3&lt;=$F50,EC$4&gt;=$F50))</f>
        <v>-0</v>
      </c>
      <c r="ED50" s="33" t="n">
        <f aca="false">-$E50*N(AND(ED$3&lt;=$F50,ED$4&gt;=$F50))</f>
        <v>-0</v>
      </c>
      <c r="EE50" s="33" t="n">
        <f aca="false">-$E50*N(AND(EE$3&lt;=$F50,EE$4&gt;=$F50))</f>
        <v>-0</v>
      </c>
      <c r="EF50" s="33" t="n">
        <f aca="false">-$E50*N(AND(EF$3&lt;=$F50,EF$4&gt;=$F50))</f>
        <v>-0</v>
      </c>
      <c r="EG50" s="33" t="n">
        <f aca="false">-$E50*N(AND(EG$3&lt;=$F50,EG$4&gt;=$F50))</f>
        <v>-0</v>
      </c>
      <c r="EH50" s="33" t="n">
        <f aca="false">-$E50*N(AND(EH$3&lt;=$F50,EH$4&gt;=$F50))</f>
        <v>-0</v>
      </c>
      <c r="EI50" s="33" t="n">
        <f aca="false">-$E50*N(AND(EI$3&lt;=$F50,EI$4&gt;=$F50))</f>
        <v>-0</v>
      </c>
      <c r="EJ50" s="33" t="n">
        <f aca="false">-$E50*N(AND(EJ$3&lt;=$F50,EJ$4&gt;=$F50))</f>
        <v>-0</v>
      </c>
      <c r="EK50" s="33" t="n">
        <f aca="false">-$E50*N(AND(EK$3&lt;=$F50,EK$4&gt;=$F50))</f>
        <v>-0</v>
      </c>
      <c r="EL50" s="33" t="n">
        <f aca="false">-$E50*N(AND(EL$3&lt;=$F50,EL$4&gt;=$F50))</f>
        <v>-0</v>
      </c>
      <c r="EM50" s="33" t="n">
        <f aca="false">-$E50*N(AND(EM$3&lt;=$F50,EM$4&gt;=$F50))</f>
        <v>-0</v>
      </c>
      <c r="EN50" s="33" t="n">
        <f aca="false">-$E50*N(AND(EN$3&lt;=$F50,EN$4&gt;=$F50))</f>
        <v>-0</v>
      </c>
      <c r="EO50" s="33" t="n">
        <f aca="false">-$E50*N(AND(EO$3&lt;=$F50,EO$4&gt;=$F50))</f>
        <v>-0</v>
      </c>
      <c r="EP50" s="33" t="n">
        <f aca="false">-$E50*N(AND(EP$3&lt;=$F50,EP$4&gt;=$F50))</f>
        <v>-0</v>
      </c>
      <c r="EQ50" s="33" t="n">
        <f aca="false">-$E50*N(AND(EQ$3&lt;=$F50,EQ$4&gt;=$F50))</f>
        <v>-0</v>
      </c>
      <c r="ER50" s="33" t="n">
        <f aca="false">-$E50*N(AND(ER$3&lt;=$F50,ER$4&gt;=$F50))</f>
        <v>-0</v>
      </c>
      <c r="ES50" s="33" t="n">
        <f aca="false">-$E50*N(AND(ES$3&lt;=$F50,ES$4&gt;=$F50))</f>
        <v>-0</v>
      </c>
      <c r="ET50" s="33" t="n">
        <f aca="false">-$E50*N(AND(ET$3&lt;=$F50,ET$4&gt;=$F50))</f>
        <v>-0</v>
      </c>
    </row>
    <row r="51" customFormat="false" ht="15" hidden="false" customHeight="false" outlineLevel="0" collapsed="false">
      <c r="C51" s="0" t="s">
        <v>520</v>
      </c>
      <c r="D51" s="11" t="s">
        <v>253</v>
      </c>
      <c r="E51" s="33" t="n">
        <f aca="false">In_Direct_Fee*Thousand/In_FX</f>
        <v>1392.72823013699</v>
      </c>
      <c r="F51" s="27" t="n">
        <f aca="false">In_HCSSZ_Date</f>
        <v>47126</v>
      </c>
      <c r="I51" s="33" t="n">
        <f aca="false">SUM(J51:ET51)</f>
        <v>-1392.72823013699</v>
      </c>
      <c r="J51" s="33" t="n">
        <f aca="false">-$E51*N(AND(J$3&lt;=$F51,J$4&gt;=$F51))</f>
        <v>-0</v>
      </c>
      <c r="K51" s="33" t="n">
        <f aca="false">-$E51*N(AND(K$3&lt;=$F51,K$4&gt;=$F51))</f>
        <v>-0</v>
      </c>
      <c r="L51" s="33" t="n">
        <f aca="false">-$E51*N(AND(L$3&lt;=$F51,L$4&gt;=$F51))</f>
        <v>-0</v>
      </c>
      <c r="M51" s="33" t="n">
        <f aca="false">-$E51*N(AND(M$3&lt;=$F51,M$4&gt;=$F51))</f>
        <v>-0</v>
      </c>
      <c r="N51" s="33" t="n">
        <f aca="false">-$E51*N(AND(N$3&lt;=$F51,N$4&gt;=$F51))</f>
        <v>-0</v>
      </c>
      <c r="O51" s="33" t="n">
        <f aca="false">-$E51*N(AND(O$3&lt;=$F51,O$4&gt;=$F51))</f>
        <v>-0</v>
      </c>
      <c r="P51" s="33" t="n">
        <f aca="false">-$E51*N(AND(P$3&lt;=$F51,P$4&gt;=$F51))</f>
        <v>-0</v>
      </c>
      <c r="Q51" s="33" t="n">
        <f aca="false">-$E51*N(AND(Q$3&lt;=$F51,Q$4&gt;=$F51))</f>
        <v>-0</v>
      </c>
      <c r="R51" s="33" t="n">
        <f aca="false">-$E51*N(AND(R$3&lt;=$F51,R$4&gt;=$F51))</f>
        <v>-0</v>
      </c>
      <c r="S51" s="33" t="n">
        <f aca="false">-$E51*N(AND(S$3&lt;=$F51,S$4&gt;=$F51))</f>
        <v>-0</v>
      </c>
      <c r="T51" s="33" t="n">
        <f aca="false">-$E51*N(AND(T$3&lt;=$F51,T$4&gt;=$F51))</f>
        <v>-1392.72823013699</v>
      </c>
      <c r="U51" s="33" t="n">
        <f aca="false">-$E51*N(AND(U$3&lt;=$F51,U$4&gt;=$F51))</f>
        <v>-0</v>
      </c>
      <c r="V51" s="33" t="n">
        <f aca="false">-$E51*N(AND(V$3&lt;=$F51,V$4&gt;=$F51))</f>
        <v>-0</v>
      </c>
      <c r="W51" s="33" t="n">
        <f aca="false">-$E51*N(AND(W$3&lt;=$F51,W$4&gt;=$F51))</f>
        <v>-0</v>
      </c>
      <c r="X51" s="33" t="n">
        <f aca="false">-$E51*N(AND(X$3&lt;=$F51,X$4&gt;=$F51))</f>
        <v>-0</v>
      </c>
      <c r="Y51" s="33" t="n">
        <f aca="false">-$E51*N(AND(Y$3&lt;=$F51,Y$4&gt;=$F51))</f>
        <v>-0</v>
      </c>
      <c r="Z51" s="33" t="n">
        <f aca="false">-$E51*N(AND(Z$3&lt;=$F51,Z$4&gt;=$F51))</f>
        <v>-0</v>
      </c>
      <c r="AA51" s="33" t="n">
        <f aca="false">-$E51*N(AND(AA$3&lt;=$F51,AA$4&gt;=$F51))</f>
        <v>-0</v>
      </c>
      <c r="AB51" s="33" t="n">
        <f aca="false">-$E51*N(AND(AB$3&lt;=$F51,AB$4&gt;=$F51))</f>
        <v>-0</v>
      </c>
      <c r="AC51" s="33" t="n">
        <f aca="false">-$E51*N(AND(AC$3&lt;=$F51,AC$4&gt;=$F51))</f>
        <v>-0</v>
      </c>
      <c r="AD51" s="33" t="n">
        <f aca="false">-$E51*N(AND(AD$3&lt;=$F51,AD$4&gt;=$F51))</f>
        <v>-0</v>
      </c>
      <c r="AE51" s="33" t="n">
        <f aca="false">-$E51*N(AND(AE$3&lt;=$F51,AE$4&gt;=$F51))</f>
        <v>-0</v>
      </c>
      <c r="AF51" s="33" t="n">
        <f aca="false">-$E51*N(AND(AF$3&lt;=$F51,AF$4&gt;=$F51))</f>
        <v>-0</v>
      </c>
      <c r="AG51" s="33" t="n">
        <f aca="false">-$E51*N(AND(AG$3&lt;=$F51,AG$4&gt;=$F51))</f>
        <v>-0</v>
      </c>
      <c r="AH51" s="33" t="n">
        <f aca="false">-$E51*N(AND(AH$3&lt;=$F51,AH$4&gt;=$F51))</f>
        <v>-0</v>
      </c>
      <c r="AI51" s="33" t="n">
        <f aca="false">-$E51*N(AND(AI$3&lt;=$F51,AI$4&gt;=$F51))</f>
        <v>-0</v>
      </c>
      <c r="AJ51" s="33" t="n">
        <f aca="false">-$E51*N(AND(AJ$3&lt;=$F51,AJ$4&gt;=$F51))</f>
        <v>-0</v>
      </c>
      <c r="AK51" s="33" t="n">
        <f aca="false">-$E51*N(AND(AK$3&lt;=$F51,AK$4&gt;=$F51))</f>
        <v>-0</v>
      </c>
      <c r="AL51" s="33" t="n">
        <f aca="false">-$E51*N(AND(AL$3&lt;=$F51,AL$4&gt;=$F51))</f>
        <v>-0</v>
      </c>
      <c r="AM51" s="33" t="n">
        <f aca="false">-$E51*N(AND(AM$3&lt;=$F51,AM$4&gt;=$F51))</f>
        <v>-0</v>
      </c>
      <c r="AN51" s="33" t="n">
        <f aca="false">-$E51*N(AND(AN$3&lt;=$F51,AN$4&gt;=$F51))</f>
        <v>-0</v>
      </c>
      <c r="AO51" s="33" t="n">
        <f aca="false">-$E51*N(AND(AO$3&lt;=$F51,AO$4&gt;=$F51))</f>
        <v>-0</v>
      </c>
      <c r="AP51" s="33" t="n">
        <f aca="false">-$E51*N(AND(AP$3&lt;=$F51,AP$4&gt;=$F51))</f>
        <v>-0</v>
      </c>
      <c r="AQ51" s="33" t="n">
        <f aca="false">-$E51*N(AND(AQ$3&lt;=$F51,AQ$4&gt;=$F51))</f>
        <v>-0</v>
      </c>
      <c r="AR51" s="33" t="n">
        <f aca="false">-$E51*N(AND(AR$3&lt;=$F51,AR$4&gt;=$F51))</f>
        <v>-0</v>
      </c>
      <c r="AS51" s="33" t="n">
        <f aca="false">-$E51*N(AND(AS$3&lt;=$F51,AS$4&gt;=$F51))</f>
        <v>-0</v>
      </c>
      <c r="AT51" s="33" t="n">
        <f aca="false">-$E51*N(AND(AT$3&lt;=$F51,AT$4&gt;=$F51))</f>
        <v>-0</v>
      </c>
      <c r="AU51" s="33" t="n">
        <f aca="false">-$E51*N(AND(AU$3&lt;=$F51,AU$4&gt;=$F51))</f>
        <v>-0</v>
      </c>
      <c r="AV51" s="33" t="n">
        <f aca="false">-$E51*N(AND(AV$3&lt;=$F51,AV$4&gt;=$F51))</f>
        <v>-0</v>
      </c>
      <c r="AW51" s="33" t="n">
        <f aca="false">-$E51*N(AND(AW$3&lt;=$F51,AW$4&gt;=$F51))</f>
        <v>-0</v>
      </c>
      <c r="AX51" s="33" t="n">
        <f aca="false">-$E51*N(AND(AX$3&lt;=$F51,AX$4&gt;=$F51))</f>
        <v>-0</v>
      </c>
      <c r="AY51" s="33" t="n">
        <f aca="false">-$E51*N(AND(AY$3&lt;=$F51,AY$4&gt;=$F51))</f>
        <v>-0</v>
      </c>
      <c r="AZ51" s="33" t="n">
        <f aca="false">-$E51*N(AND(AZ$3&lt;=$F51,AZ$4&gt;=$F51))</f>
        <v>-0</v>
      </c>
      <c r="BA51" s="33" t="n">
        <f aca="false">-$E51*N(AND(BA$3&lt;=$F51,BA$4&gt;=$F51))</f>
        <v>-0</v>
      </c>
      <c r="BB51" s="33" t="n">
        <f aca="false">-$E51*N(AND(BB$3&lt;=$F51,BB$4&gt;=$F51))</f>
        <v>-0</v>
      </c>
      <c r="BC51" s="33" t="n">
        <f aca="false">-$E51*N(AND(BC$3&lt;=$F51,BC$4&gt;=$F51))</f>
        <v>-0</v>
      </c>
      <c r="BD51" s="33" t="n">
        <f aca="false">-$E51*N(AND(BD$3&lt;=$F51,BD$4&gt;=$F51))</f>
        <v>-0</v>
      </c>
      <c r="BE51" s="33" t="n">
        <f aca="false">-$E51*N(AND(BE$3&lt;=$F51,BE$4&gt;=$F51))</f>
        <v>-0</v>
      </c>
      <c r="BF51" s="33" t="n">
        <f aca="false">-$E51*N(AND(BF$3&lt;=$F51,BF$4&gt;=$F51))</f>
        <v>-0</v>
      </c>
      <c r="BG51" s="33" t="n">
        <f aca="false">-$E51*N(AND(BG$3&lt;=$F51,BG$4&gt;=$F51))</f>
        <v>-0</v>
      </c>
      <c r="BH51" s="33" t="n">
        <f aca="false">-$E51*N(AND(BH$3&lt;=$F51,BH$4&gt;=$F51))</f>
        <v>-0</v>
      </c>
      <c r="BI51" s="33" t="n">
        <f aca="false">-$E51*N(AND(BI$3&lt;=$F51,BI$4&gt;=$F51))</f>
        <v>-0</v>
      </c>
      <c r="BJ51" s="33" t="n">
        <f aca="false">-$E51*N(AND(BJ$3&lt;=$F51,BJ$4&gt;=$F51))</f>
        <v>-0</v>
      </c>
      <c r="BK51" s="33" t="n">
        <f aca="false">-$E51*N(AND(BK$3&lt;=$F51,BK$4&gt;=$F51))</f>
        <v>-0</v>
      </c>
      <c r="BL51" s="33" t="n">
        <f aca="false">-$E51*N(AND(BL$3&lt;=$F51,BL$4&gt;=$F51))</f>
        <v>-0</v>
      </c>
      <c r="BM51" s="33" t="n">
        <f aca="false">-$E51*N(AND(BM$3&lt;=$F51,BM$4&gt;=$F51))</f>
        <v>-0</v>
      </c>
      <c r="BN51" s="33" t="n">
        <f aca="false">-$E51*N(AND(BN$3&lt;=$F51,BN$4&gt;=$F51))</f>
        <v>-0</v>
      </c>
      <c r="BO51" s="33" t="n">
        <f aca="false">-$E51*N(AND(BO$3&lt;=$F51,BO$4&gt;=$F51))</f>
        <v>-0</v>
      </c>
      <c r="BP51" s="33" t="n">
        <f aca="false">-$E51*N(AND(BP$3&lt;=$F51,BP$4&gt;=$F51))</f>
        <v>-0</v>
      </c>
      <c r="BQ51" s="33" t="n">
        <f aca="false">-$E51*N(AND(BQ$3&lt;=$F51,BQ$4&gt;=$F51))</f>
        <v>-0</v>
      </c>
      <c r="BR51" s="33" t="n">
        <f aca="false">-$E51*N(AND(BR$3&lt;=$F51,BR$4&gt;=$F51))</f>
        <v>-0</v>
      </c>
      <c r="BS51" s="33" t="n">
        <f aca="false">-$E51*N(AND(BS$3&lt;=$F51,BS$4&gt;=$F51))</f>
        <v>-0</v>
      </c>
      <c r="BT51" s="33" t="n">
        <f aca="false">-$E51*N(AND(BT$3&lt;=$F51,BT$4&gt;=$F51))</f>
        <v>-0</v>
      </c>
      <c r="BU51" s="33" t="n">
        <f aca="false">-$E51*N(AND(BU$3&lt;=$F51,BU$4&gt;=$F51))</f>
        <v>-0</v>
      </c>
      <c r="BV51" s="33" t="n">
        <f aca="false">-$E51*N(AND(BV$3&lt;=$F51,BV$4&gt;=$F51))</f>
        <v>-0</v>
      </c>
      <c r="BW51" s="33" t="n">
        <f aca="false">-$E51*N(AND(BW$3&lt;=$F51,BW$4&gt;=$F51))</f>
        <v>-0</v>
      </c>
      <c r="BX51" s="33" t="n">
        <f aca="false">-$E51*N(AND(BX$3&lt;=$F51,BX$4&gt;=$F51))</f>
        <v>-0</v>
      </c>
      <c r="BY51" s="33" t="n">
        <f aca="false">-$E51*N(AND(BY$3&lt;=$F51,BY$4&gt;=$F51))</f>
        <v>-0</v>
      </c>
      <c r="BZ51" s="33" t="n">
        <f aca="false">-$E51*N(AND(BZ$3&lt;=$F51,BZ$4&gt;=$F51))</f>
        <v>-0</v>
      </c>
      <c r="CA51" s="33" t="n">
        <f aca="false">-$E51*N(AND(CA$3&lt;=$F51,CA$4&gt;=$F51))</f>
        <v>-0</v>
      </c>
      <c r="CB51" s="33" t="n">
        <f aca="false">-$E51*N(AND(CB$3&lt;=$F51,CB$4&gt;=$F51))</f>
        <v>-0</v>
      </c>
      <c r="CC51" s="33" t="n">
        <f aca="false">-$E51*N(AND(CC$3&lt;=$F51,CC$4&gt;=$F51))</f>
        <v>-0</v>
      </c>
      <c r="CD51" s="33" t="n">
        <f aca="false">-$E51*N(AND(CD$3&lt;=$F51,CD$4&gt;=$F51))</f>
        <v>-0</v>
      </c>
      <c r="CE51" s="33" t="n">
        <f aca="false">-$E51*N(AND(CE$3&lt;=$F51,CE$4&gt;=$F51))</f>
        <v>-0</v>
      </c>
      <c r="CF51" s="33" t="n">
        <f aca="false">-$E51*N(AND(CF$3&lt;=$F51,CF$4&gt;=$F51))</f>
        <v>-0</v>
      </c>
      <c r="CG51" s="33" t="n">
        <f aca="false">-$E51*N(AND(CG$3&lt;=$F51,CG$4&gt;=$F51))</f>
        <v>-0</v>
      </c>
      <c r="CH51" s="33" t="n">
        <f aca="false">-$E51*N(AND(CH$3&lt;=$F51,CH$4&gt;=$F51))</f>
        <v>-0</v>
      </c>
      <c r="CI51" s="33" t="n">
        <f aca="false">-$E51*N(AND(CI$3&lt;=$F51,CI$4&gt;=$F51))</f>
        <v>-0</v>
      </c>
      <c r="CJ51" s="33" t="n">
        <f aca="false">-$E51*N(AND(CJ$3&lt;=$F51,CJ$4&gt;=$F51))</f>
        <v>-0</v>
      </c>
      <c r="CK51" s="33" t="n">
        <f aca="false">-$E51*N(AND(CK$3&lt;=$F51,CK$4&gt;=$F51))</f>
        <v>-0</v>
      </c>
      <c r="CL51" s="33" t="n">
        <f aca="false">-$E51*N(AND(CL$3&lt;=$F51,CL$4&gt;=$F51))</f>
        <v>-0</v>
      </c>
      <c r="CM51" s="33" t="n">
        <f aca="false">-$E51*N(AND(CM$3&lt;=$F51,CM$4&gt;=$F51))</f>
        <v>-0</v>
      </c>
      <c r="CN51" s="33" t="n">
        <f aca="false">-$E51*N(AND(CN$3&lt;=$F51,CN$4&gt;=$F51))</f>
        <v>-0</v>
      </c>
      <c r="CO51" s="33" t="n">
        <f aca="false">-$E51*N(AND(CO$3&lt;=$F51,CO$4&gt;=$F51))</f>
        <v>-0</v>
      </c>
      <c r="CP51" s="33" t="n">
        <f aca="false">-$E51*N(AND(CP$3&lt;=$F51,CP$4&gt;=$F51))</f>
        <v>-0</v>
      </c>
      <c r="CQ51" s="33" t="n">
        <f aca="false">-$E51*N(AND(CQ$3&lt;=$F51,CQ$4&gt;=$F51))</f>
        <v>-0</v>
      </c>
      <c r="CR51" s="33" t="n">
        <f aca="false">-$E51*N(AND(CR$3&lt;=$F51,CR$4&gt;=$F51))</f>
        <v>-0</v>
      </c>
      <c r="CS51" s="33" t="n">
        <f aca="false">-$E51*N(AND(CS$3&lt;=$F51,CS$4&gt;=$F51))</f>
        <v>-0</v>
      </c>
      <c r="CT51" s="33" t="n">
        <f aca="false">-$E51*N(AND(CT$3&lt;=$F51,CT$4&gt;=$F51))</f>
        <v>-0</v>
      </c>
      <c r="CU51" s="33" t="n">
        <f aca="false">-$E51*N(AND(CU$3&lt;=$F51,CU$4&gt;=$F51))</f>
        <v>-0</v>
      </c>
      <c r="CV51" s="33" t="n">
        <f aca="false">-$E51*N(AND(CV$3&lt;=$F51,CV$4&gt;=$F51))</f>
        <v>-0</v>
      </c>
      <c r="CW51" s="33" t="n">
        <f aca="false">-$E51*N(AND(CW$3&lt;=$F51,CW$4&gt;=$F51))</f>
        <v>-0</v>
      </c>
      <c r="CX51" s="33" t="n">
        <f aca="false">-$E51*N(AND(CX$3&lt;=$F51,CX$4&gt;=$F51))</f>
        <v>-0</v>
      </c>
      <c r="CY51" s="33" t="n">
        <f aca="false">-$E51*N(AND(CY$3&lt;=$F51,CY$4&gt;=$F51))</f>
        <v>-0</v>
      </c>
      <c r="CZ51" s="33" t="n">
        <f aca="false">-$E51*N(AND(CZ$3&lt;=$F51,CZ$4&gt;=$F51))</f>
        <v>-0</v>
      </c>
      <c r="DA51" s="33" t="n">
        <f aca="false">-$E51*N(AND(DA$3&lt;=$F51,DA$4&gt;=$F51))</f>
        <v>-0</v>
      </c>
      <c r="DB51" s="33" t="n">
        <f aca="false">-$E51*N(AND(DB$3&lt;=$F51,DB$4&gt;=$F51))</f>
        <v>-0</v>
      </c>
      <c r="DC51" s="33" t="n">
        <f aca="false">-$E51*N(AND(DC$3&lt;=$F51,DC$4&gt;=$F51))</f>
        <v>-0</v>
      </c>
      <c r="DD51" s="33" t="n">
        <f aca="false">-$E51*N(AND(DD$3&lt;=$F51,DD$4&gt;=$F51))</f>
        <v>-0</v>
      </c>
      <c r="DE51" s="33" t="n">
        <f aca="false">-$E51*N(AND(DE$3&lt;=$F51,DE$4&gt;=$F51))</f>
        <v>-0</v>
      </c>
      <c r="DF51" s="33" t="n">
        <f aca="false">-$E51*N(AND(DF$3&lt;=$F51,DF$4&gt;=$F51))</f>
        <v>-0</v>
      </c>
      <c r="DG51" s="33" t="n">
        <f aca="false">-$E51*N(AND(DG$3&lt;=$F51,DG$4&gt;=$F51))</f>
        <v>-0</v>
      </c>
      <c r="DH51" s="33" t="n">
        <f aca="false">-$E51*N(AND(DH$3&lt;=$F51,DH$4&gt;=$F51))</f>
        <v>-0</v>
      </c>
      <c r="DI51" s="33" t="n">
        <f aca="false">-$E51*N(AND(DI$3&lt;=$F51,DI$4&gt;=$F51))</f>
        <v>-0</v>
      </c>
      <c r="DJ51" s="33" t="n">
        <f aca="false">-$E51*N(AND(DJ$3&lt;=$F51,DJ$4&gt;=$F51))</f>
        <v>-0</v>
      </c>
      <c r="DK51" s="33" t="n">
        <f aca="false">-$E51*N(AND(DK$3&lt;=$F51,DK$4&gt;=$F51))</f>
        <v>-0</v>
      </c>
      <c r="DL51" s="33" t="n">
        <f aca="false">-$E51*N(AND(DL$3&lt;=$F51,DL$4&gt;=$F51))</f>
        <v>-0</v>
      </c>
      <c r="DM51" s="33" t="n">
        <f aca="false">-$E51*N(AND(DM$3&lt;=$F51,DM$4&gt;=$F51))</f>
        <v>-0</v>
      </c>
      <c r="DN51" s="33" t="n">
        <f aca="false">-$E51*N(AND(DN$3&lt;=$F51,DN$4&gt;=$F51))</f>
        <v>-0</v>
      </c>
      <c r="DO51" s="33" t="n">
        <f aca="false">-$E51*N(AND(DO$3&lt;=$F51,DO$4&gt;=$F51))</f>
        <v>-0</v>
      </c>
      <c r="DP51" s="33" t="n">
        <f aca="false">-$E51*N(AND(DP$3&lt;=$F51,DP$4&gt;=$F51))</f>
        <v>-0</v>
      </c>
      <c r="DQ51" s="33" t="n">
        <f aca="false">-$E51*N(AND(DQ$3&lt;=$F51,DQ$4&gt;=$F51))</f>
        <v>-0</v>
      </c>
      <c r="DR51" s="33" t="n">
        <f aca="false">-$E51*N(AND(DR$3&lt;=$F51,DR$4&gt;=$F51))</f>
        <v>-0</v>
      </c>
      <c r="DS51" s="33" t="n">
        <f aca="false">-$E51*N(AND(DS$3&lt;=$F51,DS$4&gt;=$F51))</f>
        <v>-0</v>
      </c>
      <c r="DT51" s="33" t="n">
        <f aca="false">-$E51*N(AND(DT$3&lt;=$F51,DT$4&gt;=$F51))</f>
        <v>-0</v>
      </c>
      <c r="DU51" s="33" t="n">
        <f aca="false">-$E51*N(AND(DU$3&lt;=$F51,DU$4&gt;=$F51))</f>
        <v>-0</v>
      </c>
      <c r="DV51" s="33" t="n">
        <f aca="false">-$E51*N(AND(DV$3&lt;=$F51,DV$4&gt;=$F51))</f>
        <v>-0</v>
      </c>
      <c r="DW51" s="33" t="n">
        <f aca="false">-$E51*N(AND(DW$3&lt;=$F51,DW$4&gt;=$F51))</f>
        <v>-0</v>
      </c>
      <c r="DX51" s="33" t="n">
        <f aca="false">-$E51*N(AND(DX$3&lt;=$F51,DX$4&gt;=$F51))</f>
        <v>-0</v>
      </c>
      <c r="DY51" s="33" t="n">
        <f aca="false">-$E51*N(AND(DY$3&lt;=$F51,DY$4&gt;=$F51))</f>
        <v>-0</v>
      </c>
      <c r="DZ51" s="33" t="n">
        <f aca="false">-$E51*N(AND(DZ$3&lt;=$F51,DZ$4&gt;=$F51))</f>
        <v>-0</v>
      </c>
      <c r="EA51" s="33" t="n">
        <f aca="false">-$E51*N(AND(EA$3&lt;=$F51,EA$4&gt;=$F51))</f>
        <v>-0</v>
      </c>
      <c r="EB51" s="33" t="n">
        <f aca="false">-$E51*N(AND(EB$3&lt;=$F51,EB$4&gt;=$F51))</f>
        <v>-0</v>
      </c>
      <c r="EC51" s="33" t="n">
        <f aca="false">-$E51*N(AND(EC$3&lt;=$F51,EC$4&gt;=$F51))</f>
        <v>-0</v>
      </c>
      <c r="ED51" s="33" t="n">
        <f aca="false">-$E51*N(AND(ED$3&lt;=$F51,ED$4&gt;=$F51))</f>
        <v>-0</v>
      </c>
      <c r="EE51" s="33" t="n">
        <f aca="false">-$E51*N(AND(EE$3&lt;=$F51,EE$4&gt;=$F51))</f>
        <v>-0</v>
      </c>
      <c r="EF51" s="33" t="n">
        <f aca="false">-$E51*N(AND(EF$3&lt;=$F51,EF$4&gt;=$F51))</f>
        <v>-0</v>
      </c>
      <c r="EG51" s="33" t="n">
        <f aca="false">-$E51*N(AND(EG$3&lt;=$F51,EG$4&gt;=$F51))</f>
        <v>-0</v>
      </c>
      <c r="EH51" s="33" t="n">
        <f aca="false">-$E51*N(AND(EH$3&lt;=$F51,EH$4&gt;=$F51))</f>
        <v>-0</v>
      </c>
      <c r="EI51" s="33" t="n">
        <f aca="false">-$E51*N(AND(EI$3&lt;=$F51,EI$4&gt;=$F51))</f>
        <v>-0</v>
      </c>
      <c r="EJ51" s="33" t="n">
        <f aca="false">-$E51*N(AND(EJ$3&lt;=$F51,EJ$4&gt;=$F51))</f>
        <v>-0</v>
      </c>
      <c r="EK51" s="33" t="n">
        <f aca="false">-$E51*N(AND(EK$3&lt;=$F51,EK$4&gt;=$F51))</f>
        <v>-0</v>
      </c>
      <c r="EL51" s="33" t="n">
        <f aca="false">-$E51*N(AND(EL$3&lt;=$F51,EL$4&gt;=$F51))</f>
        <v>-0</v>
      </c>
      <c r="EM51" s="33" t="n">
        <f aca="false">-$E51*N(AND(EM$3&lt;=$F51,EM$4&gt;=$F51))</f>
        <v>-0</v>
      </c>
      <c r="EN51" s="33" t="n">
        <f aca="false">-$E51*N(AND(EN$3&lt;=$F51,EN$4&gt;=$F51))</f>
        <v>-0</v>
      </c>
      <c r="EO51" s="33" t="n">
        <f aca="false">-$E51*N(AND(EO$3&lt;=$F51,EO$4&gt;=$F51))</f>
        <v>-0</v>
      </c>
      <c r="EP51" s="33" t="n">
        <f aca="false">-$E51*N(AND(EP$3&lt;=$F51,EP$4&gt;=$F51))</f>
        <v>-0</v>
      </c>
      <c r="EQ51" s="33" t="n">
        <f aca="false">-$E51*N(AND(EQ$3&lt;=$F51,EQ$4&gt;=$F51))</f>
        <v>-0</v>
      </c>
      <c r="ER51" s="33" t="n">
        <f aca="false">-$E51*N(AND(ER$3&lt;=$F51,ER$4&gt;=$F51))</f>
        <v>-0</v>
      </c>
      <c r="ES51" s="33" t="n">
        <f aca="false">-$E51*N(AND(ES$3&lt;=$F51,ES$4&gt;=$F51))</f>
        <v>-0</v>
      </c>
      <c r="ET51" s="33" t="n">
        <f aca="false">-$E51*N(AND(ET$3&lt;=$F51,ET$4&gt;=$F51))</f>
        <v>-0</v>
      </c>
    </row>
    <row r="52" customFormat="false" ht="15" hidden="false" customHeight="false" outlineLevel="0" collapsed="false">
      <c r="C52" s="0" t="s">
        <v>521</v>
      </c>
      <c r="D52" s="11" t="s">
        <v>253</v>
      </c>
      <c r="E52" s="33" t="n">
        <f aca="false">(In_Indirect_Fee-In_TSO_Security)*In_MVA*Thousand/In_FX</f>
        <v>18786.6591780822</v>
      </c>
      <c r="F52" s="27" t="n">
        <f aca="false">In_HCSSZ_Date</f>
        <v>47126</v>
      </c>
      <c r="I52" s="33" t="n">
        <f aca="false">SUM(J52:ET52)</f>
        <v>-18786.6591780822</v>
      </c>
      <c r="J52" s="33" t="n">
        <f aca="false">-$E52*N(AND(J$3&lt;=$F52,J$4&gt;=$F52))</f>
        <v>-0</v>
      </c>
      <c r="K52" s="33" t="n">
        <f aca="false">-$E52*N(AND(K$3&lt;=$F52,K$4&gt;=$F52))</f>
        <v>-0</v>
      </c>
      <c r="L52" s="33" t="n">
        <f aca="false">-$E52*N(AND(L$3&lt;=$F52,L$4&gt;=$F52))</f>
        <v>-0</v>
      </c>
      <c r="M52" s="33" t="n">
        <f aca="false">-$E52*N(AND(M$3&lt;=$F52,M$4&gt;=$F52))</f>
        <v>-0</v>
      </c>
      <c r="N52" s="33" t="n">
        <f aca="false">-$E52*N(AND(N$3&lt;=$F52,N$4&gt;=$F52))</f>
        <v>-0</v>
      </c>
      <c r="O52" s="33" t="n">
        <f aca="false">-$E52*N(AND(O$3&lt;=$F52,O$4&gt;=$F52))</f>
        <v>-0</v>
      </c>
      <c r="P52" s="33" t="n">
        <f aca="false">-$E52*N(AND(P$3&lt;=$F52,P$4&gt;=$F52))</f>
        <v>-0</v>
      </c>
      <c r="Q52" s="33" t="n">
        <f aca="false">-$E52*N(AND(Q$3&lt;=$F52,Q$4&gt;=$F52))</f>
        <v>-0</v>
      </c>
      <c r="R52" s="33" t="n">
        <f aca="false">-$E52*N(AND(R$3&lt;=$F52,R$4&gt;=$F52))</f>
        <v>-0</v>
      </c>
      <c r="S52" s="33" t="n">
        <f aca="false">-$E52*N(AND(S$3&lt;=$F52,S$4&gt;=$F52))</f>
        <v>-0</v>
      </c>
      <c r="T52" s="33" t="n">
        <f aca="false">-$E52*N(AND(T$3&lt;=$F52,T$4&gt;=$F52))</f>
        <v>-18786.6591780822</v>
      </c>
      <c r="U52" s="33" t="n">
        <f aca="false">-$E52*N(AND(U$3&lt;=$F52,U$4&gt;=$F52))</f>
        <v>-0</v>
      </c>
      <c r="V52" s="33" t="n">
        <f aca="false">-$E52*N(AND(V$3&lt;=$F52,V$4&gt;=$F52))</f>
        <v>-0</v>
      </c>
      <c r="W52" s="33" t="n">
        <f aca="false">-$E52*N(AND(W$3&lt;=$F52,W$4&gt;=$F52))</f>
        <v>-0</v>
      </c>
      <c r="X52" s="33" t="n">
        <f aca="false">-$E52*N(AND(X$3&lt;=$F52,X$4&gt;=$F52))</f>
        <v>-0</v>
      </c>
      <c r="Y52" s="33" t="n">
        <f aca="false">-$E52*N(AND(Y$3&lt;=$F52,Y$4&gt;=$F52))</f>
        <v>-0</v>
      </c>
      <c r="Z52" s="33" t="n">
        <f aca="false">-$E52*N(AND(Z$3&lt;=$F52,Z$4&gt;=$F52))</f>
        <v>-0</v>
      </c>
      <c r="AA52" s="33" t="n">
        <f aca="false">-$E52*N(AND(AA$3&lt;=$F52,AA$4&gt;=$F52))</f>
        <v>-0</v>
      </c>
      <c r="AB52" s="33" t="n">
        <f aca="false">-$E52*N(AND(AB$3&lt;=$F52,AB$4&gt;=$F52))</f>
        <v>-0</v>
      </c>
      <c r="AC52" s="33" t="n">
        <f aca="false">-$E52*N(AND(AC$3&lt;=$F52,AC$4&gt;=$F52))</f>
        <v>-0</v>
      </c>
      <c r="AD52" s="33" t="n">
        <f aca="false">-$E52*N(AND(AD$3&lt;=$F52,AD$4&gt;=$F52))</f>
        <v>-0</v>
      </c>
      <c r="AE52" s="33" t="n">
        <f aca="false">-$E52*N(AND(AE$3&lt;=$F52,AE$4&gt;=$F52))</f>
        <v>-0</v>
      </c>
      <c r="AF52" s="33" t="n">
        <f aca="false">-$E52*N(AND(AF$3&lt;=$F52,AF$4&gt;=$F52))</f>
        <v>-0</v>
      </c>
      <c r="AG52" s="33" t="n">
        <f aca="false">-$E52*N(AND(AG$3&lt;=$F52,AG$4&gt;=$F52))</f>
        <v>-0</v>
      </c>
      <c r="AH52" s="33" t="n">
        <f aca="false">-$E52*N(AND(AH$3&lt;=$F52,AH$4&gt;=$F52))</f>
        <v>-0</v>
      </c>
      <c r="AI52" s="33" t="n">
        <f aca="false">-$E52*N(AND(AI$3&lt;=$F52,AI$4&gt;=$F52))</f>
        <v>-0</v>
      </c>
      <c r="AJ52" s="33" t="n">
        <f aca="false">-$E52*N(AND(AJ$3&lt;=$F52,AJ$4&gt;=$F52))</f>
        <v>-0</v>
      </c>
      <c r="AK52" s="33" t="n">
        <f aca="false">-$E52*N(AND(AK$3&lt;=$F52,AK$4&gt;=$F52))</f>
        <v>-0</v>
      </c>
      <c r="AL52" s="33" t="n">
        <f aca="false">-$E52*N(AND(AL$3&lt;=$F52,AL$4&gt;=$F52))</f>
        <v>-0</v>
      </c>
      <c r="AM52" s="33" t="n">
        <f aca="false">-$E52*N(AND(AM$3&lt;=$F52,AM$4&gt;=$F52))</f>
        <v>-0</v>
      </c>
      <c r="AN52" s="33" t="n">
        <f aca="false">-$E52*N(AND(AN$3&lt;=$F52,AN$4&gt;=$F52))</f>
        <v>-0</v>
      </c>
      <c r="AO52" s="33" t="n">
        <f aca="false">-$E52*N(AND(AO$3&lt;=$F52,AO$4&gt;=$F52))</f>
        <v>-0</v>
      </c>
      <c r="AP52" s="33" t="n">
        <f aca="false">-$E52*N(AND(AP$3&lt;=$F52,AP$4&gt;=$F52))</f>
        <v>-0</v>
      </c>
      <c r="AQ52" s="33" t="n">
        <f aca="false">-$E52*N(AND(AQ$3&lt;=$F52,AQ$4&gt;=$F52))</f>
        <v>-0</v>
      </c>
      <c r="AR52" s="33" t="n">
        <f aca="false">-$E52*N(AND(AR$3&lt;=$F52,AR$4&gt;=$F52))</f>
        <v>-0</v>
      </c>
      <c r="AS52" s="33" t="n">
        <f aca="false">-$E52*N(AND(AS$3&lt;=$F52,AS$4&gt;=$F52))</f>
        <v>-0</v>
      </c>
      <c r="AT52" s="33" t="n">
        <f aca="false">-$E52*N(AND(AT$3&lt;=$F52,AT$4&gt;=$F52))</f>
        <v>-0</v>
      </c>
      <c r="AU52" s="33" t="n">
        <f aca="false">-$E52*N(AND(AU$3&lt;=$F52,AU$4&gt;=$F52))</f>
        <v>-0</v>
      </c>
      <c r="AV52" s="33" t="n">
        <f aca="false">-$E52*N(AND(AV$3&lt;=$F52,AV$4&gt;=$F52))</f>
        <v>-0</v>
      </c>
      <c r="AW52" s="33" t="n">
        <f aca="false">-$E52*N(AND(AW$3&lt;=$F52,AW$4&gt;=$F52))</f>
        <v>-0</v>
      </c>
      <c r="AX52" s="33" t="n">
        <f aca="false">-$E52*N(AND(AX$3&lt;=$F52,AX$4&gt;=$F52))</f>
        <v>-0</v>
      </c>
      <c r="AY52" s="33" t="n">
        <f aca="false">-$E52*N(AND(AY$3&lt;=$F52,AY$4&gt;=$F52))</f>
        <v>-0</v>
      </c>
      <c r="AZ52" s="33" t="n">
        <f aca="false">-$E52*N(AND(AZ$3&lt;=$F52,AZ$4&gt;=$F52))</f>
        <v>-0</v>
      </c>
      <c r="BA52" s="33" t="n">
        <f aca="false">-$E52*N(AND(BA$3&lt;=$F52,BA$4&gt;=$F52))</f>
        <v>-0</v>
      </c>
      <c r="BB52" s="33" t="n">
        <f aca="false">-$E52*N(AND(BB$3&lt;=$F52,BB$4&gt;=$F52))</f>
        <v>-0</v>
      </c>
      <c r="BC52" s="33" t="n">
        <f aca="false">-$E52*N(AND(BC$3&lt;=$F52,BC$4&gt;=$F52))</f>
        <v>-0</v>
      </c>
      <c r="BD52" s="33" t="n">
        <f aca="false">-$E52*N(AND(BD$3&lt;=$F52,BD$4&gt;=$F52))</f>
        <v>-0</v>
      </c>
      <c r="BE52" s="33" t="n">
        <f aca="false">-$E52*N(AND(BE$3&lt;=$F52,BE$4&gt;=$F52))</f>
        <v>-0</v>
      </c>
      <c r="BF52" s="33" t="n">
        <f aca="false">-$E52*N(AND(BF$3&lt;=$F52,BF$4&gt;=$F52))</f>
        <v>-0</v>
      </c>
      <c r="BG52" s="33" t="n">
        <f aca="false">-$E52*N(AND(BG$3&lt;=$F52,BG$4&gt;=$F52))</f>
        <v>-0</v>
      </c>
      <c r="BH52" s="33" t="n">
        <f aca="false">-$E52*N(AND(BH$3&lt;=$F52,BH$4&gt;=$F52))</f>
        <v>-0</v>
      </c>
      <c r="BI52" s="33" t="n">
        <f aca="false">-$E52*N(AND(BI$3&lt;=$F52,BI$4&gt;=$F52))</f>
        <v>-0</v>
      </c>
      <c r="BJ52" s="33" t="n">
        <f aca="false">-$E52*N(AND(BJ$3&lt;=$F52,BJ$4&gt;=$F52))</f>
        <v>-0</v>
      </c>
      <c r="BK52" s="33" t="n">
        <f aca="false">-$E52*N(AND(BK$3&lt;=$F52,BK$4&gt;=$F52))</f>
        <v>-0</v>
      </c>
      <c r="BL52" s="33" t="n">
        <f aca="false">-$E52*N(AND(BL$3&lt;=$F52,BL$4&gt;=$F52))</f>
        <v>-0</v>
      </c>
      <c r="BM52" s="33" t="n">
        <f aca="false">-$E52*N(AND(BM$3&lt;=$F52,BM$4&gt;=$F52))</f>
        <v>-0</v>
      </c>
      <c r="BN52" s="33" t="n">
        <f aca="false">-$E52*N(AND(BN$3&lt;=$F52,BN$4&gt;=$F52))</f>
        <v>-0</v>
      </c>
      <c r="BO52" s="33" t="n">
        <f aca="false">-$E52*N(AND(BO$3&lt;=$F52,BO$4&gt;=$F52))</f>
        <v>-0</v>
      </c>
      <c r="BP52" s="33" t="n">
        <f aca="false">-$E52*N(AND(BP$3&lt;=$F52,BP$4&gt;=$F52))</f>
        <v>-0</v>
      </c>
      <c r="BQ52" s="33" t="n">
        <f aca="false">-$E52*N(AND(BQ$3&lt;=$F52,BQ$4&gt;=$F52))</f>
        <v>-0</v>
      </c>
      <c r="BR52" s="33" t="n">
        <f aca="false">-$E52*N(AND(BR$3&lt;=$F52,BR$4&gt;=$F52))</f>
        <v>-0</v>
      </c>
      <c r="BS52" s="33" t="n">
        <f aca="false">-$E52*N(AND(BS$3&lt;=$F52,BS$4&gt;=$F52))</f>
        <v>-0</v>
      </c>
      <c r="BT52" s="33" t="n">
        <f aca="false">-$E52*N(AND(BT$3&lt;=$F52,BT$4&gt;=$F52))</f>
        <v>-0</v>
      </c>
      <c r="BU52" s="33" t="n">
        <f aca="false">-$E52*N(AND(BU$3&lt;=$F52,BU$4&gt;=$F52))</f>
        <v>-0</v>
      </c>
      <c r="BV52" s="33" t="n">
        <f aca="false">-$E52*N(AND(BV$3&lt;=$F52,BV$4&gt;=$F52))</f>
        <v>-0</v>
      </c>
      <c r="BW52" s="33" t="n">
        <f aca="false">-$E52*N(AND(BW$3&lt;=$F52,BW$4&gt;=$F52))</f>
        <v>-0</v>
      </c>
      <c r="BX52" s="33" t="n">
        <f aca="false">-$E52*N(AND(BX$3&lt;=$F52,BX$4&gt;=$F52))</f>
        <v>-0</v>
      </c>
      <c r="BY52" s="33" t="n">
        <f aca="false">-$E52*N(AND(BY$3&lt;=$F52,BY$4&gt;=$F52))</f>
        <v>-0</v>
      </c>
      <c r="BZ52" s="33" t="n">
        <f aca="false">-$E52*N(AND(BZ$3&lt;=$F52,BZ$4&gt;=$F52))</f>
        <v>-0</v>
      </c>
      <c r="CA52" s="33" t="n">
        <f aca="false">-$E52*N(AND(CA$3&lt;=$F52,CA$4&gt;=$F52))</f>
        <v>-0</v>
      </c>
      <c r="CB52" s="33" t="n">
        <f aca="false">-$E52*N(AND(CB$3&lt;=$F52,CB$4&gt;=$F52))</f>
        <v>-0</v>
      </c>
      <c r="CC52" s="33" t="n">
        <f aca="false">-$E52*N(AND(CC$3&lt;=$F52,CC$4&gt;=$F52))</f>
        <v>-0</v>
      </c>
      <c r="CD52" s="33" t="n">
        <f aca="false">-$E52*N(AND(CD$3&lt;=$F52,CD$4&gt;=$F52))</f>
        <v>-0</v>
      </c>
      <c r="CE52" s="33" t="n">
        <f aca="false">-$E52*N(AND(CE$3&lt;=$F52,CE$4&gt;=$F52))</f>
        <v>-0</v>
      </c>
      <c r="CF52" s="33" t="n">
        <f aca="false">-$E52*N(AND(CF$3&lt;=$F52,CF$4&gt;=$F52))</f>
        <v>-0</v>
      </c>
      <c r="CG52" s="33" t="n">
        <f aca="false">-$E52*N(AND(CG$3&lt;=$F52,CG$4&gt;=$F52))</f>
        <v>-0</v>
      </c>
      <c r="CH52" s="33" t="n">
        <f aca="false">-$E52*N(AND(CH$3&lt;=$F52,CH$4&gt;=$F52))</f>
        <v>-0</v>
      </c>
      <c r="CI52" s="33" t="n">
        <f aca="false">-$E52*N(AND(CI$3&lt;=$F52,CI$4&gt;=$F52))</f>
        <v>-0</v>
      </c>
      <c r="CJ52" s="33" t="n">
        <f aca="false">-$E52*N(AND(CJ$3&lt;=$F52,CJ$4&gt;=$F52))</f>
        <v>-0</v>
      </c>
      <c r="CK52" s="33" t="n">
        <f aca="false">-$E52*N(AND(CK$3&lt;=$F52,CK$4&gt;=$F52))</f>
        <v>-0</v>
      </c>
      <c r="CL52" s="33" t="n">
        <f aca="false">-$E52*N(AND(CL$3&lt;=$F52,CL$4&gt;=$F52))</f>
        <v>-0</v>
      </c>
      <c r="CM52" s="33" t="n">
        <f aca="false">-$E52*N(AND(CM$3&lt;=$F52,CM$4&gt;=$F52))</f>
        <v>-0</v>
      </c>
      <c r="CN52" s="33" t="n">
        <f aca="false">-$E52*N(AND(CN$3&lt;=$F52,CN$4&gt;=$F52))</f>
        <v>-0</v>
      </c>
      <c r="CO52" s="33" t="n">
        <f aca="false">-$E52*N(AND(CO$3&lt;=$F52,CO$4&gt;=$F52))</f>
        <v>-0</v>
      </c>
      <c r="CP52" s="33" t="n">
        <f aca="false">-$E52*N(AND(CP$3&lt;=$F52,CP$4&gt;=$F52))</f>
        <v>-0</v>
      </c>
      <c r="CQ52" s="33" t="n">
        <f aca="false">-$E52*N(AND(CQ$3&lt;=$F52,CQ$4&gt;=$F52))</f>
        <v>-0</v>
      </c>
      <c r="CR52" s="33" t="n">
        <f aca="false">-$E52*N(AND(CR$3&lt;=$F52,CR$4&gt;=$F52))</f>
        <v>-0</v>
      </c>
      <c r="CS52" s="33" t="n">
        <f aca="false">-$E52*N(AND(CS$3&lt;=$F52,CS$4&gt;=$F52))</f>
        <v>-0</v>
      </c>
      <c r="CT52" s="33" t="n">
        <f aca="false">-$E52*N(AND(CT$3&lt;=$F52,CT$4&gt;=$F52))</f>
        <v>-0</v>
      </c>
      <c r="CU52" s="33" t="n">
        <f aca="false">-$E52*N(AND(CU$3&lt;=$F52,CU$4&gt;=$F52))</f>
        <v>-0</v>
      </c>
      <c r="CV52" s="33" t="n">
        <f aca="false">-$E52*N(AND(CV$3&lt;=$F52,CV$4&gt;=$F52))</f>
        <v>-0</v>
      </c>
      <c r="CW52" s="33" t="n">
        <f aca="false">-$E52*N(AND(CW$3&lt;=$F52,CW$4&gt;=$F52))</f>
        <v>-0</v>
      </c>
      <c r="CX52" s="33" t="n">
        <f aca="false">-$E52*N(AND(CX$3&lt;=$F52,CX$4&gt;=$F52))</f>
        <v>-0</v>
      </c>
      <c r="CY52" s="33" t="n">
        <f aca="false">-$E52*N(AND(CY$3&lt;=$F52,CY$4&gt;=$F52))</f>
        <v>-0</v>
      </c>
      <c r="CZ52" s="33" t="n">
        <f aca="false">-$E52*N(AND(CZ$3&lt;=$F52,CZ$4&gt;=$F52))</f>
        <v>-0</v>
      </c>
      <c r="DA52" s="33" t="n">
        <f aca="false">-$E52*N(AND(DA$3&lt;=$F52,DA$4&gt;=$F52))</f>
        <v>-0</v>
      </c>
      <c r="DB52" s="33" t="n">
        <f aca="false">-$E52*N(AND(DB$3&lt;=$F52,DB$4&gt;=$F52))</f>
        <v>-0</v>
      </c>
      <c r="DC52" s="33" t="n">
        <f aca="false">-$E52*N(AND(DC$3&lt;=$F52,DC$4&gt;=$F52))</f>
        <v>-0</v>
      </c>
      <c r="DD52" s="33" t="n">
        <f aca="false">-$E52*N(AND(DD$3&lt;=$F52,DD$4&gt;=$F52))</f>
        <v>-0</v>
      </c>
      <c r="DE52" s="33" t="n">
        <f aca="false">-$E52*N(AND(DE$3&lt;=$F52,DE$4&gt;=$F52))</f>
        <v>-0</v>
      </c>
      <c r="DF52" s="33" t="n">
        <f aca="false">-$E52*N(AND(DF$3&lt;=$F52,DF$4&gt;=$F52))</f>
        <v>-0</v>
      </c>
      <c r="DG52" s="33" t="n">
        <f aca="false">-$E52*N(AND(DG$3&lt;=$F52,DG$4&gt;=$F52))</f>
        <v>-0</v>
      </c>
      <c r="DH52" s="33" t="n">
        <f aca="false">-$E52*N(AND(DH$3&lt;=$F52,DH$4&gt;=$F52))</f>
        <v>-0</v>
      </c>
      <c r="DI52" s="33" t="n">
        <f aca="false">-$E52*N(AND(DI$3&lt;=$F52,DI$4&gt;=$F52))</f>
        <v>-0</v>
      </c>
      <c r="DJ52" s="33" t="n">
        <f aca="false">-$E52*N(AND(DJ$3&lt;=$F52,DJ$4&gt;=$F52))</f>
        <v>-0</v>
      </c>
      <c r="DK52" s="33" t="n">
        <f aca="false">-$E52*N(AND(DK$3&lt;=$F52,DK$4&gt;=$F52))</f>
        <v>-0</v>
      </c>
      <c r="DL52" s="33" t="n">
        <f aca="false">-$E52*N(AND(DL$3&lt;=$F52,DL$4&gt;=$F52))</f>
        <v>-0</v>
      </c>
      <c r="DM52" s="33" t="n">
        <f aca="false">-$E52*N(AND(DM$3&lt;=$F52,DM$4&gt;=$F52))</f>
        <v>-0</v>
      </c>
      <c r="DN52" s="33" t="n">
        <f aca="false">-$E52*N(AND(DN$3&lt;=$F52,DN$4&gt;=$F52))</f>
        <v>-0</v>
      </c>
      <c r="DO52" s="33" t="n">
        <f aca="false">-$E52*N(AND(DO$3&lt;=$F52,DO$4&gt;=$F52))</f>
        <v>-0</v>
      </c>
      <c r="DP52" s="33" t="n">
        <f aca="false">-$E52*N(AND(DP$3&lt;=$F52,DP$4&gt;=$F52))</f>
        <v>-0</v>
      </c>
      <c r="DQ52" s="33" t="n">
        <f aca="false">-$E52*N(AND(DQ$3&lt;=$F52,DQ$4&gt;=$F52))</f>
        <v>-0</v>
      </c>
      <c r="DR52" s="33" t="n">
        <f aca="false">-$E52*N(AND(DR$3&lt;=$F52,DR$4&gt;=$F52))</f>
        <v>-0</v>
      </c>
      <c r="DS52" s="33" t="n">
        <f aca="false">-$E52*N(AND(DS$3&lt;=$F52,DS$4&gt;=$F52))</f>
        <v>-0</v>
      </c>
      <c r="DT52" s="33" t="n">
        <f aca="false">-$E52*N(AND(DT$3&lt;=$F52,DT$4&gt;=$F52))</f>
        <v>-0</v>
      </c>
      <c r="DU52" s="33" t="n">
        <f aca="false">-$E52*N(AND(DU$3&lt;=$F52,DU$4&gt;=$F52))</f>
        <v>-0</v>
      </c>
      <c r="DV52" s="33" t="n">
        <f aca="false">-$E52*N(AND(DV$3&lt;=$F52,DV$4&gt;=$F52))</f>
        <v>-0</v>
      </c>
      <c r="DW52" s="33" t="n">
        <f aca="false">-$E52*N(AND(DW$3&lt;=$F52,DW$4&gt;=$F52))</f>
        <v>-0</v>
      </c>
      <c r="DX52" s="33" t="n">
        <f aca="false">-$E52*N(AND(DX$3&lt;=$F52,DX$4&gt;=$F52))</f>
        <v>-0</v>
      </c>
      <c r="DY52" s="33" t="n">
        <f aca="false">-$E52*N(AND(DY$3&lt;=$F52,DY$4&gt;=$F52))</f>
        <v>-0</v>
      </c>
      <c r="DZ52" s="33" t="n">
        <f aca="false">-$E52*N(AND(DZ$3&lt;=$F52,DZ$4&gt;=$F52))</f>
        <v>-0</v>
      </c>
      <c r="EA52" s="33" t="n">
        <f aca="false">-$E52*N(AND(EA$3&lt;=$F52,EA$4&gt;=$F52))</f>
        <v>-0</v>
      </c>
      <c r="EB52" s="33" t="n">
        <f aca="false">-$E52*N(AND(EB$3&lt;=$F52,EB$4&gt;=$F52))</f>
        <v>-0</v>
      </c>
      <c r="EC52" s="33" t="n">
        <f aca="false">-$E52*N(AND(EC$3&lt;=$F52,EC$4&gt;=$F52))</f>
        <v>-0</v>
      </c>
      <c r="ED52" s="33" t="n">
        <f aca="false">-$E52*N(AND(ED$3&lt;=$F52,ED$4&gt;=$F52))</f>
        <v>-0</v>
      </c>
      <c r="EE52" s="33" t="n">
        <f aca="false">-$E52*N(AND(EE$3&lt;=$F52,EE$4&gt;=$F52))</f>
        <v>-0</v>
      </c>
      <c r="EF52" s="33" t="n">
        <f aca="false">-$E52*N(AND(EF$3&lt;=$F52,EF$4&gt;=$F52))</f>
        <v>-0</v>
      </c>
      <c r="EG52" s="33" t="n">
        <f aca="false">-$E52*N(AND(EG$3&lt;=$F52,EG$4&gt;=$F52))</f>
        <v>-0</v>
      </c>
      <c r="EH52" s="33" t="n">
        <f aca="false">-$E52*N(AND(EH$3&lt;=$F52,EH$4&gt;=$F52))</f>
        <v>-0</v>
      </c>
      <c r="EI52" s="33" t="n">
        <f aca="false">-$E52*N(AND(EI$3&lt;=$F52,EI$4&gt;=$F52))</f>
        <v>-0</v>
      </c>
      <c r="EJ52" s="33" t="n">
        <f aca="false">-$E52*N(AND(EJ$3&lt;=$F52,EJ$4&gt;=$F52))</f>
        <v>-0</v>
      </c>
      <c r="EK52" s="33" t="n">
        <f aca="false">-$E52*N(AND(EK$3&lt;=$F52,EK$4&gt;=$F52))</f>
        <v>-0</v>
      </c>
      <c r="EL52" s="33" t="n">
        <f aca="false">-$E52*N(AND(EL$3&lt;=$F52,EL$4&gt;=$F52))</f>
        <v>-0</v>
      </c>
      <c r="EM52" s="33" t="n">
        <f aca="false">-$E52*N(AND(EM$3&lt;=$F52,EM$4&gt;=$F52))</f>
        <v>-0</v>
      </c>
      <c r="EN52" s="33" t="n">
        <f aca="false">-$E52*N(AND(EN$3&lt;=$F52,EN$4&gt;=$F52))</f>
        <v>-0</v>
      </c>
      <c r="EO52" s="33" t="n">
        <f aca="false">-$E52*N(AND(EO$3&lt;=$F52,EO$4&gt;=$F52))</f>
        <v>-0</v>
      </c>
      <c r="EP52" s="33" t="n">
        <f aca="false">-$E52*N(AND(EP$3&lt;=$F52,EP$4&gt;=$F52))</f>
        <v>-0</v>
      </c>
      <c r="EQ52" s="33" t="n">
        <f aca="false">-$E52*N(AND(EQ$3&lt;=$F52,EQ$4&gt;=$F52))</f>
        <v>-0</v>
      </c>
      <c r="ER52" s="33" t="n">
        <f aca="false">-$E52*N(AND(ER$3&lt;=$F52,ER$4&gt;=$F52))</f>
        <v>-0</v>
      </c>
      <c r="ES52" s="33" t="n">
        <f aca="false">-$E52*N(AND(ES$3&lt;=$F52,ES$4&gt;=$F52))</f>
        <v>-0</v>
      </c>
      <c r="ET52" s="33" t="n">
        <f aca="false">-$E52*N(AND(ET$3&lt;=$F52,ET$4&gt;=$F52))</f>
        <v>-0</v>
      </c>
    </row>
    <row r="53" customFormat="false" ht="15" hidden="false" customHeight="false" outlineLevel="0" collapsed="false">
      <c r="C53" s="0" t="s">
        <v>116</v>
      </c>
      <c r="D53" s="11" t="s">
        <v>253</v>
      </c>
      <c r="I53" s="33" t="n">
        <f aca="false">SUM(J53:ET53)</f>
        <v>-20179.3874082192</v>
      </c>
      <c r="J53" s="33" t="n">
        <f aca="false">J51+J52</f>
        <v>-0</v>
      </c>
      <c r="K53" s="33" t="n">
        <f aca="false">K51+K52</f>
        <v>-0</v>
      </c>
      <c r="L53" s="33" t="n">
        <f aca="false">L51+L52</f>
        <v>-0</v>
      </c>
      <c r="M53" s="33" t="n">
        <f aca="false">M51+M52</f>
        <v>-0</v>
      </c>
      <c r="N53" s="33" t="n">
        <f aca="false">N51+N52</f>
        <v>-0</v>
      </c>
      <c r="O53" s="33" t="n">
        <f aca="false">O51+O52</f>
        <v>-0</v>
      </c>
      <c r="P53" s="33" t="n">
        <f aca="false">P51+P52</f>
        <v>-0</v>
      </c>
      <c r="Q53" s="33" t="n">
        <f aca="false">Q51+Q52</f>
        <v>-0</v>
      </c>
      <c r="R53" s="33" t="n">
        <f aca="false">R51+R52</f>
        <v>-0</v>
      </c>
      <c r="S53" s="33" t="n">
        <f aca="false">S51+S52</f>
        <v>-0</v>
      </c>
      <c r="T53" s="33" t="n">
        <f aca="false">T51+T52</f>
        <v>-20179.3874082192</v>
      </c>
      <c r="U53" s="33" t="n">
        <f aca="false">U51+U52</f>
        <v>-0</v>
      </c>
      <c r="V53" s="33" t="n">
        <f aca="false">V51+V52</f>
        <v>-0</v>
      </c>
      <c r="W53" s="33" t="n">
        <f aca="false">W51+W52</f>
        <v>-0</v>
      </c>
      <c r="X53" s="33" t="n">
        <f aca="false">X51+X52</f>
        <v>-0</v>
      </c>
      <c r="Y53" s="33" t="n">
        <f aca="false">Y51+Y52</f>
        <v>-0</v>
      </c>
      <c r="Z53" s="33" t="n">
        <f aca="false">Z51+Z52</f>
        <v>-0</v>
      </c>
      <c r="AA53" s="33" t="n">
        <f aca="false">AA51+AA52</f>
        <v>-0</v>
      </c>
      <c r="AB53" s="33" t="n">
        <f aca="false">AB51+AB52</f>
        <v>-0</v>
      </c>
      <c r="AC53" s="33" t="n">
        <f aca="false">AC51+AC52</f>
        <v>-0</v>
      </c>
      <c r="AD53" s="33" t="n">
        <f aca="false">AD51+AD52</f>
        <v>-0</v>
      </c>
      <c r="AE53" s="33" t="n">
        <f aca="false">AE51+AE52</f>
        <v>-0</v>
      </c>
      <c r="AF53" s="33" t="n">
        <f aca="false">AF51+AF52</f>
        <v>-0</v>
      </c>
      <c r="AG53" s="33" t="n">
        <f aca="false">AG51+AG52</f>
        <v>-0</v>
      </c>
      <c r="AH53" s="33" t="n">
        <f aca="false">AH51+AH52</f>
        <v>-0</v>
      </c>
      <c r="AI53" s="33" t="n">
        <f aca="false">AI51+AI52</f>
        <v>-0</v>
      </c>
      <c r="AJ53" s="33" t="n">
        <f aca="false">AJ51+AJ52</f>
        <v>-0</v>
      </c>
      <c r="AK53" s="33" t="n">
        <f aca="false">AK51+AK52</f>
        <v>-0</v>
      </c>
      <c r="AL53" s="33" t="n">
        <f aca="false">AL51+AL52</f>
        <v>-0</v>
      </c>
      <c r="AM53" s="33" t="n">
        <f aca="false">AM51+AM52</f>
        <v>-0</v>
      </c>
      <c r="AN53" s="33" t="n">
        <f aca="false">AN51+AN52</f>
        <v>-0</v>
      </c>
      <c r="AO53" s="33" t="n">
        <f aca="false">AO51+AO52</f>
        <v>-0</v>
      </c>
      <c r="AP53" s="33" t="n">
        <f aca="false">AP51+AP52</f>
        <v>-0</v>
      </c>
      <c r="AQ53" s="33" t="n">
        <f aca="false">AQ51+AQ52</f>
        <v>-0</v>
      </c>
      <c r="AR53" s="33" t="n">
        <f aca="false">AR51+AR52</f>
        <v>-0</v>
      </c>
      <c r="AS53" s="33" t="n">
        <f aca="false">AS51+AS52</f>
        <v>-0</v>
      </c>
      <c r="AT53" s="33" t="n">
        <f aca="false">AT51+AT52</f>
        <v>-0</v>
      </c>
      <c r="AU53" s="33" t="n">
        <f aca="false">AU51+AU52</f>
        <v>-0</v>
      </c>
      <c r="AV53" s="33" t="n">
        <f aca="false">AV51+AV52</f>
        <v>-0</v>
      </c>
      <c r="AW53" s="33" t="n">
        <f aca="false">AW51+AW52</f>
        <v>-0</v>
      </c>
      <c r="AX53" s="33" t="n">
        <f aca="false">AX51+AX52</f>
        <v>-0</v>
      </c>
      <c r="AY53" s="33" t="n">
        <f aca="false">AY51+AY52</f>
        <v>-0</v>
      </c>
      <c r="AZ53" s="33" t="n">
        <f aca="false">AZ51+AZ52</f>
        <v>-0</v>
      </c>
      <c r="BA53" s="33" t="n">
        <f aca="false">BA51+BA52</f>
        <v>-0</v>
      </c>
      <c r="BB53" s="33" t="n">
        <f aca="false">BB51+BB52</f>
        <v>-0</v>
      </c>
      <c r="BC53" s="33" t="n">
        <f aca="false">BC51+BC52</f>
        <v>-0</v>
      </c>
      <c r="BD53" s="33" t="n">
        <f aca="false">BD51+BD52</f>
        <v>-0</v>
      </c>
      <c r="BE53" s="33" t="n">
        <f aca="false">BE51+BE52</f>
        <v>-0</v>
      </c>
      <c r="BF53" s="33" t="n">
        <f aca="false">BF51+BF52</f>
        <v>-0</v>
      </c>
      <c r="BG53" s="33" t="n">
        <f aca="false">BG51+BG52</f>
        <v>-0</v>
      </c>
      <c r="BH53" s="33" t="n">
        <f aca="false">BH51+BH52</f>
        <v>-0</v>
      </c>
      <c r="BI53" s="33" t="n">
        <f aca="false">BI51+BI52</f>
        <v>-0</v>
      </c>
      <c r="BJ53" s="33" t="n">
        <f aca="false">BJ51+BJ52</f>
        <v>-0</v>
      </c>
      <c r="BK53" s="33" t="n">
        <f aca="false">BK51+BK52</f>
        <v>-0</v>
      </c>
      <c r="BL53" s="33" t="n">
        <f aca="false">BL51+BL52</f>
        <v>-0</v>
      </c>
      <c r="BM53" s="33" t="n">
        <f aca="false">BM51+BM52</f>
        <v>-0</v>
      </c>
      <c r="BN53" s="33" t="n">
        <f aca="false">BN51+BN52</f>
        <v>-0</v>
      </c>
      <c r="BO53" s="33" t="n">
        <f aca="false">BO51+BO52</f>
        <v>-0</v>
      </c>
      <c r="BP53" s="33" t="n">
        <f aca="false">BP51+BP52</f>
        <v>-0</v>
      </c>
      <c r="BQ53" s="33" t="n">
        <f aca="false">BQ51+BQ52</f>
        <v>-0</v>
      </c>
      <c r="BR53" s="33" t="n">
        <f aca="false">BR51+BR52</f>
        <v>-0</v>
      </c>
      <c r="BS53" s="33" t="n">
        <f aca="false">BS51+BS52</f>
        <v>-0</v>
      </c>
      <c r="BT53" s="33" t="n">
        <f aca="false">BT51+BT52</f>
        <v>-0</v>
      </c>
      <c r="BU53" s="33" t="n">
        <f aca="false">BU51+BU52</f>
        <v>-0</v>
      </c>
      <c r="BV53" s="33" t="n">
        <f aca="false">BV51+BV52</f>
        <v>-0</v>
      </c>
      <c r="BW53" s="33" t="n">
        <f aca="false">BW51+BW52</f>
        <v>-0</v>
      </c>
      <c r="BX53" s="33" t="n">
        <f aca="false">BX51+BX52</f>
        <v>-0</v>
      </c>
      <c r="BY53" s="33" t="n">
        <f aca="false">BY51+BY52</f>
        <v>-0</v>
      </c>
      <c r="BZ53" s="33" t="n">
        <f aca="false">BZ51+BZ52</f>
        <v>-0</v>
      </c>
      <c r="CA53" s="33" t="n">
        <f aca="false">CA51+CA52</f>
        <v>-0</v>
      </c>
      <c r="CB53" s="33" t="n">
        <f aca="false">CB51+CB52</f>
        <v>-0</v>
      </c>
      <c r="CC53" s="33" t="n">
        <f aca="false">CC51+CC52</f>
        <v>-0</v>
      </c>
      <c r="CD53" s="33" t="n">
        <f aca="false">CD51+CD52</f>
        <v>-0</v>
      </c>
      <c r="CE53" s="33" t="n">
        <f aca="false">CE51+CE52</f>
        <v>-0</v>
      </c>
      <c r="CF53" s="33" t="n">
        <f aca="false">CF51+CF52</f>
        <v>-0</v>
      </c>
      <c r="CG53" s="33" t="n">
        <f aca="false">CG51+CG52</f>
        <v>-0</v>
      </c>
      <c r="CH53" s="33" t="n">
        <f aca="false">CH51+CH52</f>
        <v>-0</v>
      </c>
      <c r="CI53" s="33" t="n">
        <f aca="false">CI51+CI52</f>
        <v>-0</v>
      </c>
      <c r="CJ53" s="33" t="n">
        <f aca="false">CJ51+CJ52</f>
        <v>-0</v>
      </c>
      <c r="CK53" s="33" t="n">
        <f aca="false">CK51+CK52</f>
        <v>-0</v>
      </c>
      <c r="CL53" s="33" t="n">
        <f aca="false">CL51+CL52</f>
        <v>-0</v>
      </c>
      <c r="CM53" s="33" t="n">
        <f aca="false">CM51+CM52</f>
        <v>-0</v>
      </c>
      <c r="CN53" s="33" t="n">
        <f aca="false">CN51+CN52</f>
        <v>-0</v>
      </c>
      <c r="CO53" s="33" t="n">
        <f aca="false">CO51+CO52</f>
        <v>-0</v>
      </c>
      <c r="CP53" s="33" t="n">
        <f aca="false">CP51+CP52</f>
        <v>-0</v>
      </c>
      <c r="CQ53" s="33" t="n">
        <f aca="false">CQ51+CQ52</f>
        <v>-0</v>
      </c>
      <c r="CR53" s="33" t="n">
        <f aca="false">CR51+CR52</f>
        <v>-0</v>
      </c>
      <c r="CS53" s="33" t="n">
        <f aca="false">CS51+CS52</f>
        <v>-0</v>
      </c>
      <c r="CT53" s="33" t="n">
        <f aca="false">CT51+CT52</f>
        <v>-0</v>
      </c>
      <c r="CU53" s="33" t="n">
        <f aca="false">CU51+CU52</f>
        <v>-0</v>
      </c>
      <c r="CV53" s="33" t="n">
        <f aca="false">CV51+CV52</f>
        <v>-0</v>
      </c>
      <c r="CW53" s="33" t="n">
        <f aca="false">CW51+CW52</f>
        <v>-0</v>
      </c>
      <c r="CX53" s="33" t="n">
        <f aca="false">CX51+CX52</f>
        <v>-0</v>
      </c>
      <c r="CY53" s="33" t="n">
        <f aca="false">CY51+CY52</f>
        <v>-0</v>
      </c>
      <c r="CZ53" s="33" t="n">
        <f aca="false">CZ51+CZ52</f>
        <v>-0</v>
      </c>
      <c r="DA53" s="33" t="n">
        <f aca="false">DA51+DA52</f>
        <v>-0</v>
      </c>
      <c r="DB53" s="33" t="n">
        <f aca="false">DB51+DB52</f>
        <v>-0</v>
      </c>
      <c r="DC53" s="33" t="n">
        <f aca="false">DC51+DC52</f>
        <v>-0</v>
      </c>
      <c r="DD53" s="33" t="n">
        <f aca="false">DD51+DD52</f>
        <v>-0</v>
      </c>
      <c r="DE53" s="33" t="n">
        <f aca="false">DE51+DE52</f>
        <v>-0</v>
      </c>
      <c r="DF53" s="33" t="n">
        <f aca="false">DF51+DF52</f>
        <v>-0</v>
      </c>
      <c r="DG53" s="33" t="n">
        <f aca="false">DG51+DG52</f>
        <v>-0</v>
      </c>
      <c r="DH53" s="33" t="n">
        <f aca="false">DH51+DH52</f>
        <v>-0</v>
      </c>
      <c r="DI53" s="33" t="n">
        <f aca="false">DI51+DI52</f>
        <v>-0</v>
      </c>
      <c r="DJ53" s="33" t="n">
        <f aca="false">DJ51+DJ52</f>
        <v>-0</v>
      </c>
      <c r="DK53" s="33" t="n">
        <f aca="false">DK51+DK52</f>
        <v>-0</v>
      </c>
      <c r="DL53" s="33" t="n">
        <f aca="false">DL51+DL52</f>
        <v>-0</v>
      </c>
      <c r="DM53" s="33" t="n">
        <f aca="false">DM51+DM52</f>
        <v>-0</v>
      </c>
      <c r="DN53" s="33" t="n">
        <f aca="false">DN51+DN52</f>
        <v>-0</v>
      </c>
      <c r="DO53" s="33" t="n">
        <f aca="false">DO51+DO52</f>
        <v>-0</v>
      </c>
      <c r="DP53" s="33" t="n">
        <f aca="false">DP51+DP52</f>
        <v>-0</v>
      </c>
      <c r="DQ53" s="33" t="n">
        <f aca="false">DQ51+DQ52</f>
        <v>-0</v>
      </c>
      <c r="DR53" s="33" t="n">
        <f aca="false">DR51+DR52</f>
        <v>-0</v>
      </c>
      <c r="DS53" s="33" t="n">
        <f aca="false">DS51+DS52</f>
        <v>-0</v>
      </c>
      <c r="DT53" s="33" t="n">
        <f aca="false">DT51+DT52</f>
        <v>-0</v>
      </c>
      <c r="DU53" s="33" t="n">
        <f aca="false">DU51+DU52</f>
        <v>-0</v>
      </c>
      <c r="DV53" s="33" t="n">
        <f aca="false">DV51+DV52</f>
        <v>-0</v>
      </c>
      <c r="DW53" s="33" t="n">
        <f aca="false">DW51+DW52</f>
        <v>-0</v>
      </c>
      <c r="DX53" s="33" t="n">
        <f aca="false">DX51+DX52</f>
        <v>-0</v>
      </c>
      <c r="DY53" s="33" t="n">
        <f aca="false">DY51+DY52</f>
        <v>-0</v>
      </c>
      <c r="DZ53" s="33" t="n">
        <f aca="false">DZ51+DZ52</f>
        <v>-0</v>
      </c>
      <c r="EA53" s="33" t="n">
        <f aca="false">EA51+EA52</f>
        <v>-0</v>
      </c>
      <c r="EB53" s="33" t="n">
        <f aca="false">EB51+EB52</f>
        <v>-0</v>
      </c>
      <c r="EC53" s="33" t="n">
        <f aca="false">EC51+EC52</f>
        <v>-0</v>
      </c>
      <c r="ED53" s="33" t="n">
        <f aca="false">ED51+ED52</f>
        <v>-0</v>
      </c>
      <c r="EE53" s="33" t="n">
        <f aca="false">EE51+EE52</f>
        <v>-0</v>
      </c>
      <c r="EF53" s="33" t="n">
        <f aca="false">EF51+EF52</f>
        <v>-0</v>
      </c>
      <c r="EG53" s="33" t="n">
        <f aca="false">EG51+EG52</f>
        <v>-0</v>
      </c>
      <c r="EH53" s="33" t="n">
        <f aca="false">EH51+EH52</f>
        <v>-0</v>
      </c>
      <c r="EI53" s="33" t="n">
        <f aca="false">EI51+EI52</f>
        <v>-0</v>
      </c>
      <c r="EJ53" s="33" t="n">
        <f aca="false">EJ51+EJ52</f>
        <v>-0</v>
      </c>
      <c r="EK53" s="33" t="n">
        <f aca="false">EK51+EK52</f>
        <v>-0</v>
      </c>
      <c r="EL53" s="33" t="n">
        <f aca="false">EL51+EL52</f>
        <v>-0</v>
      </c>
      <c r="EM53" s="33" t="n">
        <f aca="false">EM51+EM52</f>
        <v>-0</v>
      </c>
      <c r="EN53" s="33" t="n">
        <f aca="false">EN51+EN52</f>
        <v>-0</v>
      </c>
      <c r="EO53" s="33" t="n">
        <f aca="false">EO51+EO52</f>
        <v>-0</v>
      </c>
      <c r="EP53" s="33" t="n">
        <f aca="false">EP51+EP52</f>
        <v>-0</v>
      </c>
      <c r="EQ53" s="33" t="n">
        <f aca="false">EQ51+EQ52</f>
        <v>-0</v>
      </c>
      <c r="ER53" s="33" t="n">
        <f aca="false">ER51+ER52</f>
        <v>-0</v>
      </c>
      <c r="ES53" s="33" t="n">
        <f aca="false">ES51+ES52</f>
        <v>-0</v>
      </c>
      <c r="ET53" s="33" t="n">
        <f aca="false">ET51+ET52</f>
        <v>-0</v>
      </c>
    </row>
    <row r="54" customFormat="false" ht="15" hidden="false" customHeight="false" outlineLevel="0" collapsed="false">
      <c r="C54" s="0" t="s">
        <v>522</v>
      </c>
      <c r="D54" s="11" t="s">
        <v>253</v>
      </c>
      <c r="I54" s="33" t="n">
        <f aca="false">SUM(J54:ET54)</f>
        <v>-2404.83056505452</v>
      </c>
      <c r="J54" s="33" t="n">
        <f aca="false">-SUMIFS(Devex_Keur,Devex_Date,"&gt;="&amp;J$3,Devex_Date,"&lt;="&amp;J$4,Devex_Land,0)</f>
        <v>-0</v>
      </c>
      <c r="K54" s="33" t="n">
        <f aca="false">-SUMIFS(Devex_Keur,Devex_Date,"&gt;="&amp;K$3,Devex_Date,"&lt;="&amp;K$4,Devex_Land,0)</f>
        <v>-178.520547945205</v>
      </c>
      <c r="L54" s="33" t="n">
        <f aca="false">-SUMIFS(Devex_Keur,Devex_Date,"&gt;="&amp;L$3,Devex_Date,"&lt;="&amp;L$4,Devex_Land,0)</f>
        <v>-407.86301369863</v>
      </c>
      <c r="M54" s="33" t="n">
        <f aca="false">-SUMIFS(Devex_Keur,Devex_Date,"&gt;="&amp;M$3,Devex_Date,"&lt;="&amp;M$4,Devex_Land,0)</f>
        <v>-43.8356164383562</v>
      </c>
      <c r="N54" s="33" t="n">
        <f aca="false">-SUMIFS(Devex_Keur,Devex_Date,"&gt;="&amp;N$3,Devex_Date,"&lt;="&amp;N$4,Devex_Land,0)</f>
        <v>-43.8356164383562</v>
      </c>
      <c r="O54" s="33" t="n">
        <f aca="false">-SUMIFS(Devex_Keur,Devex_Date,"&gt;="&amp;O$3,Devex_Date,"&lt;="&amp;O$4,Devex_Land,0)</f>
        <v>-184.361643835616</v>
      </c>
      <c r="P54" s="33" t="n">
        <f aca="false">-SUMIFS(Devex_Keur,Devex_Date,"&gt;="&amp;P$3,Devex_Date,"&lt;="&amp;P$4,Devex_Land,0)</f>
        <v>-1290.04179480011</v>
      </c>
      <c r="Q54" s="33" t="n">
        <f aca="false">-SUMIFS(Devex_Keur,Devex_Date,"&gt;="&amp;Q$3,Devex_Date,"&lt;="&amp;Q$4,Devex_Land,0)</f>
        <v>-4.60958904109589</v>
      </c>
      <c r="R54" s="33" t="n">
        <f aca="false">-SUMIFS(Devex_Keur,Devex_Date,"&gt;="&amp;R$3,Devex_Date,"&lt;="&amp;R$4,Devex_Land,0)</f>
        <v>-164.091509980431</v>
      </c>
      <c r="S54" s="33" t="n">
        <f aca="false">-SUMIFS(Devex_Keur,Devex_Date,"&gt;="&amp;S$3,Devex_Date,"&lt;="&amp;S$4,Devex_Land,0)</f>
        <v>-32.8767123287671</v>
      </c>
      <c r="T54" s="33" t="n">
        <f aca="false">-SUMIFS(Devex_Keur,Devex_Date,"&gt;="&amp;T$3,Devex_Date,"&lt;="&amp;T$4,Devex_Land,0)</f>
        <v>-54.7945205479452</v>
      </c>
      <c r="U54" s="33" t="n">
        <f aca="false">-SUMIFS(Devex_Keur,Devex_Date,"&gt;="&amp;U$3,Devex_Date,"&lt;="&amp;U$4,Devex_Land,0)</f>
        <v>-0</v>
      </c>
      <c r="V54" s="33" t="n">
        <f aca="false">-SUMIFS(Devex_Keur,Devex_Date,"&gt;="&amp;V$3,Devex_Date,"&lt;="&amp;V$4,Devex_Land,0)</f>
        <v>-0</v>
      </c>
      <c r="W54" s="33" t="n">
        <f aca="false">-SUMIFS(Devex_Keur,Devex_Date,"&gt;="&amp;W$3,Devex_Date,"&lt;="&amp;W$4,Devex_Land,0)</f>
        <v>-0</v>
      </c>
      <c r="X54" s="33" t="n">
        <f aca="false">-SUMIFS(Devex_Keur,Devex_Date,"&gt;="&amp;X$3,Devex_Date,"&lt;="&amp;X$4,Devex_Land,0)</f>
        <v>-0</v>
      </c>
      <c r="Y54" s="33" t="n">
        <f aca="false">-SUMIFS(Devex_Keur,Devex_Date,"&gt;="&amp;Y$3,Devex_Date,"&lt;="&amp;Y$4,Devex_Land,0)</f>
        <v>-0</v>
      </c>
      <c r="Z54" s="33" t="n">
        <f aca="false">-SUMIFS(Devex_Keur,Devex_Date,"&gt;="&amp;Z$3,Devex_Date,"&lt;="&amp;Z$4,Devex_Land,0)</f>
        <v>-0</v>
      </c>
      <c r="AA54" s="33" t="n">
        <f aca="false">-SUMIFS(Devex_Keur,Devex_Date,"&gt;="&amp;AA$3,Devex_Date,"&lt;="&amp;AA$4,Devex_Land,0)</f>
        <v>-0</v>
      </c>
      <c r="AB54" s="33" t="n">
        <f aca="false">-SUMIFS(Devex_Keur,Devex_Date,"&gt;="&amp;AB$3,Devex_Date,"&lt;="&amp;AB$4,Devex_Land,0)</f>
        <v>-0</v>
      </c>
      <c r="AC54" s="33" t="n">
        <f aca="false">-SUMIFS(Devex_Keur,Devex_Date,"&gt;="&amp;AC$3,Devex_Date,"&lt;="&amp;AC$4,Devex_Land,0)</f>
        <v>-0</v>
      </c>
      <c r="AD54" s="33" t="n">
        <f aca="false">-SUMIFS(Devex_Keur,Devex_Date,"&gt;="&amp;AD$3,Devex_Date,"&lt;="&amp;AD$4,Devex_Land,0)</f>
        <v>-0</v>
      </c>
      <c r="AE54" s="33" t="n">
        <f aca="false">-SUMIFS(Devex_Keur,Devex_Date,"&gt;="&amp;AE$3,Devex_Date,"&lt;="&amp;AE$4,Devex_Land,0)</f>
        <v>-0</v>
      </c>
      <c r="AF54" s="33" t="n">
        <f aca="false">-SUMIFS(Devex_Keur,Devex_Date,"&gt;="&amp;AF$3,Devex_Date,"&lt;="&amp;AF$4,Devex_Land,0)</f>
        <v>-0</v>
      </c>
      <c r="AG54" s="33" t="n">
        <f aca="false">-SUMIFS(Devex_Keur,Devex_Date,"&gt;="&amp;AG$3,Devex_Date,"&lt;="&amp;AG$4,Devex_Land,0)</f>
        <v>-0</v>
      </c>
      <c r="AH54" s="33" t="n">
        <f aca="false">-SUMIFS(Devex_Keur,Devex_Date,"&gt;="&amp;AH$3,Devex_Date,"&lt;="&amp;AH$4,Devex_Land,0)</f>
        <v>-0</v>
      </c>
      <c r="AI54" s="33" t="n">
        <f aca="false">-SUMIFS(Devex_Keur,Devex_Date,"&gt;="&amp;AI$3,Devex_Date,"&lt;="&amp;AI$4,Devex_Land,0)</f>
        <v>-0</v>
      </c>
      <c r="AJ54" s="33" t="n">
        <f aca="false">-SUMIFS(Devex_Keur,Devex_Date,"&gt;="&amp;AJ$3,Devex_Date,"&lt;="&amp;AJ$4,Devex_Land,0)</f>
        <v>-0</v>
      </c>
      <c r="AK54" s="33" t="n">
        <f aca="false">-SUMIFS(Devex_Keur,Devex_Date,"&gt;="&amp;AK$3,Devex_Date,"&lt;="&amp;AK$4,Devex_Land,0)</f>
        <v>-0</v>
      </c>
      <c r="AL54" s="33" t="n">
        <f aca="false">-SUMIFS(Devex_Keur,Devex_Date,"&gt;="&amp;AL$3,Devex_Date,"&lt;="&amp;AL$4,Devex_Land,0)</f>
        <v>-0</v>
      </c>
      <c r="AM54" s="33" t="n">
        <f aca="false">-SUMIFS(Devex_Keur,Devex_Date,"&gt;="&amp;AM$3,Devex_Date,"&lt;="&amp;AM$4,Devex_Land,0)</f>
        <v>-0</v>
      </c>
      <c r="AN54" s="33" t="n">
        <f aca="false">-SUMIFS(Devex_Keur,Devex_Date,"&gt;="&amp;AN$3,Devex_Date,"&lt;="&amp;AN$4,Devex_Land,0)</f>
        <v>-0</v>
      </c>
      <c r="AO54" s="33" t="n">
        <f aca="false">-SUMIFS(Devex_Keur,Devex_Date,"&gt;="&amp;AO$3,Devex_Date,"&lt;="&amp;AO$4,Devex_Land,0)</f>
        <v>-0</v>
      </c>
      <c r="AP54" s="33" t="n">
        <f aca="false">-SUMIFS(Devex_Keur,Devex_Date,"&gt;="&amp;AP$3,Devex_Date,"&lt;="&amp;AP$4,Devex_Land,0)</f>
        <v>-0</v>
      </c>
      <c r="AQ54" s="33" t="n">
        <f aca="false">-SUMIFS(Devex_Keur,Devex_Date,"&gt;="&amp;AQ$3,Devex_Date,"&lt;="&amp;AQ$4,Devex_Land,0)</f>
        <v>-0</v>
      </c>
      <c r="AR54" s="33" t="n">
        <f aca="false">-SUMIFS(Devex_Keur,Devex_Date,"&gt;="&amp;AR$3,Devex_Date,"&lt;="&amp;AR$4,Devex_Land,0)</f>
        <v>-0</v>
      </c>
      <c r="AS54" s="33" t="n">
        <f aca="false">-SUMIFS(Devex_Keur,Devex_Date,"&gt;="&amp;AS$3,Devex_Date,"&lt;="&amp;AS$4,Devex_Land,0)</f>
        <v>-0</v>
      </c>
      <c r="AT54" s="33" t="n">
        <f aca="false">-SUMIFS(Devex_Keur,Devex_Date,"&gt;="&amp;AT$3,Devex_Date,"&lt;="&amp;AT$4,Devex_Land,0)</f>
        <v>-0</v>
      </c>
      <c r="AU54" s="33" t="n">
        <f aca="false">-SUMIFS(Devex_Keur,Devex_Date,"&gt;="&amp;AU$3,Devex_Date,"&lt;="&amp;AU$4,Devex_Land,0)</f>
        <v>-0</v>
      </c>
      <c r="AV54" s="33" t="n">
        <f aca="false">-SUMIFS(Devex_Keur,Devex_Date,"&gt;="&amp;AV$3,Devex_Date,"&lt;="&amp;AV$4,Devex_Land,0)</f>
        <v>-0</v>
      </c>
      <c r="AW54" s="33" t="n">
        <f aca="false">-SUMIFS(Devex_Keur,Devex_Date,"&gt;="&amp;AW$3,Devex_Date,"&lt;="&amp;AW$4,Devex_Land,0)</f>
        <v>-0</v>
      </c>
      <c r="AX54" s="33" t="n">
        <f aca="false">-SUMIFS(Devex_Keur,Devex_Date,"&gt;="&amp;AX$3,Devex_Date,"&lt;="&amp;AX$4,Devex_Land,0)</f>
        <v>-0</v>
      </c>
      <c r="AY54" s="33" t="n">
        <f aca="false">-SUMIFS(Devex_Keur,Devex_Date,"&gt;="&amp;AY$3,Devex_Date,"&lt;="&amp;AY$4,Devex_Land,0)</f>
        <v>-0</v>
      </c>
      <c r="AZ54" s="33" t="n">
        <f aca="false">-SUMIFS(Devex_Keur,Devex_Date,"&gt;="&amp;AZ$3,Devex_Date,"&lt;="&amp;AZ$4,Devex_Land,0)</f>
        <v>-0</v>
      </c>
      <c r="BA54" s="33" t="n">
        <f aca="false">-SUMIFS(Devex_Keur,Devex_Date,"&gt;="&amp;BA$3,Devex_Date,"&lt;="&amp;BA$4,Devex_Land,0)</f>
        <v>-0</v>
      </c>
      <c r="BB54" s="33" t="n">
        <f aca="false">-SUMIFS(Devex_Keur,Devex_Date,"&gt;="&amp;BB$3,Devex_Date,"&lt;="&amp;BB$4,Devex_Land,0)</f>
        <v>-0</v>
      </c>
      <c r="BC54" s="33" t="n">
        <f aca="false">-SUMIFS(Devex_Keur,Devex_Date,"&gt;="&amp;BC$3,Devex_Date,"&lt;="&amp;BC$4,Devex_Land,0)</f>
        <v>-0</v>
      </c>
      <c r="BD54" s="33" t="n">
        <f aca="false">-SUMIFS(Devex_Keur,Devex_Date,"&gt;="&amp;BD$3,Devex_Date,"&lt;="&amp;BD$4,Devex_Land,0)</f>
        <v>-0</v>
      </c>
      <c r="BE54" s="33" t="n">
        <f aca="false">-SUMIFS(Devex_Keur,Devex_Date,"&gt;="&amp;BE$3,Devex_Date,"&lt;="&amp;BE$4,Devex_Land,0)</f>
        <v>-0</v>
      </c>
      <c r="BF54" s="33" t="n">
        <f aca="false">-SUMIFS(Devex_Keur,Devex_Date,"&gt;="&amp;BF$3,Devex_Date,"&lt;="&amp;BF$4,Devex_Land,0)</f>
        <v>-0</v>
      </c>
      <c r="BG54" s="33" t="n">
        <f aca="false">-SUMIFS(Devex_Keur,Devex_Date,"&gt;="&amp;BG$3,Devex_Date,"&lt;="&amp;BG$4,Devex_Land,0)</f>
        <v>-0</v>
      </c>
      <c r="BH54" s="33" t="n">
        <f aca="false">-SUMIFS(Devex_Keur,Devex_Date,"&gt;="&amp;BH$3,Devex_Date,"&lt;="&amp;BH$4,Devex_Land,0)</f>
        <v>-0</v>
      </c>
      <c r="BI54" s="33" t="n">
        <f aca="false">-SUMIFS(Devex_Keur,Devex_Date,"&gt;="&amp;BI$3,Devex_Date,"&lt;="&amp;BI$4,Devex_Land,0)</f>
        <v>-0</v>
      </c>
      <c r="BJ54" s="33" t="n">
        <f aca="false">-SUMIFS(Devex_Keur,Devex_Date,"&gt;="&amp;BJ$3,Devex_Date,"&lt;="&amp;BJ$4,Devex_Land,0)</f>
        <v>-0</v>
      </c>
      <c r="BK54" s="33" t="n">
        <f aca="false">-SUMIFS(Devex_Keur,Devex_Date,"&gt;="&amp;BK$3,Devex_Date,"&lt;="&amp;BK$4,Devex_Land,0)</f>
        <v>-0</v>
      </c>
      <c r="BL54" s="33" t="n">
        <f aca="false">-SUMIFS(Devex_Keur,Devex_Date,"&gt;="&amp;BL$3,Devex_Date,"&lt;="&amp;BL$4,Devex_Land,0)</f>
        <v>-0</v>
      </c>
      <c r="BM54" s="33" t="n">
        <f aca="false">-SUMIFS(Devex_Keur,Devex_Date,"&gt;="&amp;BM$3,Devex_Date,"&lt;="&amp;BM$4,Devex_Land,0)</f>
        <v>-0</v>
      </c>
      <c r="BN54" s="33" t="n">
        <f aca="false">-SUMIFS(Devex_Keur,Devex_Date,"&gt;="&amp;BN$3,Devex_Date,"&lt;="&amp;BN$4,Devex_Land,0)</f>
        <v>-0</v>
      </c>
      <c r="BO54" s="33" t="n">
        <f aca="false">-SUMIFS(Devex_Keur,Devex_Date,"&gt;="&amp;BO$3,Devex_Date,"&lt;="&amp;BO$4,Devex_Land,0)</f>
        <v>-0</v>
      </c>
      <c r="BP54" s="33" t="n">
        <f aca="false">-SUMIFS(Devex_Keur,Devex_Date,"&gt;="&amp;BP$3,Devex_Date,"&lt;="&amp;BP$4,Devex_Land,0)</f>
        <v>-0</v>
      </c>
      <c r="BQ54" s="33" t="n">
        <f aca="false">-SUMIFS(Devex_Keur,Devex_Date,"&gt;="&amp;BQ$3,Devex_Date,"&lt;="&amp;BQ$4,Devex_Land,0)</f>
        <v>-0</v>
      </c>
      <c r="BR54" s="33" t="n">
        <f aca="false">-SUMIFS(Devex_Keur,Devex_Date,"&gt;="&amp;BR$3,Devex_Date,"&lt;="&amp;BR$4,Devex_Land,0)</f>
        <v>-0</v>
      </c>
      <c r="BS54" s="33" t="n">
        <f aca="false">-SUMIFS(Devex_Keur,Devex_Date,"&gt;="&amp;BS$3,Devex_Date,"&lt;="&amp;BS$4,Devex_Land,0)</f>
        <v>-0</v>
      </c>
      <c r="BT54" s="33" t="n">
        <f aca="false">-SUMIFS(Devex_Keur,Devex_Date,"&gt;="&amp;BT$3,Devex_Date,"&lt;="&amp;BT$4,Devex_Land,0)</f>
        <v>-0</v>
      </c>
      <c r="BU54" s="33" t="n">
        <f aca="false">-SUMIFS(Devex_Keur,Devex_Date,"&gt;="&amp;BU$3,Devex_Date,"&lt;="&amp;BU$4,Devex_Land,0)</f>
        <v>-0</v>
      </c>
      <c r="BV54" s="33" t="n">
        <f aca="false">-SUMIFS(Devex_Keur,Devex_Date,"&gt;="&amp;BV$3,Devex_Date,"&lt;="&amp;BV$4,Devex_Land,0)</f>
        <v>-0</v>
      </c>
      <c r="BW54" s="33" t="n">
        <f aca="false">-SUMIFS(Devex_Keur,Devex_Date,"&gt;="&amp;BW$3,Devex_Date,"&lt;="&amp;BW$4,Devex_Land,0)</f>
        <v>-0</v>
      </c>
      <c r="BX54" s="33" t="n">
        <f aca="false">-SUMIFS(Devex_Keur,Devex_Date,"&gt;="&amp;BX$3,Devex_Date,"&lt;="&amp;BX$4,Devex_Land,0)</f>
        <v>-0</v>
      </c>
      <c r="BY54" s="33" t="n">
        <f aca="false">-SUMIFS(Devex_Keur,Devex_Date,"&gt;="&amp;BY$3,Devex_Date,"&lt;="&amp;BY$4,Devex_Land,0)</f>
        <v>-0</v>
      </c>
      <c r="BZ54" s="33" t="n">
        <f aca="false">-SUMIFS(Devex_Keur,Devex_Date,"&gt;="&amp;BZ$3,Devex_Date,"&lt;="&amp;BZ$4,Devex_Land,0)</f>
        <v>-0</v>
      </c>
      <c r="CA54" s="33" t="n">
        <f aca="false">-SUMIFS(Devex_Keur,Devex_Date,"&gt;="&amp;CA$3,Devex_Date,"&lt;="&amp;CA$4,Devex_Land,0)</f>
        <v>-0</v>
      </c>
      <c r="CB54" s="33" t="n">
        <f aca="false">-SUMIFS(Devex_Keur,Devex_Date,"&gt;="&amp;CB$3,Devex_Date,"&lt;="&amp;CB$4,Devex_Land,0)</f>
        <v>-0</v>
      </c>
      <c r="CC54" s="33" t="n">
        <f aca="false">-SUMIFS(Devex_Keur,Devex_Date,"&gt;="&amp;CC$3,Devex_Date,"&lt;="&amp;CC$4,Devex_Land,0)</f>
        <v>-0</v>
      </c>
      <c r="CD54" s="33" t="n">
        <f aca="false">-SUMIFS(Devex_Keur,Devex_Date,"&gt;="&amp;CD$3,Devex_Date,"&lt;="&amp;CD$4,Devex_Land,0)</f>
        <v>-0</v>
      </c>
      <c r="CE54" s="33" t="n">
        <f aca="false">-SUMIFS(Devex_Keur,Devex_Date,"&gt;="&amp;CE$3,Devex_Date,"&lt;="&amp;CE$4,Devex_Land,0)</f>
        <v>-0</v>
      </c>
      <c r="CF54" s="33" t="n">
        <f aca="false">-SUMIFS(Devex_Keur,Devex_Date,"&gt;="&amp;CF$3,Devex_Date,"&lt;="&amp;CF$4,Devex_Land,0)</f>
        <v>-0</v>
      </c>
      <c r="CG54" s="33" t="n">
        <f aca="false">-SUMIFS(Devex_Keur,Devex_Date,"&gt;="&amp;CG$3,Devex_Date,"&lt;="&amp;CG$4,Devex_Land,0)</f>
        <v>-0</v>
      </c>
      <c r="CH54" s="33" t="n">
        <f aca="false">-SUMIFS(Devex_Keur,Devex_Date,"&gt;="&amp;CH$3,Devex_Date,"&lt;="&amp;CH$4,Devex_Land,0)</f>
        <v>-0</v>
      </c>
      <c r="CI54" s="33" t="n">
        <f aca="false">-SUMIFS(Devex_Keur,Devex_Date,"&gt;="&amp;CI$3,Devex_Date,"&lt;="&amp;CI$4,Devex_Land,0)</f>
        <v>-0</v>
      </c>
      <c r="CJ54" s="33" t="n">
        <f aca="false">-SUMIFS(Devex_Keur,Devex_Date,"&gt;="&amp;CJ$3,Devex_Date,"&lt;="&amp;CJ$4,Devex_Land,0)</f>
        <v>-0</v>
      </c>
      <c r="CK54" s="33" t="n">
        <f aca="false">-SUMIFS(Devex_Keur,Devex_Date,"&gt;="&amp;CK$3,Devex_Date,"&lt;="&amp;CK$4,Devex_Land,0)</f>
        <v>-0</v>
      </c>
      <c r="CL54" s="33" t="n">
        <f aca="false">-SUMIFS(Devex_Keur,Devex_Date,"&gt;="&amp;CL$3,Devex_Date,"&lt;="&amp;CL$4,Devex_Land,0)</f>
        <v>-0</v>
      </c>
      <c r="CM54" s="33" t="n">
        <f aca="false">-SUMIFS(Devex_Keur,Devex_Date,"&gt;="&amp;CM$3,Devex_Date,"&lt;="&amp;CM$4,Devex_Land,0)</f>
        <v>-0</v>
      </c>
      <c r="CN54" s="33" t="n">
        <f aca="false">-SUMIFS(Devex_Keur,Devex_Date,"&gt;="&amp;CN$3,Devex_Date,"&lt;="&amp;CN$4,Devex_Land,0)</f>
        <v>-0</v>
      </c>
      <c r="CO54" s="33" t="n">
        <f aca="false">-SUMIFS(Devex_Keur,Devex_Date,"&gt;="&amp;CO$3,Devex_Date,"&lt;="&amp;CO$4,Devex_Land,0)</f>
        <v>-0</v>
      </c>
      <c r="CP54" s="33" t="n">
        <f aca="false">-SUMIFS(Devex_Keur,Devex_Date,"&gt;="&amp;CP$3,Devex_Date,"&lt;="&amp;CP$4,Devex_Land,0)</f>
        <v>-0</v>
      </c>
      <c r="CQ54" s="33" t="n">
        <f aca="false">-SUMIFS(Devex_Keur,Devex_Date,"&gt;="&amp;CQ$3,Devex_Date,"&lt;="&amp;CQ$4,Devex_Land,0)</f>
        <v>-0</v>
      </c>
      <c r="CR54" s="33" t="n">
        <f aca="false">-SUMIFS(Devex_Keur,Devex_Date,"&gt;="&amp;CR$3,Devex_Date,"&lt;="&amp;CR$4,Devex_Land,0)</f>
        <v>-0</v>
      </c>
      <c r="CS54" s="33" t="n">
        <f aca="false">-SUMIFS(Devex_Keur,Devex_Date,"&gt;="&amp;CS$3,Devex_Date,"&lt;="&amp;CS$4,Devex_Land,0)</f>
        <v>-0</v>
      </c>
      <c r="CT54" s="33" t="n">
        <f aca="false">-SUMIFS(Devex_Keur,Devex_Date,"&gt;="&amp;CT$3,Devex_Date,"&lt;="&amp;CT$4,Devex_Land,0)</f>
        <v>-0</v>
      </c>
      <c r="CU54" s="33" t="n">
        <f aca="false">-SUMIFS(Devex_Keur,Devex_Date,"&gt;="&amp;CU$3,Devex_Date,"&lt;="&amp;CU$4,Devex_Land,0)</f>
        <v>-0</v>
      </c>
      <c r="CV54" s="33" t="n">
        <f aca="false">-SUMIFS(Devex_Keur,Devex_Date,"&gt;="&amp;CV$3,Devex_Date,"&lt;="&amp;CV$4,Devex_Land,0)</f>
        <v>-0</v>
      </c>
      <c r="CW54" s="33" t="n">
        <f aca="false">-SUMIFS(Devex_Keur,Devex_Date,"&gt;="&amp;CW$3,Devex_Date,"&lt;="&amp;CW$4,Devex_Land,0)</f>
        <v>-0</v>
      </c>
      <c r="CX54" s="33" t="n">
        <f aca="false">-SUMIFS(Devex_Keur,Devex_Date,"&gt;="&amp;CX$3,Devex_Date,"&lt;="&amp;CX$4,Devex_Land,0)</f>
        <v>-0</v>
      </c>
      <c r="CY54" s="33" t="n">
        <f aca="false">-SUMIFS(Devex_Keur,Devex_Date,"&gt;="&amp;CY$3,Devex_Date,"&lt;="&amp;CY$4,Devex_Land,0)</f>
        <v>-0</v>
      </c>
      <c r="CZ54" s="33" t="n">
        <f aca="false">-SUMIFS(Devex_Keur,Devex_Date,"&gt;="&amp;CZ$3,Devex_Date,"&lt;="&amp;CZ$4,Devex_Land,0)</f>
        <v>-0</v>
      </c>
      <c r="DA54" s="33" t="n">
        <f aca="false">-SUMIFS(Devex_Keur,Devex_Date,"&gt;="&amp;DA$3,Devex_Date,"&lt;="&amp;DA$4,Devex_Land,0)</f>
        <v>-0</v>
      </c>
      <c r="DB54" s="33" t="n">
        <f aca="false">-SUMIFS(Devex_Keur,Devex_Date,"&gt;="&amp;DB$3,Devex_Date,"&lt;="&amp;DB$4,Devex_Land,0)</f>
        <v>-0</v>
      </c>
      <c r="DC54" s="33" t="n">
        <f aca="false">-SUMIFS(Devex_Keur,Devex_Date,"&gt;="&amp;DC$3,Devex_Date,"&lt;="&amp;DC$4,Devex_Land,0)</f>
        <v>-0</v>
      </c>
      <c r="DD54" s="33" t="n">
        <f aca="false">-SUMIFS(Devex_Keur,Devex_Date,"&gt;="&amp;DD$3,Devex_Date,"&lt;="&amp;DD$4,Devex_Land,0)</f>
        <v>-0</v>
      </c>
      <c r="DE54" s="33" t="n">
        <f aca="false">-SUMIFS(Devex_Keur,Devex_Date,"&gt;="&amp;DE$3,Devex_Date,"&lt;="&amp;DE$4,Devex_Land,0)</f>
        <v>-0</v>
      </c>
      <c r="DF54" s="33" t="n">
        <f aca="false">-SUMIFS(Devex_Keur,Devex_Date,"&gt;="&amp;DF$3,Devex_Date,"&lt;="&amp;DF$4,Devex_Land,0)</f>
        <v>-0</v>
      </c>
      <c r="DG54" s="33" t="n">
        <f aca="false">-SUMIFS(Devex_Keur,Devex_Date,"&gt;="&amp;DG$3,Devex_Date,"&lt;="&amp;DG$4,Devex_Land,0)</f>
        <v>-0</v>
      </c>
      <c r="DH54" s="33" t="n">
        <f aca="false">-SUMIFS(Devex_Keur,Devex_Date,"&gt;="&amp;DH$3,Devex_Date,"&lt;="&amp;DH$4,Devex_Land,0)</f>
        <v>-0</v>
      </c>
      <c r="DI54" s="33" t="n">
        <f aca="false">-SUMIFS(Devex_Keur,Devex_Date,"&gt;="&amp;DI$3,Devex_Date,"&lt;="&amp;DI$4,Devex_Land,0)</f>
        <v>-0</v>
      </c>
      <c r="DJ54" s="33" t="n">
        <f aca="false">-SUMIFS(Devex_Keur,Devex_Date,"&gt;="&amp;DJ$3,Devex_Date,"&lt;="&amp;DJ$4,Devex_Land,0)</f>
        <v>-0</v>
      </c>
      <c r="DK54" s="33" t="n">
        <f aca="false">-SUMIFS(Devex_Keur,Devex_Date,"&gt;="&amp;DK$3,Devex_Date,"&lt;="&amp;DK$4,Devex_Land,0)</f>
        <v>-0</v>
      </c>
      <c r="DL54" s="33" t="n">
        <f aca="false">-SUMIFS(Devex_Keur,Devex_Date,"&gt;="&amp;DL$3,Devex_Date,"&lt;="&amp;DL$4,Devex_Land,0)</f>
        <v>-0</v>
      </c>
      <c r="DM54" s="33" t="n">
        <f aca="false">-SUMIFS(Devex_Keur,Devex_Date,"&gt;="&amp;DM$3,Devex_Date,"&lt;="&amp;DM$4,Devex_Land,0)</f>
        <v>-0</v>
      </c>
      <c r="DN54" s="33" t="n">
        <f aca="false">-SUMIFS(Devex_Keur,Devex_Date,"&gt;="&amp;DN$3,Devex_Date,"&lt;="&amp;DN$4,Devex_Land,0)</f>
        <v>-0</v>
      </c>
      <c r="DO54" s="33" t="n">
        <f aca="false">-SUMIFS(Devex_Keur,Devex_Date,"&gt;="&amp;DO$3,Devex_Date,"&lt;="&amp;DO$4,Devex_Land,0)</f>
        <v>-0</v>
      </c>
      <c r="DP54" s="33" t="n">
        <f aca="false">-SUMIFS(Devex_Keur,Devex_Date,"&gt;="&amp;DP$3,Devex_Date,"&lt;="&amp;DP$4,Devex_Land,0)</f>
        <v>-0</v>
      </c>
      <c r="DQ54" s="33" t="n">
        <f aca="false">-SUMIFS(Devex_Keur,Devex_Date,"&gt;="&amp;DQ$3,Devex_Date,"&lt;="&amp;DQ$4,Devex_Land,0)</f>
        <v>-0</v>
      </c>
      <c r="DR54" s="33" t="n">
        <f aca="false">-SUMIFS(Devex_Keur,Devex_Date,"&gt;="&amp;DR$3,Devex_Date,"&lt;="&amp;DR$4,Devex_Land,0)</f>
        <v>-0</v>
      </c>
      <c r="DS54" s="33" t="n">
        <f aca="false">-SUMIFS(Devex_Keur,Devex_Date,"&gt;="&amp;DS$3,Devex_Date,"&lt;="&amp;DS$4,Devex_Land,0)</f>
        <v>-0</v>
      </c>
      <c r="DT54" s="33" t="n">
        <f aca="false">-SUMIFS(Devex_Keur,Devex_Date,"&gt;="&amp;DT$3,Devex_Date,"&lt;="&amp;DT$4,Devex_Land,0)</f>
        <v>-0</v>
      </c>
      <c r="DU54" s="33" t="n">
        <f aca="false">-SUMIFS(Devex_Keur,Devex_Date,"&gt;="&amp;DU$3,Devex_Date,"&lt;="&amp;DU$4,Devex_Land,0)</f>
        <v>-0</v>
      </c>
      <c r="DV54" s="33" t="n">
        <f aca="false">-SUMIFS(Devex_Keur,Devex_Date,"&gt;="&amp;DV$3,Devex_Date,"&lt;="&amp;DV$4,Devex_Land,0)</f>
        <v>-0</v>
      </c>
      <c r="DW54" s="33" t="n">
        <f aca="false">-SUMIFS(Devex_Keur,Devex_Date,"&gt;="&amp;DW$3,Devex_Date,"&lt;="&amp;DW$4,Devex_Land,0)</f>
        <v>-0</v>
      </c>
      <c r="DX54" s="33" t="n">
        <f aca="false">-SUMIFS(Devex_Keur,Devex_Date,"&gt;="&amp;DX$3,Devex_Date,"&lt;="&amp;DX$4,Devex_Land,0)</f>
        <v>-0</v>
      </c>
      <c r="DY54" s="33" t="n">
        <f aca="false">-SUMIFS(Devex_Keur,Devex_Date,"&gt;="&amp;DY$3,Devex_Date,"&lt;="&amp;DY$4,Devex_Land,0)</f>
        <v>-0</v>
      </c>
      <c r="DZ54" s="33" t="n">
        <f aca="false">-SUMIFS(Devex_Keur,Devex_Date,"&gt;="&amp;DZ$3,Devex_Date,"&lt;="&amp;DZ$4,Devex_Land,0)</f>
        <v>-0</v>
      </c>
      <c r="EA54" s="33" t="n">
        <f aca="false">-SUMIFS(Devex_Keur,Devex_Date,"&gt;="&amp;EA$3,Devex_Date,"&lt;="&amp;EA$4,Devex_Land,0)</f>
        <v>-0</v>
      </c>
      <c r="EB54" s="33" t="n">
        <f aca="false">-SUMIFS(Devex_Keur,Devex_Date,"&gt;="&amp;EB$3,Devex_Date,"&lt;="&amp;EB$4,Devex_Land,0)</f>
        <v>-0</v>
      </c>
      <c r="EC54" s="33" t="n">
        <f aca="false">-SUMIFS(Devex_Keur,Devex_Date,"&gt;="&amp;EC$3,Devex_Date,"&lt;="&amp;EC$4,Devex_Land,0)</f>
        <v>-0</v>
      </c>
      <c r="ED54" s="33" t="n">
        <f aca="false">-SUMIFS(Devex_Keur,Devex_Date,"&gt;="&amp;ED$3,Devex_Date,"&lt;="&amp;ED$4,Devex_Land,0)</f>
        <v>-0</v>
      </c>
      <c r="EE54" s="33" t="n">
        <f aca="false">-SUMIFS(Devex_Keur,Devex_Date,"&gt;="&amp;EE$3,Devex_Date,"&lt;="&amp;EE$4,Devex_Land,0)</f>
        <v>-0</v>
      </c>
      <c r="EF54" s="33" t="n">
        <f aca="false">-SUMIFS(Devex_Keur,Devex_Date,"&gt;="&amp;EF$3,Devex_Date,"&lt;="&amp;EF$4,Devex_Land,0)</f>
        <v>-0</v>
      </c>
      <c r="EG54" s="33" t="n">
        <f aca="false">-SUMIFS(Devex_Keur,Devex_Date,"&gt;="&amp;EG$3,Devex_Date,"&lt;="&amp;EG$4,Devex_Land,0)</f>
        <v>-0</v>
      </c>
      <c r="EH54" s="33" t="n">
        <f aca="false">-SUMIFS(Devex_Keur,Devex_Date,"&gt;="&amp;EH$3,Devex_Date,"&lt;="&amp;EH$4,Devex_Land,0)</f>
        <v>-0</v>
      </c>
      <c r="EI54" s="33" t="n">
        <f aca="false">-SUMIFS(Devex_Keur,Devex_Date,"&gt;="&amp;EI$3,Devex_Date,"&lt;="&amp;EI$4,Devex_Land,0)</f>
        <v>-0</v>
      </c>
      <c r="EJ54" s="33" t="n">
        <f aca="false">-SUMIFS(Devex_Keur,Devex_Date,"&gt;="&amp;EJ$3,Devex_Date,"&lt;="&amp;EJ$4,Devex_Land,0)</f>
        <v>-0</v>
      </c>
      <c r="EK54" s="33" t="n">
        <f aca="false">-SUMIFS(Devex_Keur,Devex_Date,"&gt;="&amp;EK$3,Devex_Date,"&lt;="&amp;EK$4,Devex_Land,0)</f>
        <v>-0</v>
      </c>
      <c r="EL54" s="33" t="n">
        <f aca="false">-SUMIFS(Devex_Keur,Devex_Date,"&gt;="&amp;EL$3,Devex_Date,"&lt;="&amp;EL$4,Devex_Land,0)</f>
        <v>-0</v>
      </c>
      <c r="EM54" s="33" t="n">
        <f aca="false">-SUMIFS(Devex_Keur,Devex_Date,"&gt;="&amp;EM$3,Devex_Date,"&lt;="&amp;EM$4,Devex_Land,0)</f>
        <v>-0</v>
      </c>
      <c r="EN54" s="33" t="n">
        <f aca="false">-SUMIFS(Devex_Keur,Devex_Date,"&gt;="&amp;EN$3,Devex_Date,"&lt;="&amp;EN$4,Devex_Land,0)</f>
        <v>-0</v>
      </c>
      <c r="EO54" s="33" t="n">
        <f aca="false">-SUMIFS(Devex_Keur,Devex_Date,"&gt;="&amp;EO$3,Devex_Date,"&lt;="&amp;EO$4,Devex_Land,0)</f>
        <v>-0</v>
      </c>
      <c r="EP54" s="33" t="n">
        <f aca="false">-SUMIFS(Devex_Keur,Devex_Date,"&gt;="&amp;EP$3,Devex_Date,"&lt;="&amp;EP$4,Devex_Land,0)</f>
        <v>-0</v>
      </c>
      <c r="EQ54" s="33" t="n">
        <f aca="false">-SUMIFS(Devex_Keur,Devex_Date,"&gt;="&amp;EQ$3,Devex_Date,"&lt;="&amp;EQ$4,Devex_Land,0)</f>
        <v>-0</v>
      </c>
      <c r="ER54" s="33" t="n">
        <f aca="false">-SUMIFS(Devex_Keur,Devex_Date,"&gt;="&amp;ER$3,Devex_Date,"&lt;="&amp;ER$4,Devex_Land,0)</f>
        <v>-0</v>
      </c>
      <c r="ES54" s="33" t="n">
        <f aca="false">-SUMIFS(Devex_Keur,Devex_Date,"&gt;="&amp;ES$3,Devex_Date,"&lt;="&amp;ES$4,Devex_Land,0)</f>
        <v>-0</v>
      </c>
      <c r="ET54" s="33" t="n">
        <f aca="false">-SUMIFS(Devex_Keur,Devex_Date,"&gt;="&amp;ET$3,Devex_Date,"&lt;="&amp;ET$4,Devex_Land,0)</f>
        <v>-0</v>
      </c>
    </row>
    <row r="55" customFormat="false" ht="15" hidden="false" customHeight="false" outlineLevel="0" collapsed="false">
      <c r="C55" s="0" t="s">
        <v>523</v>
      </c>
      <c r="D55" s="11" t="s">
        <v>253</v>
      </c>
      <c r="E55" s="33" t="n">
        <f aca="false">-SUMIF($J$4:$ET$4,"&lt;="&amp;$E12,$J55:$ET55)</f>
        <v>430.444520547945</v>
      </c>
      <c r="I55" s="33" t="n">
        <f aca="false">SUM(J55:ET55)</f>
        <v>-430.444520547945</v>
      </c>
      <c r="J55" s="33" t="n">
        <f aca="false">-SUMIFS(Devex_Keur,Devex_Date,"&gt;="&amp;J$3,Devex_Date,"&lt;="&amp;J$4,Devex_Land,1)</f>
        <v>-0</v>
      </c>
      <c r="K55" s="33" t="n">
        <f aca="false">-SUMIFS(Devex_Keur,Devex_Date,"&gt;="&amp;K$3,Devex_Date,"&lt;="&amp;K$4,Devex_Land,1)</f>
        <v>-0</v>
      </c>
      <c r="L55" s="33" t="n">
        <f aca="false">-SUMIFS(Devex_Keur,Devex_Date,"&gt;="&amp;L$3,Devex_Date,"&lt;="&amp;L$4,Devex_Land,1)</f>
        <v>-180.581506849315</v>
      </c>
      <c r="M55" s="33" t="n">
        <f aca="false">-SUMIFS(Devex_Keur,Devex_Date,"&gt;="&amp;M$3,Devex_Date,"&lt;="&amp;M$4,Devex_Land,1)</f>
        <v>-0</v>
      </c>
      <c r="N55" s="33" t="n">
        <f aca="false">-SUMIFS(Devex_Keur,Devex_Date,"&gt;="&amp;N$3,Devex_Date,"&lt;="&amp;N$4,Devex_Land,1)</f>
        <v>-0</v>
      </c>
      <c r="O55" s="33" t="n">
        <f aca="false">-SUMIFS(Devex_Keur,Devex_Date,"&gt;="&amp;O$3,Devex_Date,"&lt;="&amp;O$4,Devex_Land,1)</f>
        <v>-0</v>
      </c>
      <c r="P55" s="33" t="n">
        <f aca="false">-SUMIFS(Devex_Keur,Devex_Date,"&gt;="&amp;P$3,Devex_Date,"&lt;="&amp;P$4,Devex_Land,1)</f>
        <v>-0</v>
      </c>
      <c r="Q55" s="33" t="n">
        <f aca="false">-SUMIFS(Devex_Keur,Devex_Date,"&gt;="&amp;Q$3,Devex_Date,"&lt;="&amp;Q$4,Devex_Land,1)</f>
        <v>-0</v>
      </c>
      <c r="R55" s="33" t="n">
        <f aca="false">-SUMIFS(Devex_Keur,Devex_Date,"&gt;="&amp;R$3,Devex_Date,"&lt;="&amp;R$4,Devex_Land,1)</f>
        <v>-0</v>
      </c>
      <c r="S55" s="33" t="n">
        <f aca="false">-SUMIFS(Devex_Keur,Devex_Date,"&gt;="&amp;S$3,Devex_Date,"&lt;="&amp;S$4,Devex_Land,1)</f>
        <v>-0</v>
      </c>
      <c r="T55" s="33" t="n">
        <f aca="false">-SUMIFS(Devex_Keur,Devex_Date,"&gt;="&amp;T$3,Devex_Date,"&lt;="&amp;T$4,Devex_Land,1)</f>
        <v>-249.86301369863</v>
      </c>
      <c r="U55" s="33" t="n">
        <f aca="false">-SUMIFS(Devex_Keur,Devex_Date,"&gt;="&amp;U$3,Devex_Date,"&lt;="&amp;U$4,Devex_Land,1)</f>
        <v>-0</v>
      </c>
      <c r="V55" s="33" t="n">
        <f aca="false">-SUMIFS(Devex_Keur,Devex_Date,"&gt;="&amp;V$3,Devex_Date,"&lt;="&amp;V$4,Devex_Land,1)</f>
        <v>-0</v>
      </c>
      <c r="W55" s="33" t="n">
        <f aca="false">-SUMIFS(Devex_Keur,Devex_Date,"&gt;="&amp;W$3,Devex_Date,"&lt;="&amp;W$4,Devex_Land,1)</f>
        <v>-0</v>
      </c>
      <c r="X55" s="33" t="n">
        <f aca="false">-SUMIFS(Devex_Keur,Devex_Date,"&gt;="&amp;X$3,Devex_Date,"&lt;="&amp;X$4,Devex_Land,1)</f>
        <v>-0</v>
      </c>
      <c r="Y55" s="33" t="n">
        <f aca="false">-SUMIFS(Devex_Keur,Devex_Date,"&gt;="&amp;Y$3,Devex_Date,"&lt;="&amp;Y$4,Devex_Land,1)</f>
        <v>-0</v>
      </c>
      <c r="Z55" s="33" t="n">
        <f aca="false">-SUMIFS(Devex_Keur,Devex_Date,"&gt;="&amp;Z$3,Devex_Date,"&lt;="&amp;Z$4,Devex_Land,1)</f>
        <v>-0</v>
      </c>
      <c r="AA55" s="33" t="n">
        <f aca="false">-SUMIFS(Devex_Keur,Devex_Date,"&gt;="&amp;AA$3,Devex_Date,"&lt;="&amp;AA$4,Devex_Land,1)</f>
        <v>-0</v>
      </c>
      <c r="AB55" s="33" t="n">
        <f aca="false">-SUMIFS(Devex_Keur,Devex_Date,"&gt;="&amp;AB$3,Devex_Date,"&lt;="&amp;AB$4,Devex_Land,1)</f>
        <v>-0</v>
      </c>
      <c r="AC55" s="33" t="n">
        <f aca="false">-SUMIFS(Devex_Keur,Devex_Date,"&gt;="&amp;AC$3,Devex_Date,"&lt;="&amp;AC$4,Devex_Land,1)</f>
        <v>-0</v>
      </c>
      <c r="AD55" s="33" t="n">
        <f aca="false">-SUMIFS(Devex_Keur,Devex_Date,"&gt;="&amp;AD$3,Devex_Date,"&lt;="&amp;AD$4,Devex_Land,1)</f>
        <v>-0</v>
      </c>
      <c r="AE55" s="33" t="n">
        <f aca="false">-SUMIFS(Devex_Keur,Devex_Date,"&gt;="&amp;AE$3,Devex_Date,"&lt;="&amp;AE$4,Devex_Land,1)</f>
        <v>-0</v>
      </c>
      <c r="AF55" s="33" t="n">
        <f aca="false">-SUMIFS(Devex_Keur,Devex_Date,"&gt;="&amp;AF$3,Devex_Date,"&lt;="&amp;AF$4,Devex_Land,1)</f>
        <v>-0</v>
      </c>
      <c r="AG55" s="33" t="n">
        <f aca="false">-SUMIFS(Devex_Keur,Devex_Date,"&gt;="&amp;AG$3,Devex_Date,"&lt;="&amp;AG$4,Devex_Land,1)</f>
        <v>-0</v>
      </c>
      <c r="AH55" s="33" t="n">
        <f aca="false">-SUMIFS(Devex_Keur,Devex_Date,"&gt;="&amp;AH$3,Devex_Date,"&lt;="&amp;AH$4,Devex_Land,1)</f>
        <v>-0</v>
      </c>
      <c r="AI55" s="33" t="n">
        <f aca="false">-SUMIFS(Devex_Keur,Devex_Date,"&gt;="&amp;AI$3,Devex_Date,"&lt;="&amp;AI$4,Devex_Land,1)</f>
        <v>-0</v>
      </c>
      <c r="AJ55" s="33" t="n">
        <f aca="false">-SUMIFS(Devex_Keur,Devex_Date,"&gt;="&amp;AJ$3,Devex_Date,"&lt;="&amp;AJ$4,Devex_Land,1)</f>
        <v>-0</v>
      </c>
      <c r="AK55" s="33" t="n">
        <f aca="false">-SUMIFS(Devex_Keur,Devex_Date,"&gt;="&amp;AK$3,Devex_Date,"&lt;="&amp;AK$4,Devex_Land,1)</f>
        <v>-0</v>
      </c>
      <c r="AL55" s="33" t="n">
        <f aca="false">-SUMIFS(Devex_Keur,Devex_Date,"&gt;="&amp;AL$3,Devex_Date,"&lt;="&amp;AL$4,Devex_Land,1)</f>
        <v>-0</v>
      </c>
      <c r="AM55" s="33" t="n">
        <f aca="false">-SUMIFS(Devex_Keur,Devex_Date,"&gt;="&amp;AM$3,Devex_Date,"&lt;="&amp;AM$4,Devex_Land,1)</f>
        <v>-0</v>
      </c>
      <c r="AN55" s="33" t="n">
        <f aca="false">-SUMIFS(Devex_Keur,Devex_Date,"&gt;="&amp;AN$3,Devex_Date,"&lt;="&amp;AN$4,Devex_Land,1)</f>
        <v>-0</v>
      </c>
      <c r="AO55" s="33" t="n">
        <f aca="false">-SUMIFS(Devex_Keur,Devex_Date,"&gt;="&amp;AO$3,Devex_Date,"&lt;="&amp;AO$4,Devex_Land,1)</f>
        <v>-0</v>
      </c>
      <c r="AP55" s="33" t="n">
        <f aca="false">-SUMIFS(Devex_Keur,Devex_Date,"&gt;="&amp;AP$3,Devex_Date,"&lt;="&amp;AP$4,Devex_Land,1)</f>
        <v>-0</v>
      </c>
      <c r="AQ55" s="33" t="n">
        <f aca="false">-SUMIFS(Devex_Keur,Devex_Date,"&gt;="&amp;AQ$3,Devex_Date,"&lt;="&amp;AQ$4,Devex_Land,1)</f>
        <v>-0</v>
      </c>
      <c r="AR55" s="33" t="n">
        <f aca="false">-SUMIFS(Devex_Keur,Devex_Date,"&gt;="&amp;AR$3,Devex_Date,"&lt;="&amp;AR$4,Devex_Land,1)</f>
        <v>-0</v>
      </c>
      <c r="AS55" s="33" t="n">
        <f aca="false">-SUMIFS(Devex_Keur,Devex_Date,"&gt;="&amp;AS$3,Devex_Date,"&lt;="&amp;AS$4,Devex_Land,1)</f>
        <v>-0</v>
      </c>
      <c r="AT55" s="33" t="n">
        <f aca="false">-SUMIFS(Devex_Keur,Devex_Date,"&gt;="&amp;AT$3,Devex_Date,"&lt;="&amp;AT$4,Devex_Land,1)</f>
        <v>-0</v>
      </c>
      <c r="AU55" s="33" t="n">
        <f aca="false">-SUMIFS(Devex_Keur,Devex_Date,"&gt;="&amp;AU$3,Devex_Date,"&lt;="&amp;AU$4,Devex_Land,1)</f>
        <v>-0</v>
      </c>
      <c r="AV55" s="33" t="n">
        <f aca="false">-SUMIFS(Devex_Keur,Devex_Date,"&gt;="&amp;AV$3,Devex_Date,"&lt;="&amp;AV$4,Devex_Land,1)</f>
        <v>-0</v>
      </c>
      <c r="AW55" s="33" t="n">
        <f aca="false">-SUMIFS(Devex_Keur,Devex_Date,"&gt;="&amp;AW$3,Devex_Date,"&lt;="&amp;AW$4,Devex_Land,1)</f>
        <v>-0</v>
      </c>
      <c r="AX55" s="33" t="n">
        <f aca="false">-SUMIFS(Devex_Keur,Devex_Date,"&gt;="&amp;AX$3,Devex_Date,"&lt;="&amp;AX$4,Devex_Land,1)</f>
        <v>-0</v>
      </c>
      <c r="AY55" s="33" t="n">
        <f aca="false">-SUMIFS(Devex_Keur,Devex_Date,"&gt;="&amp;AY$3,Devex_Date,"&lt;="&amp;AY$4,Devex_Land,1)</f>
        <v>-0</v>
      </c>
      <c r="AZ55" s="33" t="n">
        <f aca="false">-SUMIFS(Devex_Keur,Devex_Date,"&gt;="&amp;AZ$3,Devex_Date,"&lt;="&amp;AZ$4,Devex_Land,1)</f>
        <v>-0</v>
      </c>
      <c r="BA55" s="33" t="n">
        <f aca="false">-SUMIFS(Devex_Keur,Devex_Date,"&gt;="&amp;BA$3,Devex_Date,"&lt;="&amp;BA$4,Devex_Land,1)</f>
        <v>-0</v>
      </c>
      <c r="BB55" s="33" t="n">
        <f aca="false">-SUMIFS(Devex_Keur,Devex_Date,"&gt;="&amp;BB$3,Devex_Date,"&lt;="&amp;BB$4,Devex_Land,1)</f>
        <v>-0</v>
      </c>
      <c r="BC55" s="33" t="n">
        <f aca="false">-SUMIFS(Devex_Keur,Devex_Date,"&gt;="&amp;BC$3,Devex_Date,"&lt;="&amp;BC$4,Devex_Land,1)</f>
        <v>-0</v>
      </c>
      <c r="BD55" s="33" t="n">
        <f aca="false">-SUMIFS(Devex_Keur,Devex_Date,"&gt;="&amp;BD$3,Devex_Date,"&lt;="&amp;BD$4,Devex_Land,1)</f>
        <v>-0</v>
      </c>
      <c r="BE55" s="33" t="n">
        <f aca="false">-SUMIFS(Devex_Keur,Devex_Date,"&gt;="&amp;BE$3,Devex_Date,"&lt;="&amp;BE$4,Devex_Land,1)</f>
        <v>-0</v>
      </c>
      <c r="BF55" s="33" t="n">
        <f aca="false">-SUMIFS(Devex_Keur,Devex_Date,"&gt;="&amp;BF$3,Devex_Date,"&lt;="&amp;BF$4,Devex_Land,1)</f>
        <v>-0</v>
      </c>
      <c r="BG55" s="33" t="n">
        <f aca="false">-SUMIFS(Devex_Keur,Devex_Date,"&gt;="&amp;BG$3,Devex_Date,"&lt;="&amp;BG$4,Devex_Land,1)</f>
        <v>-0</v>
      </c>
      <c r="BH55" s="33" t="n">
        <f aca="false">-SUMIFS(Devex_Keur,Devex_Date,"&gt;="&amp;BH$3,Devex_Date,"&lt;="&amp;BH$4,Devex_Land,1)</f>
        <v>-0</v>
      </c>
      <c r="BI55" s="33" t="n">
        <f aca="false">-SUMIFS(Devex_Keur,Devex_Date,"&gt;="&amp;BI$3,Devex_Date,"&lt;="&amp;BI$4,Devex_Land,1)</f>
        <v>-0</v>
      </c>
      <c r="BJ55" s="33" t="n">
        <f aca="false">-SUMIFS(Devex_Keur,Devex_Date,"&gt;="&amp;BJ$3,Devex_Date,"&lt;="&amp;BJ$4,Devex_Land,1)</f>
        <v>-0</v>
      </c>
      <c r="BK55" s="33" t="n">
        <f aca="false">-SUMIFS(Devex_Keur,Devex_Date,"&gt;="&amp;BK$3,Devex_Date,"&lt;="&amp;BK$4,Devex_Land,1)</f>
        <v>-0</v>
      </c>
      <c r="BL55" s="33" t="n">
        <f aca="false">-SUMIFS(Devex_Keur,Devex_Date,"&gt;="&amp;BL$3,Devex_Date,"&lt;="&amp;BL$4,Devex_Land,1)</f>
        <v>-0</v>
      </c>
      <c r="BM55" s="33" t="n">
        <f aca="false">-SUMIFS(Devex_Keur,Devex_Date,"&gt;="&amp;BM$3,Devex_Date,"&lt;="&amp;BM$4,Devex_Land,1)</f>
        <v>-0</v>
      </c>
      <c r="BN55" s="33" t="n">
        <f aca="false">-SUMIFS(Devex_Keur,Devex_Date,"&gt;="&amp;BN$3,Devex_Date,"&lt;="&amp;BN$4,Devex_Land,1)</f>
        <v>-0</v>
      </c>
      <c r="BO55" s="33" t="n">
        <f aca="false">-SUMIFS(Devex_Keur,Devex_Date,"&gt;="&amp;BO$3,Devex_Date,"&lt;="&amp;BO$4,Devex_Land,1)</f>
        <v>-0</v>
      </c>
      <c r="BP55" s="33" t="n">
        <f aca="false">-SUMIFS(Devex_Keur,Devex_Date,"&gt;="&amp;BP$3,Devex_Date,"&lt;="&amp;BP$4,Devex_Land,1)</f>
        <v>-0</v>
      </c>
      <c r="BQ55" s="33" t="n">
        <f aca="false">-SUMIFS(Devex_Keur,Devex_Date,"&gt;="&amp;BQ$3,Devex_Date,"&lt;="&amp;BQ$4,Devex_Land,1)</f>
        <v>-0</v>
      </c>
      <c r="BR55" s="33" t="n">
        <f aca="false">-SUMIFS(Devex_Keur,Devex_Date,"&gt;="&amp;BR$3,Devex_Date,"&lt;="&amp;BR$4,Devex_Land,1)</f>
        <v>-0</v>
      </c>
      <c r="BS55" s="33" t="n">
        <f aca="false">-SUMIFS(Devex_Keur,Devex_Date,"&gt;="&amp;BS$3,Devex_Date,"&lt;="&amp;BS$4,Devex_Land,1)</f>
        <v>-0</v>
      </c>
      <c r="BT55" s="33" t="n">
        <f aca="false">-SUMIFS(Devex_Keur,Devex_Date,"&gt;="&amp;BT$3,Devex_Date,"&lt;="&amp;BT$4,Devex_Land,1)</f>
        <v>-0</v>
      </c>
      <c r="BU55" s="33" t="n">
        <f aca="false">-SUMIFS(Devex_Keur,Devex_Date,"&gt;="&amp;BU$3,Devex_Date,"&lt;="&amp;BU$4,Devex_Land,1)</f>
        <v>-0</v>
      </c>
      <c r="BV55" s="33" t="n">
        <f aca="false">-SUMIFS(Devex_Keur,Devex_Date,"&gt;="&amp;BV$3,Devex_Date,"&lt;="&amp;BV$4,Devex_Land,1)</f>
        <v>-0</v>
      </c>
      <c r="BW55" s="33" t="n">
        <f aca="false">-SUMIFS(Devex_Keur,Devex_Date,"&gt;="&amp;BW$3,Devex_Date,"&lt;="&amp;BW$4,Devex_Land,1)</f>
        <v>-0</v>
      </c>
      <c r="BX55" s="33" t="n">
        <f aca="false">-SUMIFS(Devex_Keur,Devex_Date,"&gt;="&amp;BX$3,Devex_Date,"&lt;="&amp;BX$4,Devex_Land,1)</f>
        <v>-0</v>
      </c>
      <c r="BY55" s="33" t="n">
        <f aca="false">-SUMIFS(Devex_Keur,Devex_Date,"&gt;="&amp;BY$3,Devex_Date,"&lt;="&amp;BY$4,Devex_Land,1)</f>
        <v>-0</v>
      </c>
      <c r="BZ55" s="33" t="n">
        <f aca="false">-SUMIFS(Devex_Keur,Devex_Date,"&gt;="&amp;BZ$3,Devex_Date,"&lt;="&amp;BZ$4,Devex_Land,1)</f>
        <v>-0</v>
      </c>
      <c r="CA55" s="33" t="n">
        <f aca="false">-SUMIFS(Devex_Keur,Devex_Date,"&gt;="&amp;CA$3,Devex_Date,"&lt;="&amp;CA$4,Devex_Land,1)</f>
        <v>-0</v>
      </c>
      <c r="CB55" s="33" t="n">
        <f aca="false">-SUMIFS(Devex_Keur,Devex_Date,"&gt;="&amp;CB$3,Devex_Date,"&lt;="&amp;CB$4,Devex_Land,1)</f>
        <v>-0</v>
      </c>
      <c r="CC55" s="33" t="n">
        <f aca="false">-SUMIFS(Devex_Keur,Devex_Date,"&gt;="&amp;CC$3,Devex_Date,"&lt;="&amp;CC$4,Devex_Land,1)</f>
        <v>-0</v>
      </c>
      <c r="CD55" s="33" t="n">
        <f aca="false">-SUMIFS(Devex_Keur,Devex_Date,"&gt;="&amp;CD$3,Devex_Date,"&lt;="&amp;CD$4,Devex_Land,1)</f>
        <v>-0</v>
      </c>
      <c r="CE55" s="33" t="n">
        <f aca="false">-SUMIFS(Devex_Keur,Devex_Date,"&gt;="&amp;CE$3,Devex_Date,"&lt;="&amp;CE$4,Devex_Land,1)</f>
        <v>-0</v>
      </c>
      <c r="CF55" s="33" t="n">
        <f aca="false">-SUMIFS(Devex_Keur,Devex_Date,"&gt;="&amp;CF$3,Devex_Date,"&lt;="&amp;CF$4,Devex_Land,1)</f>
        <v>-0</v>
      </c>
      <c r="CG55" s="33" t="n">
        <f aca="false">-SUMIFS(Devex_Keur,Devex_Date,"&gt;="&amp;CG$3,Devex_Date,"&lt;="&amp;CG$4,Devex_Land,1)</f>
        <v>-0</v>
      </c>
      <c r="CH55" s="33" t="n">
        <f aca="false">-SUMIFS(Devex_Keur,Devex_Date,"&gt;="&amp;CH$3,Devex_Date,"&lt;="&amp;CH$4,Devex_Land,1)</f>
        <v>-0</v>
      </c>
      <c r="CI55" s="33" t="n">
        <f aca="false">-SUMIFS(Devex_Keur,Devex_Date,"&gt;="&amp;CI$3,Devex_Date,"&lt;="&amp;CI$4,Devex_Land,1)</f>
        <v>-0</v>
      </c>
      <c r="CJ55" s="33" t="n">
        <f aca="false">-SUMIFS(Devex_Keur,Devex_Date,"&gt;="&amp;CJ$3,Devex_Date,"&lt;="&amp;CJ$4,Devex_Land,1)</f>
        <v>-0</v>
      </c>
      <c r="CK55" s="33" t="n">
        <f aca="false">-SUMIFS(Devex_Keur,Devex_Date,"&gt;="&amp;CK$3,Devex_Date,"&lt;="&amp;CK$4,Devex_Land,1)</f>
        <v>-0</v>
      </c>
      <c r="CL55" s="33" t="n">
        <f aca="false">-SUMIFS(Devex_Keur,Devex_Date,"&gt;="&amp;CL$3,Devex_Date,"&lt;="&amp;CL$4,Devex_Land,1)</f>
        <v>-0</v>
      </c>
      <c r="CM55" s="33" t="n">
        <f aca="false">-SUMIFS(Devex_Keur,Devex_Date,"&gt;="&amp;CM$3,Devex_Date,"&lt;="&amp;CM$4,Devex_Land,1)</f>
        <v>-0</v>
      </c>
      <c r="CN55" s="33" t="n">
        <f aca="false">-SUMIFS(Devex_Keur,Devex_Date,"&gt;="&amp;CN$3,Devex_Date,"&lt;="&amp;CN$4,Devex_Land,1)</f>
        <v>-0</v>
      </c>
      <c r="CO55" s="33" t="n">
        <f aca="false">-SUMIFS(Devex_Keur,Devex_Date,"&gt;="&amp;CO$3,Devex_Date,"&lt;="&amp;CO$4,Devex_Land,1)</f>
        <v>-0</v>
      </c>
      <c r="CP55" s="33" t="n">
        <f aca="false">-SUMIFS(Devex_Keur,Devex_Date,"&gt;="&amp;CP$3,Devex_Date,"&lt;="&amp;CP$4,Devex_Land,1)</f>
        <v>-0</v>
      </c>
      <c r="CQ55" s="33" t="n">
        <f aca="false">-SUMIFS(Devex_Keur,Devex_Date,"&gt;="&amp;CQ$3,Devex_Date,"&lt;="&amp;CQ$4,Devex_Land,1)</f>
        <v>-0</v>
      </c>
      <c r="CR55" s="33" t="n">
        <f aca="false">-SUMIFS(Devex_Keur,Devex_Date,"&gt;="&amp;CR$3,Devex_Date,"&lt;="&amp;CR$4,Devex_Land,1)</f>
        <v>-0</v>
      </c>
      <c r="CS55" s="33" t="n">
        <f aca="false">-SUMIFS(Devex_Keur,Devex_Date,"&gt;="&amp;CS$3,Devex_Date,"&lt;="&amp;CS$4,Devex_Land,1)</f>
        <v>-0</v>
      </c>
      <c r="CT55" s="33" t="n">
        <f aca="false">-SUMIFS(Devex_Keur,Devex_Date,"&gt;="&amp;CT$3,Devex_Date,"&lt;="&amp;CT$4,Devex_Land,1)</f>
        <v>-0</v>
      </c>
      <c r="CU55" s="33" t="n">
        <f aca="false">-SUMIFS(Devex_Keur,Devex_Date,"&gt;="&amp;CU$3,Devex_Date,"&lt;="&amp;CU$4,Devex_Land,1)</f>
        <v>-0</v>
      </c>
      <c r="CV55" s="33" t="n">
        <f aca="false">-SUMIFS(Devex_Keur,Devex_Date,"&gt;="&amp;CV$3,Devex_Date,"&lt;="&amp;CV$4,Devex_Land,1)</f>
        <v>-0</v>
      </c>
      <c r="CW55" s="33" t="n">
        <f aca="false">-SUMIFS(Devex_Keur,Devex_Date,"&gt;="&amp;CW$3,Devex_Date,"&lt;="&amp;CW$4,Devex_Land,1)</f>
        <v>-0</v>
      </c>
      <c r="CX55" s="33" t="n">
        <f aca="false">-SUMIFS(Devex_Keur,Devex_Date,"&gt;="&amp;CX$3,Devex_Date,"&lt;="&amp;CX$4,Devex_Land,1)</f>
        <v>-0</v>
      </c>
      <c r="CY55" s="33" t="n">
        <f aca="false">-SUMIFS(Devex_Keur,Devex_Date,"&gt;="&amp;CY$3,Devex_Date,"&lt;="&amp;CY$4,Devex_Land,1)</f>
        <v>-0</v>
      </c>
      <c r="CZ55" s="33" t="n">
        <f aca="false">-SUMIFS(Devex_Keur,Devex_Date,"&gt;="&amp;CZ$3,Devex_Date,"&lt;="&amp;CZ$4,Devex_Land,1)</f>
        <v>-0</v>
      </c>
      <c r="DA55" s="33" t="n">
        <f aca="false">-SUMIFS(Devex_Keur,Devex_Date,"&gt;="&amp;DA$3,Devex_Date,"&lt;="&amp;DA$4,Devex_Land,1)</f>
        <v>-0</v>
      </c>
      <c r="DB55" s="33" t="n">
        <f aca="false">-SUMIFS(Devex_Keur,Devex_Date,"&gt;="&amp;DB$3,Devex_Date,"&lt;="&amp;DB$4,Devex_Land,1)</f>
        <v>-0</v>
      </c>
      <c r="DC55" s="33" t="n">
        <f aca="false">-SUMIFS(Devex_Keur,Devex_Date,"&gt;="&amp;DC$3,Devex_Date,"&lt;="&amp;DC$4,Devex_Land,1)</f>
        <v>-0</v>
      </c>
      <c r="DD55" s="33" t="n">
        <f aca="false">-SUMIFS(Devex_Keur,Devex_Date,"&gt;="&amp;DD$3,Devex_Date,"&lt;="&amp;DD$4,Devex_Land,1)</f>
        <v>-0</v>
      </c>
      <c r="DE55" s="33" t="n">
        <f aca="false">-SUMIFS(Devex_Keur,Devex_Date,"&gt;="&amp;DE$3,Devex_Date,"&lt;="&amp;DE$4,Devex_Land,1)</f>
        <v>-0</v>
      </c>
      <c r="DF55" s="33" t="n">
        <f aca="false">-SUMIFS(Devex_Keur,Devex_Date,"&gt;="&amp;DF$3,Devex_Date,"&lt;="&amp;DF$4,Devex_Land,1)</f>
        <v>-0</v>
      </c>
      <c r="DG55" s="33" t="n">
        <f aca="false">-SUMIFS(Devex_Keur,Devex_Date,"&gt;="&amp;DG$3,Devex_Date,"&lt;="&amp;DG$4,Devex_Land,1)</f>
        <v>-0</v>
      </c>
      <c r="DH55" s="33" t="n">
        <f aca="false">-SUMIFS(Devex_Keur,Devex_Date,"&gt;="&amp;DH$3,Devex_Date,"&lt;="&amp;DH$4,Devex_Land,1)</f>
        <v>-0</v>
      </c>
      <c r="DI55" s="33" t="n">
        <f aca="false">-SUMIFS(Devex_Keur,Devex_Date,"&gt;="&amp;DI$3,Devex_Date,"&lt;="&amp;DI$4,Devex_Land,1)</f>
        <v>-0</v>
      </c>
      <c r="DJ55" s="33" t="n">
        <f aca="false">-SUMIFS(Devex_Keur,Devex_Date,"&gt;="&amp;DJ$3,Devex_Date,"&lt;="&amp;DJ$4,Devex_Land,1)</f>
        <v>-0</v>
      </c>
      <c r="DK55" s="33" t="n">
        <f aca="false">-SUMIFS(Devex_Keur,Devex_Date,"&gt;="&amp;DK$3,Devex_Date,"&lt;="&amp;DK$4,Devex_Land,1)</f>
        <v>-0</v>
      </c>
      <c r="DL55" s="33" t="n">
        <f aca="false">-SUMIFS(Devex_Keur,Devex_Date,"&gt;="&amp;DL$3,Devex_Date,"&lt;="&amp;DL$4,Devex_Land,1)</f>
        <v>-0</v>
      </c>
      <c r="DM55" s="33" t="n">
        <f aca="false">-SUMIFS(Devex_Keur,Devex_Date,"&gt;="&amp;DM$3,Devex_Date,"&lt;="&amp;DM$4,Devex_Land,1)</f>
        <v>-0</v>
      </c>
      <c r="DN55" s="33" t="n">
        <f aca="false">-SUMIFS(Devex_Keur,Devex_Date,"&gt;="&amp;DN$3,Devex_Date,"&lt;="&amp;DN$4,Devex_Land,1)</f>
        <v>-0</v>
      </c>
      <c r="DO55" s="33" t="n">
        <f aca="false">-SUMIFS(Devex_Keur,Devex_Date,"&gt;="&amp;DO$3,Devex_Date,"&lt;="&amp;DO$4,Devex_Land,1)</f>
        <v>-0</v>
      </c>
      <c r="DP55" s="33" t="n">
        <f aca="false">-SUMIFS(Devex_Keur,Devex_Date,"&gt;="&amp;DP$3,Devex_Date,"&lt;="&amp;DP$4,Devex_Land,1)</f>
        <v>-0</v>
      </c>
      <c r="DQ55" s="33" t="n">
        <f aca="false">-SUMIFS(Devex_Keur,Devex_Date,"&gt;="&amp;DQ$3,Devex_Date,"&lt;="&amp;DQ$4,Devex_Land,1)</f>
        <v>-0</v>
      </c>
      <c r="DR55" s="33" t="n">
        <f aca="false">-SUMIFS(Devex_Keur,Devex_Date,"&gt;="&amp;DR$3,Devex_Date,"&lt;="&amp;DR$4,Devex_Land,1)</f>
        <v>-0</v>
      </c>
      <c r="DS55" s="33" t="n">
        <f aca="false">-SUMIFS(Devex_Keur,Devex_Date,"&gt;="&amp;DS$3,Devex_Date,"&lt;="&amp;DS$4,Devex_Land,1)</f>
        <v>-0</v>
      </c>
      <c r="DT55" s="33" t="n">
        <f aca="false">-SUMIFS(Devex_Keur,Devex_Date,"&gt;="&amp;DT$3,Devex_Date,"&lt;="&amp;DT$4,Devex_Land,1)</f>
        <v>-0</v>
      </c>
      <c r="DU55" s="33" t="n">
        <f aca="false">-SUMIFS(Devex_Keur,Devex_Date,"&gt;="&amp;DU$3,Devex_Date,"&lt;="&amp;DU$4,Devex_Land,1)</f>
        <v>-0</v>
      </c>
      <c r="DV55" s="33" t="n">
        <f aca="false">-SUMIFS(Devex_Keur,Devex_Date,"&gt;="&amp;DV$3,Devex_Date,"&lt;="&amp;DV$4,Devex_Land,1)</f>
        <v>-0</v>
      </c>
      <c r="DW55" s="33" t="n">
        <f aca="false">-SUMIFS(Devex_Keur,Devex_Date,"&gt;="&amp;DW$3,Devex_Date,"&lt;="&amp;DW$4,Devex_Land,1)</f>
        <v>-0</v>
      </c>
      <c r="DX55" s="33" t="n">
        <f aca="false">-SUMIFS(Devex_Keur,Devex_Date,"&gt;="&amp;DX$3,Devex_Date,"&lt;="&amp;DX$4,Devex_Land,1)</f>
        <v>-0</v>
      </c>
      <c r="DY55" s="33" t="n">
        <f aca="false">-SUMIFS(Devex_Keur,Devex_Date,"&gt;="&amp;DY$3,Devex_Date,"&lt;="&amp;DY$4,Devex_Land,1)</f>
        <v>-0</v>
      </c>
      <c r="DZ55" s="33" t="n">
        <f aca="false">-SUMIFS(Devex_Keur,Devex_Date,"&gt;="&amp;DZ$3,Devex_Date,"&lt;="&amp;DZ$4,Devex_Land,1)</f>
        <v>-0</v>
      </c>
      <c r="EA55" s="33" t="n">
        <f aca="false">-SUMIFS(Devex_Keur,Devex_Date,"&gt;="&amp;EA$3,Devex_Date,"&lt;="&amp;EA$4,Devex_Land,1)</f>
        <v>-0</v>
      </c>
      <c r="EB55" s="33" t="n">
        <f aca="false">-SUMIFS(Devex_Keur,Devex_Date,"&gt;="&amp;EB$3,Devex_Date,"&lt;="&amp;EB$4,Devex_Land,1)</f>
        <v>-0</v>
      </c>
      <c r="EC55" s="33" t="n">
        <f aca="false">-SUMIFS(Devex_Keur,Devex_Date,"&gt;="&amp;EC$3,Devex_Date,"&lt;="&amp;EC$4,Devex_Land,1)</f>
        <v>-0</v>
      </c>
      <c r="ED55" s="33" t="n">
        <f aca="false">-SUMIFS(Devex_Keur,Devex_Date,"&gt;="&amp;ED$3,Devex_Date,"&lt;="&amp;ED$4,Devex_Land,1)</f>
        <v>-0</v>
      </c>
      <c r="EE55" s="33" t="n">
        <f aca="false">-SUMIFS(Devex_Keur,Devex_Date,"&gt;="&amp;EE$3,Devex_Date,"&lt;="&amp;EE$4,Devex_Land,1)</f>
        <v>-0</v>
      </c>
      <c r="EF55" s="33" t="n">
        <f aca="false">-SUMIFS(Devex_Keur,Devex_Date,"&gt;="&amp;EF$3,Devex_Date,"&lt;="&amp;EF$4,Devex_Land,1)</f>
        <v>-0</v>
      </c>
      <c r="EG55" s="33" t="n">
        <f aca="false">-SUMIFS(Devex_Keur,Devex_Date,"&gt;="&amp;EG$3,Devex_Date,"&lt;="&amp;EG$4,Devex_Land,1)</f>
        <v>-0</v>
      </c>
      <c r="EH55" s="33" t="n">
        <f aca="false">-SUMIFS(Devex_Keur,Devex_Date,"&gt;="&amp;EH$3,Devex_Date,"&lt;="&amp;EH$4,Devex_Land,1)</f>
        <v>-0</v>
      </c>
      <c r="EI55" s="33" t="n">
        <f aca="false">-SUMIFS(Devex_Keur,Devex_Date,"&gt;="&amp;EI$3,Devex_Date,"&lt;="&amp;EI$4,Devex_Land,1)</f>
        <v>-0</v>
      </c>
      <c r="EJ55" s="33" t="n">
        <f aca="false">-SUMIFS(Devex_Keur,Devex_Date,"&gt;="&amp;EJ$3,Devex_Date,"&lt;="&amp;EJ$4,Devex_Land,1)</f>
        <v>-0</v>
      </c>
      <c r="EK55" s="33" t="n">
        <f aca="false">-SUMIFS(Devex_Keur,Devex_Date,"&gt;="&amp;EK$3,Devex_Date,"&lt;="&amp;EK$4,Devex_Land,1)</f>
        <v>-0</v>
      </c>
      <c r="EL55" s="33" t="n">
        <f aca="false">-SUMIFS(Devex_Keur,Devex_Date,"&gt;="&amp;EL$3,Devex_Date,"&lt;="&amp;EL$4,Devex_Land,1)</f>
        <v>-0</v>
      </c>
      <c r="EM55" s="33" t="n">
        <f aca="false">-SUMIFS(Devex_Keur,Devex_Date,"&gt;="&amp;EM$3,Devex_Date,"&lt;="&amp;EM$4,Devex_Land,1)</f>
        <v>-0</v>
      </c>
      <c r="EN55" s="33" t="n">
        <f aca="false">-SUMIFS(Devex_Keur,Devex_Date,"&gt;="&amp;EN$3,Devex_Date,"&lt;="&amp;EN$4,Devex_Land,1)</f>
        <v>-0</v>
      </c>
      <c r="EO55" s="33" t="n">
        <f aca="false">-SUMIFS(Devex_Keur,Devex_Date,"&gt;="&amp;EO$3,Devex_Date,"&lt;="&amp;EO$4,Devex_Land,1)</f>
        <v>-0</v>
      </c>
      <c r="EP55" s="33" t="n">
        <f aca="false">-SUMIFS(Devex_Keur,Devex_Date,"&gt;="&amp;EP$3,Devex_Date,"&lt;="&amp;EP$4,Devex_Land,1)</f>
        <v>-0</v>
      </c>
      <c r="EQ55" s="33" t="n">
        <f aca="false">-SUMIFS(Devex_Keur,Devex_Date,"&gt;="&amp;EQ$3,Devex_Date,"&lt;="&amp;EQ$4,Devex_Land,1)</f>
        <v>-0</v>
      </c>
      <c r="ER55" s="33" t="n">
        <f aca="false">-SUMIFS(Devex_Keur,Devex_Date,"&gt;="&amp;ER$3,Devex_Date,"&lt;="&amp;ER$4,Devex_Land,1)</f>
        <v>-0</v>
      </c>
      <c r="ES55" s="33" t="n">
        <f aca="false">-SUMIFS(Devex_Keur,Devex_Date,"&gt;="&amp;ES$3,Devex_Date,"&lt;="&amp;ES$4,Devex_Land,1)</f>
        <v>-0</v>
      </c>
      <c r="ET55" s="33" t="n">
        <f aca="false">-SUMIFS(Devex_Keur,Devex_Date,"&gt;="&amp;ET$3,Devex_Date,"&lt;="&amp;ET$4,Devex_Land,1)</f>
        <v>-0</v>
      </c>
    </row>
    <row r="56" customFormat="false" ht="15" hidden="false" customHeight="false" outlineLevel="0" collapsed="false">
      <c r="C56" s="0" t="s">
        <v>524</v>
      </c>
      <c r="D56" s="11" t="s">
        <v>253</v>
      </c>
      <c r="E56" s="33" t="n">
        <f aca="false">In_Devex_Contingency*(SUM(Devex_Keur)+$E47)</f>
        <v>284.349426368465</v>
      </c>
      <c r="F56" s="27" t="n">
        <f aca="false">In_Contingency_Date</f>
        <v>47118</v>
      </c>
      <c r="I56" s="33" t="n">
        <f aca="false">SUM(J56:ET56)</f>
        <v>-284.349426368465</v>
      </c>
      <c r="J56" s="33" t="n">
        <f aca="false">-$E56*N(AND(J$3&lt;=$F56,J$4&gt;=$F56))</f>
        <v>-0</v>
      </c>
      <c r="K56" s="33" t="n">
        <f aca="false">-$E56*N(AND(K$3&lt;=$F56,K$4&gt;=$F56))</f>
        <v>-0</v>
      </c>
      <c r="L56" s="33" t="n">
        <f aca="false">-$E56*N(AND(L$3&lt;=$F56,L$4&gt;=$F56))</f>
        <v>-0</v>
      </c>
      <c r="M56" s="33" t="n">
        <f aca="false">-$E56*N(AND(M$3&lt;=$F56,M$4&gt;=$F56))</f>
        <v>-0</v>
      </c>
      <c r="N56" s="33" t="n">
        <f aca="false">-$E56*N(AND(N$3&lt;=$F56,N$4&gt;=$F56))</f>
        <v>-0</v>
      </c>
      <c r="O56" s="33" t="n">
        <f aca="false">-$E56*N(AND(O$3&lt;=$F56,O$4&gt;=$F56))</f>
        <v>-0</v>
      </c>
      <c r="P56" s="33" t="n">
        <f aca="false">-$E56*N(AND(P$3&lt;=$F56,P$4&gt;=$F56))</f>
        <v>-0</v>
      </c>
      <c r="Q56" s="33" t="n">
        <f aca="false">-$E56*N(AND(Q$3&lt;=$F56,Q$4&gt;=$F56))</f>
        <v>-0</v>
      </c>
      <c r="R56" s="33" t="n">
        <f aca="false">-$E56*N(AND(R$3&lt;=$F56,R$4&gt;=$F56))</f>
        <v>-0</v>
      </c>
      <c r="S56" s="33" t="n">
        <f aca="false">-$E56*N(AND(S$3&lt;=$F56,S$4&gt;=$F56))</f>
        <v>-284.349426368465</v>
      </c>
      <c r="T56" s="33" t="n">
        <f aca="false">-$E56*N(AND(T$3&lt;=$F56,T$4&gt;=$F56))</f>
        <v>-0</v>
      </c>
      <c r="U56" s="33" t="n">
        <f aca="false">-$E56*N(AND(U$3&lt;=$F56,U$4&gt;=$F56))</f>
        <v>-0</v>
      </c>
      <c r="V56" s="33" t="n">
        <f aca="false">-$E56*N(AND(V$3&lt;=$F56,V$4&gt;=$F56))</f>
        <v>-0</v>
      </c>
      <c r="W56" s="33" t="n">
        <f aca="false">-$E56*N(AND(W$3&lt;=$F56,W$4&gt;=$F56))</f>
        <v>-0</v>
      </c>
      <c r="X56" s="33" t="n">
        <f aca="false">-$E56*N(AND(X$3&lt;=$F56,X$4&gt;=$F56))</f>
        <v>-0</v>
      </c>
      <c r="Y56" s="33" t="n">
        <f aca="false">-$E56*N(AND(Y$3&lt;=$F56,Y$4&gt;=$F56))</f>
        <v>-0</v>
      </c>
      <c r="Z56" s="33" t="n">
        <f aca="false">-$E56*N(AND(Z$3&lt;=$F56,Z$4&gt;=$F56))</f>
        <v>-0</v>
      </c>
      <c r="AA56" s="33" t="n">
        <f aca="false">-$E56*N(AND(AA$3&lt;=$F56,AA$4&gt;=$F56))</f>
        <v>-0</v>
      </c>
      <c r="AB56" s="33" t="n">
        <f aca="false">-$E56*N(AND(AB$3&lt;=$F56,AB$4&gt;=$F56))</f>
        <v>-0</v>
      </c>
      <c r="AC56" s="33" t="n">
        <f aca="false">-$E56*N(AND(AC$3&lt;=$F56,AC$4&gt;=$F56))</f>
        <v>-0</v>
      </c>
      <c r="AD56" s="33" t="n">
        <f aca="false">-$E56*N(AND(AD$3&lt;=$F56,AD$4&gt;=$F56))</f>
        <v>-0</v>
      </c>
      <c r="AE56" s="33" t="n">
        <f aca="false">-$E56*N(AND(AE$3&lt;=$F56,AE$4&gt;=$F56))</f>
        <v>-0</v>
      </c>
      <c r="AF56" s="33" t="n">
        <f aca="false">-$E56*N(AND(AF$3&lt;=$F56,AF$4&gt;=$F56))</f>
        <v>-0</v>
      </c>
      <c r="AG56" s="33" t="n">
        <f aca="false">-$E56*N(AND(AG$3&lt;=$F56,AG$4&gt;=$F56))</f>
        <v>-0</v>
      </c>
      <c r="AH56" s="33" t="n">
        <f aca="false">-$E56*N(AND(AH$3&lt;=$F56,AH$4&gt;=$F56))</f>
        <v>-0</v>
      </c>
      <c r="AI56" s="33" t="n">
        <f aca="false">-$E56*N(AND(AI$3&lt;=$F56,AI$4&gt;=$F56))</f>
        <v>-0</v>
      </c>
      <c r="AJ56" s="33" t="n">
        <f aca="false">-$E56*N(AND(AJ$3&lt;=$F56,AJ$4&gt;=$F56))</f>
        <v>-0</v>
      </c>
      <c r="AK56" s="33" t="n">
        <f aca="false">-$E56*N(AND(AK$3&lt;=$F56,AK$4&gt;=$F56))</f>
        <v>-0</v>
      </c>
      <c r="AL56" s="33" t="n">
        <f aca="false">-$E56*N(AND(AL$3&lt;=$F56,AL$4&gt;=$F56))</f>
        <v>-0</v>
      </c>
      <c r="AM56" s="33" t="n">
        <f aca="false">-$E56*N(AND(AM$3&lt;=$F56,AM$4&gt;=$F56))</f>
        <v>-0</v>
      </c>
      <c r="AN56" s="33" t="n">
        <f aca="false">-$E56*N(AND(AN$3&lt;=$F56,AN$4&gt;=$F56))</f>
        <v>-0</v>
      </c>
      <c r="AO56" s="33" t="n">
        <f aca="false">-$E56*N(AND(AO$3&lt;=$F56,AO$4&gt;=$F56))</f>
        <v>-0</v>
      </c>
      <c r="AP56" s="33" t="n">
        <f aca="false">-$E56*N(AND(AP$3&lt;=$F56,AP$4&gt;=$F56))</f>
        <v>-0</v>
      </c>
      <c r="AQ56" s="33" t="n">
        <f aca="false">-$E56*N(AND(AQ$3&lt;=$F56,AQ$4&gt;=$F56))</f>
        <v>-0</v>
      </c>
      <c r="AR56" s="33" t="n">
        <f aca="false">-$E56*N(AND(AR$3&lt;=$F56,AR$4&gt;=$F56))</f>
        <v>-0</v>
      </c>
      <c r="AS56" s="33" t="n">
        <f aca="false">-$E56*N(AND(AS$3&lt;=$F56,AS$4&gt;=$F56))</f>
        <v>-0</v>
      </c>
      <c r="AT56" s="33" t="n">
        <f aca="false">-$E56*N(AND(AT$3&lt;=$F56,AT$4&gt;=$F56))</f>
        <v>-0</v>
      </c>
      <c r="AU56" s="33" t="n">
        <f aca="false">-$E56*N(AND(AU$3&lt;=$F56,AU$4&gt;=$F56))</f>
        <v>-0</v>
      </c>
      <c r="AV56" s="33" t="n">
        <f aca="false">-$E56*N(AND(AV$3&lt;=$F56,AV$4&gt;=$F56))</f>
        <v>-0</v>
      </c>
      <c r="AW56" s="33" t="n">
        <f aca="false">-$E56*N(AND(AW$3&lt;=$F56,AW$4&gt;=$F56))</f>
        <v>-0</v>
      </c>
      <c r="AX56" s="33" t="n">
        <f aca="false">-$E56*N(AND(AX$3&lt;=$F56,AX$4&gt;=$F56))</f>
        <v>-0</v>
      </c>
      <c r="AY56" s="33" t="n">
        <f aca="false">-$E56*N(AND(AY$3&lt;=$F56,AY$4&gt;=$F56))</f>
        <v>-0</v>
      </c>
      <c r="AZ56" s="33" t="n">
        <f aca="false">-$E56*N(AND(AZ$3&lt;=$F56,AZ$4&gt;=$F56))</f>
        <v>-0</v>
      </c>
      <c r="BA56" s="33" t="n">
        <f aca="false">-$E56*N(AND(BA$3&lt;=$F56,BA$4&gt;=$F56))</f>
        <v>-0</v>
      </c>
      <c r="BB56" s="33" t="n">
        <f aca="false">-$E56*N(AND(BB$3&lt;=$F56,BB$4&gt;=$F56))</f>
        <v>-0</v>
      </c>
      <c r="BC56" s="33" t="n">
        <f aca="false">-$E56*N(AND(BC$3&lt;=$F56,BC$4&gt;=$F56))</f>
        <v>-0</v>
      </c>
      <c r="BD56" s="33" t="n">
        <f aca="false">-$E56*N(AND(BD$3&lt;=$F56,BD$4&gt;=$F56))</f>
        <v>-0</v>
      </c>
      <c r="BE56" s="33" t="n">
        <f aca="false">-$E56*N(AND(BE$3&lt;=$F56,BE$4&gt;=$F56))</f>
        <v>-0</v>
      </c>
      <c r="BF56" s="33" t="n">
        <f aca="false">-$E56*N(AND(BF$3&lt;=$F56,BF$4&gt;=$F56))</f>
        <v>-0</v>
      </c>
      <c r="BG56" s="33" t="n">
        <f aca="false">-$E56*N(AND(BG$3&lt;=$F56,BG$4&gt;=$F56))</f>
        <v>-0</v>
      </c>
      <c r="BH56" s="33" t="n">
        <f aca="false">-$E56*N(AND(BH$3&lt;=$F56,BH$4&gt;=$F56))</f>
        <v>-0</v>
      </c>
      <c r="BI56" s="33" t="n">
        <f aca="false">-$E56*N(AND(BI$3&lt;=$F56,BI$4&gt;=$F56))</f>
        <v>-0</v>
      </c>
      <c r="BJ56" s="33" t="n">
        <f aca="false">-$E56*N(AND(BJ$3&lt;=$F56,BJ$4&gt;=$F56))</f>
        <v>-0</v>
      </c>
      <c r="BK56" s="33" t="n">
        <f aca="false">-$E56*N(AND(BK$3&lt;=$F56,BK$4&gt;=$F56))</f>
        <v>-0</v>
      </c>
      <c r="BL56" s="33" t="n">
        <f aca="false">-$E56*N(AND(BL$3&lt;=$F56,BL$4&gt;=$F56))</f>
        <v>-0</v>
      </c>
      <c r="BM56" s="33" t="n">
        <f aca="false">-$E56*N(AND(BM$3&lt;=$F56,BM$4&gt;=$F56))</f>
        <v>-0</v>
      </c>
      <c r="BN56" s="33" t="n">
        <f aca="false">-$E56*N(AND(BN$3&lt;=$F56,BN$4&gt;=$F56))</f>
        <v>-0</v>
      </c>
      <c r="BO56" s="33" t="n">
        <f aca="false">-$E56*N(AND(BO$3&lt;=$F56,BO$4&gt;=$F56))</f>
        <v>-0</v>
      </c>
      <c r="BP56" s="33" t="n">
        <f aca="false">-$E56*N(AND(BP$3&lt;=$F56,BP$4&gt;=$F56))</f>
        <v>-0</v>
      </c>
      <c r="BQ56" s="33" t="n">
        <f aca="false">-$E56*N(AND(BQ$3&lt;=$F56,BQ$4&gt;=$F56))</f>
        <v>-0</v>
      </c>
      <c r="BR56" s="33" t="n">
        <f aca="false">-$E56*N(AND(BR$3&lt;=$F56,BR$4&gt;=$F56))</f>
        <v>-0</v>
      </c>
      <c r="BS56" s="33" t="n">
        <f aca="false">-$E56*N(AND(BS$3&lt;=$F56,BS$4&gt;=$F56))</f>
        <v>-0</v>
      </c>
      <c r="BT56" s="33" t="n">
        <f aca="false">-$E56*N(AND(BT$3&lt;=$F56,BT$4&gt;=$F56))</f>
        <v>-0</v>
      </c>
      <c r="BU56" s="33" t="n">
        <f aca="false">-$E56*N(AND(BU$3&lt;=$F56,BU$4&gt;=$F56))</f>
        <v>-0</v>
      </c>
      <c r="BV56" s="33" t="n">
        <f aca="false">-$E56*N(AND(BV$3&lt;=$F56,BV$4&gt;=$F56))</f>
        <v>-0</v>
      </c>
      <c r="BW56" s="33" t="n">
        <f aca="false">-$E56*N(AND(BW$3&lt;=$F56,BW$4&gt;=$F56))</f>
        <v>-0</v>
      </c>
      <c r="BX56" s="33" t="n">
        <f aca="false">-$E56*N(AND(BX$3&lt;=$F56,BX$4&gt;=$F56))</f>
        <v>-0</v>
      </c>
      <c r="BY56" s="33" t="n">
        <f aca="false">-$E56*N(AND(BY$3&lt;=$F56,BY$4&gt;=$F56))</f>
        <v>-0</v>
      </c>
      <c r="BZ56" s="33" t="n">
        <f aca="false">-$E56*N(AND(BZ$3&lt;=$F56,BZ$4&gt;=$F56))</f>
        <v>-0</v>
      </c>
      <c r="CA56" s="33" t="n">
        <f aca="false">-$E56*N(AND(CA$3&lt;=$F56,CA$4&gt;=$F56))</f>
        <v>-0</v>
      </c>
      <c r="CB56" s="33" t="n">
        <f aca="false">-$E56*N(AND(CB$3&lt;=$F56,CB$4&gt;=$F56))</f>
        <v>-0</v>
      </c>
      <c r="CC56" s="33" t="n">
        <f aca="false">-$E56*N(AND(CC$3&lt;=$F56,CC$4&gt;=$F56))</f>
        <v>-0</v>
      </c>
      <c r="CD56" s="33" t="n">
        <f aca="false">-$E56*N(AND(CD$3&lt;=$F56,CD$4&gt;=$F56))</f>
        <v>-0</v>
      </c>
      <c r="CE56" s="33" t="n">
        <f aca="false">-$E56*N(AND(CE$3&lt;=$F56,CE$4&gt;=$F56))</f>
        <v>-0</v>
      </c>
      <c r="CF56" s="33" t="n">
        <f aca="false">-$E56*N(AND(CF$3&lt;=$F56,CF$4&gt;=$F56))</f>
        <v>-0</v>
      </c>
      <c r="CG56" s="33" t="n">
        <f aca="false">-$E56*N(AND(CG$3&lt;=$F56,CG$4&gt;=$F56))</f>
        <v>-0</v>
      </c>
      <c r="CH56" s="33" t="n">
        <f aca="false">-$E56*N(AND(CH$3&lt;=$F56,CH$4&gt;=$F56))</f>
        <v>-0</v>
      </c>
      <c r="CI56" s="33" t="n">
        <f aca="false">-$E56*N(AND(CI$3&lt;=$F56,CI$4&gt;=$F56))</f>
        <v>-0</v>
      </c>
      <c r="CJ56" s="33" t="n">
        <f aca="false">-$E56*N(AND(CJ$3&lt;=$F56,CJ$4&gt;=$F56))</f>
        <v>-0</v>
      </c>
      <c r="CK56" s="33" t="n">
        <f aca="false">-$E56*N(AND(CK$3&lt;=$F56,CK$4&gt;=$F56))</f>
        <v>-0</v>
      </c>
      <c r="CL56" s="33" t="n">
        <f aca="false">-$E56*N(AND(CL$3&lt;=$F56,CL$4&gt;=$F56))</f>
        <v>-0</v>
      </c>
      <c r="CM56" s="33" t="n">
        <f aca="false">-$E56*N(AND(CM$3&lt;=$F56,CM$4&gt;=$F56))</f>
        <v>-0</v>
      </c>
      <c r="CN56" s="33" t="n">
        <f aca="false">-$E56*N(AND(CN$3&lt;=$F56,CN$4&gt;=$F56))</f>
        <v>-0</v>
      </c>
      <c r="CO56" s="33" t="n">
        <f aca="false">-$E56*N(AND(CO$3&lt;=$F56,CO$4&gt;=$F56))</f>
        <v>-0</v>
      </c>
      <c r="CP56" s="33" t="n">
        <f aca="false">-$E56*N(AND(CP$3&lt;=$F56,CP$4&gt;=$F56))</f>
        <v>-0</v>
      </c>
      <c r="CQ56" s="33" t="n">
        <f aca="false">-$E56*N(AND(CQ$3&lt;=$F56,CQ$4&gt;=$F56))</f>
        <v>-0</v>
      </c>
      <c r="CR56" s="33" t="n">
        <f aca="false">-$E56*N(AND(CR$3&lt;=$F56,CR$4&gt;=$F56))</f>
        <v>-0</v>
      </c>
      <c r="CS56" s="33" t="n">
        <f aca="false">-$E56*N(AND(CS$3&lt;=$F56,CS$4&gt;=$F56))</f>
        <v>-0</v>
      </c>
      <c r="CT56" s="33" t="n">
        <f aca="false">-$E56*N(AND(CT$3&lt;=$F56,CT$4&gt;=$F56))</f>
        <v>-0</v>
      </c>
      <c r="CU56" s="33" t="n">
        <f aca="false">-$E56*N(AND(CU$3&lt;=$F56,CU$4&gt;=$F56))</f>
        <v>-0</v>
      </c>
      <c r="CV56" s="33" t="n">
        <f aca="false">-$E56*N(AND(CV$3&lt;=$F56,CV$4&gt;=$F56))</f>
        <v>-0</v>
      </c>
      <c r="CW56" s="33" t="n">
        <f aca="false">-$E56*N(AND(CW$3&lt;=$F56,CW$4&gt;=$F56))</f>
        <v>-0</v>
      </c>
      <c r="CX56" s="33" t="n">
        <f aca="false">-$E56*N(AND(CX$3&lt;=$F56,CX$4&gt;=$F56))</f>
        <v>-0</v>
      </c>
      <c r="CY56" s="33" t="n">
        <f aca="false">-$E56*N(AND(CY$3&lt;=$F56,CY$4&gt;=$F56))</f>
        <v>-0</v>
      </c>
      <c r="CZ56" s="33" t="n">
        <f aca="false">-$E56*N(AND(CZ$3&lt;=$F56,CZ$4&gt;=$F56))</f>
        <v>-0</v>
      </c>
      <c r="DA56" s="33" t="n">
        <f aca="false">-$E56*N(AND(DA$3&lt;=$F56,DA$4&gt;=$F56))</f>
        <v>-0</v>
      </c>
      <c r="DB56" s="33" t="n">
        <f aca="false">-$E56*N(AND(DB$3&lt;=$F56,DB$4&gt;=$F56))</f>
        <v>-0</v>
      </c>
      <c r="DC56" s="33" t="n">
        <f aca="false">-$E56*N(AND(DC$3&lt;=$F56,DC$4&gt;=$F56))</f>
        <v>-0</v>
      </c>
      <c r="DD56" s="33" t="n">
        <f aca="false">-$E56*N(AND(DD$3&lt;=$F56,DD$4&gt;=$F56))</f>
        <v>-0</v>
      </c>
      <c r="DE56" s="33" t="n">
        <f aca="false">-$E56*N(AND(DE$3&lt;=$F56,DE$4&gt;=$F56))</f>
        <v>-0</v>
      </c>
      <c r="DF56" s="33" t="n">
        <f aca="false">-$E56*N(AND(DF$3&lt;=$F56,DF$4&gt;=$F56))</f>
        <v>-0</v>
      </c>
      <c r="DG56" s="33" t="n">
        <f aca="false">-$E56*N(AND(DG$3&lt;=$F56,DG$4&gt;=$F56))</f>
        <v>-0</v>
      </c>
      <c r="DH56" s="33" t="n">
        <f aca="false">-$E56*N(AND(DH$3&lt;=$F56,DH$4&gt;=$F56))</f>
        <v>-0</v>
      </c>
      <c r="DI56" s="33" t="n">
        <f aca="false">-$E56*N(AND(DI$3&lt;=$F56,DI$4&gt;=$F56))</f>
        <v>-0</v>
      </c>
      <c r="DJ56" s="33" t="n">
        <f aca="false">-$E56*N(AND(DJ$3&lt;=$F56,DJ$4&gt;=$F56))</f>
        <v>-0</v>
      </c>
      <c r="DK56" s="33" t="n">
        <f aca="false">-$E56*N(AND(DK$3&lt;=$F56,DK$4&gt;=$F56))</f>
        <v>-0</v>
      </c>
      <c r="DL56" s="33" t="n">
        <f aca="false">-$E56*N(AND(DL$3&lt;=$F56,DL$4&gt;=$F56))</f>
        <v>-0</v>
      </c>
      <c r="DM56" s="33" t="n">
        <f aca="false">-$E56*N(AND(DM$3&lt;=$F56,DM$4&gt;=$F56))</f>
        <v>-0</v>
      </c>
      <c r="DN56" s="33" t="n">
        <f aca="false">-$E56*N(AND(DN$3&lt;=$F56,DN$4&gt;=$F56))</f>
        <v>-0</v>
      </c>
      <c r="DO56" s="33" t="n">
        <f aca="false">-$E56*N(AND(DO$3&lt;=$F56,DO$4&gt;=$F56))</f>
        <v>-0</v>
      </c>
      <c r="DP56" s="33" t="n">
        <f aca="false">-$E56*N(AND(DP$3&lt;=$F56,DP$4&gt;=$F56))</f>
        <v>-0</v>
      </c>
      <c r="DQ56" s="33" t="n">
        <f aca="false">-$E56*N(AND(DQ$3&lt;=$F56,DQ$4&gt;=$F56))</f>
        <v>-0</v>
      </c>
      <c r="DR56" s="33" t="n">
        <f aca="false">-$E56*N(AND(DR$3&lt;=$F56,DR$4&gt;=$F56))</f>
        <v>-0</v>
      </c>
      <c r="DS56" s="33" t="n">
        <f aca="false">-$E56*N(AND(DS$3&lt;=$F56,DS$4&gt;=$F56))</f>
        <v>-0</v>
      </c>
      <c r="DT56" s="33" t="n">
        <f aca="false">-$E56*N(AND(DT$3&lt;=$F56,DT$4&gt;=$F56))</f>
        <v>-0</v>
      </c>
      <c r="DU56" s="33" t="n">
        <f aca="false">-$E56*N(AND(DU$3&lt;=$F56,DU$4&gt;=$F56))</f>
        <v>-0</v>
      </c>
      <c r="DV56" s="33" t="n">
        <f aca="false">-$E56*N(AND(DV$3&lt;=$F56,DV$4&gt;=$F56))</f>
        <v>-0</v>
      </c>
      <c r="DW56" s="33" t="n">
        <f aca="false">-$E56*N(AND(DW$3&lt;=$F56,DW$4&gt;=$F56))</f>
        <v>-0</v>
      </c>
      <c r="DX56" s="33" t="n">
        <f aca="false">-$E56*N(AND(DX$3&lt;=$F56,DX$4&gt;=$F56))</f>
        <v>-0</v>
      </c>
      <c r="DY56" s="33" t="n">
        <f aca="false">-$E56*N(AND(DY$3&lt;=$F56,DY$4&gt;=$F56))</f>
        <v>-0</v>
      </c>
      <c r="DZ56" s="33" t="n">
        <f aca="false">-$E56*N(AND(DZ$3&lt;=$F56,DZ$4&gt;=$F56))</f>
        <v>-0</v>
      </c>
      <c r="EA56" s="33" t="n">
        <f aca="false">-$E56*N(AND(EA$3&lt;=$F56,EA$4&gt;=$F56))</f>
        <v>-0</v>
      </c>
      <c r="EB56" s="33" t="n">
        <f aca="false">-$E56*N(AND(EB$3&lt;=$F56,EB$4&gt;=$F56))</f>
        <v>-0</v>
      </c>
      <c r="EC56" s="33" t="n">
        <f aca="false">-$E56*N(AND(EC$3&lt;=$F56,EC$4&gt;=$F56))</f>
        <v>-0</v>
      </c>
      <c r="ED56" s="33" t="n">
        <f aca="false">-$E56*N(AND(ED$3&lt;=$F56,ED$4&gt;=$F56))</f>
        <v>-0</v>
      </c>
      <c r="EE56" s="33" t="n">
        <f aca="false">-$E56*N(AND(EE$3&lt;=$F56,EE$4&gt;=$F56))</f>
        <v>-0</v>
      </c>
      <c r="EF56" s="33" t="n">
        <f aca="false">-$E56*N(AND(EF$3&lt;=$F56,EF$4&gt;=$F56))</f>
        <v>-0</v>
      </c>
      <c r="EG56" s="33" t="n">
        <f aca="false">-$E56*N(AND(EG$3&lt;=$F56,EG$4&gt;=$F56))</f>
        <v>-0</v>
      </c>
      <c r="EH56" s="33" t="n">
        <f aca="false">-$E56*N(AND(EH$3&lt;=$F56,EH$4&gt;=$F56))</f>
        <v>-0</v>
      </c>
      <c r="EI56" s="33" t="n">
        <f aca="false">-$E56*N(AND(EI$3&lt;=$F56,EI$4&gt;=$F56))</f>
        <v>-0</v>
      </c>
      <c r="EJ56" s="33" t="n">
        <f aca="false">-$E56*N(AND(EJ$3&lt;=$F56,EJ$4&gt;=$F56))</f>
        <v>-0</v>
      </c>
      <c r="EK56" s="33" t="n">
        <f aca="false">-$E56*N(AND(EK$3&lt;=$F56,EK$4&gt;=$F56))</f>
        <v>-0</v>
      </c>
      <c r="EL56" s="33" t="n">
        <f aca="false">-$E56*N(AND(EL$3&lt;=$F56,EL$4&gt;=$F56))</f>
        <v>-0</v>
      </c>
      <c r="EM56" s="33" t="n">
        <f aca="false">-$E56*N(AND(EM$3&lt;=$F56,EM$4&gt;=$F56))</f>
        <v>-0</v>
      </c>
      <c r="EN56" s="33" t="n">
        <f aca="false">-$E56*N(AND(EN$3&lt;=$F56,EN$4&gt;=$F56))</f>
        <v>-0</v>
      </c>
      <c r="EO56" s="33" t="n">
        <f aca="false">-$E56*N(AND(EO$3&lt;=$F56,EO$4&gt;=$F56))</f>
        <v>-0</v>
      </c>
      <c r="EP56" s="33" t="n">
        <f aca="false">-$E56*N(AND(EP$3&lt;=$F56,EP$4&gt;=$F56))</f>
        <v>-0</v>
      </c>
      <c r="EQ56" s="33" t="n">
        <f aca="false">-$E56*N(AND(EQ$3&lt;=$F56,EQ$4&gt;=$F56))</f>
        <v>-0</v>
      </c>
      <c r="ER56" s="33" t="n">
        <f aca="false">-$E56*N(AND(ER$3&lt;=$F56,ER$4&gt;=$F56))</f>
        <v>-0</v>
      </c>
      <c r="ES56" s="33" t="n">
        <f aca="false">-$E56*N(AND(ES$3&lt;=$F56,ES$4&gt;=$F56))</f>
        <v>-0</v>
      </c>
      <c r="ET56" s="33" t="n">
        <f aca="false">-$E56*N(AND(ET$3&lt;=$F56,ET$4&gt;=$F56))</f>
        <v>-0</v>
      </c>
    </row>
    <row r="57" customFormat="false" ht="15" hidden="false" customHeight="false" outlineLevel="0" collapsed="false">
      <c r="C57" s="0" t="s">
        <v>525</v>
      </c>
      <c r="D57" s="11" t="s">
        <v>253</v>
      </c>
      <c r="E57" s="33" t="n">
        <f aca="false">-SUMIF($J$4:$ET$4,"&lt;="&amp;$E12,$J57:$ET57)</f>
        <v>3119.62451197093</v>
      </c>
      <c r="F57" s="33" t="n">
        <f aca="false">-SUMIF($J$4:$ET$4,"&lt;="&amp;In_COD,$J57:$ET57)</f>
        <v>3119.62451197093</v>
      </c>
      <c r="I57" s="33" t="n">
        <f aca="false">SUM(J57:ET57)</f>
        <v>-3119.62451197093</v>
      </c>
      <c r="J57" s="33" t="n">
        <f aca="false">J54+J55+J56</f>
        <v>-0</v>
      </c>
      <c r="K57" s="33" t="n">
        <f aca="false">K54+K55+K56</f>
        <v>-178.520547945205</v>
      </c>
      <c r="L57" s="33" t="n">
        <f aca="false">L54+L55+L56</f>
        <v>-588.444520547945</v>
      </c>
      <c r="M57" s="33" t="n">
        <f aca="false">M54+M55+M56</f>
        <v>-43.8356164383562</v>
      </c>
      <c r="N57" s="33" t="n">
        <f aca="false">N54+N55+N56</f>
        <v>-43.8356164383562</v>
      </c>
      <c r="O57" s="33" t="n">
        <f aca="false">O54+O55+O56</f>
        <v>-184.361643835616</v>
      </c>
      <c r="P57" s="33" t="n">
        <f aca="false">P54+P55+P56</f>
        <v>-1290.04179480011</v>
      </c>
      <c r="Q57" s="33" t="n">
        <f aca="false">Q54+Q55+Q56</f>
        <v>-4.60958904109589</v>
      </c>
      <c r="R57" s="33" t="n">
        <f aca="false">R54+R55+R56</f>
        <v>-164.091509980431</v>
      </c>
      <c r="S57" s="33" t="n">
        <f aca="false">S54+S55+S56</f>
        <v>-317.226138697232</v>
      </c>
      <c r="T57" s="33" t="n">
        <f aca="false">T54+T55+T56</f>
        <v>-304.657534246575</v>
      </c>
      <c r="U57" s="33" t="n">
        <f aca="false">U54+U55+U56</f>
        <v>-0</v>
      </c>
      <c r="V57" s="33" t="n">
        <f aca="false">V54+V55+V56</f>
        <v>-0</v>
      </c>
      <c r="W57" s="33" t="n">
        <f aca="false">W54+W55+W56</f>
        <v>-0</v>
      </c>
      <c r="X57" s="33" t="n">
        <f aca="false">X54+X55+X56</f>
        <v>-0</v>
      </c>
      <c r="Y57" s="33" t="n">
        <f aca="false">Y54+Y55+Y56</f>
        <v>-0</v>
      </c>
      <c r="Z57" s="33" t="n">
        <f aca="false">Z54+Z55+Z56</f>
        <v>-0</v>
      </c>
      <c r="AA57" s="33" t="n">
        <f aca="false">AA54+AA55+AA56</f>
        <v>-0</v>
      </c>
      <c r="AB57" s="33" t="n">
        <f aca="false">AB54+AB55+AB56</f>
        <v>-0</v>
      </c>
      <c r="AC57" s="33" t="n">
        <f aca="false">AC54+AC55+AC56</f>
        <v>-0</v>
      </c>
      <c r="AD57" s="33" t="n">
        <f aca="false">AD54+AD55+AD56</f>
        <v>-0</v>
      </c>
      <c r="AE57" s="33" t="n">
        <f aca="false">AE54+AE55+AE56</f>
        <v>-0</v>
      </c>
      <c r="AF57" s="33" t="n">
        <f aca="false">AF54+AF55+AF56</f>
        <v>-0</v>
      </c>
      <c r="AG57" s="33" t="n">
        <f aca="false">AG54+AG55+AG56</f>
        <v>-0</v>
      </c>
      <c r="AH57" s="33" t="n">
        <f aca="false">AH54+AH55+AH56</f>
        <v>-0</v>
      </c>
      <c r="AI57" s="33" t="n">
        <f aca="false">AI54+AI55+AI56</f>
        <v>-0</v>
      </c>
      <c r="AJ57" s="33" t="n">
        <f aca="false">AJ54+AJ55+AJ56</f>
        <v>-0</v>
      </c>
      <c r="AK57" s="33" t="n">
        <f aca="false">AK54+AK55+AK56</f>
        <v>-0</v>
      </c>
      <c r="AL57" s="33" t="n">
        <f aca="false">AL54+AL55+AL56</f>
        <v>-0</v>
      </c>
      <c r="AM57" s="33" t="n">
        <f aca="false">AM54+AM55+AM56</f>
        <v>-0</v>
      </c>
      <c r="AN57" s="33" t="n">
        <f aca="false">AN54+AN55+AN56</f>
        <v>-0</v>
      </c>
      <c r="AO57" s="33" t="n">
        <f aca="false">AO54+AO55+AO56</f>
        <v>-0</v>
      </c>
      <c r="AP57" s="33" t="n">
        <f aca="false">AP54+AP55+AP56</f>
        <v>-0</v>
      </c>
      <c r="AQ57" s="33" t="n">
        <f aca="false">AQ54+AQ55+AQ56</f>
        <v>-0</v>
      </c>
      <c r="AR57" s="33" t="n">
        <f aca="false">AR54+AR55+AR56</f>
        <v>-0</v>
      </c>
      <c r="AS57" s="33" t="n">
        <f aca="false">AS54+AS55+AS56</f>
        <v>-0</v>
      </c>
      <c r="AT57" s="33" t="n">
        <f aca="false">AT54+AT55+AT56</f>
        <v>-0</v>
      </c>
      <c r="AU57" s="33" t="n">
        <f aca="false">AU54+AU55+AU56</f>
        <v>-0</v>
      </c>
      <c r="AV57" s="33" t="n">
        <f aca="false">AV54+AV55+AV56</f>
        <v>-0</v>
      </c>
      <c r="AW57" s="33" t="n">
        <f aca="false">AW54+AW55+AW56</f>
        <v>-0</v>
      </c>
      <c r="AX57" s="33" t="n">
        <f aca="false">AX54+AX55+AX56</f>
        <v>-0</v>
      </c>
      <c r="AY57" s="33" t="n">
        <f aca="false">AY54+AY55+AY56</f>
        <v>-0</v>
      </c>
      <c r="AZ57" s="33" t="n">
        <f aca="false">AZ54+AZ55+AZ56</f>
        <v>-0</v>
      </c>
      <c r="BA57" s="33" t="n">
        <f aca="false">BA54+BA55+BA56</f>
        <v>-0</v>
      </c>
      <c r="BB57" s="33" t="n">
        <f aca="false">BB54+BB55+BB56</f>
        <v>-0</v>
      </c>
      <c r="BC57" s="33" t="n">
        <f aca="false">BC54+BC55+BC56</f>
        <v>-0</v>
      </c>
      <c r="BD57" s="33" t="n">
        <f aca="false">BD54+BD55+BD56</f>
        <v>-0</v>
      </c>
      <c r="BE57" s="33" t="n">
        <f aca="false">BE54+BE55+BE56</f>
        <v>-0</v>
      </c>
      <c r="BF57" s="33" t="n">
        <f aca="false">BF54+BF55+BF56</f>
        <v>-0</v>
      </c>
      <c r="BG57" s="33" t="n">
        <f aca="false">BG54+BG55+BG56</f>
        <v>-0</v>
      </c>
      <c r="BH57" s="33" t="n">
        <f aca="false">BH54+BH55+BH56</f>
        <v>-0</v>
      </c>
      <c r="BI57" s="33" t="n">
        <f aca="false">BI54+BI55+BI56</f>
        <v>-0</v>
      </c>
      <c r="BJ57" s="33" t="n">
        <f aca="false">BJ54+BJ55+BJ56</f>
        <v>-0</v>
      </c>
      <c r="BK57" s="33" t="n">
        <f aca="false">BK54+BK55+BK56</f>
        <v>-0</v>
      </c>
      <c r="BL57" s="33" t="n">
        <f aca="false">BL54+BL55+BL56</f>
        <v>-0</v>
      </c>
      <c r="BM57" s="33" t="n">
        <f aca="false">BM54+BM55+BM56</f>
        <v>-0</v>
      </c>
      <c r="BN57" s="33" t="n">
        <f aca="false">BN54+BN55+BN56</f>
        <v>-0</v>
      </c>
      <c r="BO57" s="33" t="n">
        <f aca="false">BO54+BO55+BO56</f>
        <v>-0</v>
      </c>
      <c r="BP57" s="33" t="n">
        <f aca="false">BP54+BP55+BP56</f>
        <v>-0</v>
      </c>
      <c r="BQ57" s="33" t="n">
        <f aca="false">BQ54+BQ55+BQ56</f>
        <v>-0</v>
      </c>
      <c r="BR57" s="33" t="n">
        <f aca="false">BR54+BR55+BR56</f>
        <v>-0</v>
      </c>
      <c r="BS57" s="33" t="n">
        <f aca="false">BS54+BS55+BS56</f>
        <v>-0</v>
      </c>
      <c r="BT57" s="33" t="n">
        <f aca="false">BT54+BT55+BT56</f>
        <v>-0</v>
      </c>
      <c r="BU57" s="33" t="n">
        <f aca="false">BU54+BU55+BU56</f>
        <v>-0</v>
      </c>
      <c r="BV57" s="33" t="n">
        <f aca="false">BV54+BV55+BV56</f>
        <v>-0</v>
      </c>
      <c r="BW57" s="33" t="n">
        <f aca="false">BW54+BW55+BW56</f>
        <v>-0</v>
      </c>
      <c r="BX57" s="33" t="n">
        <f aca="false">BX54+BX55+BX56</f>
        <v>-0</v>
      </c>
      <c r="BY57" s="33" t="n">
        <f aca="false">BY54+BY55+BY56</f>
        <v>-0</v>
      </c>
      <c r="BZ57" s="33" t="n">
        <f aca="false">BZ54+BZ55+BZ56</f>
        <v>-0</v>
      </c>
      <c r="CA57" s="33" t="n">
        <f aca="false">CA54+CA55+CA56</f>
        <v>-0</v>
      </c>
      <c r="CB57" s="33" t="n">
        <f aca="false">CB54+CB55+CB56</f>
        <v>-0</v>
      </c>
      <c r="CC57" s="33" t="n">
        <f aca="false">CC54+CC55+CC56</f>
        <v>-0</v>
      </c>
      <c r="CD57" s="33" t="n">
        <f aca="false">CD54+CD55+CD56</f>
        <v>-0</v>
      </c>
      <c r="CE57" s="33" t="n">
        <f aca="false">CE54+CE55+CE56</f>
        <v>-0</v>
      </c>
      <c r="CF57" s="33" t="n">
        <f aca="false">CF54+CF55+CF56</f>
        <v>-0</v>
      </c>
      <c r="CG57" s="33" t="n">
        <f aca="false">CG54+CG55+CG56</f>
        <v>-0</v>
      </c>
      <c r="CH57" s="33" t="n">
        <f aca="false">CH54+CH55+CH56</f>
        <v>-0</v>
      </c>
      <c r="CI57" s="33" t="n">
        <f aca="false">CI54+CI55+CI56</f>
        <v>-0</v>
      </c>
      <c r="CJ57" s="33" t="n">
        <f aca="false">CJ54+CJ55+CJ56</f>
        <v>-0</v>
      </c>
      <c r="CK57" s="33" t="n">
        <f aca="false">CK54+CK55+CK56</f>
        <v>-0</v>
      </c>
      <c r="CL57" s="33" t="n">
        <f aca="false">CL54+CL55+CL56</f>
        <v>-0</v>
      </c>
      <c r="CM57" s="33" t="n">
        <f aca="false">CM54+CM55+CM56</f>
        <v>-0</v>
      </c>
      <c r="CN57" s="33" t="n">
        <f aca="false">CN54+CN55+CN56</f>
        <v>-0</v>
      </c>
      <c r="CO57" s="33" t="n">
        <f aca="false">CO54+CO55+CO56</f>
        <v>-0</v>
      </c>
      <c r="CP57" s="33" t="n">
        <f aca="false">CP54+CP55+CP56</f>
        <v>-0</v>
      </c>
      <c r="CQ57" s="33" t="n">
        <f aca="false">CQ54+CQ55+CQ56</f>
        <v>-0</v>
      </c>
      <c r="CR57" s="33" t="n">
        <f aca="false">CR54+CR55+CR56</f>
        <v>-0</v>
      </c>
      <c r="CS57" s="33" t="n">
        <f aca="false">CS54+CS55+CS56</f>
        <v>-0</v>
      </c>
      <c r="CT57" s="33" t="n">
        <f aca="false">CT54+CT55+CT56</f>
        <v>-0</v>
      </c>
      <c r="CU57" s="33" t="n">
        <f aca="false">CU54+CU55+CU56</f>
        <v>-0</v>
      </c>
      <c r="CV57" s="33" t="n">
        <f aca="false">CV54+CV55+CV56</f>
        <v>-0</v>
      </c>
      <c r="CW57" s="33" t="n">
        <f aca="false">CW54+CW55+CW56</f>
        <v>-0</v>
      </c>
      <c r="CX57" s="33" t="n">
        <f aca="false">CX54+CX55+CX56</f>
        <v>-0</v>
      </c>
      <c r="CY57" s="33" t="n">
        <f aca="false">CY54+CY55+CY56</f>
        <v>-0</v>
      </c>
      <c r="CZ57" s="33" t="n">
        <f aca="false">CZ54+CZ55+CZ56</f>
        <v>-0</v>
      </c>
      <c r="DA57" s="33" t="n">
        <f aca="false">DA54+DA55+DA56</f>
        <v>-0</v>
      </c>
      <c r="DB57" s="33" t="n">
        <f aca="false">DB54+DB55+DB56</f>
        <v>-0</v>
      </c>
      <c r="DC57" s="33" t="n">
        <f aca="false">DC54+DC55+DC56</f>
        <v>-0</v>
      </c>
      <c r="DD57" s="33" t="n">
        <f aca="false">DD54+DD55+DD56</f>
        <v>-0</v>
      </c>
      <c r="DE57" s="33" t="n">
        <f aca="false">DE54+DE55+DE56</f>
        <v>-0</v>
      </c>
      <c r="DF57" s="33" t="n">
        <f aca="false">DF54+DF55+DF56</f>
        <v>-0</v>
      </c>
      <c r="DG57" s="33" t="n">
        <f aca="false">DG54+DG55+DG56</f>
        <v>-0</v>
      </c>
      <c r="DH57" s="33" t="n">
        <f aca="false">DH54+DH55+DH56</f>
        <v>-0</v>
      </c>
      <c r="DI57" s="33" t="n">
        <f aca="false">DI54+DI55+DI56</f>
        <v>-0</v>
      </c>
      <c r="DJ57" s="33" t="n">
        <f aca="false">DJ54+DJ55+DJ56</f>
        <v>-0</v>
      </c>
      <c r="DK57" s="33" t="n">
        <f aca="false">DK54+DK55+DK56</f>
        <v>-0</v>
      </c>
      <c r="DL57" s="33" t="n">
        <f aca="false">DL54+DL55+DL56</f>
        <v>-0</v>
      </c>
      <c r="DM57" s="33" t="n">
        <f aca="false">DM54+DM55+DM56</f>
        <v>-0</v>
      </c>
      <c r="DN57" s="33" t="n">
        <f aca="false">DN54+DN55+DN56</f>
        <v>-0</v>
      </c>
      <c r="DO57" s="33" t="n">
        <f aca="false">DO54+DO55+DO56</f>
        <v>-0</v>
      </c>
      <c r="DP57" s="33" t="n">
        <f aca="false">DP54+DP55+DP56</f>
        <v>-0</v>
      </c>
      <c r="DQ57" s="33" t="n">
        <f aca="false">DQ54+DQ55+DQ56</f>
        <v>-0</v>
      </c>
      <c r="DR57" s="33" t="n">
        <f aca="false">DR54+DR55+DR56</f>
        <v>-0</v>
      </c>
      <c r="DS57" s="33" t="n">
        <f aca="false">DS54+DS55+DS56</f>
        <v>-0</v>
      </c>
      <c r="DT57" s="33" t="n">
        <f aca="false">DT54+DT55+DT56</f>
        <v>-0</v>
      </c>
      <c r="DU57" s="33" t="n">
        <f aca="false">DU54+DU55+DU56</f>
        <v>-0</v>
      </c>
      <c r="DV57" s="33" t="n">
        <f aca="false">DV54+DV55+DV56</f>
        <v>-0</v>
      </c>
      <c r="DW57" s="33" t="n">
        <f aca="false">DW54+DW55+DW56</f>
        <v>-0</v>
      </c>
      <c r="DX57" s="33" t="n">
        <f aca="false">DX54+DX55+DX56</f>
        <v>-0</v>
      </c>
      <c r="DY57" s="33" t="n">
        <f aca="false">DY54+DY55+DY56</f>
        <v>-0</v>
      </c>
      <c r="DZ57" s="33" t="n">
        <f aca="false">DZ54+DZ55+DZ56</f>
        <v>-0</v>
      </c>
      <c r="EA57" s="33" t="n">
        <f aca="false">EA54+EA55+EA56</f>
        <v>-0</v>
      </c>
      <c r="EB57" s="33" t="n">
        <f aca="false">EB54+EB55+EB56</f>
        <v>-0</v>
      </c>
      <c r="EC57" s="33" t="n">
        <f aca="false">EC54+EC55+EC56</f>
        <v>-0</v>
      </c>
      <c r="ED57" s="33" t="n">
        <f aca="false">ED54+ED55+ED56</f>
        <v>-0</v>
      </c>
      <c r="EE57" s="33" t="n">
        <f aca="false">EE54+EE55+EE56</f>
        <v>-0</v>
      </c>
      <c r="EF57" s="33" t="n">
        <f aca="false">EF54+EF55+EF56</f>
        <v>-0</v>
      </c>
      <c r="EG57" s="33" t="n">
        <f aca="false">EG54+EG55+EG56</f>
        <v>-0</v>
      </c>
      <c r="EH57" s="33" t="n">
        <f aca="false">EH54+EH55+EH56</f>
        <v>-0</v>
      </c>
      <c r="EI57" s="33" t="n">
        <f aca="false">EI54+EI55+EI56</f>
        <v>-0</v>
      </c>
      <c r="EJ57" s="33" t="n">
        <f aca="false">EJ54+EJ55+EJ56</f>
        <v>-0</v>
      </c>
      <c r="EK57" s="33" t="n">
        <f aca="false">EK54+EK55+EK56</f>
        <v>-0</v>
      </c>
      <c r="EL57" s="33" t="n">
        <f aca="false">EL54+EL55+EL56</f>
        <v>-0</v>
      </c>
      <c r="EM57" s="33" t="n">
        <f aca="false">EM54+EM55+EM56</f>
        <v>-0</v>
      </c>
      <c r="EN57" s="33" t="n">
        <f aca="false">EN54+EN55+EN56</f>
        <v>-0</v>
      </c>
      <c r="EO57" s="33" t="n">
        <f aca="false">EO54+EO55+EO56</f>
        <v>-0</v>
      </c>
      <c r="EP57" s="33" t="n">
        <f aca="false">EP54+EP55+EP56</f>
        <v>-0</v>
      </c>
      <c r="EQ57" s="33" t="n">
        <f aca="false">EQ54+EQ55+EQ56</f>
        <v>-0</v>
      </c>
      <c r="ER57" s="33" t="n">
        <f aca="false">ER54+ER55+ER56</f>
        <v>-0</v>
      </c>
      <c r="ES57" s="33" t="n">
        <f aca="false">ES54+ES55+ES56</f>
        <v>-0</v>
      </c>
      <c r="ET57" s="33" t="n">
        <f aca="false">ET54+ET55+ET56</f>
        <v>-0</v>
      </c>
    </row>
    <row r="58" customFormat="false" ht="15" hidden="false" customHeight="false" outlineLevel="0" collapsed="false">
      <c r="C58" s="0" t="s">
        <v>526</v>
      </c>
      <c r="D58" s="11" t="s">
        <v>253</v>
      </c>
      <c r="I58" s="33" t="n">
        <f aca="false">SUM(J58:ET58)</f>
        <v>-3119.62451197093</v>
      </c>
      <c r="J58" s="33" t="n">
        <f aca="false">J20*SUMIF($J$7:J$7,J$7,$J57:J57)</f>
        <v>0</v>
      </c>
      <c r="K58" s="33" t="n">
        <f aca="false">K20*SUMIF($J$7:K$7,K$7,$J57:K57)</f>
        <v>-178.520547945205</v>
      </c>
      <c r="L58" s="33" t="n">
        <f aca="false">L20*SUMIF($J$7:L$7,L$7,$J57:L57)</f>
        <v>-0</v>
      </c>
      <c r="M58" s="33" t="n">
        <f aca="false">M20*SUMIF($J$7:M$7,M$7,$J57:M57)</f>
        <v>-0</v>
      </c>
      <c r="N58" s="33" t="n">
        <f aca="false">N20*SUMIF($J$7:N$7,N$7,$J57:N57)</f>
        <v>-0</v>
      </c>
      <c r="O58" s="33" t="n">
        <f aca="false">O20*SUMIF($J$7:O$7,O$7,$J57:O57)</f>
        <v>-860.477397260274</v>
      </c>
      <c r="P58" s="33" t="n">
        <f aca="false">P20*SUMIF($J$7:P$7,P$7,$J57:P57)</f>
        <v>-0</v>
      </c>
      <c r="Q58" s="33" t="n">
        <f aca="false">Q20*SUMIF($J$7:Q$7,Q$7,$J57:Q57)</f>
        <v>-0</v>
      </c>
      <c r="R58" s="33" t="n">
        <f aca="false">R20*SUMIF($J$7:R$7,R$7,$J57:R57)</f>
        <v>-0</v>
      </c>
      <c r="S58" s="33" t="n">
        <f aca="false">S20*SUMIF($J$7:S$7,S$7,$J57:S57)</f>
        <v>-1775.96903251887</v>
      </c>
      <c r="T58" s="33" t="n">
        <f aca="false">T20*SUMIF($J$7:T$7,T$7,$J57:T57)</f>
        <v>-0</v>
      </c>
      <c r="U58" s="33" t="n">
        <f aca="false">U20*SUMIF($J$7:U$7,U$7,$J57:U57)</f>
        <v>-0</v>
      </c>
      <c r="V58" s="33" t="n">
        <f aca="false">V20*SUMIF($J$7:V$7,V$7,$J57:V57)</f>
        <v>-0</v>
      </c>
      <c r="W58" s="33" t="n">
        <f aca="false">W20*SUMIF($J$7:W$7,W$7,$J57:W57)</f>
        <v>-304.657534246575</v>
      </c>
      <c r="X58" s="33" t="n">
        <f aca="false">X20*SUMIF($J$7:X$7,X$7,$J57:X57)</f>
        <v>0</v>
      </c>
      <c r="Y58" s="33" t="n">
        <f aca="false">Y20*SUMIF($J$7:Y$7,Y$7,$J57:Y57)</f>
        <v>0</v>
      </c>
      <c r="Z58" s="33" t="n">
        <f aca="false">Z20*SUMIF($J$7:Z$7,Z$7,$J57:Z57)</f>
        <v>0</v>
      </c>
      <c r="AA58" s="33" t="n">
        <f aca="false">AA20*SUMIF($J$7:AA$7,AA$7,$J57:AA57)</f>
        <v>0</v>
      </c>
      <c r="AB58" s="33" t="n">
        <f aca="false">AB20*SUMIF($J$7:AB$7,AB$7,$J57:AB57)</f>
        <v>0</v>
      </c>
      <c r="AC58" s="33" t="n">
        <f aca="false">AC20*SUMIF($J$7:AC$7,AC$7,$J57:AC57)</f>
        <v>0</v>
      </c>
      <c r="AD58" s="33" t="n">
        <f aca="false">AD20*SUMIF($J$7:AD$7,AD$7,$J57:AD57)</f>
        <v>0</v>
      </c>
      <c r="AE58" s="33" t="n">
        <f aca="false">AE20*SUMIF($J$7:AE$7,AE$7,$J57:AE57)</f>
        <v>0</v>
      </c>
      <c r="AF58" s="33" t="n">
        <f aca="false">AF20*SUMIF($J$7:AF$7,AF$7,$J57:AF57)</f>
        <v>0</v>
      </c>
      <c r="AG58" s="33" t="n">
        <f aca="false">AG20*SUMIF($J$7:AG$7,AG$7,$J57:AG57)</f>
        <v>0</v>
      </c>
      <c r="AH58" s="33" t="n">
        <f aca="false">AH20*SUMIF($J$7:AH$7,AH$7,$J57:AH57)</f>
        <v>0</v>
      </c>
      <c r="AI58" s="33" t="n">
        <f aca="false">AI20*SUMIF($J$7:AI$7,AI$7,$J57:AI57)</f>
        <v>0</v>
      </c>
      <c r="AJ58" s="33" t="n">
        <f aca="false">AJ20*SUMIF($J$7:AJ$7,AJ$7,$J57:AJ57)</f>
        <v>0</v>
      </c>
      <c r="AK58" s="33" t="n">
        <f aca="false">AK20*SUMIF($J$7:AK$7,AK$7,$J57:AK57)</f>
        <v>0</v>
      </c>
      <c r="AL58" s="33" t="n">
        <f aca="false">AL20*SUMIF($J$7:AL$7,AL$7,$J57:AL57)</f>
        <v>0</v>
      </c>
      <c r="AM58" s="33" t="n">
        <f aca="false">AM20*SUMIF($J$7:AM$7,AM$7,$J57:AM57)</f>
        <v>0</v>
      </c>
      <c r="AN58" s="33" t="n">
        <f aca="false">AN20*SUMIF($J$7:AN$7,AN$7,$J57:AN57)</f>
        <v>0</v>
      </c>
      <c r="AO58" s="33" t="n">
        <f aca="false">AO20*SUMIF($J$7:AO$7,AO$7,$J57:AO57)</f>
        <v>0</v>
      </c>
      <c r="AP58" s="33" t="n">
        <f aca="false">AP20*SUMIF($J$7:AP$7,AP$7,$J57:AP57)</f>
        <v>0</v>
      </c>
      <c r="AQ58" s="33" t="n">
        <f aca="false">AQ20*SUMIF($J$7:AQ$7,AQ$7,$J57:AQ57)</f>
        <v>0</v>
      </c>
      <c r="AR58" s="33" t="n">
        <f aca="false">AR20*SUMIF($J$7:AR$7,AR$7,$J57:AR57)</f>
        <v>0</v>
      </c>
      <c r="AS58" s="33" t="n">
        <f aca="false">AS20*SUMIF($J$7:AS$7,AS$7,$J57:AS57)</f>
        <v>0</v>
      </c>
      <c r="AT58" s="33" t="n">
        <f aca="false">AT20*SUMIF($J$7:AT$7,AT$7,$J57:AT57)</f>
        <v>0</v>
      </c>
      <c r="AU58" s="33" t="n">
        <f aca="false">AU20*SUMIF($J$7:AU$7,AU$7,$J57:AU57)</f>
        <v>0</v>
      </c>
      <c r="AV58" s="33" t="n">
        <f aca="false">AV20*SUMIF($J$7:AV$7,AV$7,$J57:AV57)</f>
        <v>0</v>
      </c>
      <c r="AW58" s="33" t="n">
        <f aca="false">AW20*SUMIF($J$7:AW$7,AW$7,$J57:AW57)</f>
        <v>0</v>
      </c>
      <c r="AX58" s="33" t="n">
        <f aca="false">AX20*SUMIF($J$7:AX$7,AX$7,$J57:AX57)</f>
        <v>0</v>
      </c>
      <c r="AY58" s="33" t="n">
        <f aca="false">AY20*SUMIF($J$7:AY$7,AY$7,$J57:AY57)</f>
        <v>0</v>
      </c>
      <c r="AZ58" s="33" t="n">
        <f aca="false">AZ20*SUMIF($J$7:AZ$7,AZ$7,$J57:AZ57)</f>
        <v>0</v>
      </c>
      <c r="BA58" s="33" t="n">
        <f aca="false">BA20*SUMIF($J$7:BA$7,BA$7,$J57:BA57)</f>
        <v>0</v>
      </c>
      <c r="BB58" s="33" t="n">
        <f aca="false">BB20*SUMIF($J$7:BB$7,BB$7,$J57:BB57)</f>
        <v>0</v>
      </c>
      <c r="BC58" s="33" t="n">
        <f aca="false">BC20*SUMIF($J$7:BC$7,BC$7,$J57:BC57)</f>
        <v>0</v>
      </c>
      <c r="BD58" s="33" t="n">
        <f aca="false">BD20*SUMIF($J$7:BD$7,BD$7,$J57:BD57)</f>
        <v>0</v>
      </c>
      <c r="BE58" s="33" t="n">
        <f aca="false">BE20*SUMIF($J$7:BE$7,BE$7,$J57:BE57)</f>
        <v>0</v>
      </c>
      <c r="BF58" s="33" t="n">
        <f aca="false">BF20*SUMIF($J$7:BF$7,BF$7,$J57:BF57)</f>
        <v>0</v>
      </c>
      <c r="BG58" s="33" t="n">
        <f aca="false">BG20*SUMIF($J$7:BG$7,BG$7,$J57:BG57)</f>
        <v>0</v>
      </c>
      <c r="BH58" s="33" t="n">
        <f aca="false">BH20*SUMIF($J$7:BH$7,BH$7,$J57:BH57)</f>
        <v>0</v>
      </c>
      <c r="BI58" s="33" t="n">
        <f aca="false">BI20*SUMIF($J$7:BI$7,BI$7,$J57:BI57)</f>
        <v>0</v>
      </c>
      <c r="BJ58" s="33" t="n">
        <f aca="false">BJ20*SUMIF($J$7:BJ$7,BJ$7,$J57:BJ57)</f>
        <v>0</v>
      </c>
      <c r="BK58" s="33" t="n">
        <f aca="false">BK20*SUMIF($J$7:BK$7,BK$7,$J57:BK57)</f>
        <v>0</v>
      </c>
      <c r="BL58" s="33" t="n">
        <f aca="false">BL20*SUMIF($J$7:BL$7,BL$7,$J57:BL57)</f>
        <v>0</v>
      </c>
      <c r="BM58" s="33" t="n">
        <f aca="false">BM20*SUMIF($J$7:BM$7,BM$7,$J57:BM57)</f>
        <v>0</v>
      </c>
      <c r="BN58" s="33" t="n">
        <f aca="false">BN20*SUMIF($J$7:BN$7,BN$7,$J57:BN57)</f>
        <v>0</v>
      </c>
      <c r="BO58" s="33" t="n">
        <f aca="false">BO20*SUMIF($J$7:BO$7,BO$7,$J57:BO57)</f>
        <v>0</v>
      </c>
      <c r="BP58" s="33" t="n">
        <f aca="false">BP20*SUMIF($J$7:BP$7,BP$7,$J57:BP57)</f>
        <v>0</v>
      </c>
      <c r="BQ58" s="33" t="n">
        <f aca="false">BQ20*SUMIF($J$7:BQ$7,BQ$7,$J57:BQ57)</f>
        <v>0</v>
      </c>
      <c r="BR58" s="33" t="n">
        <f aca="false">BR20*SUMIF($J$7:BR$7,BR$7,$J57:BR57)</f>
        <v>0</v>
      </c>
      <c r="BS58" s="33" t="n">
        <f aca="false">BS20*SUMIF($J$7:BS$7,BS$7,$J57:BS57)</f>
        <v>0</v>
      </c>
      <c r="BT58" s="33" t="n">
        <f aca="false">BT20*SUMIF($J$7:BT$7,BT$7,$J57:BT57)</f>
        <v>0</v>
      </c>
      <c r="BU58" s="33" t="n">
        <f aca="false">BU20*SUMIF($J$7:BU$7,BU$7,$J57:BU57)</f>
        <v>0</v>
      </c>
      <c r="BV58" s="33" t="n">
        <f aca="false">BV20*SUMIF($J$7:BV$7,BV$7,$J57:BV57)</f>
        <v>0</v>
      </c>
      <c r="BW58" s="33" t="n">
        <f aca="false">BW20*SUMIF($J$7:BW$7,BW$7,$J57:BW57)</f>
        <v>0</v>
      </c>
      <c r="BX58" s="33" t="n">
        <f aca="false">BX20*SUMIF($J$7:BX$7,BX$7,$J57:BX57)</f>
        <v>0</v>
      </c>
      <c r="BY58" s="33" t="n">
        <f aca="false">BY20*SUMIF($J$7:BY$7,BY$7,$J57:BY57)</f>
        <v>0</v>
      </c>
      <c r="BZ58" s="33" t="n">
        <f aca="false">BZ20*SUMIF($J$7:BZ$7,BZ$7,$J57:BZ57)</f>
        <v>0</v>
      </c>
      <c r="CA58" s="33" t="n">
        <f aca="false">CA20*SUMIF($J$7:CA$7,CA$7,$J57:CA57)</f>
        <v>0</v>
      </c>
      <c r="CB58" s="33" t="n">
        <f aca="false">CB20*SUMIF($J$7:CB$7,CB$7,$J57:CB57)</f>
        <v>0</v>
      </c>
      <c r="CC58" s="33" t="n">
        <f aca="false">CC20*SUMIF($J$7:CC$7,CC$7,$J57:CC57)</f>
        <v>0</v>
      </c>
      <c r="CD58" s="33" t="n">
        <f aca="false">CD20*SUMIF($J$7:CD$7,CD$7,$J57:CD57)</f>
        <v>0</v>
      </c>
      <c r="CE58" s="33" t="n">
        <f aca="false">CE20*SUMIF($J$7:CE$7,CE$7,$J57:CE57)</f>
        <v>0</v>
      </c>
      <c r="CF58" s="33" t="n">
        <f aca="false">CF20*SUMIF($J$7:CF$7,CF$7,$J57:CF57)</f>
        <v>0</v>
      </c>
      <c r="CG58" s="33" t="n">
        <f aca="false">CG20*SUMIF($J$7:CG$7,CG$7,$J57:CG57)</f>
        <v>0</v>
      </c>
      <c r="CH58" s="33" t="n">
        <f aca="false">CH20*SUMIF($J$7:CH$7,CH$7,$J57:CH57)</f>
        <v>0</v>
      </c>
      <c r="CI58" s="33" t="n">
        <f aca="false">CI20*SUMIF($J$7:CI$7,CI$7,$J57:CI57)</f>
        <v>0</v>
      </c>
      <c r="CJ58" s="33" t="n">
        <f aca="false">CJ20*SUMIF($J$7:CJ$7,CJ$7,$J57:CJ57)</f>
        <v>0</v>
      </c>
      <c r="CK58" s="33" t="n">
        <f aca="false">CK20*SUMIF($J$7:CK$7,CK$7,$J57:CK57)</f>
        <v>0</v>
      </c>
      <c r="CL58" s="33" t="n">
        <f aca="false">CL20*SUMIF($J$7:CL$7,CL$7,$J57:CL57)</f>
        <v>0</v>
      </c>
      <c r="CM58" s="33" t="n">
        <f aca="false">CM20*SUMIF($J$7:CM$7,CM$7,$J57:CM57)</f>
        <v>0</v>
      </c>
      <c r="CN58" s="33" t="n">
        <f aca="false">CN20*SUMIF($J$7:CN$7,CN$7,$J57:CN57)</f>
        <v>0</v>
      </c>
      <c r="CO58" s="33" t="n">
        <f aca="false">CO20*SUMIF($J$7:CO$7,CO$7,$J57:CO57)</f>
        <v>0</v>
      </c>
      <c r="CP58" s="33" t="n">
        <f aca="false">CP20*SUMIF($J$7:CP$7,CP$7,$J57:CP57)</f>
        <v>0</v>
      </c>
      <c r="CQ58" s="33" t="n">
        <f aca="false">CQ20*SUMIF($J$7:CQ$7,CQ$7,$J57:CQ57)</f>
        <v>0</v>
      </c>
      <c r="CR58" s="33" t="n">
        <f aca="false">CR20*SUMIF($J$7:CR$7,CR$7,$J57:CR57)</f>
        <v>0</v>
      </c>
      <c r="CS58" s="33" t="n">
        <f aca="false">CS20*SUMIF($J$7:CS$7,CS$7,$J57:CS57)</f>
        <v>0</v>
      </c>
      <c r="CT58" s="33" t="n">
        <f aca="false">CT20*SUMIF($J$7:CT$7,CT$7,$J57:CT57)</f>
        <v>0</v>
      </c>
      <c r="CU58" s="33" t="n">
        <f aca="false">CU20*SUMIF($J$7:CU$7,CU$7,$J57:CU57)</f>
        <v>0</v>
      </c>
      <c r="CV58" s="33" t="n">
        <f aca="false">CV20*SUMIF($J$7:CV$7,CV$7,$J57:CV57)</f>
        <v>0</v>
      </c>
      <c r="CW58" s="33" t="n">
        <f aca="false">CW20*SUMIF($J$7:CW$7,CW$7,$J57:CW57)</f>
        <v>0</v>
      </c>
      <c r="CX58" s="33" t="n">
        <f aca="false">CX20*SUMIF($J$7:CX$7,CX$7,$J57:CX57)</f>
        <v>0</v>
      </c>
      <c r="CY58" s="33" t="n">
        <f aca="false">CY20*SUMIF($J$7:CY$7,CY$7,$J57:CY57)</f>
        <v>0</v>
      </c>
      <c r="CZ58" s="33" t="n">
        <f aca="false">CZ20*SUMIF($J$7:CZ$7,CZ$7,$J57:CZ57)</f>
        <v>0</v>
      </c>
      <c r="DA58" s="33" t="n">
        <f aca="false">DA20*SUMIF($J$7:DA$7,DA$7,$J57:DA57)</f>
        <v>0</v>
      </c>
      <c r="DB58" s="33" t="n">
        <f aca="false">DB20*SUMIF($J$7:DB$7,DB$7,$J57:DB57)</f>
        <v>0</v>
      </c>
      <c r="DC58" s="33" t="n">
        <f aca="false">DC20*SUMIF($J$7:DC$7,DC$7,$J57:DC57)</f>
        <v>0</v>
      </c>
      <c r="DD58" s="33" t="n">
        <f aca="false">DD20*SUMIF($J$7:DD$7,DD$7,$J57:DD57)</f>
        <v>0</v>
      </c>
      <c r="DE58" s="33" t="n">
        <f aca="false">DE20*SUMIF($J$7:DE$7,DE$7,$J57:DE57)</f>
        <v>0</v>
      </c>
      <c r="DF58" s="33" t="n">
        <f aca="false">DF20*SUMIF($J$7:DF$7,DF$7,$J57:DF57)</f>
        <v>0</v>
      </c>
      <c r="DG58" s="33" t="n">
        <f aca="false">DG20*SUMIF($J$7:DG$7,DG$7,$J57:DG57)</f>
        <v>0</v>
      </c>
      <c r="DH58" s="33" t="n">
        <f aca="false">DH20*SUMIF($J$7:DH$7,DH$7,$J57:DH57)</f>
        <v>0</v>
      </c>
      <c r="DI58" s="33" t="n">
        <f aca="false">DI20*SUMIF($J$7:DI$7,DI$7,$J57:DI57)</f>
        <v>0</v>
      </c>
      <c r="DJ58" s="33" t="n">
        <f aca="false">DJ20*SUMIF($J$7:DJ$7,DJ$7,$J57:DJ57)</f>
        <v>0</v>
      </c>
      <c r="DK58" s="33" t="n">
        <f aca="false">DK20*SUMIF($J$7:DK$7,DK$7,$J57:DK57)</f>
        <v>0</v>
      </c>
      <c r="DL58" s="33" t="n">
        <f aca="false">DL20*SUMIF($J$7:DL$7,DL$7,$J57:DL57)</f>
        <v>0</v>
      </c>
      <c r="DM58" s="33" t="n">
        <f aca="false">DM20*SUMIF($J$7:DM$7,DM$7,$J57:DM57)</f>
        <v>0</v>
      </c>
      <c r="DN58" s="33" t="n">
        <f aca="false">DN20*SUMIF($J$7:DN$7,DN$7,$J57:DN57)</f>
        <v>0</v>
      </c>
      <c r="DO58" s="33" t="n">
        <f aca="false">DO20*SUMIF($J$7:DO$7,DO$7,$J57:DO57)</f>
        <v>0</v>
      </c>
      <c r="DP58" s="33" t="n">
        <f aca="false">DP20*SUMIF($J$7:DP$7,DP$7,$J57:DP57)</f>
        <v>0</v>
      </c>
      <c r="DQ58" s="33" t="n">
        <f aca="false">DQ20*SUMIF($J$7:DQ$7,DQ$7,$J57:DQ57)</f>
        <v>0</v>
      </c>
      <c r="DR58" s="33" t="n">
        <f aca="false">DR20*SUMIF($J$7:DR$7,DR$7,$J57:DR57)</f>
        <v>0</v>
      </c>
      <c r="DS58" s="33" t="n">
        <f aca="false">DS20*SUMIF($J$7:DS$7,DS$7,$J57:DS57)</f>
        <v>0</v>
      </c>
      <c r="DT58" s="33" t="n">
        <f aca="false">DT20*SUMIF($J$7:DT$7,DT$7,$J57:DT57)</f>
        <v>0</v>
      </c>
      <c r="DU58" s="33" t="n">
        <f aca="false">DU20*SUMIF($J$7:DU$7,DU$7,$J57:DU57)</f>
        <v>0</v>
      </c>
      <c r="DV58" s="33" t="n">
        <f aca="false">DV20*SUMIF($J$7:DV$7,DV$7,$J57:DV57)</f>
        <v>0</v>
      </c>
      <c r="DW58" s="33" t="n">
        <f aca="false">DW20*SUMIF($J$7:DW$7,DW$7,$J57:DW57)</f>
        <v>0</v>
      </c>
      <c r="DX58" s="33" t="n">
        <f aca="false">DX20*SUMIF($J$7:DX$7,DX$7,$J57:DX57)</f>
        <v>0</v>
      </c>
      <c r="DY58" s="33" t="n">
        <f aca="false">DY20*SUMIF($J$7:DY$7,DY$7,$J57:DY57)</f>
        <v>0</v>
      </c>
      <c r="DZ58" s="33" t="n">
        <f aca="false">DZ20*SUMIF($J$7:DZ$7,DZ$7,$J57:DZ57)</f>
        <v>0</v>
      </c>
      <c r="EA58" s="33" t="n">
        <f aca="false">EA20*SUMIF($J$7:EA$7,EA$7,$J57:EA57)</f>
        <v>0</v>
      </c>
      <c r="EB58" s="33" t="n">
        <f aca="false">EB20*SUMIF($J$7:EB$7,EB$7,$J57:EB57)</f>
        <v>0</v>
      </c>
      <c r="EC58" s="33" t="n">
        <f aca="false">EC20*SUMIF($J$7:EC$7,EC$7,$J57:EC57)</f>
        <v>0</v>
      </c>
      <c r="ED58" s="33" t="n">
        <f aca="false">ED20*SUMIF($J$7:ED$7,ED$7,$J57:ED57)</f>
        <v>0</v>
      </c>
      <c r="EE58" s="33" t="n">
        <f aca="false">EE20*SUMIF($J$7:EE$7,EE$7,$J57:EE57)</f>
        <v>0</v>
      </c>
      <c r="EF58" s="33" t="n">
        <f aca="false">EF20*SUMIF($J$7:EF$7,EF$7,$J57:EF57)</f>
        <v>0</v>
      </c>
      <c r="EG58" s="33" t="n">
        <f aca="false">EG20*SUMIF($J$7:EG$7,EG$7,$J57:EG57)</f>
        <v>0</v>
      </c>
      <c r="EH58" s="33" t="n">
        <f aca="false">EH20*SUMIF($J$7:EH$7,EH$7,$J57:EH57)</f>
        <v>0</v>
      </c>
      <c r="EI58" s="33" t="n">
        <f aca="false">EI20*SUMIF($J$7:EI$7,EI$7,$J57:EI57)</f>
        <v>0</v>
      </c>
      <c r="EJ58" s="33" t="n">
        <f aca="false">EJ20*SUMIF($J$7:EJ$7,EJ$7,$J57:EJ57)</f>
        <v>0</v>
      </c>
      <c r="EK58" s="33" t="n">
        <f aca="false">EK20*SUMIF($J$7:EK$7,EK$7,$J57:EK57)</f>
        <v>0</v>
      </c>
      <c r="EL58" s="33" t="n">
        <f aca="false">EL20*SUMIF($J$7:EL$7,EL$7,$J57:EL57)</f>
        <v>0</v>
      </c>
      <c r="EM58" s="33" t="n">
        <f aca="false">EM20*SUMIF($J$7:EM$7,EM$7,$J57:EM57)</f>
        <v>0</v>
      </c>
      <c r="EN58" s="33" t="n">
        <f aca="false">EN20*SUMIF($J$7:EN$7,EN$7,$J57:EN57)</f>
        <v>0</v>
      </c>
      <c r="EO58" s="33" t="n">
        <f aca="false">EO20*SUMIF($J$7:EO$7,EO$7,$J57:EO57)</f>
        <v>0</v>
      </c>
      <c r="EP58" s="33" t="n">
        <f aca="false">EP20*SUMIF($J$7:EP$7,EP$7,$J57:EP57)</f>
        <v>0</v>
      </c>
      <c r="EQ58" s="33" t="n">
        <f aca="false">EQ20*SUMIF($J$7:EQ$7,EQ$7,$J57:EQ57)</f>
        <v>0</v>
      </c>
      <c r="ER58" s="33" t="n">
        <f aca="false">ER20*SUMIF($J$7:ER$7,ER$7,$J57:ER57)</f>
        <v>0</v>
      </c>
      <c r="ES58" s="33" t="n">
        <f aca="false">ES20*SUMIF($J$7:ES$7,ES$7,$J57:ES57)</f>
        <v>0</v>
      </c>
      <c r="ET58" s="33" t="n">
        <f aca="false">ET20*SUMIF($J$7:ET$7,ET$7,$J57:ET57)</f>
        <v>0</v>
      </c>
    </row>
    <row r="59" customFormat="false" ht="15" hidden="false" customHeight="false" outlineLevel="0" collapsed="false">
      <c r="C59" s="0" t="s">
        <v>527</v>
      </c>
      <c r="D59" s="11" t="s">
        <v>253</v>
      </c>
      <c r="E59" s="33" t="n">
        <f aca="false">SUMIF($J$4:$ET$4,"&lt;="&amp;$E12,$J59:$ET59)</f>
        <v>-1278.15482229311</v>
      </c>
      <c r="F59" s="33" t="n">
        <f aca="false">SUMIF($J$4:$ET$4,"&lt;="&amp;In_COD,$J59:$ET59)</f>
        <v>-2011.61657496716</v>
      </c>
      <c r="I59" s="33" t="n">
        <f aca="false">SUM(J59:ET59)</f>
        <v>-2641.61193619816</v>
      </c>
      <c r="J59" s="33" t="n">
        <f aca="false">-(J48+J49)*In_Guarantee_Fee*J$5/Days_In_Year</f>
        <v>-0</v>
      </c>
      <c r="K59" s="33" t="n">
        <f aca="false">-(K48+K49)*In_Guarantee_Fee*K$5/Days_In_Year</f>
        <v>-18.1640998311128</v>
      </c>
      <c r="L59" s="33" t="n">
        <f aca="false">-(L48+L49)*In_Guarantee_Fee*L$5/Days_In_Year</f>
        <v>-103.466391443047</v>
      </c>
      <c r="M59" s="33" t="n">
        <f aca="false">-(M48+M49)*In_Guarantee_Fee*M$5/Days_In_Year</f>
        <v>-104.616018014637</v>
      </c>
      <c r="N59" s="33" t="n">
        <f aca="false">-(N48+N49)*In_Guarantee_Fee*N$5/Days_In_Year</f>
        <v>-105.765644586226</v>
      </c>
      <c r="O59" s="33" t="n">
        <f aca="false">-(O48+O49)*In_Guarantee_Fee*O$5/Days_In_Year</f>
        <v>-105.765644586226</v>
      </c>
      <c r="P59" s="33" t="n">
        <f aca="false">-(P48+P49)*In_Guarantee_Fee*P$5/Days_In_Year</f>
        <v>-104.616018014637</v>
      </c>
      <c r="Q59" s="33" t="n">
        <f aca="false">-(Q48+Q49)*In_Guarantee_Fee*Q$5/Days_In_Year</f>
        <v>-104.616018014637</v>
      </c>
      <c r="R59" s="33" t="n">
        <f aca="false">-(R48+R49)*In_Guarantee_Fee*R$5/Days_In_Year</f>
        <v>-105.765644586226</v>
      </c>
      <c r="S59" s="33" t="n">
        <f aca="false">-(S48+S49)*In_Guarantee_Fee*S$5/Days_In_Year</f>
        <v>-105.765644586226</v>
      </c>
      <c r="T59" s="33" t="n">
        <f aca="false">-(T48+T49)*In_Guarantee_Fee*T$5/Days_In_Year</f>
        <v>-103.466391443047</v>
      </c>
      <c r="U59" s="33" t="n">
        <f aca="false">-(U48+U49)*In_Guarantee_Fee*U$5/Days_In_Year</f>
        <v>-104.616018014637</v>
      </c>
      <c r="V59" s="33" t="n">
        <f aca="false">-(V48+V49)*In_Guarantee_Fee*V$5/Days_In_Year</f>
        <v>-105.765644586226</v>
      </c>
      <c r="W59" s="33" t="n">
        <f aca="false">-(W48+W49)*In_Guarantee_Fee*W$5/Days_In_Year</f>
        <v>-105.765644586226</v>
      </c>
      <c r="X59" s="33" t="n">
        <f aca="false">-(X48+X49)*In_Guarantee_Fee*X$5/Days_In_Year</f>
        <v>-103.466391443047</v>
      </c>
      <c r="Y59" s="33" t="n">
        <f aca="false">-(Y48+Y49)*In_Guarantee_Fee*Y$5/Days_In_Year</f>
        <v>-104.616018014637</v>
      </c>
      <c r="Z59" s="33" t="n">
        <f aca="false">-(Z48+Z49)*In_Guarantee_Fee*Z$5/Days_In_Year</f>
        <v>-105.765644586226</v>
      </c>
      <c r="AA59" s="33" t="n">
        <f aca="false">-(AA48+AA49)*In_Guarantee_Fee*AA$5/Days_In_Year</f>
        <v>-105.765644586226</v>
      </c>
      <c r="AB59" s="33" t="n">
        <f aca="false">-(AB48+AB49)*In_Guarantee_Fee*AB$5/Days_In_Year</f>
        <v>-103.466391443047</v>
      </c>
      <c r="AC59" s="33" t="n">
        <f aca="false">-(AC48+AC49)*In_Guarantee_Fee*AC$5/Days_In_Year</f>
        <v>-104.616018014637</v>
      </c>
      <c r="AD59" s="33" t="n">
        <f aca="false">-(AD48+AD49)*In_Guarantee_Fee*AD$5/Days_In_Year</f>
        <v>-105.765644586226</v>
      </c>
      <c r="AE59" s="33" t="n">
        <f aca="false">-(AE48+AE49)*In_Guarantee_Fee*AE$5/Days_In_Year</f>
        <v>-105.765644586226</v>
      </c>
      <c r="AF59" s="33" t="n">
        <f aca="false">-(AF48+AF49)*In_Guarantee_Fee*AF$5/Days_In_Year</f>
        <v>-104.616018014637</v>
      </c>
      <c r="AG59" s="33" t="n">
        <f aca="false">-(AG48+AG49)*In_Guarantee_Fee*AG$5/Days_In_Year</f>
        <v>-104.616018014637</v>
      </c>
      <c r="AH59" s="33" t="n">
        <f aca="false">-(AH48+AH49)*In_Guarantee_Fee*AH$5/Days_In_Year</f>
        <v>-105.765644586226</v>
      </c>
      <c r="AI59" s="33" t="n">
        <f aca="false">-(AI48+AI49)*In_Guarantee_Fee*AI$5/Days_In_Year</f>
        <v>-105.765644586226</v>
      </c>
      <c r="AJ59" s="33" t="n">
        <f aca="false">-(AJ48+AJ49)*In_Guarantee_Fee*AJ$5/Days_In_Year</f>
        <v>-103.466391443047</v>
      </c>
      <c r="AK59" s="33" t="n">
        <f aca="false">-(AK48+AK49)*In_Guarantee_Fee*AK$5/Days_In_Year</f>
        <v>-0</v>
      </c>
      <c r="AL59" s="33" t="n">
        <f aca="false">-(AL48+AL49)*In_Guarantee_Fee*AL$5/Days_In_Year</f>
        <v>-0</v>
      </c>
      <c r="AM59" s="33" t="n">
        <f aca="false">-(AM48+AM49)*In_Guarantee_Fee*AM$5/Days_In_Year</f>
        <v>-0</v>
      </c>
      <c r="AN59" s="33" t="n">
        <f aca="false">-(AN48+AN49)*In_Guarantee_Fee*AN$5/Days_In_Year</f>
        <v>-0</v>
      </c>
      <c r="AO59" s="33" t="n">
        <f aca="false">-(AO48+AO49)*In_Guarantee_Fee*AO$5/Days_In_Year</f>
        <v>-0</v>
      </c>
      <c r="AP59" s="33" t="n">
        <f aca="false">-(AP48+AP49)*In_Guarantee_Fee*AP$5/Days_In_Year</f>
        <v>-0</v>
      </c>
      <c r="AQ59" s="33" t="n">
        <f aca="false">-(AQ48+AQ49)*In_Guarantee_Fee*AQ$5/Days_In_Year</f>
        <v>-0</v>
      </c>
      <c r="AR59" s="33" t="n">
        <f aca="false">-(AR48+AR49)*In_Guarantee_Fee*AR$5/Days_In_Year</f>
        <v>-0</v>
      </c>
      <c r="AS59" s="33" t="n">
        <f aca="false">-(AS48+AS49)*In_Guarantee_Fee*AS$5/Days_In_Year</f>
        <v>-0</v>
      </c>
      <c r="AT59" s="33" t="n">
        <f aca="false">-(AT48+AT49)*In_Guarantee_Fee*AT$5/Days_In_Year</f>
        <v>-0</v>
      </c>
      <c r="AU59" s="33" t="n">
        <f aca="false">-(AU48+AU49)*In_Guarantee_Fee*AU$5/Days_In_Year</f>
        <v>-0</v>
      </c>
      <c r="AV59" s="33" t="n">
        <f aca="false">-(AV48+AV49)*In_Guarantee_Fee*AV$5/Days_In_Year</f>
        <v>-0</v>
      </c>
      <c r="AW59" s="33" t="n">
        <f aca="false">-(AW48+AW49)*In_Guarantee_Fee*AW$5/Days_In_Year</f>
        <v>-0</v>
      </c>
      <c r="AX59" s="33" t="n">
        <f aca="false">-(AX48+AX49)*In_Guarantee_Fee*AX$5/Days_In_Year</f>
        <v>-0</v>
      </c>
      <c r="AY59" s="33" t="n">
        <f aca="false">-(AY48+AY49)*In_Guarantee_Fee*AY$5/Days_In_Year</f>
        <v>-0</v>
      </c>
      <c r="AZ59" s="33" t="n">
        <f aca="false">-(AZ48+AZ49)*In_Guarantee_Fee*AZ$5/Days_In_Year</f>
        <v>-0</v>
      </c>
      <c r="BA59" s="33" t="n">
        <f aca="false">-(BA48+BA49)*In_Guarantee_Fee*BA$5/Days_In_Year</f>
        <v>-0</v>
      </c>
      <c r="BB59" s="33" t="n">
        <f aca="false">-(BB48+BB49)*In_Guarantee_Fee*BB$5/Days_In_Year</f>
        <v>-0</v>
      </c>
      <c r="BC59" s="33" t="n">
        <f aca="false">-(BC48+BC49)*In_Guarantee_Fee*BC$5/Days_In_Year</f>
        <v>-0</v>
      </c>
      <c r="BD59" s="33" t="n">
        <f aca="false">-(BD48+BD49)*In_Guarantee_Fee*BD$5/Days_In_Year</f>
        <v>-0</v>
      </c>
      <c r="BE59" s="33" t="n">
        <f aca="false">-(BE48+BE49)*In_Guarantee_Fee*BE$5/Days_In_Year</f>
        <v>-0</v>
      </c>
      <c r="BF59" s="33" t="n">
        <f aca="false">-(BF48+BF49)*In_Guarantee_Fee*BF$5/Days_In_Year</f>
        <v>-0</v>
      </c>
      <c r="BG59" s="33" t="n">
        <f aca="false">-(BG48+BG49)*In_Guarantee_Fee*BG$5/Days_In_Year</f>
        <v>-0</v>
      </c>
      <c r="BH59" s="33" t="n">
        <f aca="false">-(BH48+BH49)*In_Guarantee_Fee*BH$5/Days_In_Year</f>
        <v>-0</v>
      </c>
      <c r="BI59" s="33" t="n">
        <f aca="false">-(BI48+BI49)*In_Guarantee_Fee*BI$5/Days_In_Year</f>
        <v>-0</v>
      </c>
      <c r="BJ59" s="33" t="n">
        <f aca="false">-(BJ48+BJ49)*In_Guarantee_Fee*BJ$5/Days_In_Year</f>
        <v>-0</v>
      </c>
      <c r="BK59" s="33" t="n">
        <f aca="false">-(BK48+BK49)*In_Guarantee_Fee*BK$5/Days_In_Year</f>
        <v>-0</v>
      </c>
      <c r="BL59" s="33" t="n">
        <f aca="false">-(BL48+BL49)*In_Guarantee_Fee*BL$5/Days_In_Year</f>
        <v>-0</v>
      </c>
      <c r="BM59" s="33" t="n">
        <f aca="false">-(BM48+BM49)*In_Guarantee_Fee*BM$5/Days_In_Year</f>
        <v>-0</v>
      </c>
      <c r="BN59" s="33" t="n">
        <f aca="false">-(BN48+BN49)*In_Guarantee_Fee*BN$5/Days_In_Year</f>
        <v>-0</v>
      </c>
      <c r="BO59" s="33" t="n">
        <f aca="false">-(BO48+BO49)*In_Guarantee_Fee*BO$5/Days_In_Year</f>
        <v>-0</v>
      </c>
      <c r="BP59" s="33" t="n">
        <f aca="false">-(BP48+BP49)*In_Guarantee_Fee*BP$5/Days_In_Year</f>
        <v>-0</v>
      </c>
      <c r="BQ59" s="33" t="n">
        <f aca="false">-(BQ48+BQ49)*In_Guarantee_Fee*BQ$5/Days_In_Year</f>
        <v>-0</v>
      </c>
      <c r="BR59" s="33" t="n">
        <f aca="false">-(BR48+BR49)*In_Guarantee_Fee*BR$5/Days_In_Year</f>
        <v>-0</v>
      </c>
      <c r="BS59" s="33" t="n">
        <f aca="false">-(BS48+BS49)*In_Guarantee_Fee*BS$5/Days_In_Year</f>
        <v>-0</v>
      </c>
      <c r="BT59" s="33" t="n">
        <f aca="false">-(BT48+BT49)*In_Guarantee_Fee*BT$5/Days_In_Year</f>
        <v>-0</v>
      </c>
      <c r="BU59" s="33" t="n">
        <f aca="false">-(BU48+BU49)*In_Guarantee_Fee*BU$5/Days_In_Year</f>
        <v>-0</v>
      </c>
      <c r="BV59" s="33" t="n">
        <f aca="false">-(BV48+BV49)*In_Guarantee_Fee*BV$5/Days_In_Year</f>
        <v>-0</v>
      </c>
      <c r="BW59" s="33" t="n">
        <f aca="false">-(BW48+BW49)*In_Guarantee_Fee*BW$5/Days_In_Year</f>
        <v>-0</v>
      </c>
      <c r="BX59" s="33" t="n">
        <f aca="false">-(BX48+BX49)*In_Guarantee_Fee*BX$5/Days_In_Year</f>
        <v>-0</v>
      </c>
      <c r="BY59" s="33" t="n">
        <f aca="false">-(BY48+BY49)*In_Guarantee_Fee*BY$5/Days_In_Year</f>
        <v>-0</v>
      </c>
      <c r="BZ59" s="33" t="n">
        <f aca="false">-(BZ48+BZ49)*In_Guarantee_Fee*BZ$5/Days_In_Year</f>
        <v>-0</v>
      </c>
      <c r="CA59" s="33" t="n">
        <f aca="false">-(CA48+CA49)*In_Guarantee_Fee*CA$5/Days_In_Year</f>
        <v>-0</v>
      </c>
      <c r="CB59" s="33" t="n">
        <f aca="false">-(CB48+CB49)*In_Guarantee_Fee*CB$5/Days_In_Year</f>
        <v>-0</v>
      </c>
      <c r="CC59" s="33" t="n">
        <f aca="false">-(CC48+CC49)*In_Guarantee_Fee*CC$5/Days_In_Year</f>
        <v>-0</v>
      </c>
      <c r="CD59" s="33" t="n">
        <f aca="false">-(CD48+CD49)*In_Guarantee_Fee*CD$5/Days_In_Year</f>
        <v>-0</v>
      </c>
      <c r="CE59" s="33" t="n">
        <f aca="false">-(CE48+CE49)*In_Guarantee_Fee*CE$5/Days_In_Year</f>
        <v>-0</v>
      </c>
      <c r="CF59" s="33" t="n">
        <f aca="false">-(CF48+CF49)*In_Guarantee_Fee*CF$5/Days_In_Year</f>
        <v>-0</v>
      </c>
      <c r="CG59" s="33" t="n">
        <f aca="false">-(CG48+CG49)*In_Guarantee_Fee*CG$5/Days_In_Year</f>
        <v>-0</v>
      </c>
      <c r="CH59" s="33" t="n">
        <f aca="false">-(CH48+CH49)*In_Guarantee_Fee*CH$5/Days_In_Year</f>
        <v>-0</v>
      </c>
      <c r="CI59" s="33" t="n">
        <f aca="false">-(CI48+CI49)*In_Guarantee_Fee*CI$5/Days_In_Year</f>
        <v>-0</v>
      </c>
      <c r="CJ59" s="33" t="n">
        <f aca="false">-(CJ48+CJ49)*In_Guarantee_Fee*CJ$5/Days_In_Year</f>
        <v>-0</v>
      </c>
      <c r="CK59" s="33" t="n">
        <f aca="false">-(CK48+CK49)*In_Guarantee_Fee*CK$5/Days_In_Year</f>
        <v>-0</v>
      </c>
      <c r="CL59" s="33" t="n">
        <f aca="false">-(CL48+CL49)*In_Guarantee_Fee*CL$5/Days_In_Year</f>
        <v>-0</v>
      </c>
      <c r="CM59" s="33" t="n">
        <f aca="false">-(CM48+CM49)*In_Guarantee_Fee*CM$5/Days_In_Year</f>
        <v>-0</v>
      </c>
      <c r="CN59" s="33" t="n">
        <f aca="false">-(CN48+CN49)*In_Guarantee_Fee*CN$5/Days_In_Year</f>
        <v>-0</v>
      </c>
      <c r="CO59" s="33" t="n">
        <f aca="false">-(CO48+CO49)*In_Guarantee_Fee*CO$5/Days_In_Year</f>
        <v>-0</v>
      </c>
      <c r="CP59" s="33" t="n">
        <f aca="false">-(CP48+CP49)*In_Guarantee_Fee*CP$5/Days_In_Year</f>
        <v>-0</v>
      </c>
      <c r="CQ59" s="33" t="n">
        <f aca="false">-(CQ48+CQ49)*In_Guarantee_Fee*CQ$5/Days_In_Year</f>
        <v>-0</v>
      </c>
      <c r="CR59" s="33" t="n">
        <f aca="false">-(CR48+CR49)*In_Guarantee_Fee*CR$5/Days_In_Year</f>
        <v>-0</v>
      </c>
      <c r="CS59" s="33" t="n">
        <f aca="false">-(CS48+CS49)*In_Guarantee_Fee*CS$5/Days_In_Year</f>
        <v>-0</v>
      </c>
      <c r="CT59" s="33" t="n">
        <f aca="false">-(CT48+CT49)*In_Guarantee_Fee*CT$5/Days_In_Year</f>
        <v>-0</v>
      </c>
      <c r="CU59" s="33" t="n">
        <f aca="false">-(CU48+CU49)*In_Guarantee_Fee*CU$5/Days_In_Year</f>
        <v>-0</v>
      </c>
      <c r="CV59" s="33" t="n">
        <f aca="false">-(CV48+CV49)*In_Guarantee_Fee*CV$5/Days_In_Year</f>
        <v>-0</v>
      </c>
      <c r="CW59" s="33" t="n">
        <f aca="false">-(CW48+CW49)*In_Guarantee_Fee*CW$5/Days_In_Year</f>
        <v>-0</v>
      </c>
      <c r="CX59" s="33" t="n">
        <f aca="false">-(CX48+CX49)*In_Guarantee_Fee*CX$5/Days_In_Year</f>
        <v>-0</v>
      </c>
      <c r="CY59" s="33" t="n">
        <f aca="false">-(CY48+CY49)*In_Guarantee_Fee*CY$5/Days_In_Year</f>
        <v>-0</v>
      </c>
      <c r="CZ59" s="33" t="n">
        <f aca="false">-(CZ48+CZ49)*In_Guarantee_Fee*CZ$5/Days_In_Year</f>
        <v>-0</v>
      </c>
      <c r="DA59" s="33" t="n">
        <f aca="false">-(DA48+DA49)*In_Guarantee_Fee*DA$5/Days_In_Year</f>
        <v>-0</v>
      </c>
      <c r="DB59" s="33" t="n">
        <f aca="false">-(DB48+DB49)*In_Guarantee_Fee*DB$5/Days_In_Year</f>
        <v>-0</v>
      </c>
      <c r="DC59" s="33" t="n">
        <f aca="false">-(DC48+DC49)*In_Guarantee_Fee*DC$5/Days_In_Year</f>
        <v>-0</v>
      </c>
      <c r="DD59" s="33" t="n">
        <f aca="false">-(DD48+DD49)*In_Guarantee_Fee*DD$5/Days_In_Year</f>
        <v>-0</v>
      </c>
      <c r="DE59" s="33" t="n">
        <f aca="false">-(DE48+DE49)*In_Guarantee_Fee*DE$5/Days_In_Year</f>
        <v>-0</v>
      </c>
      <c r="DF59" s="33" t="n">
        <f aca="false">-(DF48+DF49)*In_Guarantee_Fee*DF$5/Days_In_Year</f>
        <v>-0</v>
      </c>
      <c r="DG59" s="33" t="n">
        <f aca="false">-(DG48+DG49)*In_Guarantee_Fee*DG$5/Days_In_Year</f>
        <v>-0</v>
      </c>
      <c r="DH59" s="33" t="n">
        <f aca="false">-(DH48+DH49)*In_Guarantee_Fee*DH$5/Days_In_Year</f>
        <v>-0</v>
      </c>
      <c r="DI59" s="33" t="n">
        <f aca="false">-(DI48+DI49)*In_Guarantee_Fee*DI$5/Days_In_Year</f>
        <v>-0</v>
      </c>
      <c r="DJ59" s="33" t="n">
        <f aca="false">-(DJ48+DJ49)*In_Guarantee_Fee*DJ$5/Days_In_Year</f>
        <v>-0</v>
      </c>
      <c r="DK59" s="33" t="n">
        <f aca="false">-(DK48+DK49)*In_Guarantee_Fee*DK$5/Days_In_Year</f>
        <v>-0</v>
      </c>
      <c r="DL59" s="33" t="n">
        <f aca="false">-(DL48+DL49)*In_Guarantee_Fee*DL$5/Days_In_Year</f>
        <v>-0</v>
      </c>
      <c r="DM59" s="33" t="n">
        <f aca="false">-(DM48+DM49)*In_Guarantee_Fee*DM$5/Days_In_Year</f>
        <v>-0</v>
      </c>
      <c r="DN59" s="33" t="n">
        <f aca="false">-(DN48+DN49)*In_Guarantee_Fee*DN$5/Days_In_Year</f>
        <v>-0</v>
      </c>
      <c r="DO59" s="33" t="n">
        <f aca="false">-(DO48+DO49)*In_Guarantee_Fee*DO$5/Days_In_Year</f>
        <v>-0</v>
      </c>
      <c r="DP59" s="33" t="n">
        <f aca="false">-(DP48+DP49)*In_Guarantee_Fee*DP$5/Days_In_Year</f>
        <v>-0</v>
      </c>
      <c r="DQ59" s="33" t="n">
        <f aca="false">-(DQ48+DQ49)*In_Guarantee_Fee*DQ$5/Days_In_Year</f>
        <v>-0</v>
      </c>
      <c r="DR59" s="33" t="n">
        <f aca="false">-(DR48+DR49)*In_Guarantee_Fee*DR$5/Days_In_Year</f>
        <v>-0</v>
      </c>
      <c r="DS59" s="33" t="n">
        <f aca="false">-(DS48+DS49)*In_Guarantee_Fee*DS$5/Days_In_Year</f>
        <v>-0</v>
      </c>
      <c r="DT59" s="33" t="n">
        <f aca="false">-(DT48+DT49)*In_Guarantee_Fee*DT$5/Days_In_Year</f>
        <v>-0</v>
      </c>
      <c r="DU59" s="33" t="n">
        <f aca="false">-(DU48+DU49)*In_Guarantee_Fee*DU$5/Days_In_Year</f>
        <v>-0</v>
      </c>
      <c r="DV59" s="33" t="n">
        <f aca="false">-(DV48+DV49)*In_Guarantee_Fee*DV$5/Days_In_Year</f>
        <v>-0</v>
      </c>
      <c r="DW59" s="33" t="n">
        <f aca="false">-(DW48+DW49)*In_Guarantee_Fee*DW$5/Days_In_Year</f>
        <v>-0</v>
      </c>
      <c r="DX59" s="33" t="n">
        <f aca="false">-(DX48+DX49)*In_Guarantee_Fee*DX$5/Days_In_Year</f>
        <v>-0</v>
      </c>
      <c r="DY59" s="33" t="n">
        <f aca="false">-(DY48+DY49)*In_Guarantee_Fee*DY$5/Days_In_Year</f>
        <v>-0</v>
      </c>
      <c r="DZ59" s="33" t="n">
        <f aca="false">-(DZ48+DZ49)*In_Guarantee_Fee*DZ$5/Days_In_Year</f>
        <v>-0</v>
      </c>
      <c r="EA59" s="33" t="n">
        <f aca="false">-(EA48+EA49)*In_Guarantee_Fee*EA$5/Days_In_Year</f>
        <v>-0</v>
      </c>
      <c r="EB59" s="33" t="n">
        <f aca="false">-(EB48+EB49)*In_Guarantee_Fee*EB$5/Days_In_Year</f>
        <v>-0</v>
      </c>
      <c r="EC59" s="33" t="n">
        <f aca="false">-(EC48+EC49)*In_Guarantee_Fee*EC$5/Days_In_Year</f>
        <v>-0</v>
      </c>
      <c r="ED59" s="33" t="n">
        <f aca="false">-(ED48+ED49)*In_Guarantee_Fee*ED$5/Days_In_Year</f>
        <v>-0</v>
      </c>
      <c r="EE59" s="33" t="n">
        <f aca="false">-(EE48+EE49)*In_Guarantee_Fee*EE$5/Days_In_Year</f>
        <v>-0</v>
      </c>
      <c r="EF59" s="33" t="n">
        <f aca="false">-(EF48+EF49)*In_Guarantee_Fee*EF$5/Days_In_Year</f>
        <v>-0</v>
      </c>
      <c r="EG59" s="33" t="n">
        <f aca="false">-(EG48+EG49)*In_Guarantee_Fee*EG$5/Days_In_Year</f>
        <v>-0</v>
      </c>
      <c r="EH59" s="33" t="n">
        <f aca="false">-(EH48+EH49)*In_Guarantee_Fee*EH$5/Days_In_Year</f>
        <v>-0</v>
      </c>
      <c r="EI59" s="33" t="n">
        <f aca="false">-(EI48+EI49)*In_Guarantee_Fee*EI$5/Days_In_Year</f>
        <v>-0</v>
      </c>
      <c r="EJ59" s="33" t="n">
        <f aca="false">-(EJ48+EJ49)*In_Guarantee_Fee*EJ$5/Days_In_Year</f>
        <v>-0</v>
      </c>
      <c r="EK59" s="33" t="n">
        <f aca="false">-(EK48+EK49)*In_Guarantee_Fee*EK$5/Days_In_Year</f>
        <v>-0</v>
      </c>
      <c r="EL59" s="33" t="n">
        <f aca="false">-(EL48+EL49)*In_Guarantee_Fee*EL$5/Days_In_Year</f>
        <v>-0</v>
      </c>
      <c r="EM59" s="33" t="n">
        <f aca="false">-(EM48+EM49)*In_Guarantee_Fee*EM$5/Days_In_Year</f>
        <v>-0</v>
      </c>
      <c r="EN59" s="33" t="n">
        <f aca="false">-(EN48+EN49)*In_Guarantee_Fee*EN$5/Days_In_Year</f>
        <v>-0</v>
      </c>
      <c r="EO59" s="33" t="n">
        <f aca="false">-(EO48+EO49)*In_Guarantee_Fee*EO$5/Days_In_Year</f>
        <v>-0</v>
      </c>
      <c r="EP59" s="33" t="n">
        <f aca="false">-(EP48+EP49)*In_Guarantee_Fee*EP$5/Days_In_Year</f>
        <v>-0</v>
      </c>
      <c r="EQ59" s="33" t="n">
        <f aca="false">-(EQ48+EQ49)*In_Guarantee_Fee*EQ$5/Days_In_Year</f>
        <v>-0</v>
      </c>
      <c r="ER59" s="33" t="n">
        <f aca="false">-(ER48+ER49)*In_Guarantee_Fee*ER$5/Days_In_Year</f>
        <v>-0</v>
      </c>
      <c r="ES59" s="33" t="n">
        <f aca="false">-(ES48+ES49)*In_Guarantee_Fee*ES$5/Days_In_Year</f>
        <v>-0</v>
      </c>
      <c r="ET59" s="33" t="n">
        <f aca="false">-(ET48+ET49)*In_Guarantee_Fee*ET$5/Days_In_Year</f>
        <v>-0</v>
      </c>
    </row>
    <row r="60" customFormat="false" ht="15" hidden="false" customHeight="false" outlineLevel="0" collapsed="false">
      <c r="C60" s="30" t="s">
        <v>528</v>
      </c>
      <c r="D60" s="11" t="s">
        <v>253</v>
      </c>
      <c r="I60" s="35" t="n">
        <f aca="false">SUM(J60:ET60)</f>
        <v>-7402.33233858005</v>
      </c>
      <c r="J60" s="35" t="n">
        <f aca="false">J46+J47+J50+J57+J59</f>
        <v>-400</v>
      </c>
      <c r="K60" s="35" t="n">
        <f aca="false">K46+K47+K50+K57+K59</f>
        <v>-1437.78053818728</v>
      </c>
      <c r="L60" s="35" t="n">
        <f aca="false">L46+L47+L50+L57+L59</f>
        <v>-691.910911990993</v>
      </c>
      <c r="M60" s="35" t="n">
        <f aca="false">M46+M47+M50+M57+M59</f>
        <v>-148.451634452993</v>
      </c>
      <c r="N60" s="35" t="n">
        <f aca="false">N46+N47+N50+N57+N59</f>
        <v>-149.601261024582</v>
      </c>
      <c r="O60" s="35" t="n">
        <f aca="false">O46+O47+O50+O57+O59</f>
        <v>-290.127288421843</v>
      </c>
      <c r="P60" s="35" t="n">
        <f aca="false">P46+P47+P50+P57+P59</f>
        <v>-1394.65781281475</v>
      </c>
      <c r="Q60" s="35" t="n">
        <f aca="false">Q46+Q47+Q50+Q57+Q59</f>
        <v>-109.225607055733</v>
      </c>
      <c r="R60" s="35" t="n">
        <f aca="false">R46+R47+R50+R57+R59</f>
        <v>-269.857154566657</v>
      </c>
      <c r="S60" s="35" t="n">
        <f aca="false">S46+S47+S50+S57+S59</f>
        <v>-422.991783283459</v>
      </c>
      <c r="T60" s="35" t="n">
        <f aca="false">T46+T47+T50+T57+T59</f>
        <v>-408.123925689623</v>
      </c>
      <c r="U60" s="35" t="n">
        <f aca="false">U46+U47+U50+U57+U59</f>
        <v>-104.616018014637</v>
      </c>
      <c r="V60" s="35" t="n">
        <f aca="false">V46+V47+V50+V57+V59</f>
        <v>-105.765644586226</v>
      </c>
      <c r="W60" s="35" t="n">
        <f aca="false">W46+W47+W50+W57+W59</f>
        <v>-105.765644586226</v>
      </c>
      <c r="X60" s="35" t="n">
        <f aca="false">X46+X47+X50+X57+X59</f>
        <v>-103.466391443047</v>
      </c>
      <c r="Y60" s="35" t="n">
        <f aca="false">Y46+Y47+Y50+Y57+Y59</f>
        <v>-104.616018014637</v>
      </c>
      <c r="Z60" s="35" t="n">
        <f aca="false">Z46+Z47+Z50+Z57+Z59</f>
        <v>-105.765644586226</v>
      </c>
      <c r="AA60" s="35" t="n">
        <f aca="false">AA46+AA47+AA50+AA57+AA59</f>
        <v>-105.765644586226</v>
      </c>
      <c r="AB60" s="35" t="n">
        <f aca="false">AB46+AB47+AB50+AB57+AB59</f>
        <v>-103.466391443047</v>
      </c>
      <c r="AC60" s="35" t="n">
        <f aca="false">AC46+AC47+AC50+AC57+AC59</f>
        <v>-104.616018014637</v>
      </c>
      <c r="AD60" s="35" t="n">
        <f aca="false">AD46+AD47+AD50+AD57+AD59</f>
        <v>-105.765644586226</v>
      </c>
      <c r="AE60" s="35" t="n">
        <f aca="false">AE46+AE47+AE50+AE57+AE59</f>
        <v>-105.765644586226</v>
      </c>
      <c r="AF60" s="35" t="n">
        <f aca="false">AF46+AF47+AF50+AF57+AF59</f>
        <v>-104.616018014637</v>
      </c>
      <c r="AG60" s="35" t="n">
        <f aca="false">AG46+AG47+AG50+AG57+AG59</f>
        <v>-104.616018014637</v>
      </c>
      <c r="AH60" s="35" t="n">
        <f aca="false">AH46+AH47+AH50+AH57+AH59</f>
        <v>-105.765644586226</v>
      </c>
      <c r="AI60" s="35" t="n">
        <f aca="false">AI46+AI47+AI50+AI57+AI59</f>
        <v>-105.765644586226</v>
      </c>
      <c r="AJ60" s="35" t="n">
        <f aca="false">AJ46+AJ47+AJ50+AJ57+AJ59</f>
        <v>-103.466391443047</v>
      </c>
      <c r="AK60" s="35" t="n">
        <f aca="false">AK46+AK47+AK50+AK57+AK59</f>
        <v>-0</v>
      </c>
      <c r="AL60" s="35" t="n">
        <f aca="false">AL46+AL47+AL50+AL57+AL59</f>
        <v>-0</v>
      </c>
      <c r="AM60" s="35" t="n">
        <f aca="false">AM46+AM47+AM50+AM57+AM59</f>
        <v>-0</v>
      </c>
      <c r="AN60" s="35" t="n">
        <f aca="false">AN46+AN47+AN50+AN57+AN59</f>
        <v>-0</v>
      </c>
      <c r="AO60" s="35" t="n">
        <f aca="false">AO46+AO47+AO50+AO57+AO59</f>
        <v>-0</v>
      </c>
      <c r="AP60" s="35" t="n">
        <f aca="false">AP46+AP47+AP50+AP57+AP59</f>
        <v>-0</v>
      </c>
      <c r="AQ60" s="35" t="n">
        <f aca="false">AQ46+AQ47+AQ50+AQ57+AQ59</f>
        <v>-0</v>
      </c>
      <c r="AR60" s="35" t="n">
        <f aca="false">AR46+AR47+AR50+AR57+AR59</f>
        <v>-0</v>
      </c>
      <c r="AS60" s="35" t="n">
        <f aca="false">AS46+AS47+AS50+AS57+AS59</f>
        <v>-0</v>
      </c>
      <c r="AT60" s="35" t="n">
        <f aca="false">AT46+AT47+AT50+AT57+AT59</f>
        <v>-0</v>
      </c>
      <c r="AU60" s="35" t="n">
        <f aca="false">AU46+AU47+AU50+AU57+AU59</f>
        <v>-0</v>
      </c>
      <c r="AV60" s="35" t="n">
        <f aca="false">AV46+AV47+AV50+AV57+AV59</f>
        <v>-0</v>
      </c>
      <c r="AW60" s="35" t="n">
        <f aca="false">AW46+AW47+AW50+AW57+AW59</f>
        <v>-0</v>
      </c>
      <c r="AX60" s="35" t="n">
        <f aca="false">AX46+AX47+AX50+AX57+AX59</f>
        <v>-0</v>
      </c>
      <c r="AY60" s="35" t="n">
        <f aca="false">AY46+AY47+AY50+AY57+AY59</f>
        <v>-0</v>
      </c>
      <c r="AZ60" s="35" t="n">
        <f aca="false">AZ46+AZ47+AZ50+AZ57+AZ59</f>
        <v>-0</v>
      </c>
      <c r="BA60" s="35" t="n">
        <f aca="false">BA46+BA47+BA50+BA57+BA59</f>
        <v>-0</v>
      </c>
      <c r="BB60" s="35" t="n">
        <f aca="false">BB46+BB47+BB50+BB57+BB59</f>
        <v>-0</v>
      </c>
      <c r="BC60" s="35" t="n">
        <f aca="false">BC46+BC47+BC50+BC57+BC59</f>
        <v>-0</v>
      </c>
      <c r="BD60" s="35" t="n">
        <f aca="false">BD46+BD47+BD50+BD57+BD59</f>
        <v>-0</v>
      </c>
      <c r="BE60" s="35" t="n">
        <f aca="false">BE46+BE47+BE50+BE57+BE59</f>
        <v>-0</v>
      </c>
      <c r="BF60" s="35" t="n">
        <f aca="false">BF46+BF47+BF50+BF57+BF59</f>
        <v>-0</v>
      </c>
      <c r="BG60" s="35" t="n">
        <f aca="false">BG46+BG47+BG50+BG57+BG59</f>
        <v>-0</v>
      </c>
      <c r="BH60" s="35" t="n">
        <f aca="false">BH46+BH47+BH50+BH57+BH59</f>
        <v>-0</v>
      </c>
      <c r="BI60" s="35" t="n">
        <f aca="false">BI46+BI47+BI50+BI57+BI59</f>
        <v>-0</v>
      </c>
      <c r="BJ60" s="35" t="n">
        <f aca="false">BJ46+BJ47+BJ50+BJ57+BJ59</f>
        <v>-0</v>
      </c>
      <c r="BK60" s="35" t="n">
        <f aca="false">BK46+BK47+BK50+BK57+BK59</f>
        <v>-0</v>
      </c>
      <c r="BL60" s="35" t="n">
        <f aca="false">BL46+BL47+BL50+BL57+BL59</f>
        <v>-0</v>
      </c>
      <c r="BM60" s="35" t="n">
        <f aca="false">BM46+BM47+BM50+BM57+BM59</f>
        <v>-0</v>
      </c>
      <c r="BN60" s="35" t="n">
        <f aca="false">BN46+BN47+BN50+BN57+BN59</f>
        <v>-0</v>
      </c>
      <c r="BO60" s="35" t="n">
        <f aca="false">BO46+BO47+BO50+BO57+BO59</f>
        <v>-0</v>
      </c>
      <c r="BP60" s="35" t="n">
        <f aca="false">BP46+BP47+BP50+BP57+BP59</f>
        <v>-0</v>
      </c>
      <c r="BQ60" s="35" t="n">
        <f aca="false">BQ46+BQ47+BQ50+BQ57+BQ59</f>
        <v>-0</v>
      </c>
      <c r="BR60" s="35" t="n">
        <f aca="false">BR46+BR47+BR50+BR57+BR59</f>
        <v>-0</v>
      </c>
      <c r="BS60" s="35" t="n">
        <f aca="false">BS46+BS47+BS50+BS57+BS59</f>
        <v>-0</v>
      </c>
      <c r="BT60" s="35" t="n">
        <f aca="false">BT46+BT47+BT50+BT57+BT59</f>
        <v>-0</v>
      </c>
      <c r="BU60" s="35" t="n">
        <f aca="false">BU46+BU47+BU50+BU57+BU59</f>
        <v>-0</v>
      </c>
      <c r="BV60" s="35" t="n">
        <f aca="false">BV46+BV47+BV50+BV57+BV59</f>
        <v>-0</v>
      </c>
      <c r="BW60" s="35" t="n">
        <f aca="false">BW46+BW47+BW50+BW57+BW59</f>
        <v>-0</v>
      </c>
      <c r="BX60" s="35" t="n">
        <f aca="false">BX46+BX47+BX50+BX57+BX59</f>
        <v>-0</v>
      </c>
      <c r="BY60" s="35" t="n">
        <f aca="false">BY46+BY47+BY50+BY57+BY59</f>
        <v>-0</v>
      </c>
      <c r="BZ60" s="35" t="n">
        <f aca="false">BZ46+BZ47+BZ50+BZ57+BZ59</f>
        <v>-0</v>
      </c>
      <c r="CA60" s="35" t="n">
        <f aca="false">CA46+CA47+CA50+CA57+CA59</f>
        <v>-0</v>
      </c>
      <c r="CB60" s="35" t="n">
        <f aca="false">CB46+CB47+CB50+CB57+CB59</f>
        <v>-0</v>
      </c>
      <c r="CC60" s="35" t="n">
        <f aca="false">CC46+CC47+CC50+CC57+CC59</f>
        <v>-0</v>
      </c>
      <c r="CD60" s="35" t="n">
        <f aca="false">CD46+CD47+CD50+CD57+CD59</f>
        <v>-0</v>
      </c>
      <c r="CE60" s="35" t="n">
        <f aca="false">CE46+CE47+CE50+CE57+CE59</f>
        <v>-0</v>
      </c>
      <c r="CF60" s="35" t="n">
        <f aca="false">CF46+CF47+CF50+CF57+CF59</f>
        <v>-0</v>
      </c>
      <c r="CG60" s="35" t="n">
        <f aca="false">CG46+CG47+CG50+CG57+CG59</f>
        <v>-0</v>
      </c>
      <c r="CH60" s="35" t="n">
        <f aca="false">CH46+CH47+CH50+CH57+CH59</f>
        <v>-0</v>
      </c>
      <c r="CI60" s="35" t="n">
        <f aca="false">CI46+CI47+CI50+CI57+CI59</f>
        <v>-0</v>
      </c>
      <c r="CJ60" s="35" t="n">
        <f aca="false">CJ46+CJ47+CJ50+CJ57+CJ59</f>
        <v>-0</v>
      </c>
      <c r="CK60" s="35" t="n">
        <f aca="false">CK46+CK47+CK50+CK57+CK59</f>
        <v>-0</v>
      </c>
      <c r="CL60" s="35" t="n">
        <f aca="false">CL46+CL47+CL50+CL57+CL59</f>
        <v>-0</v>
      </c>
      <c r="CM60" s="35" t="n">
        <f aca="false">CM46+CM47+CM50+CM57+CM59</f>
        <v>-0</v>
      </c>
      <c r="CN60" s="35" t="n">
        <f aca="false">CN46+CN47+CN50+CN57+CN59</f>
        <v>-0</v>
      </c>
      <c r="CO60" s="35" t="n">
        <f aca="false">CO46+CO47+CO50+CO57+CO59</f>
        <v>-0</v>
      </c>
      <c r="CP60" s="35" t="n">
        <f aca="false">CP46+CP47+CP50+CP57+CP59</f>
        <v>-0</v>
      </c>
      <c r="CQ60" s="35" t="n">
        <f aca="false">CQ46+CQ47+CQ50+CQ57+CQ59</f>
        <v>-0</v>
      </c>
      <c r="CR60" s="35" t="n">
        <f aca="false">CR46+CR47+CR50+CR57+CR59</f>
        <v>-0</v>
      </c>
      <c r="CS60" s="35" t="n">
        <f aca="false">CS46+CS47+CS50+CS57+CS59</f>
        <v>-0</v>
      </c>
      <c r="CT60" s="35" t="n">
        <f aca="false">CT46+CT47+CT50+CT57+CT59</f>
        <v>-0</v>
      </c>
      <c r="CU60" s="35" t="n">
        <f aca="false">CU46+CU47+CU50+CU57+CU59</f>
        <v>-0</v>
      </c>
      <c r="CV60" s="35" t="n">
        <f aca="false">CV46+CV47+CV50+CV57+CV59</f>
        <v>-0</v>
      </c>
      <c r="CW60" s="35" t="n">
        <f aca="false">CW46+CW47+CW50+CW57+CW59</f>
        <v>-0</v>
      </c>
      <c r="CX60" s="35" t="n">
        <f aca="false">CX46+CX47+CX50+CX57+CX59</f>
        <v>-0</v>
      </c>
      <c r="CY60" s="35" t="n">
        <f aca="false">CY46+CY47+CY50+CY57+CY59</f>
        <v>-0</v>
      </c>
      <c r="CZ60" s="35" t="n">
        <f aca="false">CZ46+CZ47+CZ50+CZ57+CZ59</f>
        <v>-0</v>
      </c>
      <c r="DA60" s="35" t="n">
        <f aca="false">DA46+DA47+DA50+DA57+DA59</f>
        <v>-0</v>
      </c>
      <c r="DB60" s="35" t="n">
        <f aca="false">DB46+DB47+DB50+DB57+DB59</f>
        <v>-0</v>
      </c>
      <c r="DC60" s="35" t="n">
        <f aca="false">DC46+DC47+DC50+DC57+DC59</f>
        <v>-0</v>
      </c>
      <c r="DD60" s="35" t="n">
        <f aca="false">DD46+DD47+DD50+DD57+DD59</f>
        <v>-0</v>
      </c>
      <c r="DE60" s="35" t="n">
        <f aca="false">DE46+DE47+DE50+DE57+DE59</f>
        <v>-0</v>
      </c>
      <c r="DF60" s="35" t="n">
        <f aca="false">DF46+DF47+DF50+DF57+DF59</f>
        <v>-0</v>
      </c>
      <c r="DG60" s="35" t="n">
        <f aca="false">DG46+DG47+DG50+DG57+DG59</f>
        <v>-0</v>
      </c>
      <c r="DH60" s="35" t="n">
        <f aca="false">DH46+DH47+DH50+DH57+DH59</f>
        <v>-0</v>
      </c>
      <c r="DI60" s="35" t="n">
        <f aca="false">DI46+DI47+DI50+DI57+DI59</f>
        <v>-0</v>
      </c>
      <c r="DJ60" s="35" t="n">
        <f aca="false">DJ46+DJ47+DJ50+DJ57+DJ59</f>
        <v>-0</v>
      </c>
      <c r="DK60" s="35" t="n">
        <f aca="false">DK46+DK47+DK50+DK57+DK59</f>
        <v>-0</v>
      </c>
      <c r="DL60" s="35" t="n">
        <f aca="false">DL46+DL47+DL50+DL57+DL59</f>
        <v>-0</v>
      </c>
      <c r="DM60" s="35" t="n">
        <f aca="false">DM46+DM47+DM50+DM57+DM59</f>
        <v>-0</v>
      </c>
      <c r="DN60" s="35" t="n">
        <f aca="false">DN46+DN47+DN50+DN57+DN59</f>
        <v>-0</v>
      </c>
      <c r="DO60" s="35" t="n">
        <f aca="false">DO46+DO47+DO50+DO57+DO59</f>
        <v>-0</v>
      </c>
      <c r="DP60" s="35" t="n">
        <f aca="false">DP46+DP47+DP50+DP57+DP59</f>
        <v>-0</v>
      </c>
      <c r="DQ60" s="35" t="n">
        <f aca="false">DQ46+DQ47+DQ50+DQ57+DQ59</f>
        <v>-0</v>
      </c>
      <c r="DR60" s="35" t="n">
        <f aca="false">DR46+DR47+DR50+DR57+DR59</f>
        <v>-0</v>
      </c>
      <c r="DS60" s="35" t="n">
        <f aca="false">DS46+DS47+DS50+DS57+DS59</f>
        <v>-0</v>
      </c>
      <c r="DT60" s="35" t="n">
        <f aca="false">DT46+DT47+DT50+DT57+DT59</f>
        <v>-0</v>
      </c>
      <c r="DU60" s="35" t="n">
        <f aca="false">DU46+DU47+DU50+DU57+DU59</f>
        <v>-0</v>
      </c>
      <c r="DV60" s="35" t="n">
        <f aca="false">DV46+DV47+DV50+DV57+DV59</f>
        <v>-0</v>
      </c>
      <c r="DW60" s="35" t="n">
        <f aca="false">DW46+DW47+DW50+DW57+DW59</f>
        <v>-0</v>
      </c>
      <c r="DX60" s="35" t="n">
        <f aca="false">DX46+DX47+DX50+DX57+DX59</f>
        <v>-0</v>
      </c>
      <c r="DY60" s="35" t="n">
        <f aca="false">DY46+DY47+DY50+DY57+DY59</f>
        <v>-0</v>
      </c>
      <c r="DZ60" s="35" t="n">
        <f aca="false">DZ46+DZ47+DZ50+DZ57+DZ59</f>
        <v>-0</v>
      </c>
      <c r="EA60" s="35" t="n">
        <f aca="false">EA46+EA47+EA50+EA57+EA59</f>
        <v>-0</v>
      </c>
      <c r="EB60" s="35" t="n">
        <f aca="false">EB46+EB47+EB50+EB57+EB59</f>
        <v>-0</v>
      </c>
      <c r="EC60" s="35" t="n">
        <f aca="false">EC46+EC47+EC50+EC57+EC59</f>
        <v>-0</v>
      </c>
      <c r="ED60" s="35" t="n">
        <f aca="false">ED46+ED47+ED50+ED57+ED59</f>
        <v>-0</v>
      </c>
      <c r="EE60" s="35" t="n">
        <f aca="false">EE46+EE47+EE50+EE57+EE59</f>
        <v>-0</v>
      </c>
      <c r="EF60" s="35" t="n">
        <f aca="false">EF46+EF47+EF50+EF57+EF59</f>
        <v>-0</v>
      </c>
      <c r="EG60" s="35" t="n">
        <f aca="false">EG46+EG47+EG50+EG57+EG59</f>
        <v>-0</v>
      </c>
      <c r="EH60" s="35" t="n">
        <f aca="false">EH46+EH47+EH50+EH57+EH59</f>
        <v>-0</v>
      </c>
      <c r="EI60" s="35" t="n">
        <f aca="false">EI46+EI47+EI50+EI57+EI59</f>
        <v>-0</v>
      </c>
      <c r="EJ60" s="35" t="n">
        <f aca="false">EJ46+EJ47+EJ50+EJ57+EJ59</f>
        <v>-0</v>
      </c>
      <c r="EK60" s="35" t="n">
        <f aca="false">EK46+EK47+EK50+EK57+EK59</f>
        <v>-0</v>
      </c>
      <c r="EL60" s="35" t="n">
        <f aca="false">EL46+EL47+EL50+EL57+EL59</f>
        <v>-0</v>
      </c>
      <c r="EM60" s="35" t="n">
        <f aca="false">EM46+EM47+EM50+EM57+EM59</f>
        <v>-0</v>
      </c>
      <c r="EN60" s="35" t="n">
        <f aca="false">EN46+EN47+EN50+EN57+EN59</f>
        <v>-0</v>
      </c>
      <c r="EO60" s="35" t="n">
        <f aca="false">EO46+EO47+EO50+EO57+EO59</f>
        <v>-0</v>
      </c>
      <c r="EP60" s="35" t="n">
        <f aca="false">EP46+EP47+EP50+EP57+EP59</f>
        <v>-0</v>
      </c>
      <c r="EQ60" s="35" t="n">
        <f aca="false">EQ46+EQ47+EQ50+EQ57+EQ59</f>
        <v>-0</v>
      </c>
      <c r="ER60" s="35" t="n">
        <f aca="false">ER46+ER47+ER50+ER57+ER59</f>
        <v>-0</v>
      </c>
      <c r="ES60" s="35" t="n">
        <f aca="false">ES46+ES47+ES50+ES57+ES59</f>
        <v>-0</v>
      </c>
      <c r="ET60" s="35" t="n">
        <f aca="false">ET46+ET47+ET50+ET57+ET59</f>
        <v>-0</v>
      </c>
    </row>
    <row r="61" customFormat="false" ht="15" hidden="false" customHeight="false" outlineLevel="0" collapsed="false">
      <c r="C61" s="0" t="s">
        <v>529</v>
      </c>
      <c r="D61" s="11" t="s">
        <v>253</v>
      </c>
      <c r="E61" s="33" t="n">
        <f aca="false">SUMIF($J$4:$ET$4,$E12,$J61:$ET61)</f>
        <v>21850.9278191781</v>
      </c>
      <c r="I61" s="54"/>
      <c r="J61" s="33" t="n">
        <f aca="false">I61-J47-J50-J53-J55</f>
        <v>0</v>
      </c>
      <c r="K61" s="33" t="n">
        <f aca="false">J61-K47-K50-K53-K55</f>
        <v>1241.09589041096</v>
      </c>
      <c r="L61" s="33" t="n">
        <f aca="false">K61-L47-L50-L53-L55</f>
        <v>1421.67739726027</v>
      </c>
      <c r="M61" s="33" t="n">
        <f aca="false">L61-M47-M50-M53-M55</f>
        <v>1421.67739726027</v>
      </c>
      <c r="N61" s="33" t="n">
        <f aca="false">M61-N47-N50-N53-N55</f>
        <v>1421.67739726027</v>
      </c>
      <c r="O61" s="33" t="n">
        <f aca="false">N61-O47-O50-O53-O55</f>
        <v>1421.67739726027</v>
      </c>
      <c r="P61" s="33" t="n">
        <f aca="false">O61-P47-P50-P53-P55</f>
        <v>1421.67739726027</v>
      </c>
      <c r="Q61" s="33" t="n">
        <f aca="false">P61-Q47-Q50-Q53-Q55</f>
        <v>1421.67739726027</v>
      </c>
      <c r="R61" s="33" t="n">
        <f aca="false">Q61-R47-R50-R53-R55</f>
        <v>1421.67739726027</v>
      </c>
      <c r="S61" s="33" t="n">
        <f aca="false">R61-S47-S50-S53-S55</f>
        <v>1421.67739726027</v>
      </c>
      <c r="T61" s="33" t="n">
        <f aca="false">S61-T47-T50-T53-T55</f>
        <v>21850.9278191781</v>
      </c>
      <c r="U61" s="33" t="n">
        <f aca="false">T61-U47-U50-U53-U55</f>
        <v>21850.9278191781</v>
      </c>
      <c r="V61" s="33" t="n">
        <f aca="false">U61-V47-V50-V53-V55</f>
        <v>21850.9278191781</v>
      </c>
      <c r="W61" s="33" t="n">
        <f aca="false">V61-W47-W50-W53-W55</f>
        <v>21850.9278191781</v>
      </c>
      <c r="X61" s="33" t="n">
        <f aca="false">W61-X47-X50-X53-X55</f>
        <v>21850.9278191781</v>
      </c>
      <c r="Y61" s="33" t="n">
        <f aca="false">X61-Y47-Y50-Y53-Y55</f>
        <v>21850.9278191781</v>
      </c>
      <c r="Z61" s="33" t="n">
        <f aca="false">Y61-Z47-Z50-Z53-Z55</f>
        <v>21850.9278191781</v>
      </c>
      <c r="AA61" s="33" t="n">
        <f aca="false">Z61-AA47-AA50-AA53-AA55</f>
        <v>21850.9278191781</v>
      </c>
      <c r="AB61" s="33" t="n">
        <f aca="false">AA61-AB47-AB50-AB53-AB55</f>
        <v>21850.9278191781</v>
      </c>
      <c r="AC61" s="33" t="n">
        <f aca="false">AB61-AC47-AC50-AC53-AC55</f>
        <v>21850.9278191781</v>
      </c>
      <c r="AD61" s="33" t="n">
        <f aca="false">AC61-AD47-AD50-AD53-AD55</f>
        <v>21850.9278191781</v>
      </c>
      <c r="AE61" s="33" t="n">
        <f aca="false">AD61-AE47-AE50-AE53-AE55</f>
        <v>21850.9278191781</v>
      </c>
      <c r="AF61" s="33" t="n">
        <f aca="false">AE61-AF47-AF50-AF53-AF55</f>
        <v>21850.9278191781</v>
      </c>
      <c r="AG61" s="33" t="n">
        <f aca="false">AF61-AG47-AG50-AG53-AG55</f>
        <v>21850.9278191781</v>
      </c>
      <c r="AH61" s="33" t="n">
        <f aca="false">AG61-AH47-AH50-AH53-AH55</f>
        <v>21850.9278191781</v>
      </c>
      <c r="AI61" s="33" t="n">
        <f aca="false">AH61-AI47-AI50-AI53-AI55</f>
        <v>21850.9278191781</v>
      </c>
      <c r="AJ61" s="33" t="n">
        <f aca="false">AI61-AJ47-AJ50-AJ53-AJ55</f>
        <v>21850.9278191781</v>
      </c>
      <c r="AK61" s="33" t="n">
        <f aca="false">AJ61-AK47-AK50-AK53-AK55</f>
        <v>21850.9278191781</v>
      </c>
      <c r="AL61" s="33" t="n">
        <f aca="false">AK61-AL47-AL50-AL53-AL55</f>
        <v>21850.9278191781</v>
      </c>
      <c r="AM61" s="33" t="n">
        <f aca="false">AL61-AM47-AM50-AM53-AM55</f>
        <v>21850.9278191781</v>
      </c>
      <c r="AN61" s="33" t="n">
        <f aca="false">AM61-AN47-AN50-AN53-AN55</f>
        <v>21850.9278191781</v>
      </c>
      <c r="AO61" s="33" t="n">
        <f aca="false">AN61-AO47-AO50-AO53-AO55</f>
        <v>21850.9278191781</v>
      </c>
      <c r="AP61" s="33" t="n">
        <f aca="false">AO61-AP47-AP50-AP53-AP55</f>
        <v>21850.9278191781</v>
      </c>
      <c r="AQ61" s="33" t="n">
        <f aca="false">AP61-AQ47-AQ50-AQ53-AQ55</f>
        <v>21850.9278191781</v>
      </c>
      <c r="AR61" s="33" t="n">
        <f aca="false">AQ61-AR47-AR50-AR53-AR55</f>
        <v>21850.9278191781</v>
      </c>
      <c r="AS61" s="33" t="n">
        <f aca="false">AR61-AS47-AS50-AS53-AS55</f>
        <v>21850.9278191781</v>
      </c>
      <c r="AT61" s="33" t="n">
        <f aca="false">AS61-AT47-AT50-AT53-AT55</f>
        <v>21850.9278191781</v>
      </c>
      <c r="AU61" s="33" t="n">
        <f aca="false">AT61-AU47-AU50-AU53-AU55</f>
        <v>21850.9278191781</v>
      </c>
      <c r="AV61" s="33" t="n">
        <f aca="false">AU61-AV47-AV50-AV53-AV55</f>
        <v>21850.9278191781</v>
      </c>
      <c r="AW61" s="33" t="n">
        <f aca="false">AV61-AW47-AW50-AW53-AW55</f>
        <v>21850.9278191781</v>
      </c>
      <c r="AX61" s="33" t="n">
        <f aca="false">AW61-AX47-AX50-AX53-AX55</f>
        <v>21850.9278191781</v>
      </c>
      <c r="AY61" s="33" t="n">
        <f aca="false">AX61-AY47-AY50-AY53-AY55</f>
        <v>21850.9278191781</v>
      </c>
      <c r="AZ61" s="33" t="n">
        <f aca="false">AY61-AZ47-AZ50-AZ53-AZ55</f>
        <v>21850.9278191781</v>
      </c>
      <c r="BA61" s="33" t="n">
        <f aca="false">AZ61-BA47-BA50-BA53-BA55</f>
        <v>21850.9278191781</v>
      </c>
      <c r="BB61" s="33" t="n">
        <f aca="false">BA61-BB47-BB50-BB53-BB55</f>
        <v>21850.9278191781</v>
      </c>
      <c r="BC61" s="33" t="n">
        <f aca="false">BB61-BC47-BC50-BC53-BC55</f>
        <v>21850.9278191781</v>
      </c>
      <c r="BD61" s="33" t="n">
        <f aca="false">BC61-BD47-BD50-BD53-BD55</f>
        <v>21850.9278191781</v>
      </c>
      <c r="BE61" s="33" t="n">
        <f aca="false">BD61-BE47-BE50-BE53-BE55</f>
        <v>21850.9278191781</v>
      </c>
      <c r="BF61" s="33" t="n">
        <f aca="false">BE61-BF47-BF50-BF53-BF55</f>
        <v>21850.9278191781</v>
      </c>
      <c r="BG61" s="33" t="n">
        <f aca="false">BF61-BG47-BG50-BG53-BG55</f>
        <v>21850.9278191781</v>
      </c>
      <c r="BH61" s="33" t="n">
        <f aca="false">BG61-BH47-BH50-BH53-BH55</f>
        <v>21850.9278191781</v>
      </c>
      <c r="BI61" s="33" t="n">
        <f aca="false">BH61-BI47-BI50-BI53-BI55</f>
        <v>21850.9278191781</v>
      </c>
      <c r="BJ61" s="33" t="n">
        <f aca="false">BI61-BJ47-BJ50-BJ53-BJ55</f>
        <v>21850.9278191781</v>
      </c>
      <c r="BK61" s="33" t="n">
        <f aca="false">BJ61-BK47-BK50-BK53-BK55</f>
        <v>21850.9278191781</v>
      </c>
      <c r="BL61" s="33" t="n">
        <f aca="false">BK61-BL47-BL50-BL53-BL55</f>
        <v>21850.9278191781</v>
      </c>
      <c r="BM61" s="33" t="n">
        <f aca="false">BL61-BM47-BM50-BM53-BM55</f>
        <v>21850.9278191781</v>
      </c>
      <c r="BN61" s="33" t="n">
        <f aca="false">BM61-BN47-BN50-BN53-BN55</f>
        <v>21850.9278191781</v>
      </c>
      <c r="BO61" s="33" t="n">
        <f aca="false">BN61-BO47-BO50-BO53-BO55</f>
        <v>21850.9278191781</v>
      </c>
      <c r="BP61" s="33" t="n">
        <f aca="false">BO61-BP47-BP50-BP53-BP55</f>
        <v>21850.9278191781</v>
      </c>
      <c r="BQ61" s="33" t="n">
        <f aca="false">BP61-BQ47-BQ50-BQ53-BQ55</f>
        <v>21850.9278191781</v>
      </c>
      <c r="BR61" s="33" t="n">
        <f aca="false">BQ61-BR47-BR50-BR53-BR55</f>
        <v>21850.9278191781</v>
      </c>
      <c r="BS61" s="33" t="n">
        <f aca="false">BR61-BS47-BS50-BS53-BS55</f>
        <v>21850.9278191781</v>
      </c>
      <c r="BT61" s="33" t="n">
        <f aca="false">BS61-BT47-BT50-BT53-BT55</f>
        <v>21850.9278191781</v>
      </c>
      <c r="BU61" s="33" t="n">
        <f aca="false">BT61-BU47-BU50-BU53-BU55</f>
        <v>21850.9278191781</v>
      </c>
      <c r="BV61" s="33" t="n">
        <f aca="false">BU61-BV47-BV50-BV53-BV55</f>
        <v>21850.9278191781</v>
      </c>
      <c r="BW61" s="33" t="n">
        <f aca="false">BV61-BW47-BW50-BW53-BW55</f>
        <v>21850.9278191781</v>
      </c>
      <c r="BX61" s="33" t="n">
        <f aca="false">BW61-BX47-BX50-BX53-BX55</f>
        <v>21850.9278191781</v>
      </c>
      <c r="BY61" s="33" t="n">
        <f aca="false">BX61-BY47-BY50-BY53-BY55</f>
        <v>21850.9278191781</v>
      </c>
      <c r="BZ61" s="33" t="n">
        <f aca="false">BY61-BZ47-BZ50-BZ53-BZ55</f>
        <v>21850.9278191781</v>
      </c>
      <c r="CA61" s="33" t="n">
        <f aca="false">BZ61-CA47-CA50-CA53-CA55</f>
        <v>21850.9278191781</v>
      </c>
      <c r="CB61" s="33" t="n">
        <f aca="false">CA61-CB47-CB50-CB53-CB55</f>
        <v>21850.9278191781</v>
      </c>
      <c r="CC61" s="33" t="n">
        <f aca="false">CB61-CC47-CC50-CC53-CC55</f>
        <v>21850.9278191781</v>
      </c>
      <c r="CD61" s="33" t="n">
        <f aca="false">CC61-CD47-CD50-CD53-CD55</f>
        <v>21850.9278191781</v>
      </c>
      <c r="CE61" s="33" t="n">
        <f aca="false">CD61-CE47-CE50-CE53-CE55</f>
        <v>21850.9278191781</v>
      </c>
      <c r="CF61" s="33" t="n">
        <f aca="false">CE61-CF47-CF50-CF53-CF55</f>
        <v>21850.9278191781</v>
      </c>
      <c r="CG61" s="33" t="n">
        <f aca="false">CF61-CG47-CG50-CG53-CG55</f>
        <v>21850.9278191781</v>
      </c>
      <c r="CH61" s="33" t="n">
        <f aca="false">CG61-CH47-CH50-CH53-CH55</f>
        <v>21850.9278191781</v>
      </c>
      <c r="CI61" s="33" t="n">
        <f aca="false">CH61-CI47-CI50-CI53-CI55</f>
        <v>21850.9278191781</v>
      </c>
      <c r="CJ61" s="33" t="n">
        <f aca="false">CI61-CJ47-CJ50-CJ53-CJ55</f>
        <v>21850.9278191781</v>
      </c>
      <c r="CK61" s="33" t="n">
        <f aca="false">CJ61-CK47-CK50-CK53-CK55</f>
        <v>21850.9278191781</v>
      </c>
      <c r="CL61" s="33" t="n">
        <f aca="false">CK61-CL47-CL50-CL53-CL55</f>
        <v>21850.9278191781</v>
      </c>
      <c r="CM61" s="33" t="n">
        <f aca="false">CL61-CM47-CM50-CM53-CM55</f>
        <v>21850.9278191781</v>
      </c>
      <c r="CN61" s="33" t="n">
        <f aca="false">CM61-CN47-CN50-CN53-CN55</f>
        <v>21850.9278191781</v>
      </c>
      <c r="CO61" s="33" t="n">
        <f aca="false">CN61-CO47-CO50-CO53-CO55</f>
        <v>21850.9278191781</v>
      </c>
      <c r="CP61" s="33" t="n">
        <f aca="false">CO61-CP47-CP50-CP53-CP55</f>
        <v>21850.9278191781</v>
      </c>
      <c r="CQ61" s="33" t="n">
        <f aca="false">CP61-CQ47-CQ50-CQ53-CQ55</f>
        <v>21850.9278191781</v>
      </c>
      <c r="CR61" s="33" t="n">
        <f aca="false">CQ61-CR47-CR50-CR53-CR55</f>
        <v>21850.9278191781</v>
      </c>
      <c r="CS61" s="33" t="n">
        <f aca="false">CR61-CS47-CS50-CS53-CS55</f>
        <v>21850.9278191781</v>
      </c>
      <c r="CT61" s="33" t="n">
        <f aca="false">CS61-CT47-CT50-CT53-CT55</f>
        <v>21850.9278191781</v>
      </c>
      <c r="CU61" s="33" t="n">
        <f aca="false">CT61-CU47-CU50-CU53-CU55</f>
        <v>21850.9278191781</v>
      </c>
      <c r="CV61" s="33" t="n">
        <f aca="false">CU61-CV47-CV50-CV53-CV55</f>
        <v>21850.9278191781</v>
      </c>
      <c r="CW61" s="33" t="n">
        <f aca="false">CV61-CW47-CW50-CW53-CW55</f>
        <v>21850.9278191781</v>
      </c>
      <c r="CX61" s="33" t="n">
        <f aca="false">CW61-CX47-CX50-CX53-CX55</f>
        <v>21850.9278191781</v>
      </c>
      <c r="CY61" s="33" t="n">
        <f aca="false">CX61-CY47-CY50-CY53-CY55</f>
        <v>21850.9278191781</v>
      </c>
      <c r="CZ61" s="33" t="n">
        <f aca="false">CY61-CZ47-CZ50-CZ53-CZ55</f>
        <v>21850.9278191781</v>
      </c>
      <c r="DA61" s="33" t="n">
        <f aca="false">CZ61-DA47-DA50-DA53-DA55</f>
        <v>21850.9278191781</v>
      </c>
      <c r="DB61" s="33" t="n">
        <f aca="false">DA61-DB47-DB50-DB53-DB55</f>
        <v>21850.9278191781</v>
      </c>
      <c r="DC61" s="33" t="n">
        <f aca="false">DB61-DC47-DC50-DC53-DC55</f>
        <v>21850.9278191781</v>
      </c>
      <c r="DD61" s="33" t="n">
        <f aca="false">DC61-DD47-DD50-DD53-DD55</f>
        <v>21850.9278191781</v>
      </c>
      <c r="DE61" s="33" t="n">
        <f aca="false">DD61-DE47-DE50-DE53-DE55</f>
        <v>21850.9278191781</v>
      </c>
      <c r="DF61" s="33" t="n">
        <f aca="false">DE61-DF47-DF50-DF53-DF55</f>
        <v>21850.9278191781</v>
      </c>
      <c r="DG61" s="33" t="n">
        <f aca="false">DF61-DG47-DG50-DG53-DG55</f>
        <v>21850.9278191781</v>
      </c>
      <c r="DH61" s="33" t="n">
        <f aca="false">DG61-DH47-DH50-DH53-DH55</f>
        <v>21850.9278191781</v>
      </c>
      <c r="DI61" s="33" t="n">
        <f aca="false">DH61-DI47-DI50-DI53-DI55</f>
        <v>21850.9278191781</v>
      </c>
      <c r="DJ61" s="33" t="n">
        <f aca="false">DI61-DJ47-DJ50-DJ53-DJ55</f>
        <v>21850.9278191781</v>
      </c>
      <c r="DK61" s="33" t="n">
        <f aca="false">DJ61-DK47-DK50-DK53-DK55</f>
        <v>21850.9278191781</v>
      </c>
      <c r="DL61" s="33" t="n">
        <f aca="false">DK61-DL47-DL50-DL53-DL55</f>
        <v>21850.9278191781</v>
      </c>
      <c r="DM61" s="33" t="n">
        <f aca="false">DL61-DM47-DM50-DM53-DM55</f>
        <v>21850.9278191781</v>
      </c>
      <c r="DN61" s="33" t="n">
        <f aca="false">DM61-DN47-DN50-DN53-DN55</f>
        <v>21850.9278191781</v>
      </c>
      <c r="DO61" s="33" t="n">
        <f aca="false">DN61-DO47-DO50-DO53-DO55</f>
        <v>21850.9278191781</v>
      </c>
      <c r="DP61" s="33" t="n">
        <f aca="false">DO61-DP47-DP50-DP53-DP55</f>
        <v>21850.9278191781</v>
      </c>
      <c r="DQ61" s="33" t="n">
        <f aca="false">DP61-DQ47-DQ50-DQ53-DQ55</f>
        <v>21850.9278191781</v>
      </c>
      <c r="DR61" s="33" t="n">
        <f aca="false">DQ61-DR47-DR50-DR53-DR55</f>
        <v>21850.9278191781</v>
      </c>
      <c r="DS61" s="33" t="n">
        <f aca="false">DR61-DS47-DS50-DS53-DS55</f>
        <v>21850.9278191781</v>
      </c>
      <c r="DT61" s="33" t="n">
        <f aca="false">DS61-DT47-DT50-DT53-DT55</f>
        <v>21850.9278191781</v>
      </c>
      <c r="DU61" s="33" t="n">
        <f aca="false">DT61-DU47-DU50-DU53-DU55</f>
        <v>21850.9278191781</v>
      </c>
      <c r="DV61" s="33" t="n">
        <f aca="false">DU61-DV47-DV50-DV53-DV55</f>
        <v>21850.9278191781</v>
      </c>
      <c r="DW61" s="33" t="n">
        <f aca="false">DV61-DW47-DW50-DW53-DW55</f>
        <v>21850.9278191781</v>
      </c>
      <c r="DX61" s="33" t="n">
        <f aca="false">DW61-DX47-DX50-DX53-DX55</f>
        <v>21850.9278191781</v>
      </c>
      <c r="DY61" s="33" t="n">
        <f aca="false">DX61-DY47-DY50-DY53-DY55</f>
        <v>21850.9278191781</v>
      </c>
      <c r="DZ61" s="33" t="n">
        <f aca="false">DY61-DZ47-DZ50-DZ53-DZ55</f>
        <v>21850.9278191781</v>
      </c>
      <c r="EA61" s="33" t="n">
        <f aca="false">DZ61-EA47-EA50-EA53-EA55</f>
        <v>21850.9278191781</v>
      </c>
      <c r="EB61" s="33" t="n">
        <f aca="false">EA61-EB47-EB50-EB53-EB55</f>
        <v>21850.9278191781</v>
      </c>
      <c r="EC61" s="33" t="n">
        <f aca="false">EB61-EC47-EC50-EC53-EC55</f>
        <v>21850.9278191781</v>
      </c>
      <c r="ED61" s="33" t="n">
        <f aca="false">EC61-ED47-ED50-ED53-ED55</f>
        <v>21850.9278191781</v>
      </c>
      <c r="EE61" s="33" t="n">
        <f aca="false">ED61-EE47-EE50-EE53-EE55</f>
        <v>21850.9278191781</v>
      </c>
      <c r="EF61" s="33" t="n">
        <f aca="false">EE61-EF47-EF50-EF53-EF55</f>
        <v>21850.9278191781</v>
      </c>
      <c r="EG61" s="33" t="n">
        <f aca="false">EF61-EG47-EG50-EG53-EG55</f>
        <v>21850.9278191781</v>
      </c>
      <c r="EH61" s="33" t="n">
        <f aca="false">EG61-EH47-EH50-EH53-EH55</f>
        <v>21850.9278191781</v>
      </c>
      <c r="EI61" s="33" t="n">
        <f aca="false">EH61-EI47-EI50-EI53-EI55</f>
        <v>21850.9278191781</v>
      </c>
      <c r="EJ61" s="33" t="n">
        <f aca="false">EI61-EJ47-EJ50-EJ53-EJ55</f>
        <v>21850.9278191781</v>
      </c>
      <c r="EK61" s="33" t="n">
        <f aca="false">EJ61-EK47-EK50-EK53-EK55</f>
        <v>21850.9278191781</v>
      </c>
      <c r="EL61" s="33" t="n">
        <f aca="false">EK61-EL47-EL50-EL53-EL55</f>
        <v>21850.9278191781</v>
      </c>
      <c r="EM61" s="33" t="n">
        <f aca="false">EL61-EM47-EM50-EM53-EM55</f>
        <v>21850.9278191781</v>
      </c>
      <c r="EN61" s="33" t="n">
        <f aca="false">EM61-EN47-EN50-EN53-EN55</f>
        <v>21850.9278191781</v>
      </c>
      <c r="EO61" s="33" t="n">
        <f aca="false">EN61-EO47-EO50-EO53-EO55</f>
        <v>21850.9278191781</v>
      </c>
      <c r="EP61" s="33" t="n">
        <f aca="false">EO61-EP47-EP50-EP53-EP55</f>
        <v>21850.9278191781</v>
      </c>
      <c r="EQ61" s="33" t="n">
        <f aca="false">EP61-EQ47-EQ50-EQ53-EQ55</f>
        <v>21850.9278191781</v>
      </c>
      <c r="ER61" s="33" t="n">
        <f aca="false">EQ61-ER47-ER50-ER53-ER55</f>
        <v>21850.9278191781</v>
      </c>
      <c r="ES61" s="33" t="n">
        <f aca="false">ER61-ES47-ES50-ES53-ES55</f>
        <v>21850.9278191781</v>
      </c>
      <c r="ET61" s="33" t="n">
        <f aca="false">ES61-ET47-ET50-ET53-ET55</f>
        <v>21850.9278191781</v>
      </c>
    </row>
    <row r="63" customFormat="false" ht="15" hidden="false" customHeight="false" outlineLevel="0" collapsed="false">
      <c r="A63" s="9" t="s">
        <v>13</v>
      </c>
      <c r="B63" s="9"/>
      <c r="C63" s="9" t="s">
        <v>530</v>
      </c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</row>
    <row r="64" customFormat="false" ht="15" hidden="false" customHeight="false" outlineLevel="0" collapsed="false">
      <c r="A64" s="55"/>
      <c r="B64" s="55"/>
      <c r="C64" s="55" t="s">
        <v>531</v>
      </c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  <c r="BH64" s="55"/>
      <c r="BI64" s="55"/>
      <c r="BJ64" s="55"/>
      <c r="BK64" s="55"/>
      <c r="BL64" s="55"/>
      <c r="BM64" s="55"/>
      <c r="BN64" s="55"/>
      <c r="BO64" s="55"/>
      <c r="BP64" s="55"/>
      <c r="BQ64" s="55"/>
      <c r="BR64" s="55"/>
      <c r="BS64" s="55"/>
      <c r="BT64" s="55"/>
      <c r="BU64" s="55"/>
      <c r="BV64" s="55"/>
      <c r="BW64" s="55"/>
      <c r="BX64" s="55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55"/>
      <c r="CO64" s="55"/>
      <c r="CP64" s="55"/>
      <c r="CQ64" s="55"/>
      <c r="CR64" s="55"/>
      <c r="CS64" s="55"/>
      <c r="CT64" s="55"/>
      <c r="CU64" s="55"/>
      <c r="CV64" s="55"/>
      <c r="CW64" s="55"/>
      <c r="CX64" s="55"/>
      <c r="CY64" s="55"/>
      <c r="CZ64" s="55"/>
      <c r="DA64" s="55"/>
      <c r="DB64" s="55"/>
      <c r="DC64" s="55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55"/>
      <c r="EB64" s="55"/>
      <c r="EC64" s="55"/>
      <c r="ED64" s="55"/>
      <c r="EE64" s="55"/>
      <c r="EF64" s="55"/>
      <c r="EG64" s="55"/>
      <c r="EH64" s="55"/>
      <c r="EI64" s="55"/>
      <c r="EJ64" s="55"/>
      <c r="EK64" s="55"/>
      <c r="EL64" s="55"/>
      <c r="EM64" s="55"/>
      <c r="EN64" s="55"/>
      <c r="EO64" s="55"/>
      <c r="EP64" s="55"/>
      <c r="EQ64" s="55"/>
      <c r="ER64" s="55"/>
      <c r="ES64" s="55"/>
      <c r="ET64" s="55"/>
    </row>
    <row r="65" customFormat="false" ht="15" hidden="false" customHeight="false" outlineLevel="0" collapsed="false">
      <c r="C65" s="0" t="s">
        <v>532</v>
      </c>
      <c r="D65" s="11" t="s">
        <v>253</v>
      </c>
      <c r="E65" s="33" t="n">
        <f aca="false">SUMIF($J$4:$ET$4,"&lt;="&amp;$E12,$J65:$ET65)+$I47</f>
        <v>21412.2641205479</v>
      </c>
      <c r="I65" s="33" t="n">
        <f aca="false">SUM(J65:ET65)</f>
        <v>21420.4832986301</v>
      </c>
      <c r="J65" s="33" t="n">
        <f aca="false">-(J47+J50+J53)</f>
        <v>0</v>
      </c>
      <c r="K65" s="33" t="n">
        <f aca="false">-(K47+K50+K53)</f>
        <v>1241.09589041096</v>
      </c>
      <c r="L65" s="33" t="n">
        <f aca="false">-(L47+L50+L53)</f>
        <v>0</v>
      </c>
      <c r="M65" s="33" t="n">
        <f aca="false">-(M47+M50+M53)</f>
        <v>0</v>
      </c>
      <c r="N65" s="33" t="n">
        <f aca="false">-(N47+N50+N53)</f>
        <v>0</v>
      </c>
      <c r="O65" s="33" t="n">
        <f aca="false">-(O47+O50+O53)</f>
        <v>0</v>
      </c>
      <c r="P65" s="33" t="n">
        <f aca="false">-(P47+P50+P53)</f>
        <v>0</v>
      </c>
      <c r="Q65" s="33" t="n">
        <f aca="false">-(Q47+Q50+Q53)</f>
        <v>0</v>
      </c>
      <c r="R65" s="33" t="n">
        <f aca="false">-(R47+R50+R53)</f>
        <v>0</v>
      </c>
      <c r="S65" s="33" t="n">
        <f aca="false">-(S47+S50+S53)</f>
        <v>0</v>
      </c>
      <c r="T65" s="33" t="n">
        <f aca="false">-(T47+T50+T53)</f>
        <v>20179.3874082192</v>
      </c>
      <c r="U65" s="33" t="n">
        <f aca="false">-(U47+U50+U53)</f>
        <v>0</v>
      </c>
      <c r="V65" s="33" t="n">
        <f aca="false">-(V47+V50+V53)</f>
        <v>0</v>
      </c>
      <c r="W65" s="33" t="n">
        <f aca="false">-(W47+W50+W53)</f>
        <v>0</v>
      </c>
      <c r="X65" s="33" t="n">
        <f aca="false">-(X47+X50+X53)</f>
        <v>0</v>
      </c>
      <c r="Y65" s="33" t="n">
        <f aca="false">-(Y47+Y50+Y53)</f>
        <v>0</v>
      </c>
      <c r="Z65" s="33" t="n">
        <f aca="false">-(Z47+Z50+Z53)</f>
        <v>0</v>
      </c>
      <c r="AA65" s="33" t="n">
        <f aca="false">-(AA47+AA50+AA53)</f>
        <v>0</v>
      </c>
      <c r="AB65" s="33" t="n">
        <f aca="false">-(AB47+AB50+AB53)</f>
        <v>0</v>
      </c>
      <c r="AC65" s="33" t="n">
        <f aca="false">-(AC47+AC50+AC53)</f>
        <v>0</v>
      </c>
      <c r="AD65" s="33" t="n">
        <f aca="false">-(AD47+AD50+AD53)</f>
        <v>0</v>
      </c>
      <c r="AE65" s="33" t="n">
        <f aca="false">-(AE47+AE50+AE53)</f>
        <v>0</v>
      </c>
      <c r="AF65" s="33" t="n">
        <f aca="false">-(AF47+AF50+AF53)</f>
        <v>0</v>
      </c>
      <c r="AG65" s="33" t="n">
        <f aca="false">-(AG47+AG50+AG53)</f>
        <v>0</v>
      </c>
      <c r="AH65" s="33" t="n">
        <f aca="false">-(AH47+AH50+AH53)</f>
        <v>0</v>
      </c>
      <c r="AI65" s="33" t="n">
        <f aca="false">-(AI47+AI50+AI53)</f>
        <v>0</v>
      </c>
      <c r="AJ65" s="33" t="n">
        <f aca="false">-(AJ47+AJ50+AJ53)</f>
        <v>0</v>
      </c>
      <c r="AK65" s="33" t="n">
        <f aca="false">-(AK47+AK50+AK53)</f>
        <v>0</v>
      </c>
      <c r="AL65" s="33" t="n">
        <f aca="false">-(AL47+AL50+AL53)</f>
        <v>0</v>
      </c>
      <c r="AM65" s="33" t="n">
        <f aca="false">-(AM47+AM50+AM53)</f>
        <v>0</v>
      </c>
      <c r="AN65" s="33" t="n">
        <f aca="false">-(AN47+AN50+AN53)</f>
        <v>0</v>
      </c>
      <c r="AO65" s="33" t="n">
        <f aca="false">-(AO47+AO50+AO53)</f>
        <v>0</v>
      </c>
      <c r="AP65" s="33" t="n">
        <f aca="false">-(AP47+AP50+AP53)</f>
        <v>0</v>
      </c>
      <c r="AQ65" s="33" t="n">
        <f aca="false">-(AQ47+AQ50+AQ53)</f>
        <v>0</v>
      </c>
      <c r="AR65" s="33" t="n">
        <f aca="false">-(AR47+AR50+AR53)</f>
        <v>0</v>
      </c>
      <c r="AS65" s="33" t="n">
        <f aca="false">-(AS47+AS50+AS53)</f>
        <v>0</v>
      </c>
      <c r="AT65" s="33" t="n">
        <f aca="false">-(AT47+AT50+AT53)</f>
        <v>0</v>
      </c>
      <c r="AU65" s="33" t="n">
        <f aca="false">-(AU47+AU50+AU53)</f>
        <v>0</v>
      </c>
      <c r="AV65" s="33" t="n">
        <f aca="false">-(AV47+AV50+AV53)</f>
        <v>0</v>
      </c>
      <c r="AW65" s="33" t="n">
        <f aca="false">-(AW47+AW50+AW53)</f>
        <v>0</v>
      </c>
      <c r="AX65" s="33" t="n">
        <f aca="false">-(AX47+AX50+AX53)</f>
        <v>0</v>
      </c>
      <c r="AY65" s="33" t="n">
        <f aca="false">-(AY47+AY50+AY53)</f>
        <v>0</v>
      </c>
      <c r="AZ65" s="33" t="n">
        <f aca="false">-(AZ47+AZ50+AZ53)</f>
        <v>0</v>
      </c>
      <c r="BA65" s="33" t="n">
        <f aca="false">-(BA47+BA50+BA53)</f>
        <v>0</v>
      </c>
      <c r="BB65" s="33" t="n">
        <f aca="false">-(BB47+BB50+BB53)</f>
        <v>0</v>
      </c>
      <c r="BC65" s="33" t="n">
        <f aca="false">-(BC47+BC50+BC53)</f>
        <v>0</v>
      </c>
      <c r="BD65" s="33" t="n">
        <f aca="false">-(BD47+BD50+BD53)</f>
        <v>0</v>
      </c>
      <c r="BE65" s="33" t="n">
        <f aca="false">-(BE47+BE50+BE53)</f>
        <v>0</v>
      </c>
      <c r="BF65" s="33" t="n">
        <f aca="false">-(BF47+BF50+BF53)</f>
        <v>0</v>
      </c>
      <c r="BG65" s="33" t="n">
        <f aca="false">-(BG47+BG50+BG53)</f>
        <v>0</v>
      </c>
      <c r="BH65" s="33" t="n">
        <f aca="false">-(BH47+BH50+BH53)</f>
        <v>0</v>
      </c>
      <c r="BI65" s="33" t="n">
        <f aca="false">-(BI47+BI50+BI53)</f>
        <v>0</v>
      </c>
      <c r="BJ65" s="33" t="n">
        <f aca="false">-(BJ47+BJ50+BJ53)</f>
        <v>0</v>
      </c>
      <c r="BK65" s="33" t="n">
        <f aca="false">-(BK47+BK50+BK53)</f>
        <v>0</v>
      </c>
      <c r="BL65" s="33" t="n">
        <f aca="false">-(BL47+BL50+BL53)</f>
        <v>0</v>
      </c>
      <c r="BM65" s="33" t="n">
        <f aca="false">-(BM47+BM50+BM53)</f>
        <v>0</v>
      </c>
      <c r="BN65" s="33" t="n">
        <f aca="false">-(BN47+BN50+BN53)</f>
        <v>0</v>
      </c>
      <c r="BO65" s="33" t="n">
        <f aca="false">-(BO47+BO50+BO53)</f>
        <v>0</v>
      </c>
      <c r="BP65" s="33" t="n">
        <f aca="false">-(BP47+BP50+BP53)</f>
        <v>0</v>
      </c>
      <c r="BQ65" s="33" t="n">
        <f aca="false">-(BQ47+BQ50+BQ53)</f>
        <v>0</v>
      </c>
      <c r="BR65" s="33" t="n">
        <f aca="false">-(BR47+BR50+BR53)</f>
        <v>0</v>
      </c>
      <c r="BS65" s="33" t="n">
        <f aca="false">-(BS47+BS50+BS53)</f>
        <v>0</v>
      </c>
      <c r="BT65" s="33" t="n">
        <f aca="false">-(BT47+BT50+BT53)</f>
        <v>0</v>
      </c>
      <c r="BU65" s="33" t="n">
        <f aca="false">-(BU47+BU50+BU53)</f>
        <v>0</v>
      </c>
      <c r="BV65" s="33" t="n">
        <f aca="false">-(BV47+BV50+BV53)</f>
        <v>0</v>
      </c>
      <c r="BW65" s="33" t="n">
        <f aca="false">-(BW47+BW50+BW53)</f>
        <v>0</v>
      </c>
      <c r="BX65" s="33" t="n">
        <f aca="false">-(BX47+BX50+BX53)</f>
        <v>0</v>
      </c>
      <c r="BY65" s="33" t="n">
        <f aca="false">-(BY47+BY50+BY53)</f>
        <v>0</v>
      </c>
      <c r="BZ65" s="33" t="n">
        <f aca="false">-(BZ47+BZ50+BZ53)</f>
        <v>0</v>
      </c>
      <c r="CA65" s="33" t="n">
        <f aca="false">-(CA47+CA50+CA53)</f>
        <v>0</v>
      </c>
      <c r="CB65" s="33" t="n">
        <f aca="false">-(CB47+CB50+CB53)</f>
        <v>0</v>
      </c>
      <c r="CC65" s="33" t="n">
        <f aca="false">-(CC47+CC50+CC53)</f>
        <v>0</v>
      </c>
      <c r="CD65" s="33" t="n">
        <f aca="false">-(CD47+CD50+CD53)</f>
        <v>0</v>
      </c>
      <c r="CE65" s="33" t="n">
        <f aca="false">-(CE47+CE50+CE53)</f>
        <v>0</v>
      </c>
      <c r="CF65" s="33" t="n">
        <f aca="false">-(CF47+CF50+CF53)</f>
        <v>0</v>
      </c>
      <c r="CG65" s="33" t="n">
        <f aca="false">-(CG47+CG50+CG53)</f>
        <v>0</v>
      </c>
      <c r="CH65" s="33" t="n">
        <f aca="false">-(CH47+CH50+CH53)</f>
        <v>0</v>
      </c>
      <c r="CI65" s="33" t="n">
        <f aca="false">-(CI47+CI50+CI53)</f>
        <v>0</v>
      </c>
      <c r="CJ65" s="33" t="n">
        <f aca="false">-(CJ47+CJ50+CJ53)</f>
        <v>0</v>
      </c>
      <c r="CK65" s="33" t="n">
        <f aca="false">-(CK47+CK50+CK53)</f>
        <v>0</v>
      </c>
      <c r="CL65" s="33" t="n">
        <f aca="false">-(CL47+CL50+CL53)</f>
        <v>0</v>
      </c>
      <c r="CM65" s="33" t="n">
        <f aca="false">-(CM47+CM50+CM53)</f>
        <v>0</v>
      </c>
      <c r="CN65" s="33" t="n">
        <f aca="false">-(CN47+CN50+CN53)</f>
        <v>0</v>
      </c>
      <c r="CO65" s="33" t="n">
        <f aca="false">-(CO47+CO50+CO53)</f>
        <v>0</v>
      </c>
      <c r="CP65" s="33" t="n">
        <f aca="false">-(CP47+CP50+CP53)</f>
        <v>0</v>
      </c>
      <c r="CQ65" s="33" t="n">
        <f aca="false">-(CQ47+CQ50+CQ53)</f>
        <v>0</v>
      </c>
      <c r="CR65" s="33" t="n">
        <f aca="false">-(CR47+CR50+CR53)</f>
        <v>0</v>
      </c>
      <c r="CS65" s="33" t="n">
        <f aca="false">-(CS47+CS50+CS53)</f>
        <v>0</v>
      </c>
      <c r="CT65" s="33" t="n">
        <f aca="false">-(CT47+CT50+CT53)</f>
        <v>0</v>
      </c>
      <c r="CU65" s="33" t="n">
        <f aca="false">-(CU47+CU50+CU53)</f>
        <v>0</v>
      </c>
      <c r="CV65" s="33" t="n">
        <f aca="false">-(CV47+CV50+CV53)</f>
        <v>0</v>
      </c>
      <c r="CW65" s="33" t="n">
        <f aca="false">-(CW47+CW50+CW53)</f>
        <v>0</v>
      </c>
      <c r="CX65" s="33" t="n">
        <f aca="false">-(CX47+CX50+CX53)</f>
        <v>0</v>
      </c>
      <c r="CY65" s="33" t="n">
        <f aca="false">-(CY47+CY50+CY53)</f>
        <v>0</v>
      </c>
      <c r="CZ65" s="33" t="n">
        <f aca="false">-(CZ47+CZ50+CZ53)</f>
        <v>0</v>
      </c>
      <c r="DA65" s="33" t="n">
        <f aca="false">-(DA47+DA50+DA53)</f>
        <v>0</v>
      </c>
      <c r="DB65" s="33" t="n">
        <f aca="false">-(DB47+DB50+DB53)</f>
        <v>0</v>
      </c>
      <c r="DC65" s="33" t="n">
        <f aca="false">-(DC47+DC50+DC53)</f>
        <v>0</v>
      </c>
      <c r="DD65" s="33" t="n">
        <f aca="false">-(DD47+DD50+DD53)</f>
        <v>0</v>
      </c>
      <c r="DE65" s="33" t="n">
        <f aca="false">-(DE47+DE50+DE53)</f>
        <v>0</v>
      </c>
      <c r="DF65" s="33" t="n">
        <f aca="false">-(DF47+DF50+DF53)</f>
        <v>0</v>
      </c>
      <c r="DG65" s="33" t="n">
        <f aca="false">-(DG47+DG50+DG53)</f>
        <v>0</v>
      </c>
      <c r="DH65" s="33" t="n">
        <f aca="false">-(DH47+DH50+DH53)</f>
        <v>0</v>
      </c>
      <c r="DI65" s="33" t="n">
        <f aca="false">-(DI47+DI50+DI53)</f>
        <v>0</v>
      </c>
      <c r="DJ65" s="33" t="n">
        <f aca="false">-(DJ47+DJ50+DJ53)</f>
        <v>0</v>
      </c>
      <c r="DK65" s="33" t="n">
        <f aca="false">-(DK47+DK50+DK53)</f>
        <v>0</v>
      </c>
      <c r="DL65" s="33" t="n">
        <f aca="false">-(DL47+DL50+DL53)</f>
        <v>0</v>
      </c>
      <c r="DM65" s="33" t="n">
        <f aca="false">-(DM47+DM50+DM53)</f>
        <v>0</v>
      </c>
      <c r="DN65" s="33" t="n">
        <f aca="false">-(DN47+DN50+DN53)</f>
        <v>0</v>
      </c>
      <c r="DO65" s="33" t="n">
        <f aca="false">-(DO47+DO50+DO53)</f>
        <v>0</v>
      </c>
      <c r="DP65" s="33" t="n">
        <f aca="false">-(DP47+DP50+DP53)</f>
        <v>0</v>
      </c>
      <c r="DQ65" s="33" t="n">
        <f aca="false">-(DQ47+DQ50+DQ53)</f>
        <v>0</v>
      </c>
      <c r="DR65" s="33" t="n">
        <f aca="false">-(DR47+DR50+DR53)</f>
        <v>0</v>
      </c>
      <c r="DS65" s="33" t="n">
        <f aca="false">-(DS47+DS50+DS53)</f>
        <v>0</v>
      </c>
      <c r="DT65" s="33" t="n">
        <f aca="false">-(DT47+DT50+DT53)</f>
        <v>0</v>
      </c>
      <c r="DU65" s="33" t="n">
        <f aca="false">-(DU47+DU50+DU53)</f>
        <v>0</v>
      </c>
      <c r="DV65" s="33" t="n">
        <f aca="false">-(DV47+DV50+DV53)</f>
        <v>0</v>
      </c>
      <c r="DW65" s="33" t="n">
        <f aca="false">-(DW47+DW50+DW53)</f>
        <v>0</v>
      </c>
      <c r="DX65" s="33" t="n">
        <f aca="false">-(DX47+DX50+DX53)</f>
        <v>0</v>
      </c>
      <c r="DY65" s="33" t="n">
        <f aca="false">-(DY47+DY50+DY53)</f>
        <v>0</v>
      </c>
      <c r="DZ65" s="33" t="n">
        <f aca="false">-(DZ47+DZ50+DZ53)</f>
        <v>0</v>
      </c>
      <c r="EA65" s="33" t="n">
        <f aca="false">-(EA47+EA50+EA53)</f>
        <v>0</v>
      </c>
      <c r="EB65" s="33" t="n">
        <f aca="false">-(EB47+EB50+EB53)</f>
        <v>0</v>
      </c>
      <c r="EC65" s="33" t="n">
        <f aca="false">-(EC47+EC50+EC53)</f>
        <v>0</v>
      </c>
      <c r="ED65" s="33" t="n">
        <f aca="false">-(ED47+ED50+ED53)</f>
        <v>0</v>
      </c>
      <c r="EE65" s="33" t="n">
        <f aca="false">-(EE47+EE50+EE53)</f>
        <v>0</v>
      </c>
      <c r="EF65" s="33" t="n">
        <f aca="false">-(EF47+EF50+EF53)</f>
        <v>0</v>
      </c>
      <c r="EG65" s="33" t="n">
        <f aca="false">-(EG47+EG50+EG53)</f>
        <v>0</v>
      </c>
      <c r="EH65" s="33" t="n">
        <f aca="false">-(EH47+EH50+EH53)</f>
        <v>0</v>
      </c>
      <c r="EI65" s="33" t="n">
        <f aca="false">-(EI47+EI50+EI53)</f>
        <v>0</v>
      </c>
      <c r="EJ65" s="33" t="n">
        <f aca="false">-(EJ47+EJ50+EJ53)</f>
        <v>0</v>
      </c>
      <c r="EK65" s="33" t="n">
        <f aca="false">-(EK47+EK50+EK53)</f>
        <v>0</v>
      </c>
      <c r="EL65" s="33" t="n">
        <f aca="false">-(EL47+EL50+EL53)</f>
        <v>0</v>
      </c>
      <c r="EM65" s="33" t="n">
        <f aca="false">-(EM47+EM50+EM53)</f>
        <v>0</v>
      </c>
      <c r="EN65" s="33" t="n">
        <f aca="false">-(EN47+EN50+EN53)</f>
        <v>0</v>
      </c>
      <c r="EO65" s="33" t="n">
        <f aca="false">-(EO47+EO50+EO53)</f>
        <v>0</v>
      </c>
      <c r="EP65" s="33" t="n">
        <f aca="false">-(EP47+EP50+EP53)</f>
        <v>0</v>
      </c>
      <c r="EQ65" s="33" t="n">
        <f aca="false">-(EQ47+EQ50+EQ53)</f>
        <v>0</v>
      </c>
      <c r="ER65" s="33" t="n">
        <f aca="false">-(ER47+ER50+ER53)</f>
        <v>0</v>
      </c>
      <c r="ES65" s="33" t="n">
        <f aca="false">-(ES47+ES50+ES53)</f>
        <v>0</v>
      </c>
      <c r="ET65" s="33" t="n">
        <f aca="false">-(ET47+ET50+ET53)</f>
        <v>0</v>
      </c>
    </row>
    <row r="66" customFormat="false" ht="15" hidden="false" customHeight="false" outlineLevel="0" collapsed="false">
      <c r="C66" s="0" t="s">
        <v>533</v>
      </c>
      <c r="D66" s="11" t="s">
        <v>211</v>
      </c>
      <c r="J66" s="56" t="n">
        <f aca="false">-(J47*$F47+J50*$F50+J51*$F51+J52*$F52)</f>
        <v>0</v>
      </c>
      <c r="K66" s="56" t="n">
        <f aca="false">-(K47*$F47+K50*$F50+K51*$F51+K52*$F52)</f>
        <v>57568972.6027397</v>
      </c>
      <c r="L66" s="56" t="n">
        <f aca="false">-(L47*$F47+L50*$F50+L51*$F51+L52*$F52)</f>
        <v>0</v>
      </c>
      <c r="M66" s="56" t="n">
        <f aca="false">-(M47*$F47+M50*$F50+M51*$F51+M52*$F52)</f>
        <v>0</v>
      </c>
      <c r="N66" s="56" t="n">
        <f aca="false">-(N47*$F47+N50*$F50+N51*$F51+N52*$F52)</f>
        <v>0</v>
      </c>
      <c r="O66" s="56" t="n">
        <f aca="false">-(O47*$F47+O50*$F50+O51*$F51+O52*$F52)</f>
        <v>0</v>
      </c>
      <c r="P66" s="56" t="n">
        <f aca="false">-(P47*$F47+P50*$F50+P51*$F51+P52*$F52)</f>
        <v>0</v>
      </c>
      <c r="Q66" s="56" t="n">
        <f aca="false">-(Q47*$F47+Q50*$F50+Q51*$F51+Q52*$F52)</f>
        <v>0</v>
      </c>
      <c r="R66" s="56" t="n">
        <f aca="false">-(R47*$F47+R50*$F50+R51*$F51+R52*$F52)</f>
        <v>0</v>
      </c>
      <c r="S66" s="56" t="n">
        <f aca="false">-(S47*$F47+S50*$F50+S51*$F51+S52*$F52)</f>
        <v>0</v>
      </c>
      <c r="T66" s="56" t="n">
        <f aca="false">-(T47*$F47+T50*$F50+T51*$F51+T52*$F52)</f>
        <v>950973810.999737</v>
      </c>
      <c r="U66" s="56" t="n">
        <f aca="false">-(U47*$F47+U50*$F50+U51*$F51+U52*$F52)</f>
        <v>0</v>
      </c>
      <c r="V66" s="56" t="n">
        <f aca="false">-(V47*$F47+V50*$F50+V51*$F51+V52*$F52)</f>
        <v>0</v>
      </c>
      <c r="W66" s="56" t="n">
        <f aca="false">-(W47*$F47+W50*$F50+W51*$F51+W52*$F52)</f>
        <v>0</v>
      </c>
      <c r="X66" s="56" t="n">
        <f aca="false">-(X47*$F47+X50*$F50+X51*$F51+X52*$F52)</f>
        <v>0</v>
      </c>
      <c r="Y66" s="56" t="n">
        <f aca="false">-(Y47*$F47+Y50*$F50+Y51*$F51+Y52*$F52)</f>
        <v>0</v>
      </c>
      <c r="Z66" s="56" t="n">
        <f aca="false">-(Z47*$F47+Z50*$F50+Z51*$F51+Z52*$F52)</f>
        <v>0</v>
      </c>
      <c r="AA66" s="56" t="n">
        <f aca="false">-(AA47*$F47+AA50*$F50+AA51*$F51+AA52*$F52)</f>
        <v>0</v>
      </c>
      <c r="AB66" s="56" t="n">
        <f aca="false">-(AB47*$F47+AB50*$F50+AB51*$F51+AB52*$F52)</f>
        <v>0</v>
      </c>
      <c r="AC66" s="56" t="n">
        <f aca="false">-(AC47*$F47+AC50*$F50+AC51*$F51+AC52*$F52)</f>
        <v>0</v>
      </c>
      <c r="AD66" s="56" t="n">
        <f aca="false">-(AD47*$F47+AD50*$F50+AD51*$F51+AD52*$F52)</f>
        <v>0</v>
      </c>
      <c r="AE66" s="56" t="n">
        <f aca="false">-(AE47*$F47+AE50*$F50+AE51*$F51+AE52*$F52)</f>
        <v>0</v>
      </c>
      <c r="AF66" s="56" t="n">
        <f aca="false">-(AF47*$F47+AF50*$F50+AF51*$F51+AF52*$F52)</f>
        <v>0</v>
      </c>
      <c r="AG66" s="56" t="n">
        <f aca="false">-(AG47*$F47+AG50*$F50+AG51*$F51+AG52*$F52)</f>
        <v>0</v>
      </c>
      <c r="AH66" s="56" t="n">
        <f aca="false">-(AH47*$F47+AH50*$F50+AH51*$F51+AH52*$F52)</f>
        <v>0</v>
      </c>
      <c r="AI66" s="56" t="n">
        <f aca="false">-(AI47*$F47+AI50*$F50+AI51*$F51+AI52*$F52)</f>
        <v>0</v>
      </c>
      <c r="AJ66" s="56" t="n">
        <f aca="false">-(AJ47*$F47+AJ50*$F50+AJ51*$F51+AJ52*$F52)</f>
        <v>0</v>
      </c>
      <c r="AK66" s="56" t="n">
        <f aca="false">-(AK47*$F47+AK50*$F50+AK51*$F51+AK52*$F52)</f>
        <v>0</v>
      </c>
      <c r="AL66" s="56" t="n">
        <f aca="false">-(AL47*$F47+AL50*$F50+AL51*$F51+AL52*$F52)</f>
        <v>0</v>
      </c>
      <c r="AM66" s="56" t="n">
        <f aca="false">-(AM47*$F47+AM50*$F50+AM51*$F51+AM52*$F52)</f>
        <v>0</v>
      </c>
      <c r="AN66" s="56" t="n">
        <f aca="false">-(AN47*$F47+AN50*$F50+AN51*$F51+AN52*$F52)</f>
        <v>0</v>
      </c>
      <c r="AO66" s="56" t="n">
        <f aca="false">-(AO47*$F47+AO50*$F50+AO51*$F51+AO52*$F52)</f>
        <v>0</v>
      </c>
      <c r="AP66" s="56" t="n">
        <f aca="false">-(AP47*$F47+AP50*$F50+AP51*$F51+AP52*$F52)</f>
        <v>0</v>
      </c>
      <c r="AQ66" s="56" t="n">
        <f aca="false">-(AQ47*$F47+AQ50*$F50+AQ51*$F51+AQ52*$F52)</f>
        <v>0</v>
      </c>
      <c r="AR66" s="56" t="n">
        <f aca="false">-(AR47*$F47+AR50*$F50+AR51*$F51+AR52*$F52)</f>
        <v>0</v>
      </c>
      <c r="AS66" s="56" t="n">
        <f aca="false">-(AS47*$F47+AS50*$F50+AS51*$F51+AS52*$F52)</f>
        <v>0</v>
      </c>
      <c r="AT66" s="56" t="n">
        <f aca="false">-(AT47*$F47+AT50*$F50+AT51*$F51+AT52*$F52)</f>
        <v>0</v>
      </c>
      <c r="AU66" s="56" t="n">
        <f aca="false">-(AU47*$F47+AU50*$F50+AU51*$F51+AU52*$F52)</f>
        <v>0</v>
      </c>
      <c r="AV66" s="56" t="n">
        <f aca="false">-(AV47*$F47+AV50*$F50+AV51*$F51+AV52*$F52)</f>
        <v>0</v>
      </c>
      <c r="AW66" s="56" t="n">
        <f aca="false">-(AW47*$F47+AW50*$F50+AW51*$F51+AW52*$F52)</f>
        <v>0</v>
      </c>
      <c r="AX66" s="56" t="n">
        <f aca="false">-(AX47*$F47+AX50*$F50+AX51*$F51+AX52*$F52)</f>
        <v>0</v>
      </c>
      <c r="AY66" s="56" t="n">
        <f aca="false">-(AY47*$F47+AY50*$F50+AY51*$F51+AY52*$F52)</f>
        <v>0</v>
      </c>
      <c r="AZ66" s="56" t="n">
        <f aca="false">-(AZ47*$F47+AZ50*$F50+AZ51*$F51+AZ52*$F52)</f>
        <v>0</v>
      </c>
      <c r="BA66" s="56" t="n">
        <f aca="false">-(BA47*$F47+BA50*$F50+BA51*$F51+BA52*$F52)</f>
        <v>0</v>
      </c>
      <c r="BB66" s="56" t="n">
        <f aca="false">-(BB47*$F47+BB50*$F50+BB51*$F51+BB52*$F52)</f>
        <v>0</v>
      </c>
      <c r="BC66" s="56" t="n">
        <f aca="false">-(BC47*$F47+BC50*$F50+BC51*$F51+BC52*$F52)</f>
        <v>0</v>
      </c>
      <c r="BD66" s="56" t="n">
        <f aca="false">-(BD47*$F47+BD50*$F50+BD51*$F51+BD52*$F52)</f>
        <v>0</v>
      </c>
      <c r="BE66" s="56" t="n">
        <f aca="false">-(BE47*$F47+BE50*$F50+BE51*$F51+BE52*$F52)</f>
        <v>0</v>
      </c>
      <c r="BF66" s="56" t="n">
        <f aca="false">-(BF47*$F47+BF50*$F50+BF51*$F51+BF52*$F52)</f>
        <v>0</v>
      </c>
      <c r="BG66" s="56" t="n">
        <f aca="false">-(BG47*$F47+BG50*$F50+BG51*$F51+BG52*$F52)</f>
        <v>0</v>
      </c>
      <c r="BH66" s="56" t="n">
        <f aca="false">-(BH47*$F47+BH50*$F50+BH51*$F51+BH52*$F52)</f>
        <v>0</v>
      </c>
      <c r="BI66" s="56" t="n">
        <f aca="false">-(BI47*$F47+BI50*$F50+BI51*$F51+BI52*$F52)</f>
        <v>0</v>
      </c>
      <c r="BJ66" s="56" t="n">
        <f aca="false">-(BJ47*$F47+BJ50*$F50+BJ51*$F51+BJ52*$F52)</f>
        <v>0</v>
      </c>
      <c r="BK66" s="56" t="n">
        <f aca="false">-(BK47*$F47+BK50*$F50+BK51*$F51+BK52*$F52)</f>
        <v>0</v>
      </c>
      <c r="BL66" s="56" t="n">
        <f aca="false">-(BL47*$F47+BL50*$F50+BL51*$F51+BL52*$F52)</f>
        <v>0</v>
      </c>
      <c r="BM66" s="56" t="n">
        <f aca="false">-(BM47*$F47+BM50*$F50+BM51*$F51+BM52*$F52)</f>
        <v>0</v>
      </c>
      <c r="BN66" s="56" t="n">
        <f aca="false">-(BN47*$F47+BN50*$F50+BN51*$F51+BN52*$F52)</f>
        <v>0</v>
      </c>
      <c r="BO66" s="56" t="n">
        <f aca="false">-(BO47*$F47+BO50*$F50+BO51*$F51+BO52*$F52)</f>
        <v>0</v>
      </c>
      <c r="BP66" s="56" t="n">
        <f aca="false">-(BP47*$F47+BP50*$F50+BP51*$F51+BP52*$F52)</f>
        <v>0</v>
      </c>
      <c r="BQ66" s="56" t="n">
        <f aca="false">-(BQ47*$F47+BQ50*$F50+BQ51*$F51+BQ52*$F52)</f>
        <v>0</v>
      </c>
      <c r="BR66" s="56" t="n">
        <f aca="false">-(BR47*$F47+BR50*$F50+BR51*$F51+BR52*$F52)</f>
        <v>0</v>
      </c>
      <c r="BS66" s="56" t="n">
        <f aca="false">-(BS47*$F47+BS50*$F50+BS51*$F51+BS52*$F52)</f>
        <v>0</v>
      </c>
      <c r="BT66" s="56" t="n">
        <f aca="false">-(BT47*$F47+BT50*$F50+BT51*$F51+BT52*$F52)</f>
        <v>0</v>
      </c>
      <c r="BU66" s="56" t="n">
        <f aca="false">-(BU47*$F47+BU50*$F50+BU51*$F51+BU52*$F52)</f>
        <v>0</v>
      </c>
      <c r="BV66" s="56" t="n">
        <f aca="false">-(BV47*$F47+BV50*$F50+BV51*$F51+BV52*$F52)</f>
        <v>0</v>
      </c>
      <c r="BW66" s="56" t="n">
        <f aca="false">-(BW47*$F47+BW50*$F50+BW51*$F51+BW52*$F52)</f>
        <v>0</v>
      </c>
      <c r="BX66" s="56" t="n">
        <f aca="false">-(BX47*$F47+BX50*$F50+BX51*$F51+BX52*$F52)</f>
        <v>0</v>
      </c>
      <c r="BY66" s="56" t="n">
        <f aca="false">-(BY47*$F47+BY50*$F50+BY51*$F51+BY52*$F52)</f>
        <v>0</v>
      </c>
      <c r="BZ66" s="56" t="n">
        <f aca="false">-(BZ47*$F47+BZ50*$F50+BZ51*$F51+BZ52*$F52)</f>
        <v>0</v>
      </c>
      <c r="CA66" s="56" t="n">
        <f aca="false">-(CA47*$F47+CA50*$F50+CA51*$F51+CA52*$F52)</f>
        <v>0</v>
      </c>
      <c r="CB66" s="56" t="n">
        <f aca="false">-(CB47*$F47+CB50*$F50+CB51*$F51+CB52*$F52)</f>
        <v>0</v>
      </c>
      <c r="CC66" s="56" t="n">
        <f aca="false">-(CC47*$F47+CC50*$F50+CC51*$F51+CC52*$F52)</f>
        <v>0</v>
      </c>
      <c r="CD66" s="56" t="n">
        <f aca="false">-(CD47*$F47+CD50*$F50+CD51*$F51+CD52*$F52)</f>
        <v>0</v>
      </c>
      <c r="CE66" s="56" t="n">
        <f aca="false">-(CE47*$F47+CE50*$F50+CE51*$F51+CE52*$F52)</f>
        <v>0</v>
      </c>
      <c r="CF66" s="56" t="n">
        <f aca="false">-(CF47*$F47+CF50*$F50+CF51*$F51+CF52*$F52)</f>
        <v>0</v>
      </c>
      <c r="CG66" s="56" t="n">
        <f aca="false">-(CG47*$F47+CG50*$F50+CG51*$F51+CG52*$F52)</f>
        <v>0</v>
      </c>
      <c r="CH66" s="56" t="n">
        <f aca="false">-(CH47*$F47+CH50*$F50+CH51*$F51+CH52*$F52)</f>
        <v>0</v>
      </c>
      <c r="CI66" s="56" t="n">
        <f aca="false">-(CI47*$F47+CI50*$F50+CI51*$F51+CI52*$F52)</f>
        <v>0</v>
      </c>
      <c r="CJ66" s="56" t="n">
        <f aca="false">-(CJ47*$F47+CJ50*$F50+CJ51*$F51+CJ52*$F52)</f>
        <v>0</v>
      </c>
      <c r="CK66" s="56" t="n">
        <f aca="false">-(CK47*$F47+CK50*$F50+CK51*$F51+CK52*$F52)</f>
        <v>0</v>
      </c>
      <c r="CL66" s="56" t="n">
        <f aca="false">-(CL47*$F47+CL50*$F50+CL51*$F51+CL52*$F52)</f>
        <v>0</v>
      </c>
      <c r="CM66" s="56" t="n">
        <f aca="false">-(CM47*$F47+CM50*$F50+CM51*$F51+CM52*$F52)</f>
        <v>0</v>
      </c>
      <c r="CN66" s="56" t="n">
        <f aca="false">-(CN47*$F47+CN50*$F50+CN51*$F51+CN52*$F52)</f>
        <v>0</v>
      </c>
      <c r="CO66" s="56" t="n">
        <f aca="false">-(CO47*$F47+CO50*$F50+CO51*$F51+CO52*$F52)</f>
        <v>0</v>
      </c>
      <c r="CP66" s="56" t="n">
        <f aca="false">-(CP47*$F47+CP50*$F50+CP51*$F51+CP52*$F52)</f>
        <v>0</v>
      </c>
      <c r="CQ66" s="56" t="n">
        <f aca="false">-(CQ47*$F47+CQ50*$F50+CQ51*$F51+CQ52*$F52)</f>
        <v>0</v>
      </c>
      <c r="CR66" s="56" t="n">
        <f aca="false">-(CR47*$F47+CR50*$F50+CR51*$F51+CR52*$F52)</f>
        <v>0</v>
      </c>
      <c r="CS66" s="56" t="n">
        <f aca="false">-(CS47*$F47+CS50*$F50+CS51*$F51+CS52*$F52)</f>
        <v>0</v>
      </c>
      <c r="CT66" s="56" t="n">
        <f aca="false">-(CT47*$F47+CT50*$F50+CT51*$F51+CT52*$F52)</f>
        <v>0</v>
      </c>
      <c r="CU66" s="56" t="n">
        <f aca="false">-(CU47*$F47+CU50*$F50+CU51*$F51+CU52*$F52)</f>
        <v>0</v>
      </c>
      <c r="CV66" s="56" t="n">
        <f aca="false">-(CV47*$F47+CV50*$F50+CV51*$F51+CV52*$F52)</f>
        <v>0</v>
      </c>
      <c r="CW66" s="56" t="n">
        <f aca="false">-(CW47*$F47+CW50*$F50+CW51*$F51+CW52*$F52)</f>
        <v>0</v>
      </c>
      <c r="CX66" s="56" t="n">
        <f aca="false">-(CX47*$F47+CX50*$F50+CX51*$F51+CX52*$F52)</f>
        <v>0</v>
      </c>
      <c r="CY66" s="56" t="n">
        <f aca="false">-(CY47*$F47+CY50*$F50+CY51*$F51+CY52*$F52)</f>
        <v>0</v>
      </c>
      <c r="CZ66" s="56" t="n">
        <f aca="false">-(CZ47*$F47+CZ50*$F50+CZ51*$F51+CZ52*$F52)</f>
        <v>0</v>
      </c>
      <c r="DA66" s="56" t="n">
        <f aca="false">-(DA47*$F47+DA50*$F50+DA51*$F51+DA52*$F52)</f>
        <v>0</v>
      </c>
      <c r="DB66" s="56" t="n">
        <f aca="false">-(DB47*$F47+DB50*$F50+DB51*$F51+DB52*$F52)</f>
        <v>0</v>
      </c>
      <c r="DC66" s="56" t="n">
        <f aca="false">-(DC47*$F47+DC50*$F50+DC51*$F51+DC52*$F52)</f>
        <v>0</v>
      </c>
      <c r="DD66" s="56" t="n">
        <f aca="false">-(DD47*$F47+DD50*$F50+DD51*$F51+DD52*$F52)</f>
        <v>0</v>
      </c>
      <c r="DE66" s="56" t="n">
        <f aca="false">-(DE47*$F47+DE50*$F50+DE51*$F51+DE52*$F52)</f>
        <v>0</v>
      </c>
      <c r="DF66" s="56" t="n">
        <f aca="false">-(DF47*$F47+DF50*$F50+DF51*$F51+DF52*$F52)</f>
        <v>0</v>
      </c>
      <c r="DG66" s="56" t="n">
        <f aca="false">-(DG47*$F47+DG50*$F50+DG51*$F51+DG52*$F52)</f>
        <v>0</v>
      </c>
      <c r="DH66" s="56" t="n">
        <f aca="false">-(DH47*$F47+DH50*$F50+DH51*$F51+DH52*$F52)</f>
        <v>0</v>
      </c>
      <c r="DI66" s="56" t="n">
        <f aca="false">-(DI47*$F47+DI50*$F50+DI51*$F51+DI52*$F52)</f>
        <v>0</v>
      </c>
      <c r="DJ66" s="56" t="n">
        <f aca="false">-(DJ47*$F47+DJ50*$F50+DJ51*$F51+DJ52*$F52)</f>
        <v>0</v>
      </c>
      <c r="DK66" s="56" t="n">
        <f aca="false">-(DK47*$F47+DK50*$F50+DK51*$F51+DK52*$F52)</f>
        <v>0</v>
      </c>
      <c r="DL66" s="56" t="n">
        <f aca="false">-(DL47*$F47+DL50*$F50+DL51*$F51+DL52*$F52)</f>
        <v>0</v>
      </c>
      <c r="DM66" s="56" t="n">
        <f aca="false">-(DM47*$F47+DM50*$F50+DM51*$F51+DM52*$F52)</f>
        <v>0</v>
      </c>
      <c r="DN66" s="56" t="n">
        <f aca="false">-(DN47*$F47+DN50*$F50+DN51*$F51+DN52*$F52)</f>
        <v>0</v>
      </c>
      <c r="DO66" s="56" t="n">
        <f aca="false">-(DO47*$F47+DO50*$F50+DO51*$F51+DO52*$F52)</f>
        <v>0</v>
      </c>
      <c r="DP66" s="56" t="n">
        <f aca="false">-(DP47*$F47+DP50*$F50+DP51*$F51+DP52*$F52)</f>
        <v>0</v>
      </c>
      <c r="DQ66" s="56" t="n">
        <f aca="false">-(DQ47*$F47+DQ50*$F50+DQ51*$F51+DQ52*$F52)</f>
        <v>0</v>
      </c>
      <c r="DR66" s="56" t="n">
        <f aca="false">-(DR47*$F47+DR50*$F50+DR51*$F51+DR52*$F52)</f>
        <v>0</v>
      </c>
      <c r="DS66" s="56" t="n">
        <f aca="false">-(DS47*$F47+DS50*$F50+DS51*$F51+DS52*$F52)</f>
        <v>0</v>
      </c>
      <c r="DT66" s="56" t="n">
        <f aca="false">-(DT47*$F47+DT50*$F50+DT51*$F51+DT52*$F52)</f>
        <v>0</v>
      </c>
      <c r="DU66" s="56" t="n">
        <f aca="false">-(DU47*$F47+DU50*$F50+DU51*$F51+DU52*$F52)</f>
        <v>0</v>
      </c>
      <c r="DV66" s="56" t="n">
        <f aca="false">-(DV47*$F47+DV50*$F50+DV51*$F51+DV52*$F52)</f>
        <v>0</v>
      </c>
      <c r="DW66" s="56" t="n">
        <f aca="false">-(DW47*$F47+DW50*$F50+DW51*$F51+DW52*$F52)</f>
        <v>0</v>
      </c>
      <c r="DX66" s="56" t="n">
        <f aca="false">-(DX47*$F47+DX50*$F50+DX51*$F51+DX52*$F52)</f>
        <v>0</v>
      </c>
      <c r="DY66" s="56" t="n">
        <f aca="false">-(DY47*$F47+DY50*$F50+DY51*$F51+DY52*$F52)</f>
        <v>0</v>
      </c>
      <c r="DZ66" s="56" t="n">
        <f aca="false">-(DZ47*$F47+DZ50*$F50+DZ51*$F51+DZ52*$F52)</f>
        <v>0</v>
      </c>
      <c r="EA66" s="56" t="n">
        <f aca="false">-(EA47*$F47+EA50*$F50+EA51*$F51+EA52*$F52)</f>
        <v>0</v>
      </c>
      <c r="EB66" s="56" t="n">
        <f aca="false">-(EB47*$F47+EB50*$F50+EB51*$F51+EB52*$F52)</f>
        <v>0</v>
      </c>
      <c r="EC66" s="56" t="n">
        <f aca="false">-(EC47*$F47+EC50*$F50+EC51*$F51+EC52*$F52)</f>
        <v>0</v>
      </c>
      <c r="ED66" s="56" t="n">
        <f aca="false">-(ED47*$F47+ED50*$F50+ED51*$F51+ED52*$F52)</f>
        <v>0</v>
      </c>
      <c r="EE66" s="56" t="n">
        <f aca="false">-(EE47*$F47+EE50*$F50+EE51*$F51+EE52*$F52)</f>
        <v>0</v>
      </c>
      <c r="EF66" s="56" t="n">
        <f aca="false">-(EF47*$F47+EF50*$F50+EF51*$F51+EF52*$F52)</f>
        <v>0</v>
      </c>
      <c r="EG66" s="56" t="n">
        <f aca="false">-(EG47*$F47+EG50*$F50+EG51*$F51+EG52*$F52)</f>
        <v>0</v>
      </c>
      <c r="EH66" s="56" t="n">
        <f aca="false">-(EH47*$F47+EH50*$F50+EH51*$F51+EH52*$F52)</f>
        <v>0</v>
      </c>
      <c r="EI66" s="56" t="n">
        <f aca="false">-(EI47*$F47+EI50*$F50+EI51*$F51+EI52*$F52)</f>
        <v>0</v>
      </c>
      <c r="EJ66" s="56" t="n">
        <f aca="false">-(EJ47*$F47+EJ50*$F50+EJ51*$F51+EJ52*$F52)</f>
        <v>0</v>
      </c>
      <c r="EK66" s="56" t="n">
        <f aca="false">-(EK47*$F47+EK50*$F50+EK51*$F51+EK52*$F52)</f>
        <v>0</v>
      </c>
      <c r="EL66" s="56" t="n">
        <f aca="false">-(EL47*$F47+EL50*$F50+EL51*$F51+EL52*$F52)</f>
        <v>0</v>
      </c>
      <c r="EM66" s="56" t="n">
        <f aca="false">-(EM47*$F47+EM50*$F50+EM51*$F51+EM52*$F52)</f>
        <v>0</v>
      </c>
      <c r="EN66" s="56" t="n">
        <f aca="false">-(EN47*$F47+EN50*$F50+EN51*$F51+EN52*$F52)</f>
        <v>0</v>
      </c>
      <c r="EO66" s="56" t="n">
        <f aca="false">-(EO47*$F47+EO50*$F50+EO51*$F51+EO52*$F52)</f>
        <v>0</v>
      </c>
      <c r="EP66" s="56" t="n">
        <f aca="false">-(EP47*$F47+EP50*$F50+EP51*$F51+EP52*$F52)</f>
        <v>0</v>
      </c>
      <c r="EQ66" s="56" t="n">
        <f aca="false">-(EQ47*$F47+EQ50*$F50+EQ51*$F51+EQ52*$F52)</f>
        <v>0</v>
      </c>
      <c r="ER66" s="56" t="n">
        <f aca="false">-(ER47*$F47+ER50*$F50+ER51*$F51+ER52*$F52)</f>
        <v>0</v>
      </c>
      <c r="ES66" s="56" t="n">
        <f aca="false">-(ES47*$F47+ES50*$F50+ES51*$F51+ES52*$F52)</f>
        <v>0</v>
      </c>
      <c r="ET66" s="56" t="n">
        <f aca="false">-(ET47*$F47+ET50*$F50+ET51*$F51+ET52*$F52)</f>
        <v>0</v>
      </c>
    </row>
    <row r="67" customFormat="false" ht="15" hidden="false" customHeight="false" outlineLevel="0" collapsed="false">
      <c r="C67" s="0" t="s">
        <v>534</v>
      </c>
      <c r="D67" s="11" t="s">
        <v>253</v>
      </c>
      <c r="J67" s="22" t="n">
        <f aca="false">I70</f>
        <v>0</v>
      </c>
      <c r="K67" s="22" t="n">
        <f aca="false">J70</f>
        <v>0</v>
      </c>
      <c r="L67" s="22" t="n">
        <f aca="false">K70</f>
        <v>1242.07678738976</v>
      </c>
      <c r="M67" s="22" t="n">
        <f aca="false">L70</f>
        <v>1242.07678738976</v>
      </c>
      <c r="N67" s="22" t="n">
        <f aca="false">M70</f>
        <v>1242.07678738976</v>
      </c>
      <c r="O67" s="22" t="n">
        <f aca="false">N70</f>
        <v>1242.07678738976</v>
      </c>
      <c r="P67" s="22" t="n">
        <f aca="false">O70</f>
        <v>1391.12600187653</v>
      </c>
      <c r="Q67" s="22" t="n">
        <f aca="false">P70</f>
        <v>1391.12600187653</v>
      </c>
      <c r="R67" s="22" t="n">
        <f aca="false">Q70</f>
        <v>1391.12600187653</v>
      </c>
      <c r="S67" s="22" t="n">
        <f aca="false">R70</f>
        <v>1391.12600187653</v>
      </c>
      <c r="T67" s="22" t="n">
        <f aca="false">S70</f>
        <v>1558.51847859548</v>
      </c>
      <c r="U67" s="22" t="n">
        <f aca="false">T70</f>
        <v>21737.9058868147</v>
      </c>
      <c r="V67" s="22" t="n">
        <f aca="false">U70</f>
        <v>21737.9058868147</v>
      </c>
      <c r="W67" s="22" t="n">
        <f aca="false">V70</f>
        <v>21737.9058868147</v>
      </c>
      <c r="X67" s="22" t="n">
        <f aca="false">W70</f>
        <v>22985.0199428111</v>
      </c>
      <c r="Y67" s="22" t="n">
        <f aca="false">X70</f>
        <v>22985.0199428111</v>
      </c>
      <c r="Z67" s="22" t="n">
        <f aca="false">Y70</f>
        <v>22985.0199428111</v>
      </c>
      <c r="AA67" s="22" t="n">
        <f aca="false">Z70</f>
        <v>22985.0199428111</v>
      </c>
      <c r="AB67" s="22" t="n">
        <f aca="false">AA70</f>
        <v>25743.2223359484</v>
      </c>
      <c r="AC67" s="22" t="n">
        <f aca="false">AB70</f>
        <v>25743.2223359484</v>
      </c>
      <c r="AD67" s="22" t="n">
        <f aca="false">AC70</f>
        <v>25743.2223359484</v>
      </c>
      <c r="AE67" s="22" t="n">
        <f aca="false">AD70</f>
        <v>25743.2223359484</v>
      </c>
      <c r="AF67" s="22" t="n">
        <f aca="false">AE70</f>
        <v>28053.7647023201</v>
      </c>
      <c r="AG67" s="22" t="n">
        <f aca="false">AF70</f>
        <v>28053.7647023201</v>
      </c>
      <c r="AH67" s="22" t="n">
        <f aca="false">AG70</f>
        <v>28053.7647023201</v>
      </c>
      <c r="AI67" s="22" t="n">
        <f aca="false">AH70</f>
        <v>28053.7647023201</v>
      </c>
      <c r="AJ67" s="22" t="n">
        <f aca="false">AI70</f>
        <v>28053.7647023201</v>
      </c>
      <c r="AK67" s="22" t="n">
        <f aca="false">AJ70</f>
        <v>28053.7647023201</v>
      </c>
      <c r="AL67" s="22" t="n">
        <f aca="false">AK70</f>
        <v>28053.7647023201</v>
      </c>
      <c r="AM67" s="22" t="n">
        <f aca="false">AL70</f>
        <v>28053.7647023201</v>
      </c>
      <c r="AN67" s="22" t="n">
        <f aca="false">AM70</f>
        <v>28053.7647023201</v>
      </c>
      <c r="AO67" s="22" t="n">
        <f aca="false">AN70</f>
        <v>28053.7647023201</v>
      </c>
      <c r="AP67" s="22" t="n">
        <f aca="false">AO70</f>
        <v>28053.7647023201</v>
      </c>
      <c r="AQ67" s="22" t="n">
        <f aca="false">AP70</f>
        <v>28053.7647023201</v>
      </c>
      <c r="AR67" s="22" t="n">
        <f aca="false">AQ70</f>
        <v>28053.7647023201</v>
      </c>
      <c r="AS67" s="22" t="n">
        <f aca="false">AR70</f>
        <v>28053.7647023201</v>
      </c>
      <c r="AT67" s="22" t="n">
        <f aca="false">AS70</f>
        <v>28053.7647023201</v>
      </c>
      <c r="AU67" s="22" t="n">
        <f aca="false">AT70</f>
        <v>28053.7647023201</v>
      </c>
      <c r="AV67" s="22" t="n">
        <f aca="false">AU70</f>
        <v>28053.7647023201</v>
      </c>
      <c r="AW67" s="22" t="n">
        <f aca="false">AV70</f>
        <v>28053.7647023201</v>
      </c>
      <c r="AX67" s="22" t="n">
        <f aca="false">AW70</f>
        <v>28053.7647023201</v>
      </c>
      <c r="AY67" s="22" t="n">
        <f aca="false">AX70</f>
        <v>28053.7647023201</v>
      </c>
      <c r="AZ67" s="22" t="n">
        <f aca="false">AY70</f>
        <v>28053.7647023201</v>
      </c>
      <c r="BA67" s="22" t="n">
        <f aca="false">AZ70</f>
        <v>28053.7647023201</v>
      </c>
      <c r="BB67" s="22" t="n">
        <f aca="false">BA70</f>
        <v>28053.7647023201</v>
      </c>
      <c r="BC67" s="22" t="n">
        <f aca="false">BB70</f>
        <v>28053.7647023201</v>
      </c>
      <c r="BD67" s="22" t="n">
        <f aca="false">BC70</f>
        <v>28053.7647023201</v>
      </c>
      <c r="BE67" s="22" t="n">
        <f aca="false">BD70</f>
        <v>28053.7647023201</v>
      </c>
      <c r="BF67" s="22" t="n">
        <f aca="false">BE70</f>
        <v>28053.7647023201</v>
      </c>
      <c r="BG67" s="22" t="n">
        <f aca="false">BF70</f>
        <v>28053.7647023201</v>
      </c>
      <c r="BH67" s="22" t="n">
        <f aca="false">BG70</f>
        <v>28053.7647023201</v>
      </c>
      <c r="BI67" s="22" t="n">
        <f aca="false">BH70</f>
        <v>28053.7647023201</v>
      </c>
      <c r="BJ67" s="22" t="n">
        <f aca="false">BI70</f>
        <v>28053.7647023201</v>
      </c>
      <c r="BK67" s="22" t="n">
        <f aca="false">BJ70</f>
        <v>28053.7647023201</v>
      </c>
      <c r="BL67" s="22" t="n">
        <f aca="false">BK70</f>
        <v>28053.7647023201</v>
      </c>
      <c r="BM67" s="22" t="n">
        <f aca="false">BL70</f>
        <v>28053.7647023201</v>
      </c>
      <c r="BN67" s="22" t="n">
        <f aca="false">BM70</f>
        <v>28053.7647023201</v>
      </c>
      <c r="BO67" s="22" t="n">
        <f aca="false">BN70</f>
        <v>28053.7647023201</v>
      </c>
      <c r="BP67" s="22" t="n">
        <f aca="false">BO70</f>
        <v>28053.7647023201</v>
      </c>
      <c r="BQ67" s="22" t="n">
        <f aca="false">BP70</f>
        <v>28053.7647023201</v>
      </c>
      <c r="BR67" s="22" t="n">
        <f aca="false">BQ70</f>
        <v>28053.7647023201</v>
      </c>
      <c r="BS67" s="22" t="n">
        <f aca="false">BR70</f>
        <v>28053.7647023201</v>
      </c>
      <c r="BT67" s="22" t="n">
        <f aca="false">BS70</f>
        <v>28053.7647023201</v>
      </c>
      <c r="BU67" s="22" t="n">
        <f aca="false">BT70</f>
        <v>28053.7647023201</v>
      </c>
      <c r="BV67" s="22" t="n">
        <f aca="false">BU70</f>
        <v>28053.7647023201</v>
      </c>
      <c r="BW67" s="22" t="n">
        <f aca="false">BV70</f>
        <v>28053.7647023201</v>
      </c>
      <c r="BX67" s="22" t="n">
        <f aca="false">BW70</f>
        <v>28053.7647023201</v>
      </c>
      <c r="BY67" s="22" t="n">
        <f aca="false">BX70</f>
        <v>28053.7647023201</v>
      </c>
      <c r="BZ67" s="22" t="n">
        <f aca="false">BY70</f>
        <v>28053.7647023201</v>
      </c>
      <c r="CA67" s="22" t="n">
        <f aca="false">BZ70</f>
        <v>28053.7647023201</v>
      </c>
      <c r="CB67" s="22" t="n">
        <f aca="false">CA70</f>
        <v>28053.7647023201</v>
      </c>
      <c r="CC67" s="22" t="n">
        <f aca="false">CB70</f>
        <v>28053.7647023201</v>
      </c>
      <c r="CD67" s="22" t="n">
        <f aca="false">CC70</f>
        <v>28053.7647023201</v>
      </c>
      <c r="CE67" s="22" t="n">
        <f aca="false">CD70</f>
        <v>28053.7647023201</v>
      </c>
      <c r="CF67" s="22" t="n">
        <f aca="false">CE70</f>
        <v>28053.7647023201</v>
      </c>
      <c r="CG67" s="22" t="n">
        <f aca="false">CF70</f>
        <v>28053.7647023201</v>
      </c>
      <c r="CH67" s="22" t="n">
        <f aca="false">CG70</f>
        <v>28053.7647023201</v>
      </c>
      <c r="CI67" s="22" t="n">
        <f aca="false">CH70</f>
        <v>28053.7647023201</v>
      </c>
      <c r="CJ67" s="22" t="n">
        <f aca="false">CI70</f>
        <v>28053.7647023201</v>
      </c>
      <c r="CK67" s="22" t="n">
        <f aca="false">CJ70</f>
        <v>28053.7647023201</v>
      </c>
      <c r="CL67" s="22" t="n">
        <f aca="false">CK70</f>
        <v>28053.7647023201</v>
      </c>
      <c r="CM67" s="22" t="n">
        <f aca="false">CL70</f>
        <v>28053.7647023201</v>
      </c>
      <c r="CN67" s="22" t="n">
        <f aca="false">CM70</f>
        <v>28053.7647023201</v>
      </c>
      <c r="CO67" s="22" t="n">
        <f aca="false">CN70</f>
        <v>28053.7647023201</v>
      </c>
      <c r="CP67" s="22" t="n">
        <f aca="false">CO70</f>
        <v>28053.7647023201</v>
      </c>
      <c r="CQ67" s="22" t="n">
        <f aca="false">CP70</f>
        <v>28053.7647023201</v>
      </c>
      <c r="CR67" s="22" t="n">
        <f aca="false">CQ70</f>
        <v>28053.7647023201</v>
      </c>
      <c r="CS67" s="22" t="n">
        <f aca="false">CR70</f>
        <v>28053.7647023201</v>
      </c>
      <c r="CT67" s="22" t="n">
        <f aca="false">CS70</f>
        <v>28053.7647023201</v>
      </c>
      <c r="CU67" s="22" t="n">
        <f aca="false">CT70</f>
        <v>28053.7647023201</v>
      </c>
      <c r="CV67" s="22" t="n">
        <f aca="false">CU70</f>
        <v>28053.7647023201</v>
      </c>
      <c r="CW67" s="22" t="n">
        <f aca="false">CV70</f>
        <v>28053.7647023201</v>
      </c>
      <c r="CX67" s="22" t="n">
        <f aca="false">CW70</f>
        <v>28053.7647023201</v>
      </c>
      <c r="CY67" s="22" t="n">
        <f aca="false">CX70</f>
        <v>28053.7647023201</v>
      </c>
      <c r="CZ67" s="22" t="n">
        <f aca="false">CY70</f>
        <v>28053.7647023201</v>
      </c>
      <c r="DA67" s="22" t="n">
        <f aca="false">CZ70</f>
        <v>28053.7647023201</v>
      </c>
      <c r="DB67" s="22" t="n">
        <f aca="false">DA70</f>
        <v>28053.7647023201</v>
      </c>
      <c r="DC67" s="22" t="n">
        <f aca="false">DB70</f>
        <v>28053.7647023201</v>
      </c>
      <c r="DD67" s="22" t="n">
        <f aca="false">DC70</f>
        <v>28053.7647023201</v>
      </c>
      <c r="DE67" s="22" t="n">
        <f aca="false">DD70</f>
        <v>28053.7647023201</v>
      </c>
      <c r="DF67" s="22" t="n">
        <f aca="false">DE70</f>
        <v>28053.7647023201</v>
      </c>
      <c r="DG67" s="22" t="n">
        <f aca="false">DF70</f>
        <v>28053.7647023201</v>
      </c>
      <c r="DH67" s="22" t="n">
        <f aca="false">DG70</f>
        <v>28053.7647023201</v>
      </c>
      <c r="DI67" s="22" t="n">
        <f aca="false">DH70</f>
        <v>28053.7647023201</v>
      </c>
      <c r="DJ67" s="22" t="n">
        <f aca="false">DI70</f>
        <v>28053.7647023201</v>
      </c>
      <c r="DK67" s="22" t="n">
        <f aca="false">DJ70</f>
        <v>28053.7647023201</v>
      </c>
      <c r="DL67" s="22" t="n">
        <f aca="false">DK70</f>
        <v>28053.7647023201</v>
      </c>
      <c r="DM67" s="22" t="n">
        <f aca="false">DL70</f>
        <v>28053.7647023201</v>
      </c>
      <c r="DN67" s="22" t="n">
        <f aca="false">DM70</f>
        <v>28053.7647023201</v>
      </c>
      <c r="DO67" s="22" t="n">
        <f aca="false">DN70</f>
        <v>28053.7647023201</v>
      </c>
      <c r="DP67" s="22" t="n">
        <f aca="false">DO70</f>
        <v>28053.7647023201</v>
      </c>
      <c r="DQ67" s="22" t="n">
        <f aca="false">DP70</f>
        <v>28053.7647023201</v>
      </c>
      <c r="DR67" s="22" t="n">
        <f aca="false">DQ70</f>
        <v>28053.7647023201</v>
      </c>
      <c r="DS67" s="22" t="n">
        <f aca="false">DR70</f>
        <v>28053.7647023201</v>
      </c>
      <c r="DT67" s="22" t="n">
        <f aca="false">DS70</f>
        <v>28053.7647023201</v>
      </c>
      <c r="DU67" s="22" t="n">
        <f aca="false">DT70</f>
        <v>28053.7647023201</v>
      </c>
      <c r="DV67" s="22" t="n">
        <f aca="false">DU70</f>
        <v>28053.7647023201</v>
      </c>
      <c r="DW67" s="22" t="n">
        <f aca="false">DV70</f>
        <v>28053.7647023201</v>
      </c>
      <c r="DX67" s="22" t="n">
        <f aca="false">DW70</f>
        <v>28053.7647023201</v>
      </c>
      <c r="DY67" s="22" t="n">
        <f aca="false">DX70</f>
        <v>28053.7647023201</v>
      </c>
      <c r="DZ67" s="22" t="n">
        <f aca="false">DY70</f>
        <v>28053.7647023201</v>
      </c>
      <c r="EA67" s="22" t="n">
        <f aca="false">DZ70</f>
        <v>28053.7647023201</v>
      </c>
      <c r="EB67" s="22" t="n">
        <f aca="false">EA70</f>
        <v>28053.7647023201</v>
      </c>
      <c r="EC67" s="22" t="n">
        <f aca="false">EB70</f>
        <v>28053.7647023201</v>
      </c>
      <c r="ED67" s="22" t="n">
        <f aca="false">EC70</f>
        <v>28053.7647023201</v>
      </c>
      <c r="EE67" s="22" t="n">
        <f aca="false">ED70</f>
        <v>28053.7647023201</v>
      </c>
      <c r="EF67" s="22" t="n">
        <f aca="false">EE70</f>
        <v>28053.7647023201</v>
      </c>
      <c r="EG67" s="22" t="n">
        <f aca="false">EF70</f>
        <v>28053.7647023201</v>
      </c>
      <c r="EH67" s="22" t="n">
        <f aca="false">EG70</f>
        <v>28053.7647023201</v>
      </c>
      <c r="EI67" s="22" t="n">
        <f aca="false">EH70</f>
        <v>28053.7647023201</v>
      </c>
      <c r="EJ67" s="22" t="n">
        <f aca="false">EI70</f>
        <v>28053.7647023201</v>
      </c>
      <c r="EK67" s="22" t="n">
        <f aca="false">EJ70</f>
        <v>28053.7647023201</v>
      </c>
      <c r="EL67" s="22" t="n">
        <f aca="false">EK70</f>
        <v>28053.7647023201</v>
      </c>
      <c r="EM67" s="22" t="n">
        <f aca="false">EL70</f>
        <v>28053.7647023201</v>
      </c>
      <c r="EN67" s="22" t="n">
        <f aca="false">EM70</f>
        <v>28053.7647023201</v>
      </c>
      <c r="EO67" s="22" t="n">
        <f aca="false">EN70</f>
        <v>28053.7647023201</v>
      </c>
      <c r="EP67" s="22" t="n">
        <f aca="false">EO70</f>
        <v>28053.7647023201</v>
      </c>
      <c r="EQ67" s="22" t="n">
        <f aca="false">EP70</f>
        <v>28053.7647023201</v>
      </c>
      <c r="ER67" s="22" t="n">
        <f aca="false">EQ70</f>
        <v>28053.7647023201</v>
      </c>
      <c r="ES67" s="22" t="n">
        <f aca="false">ER70</f>
        <v>28053.7647023201</v>
      </c>
      <c r="ET67" s="22" t="n">
        <f aca="false">ES70</f>
        <v>28053.7647023201</v>
      </c>
    </row>
    <row r="68" customFormat="false" ht="15" hidden="false" customHeight="false" outlineLevel="0" collapsed="false">
      <c r="C68" s="0" t="s">
        <v>535</v>
      </c>
      <c r="D68" s="11" t="s">
        <v>253</v>
      </c>
      <c r="E68" s="33" t="n">
        <f aca="false">SUMIF($J$4:$ET$4,"&lt;="&amp;$E12,$J68:$ET68)</f>
        <v>1564.53664418093</v>
      </c>
      <c r="F68" s="33" t="n">
        <f aca="false">SUMIF($J$4:$ET$4,"&lt;="&amp;In_COD,$J68:$ET68)</f>
        <v>6633.28140368995</v>
      </c>
      <c r="I68" s="33" t="n">
        <f aca="false">SUM(J68:ET68)</f>
        <v>6633.28140368995</v>
      </c>
      <c r="J68" s="33" t="n">
        <f aca="false">In_Cash_Rate/Days_In_Year*(1-J19)*(J67*J$5+(J$4+1)*J65-J66)*(J$4&lt;=In_COD)</f>
        <v>0</v>
      </c>
      <c r="K68" s="33" t="n">
        <f aca="false">In_Cash_Rate/Days_In_Year*(1-K19)*(K67*K$5+(K$4+1)*K65-K66)*(K$4&lt;=In_COD)</f>
        <v>0.980896978796345</v>
      </c>
      <c r="L68" s="33" t="n">
        <f aca="false">In_Cash_Rate/Days_In_Year*(1-L19)*(L67*L$5+(L$4+1)*L65-L66)*(L$4&lt;=In_COD)</f>
        <v>36.751861106327</v>
      </c>
      <c r="M68" s="33" t="n">
        <f aca="false">In_Cash_Rate/Days_In_Year*(1-M19)*(M67*M$5+(M$4+1)*M65-M66)*(M$4&lt;=In_COD)</f>
        <v>37.1602151186195</v>
      </c>
      <c r="N68" s="33" t="n">
        <f aca="false">In_Cash_Rate/Days_In_Year*(1-N19)*(N67*N$5+(N$4+1)*N65-N66)*(N$4&lt;=In_COD)</f>
        <v>37.5685691309121</v>
      </c>
      <c r="O68" s="33" t="n">
        <f aca="false">In_Cash_Rate/Days_In_Year*(1-O19)*(O67*O$5+(O$4+1)*O65-O66)*(O$4&lt;=In_COD)</f>
        <v>37.5685691309121</v>
      </c>
      <c r="P68" s="33" t="n">
        <f aca="false">In_Cash_Rate/Days_In_Year*(1-P19)*(P67*P$5+(P$4+1)*P65-P66)*(P$4&lt;=In_COD)</f>
        <v>41.6194409328539</v>
      </c>
      <c r="Q68" s="33" t="n">
        <f aca="false">In_Cash_Rate/Days_In_Year*(1-Q19)*(Q67*Q$5+(Q$4+1)*Q65-Q66)*(Q$4&lt;=In_COD)</f>
        <v>41.6194409328539</v>
      </c>
      <c r="R68" s="33" t="n">
        <f aca="false">In_Cash_Rate/Days_In_Year*(1-R19)*(R67*R$5+(R$4+1)*R65-R66)*(R$4&lt;=In_COD)</f>
        <v>42.0767974266215</v>
      </c>
      <c r="S68" s="33" t="n">
        <f aca="false">In_Cash_Rate/Days_In_Year*(1-S19)*(S67*S$5+(S$4+1)*S65-S66)*(S$4&lt;=In_COD)</f>
        <v>42.0767974266215</v>
      </c>
      <c r="T68" s="33" t="n">
        <f aca="false">In_Cash_Rate/Days_In_Year*(1-T19)*(T67*T$5+(T$4+1)*T65-T66)*(T$4&lt;=In_COD)</f>
        <v>596.763556588147</v>
      </c>
      <c r="U68" s="33" t="n">
        <f aca="false">In_Cash_Rate/Days_In_Year*(1-U19)*(U67*U$5+(U$4+1)*U65-U66)*(U$4&lt;=In_COD)</f>
        <v>650.350499408263</v>
      </c>
      <c r="V68" s="33" t="n">
        <f aca="false">In_Cash_Rate/Days_In_Year*(1-V19)*(V67*V$5+(V$4+1)*V65-V66)*(V$4&lt;=In_COD)</f>
        <v>0</v>
      </c>
      <c r="W68" s="33" t="n">
        <f aca="false">In_Cash_Rate/Days_In_Year*(1-W19)*(W67*W$5+(W$4+1)*W65-W66)*(W$4&lt;=In_COD)</f>
        <v>0</v>
      </c>
      <c r="X68" s="33" t="n">
        <f aca="false">In_Cash_Rate/Days_In_Year*(1-X19)*(X67*X$5+(X$4+1)*X65-X66)*(X$4&lt;=In_COD)</f>
        <v>680.104699677698</v>
      </c>
      <c r="Y68" s="33" t="n">
        <f aca="false">In_Cash_Rate/Days_In_Year*(1-Y19)*(Y67*Y$5+(Y$4+1)*Y65-Y66)*(Y$4&lt;=In_COD)</f>
        <v>687.661418563005</v>
      </c>
      <c r="Z68" s="33" t="n">
        <f aca="false">In_Cash_Rate/Days_In_Year*(1-Z19)*(Z67*Z$5+(Z$4+1)*Z65-Z66)*(Z$4&lt;=In_COD)</f>
        <v>695.218137448313</v>
      </c>
      <c r="AA68" s="33" t="n">
        <f aca="false">In_Cash_Rate/Days_In_Year*(1-AA19)*(AA67*AA$5+(AA$4+1)*AA65-AA66)*(AA$4&lt;=In_COD)</f>
        <v>695.218137448313</v>
      </c>
      <c r="AB68" s="33" t="n">
        <f aca="false">In_Cash_Rate/Days_In_Year*(1-AB19)*(AB67*AB$5+(AB$4+1)*AB65-AB66)*(AB$4&lt;=In_COD)</f>
        <v>761.717263639021</v>
      </c>
      <c r="AC68" s="33" t="n">
        <f aca="false">In_Cash_Rate/Days_In_Year*(1-AC19)*(AC67*AC$5+(AC$4+1)*AC65-AC66)*(AC$4&lt;=In_COD)</f>
        <v>770.180788790566</v>
      </c>
      <c r="AD68" s="33" t="n">
        <f aca="false">In_Cash_Rate/Days_In_Year*(1-AD19)*(AD67*AD$5+(AD$4+1)*AD65-AD66)*(AD$4&lt;=In_COD)</f>
        <v>778.64431394211</v>
      </c>
      <c r="AE68" s="33" t="n">
        <f aca="false">In_Cash_Rate/Days_In_Year*(1-AE19)*(AE67*AE$5+(AE$4+1)*AE65-AE66)*(AE$4&lt;=In_COD)</f>
        <v>0</v>
      </c>
      <c r="AF68" s="33" t="n">
        <f aca="false">In_Cash_Rate/Days_In_Year*(1-AF19)*(AF67*AF$5+(AF$4+1)*AF65-AF66)*(AF$4&lt;=In_COD)</f>
        <v>0</v>
      </c>
      <c r="AG68" s="33" t="n">
        <f aca="false">In_Cash_Rate/Days_In_Year*(1-AG19)*(AG67*AG$5+(AG$4+1)*AG65-AG66)*(AG$4&lt;=In_COD)</f>
        <v>0</v>
      </c>
      <c r="AH68" s="33" t="n">
        <f aca="false">In_Cash_Rate/Days_In_Year*(1-AH19)*(AH67*AH$5+(AH$4+1)*AH65-AH66)*(AH$4&lt;=In_COD)</f>
        <v>0</v>
      </c>
      <c r="AI68" s="33" t="n">
        <f aca="false">In_Cash_Rate/Days_In_Year*(1-AI19)*(AI67*AI$5+(AI$4+1)*AI65-AI66)*(AI$4&lt;=In_COD)</f>
        <v>0</v>
      </c>
      <c r="AJ68" s="33" t="n">
        <f aca="false">In_Cash_Rate/Days_In_Year*(1-AJ19)*(AJ67*AJ$5+(AJ$4+1)*AJ65-AJ66)*(AJ$4&lt;=In_COD)</f>
        <v>0</v>
      </c>
      <c r="AK68" s="33" t="n">
        <f aca="false">In_Cash_Rate/Days_In_Year*(1-AK19)*(AK67*AK$5+(AK$4+1)*AK65-AK66)*(AK$4&lt;=In_COD)</f>
        <v>0</v>
      </c>
      <c r="AL68" s="33" t="n">
        <f aca="false">In_Cash_Rate/Days_In_Year*(1-AL19)*(AL67*AL$5+(AL$4+1)*AL65-AL66)*(AL$4&lt;=In_COD)</f>
        <v>0</v>
      </c>
      <c r="AM68" s="33" t="n">
        <f aca="false">In_Cash_Rate/Days_In_Year*(1-AM19)*(AM67*AM$5+(AM$4+1)*AM65-AM66)*(AM$4&lt;=In_COD)</f>
        <v>0</v>
      </c>
      <c r="AN68" s="33" t="n">
        <f aca="false">In_Cash_Rate/Days_In_Year*(1-AN19)*(AN67*AN$5+(AN$4+1)*AN65-AN66)*(AN$4&lt;=In_COD)</f>
        <v>0</v>
      </c>
      <c r="AO68" s="33" t="n">
        <f aca="false">In_Cash_Rate/Days_In_Year*(1-AO19)*(AO67*AO$5+(AO$4+1)*AO65-AO66)*(AO$4&lt;=In_COD)</f>
        <v>0</v>
      </c>
      <c r="AP68" s="33" t="n">
        <f aca="false">In_Cash_Rate/Days_In_Year*(1-AP19)*(AP67*AP$5+(AP$4+1)*AP65-AP66)*(AP$4&lt;=In_COD)</f>
        <v>0</v>
      </c>
      <c r="AQ68" s="33" t="n">
        <f aca="false">In_Cash_Rate/Days_In_Year*(1-AQ19)*(AQ67*AQ$5+(AQ$4+1)*AQ65-AQ66)*(AQ$4&lt;=In_COD)</f>
        <v>0</v>
      </c>
      <c r="AR68" s="33" t="n">
        <f aca="false">In_Cash_Rate/Days_In_Year*(1-AR19)*(AR67*AR$5+(AR$4+1)*AR65-AR66)*(AR$4&lt;=In_COD)</f>
        <v>0</v>
      </c>
      <c r="AS68" s="33" t="n">
        <f aca="false">In_Cash_Rate/Days_In_Year*(1-AS19)*(AS67*AS$5+(AS$4+1)*AS65-AS66)*(AS$4&lt;=In_COD)</f>
        <v>0</v>
      </c>
      <c r="AT68" s="33" t="n">
        <f aca="false">In_Cash_Rate/Days_In_Year*(1-AT19)*(AT67*AT$5+(AT$4+1)*AT65-AT66)*(AT$4&lt;=In_COD)</f>
        <v>0</v>
      </c>
      <c r="AU68" s="33" t="n">
        <f aca="false">In_Cash_Rate/Days_In_Year*(1-AU19)*(AU67*AU$5+(AU$4+1)*AU65-AU66)*(AU$4&lt;=In_COD)</f>
        <v>0</v>
      </c>
      <c r="AV68" s="33" t="n">
        <f aca="false">In_Cash_Rate/Days_In_Year*(1-AV19)*(AV67*AV$5+(AV$4+1)*AV65-AV66)*(AV$4&lt;=In_COD)</f>
        <v>0</v>
      </c>
      <c r="AW68" s="33" t="n">
        <f aca="false">In_Cash_Rate/Days_In_Year*(1-AW19)*(AW67*AW$5+(AW$4+1)*AW65-AW66)*(AW$4&lt;=In_COD)</f>
        <v>0</v>
      </c>
      <c r="AX68" s="33" t="n">
        <f aca="false">In_Cash_Rate/Days_In_Year*(1-AX19)*(AX67*AX$5+(AX$4+1)*AX65-AX66)*(AX$4&lt;=In_COD)</f>
        <v>0</v>
      </c>
      <c r="AY68" s="33" t="n">
        <f aca="false">In_Cash_Rate/Days_In_Year*(1-AY19)*(AY67*AY$5+(AY$4+1)*AY65-AY66)*(AY$4&lt;=In_COD)</f>
        <v>0</v>
      </c>
      <c r="AZ68" s="33" t="n">
        <f aca="false">In_Cash_Rate/Days_In_Year*(1-AZ19)*(AZ67*AZ$5+(AZ$4+1)*AZ65-AZ66)*(AZ$4&lt;=In_COD)</f>
        <v>0</v>
      </c>
      <c r="BA68" s="33" t="n">
        <f aca="false">In_Cash_Rate/Days_In_Year*(1-BA19)*(BA67*BA$5+(BA$4+1)*BA65-BA66)*(BA$4&lt;=In_COD)</f>
        <v>0</v>
      </c>
      <c r="BB68" s="33" t="n">
        <f aca="false">In_Cash_Rate/Days_In_Year*(1-BB19)*(BB67*BB$5+(BB$4+1)*BB65-BB66)*(BB$4&lt;=In_COD)</f>
        <v>0</v>
      </c>
      <c r="BC68" s="33" t="n">
        <f aca="false">In_Cash_Rate/Days_In_Year*(1-BC19)*(BC67*BC$5+(BC$4+1)*BC65-BC66)*(BC$4&lt;=In_COD)</f>
        <v>0</v>
      </c>
      <c r="BD68" s="33" t="n">
        <f aca="false">In_Cash_Rate/Days_In_Year*(1-BD19)*(BD67*BD$5+(BD$4+1)*BD65-BD66)*(BD$4&lt;=In_COD)</f>
        <v>0</v>
      </c>
      <c r="BE68" s="33" t="n">
        <f aca="false">In_Cash_Rate/Days_In_Year*(1-BE19)*(BE67*BE$5+(BE$4+1)*BE65-BE66)*(BE$4&lt;=In_COD)</f>
        <v>0</v>
      </c>
      <c r="BF68" s="33" t="n">
        <f aca="false">In_Cash_Rate/Days_In_Year*(1-BF19)*(BF67*BF$5+(BF$4+1)*BF65-BF66)*(BF$4&lt;=In_COD)</f>
        <v>0</v>
      </c>
      <c r="BG68" s="33" t="n">
        <f aca="false">In_Cash_Rate/Days_In_Year*(1-BG19)*(BG67*BG$5+(BG$4+1)*BG65-BG66)*(BG$4&lt;=In_COD)</f>
        <v>0</v>
      </c>
      <c r="BH68" s="33" t="n">
        <f aca="false">In_Cash_Rate/Days_In_Year*(1-BH19)*(BH67*BH$5+(BH$4+1)*BH65-BH66)*(BH$4&lt;=In_COD)</f>
        <v>0</v>
      </c>
      <c r="BI68" s="33" t="n">
        <f aca="false">In_Cash_Rate/Days_In_Year*(1-BI19)*(BI67*BI$5+(BI$4+1)*BI65-BI66)*(BI$4&lt;=In_COD)</f>
        <v>0</v>
      </c>
      <c r="BJ68" s="33" t="n">
        <f aca="false">In_Cash_Rate/Days_In_Year*(1-BJ19)*(BJ67*BJ$5+(BJ$4+1)*BJ65-BJ66)*(BJ$4&lt;=In_COD)</f>
        <v>0</v>
      </c>
      <c r="BK68" s="33" t="n">
        <f aca="false">In_Cash_Rate/Days_In_Year*(1-BK19)*(BK67*BK$5+(BK$4+1)*BK65-BK66)*(BK$4&lt;=In_COD)</f>
        <v>0</v>
      </c>
      <c r="BL68" s="33" t="n">
        <f aca="false">In_Cash_Rate/Days_In_Year*(1-BL19)*(BL67*BL$5+(BL$4+1)*BL65-BL66)*(BL$4&lt;=In_COD)</f>
        <v>0</v>
      </c>
      <c r="BM68" s="33" t="n">
        <f aca="false">In_Cash_Rate/Days_In_Year*(1-BM19)*(BM67*BM$5+(BM$4+1)*BM65-BM66)*(BM$4&lt;=In_COD)</f>
        <v>0</v>
      </c>
      <c r="BN68" s="33" t="n">
        <f aca="false">In_Cash_Rate/Days_In_Year*(1-BN19)*(BN67*BN$5+(BN$4+1)*BN65-BN66)*(BN$4&lt;=In_COD)</f>
        <v>0</v>
      </c>
      <c r="BO68" s="33" t="n">
        <f aca="false">In_Cash_Rate/Days_In_Year*(1-BO19)*(BO67*BO$5+(BO$4+1)*BO65-BO66)*(BO$4&lt;=In_COD)</f>
        <v>0</v>
      </c>
      <c r="BP68" s="33" t="n">
        <f aca="false">In_Cash_Rate/Days_In_Year*(1-BP19)*(BP67*BP$5+(BP$4+1)*BP65-BP66)*(BP$4&lt;=In_COD)</f>
        <v>0</v>
      </c>
      <c r="BQ68" s="33" t="n">
        <f aca="false">In_Cash_Rate/Days_In_Year*(1-BQ19)*(BQ67*BQ$5+(BQ$4+1)*BQ65-BQ66)*(BQ$4&lt;=In_COD)</f>
        <v>0</v>
      </c>
      <c r="BR68" s="33" t="n">
        <f aca="false">In_Cash_Rate/Days_In_Year*(1-BR19)*(BR67*BR$5+(BR$4+1)*BR65-BR66)*(BR$4&lt;=In_COD)</f>
        <v>0</v>
      </c>
      <c r="BS68" s="33" t="n">
        <f aca="false">In_Cash_Rate/Days_In_Year*(1-BS19)*(BS67*BS$5+(BS$4+1)*BS65-BS66)*(BS$4&lt;=In_COD)</f>
        <v>0</v>
      </c>
      <c r="BT68" s="33" t="n">
        <f aca="false">In_Cash_Rate/Days_In_Year*(1-BT19)*(BT67*BT$5+(BT$4+1)*BT65-BT66)*(BT$4&lt;=In_COD)</f>
        <v>0</v>
      </c>
      <c r="BU68" s="33" t="n">
        <f aca="false">In_Cash_Rate/Days_In_Year*(1-BU19)*(BU67*BU$5+(BU$4+1)*BU65-BU66)*(BU$4&lt;=In_COD)</f>
        <v>0</v>
      </c>
      <c r="BV68" s="33" t="n">
        <f aca="false">In_Cash_Rate/Days_In_Year*(1-BV19)*(BV67*BV$5+(BV$4+1)*BV65-BV66)*(BV$4&lt;=In_COD)</f>
        <v>0</v>
      </c>
      <c r="BW68" s="33" t="n">
        <f aca="false">In_Cash_Rate/Days_In_Year*(1-BW19)*(BW67*BW$5+(BW$4+1)*BW65-BW66)*(BW$4&lt;=In_COD)</f>
        <v>0</v>
      </c>
      <c r="BX68" s="33" t="n">
        <f aca="false">In_Cash_Rate/Days_In_Year*(1-BX19)*(BX67*BX$5+(BX$4+1)*BX65-BX66)*(BX$4&lt;=In_COD)</f>
        <v>0</v>
      </c>
      <c r="BY68" s="33" t="n">
        <f aca="false">In_Cash_Rate/Days_In_Year*(1-BY19)*(BY67*BY$5+(BY$4+1)*BY65-BY66)*(BY$4&lt;=In_COD)</f>
        <v>0</v>
      </c>
      <c r="BZ68" s="33" t="n">
        <f aca="false">In_Cash_Rate/Days_In_Year*(1-BZ19)*(BZ67*BZ$5+(BZ$4+1)*BZ65-BZ66)*(BZ$4&lt;=In_COD)</f>
        <v>0</v>
      </c>
      <c r="CA68" s="33" t="n">
        <f aca="false">In_Cash_Rate/Days_In_Year*(1-CA19)*(CA67*CA$5+(CA$4+1)*CA65-CA66)*(CA$4&lt;=In_COD)</f>
        <v>0</v>
      </c>
      <c r="CB68" s="33" t="n">
        <f aca="false">In_Cash_Rate/Days_In_Year*(1-CB19)*(CB67*CB$5+(CB$4+1)*CB65-CB66)*(CB$4&lt;=In_COD)</f>
        <v>0</v>
      </c>
      <c r="CC68" s="33" t="n">
        <f aca="false">In_Cash_Rate/Days_In_Year*(1-CC19)*(CC67*CC$5+(CC$4+1)*CC65-CC66)*(CC$4&lt;=In_COD)</f>
        <v>0</v>
      </c>
      <c r="CD68" s="33" t="n">
        <f aca="false">In_Cash_Rate/Days_In_Year*(1-CD19)*(CD67*CD$5+(CD$4+1)*CD65-CD66)*(CD$4&lt;=In_COD)</f>
        <v>0</v>
      </c>
      <c r="CE68" s="33" t="n">
        <f aca="false">In_Cash_Rate/Days_In_Year*(1-CE19)*(CE67*CE$5+(CE$4+1)*CE65-CE66)*(CE$4&lt;=In_COD)</f>
        <v>0</v>
      </c>
      <c r="CF68" s="33" t="n">
        <f aca="false">In_Cash_Rate/Days_In_Year*(1-CF19)*(CF67*CF$5+(CF$4+1)*CF65-CF66)*(CF$4&lt;=In_COD)</f>
        <v>0</v>
      </c>
      <c r="CG68" s="33" t="n">
        <f aca="false">In_Cash_Rate/Days_In_Year*(1-CG19)*(CG67*CG$5+(CG$4+1)*CG65-CG66)*(CG$4&lt;=In_COD)</f>
        <v>0</v>
      </c>
      <c r="CH68" s="33" t="n">
        <f aca="false">In_Cash_Rate/Days_In_Year*(1-CH19)*(CH67*CH$5+(CH$4+1)*CH65-CH66)*(CH$4&lt;=In_COD)</f>
        <v>0</v>
      </c>
      <c r="CI68" s="33" t="n">
        <f aca="false">In_Cash_Rate/Days_In_Year*(1-CI19)*(CI67*CI$5+(CI$4+1)*CI65-CI66)*(CI$4&lt;=In_COD)</f>
        <v>0</v>
      </c>
      <c r="CJ68" s="33" t="n">
        <f aca="false">In_Cash_Rate/Days_In_Year*(1-CJ19)*(CJ67*CJ$5+(CJ$4+1)*CJ65-CJ66)*(CJ$4&lt;=In_COD)</f>
        <v>0</v>
      </c>
      <c r="CK68" s="33" t="n">
        <f aca="false">In_Cash_Rate/Days_In_Year*(1-CK19)*(CK67*CK$5+(CK$4+1)*CK65-CK66)*(CK$4&lt;=In_COD)</f>
        <v>0</v>
      </c>
      <c r="CL68" s="33" t="n">
        <f aca="false">In_Cash_Rate/Days_In_Year*(1-CL19)*(CL67*CL$5+(CL$4+1)*CL65-CL66)*(CL$4&lt;=In_COD)</f>
        <v>0</v>
      </c>
      <c r="CM68" s="33" t="n">
        <f aca="false">In_Cash_Rate/Days_In_Year*(1-CM19)*(CM67*CM$5+(CM$4+1)*CM65-CM66)*(CM$4&lt;=In_COD)</f>
        <v>0</v>
      </c>
      <c r="CN68" s="33" t="n">
        <f aca="false">In_Cash_Rate/Days_In_Year*(1-CN19)*(CN67*CN$5+(CN$4+1)*CN65-CN66)*(CN$4&lt;=In_COD)</f>
        <v>0</v>
      </c>
      <c r="CO68" s="33" t="n">
        <f aca="false">In_Cash_Rate/Days_In_Year*(1-CO19)*(CO67*CO$5+(CO$4+1)*CO65-CO66)*(CO$4&lt;=In_COD)</f>
        <v>0</v>
      </c>
      <c r="CP68" s="33" t="n">
        <f aca="false">In_Cash_Rate/Days_In_Year*(1-CP19)*(CP67*CP$5+(CP$4+1)*CP65-CP66)*(CP$4&lt;=In_COD)</f>
        <v>0</v>
      </c>
      <c r="CQ68" s="33" t="n">
        <f aca="false">In_Cash_Rate/Days_In_Year*(1-CQ19)*(CQ67*CQ$5+(CQ$4+1)*CQ65-CQ66)*(CQ$4&lt;=In_COD)</f>
        <v>0</v>
      </c>
      <c r="CR68" s="33" t="n">
        <f aca="false">In_Cash_Rate/Days_In_Year*(1-CR19)*(CR67*CR$5+(CR$4+1)*CR65-CR66)*(CR$4&lt;=In_COD)</f>
        <v>0</v>
      </c>
      <c r="CS68" s="33" t="n">
        <f aca="false">In_Cash_Rate/Days_In_Year*(1-CS19)*(CS67*CS$5+(CS$4+1)*CS65-CS66)*(CS$4&lt;=In_COD)</f>
        <v>0</v>
      </c>
      <c r="CT68" s="33" t="n">
        <f aca="false">In_Cash_Rate/Days_In_Year*(1-CT19)*(CT67*CT$5+(CT$4+1)*CT65-CT66)*(CT$4&lt;=In_COD)</f>
        <v>0</v>
      </c>
      <c r="CU68" s="33" t="n">
        <f aca="false">In_Cash_Rate/Days_In_Year*(1-CU19)*(CU67*CU$5+(CU$4+1)*CU65-CU66)*(CU$4&lt;=In_COD)</f>
        <v>0</v>
      </c>
      <c r="CV68" s="33" t="n">
        <f aca="false">In_Cash_Rate/Days_In_Year*(1-CV19)*(CV67*CV$5+(CV$4+1)*CV65-CV66)*(CV$4&lt;=In_COD)</f>
        <v>0</v>
      </c>
      <c r="CW68" s="33" t="n">
        <f aca="false">In_Cash_Rate/Days_In_Year*(1-CW19)*(CW67*CW$5+(CW$4+1)*CW65-CW66)*(CW$4&lt;=In_COD)</f>
        <v>0</v>
      </c>
      <c r="CX68" s="33" t="n">
        <f aca="false">In_Cash_Rate/Days_In_Year*(1-CX19)*(CX67*CX$5+(CX$4+1)*CX65-CX66)*(CX$4&lt;=In_COD)</f>
        <v>0</v>
      </c>
      <c r="CY68" s="33" t="n">
        <f aca="false">In_Cash_Rate/Days_In_Year*(1-CY19)*(CY67*CY$5+(CY$4+1)*CY65-CY66)*(CY$4&lt;=In_COD)</f>
        <v>0</v>
      </c>
      <c r="CZ68" s="33" t="n">
        <f aca="false">In_Cash_Rate/Days_In_Year*(1-CZ19)*(CZ67*CZ$5+(CZ$4+1)*CZ65-CZ66)*(CZ$4&lt;=In_COD)</f>
        <v>0</v>
      </c>
      <c r="DA68" s="33" t="n">
        <f aca="false">In_Cash_Rate/Days_In_Year*(1-DA19)*(DA67*DA$5+(DA$4+1)*DA65-DA66)*(DA$4&lt;=In_COD)</f>
        <v>0</v>
      </c>
      <c r="DB68" s="33" t="n">
        <f aca="false">In_Cash_Rate/Days_In_Year*(1-DB19)*(DB67*DB$5+(DB$4+1)*DB65-DB66)*(DB$4&lt;=In_COD)</f>
        <v>0</v>
      </c>
      <c r="DC68" s="33" t="n">
        <f aca="false">In_Cash_Rate/Days_In_Year*(1-DC19)*(DC67*DC$5+(DC$4+1)*DC65-DC66)*(DC$4&lt;=In_COD)</f>
        <v>0</v>
      </c>
      <c r="DD68" s="33" t="n">
        <f aca="false">In_Cash_Rate/Days_In_Year*(1-DD19)*(DD67*DD$5+(DD$4+1)*DD65-DD66)*(DD$4&lt;=In_COD)</f>
        <v>0</v>
      </c>
      <c r="DE68" s="33" t="n">
        <f aca="false">In_Cash_Rate/Days_In_Year*(1-DE19)*(DE67*DE$5+(DE$4+1)*DE65-DE66)*(DE$4&lt;=In_COD)</f>
        <v>0</v>
      </c>
      <c r="DF68" s="33" t="n">
        <f aca="false">In_Cash_Rate/Days_In_Year*(1-DF19)*(DF67*DF$5+(DF$4+1)*DF65-DF66)*(DF$4&lt;=In_COD)</f>
        <v>0</v>
      </c>
      <c r="DG68" s="33" t="n">
        <f aca="false">In_Cash_Rate/Days_In_Year*(1-DG19)*(DG67*DG$5+(DG$4+1)*DG65-DG66)*(DG$4&lt;=In_COD)</f>
        <v>0</v>
      </c>
      <c r="DH68" s="33" t="n">
        <f aca="false">In_Cash_Rate/Days_In_Year*(1-DH19)*(DH67*DH$5+(DH$4+1)*DH65-DH66)*(DH$4&lt;=In_COD)</f>
        <v>0</v>
      </c>
      <c r="DI68" s="33" t="n">
        <f aca="false">In_Cash_Rate/Days_In_Year*(1-DI19)*(DI67*DI$5+(DI$4+1)*DI65-DI66)*(DI$4&lt;=In_COD)</f>
        <v>0</v>
      </c>
      <c r="DJ68" s="33" t="n">
        <f aca="false">In_Cash_Rate/Days_In_Year*(1-DJ19)*(DJ67*DJ$5+(DJ$4+1)*DJ65-DJ66)*(DJ$4&lt;=In_COD)</f>
        <v>0</v>
      </c>
      <c r="DK68" s="33" t="n">
        <f aca="false">In_Cash_Rate/Days_In_Year*(1-DK19)*(DK67*DK$5+(DK$4+1)*DK65-DK66)*(DK$4&lt;=In_COD)</f>
        <v>0</v>
      </c>
      <c r="DL68" s="33" t="n">
        <f aca="false">In_Cash_Rate/Days_In_Year*(1-DL19)*(DL67*DL$5+(DL$4+1)*DL65-DL66)*(DL$4&lt;=In_COD)</f>
        <v>0</v>
      </c>
      <c r="DM68" s="33" t="n">
        <f aca="false">In_Cash_Rate/Days_In_Year*(1-DM19)*(DM67*DM$5+(DM$4+1)*DM65-DM66)*(DM$4&lt;=In_COD)</f>
        <v>0</v>
      </c>
      <c r="DN68" s="33" t="n">
        <f aca="false">In_Cash_Rate/Days_In_Year*(1-DN19)*(DN67*DN$5+(DN$4+1)*DN65-DN66)*(DN$4&lt;=In_COD)</f>
        <v>0</v>
      </c>
      <c r="DO68" s="33" t="n">
        <f aca="false">In_Cash_Rate/Days_In_Year*(1-DO19)*(DO67*DO$5+(DO$4+1)*DO65-DO66)*(DO$4&lt;=In_COD)</f>
        <v>0</v>
      </c>
      <c r="DP68" s="33" t="n">
        <f aca="false">In_Cash_Rate/Days_In_Year*(1-DP19)*(DP67*DP$5+(DP$4+1)*DP65-DP66)*(DP$4&lt;=In_COD)</f>
        <v>0</v>
      </c>
      <c r="DQ68" s="33" t="n">
        <f aca="false">In_Cash_Rate/Days_In_Year*(1-DQ19)*(DQ67*DQ$5+(DQ$4+1)*DQ65-DQ66)*(DQ$4&lt;=In_COD)</f>
        <v>0</v>
      </c>
      <c r="DR68" s="33" t="n">
        <f aca="false">In_Cash_Rate/Days_In_Year*(1-DR19)*(DR67*DR$5+(DR$4+1)*DR65-DR66)*(DR$4&lt;=In_COD)</f>
        <v>0</v>
      </c>
      <c r="DS68" s="33" t="n">
        <f aca="false">In_Cash_Rate/Days_In_Year*(1-DS19)*(DS67*DS$5+(DS$4+1)*DS65-DS66)*(DS$4&lt;=In_COD)</f>
        <v>0</v>
      </c>
      <c r="DT68" s="33" t="n">
        <f aca="false">In_Cash_Rate/Days_In_Year*(1-DT19)*(DT67*DT$5+(DT$4+1)*DT65-DT66)*(DT$4&lt;=In_COD)</f>
        <v>0</v>
      </c>
      <c r="DU68" s="33" t="n">
        <f aca="false">In_Cash_Rate/Days_In_Year*(1-DU19)*(DU67*DU$5+(DU$4+1)*DU65-DU66)*(DU$4&lt;=In_COD)</f>
        <v>0</v>
      </c>
      <c r="DV68" s="33" t="n">
        <f aca="false">In_Cash_Rate/Days_In_Year*(1-DV19)*(DV67*DV$5+(DV$4+1)*DV65-DV66)*(DV$4&lt;=In_COD)</f>
        <v>0</v>
      </c>
      <c r="DW68" s="33" t="n">
        <f aca="false">In_Cash_Rate/Days_In_Year*(1-DW19)*(DW67*DW$5+(DW$4+1)*DW65-DW66)*(DW$4&lt;=In_COD)</f>
        <v>0</v>
      </c>
      <c r="DX68" s="33" t="n">
        <f aca="false">In_Cash_Rate/Days_In_Year*(1-DX19)*(DX67*DX$5+(DX$4+1)*DX65-DX66)*(DX$4&lt;=In_COD)</f>
        <v>0</v>
      </c>
      <c r="DY68" s="33" t="n">
        <f aca="false">In_Cash_Rate/Days_In_Year*(1-DY19)*(DY67*DY$5+(DY$4+1)*DY65-DY66)*(DY$4&lt;=In_COD)</f>
        <v>0</v>
      </c>
      <c r="DZ68" s="33" t="n">
        <f aca="false">In_Cash_Rate/Days_In_Year*(1-DZ19)*(DZ67*DZ$5+(DZ$4+1)*DZ65-DZ66)*(DZ$4&lt;=In_COD)</f>
        <v>0</v>
      </c>
      <c r="EA68" s="33" t="n">
        <f aca="false">In_Cash_Rate/Days_In_Year*(1-EA19)*(EA67*EA$5+(EA$4+1)*EA65-EA66)*(EA$4&lt;=In_COD)</f>
        <v>0</v>
      </c>
      <c r="EB68" s="33" t="n">
        <f aca="false">In_Cash_Rate/Days_In_Year*(1-EB19)*(EB67*EB$5+(EB$4+1)*EB65-EB66)*(EB$4&lt;=In_COD)</f>
        <v>0</v>
      </c>
      <c r="EC68" s="33" t="n">
        <f aca="false">In_Cash_Rate/Days_In_Year*(1-EC19)*(EC67*EC$5+(EC$4+1)*EC65-EC66)*(EC$4&lt;=In_COD)</f>
        <v>0</v>
      </c>
      <c r="ED68" s="33" t="n">
        <f aca="false">In_Cash_Rate/Days_In_Year*(1-ED19)*(ED67*ED$5+(ED$4+1)*ED65-ED66)*(ED$4&lt;=In_COD)</f>
        <v>0</v>
      </c>
      <c r="EE68" s="33" t="n">
        <f aca="false">In_Cash_Rate/Days_In_Year*(1-EE19)*(EE67*EE$5+(EE$4+1)*EE65-EE66)*(EE$4&lt;=In_COD)</f>
        <v>0</v>
      </c>
      <c r="EF68" s="33" t="n">
        <f aca="false">In_Cash_Rate/Days_In_Year*(1-EF19)*(EF67*EF$5+(EF$4+1)*EF65-EF66)*(EF$4&lt;=In_COD)</f>
        <v>0</v>
      </c>
      <c r="EG68" s="33" t="n">
        <f aca="false">In_Cash_Rate/Days_In_Year*(1-EG19)*(EG67*EG$5+(EG$4+1)*EG65-EG66)*(EG$4&lt;=In_COD)</f>
        <v>0</v>
      </c>
      <c r="EH68" s="33" t="n">
        <f aca="false">In_Cash_Rate/Days_In_Year*(1-EH19)*(EH67*EH$5+(EH$4+1)*EH65-EH66)*(EH$4&lt;=In_COD)</f>
        <v>0</v>
      </c>
      <c r="EI68" s="33" t="n">
        <f aca="false">In_Cash_Rate/Days_In_Year*(1-EI19)*(EI67*EI$5+(EI$4+1)*EI65-EI66)*(EI$4&lt;=In_COD)</f>
        <v>0</v>
      </c>
      <c r="EJ68" s="33" t="n">
        <f aca="false">In_Cash_Rate/Days_In_Year*(1-EJ19)*(EJ67*EJ$5+(EJ$4+1)*EJ65-EJ66)*(EJ$4&lt;=In_COD)</f>
        <v>0</v>
      </c>
      <c r="EK68" s="33" t="n">
        <f aca="false">In_Cash_Rate/Days_In_Year*(1-EK19)*(EK67*EK$5+(EK$4+1)*EK65-EK66)*(EK$4&lt;=In_COD)</f>
        <v>0</v>
      </c>
      <c r="EL68" s="33" t="n">
        <f aca="false">In_Cash_Rate/Days_In_Year*(1-EL19)*(EL67*EL$5+(EL$4+1)*EL65-EL66)*(EL$4&lt;=In_COD)</f>
        <v>0</v>
      </c>
      <c r="EM68" s="33" t="n">
        <f aca="false">In_Cash_Rate/Days_In_Year*(1-EM19)*(EM67*EM$5+(EM$4+1)*EM65-EM66)*(EM$4&lt;=In_COD)</f>
        <v>0</v>
      </c>
      <c r="EN68" s="33" t="n">
        <f aca="false">In_Cash_Rate/Days_In_Year*(1-EN19)*(EN67*EN$5+(EN$4+1)*EN65-EN66)*(EN$4&lt;=In_COD)</f>
        <v>0</v>
      </c>
      <c r="EO68" s="33" t="n">
        <f aca="false">In_Cash_Rate/Days_In_Year*(1-EO19)*(EO67*EO$5+(EO$4+1)*EO65-EO66)*(EO$4&lt;=In_COD)</f>
        <v>0</v>
      </c>
      <c r="EP68" s="33" t="n">
        <f aca="false">In_Cash_Rate/Days_In_Year*(1-EP19)*(EP67*EP$5+(EP$4+1)*EP65-EP66)*(EP$4&lt;=In_COD)</f>
        <v>0</v>
      </c>
      <c r="EQ68" s="33" t="n">
        <f aca="false">In_Cash_Rate/Days_In_Year*(1-EQ19)*(EQ67*EQ$5+(EQ$4+1)*EQ65-EQ66)*(EQ$4&lt;=In_COD)</f>
        <v>0</v>
      </c>
      <c r="ER68" s="33" t="n">
        <f aca="false">In_Cash_Rate/Days_In_Year*(1-ER19)*(ER67*ER$5+(ER$4+1)*ER65-ER66)*(ER$4&lt;=In_COD)</f>
        <v>0</v>
      </c>
      <c r="ES68" s="33" t="n">
        <f aca="false">In_Cash_Rate/Days_In_Year*(1-ES19)*(ES67*ES$5+(ES$4+1)*ES65-ES66)*(ES$4&lt;=In_COD)</f>
        <v>0</v>
      </c>
      <c r="ET68" s="33" t="n">
        <f aca="false">In_Cash_Rate/Days_In_Year*(1-ET19)*(ET67*ET$5+(ET$4+1)*ET65-ET66)*(ET$4&lt;=In_COD)</f>
        <v>0</v>
      </c>
    </row>
    <row r="69" customFormat="false" ht="15" hidden="false" customHeight="false" outlineLevel="0" collapsed="false">
      <c r="C69" s="0" t="s">
        <v>536</v>
      </c>
      <c r="D69" s="11" t="s">
        <v>253</v>
      </c>
      <c r="I69" s="33" t="n">
        <f aca="false">SUM(J69:ET69)</f>
        <v>6633.28140368995</v>
      </c>
      <c r="J69" s="33" t="n">
        <f aca="false">J20*SUMIF($J$7:J$7,J$7,$J68:J68)</f>
        <v>0</v>
      </c>
      <c r="K69" s="33" t="n">
        <f aca="false">K20*SUMIF($J$7:K$7,K$7,$J68:K68)</f>
        <v>0.980896978796345</v>
      </c>
      <c r="L69" s="33" t="n">
        <f aca="false">L20*SUMIF($J$7:L$7,L$7,$J68:L68)</f>
        <v>0</v>
      </c>
      <c r="M69" s="33" t="n">
        <f aca="false">M20*SUMIF($J$7:M$7,M$7,$J68:M68)</f>
        <v>0</v>
      </c>
      <c r="N69" s="33" t="n">
        <f aca="false">N20*SUMIF($J$7:N$7,N$7,$J68:N68)</f>
        <v>0</v>
      </c>
      <c r="O69" s="33" t="n">
        <f aca="false">O20*SUMIF($J$7:O$7,O$7,$J68:O68)</f>
        <v>149.049214486771</v>
      </c>
      <c r="P69" s="33" t="n">
        <f aca="false">P20*SUMIF($J$7:P$7,P$7,$J68:P68)</f>
        <v>0</v>
      </c>
      <c r="Q69" s="33" t="n">
        <f aca="false">Q20*SUMIF($J$7:Q$7,Q$7,$J68:Q68)</f>
        <v>0</v>
      </c>
      <c r="R69" s="33" t="n">
        <f aca="false">R20*SUMIF($J$7:R$7,R$7,$J68:R68)</f>
        <v>0</v>
      </c>
      <c r="S69" s="33" t="n">
        <f aca="false">S20*SUMIF($J$7:S$7,S$7,$J68:S68)</f>
        <v>167.392476718951</v>
      </c>
      <c r="T69" s="33" t="n">
        <f aca="false">T20*SUMIF($J$7:T$7,T$7,$J68:T68)</f>
        <v>0</v>
      </c>
      <c r="U69" s="33" t="n">
        <f aca="false">U20*SUMIF($J$7:U$7,U$7,$J68:U68)</f>
        <v>0</v>
      </c>
      <c r="V69" s="33" t="n">
        <f aca="false">V20*SUMIF($J$7:V$7,V$7,$J68:V68)</f>
        <v>0</v>
      </c>
      <c r="W69" s="33" t="n">
        <f aca="false">W20*SUMIF($J$7:W$7,W$7,$J68:W68)</f>
        <v>1247.11405599641</v>
      </c>
      <c r="X69" s="33" t="n">
        <f aca="false">X20*SUMIF($J$7:X$7,X$7,$J68:X68)</f>
        <v>0</v>
      </c>
      <c r="Y69" s="33" t="n">
        <f aca="false">Y20*SUMIF($J$7:Y$7,Y$7,$J68:Y68)</f>
        <v>0</v>
      </c>
      <c r="Z69" s="33" t="n">
        <f aca="false">Z20*SUMIF($J$7:Z$7,Z$7,$J68:Z68)</f>
        <v>0</v>
      </c>
      <c r="AA69" s="33" t="n">
        <f aca="false">AA20*SUMIF($J$7:AA$7,AA$7,$J68:AA68)</f>
        <v>2758.20239313733</v>
      </c>
      <c r="AB69" s="33" t="n">
        <f aca="false">AB20*SUMIF($J$7:AB$7,AB$7,$J68:AB68)</f>
        <v>0</v>
      </c>
      <c r="AC69" s="33" t="n">
        <f aca="false">AC20*SUMIF($J$7:AC$7,AC$7,$J68:AC68)</f>
        <v>0</v>
      </c>
      <c r="AD69" s="33" t="n">
        <f aca="false">AD20*SUMIF($J$7:AD$7,AD$7,$J68:AD68)</f>
        <v>0</v>
      </c>
      <c r="AE69" s="33" t="n">
        <f aca="false">AE20*SUMIF($J$7:AE$7,AE$7,$J68:AE68)</f>
        <v>2310.5423663717</v>
      </c>
      <c r="AF69" s="33" t="n">
        <f aca="false">AF20*SUMIF($J$7:AF$7,AF$7,$J68:AF68)</f>
        <v>0</v>
      </c>
      <c r="AG69" s="33" t="n">
        <f aca="false">AG20*SUMIF($J$7:AG$7,AG$7,$J68:AG68)</f>
        <v>0</v>
      </c>
      <c r="AH69" s="33" t="n">
        <f aca="false">AH20*SUMIF($J$7:AH$7,AH$7,$J68:AH68)</f>
        <v>0</v>
      </c>
      <c r="AI69" s="33" t="n">
        <f aca="false">AI20*SUMIF($J$7:AI$7,AI$7,$J68:AI68)</f>
        <v>0</v>
      </c>
      <c r="AJ69" s="33" t="n">
        <f aca="false">AJ20*SUMIF($J$7:AJ$7,AJ$7,$J68:AJ68)</f>
        <v>0</v>
      </c>
      <c r="AK69" s="33" t="n">
        <f aca="false">AK20*SUMIF($J$7:AK$7,AK$7,$J68:AK68)</f>
        <v>0</v>
      </c>
      <c r="AL69" s="33" t="n">
        <f aca="false">AL20*SUMIF($J$7:AL$7,AL$7,$J68:AL68)</f>
        <v>0</v>
      </c>
      <c r="AM69" s="33" t="n">
        <f aca="false">AM20*SUMIF($J$7:AM$7,AM$7,$J68:AM68)</f>
        <v>0</v>
      </c>
      <c r="AN69" s="33" t="n">
        <f aca="false">AN20*SUMIF($J$7:AN$7,AN$7,$J68:AN68)</f>
        <v>0</v>
      </c>
      <c r="AO69" s="33" t="n">
        <f aca="false">AO20*SUMIF($J$7:AO$7,AO$7,$J68:AO68)</f>
        <v>0</v>
      </c>
      <c r="AP69" s="33" t="n">
        <f aca="false">AP20*SUMIF($J$7:AP$7,AP$7,$J68:AP68)</f>
        <v>0</v>
      </c>
      <c r="AQ69" s="33" t="n">
        <f aca="false">AQ20*SUMIF($J$7:AQ$7,AQ$7,$J68:AQ68)</f>
        <v>0</v>
      </c>
      <c r="AR69" s="33" t="n">
        <f aca="false">AR20*SUMIF($J$7:AR$7,AR$7,$J68:AR68)</f>
        <v>0</v>
      </c>
      <c r="AS69" s="33" t="n">
        <f aca="false">AS20*SUMIF($J$7:AS$7,AS$7,$J68:AS68)</f>
        <v>0</v>
      </c>
      <c r="AT69" s="33" t="n">
        <f aca="false">AT20*SUMIF($J$7:AT$7,AT$7,$J68:AT68)</f>
        <v>0</v>
      </c>
      <c r="AU69" s="33" t="n">
        <f aca="false">AU20*SUMIF($J$7:AU$7,AU$7,$J68:AU68)</f>
        <v>0</v>
      </c>
      <c r="AV69" s="33" t="n">
        <f aca="false">AV20*SUMIF($J$7:AV$7,AV$7,$J68:AV68)</f>
        <v>0</v>
      </c>
      <c r="AW69" s="33" t="n">
        <f aca="false">AW20*SUMIF($J$7:AW$7,AW$7,$J68:AW68)</f>
        <v>0</v>
      </c>
      <c r="AX69" s="33" t="n">
        <f aca="false">AX20*SUMIF($J$7:AX$7,AX$7,$J68:AX68)</f>
        <v>0</v>
      </c>
      <c r="AY69" s="33" t="n">
        <f aca="false">AY20*SUMIF($J$7:AY$7,AY$7,$J68:AY68)</f>
        <v>0</v>
      </c>
      <c r="AZ69" s="33" t="n">
        <f aca="false">AZ20*SUMIF($J$7:AZ$7,AZ$7,$J68:AZ68)</f>
        <v>0</v>
      </c>
      <c r="BA69" s="33" t="n">
        <f aca="false">BA20*SUMIF($J$7:BA$7,BA$7,$J68:BA68)</f>
        <v>0</v>
      </c>
      <c r="BB69" s="33" t="n">
        <f aca="false">BB20*SUMIF($J$7:BB$7,BB$7,$J68:BB68)</f>
        <v>0</v>
      </c>
      <c r="BC69" s="33" t="n">
        <f aca="false">BC20*SUMIF($J$7:BC$7,BC$7,$J68:BC68)</f>
        <v>0</v>
      </c>
      <c r="BD69" s="33" t="n">
        <f aca="false">BD20*SUMIF($J$7:BD$7,BD$7,$J68:BD68)</f>
        <v>0</v>
      </c>
      <c r="BE69" s="33" t="n">
        <f aca="false">BE20*SUMIF($J$7:BE$7,BE$7,$J68:BE68)</f>
        <v>0</v>
      </c>
      <c r="BF69" s="33" t="n">
        <f aca="false">BF20*SUMIF($J$7:BF$7,BF$7,$J68:BF68)</f>
        <v>0</v>
      </c>
      <c r="BG69" s="33" t="n">
        <f aca="false">BG20*SUMIF($J$7:BG$7,BG$7,$J68:BG68)</f>
        <v>0</v>
      </c>
      <c r="BH69" s="33" t="n">
        <f aca="false">BH20*SUMIF($J$7:BH$7,BH$7,$J68:BH68)</f>
        <v>0</v>
      </c>
      <c r="BI69" s="33" t="n">
        <f aca="false">BI20*SUMIF($J$7:BI$7,BI$7,$J68:BI68)</f>
        <v>0</v>
      </c>
      <c r="BJ69" s="33" t="n">
        <f aca="false">BJ20*SUMIF($J$7:BJ$7,BJ$7,$J68:BJ68)</f>
        <v>0</v>
      </c>
      <c r="BK69" s="33" t="n">
        <f aca="false">BK20*SUMIF($J$7:BK$7,BK$7,$J68:BK68)</f>
        <v>0</v>
      </c>
      <c r="BL69" s="33" t="n">
        <f aca="false">BL20*SUMIF($J$7:BL$7,BL$7,$J68:BL68)</f>
        <v>0</v>
      </c>
      <c r="BM69" s="33" t="n">
        <f aca="false">BM20*SUMIF($J$7:BM$7,BM$7,$J68:BM68)</f>
        <v>0</v>
      </c>
      <c r="BN69" s="33" t="n">
        <f aca="false">BN20*SUMIF($J$7:BN$7,BN$7,$J68:BN68)</f>
        <v>0</v>
      </c>
      <c r="BO69" s="33" t="n">
        <f aca="false">BO20*SUMIF($J$7:BO$7,BO$7,$J68:BO68)</f>
        <v>0</v>
      </c>
      <c r="BP69" s="33" t="n">
        <f aca="false">BP20*SUMIF($J$7:BP$7,BP$7,$J68:BP68)</f>
        <v>0</v>
      </c>
      <c r="BQ69" s="33" t="n">
        <f aca="false">BQ20*SUMIF($J$7:BQ$7,BQ$7,$J68:BQ68)</f>
        <v>0</v>
      </c>
      <c r="BR69" s="33" t="n">
        <f aca="false">BR20*SUMIF($J$7:BR$7,BR$7,$J68:BR68)</f>
        <v>0</v>
      </c>
      <c r="BS69" s="33" t="n">
        <f aca="false">BS20*SUMIF($J$7:BS$7,BS$7,$J68:BS68)</f>
        <v>0</v>
      </c>
      <c r="BT69" s="33" t="n">
        <f aca="false">BT20*SUMIF($J$7:BT$7,BT$7,$J68:BT68)</f>
        <v>0</v>
      </c>
      <c r="BU69" s="33" t="n">
        <f aca="false">BU20*SUMIF($J$7:BU$7,BU$7,$J68:BU68)</f>
        <v>0</v>
      </c>
      <c r="BV69" s="33" t="n">
        <f aca="false">BV20*SUMIF($J$7:BV$7,BV$7,$J68:BV68)</f>
        <v>0</v>
      </c>
      <c r="BW69" s="33" t="n">
        <f aca="false">BW20*SUMIF($J$7:BW$7,BW$7,$J68:BW68)</f>
        <v>0</v>
      </c>
      <c r="BX69" s="33" t="n">
        <f aca="false">BX20*SUMIF($J$7:BX$7,BX$7,$J68:BX68)</f>
        <v>0</v>
      </c>
      <c r="BY69" s="33" t="n">
        <f aca="false">BY20*SUMIF($J$7:BY$7,BY$7,$J68:BY68)</f>
        <v>0</v>
      </c>
      <c r="BZ69" s="33" t="n">
        <f aca="false">BZ20*SUMIF($J$7:BZ$7,BZ$7,$J68:BZ68)</f>
        <v>0</v>
      </c>
      <c r="CA69" s="33" t="n">
        <f aca="false">CA20*SUMIF($J$7:CA$7,CA$7,$J68:CA68)</f>
        <v>0</v>
      </c>
      <c r="CB69" s="33" t="n">
        <f aca="false">CB20*SUMIF($J$7:CB$7,CB$7,$J68:CB68)</f>
        <v>0</v>
      </c>
      <c r="CC69" s="33" t="n">
        <f aca="false">CC20*SUMIF($J$7:CC$7,CC$7,$J68:CC68)</f>
        <v>0</v>
      </c>
      <c r="CD69" s="33" t="n">
        <f aca="false">CD20*SUMIF($J$7:CD$7,CD$7,$J68:CD68)</f>
        <v>0</v>
      </c>
      <c r="CE69" s="33" t="n">
        <f aca="false">CE20*SUMIF($J$7:CE$7,CE$7,$J68:CE68)</f>
        <v>0</v>
      </c>
      <c r="CF69" s="33" t="n">
        <f aca="false">CF20*SUMIF($J$7:CF$7,CF$7,$J68:CF68)</f>
        <v>0</v>
      </c>
      <c r="CG69" s="33" t="n">
        <f aca="false">CG20*SUMIF($J$7:CG$7,CG$7,$J68:CG68)</f>
        <v>0</v>
      </c>
      <c r="CH69" s="33" t="n">
        <f aca="false">CH20*SUMIF($J$7:CH$7,CH$7,$J68:CH68)</f>
        <v>0</v>
      </c>
      <c r="CI69" s="33" t="n">
        <f aca="false">CI20*SUMIF($J$7:CI$7,CI$7,$J68:CI68)</f>
        <v>0</v>
      </c>
      <c r="CJ69" s="33" t="n">
        <f aca="false">CJ20*SUMIF($J$7:CJ$7,CJ$7,$J68:CJ68)</f>
        <v>0</v>
      </c>
      <c r="CK69" s="33" t="n">
        <f aca="false">CK20*SUMIF($J$7:CK$7,CK$7,$J68:CK68)</f>
        <v>0</v>
      </c>
      <c r="CL69" s="33" t="n">
        <f aca="false">CL20*SUMIF($J$7:CL$7,CL$7,$J68:CL68)</f>
        <v>0</v>
      </c>
      <c r="CM69" s="33" t="n">
        <f aca="false">CM20*SUMIF($J$7:CM$7,CM$7,$J68:CM68)</f>
        <v>0</v>
      </c>
      <c r="CN69" s="33" t="n">
        <f aca="false">CN20*SUMIF($J$7:CN$7,CN$7,$J68:CN68)</f>
        <v>0</v>
      </c>
      <c r="CO69" s="33" t="n">
        <f aca="false">CO20*SUMIF($J$7:CO$7,CO$7,$J68:CO68)</f>
        <v>0</v>
      </c>
      <c r="CP69" s="33" t="n">
        <f aca="false">CP20*SUMIF($J$7:CP$7,CP$7,$J68:CP68)</f>
        <v>0</v>
      </c>
      <c r="CQ69" s="33" t="n">
        <f aca="false">CQ20*SUMIF($J$7:CQ$7,CQ$7,$J68:CQ68)</f>
        <v>0</v>
      </c>
      <c r="CR69" s="33" t="n">
        <f aca="false">CR20*SUMIF($J$7:CR$7,CR$7,$J68:CR68)</f>
        <v>0</v>
      </c>
      <c r="CS69" s="33" t="n">
        <f aca="false">CS20*SUMIF($J$7:CS$7,CS$7,$J68:CS68)</f>
        <v>0</v>
      </c>
      <c r="CT69" s="33" t="n">
        <f aca="false">CT20*SUMIF($J$7:CT$7,CT$7,$J68:CT68)</f>
        <v>0</v>
      </c>
      <c r="CU69" s="33" t="n">
        <f aca="false">CU20*SUMIF($J$7:CU$7,CU$7,$J68:CU68)</f>
        <v>0</v>
      </c>
      <c r="CV69" s="33" t="n">
        <f aca="false">CV20*SUMIF($J$7:CV$7,CV$7,$J68:CV68)</f>
        <v>0</v>
      </c>
      <c r="CW69" s="33" t="n">
        <f aca="false">CW20*SUMIF($J$7:CW$7,CW$7,$J68:CW68)</f>
        <v>0</v>
      </c>
      <c r="CX69" s="33" t="n">
        <f aca="false">CX20*SUMIF($J$7:CX$7,CX$7,$J68:CX68)</f>
        <v>0</v>
      </c>
      <c r="CY69" s="33" t="n">
        <f aca="false">CY20*SUMIF($J$7:CY$7,CY$7,$J68:CY68)</f>
        <v>0</v>
      </c>
      <c r="CZ69" s="33" t="n">
        <f aca="false">CZ20*SUMIF($J$7:CZ$7,CZ$7,$J68:CZ68)</f>
        <v>0</v>
      </c>
      <c r="DA69" s="33" t="n">
        <f aca="false">DA20*SUMIF($J$7:DA$7,DA$7,$J68:DA68)</f>
        <v>0</v>
      </c>
      <c r="DB69" s="33" t="n">
        <f aca="false">DB20*SUMIF($J$7:DB$7,DB$7,$J68:DB68)</f>
        <v>0</v>
      </c>
      <c r="DC69" s="33" t="n">
        <f aca="false">DC20*SUMIF($J$7:DC$7,DC$7,$J68:DC68)</f>
        <v>0</v>
      </c>
      <c r="DD69" s="33" t="n">
        <f aca="false">DD20*SUMIF($J$7:DD$7,DD$7,$J68:DD68)</f>
        <v>0</v>
      </c>
      <c r="DE69" s="33" t="n">
        <f aca="false">DE20*SUMIF($J$7:DE$7,DE$7,$J68:DE68)</f>
        <v>0</v>
      </c>
      <c r="DF69" s="33" t="n">
        <f aca="false">DF20*SUMIF($J$7:DF$7,DF$7,$J68:DF68)</f>
        <v>0</v>
      </c>
      <c r="DG69" s="33" t="n">
        <f aca="false">DG20*SUMIF($J$7:DG$7,DG$7,$J68:DG68)</f>
        <v>0</v>
      </c>
      <c r="DH69" s="33" t="n">
        <f aca="false">DH20*SUMIF($J$7:DH$7,DH$7,$J68:DH68)</f>
        <v>0</v>
      </c>
      <c r="DI69" s="33" t="n">
        <f aca="false">DI20*SUMIF($J$7:DI$7,DI$7,$J68:DI68)</f>
        <v>0</v>
      </c>
      <c r="DJ69" s="33" t="n">
        <f aca="false">DJ20*SUMIF($J$7:DJ$7,DJ$7,$J68:DJ68)</f>
        <v>0</v>
      </c>
      <c r="DK69" s="33" t="n">
        <f aca="false">DK20*SUMIF($J$7:DK$7,DK$7,$J68:DK68)</f>
        <v>0</v>
      </c>
      <c r="DL69" s="33" t="n">
        <f aca="false">DL20*SUMIF($J$7:DL$7,DL$7,$J68:DL68)</f>
        <v>0</v>
      </c>
      <c r="DM69" s="33" t="n">
        <f aca="false">DM20*SUMIF($J$7:DM$7,DM$7,$J68:DM68)</f>
        <v>0</v>
      </c>
      <c r="DN69" s="33" t="n">
        <f aca="false">DN20*SUMIF($J$7:DN$7,DN$7,$J68:DN68)</f>
        <v>0</v>
      </c>
      <c r="DO69" s="33" t="n">
        <f aca="false">DO20*SUMIF($J$7:DO$7,DO$7,$J68:DO68)</f>
        <v>0</v>
      </c>
      <c r="DP69" s="33" t="n">
        <f aca="false">DP20*SUMIF($J$7:DP$7,DP$7,$J68:DP68)</f>
        <v>0</v>
      </c>
      <c r="DQ69" s="33" t="n">
        <f aca="false">DQ20*SUMIF($J$7:DQ$7,DQ$7,$J68:DQ68)</f>
        <v>0</v>
      </c>
      <c r="DR69" s="33" t="n">
        <f aca="false">DR20*SUMIF($J$7:DR$7,DR$7,$J68:DR68)</f>
        <v>0</v>
      </c>
      <c r="DS69" s="33" t="n">
        <f aca="false">DS20*SUMIF($J$7:DS$7,DS$7,$J68:DS68)</f>
        <v>0</v>
      </c>
      <c r="DT69" s="33" t="n">
        <f aca="false">DT20*SUMIF($J$7:DT$7,DT$7,$J68:DT68)</f>
        <v>0</v>
      </c>
      <c r="DU69" s="33" t="n">
        <f aca="false">DU20*SUMIF($J$7:DU$7,DU$7,$J68:DU68)</f>
        <v>0</v>
      </c>
      <c r="DV69" s="33" t="n">
        <f aca="false">DV20*SUMIF($J$7:DV$7,DV$7,$J68:DV68)</f>
        <v>0</v>
      </c>
      <c r="DW69" s="33" t="n">
        <f aca="false">DW20*SUMIF($J$7:DW$7,DW$7,$J68:DW68)</f>
        <v>0</v>
      </c>
      <c r="DX69" s="33" t="n">
        <f aca="false">DX20*SUMIF($J$7:DX$7,DX$7,$J68:DX68)</f>
        <v>0</v>
      </c>
      <c r="DY69" s="33" t="n">
        <f aca="false">DY20*SUMIF($J$7:DY$7,DY$7,$J68:DY68)</f>
        <v>0</v>
      </c>
      <c r="DZ69" s="33" t="n">
        <f aca="false">DZ20*SUMIF($J$7:DZ$7,DZ$7,$J68:DZ68)</f>
        <v>0</v>
      </c>
      <c r="EA69" s="33" t="n">
        <f aca="false">EA20*SUMIF($J$7:EA$7,EA$7,$J68:EA68)</f>
        <v>0</v>
      </c>
      <c r="EB69" s="33" t="n">
        <f aca="false">EB20*SUMIF($J$7:EB$7,EB$7,$J68:EB68)</f>
        <v>0</v>
      </c>
      <c r="EC69" s="33" t="n">
        <f aca="false">EC20*SUMIF($J$7:EC$7,EC$7,$J68:EC68)</f>
        <v>0</v>
      </c>
      <c r="ED69" s="33" t="n">
        <f aca="false">ED20*SUMIF($J$7:ED$7,ED$7,$J68:ED68)</f>
        <v>0</v>
      </c>
      <c r="EE69" s="33" t="n">
        <f aca="false">EE20*SUMIF($J$7:EE$7,EE$7,$J68:EE68)</f>
        <v>0</v>
      </c>
      <c r="EF69" s="33" t="n">
        <f aca="false">EF20*SUMIF($J$7:EF$7,EF$7,$J68:EF68)</f>
        <v>0</v>
      </c>
      <c r="EG69" s="33" t="n">
        <f aca="false">EG20*SUMIF($J$7:EG$7,EG$7,$J68:EG68)</f>
        <v>0</v>
      </c>
      <c r="EH69" s="33" t="n">
        <f aca="false">EH20*SUMIF($J$7:EH$7,EH$7,$J68:EH68)</f>
        <v>0</v>
      </c>
      <c r="EI69" s="33" t="n">
        <f aca="false">EI20*SUMIF($J$7:EI$7,EI$7,$J68:EI68)</f>
        <v>0</v>
      </c>
      <c r="EJ69" s="33" t="n">
        <f aca="false">EJ20*SUMIF($J$7:EJ$7,EJ$7,$J68:EJ68)</f>
        <v>0</v>
      </c>
      <c r="EK69" s="33" t="n">
        <f aca="false">EK20*SUMIF($J$7:EK$7,EK$7,$J68:EK68)</f>
        <v>0</v>
      </c>
      <c r="EL69" s="33" t="n">
        <f aca="false">EL20*SUMIF($J$7:EL$7,EL$7,$J68:EL68)</f>
        <v>0</v>
      </c>
      <c r="EM69" s="33" t="n">
        <f aca="false">EM20*SUMIF($J$7:EM$7,EM$7,$J68:EM68)</f>
        <v>0</v>
      </c>
      <c r="EN69" s="33" t="n">
        <f aca="false">EN20*SUMIF($J$7:EN$7,EN$7,$J68:EN68)</f>
        <v>0</v>
      </c>
      <c r="EO69" s="33" t="n">
        <f aca="false">EO20*SUMIF($J$7:EO$7,EO$7,$J68:EO68)</f>
        <v>0</v>
      </c>
      <c r="EP69" s="33" t="n">
        <f aca="false">EP20*SUMIF($J$7:EP$7,EP$7,$J68:EP68)</f>
        <v>0</v>
      </c>
      <c r="EQ69" s="33" t="n">
        <f aca="false">EQ20*SUMIF($J$7:EQ$7,EQ$7,$J68:EQ68)</f>
        <v>0</v>
      </c>
      <c r="ER69" s="33" t="n">
        <f aca="false">ER20*SUMIF($J$7:ER$7,ER$7,$J68:ER68)</f>
        <v>0</v>
      </c>
      <c r="ES69" s="33" t="n">
        <f aca="false">ES20*SUMIF($J$7:ES$7,ES$7,$J68:ES68)</f>
        <v>0</v>
      </c>
      <c r="ET69" s="33" t="n">
        <f aca="false">ET20*SUMIF($J$7:ET$7,ET$7,$J68:ET68)</f>
        <v>0</v>
      </c>
    </row>
    <row r="70" customFormat="false" ht="15" hidden="false" customHeight="false" outlineLevel="0" collapsed="false">
      <c r="C70" s="0" t="s">
        <v>537</v>
      </c>
      <c r="D70" s="11" t="s">
        <v>253</v>
      </c>
      <c r="I70" s="54"/>
      <c r="J70" s="33" t="n">
        <f aca="false">J67+J65+J69</f>
        <v>0</v>
      </c>
      <c r="K70" s="33" t="n">
        <f aca="false">K67+K65+K69</f>
        <v>1242.07678738976</v>
      </c>
      <c r="L70" s="33" t="n">
        <f aca="false">L67+L65+L69</f>
        <v>1242.07678738976</v>
      </c>
      <c r="M70" s="33" t="n">
        <f aca="false">M67+M65+M69</f>
        <v>1242.07678738976</v>
      </c>
      <c r="N70" s="33" t="n">
        <f aca="false">N67+N65+N69</f>
        <v>1242.07678738976</v>
      </c>
      <c r="O70" s="33" t="n">
        <f aca="false">O67+O65+O69</f>
        <v>1391.12600187653</v>
      </c>
      <c r="P70" s="33" t="n">
        <f aca="false">P67+P65+P69</f>
        <v>1391.12600187653</v>
      </c>
      <c r="Q70" s="33" t="n">
        <f aca="false">Q67+Q65+Q69</f>
        <v>1391.12600187653</v>
      </c>
      <c r="R70" s="33" t="n">
        <f aca="false">R67+R65+R69</f>
        <v>1391.12600187653</v>
      </c>
      <c r="S70" s="33" t="n">
        <f aca="false">S67+S65+S69</f>
        <v>1558.51847859548</v>
      </c>
      <c r="T70" s="33" t="n">
        <f aca="false">T67+T65+T69</f>
        <v>21737.9058868147</v>
      </c>
      <c r="U70" s="33" t="n">
        <f aca="false">U67+U65+U69</f>
        <v>21737.9058868147</v>
      </c>
      <c r="V70" s="33" t="n">
        <f aca="false">V67+V65+V69</f>
        <v>21737.9058868147</v>
      </c>
      <c r="W70" s="33" t="n">
        <f aca="false">W67+W65+W69</f>
        <v>22985.0199428111</v>
      </c>
      <c r="X70" s="33" t="n">
        <f aca="false">X67+X65+X69</f>
        <v>22985.0199428111</v>
      </c>
      <c r="Y70" s="33" t="n">
        <f aca="false">Y67+Y65+Y69</f>
        <v>22985.0199428111</v>
      </c>
      <c r="Z70" s="33" t="n">
        <f aca="false">Z67+Z65+Z69</f>
        <v>22985.0199428111</v>
      </c>
      <c r="AA70" s="33" t="n">
        <f aca="false">AA67+AA65+AA69</f>
        <v>25743.2223359484</v>
      </c>
      <c r="AB70" s="33" t="n">
        <f aca="false">AB67+AB65+AB69</f>
        <v>25743.2223359484</v>
      </c>
      <c r="AC70" s="33" t="n">
        <f aca="false">AC67+AC65+AC69</f>
        <v>25743.2223359484</v>
      </c>
      <c r="AD70" s="33" t="n">
        <f aca="false">AD67+AD65+AD69</f>
        <v>25743.2223359484</v>
      </c>
      <c r="AE70" s="33" t="n">
        <f aca="false">AE67+AE65+AE69</f>
        <v>28053.7647023201</v>
      </c>
      <c r="AF70" s="33" t="n">
        <f aca="false">AF67+AF65+AF69</f>
        <v>28053.7647023201</v>
      </c>
      <c r="AG70" s="33" t="n">
        <f aca="false">AG67+AG65+AG69</f>
        <v>28053.7647023201</v>
      </c>
      <c r="AH70" s="33" t="n">
        <f aca="false">AH67+AH65+AH69</f>
        <v>28053.7647023201</v>
      </c>
      <c r="AI70" s="33" t="n">
        <f aca="false">AI67+AI65+AI69</f>
        <v>28053.7647023201</v>
      </c>
      <c r="AJ70" s="33" t="n">
        <f aca="false">AJ67+AJ65+AJ69</f>
        <v>28053.7647023201</v>
      </c>
      <c r="AK70" s="33" t="n">
        <f aca="false">AK67+AK65+AK69</f>
        <v>28053.7647023201</v>
      </c>
      <c r="AL70" s="33" t="n">
        <f aca="false">AL67+AL65+AL69</f>
        <v>28053.7647023201</v>
      </c>
      <c r="AM70" s="33" t="n">
        <f aca="false">AM67+AM65+AM69</f>
        <v>28053.7647023201</v>
      </c>
      <c r="AN70" s="33" t="n">
        <f aca="false">AN67+AN65+AN69</f>
        <v>28053.7647023201</v>
      </c>
      <c r="AO70" s="33" t="n">
        <f aca="false">AO67+AO65+AO69</f>
        <v>28053.7647023201</v>
      </c>
      <c r="AP70" s="33" t="n">
        <f aca="false">AP67+AP65+AP69</f>
        <v>28053.7647023201</v>
      </c>
      <c r="AQ70" s="33" t="n">
        <f aca="false">AQ67+AQ65+AQ69</f>
        <v>28053.7647023201</v>
      </c>
      <c r="AR70" s="33" t="n">
        <f aca="false">AR67+AR65+AR69</f>
        <v>28053.7647023201</v>
      </c>
      <c r="AS70" s="33" t="n">
        <f aca="false">AS67+AS65+AS69</f>
        <v>28053.7647023201</v>
      </c>
      <c r="AT70" s="33" t="n">
        <f aca="false">AT67+AT65+AT69</f>
        <v>28053.7647023201</v>
      </c>
      <c r="AU70" s="33" t="n">
        <f aca="false">AU67+AU65+AU69</f>
        <v>28053.7647023201</v>
      </c>
      <c r="AV70" s="33" t="n">
        <f aca="false">AV67+AV65+AV69</f>
        <v>28053.7647023201</v>
      </c>
      <c r="AW70" s="33" t="n">
        <f aca="false">AW67+AW65+AW69</f>
        <v>28053.7647023201</v>
      </c>
      <c r="AX70" s="33" t="n">
        <f aca="false">AX67+AX65+AX69</f>
        <v>28053.7647023201</v>
      </c>
      <c r="AY70" s="33" t="n">
        <f aca="false">AY67+AY65+AY69</f>
        <v>28053.7647023201</v>
      </c>
      <c r="AZ70" s="33" t="n">
        <f aca="false">AZ67+AZ65+AZ69</f>
        <v>28053.7647023201</v>
      </c>
      <c r="BA70" s="33" t="n">
        <f aca="false">BA67+BA65+BA69</f>
        <v>28053.7647023201</v>
      </c>
      <c r="BB70" s="33" t="n">
        <f aca="false">BB67+BB65+BB69</f>
        <v>28053.7647023201</v>
      </c>
      <c r="BC70" s="33" t="n">
        <f aca="false">BC67+BC65+BC69</f>
        <v>28053.7647023201</v>
      </c>
      <c r="BD70" s="33" t="n">
        <f aca="false">BD67+BD65+BD69</f>
        <v>28053.7647023201</v>
      </c>
      <c r="BE70" s="33" t="n">
        <f aca="false">BE67+BE65+BE69</f>
        <v>28053.7647023201</v>
      </c>
      <c r="BF70" s="33" t="n">
        <f aca="false">BF67+BF65+BF69</f>
        <v>28053.7647023201</v>
      </c>
      <c r="BG70" s="33" t="n">
        <f aca="false">BG67+BG65+BG69</f>
        <v>28053.7647023201</v>
      </c>
      <c r="BH70" s="33" t="n">
        <f aca="false">BH67+BH65+BH69</f>
        <v>28053.7647023201</v>
      </c>
      <c r="BI70" s="33" t="n">
        <f aca="false">BI67+BI65+BI69</f>
        <v>28053.7647023201</v>
      </c>
      <c r="BJ70" s="33" t="n">
        <f aca="false">BJ67+BJ65+BJ69</f>
        <v>28053.7647023201</v>
      </c>
      <c r="BK70" s="33" t="n">
        <f aca="false">BK67+BK65+BK69</f>
        <v>28053.7647023201</v>
      </c>
      <c r="BL70" s="33" t="n">
        <f aca="false">BL67+BL65+BL69</f>
        <v>28053.7647023201</v>
      </c>
      <c r="BM70" s="33" t="n">
        <f aca="false">BM67+BM65+BM69</f>
        <v>28053.7647023201</v>
      </c>
      <c r="BN70" s="33" t="n">
        <f aca="false">BN67+BN65+BN69</f>
        <v>28053.7647023201</v>
      </c>
      <c r="BO70" s="33" t="n">
        <f aca="false">BO67+BO65+BO69</f>
        <v>28053.7647023201</v>
      </c>
      <c r="BP70" s="33" t="n">
        <f aca="false">BP67+BP65+BP69</f>
        <v>28053.7647023201</v>
      </c>
      <c r="BQ70" s="33" t="n">
        <f aca="false">BQ67+BQ65+BQ69</f>
        <v>28053.7647023201</v>
      </c>
      <c r="BR70" s="33" t="n">
        <f aca="false">BR67+BR65+BR69</f>
        <v>28053.7647023201</v>
      </c>
      <c r="BS70" s="33" t="n">
        <f aca="false">BS67+BS65+BS69</f>
        <v>28053.7647023201</v>
      </c>
      <c r="BT70" s="33" t="n">
        <f aca="false">BT67+BT65+BT69</f>
        <v>28053.7647023201</v>
      </c>
      <c r="BU70" s="33" t="n">
        <f aca="false">BU67+BU65+BU69</f>
        <v>28053.7647023201</v>
      </c>
      <c r="BV70" s="33" t="n">
        <f aca="false">BV67+BV65+BV69</f>
        <v>28053.7647023201</v>
      </c>
      <c r="BW70" s="33" t="n">
        <f aca="false">BW67+BW65+BW69</f>
        <v>28053.7647023201</v>
      </c>
      <c r="BX70" s="33" t="n">
        <f aca="false">BX67+BX65+BX69</f>
        <v>28053.7647023201</v>
      </c>
      <c r="BY70" s="33" t="n">
        <f aca="false">BY67+BY65+BY69</f>
        <v>28053.7647023201</v>
      </c>
      <c r="BZ70" s="33" t="n">
        <f aca="false">BZ67+BZ65+BZ69</f>
        <v>28053.7647023201</v>
      </c>
      <c r="CA70" s="33" t="n">
        <f aca="false">CA67+CA65+CA69</f>
        <v>28053.7647023201</v>
      </c>
      <c r="CB70" s="33" t="n">
        <f aca="false">CB67+CB65+CB69</f>
        <v>28053.7647023201</v>
      </c>
      <c r="CC70" s="33" t="n">
        <f aca="false">CC67+CC65+CC69</f>
        <v>28053.7647023201</v>
      </c>
      <c r="CD70" s="33" t="n">
        <f aca="false">CD67+CD65+CD69</f>
        <v>28053.7647023201</v>
      </c>
      <c r="CE70" s="33" t="n">
        <f aca="false">CE67+CE65+CE69</f>
        <v>28053.7647023201</v>
      </c>
      <c r="CF70" s="33" t="n">
        <f aca="false">CF67+CF65+CF69</f>
        <v>28053.7647023201</v>
      </c>
      <c r="CG70" s="33" t="n">
        <f aca="false">CG67+CG65+CG69</f>
        <v>28053.7647023201</v>
      </c>
      <c r="CH70" s="33" t="n">
        <f aca="false">CH67+CH65+CH69</f>
        <v>28053.7647023201</v>
      </c>
      <c r="CI70" s="33" t="n">
        <f aca="false">CI67+CI65+CI69</f>
        <v>28053.7647023201</v>
      </c>
      <c r="CJ70" s="33" t="n">
        <f aca="false">CJ67+CJ65+CJ69</f>
        <v>28053.7647023201</v>
      </c>
      <c r="CK70" s="33" t="n">
        <f aca="false">CK67+CK65+CK69</f>
        <v>28053.7647023201</v>
      </c>
      <c r="CL70" s="33" t="n">
        <f aca="false">CL67+CL65+CL69</f>
        <v>28053.7647023201</v>
      </c>
      <c r="CM70" s="33" t="n">
        <f aca="false">CM67+CM65+CM69</f>
        <v>28053.7647023201</v>
      </c>
      <c r="CN70" s="33" t="n">
        <f aca="false">CN67+CN65+CN69</f>
        <v>28053.7647023201</v>
      </c>
      <c r="CO70" s="33" t="n">
        <f aca="false">CO67+CO65+CO69</f>
        <v>28053.7647023201</v>
      </c>
      <c r="CP70" s="33" t="n">
        <f aca="false">CP67+CP65+CP69</f>
        <v>28053.7647023201</v>
      </c>
      <c r="CQ70" s="33" t="n">
        <f aca="false">CQ67+CQ65+CQ69</f>
        <v>28053.7647023201</v>
      </c>
      <c r="CR70" s="33" t="n">
        <f aca="false">CR67+CR65+CR69</f>
        <v>28053.7647023201</v>
      </c>
      <c r="CS70" s="33" t="n">
        <f aca="false">CS67+CS65+CS69</f>
        <v>28053.7647023201</v>
      </c>
      <c r="CT70" s="33" t="n">
        <f aca="false">CT67+CT65+CT69</f>
        <v>28053.7647023201</v>
      </c>
      <c r="CU70" s="33" t="n">
        <f aca="false">CU67+CU65+CU69</f>
        <v>28053.7647023201</v>
      </c>
      <c r="CV70" s="33" t="n">
        <f aca="false">CV67+CV65+CV69</f>
        <v>28053.7647023201</v>
      </c>
      <c r="CW70" s="33" t="n">
        <f aca="false">CW67+CW65+CW69</f>
        <v>28053.7647023201</v>
      </c>
      <c r="CX70" s="33" t="n">
        <f aca="false">CX67+CX65+CX69</f>
        <v>28053.7647023201</v>
      </c>
      <c r="CY70" s="33" t="n">
        <f aca="false">CY67+CY65+CY69</f>
        <v>28053.7647023201</v>
      </c>
      <c r="CZ70" s="33" t="n">
        <f aca="false">CZ67+CZ65+CZ69</f>
        <v>28053.7647023201</v>
      </c>
      <c r="DA70" s="33" t="n">
        <f aca="false">DA67+DA65+DA69</f>
        <v>28053.7647023201</v>
      </c>
      <c r="DB70" s="33" t="n">
        <f aca="false">DB67+DB65+DB69</f>
        <v>28053.7647023201</v>
      </c>
      <c r="DC70" s="33" t="n">
        <f aca="false">DC67+DC65+DC69</f>
        <v>28053.7647023201</v>
      </c>
      <c r="DD70" s="33" t="n">
        <f aca="false">DD67+DD65+DD69</f>
        <v>28053.7647023201</v>
      </c>
      <c r="DE70" s="33" t="n">
        <f aca="false">DE67+DE65+DE69</f>
        <v>28053.7647023201</v>
      </c>
      <c r="DF70" s="33" t="n">
        <f aca="false">DF67+DF65+DF69</f>
        <v>28053.7647023201</v>
      </c>
      <c r="DG70" s="33" t="n">
        <f aca="false">DG67+DG65+DG69</f>
        <v>28053.7647023201</v>
      </c>
      <c r="DH70" s="33" t="n">
        <f aca="false">DH67+DH65+DH69</f>
        <v>28053.7647023201</v>
      </c>
      <c r="DI70" s="33" t="n">
        <f aca="false">DI67+DI65+DI69</f>
        <v>28053.7647023201</v>
      </c>
      <c r="DJ70" s="33" t="n">
        <f aca="false">DJ67+DJ65+DJ69</f>
        <v>28053.7647023201</v>
      </c>
      <c r="DK70" s="33" t="n">
        <f aca="false">DK67+DK65+DK69</f>
        <v>28053.7647023201</v>
      </c>
      <c r="DL70" s="33" t="n">
        <f aca="false">DL67+DL65+DL69</f>
        <v>28053.7647023201</v>
      </c>
      <c r="DM70" s="33" t="n">
        <f aca="false">DM67+DM65+DM69</f>
        <v>28053.7647023201</v>
      </c>
      <c r="DN70" s="33" t="n">
        <f aca="false">DN67+DN65+DN69</f>
        <v>28053.7647023201</v>
      </c>
      <c r="DO70" s="33" t="n">
        <f aca="false">DO67+DO65+DO69</f>
        <v>28053.7647023201</v>
      </c>
      <c r="DP70" s="33" t="n">
        <f aca="false">DP67+DP65+DP69</f>
        <v>28053.7647023201</v>
      </c>
      <c r="DQ70" s="33" t="n">
        <f aca="false">DQ67+DQ65+DQ69</f>
        <v>28053.7647023201</v>
      </c>
      <c r="DR70" s="33" t="n">
        <f aca="false">DR67+DR65+DR69</f>
        <v>28053.7647023201</v>
      </c>
      <c r="DS70" s="33" t="n">
        <f aca="false">DS67+DS65+DS69</f>
        <v>28053.7647023201</v>
      </c>
      <c r="DT70" s="33" t="n">
        <f aca="false">DT67+DT65+DT69</f>
        <v>28053.7647023201</v>
      </c>
      <c r="DU70" s="33" t="n">
        <f aca="false">DU67+DU65+DU69</f>
        <v>28053.7647023201</v>
      </c>
      <c r="DV70" s="33" t="n">
        <f aca="false">DV67+DV65+DV69</f>
        <v>28053.7647023201</v>
      </c>
      <c r="DW70" s="33" t="n">
        <f aca="false">DW67+DW65+DW69</f>
        <v>28053.7647023201</v>
      </c>
      <c r="DX70" s="33" t="n">
        <f aca="false">DX67+DX65+DX69</f>
        <v>28053.7647023201</v>
      </c>
      <c r="DY70" s="33" t="n">
        <f aca="false">DY67+DY65+DY69</f>
        <v>28053.7647023201</v>
      </c>
      <c r="DZ70" s="33" t="n">
        <f aca="false">DZ67+DZ65+DZ69</f>
        <v>28053.7647023201</v>
      </c>
      <c r="EA70" s="33" t="n">
        <f aca="false">EA67+EA65+EA69</f>
        <v>28053.7647023201</v>
      </c>
      <c r="EB70" s="33" t="n">
        <f aca="false">EB67+EB65+EB69</f>
        <v>28053.7647023201</v>
      </c>
      <c r="EC70" s="33" t="n">
        <f aca="false">EC67+EC65+EC69</f>
        <v>28053.7647023201</v>
      </c>
      <c r="ED70" s="33" t="n">
        <f aca="false">ED67+ED65+ED69</f>
        <v>28053.7647023201</v>
      </c>
      <c r="EE70" s="33" t="n">
        <f aca="false">EE67+EE65+EE69</f>
        <v>28053.7647023201</v>
      </c>
      <c r="EF70" s="33" t="n">
        <f aca="false">EF67+EF65+EF69</f>
        <v>28053.7647023201</v>
      </c>
      <c r="EG70" s="33" t="n">
        <f aca="false">EG67+EG65+EG69</f>
        <v>28053.7647023201</v>
      </c>
      <c r="EH70" s="33" t="n">
        <f aca="false">EH67+EH65+EH69</f>
        <v>28053.7647023201</v>
      </c>
      <c r="EI70" s="33" t="n">
        <f aca="false">EI67+EI65+EI69</f>
        <v>28053.7647023201</v>
      </c>
      <c r="EJ70" s="33" t="n">
        <f aca="false">EJ67+EJ65+EJ69</f>
        <v>28053.7647023201</v>
      </c>
      <c r="EK70" s="33" t="n">
        <f aca="false">EK67+EK65+EK69</f>
        <v>28053.7647023201</v>
      </c>
      <c r="EL70" s="33" t="n">
        <f aca="false">EL67+EL65+EL69</f>
        <v>28053.7647023201</v>
      </c>
      <c r="EM70" s="33" t="n">
        <f aca="false">EM67+EM65+EM69</f>
        <v>28053.7647023201</v>
      </c>
      <c r="EN70" s="33" t="n">
        <f aca="false">EN67+EN65+EN69</f>
        <v>28053.7647023201</v>
      </c>
      <c r="EO70" s="33" t="n">
        <f aca="false">EO67+EO65+EO69</f>
        <v>28053.7647023201</v>
      </c>
      <c r="EP70" s="33" t="n">
        <f aca="false">EP67+EP65+EP69</f>
        <v>28053.7647023201</v>
      </c>
      <c r="EQ70" s="33" t="n">
        <f aca="false">EQ67+EQ65+EQ69</f>
        <v>28053.7647023201</v>
      </c>
      <c r="ER70" s="33" t="n">
        <f aca="false">ER67+ER65+ER69</f>
        <v>28053.7647023201</v>
      </c>
      <c r="ES70" s="33" t="n">
        <f aca="false">ES67+ES65+ES69</f>
        <v>28053.7647023201</v>
      </c>
      <c r="ET70" s="33" t="n">
        <f aca="false">ET67+ET65+ET69</f>
        <v>28053.7647023201</v>
      </c>
    </row>
    <row r="71" customFormat="false" ht="15" hidden="false" customHeight="false" outlineLevel="0" collapsed="false">
      <c r="A71" s="55"/>
      <c r="B71" s="55"/>
      <c r="C71" s="55" t="s">
        <v>538</v>
      </c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  <c r="AN71" s="55"/>
      <c r="AO71" s="55"/>
      <c r="AP71" s="55"/>
      <c r="AQ71" s="55"/>
      <c r="AR71" s="55"/>
      <c r="AS71" s="55"/>
      <c r="AT71" s="55"/>
      <c r="AU71" s="55"/>
      <c r="AV71" s="55"/>
      <c r="AW71" s="55"/>
      <c r="AX71" s="55"/>
      <c r="AY71" s="55"/>
      <c r="AZ71" s="55"/>
      <c r="BA71" s="55"/>
      <c r="BB71" s="55"/>
      <c r="BC71" s="55"/>
      <c r="BD71" s="55"/>
      <c r="BE71" s="55"/>
      <c r="BF71" s="55"/>
      <c r="BG71" s="55"/>
      <c r="BH71" s="55"/>
      <c r="BI71" s="55"/>
      <c r="BJ71" s="55"/>
      <c r="BK71" s="55"/>
      <c r="BL71" s="55"/>
      <c r="BM71" s="55"/>
      <c r="BN71" s="55"/>
      <c r="BO71" s="55"/>
      <c r="BP71" s="55"/>
      <c r="BQ71" s="55"/>
      <c r="BR71" s="55"/>
      <c r="BS71" s="55"/>
      <c r="BT71" s="55"/>
      <c r="BU71" s="55"/>
      <c r="BV71" s="55"/>
      <c r="BW71" s="55"/>
      <c r="BX71" s="55"/>
      <c r="BY71" s="55"/>
      <c r="BZ71" s="55"/>
      <c r="CA71" s="55"/>
      <c r="CB71" s="55"/>
      <c r="CC71" s="55"/>
      <c r="CD71" s="55"/>
      <c r="CE71" s="55"/>
      <c r="CF71" s="55"/>
      <c r="CG71" s="55"/>
      <c r="CH71" s="55"/>
      <c r="CI71" s="55"/>
      <c r="CJ71" s="55"/>
      <c r="CK71" s="55"/>
      <c r="CL71" s="55"/>
      <c r="CM71" s="55"/>
      <c r="CN71" s="55"/>
      <c r="CO71" s="55"/>
      <c r="CP71" s="55"/>
      <c r="CQ71" s="55"/>
      <c r="CR71" s="55"/>
      <c r="CS71" s="55"/>
      <c r="CT71" s="55"/>
      <c r="CU71" s="55"/>
      <c r="CV71" s="55"/>
      <c r="CW71" s="55"/>
      <c r="CX71" s="55"/>
      <c r="CY71" s="55"/>
      <c r="CZ71" s="55"/>
      <c r="DA71" s="55"/>
      <c r="DB71" s="55"/>
      <c r="DC71" s="55"/>
      <c r="DD71" s="55"/>
      <c r="DE71" s="55"/>
      <c r="DF71" s="55"/>
      <c r="DG71" s="55"/>
      <c r="DH71" s="55"/>
      <c r="DI71" s="55"/>
      <c r="DJ71" s="55"/>
      <c r="DK71" s="55"/>
      <c r="DL71" s="55"/>
      <c r="DM71" s="55"/>
      <c r="DN71" s="55"/>
      <c r="DO71" s="55"/>
      <c r="DP71" s="55"/>
      <c r="DQ71" s="55"/>
      <c r="DR71" s="55"/>
      <c r="DS71" s="55"/>
      <c r="DT71" s="55"/>
      <c r="DU71" s="55"/>
      <c r="DV71" s="55"/>
      <c r="DW71" s="55"/>
      <c r="DX71" s="55"/>
      <c r="DY71" s="55"/>
      <c r="DZ71" s="55"/>
      <c r="EA71" s="55"/>
      <c r="EB71" s="55"/>
      <c r="EC71" s="55"/>
      <c r="ED71" s="55"/>
      <c r="EE71" s="55"/>
      <c r="EF71" s="55"/>
      <c r="EG71" s="55"/>
      <c r="EH71" s="55"/>
      <c r="EI71" s="55"/>
      <c r="EJ71" s="55"/>
      <c r="EK71" s="55"/>
      <c r="EL71" s="55"/>
      <c r="EM71" s="55"/>
      <c r="EN71" s="55"/>
      <c r="EO71" s="55"/>
      <c r="EP71" s="55"/>
      <c r="EQ71" s="55"/>
      <c r="ER71" s="55"/>
      <c r="ES71" s="55"/>
      <c r="ET71" s="55"/>
    </row>
    <row r="72" customFormat="false" ht="15" hidden="false" customHeight="false" outlineLevel="0" collapsed="false">
      <c r="C72" s="0" t="s">
        <v>539</v>
      </c>
      <c r="D72" s="11" t="s">
        <v>253</v>
      </c>
      <c r="J72" s="22" t="n">
        <f aca="false">I75</f>
        <v>0</v>
      </c>
      <c r="K72" s="22" t="n">
        <f aca="false">J75</f>
        <v>0</v>
      </c>
      <c r="L72" s="22" t="n">
        <f aca="false">K75</f>
        <v>18.1640998311128</v>
      </c>
      <c r="M72" s="22" t="n">
        <f aca="false">L75</f>
        <v>18.1640998311128</v>
      </c>
      <c r="N72" s="22" t="n">
        <f aca="false">M75</f>
        <v>18.1640998311128</v>
      </c>
      <c r="O72" s="22" t="n">
        <f aca="false">N75</f>
        <v>18.1640998311128</v>
      </c>
      <c r="P72" s="22" t="n">
        <f aca="false">O75</f>
        <v>438.867644451117</v>
      </c>
      <c r="Q72" s="22" t="n">
        <f aca="false">P75</f>
        <v>438.867644451117</v>
      </c>
      <c r="R72" s="22" t="n">
        <f aca="false">Q75</f>
        <v>438.867644451117</v>
      </c>
      <c r="S72" s="22" t="n">
        <f aca="false">R75</f>
        <v>438.867644451117</v>
      </c>
      <c r="T72" s="22" t="n">
        <f aca="false">S75</f>
        <v>886.035170946395</v>
      </c>
      <c r="U72" s="22" t="n">
        <f aca="false">T75</f>
        <v>886.035170946395</v>
      </c>
      <c r="V72" s="22" t="n">
        <f aca="false">U75</f>
        <v>886.035170946395</v>
      </c>
      <c r="W72" s="22" t="n">
        <f aca="false">V75</f>
        <v>886.035170946395</v>
      </c>
      <c r="X72" s="22" t="n">
        <f aca="false">W75</f>
        <v>1120.48016110676</v>
      </c>
      <c r="Y72" s="22" t="n">
        <f aca="false">X75</f>
        <v>1120.48016110676</v>
      </c>
      <c r="Z72" s="22" t="n">
        <f aca="false">Y75</f>
        <v>1120.48016110676</v>
      </c>
      <c r="AA72" s="22" t="n">
        <f aca="false">Z75</f>
        <v>1120.48016110676</v>
      </c>
      <c r="AB72" s="22" t="n">
        <f aca="false">AA75</f>
        <v>1607.3226694033</v>
      </c>
      <c r="AC72" s="22" t="n">
        <f aca="false">AB75</f>
        <v>1607.3226694033</v>
      </c>
      <c r="AD72" s="22" t="n">
        <f aca="false">AC75</f>
        <v>1607.3226694033</v>
      </c>
      <c r="AE72" s="22" t="n">
        <f aca="false">AD75</f>
        <v>1607.3226694033</v>
      </c>
      <c r="AF72" s="22" t="n">
        <f aca="false">AE75</f>
        <v>1993.30208050153</v>
      </c>
      <c r="AG72" s="22" t="n">
        <f aca="false">AF75</f>
        <v>1993.30208050153</v>
      </c>
      <c r="AH72" s="22" t="n">
        <f aca="false">AG75</f>
        <v>1993.30208050153</v>
      </c>
      <c r="AI72" s="22" t="n">
        <f aca="false">AH75</f>
        <v>1993.30208050153</v>
      </c>
      <c r="AJ72" s="22" t="n">
        <f aca="false">AI75</f>
        <v>1993.30208050153</v>
      </c>
      <c r="AK72" s="22" t="n">
        <f aca="false">AJ75</f>
        <v>1993.30208050153</v>
      </c>
      <c r="AL72" s="22" t="n">
        <f aca="false">AK75</f>
        <v>1993.30208050153</v>
      </c>
      <c r="AM72" s="22" t="n">
        <f aca="false">AL75</f>
        <v>1993.30208050153</v>
      </c>
      <c r="AN72" s="22" t="n">
        <f aca="false">AM75</f>
        <v>1993.30208050153</v>
      </c>
      <c r="AO72" s="22" t="n">
        <f aca="false">AN75</f>
        <v>1993.30208050153</v>
      </c>
      <c r="AP72" s="22" t="n">
        <f aca="false">AO75</f>
        <v>1993.30208050153</v>
      </c>
      <c r="AQ72" s="22" t="n">
        <f aca="false">AP75</f>
        <v>1993.30208050153</v>
      </c>
      <c r="AR72" s="22" t="n">
        <f aca="false">AQ75</f>
        <v>1993.30208050153</v>
      </c>
      <c r="AS72" s="22" t="n">
        <f aca="false">AR75</f>
        <v>1993.30208050153</v>
      </c>
      <c r="AT72" s="22" t="n">
        <f aca="false">AS75</f>
        <v>1993.30208050153</v>
      </c>
      <c r="AU72" s="22" t="n">
        <f aca="false">AT75</f>
        <v>1993.30208050153</v>
      </c>
      <c r="AV72" s="22" t="n">
        <f aca="false">AU75</f>
        <v>1993.30208050153</v>
      </c>
      <c r="AW72" s="22" t="n">
        <f aca="false">AV75</f>
        <v>1993.30208050153</v>
      </c>
      <c r="AX72" s="22" t="n">
        <f aca="false">AW75</f>
        <v>1993.30208050153</v>
      </c>
      <c r="AY72" s="22" t="n">
        <f aca="false">AX75</f>
        <v>1993.30208050153</v>
      </c>
      <c r="AZ72" s="22" t="n">
        <f aca="false">AY75</f>
        <v>1993.30208050153</v>
      </c>
      <c r="BA72" s="22" t="n">
        <f aca="false">AZ75</f>
        <v>1993.30208050153</v>
      </c>
      <c r="BB72" s="22" t="n">
        <f aca="false">BA75</f>
        <v>1993.30208050153</v>
      </c>
      <c r="BC72" s="22" t="n">
        <f aca="false">BB75</f>
        <v>1993.30208050153</v>
      </c>
      <c r="BD72" s="22" t="n">
        <f aca="false">BC75</f>
        <v>1993.30208050153</v>
      </c>
      <c r="BE72" s="22" t="n">
        <f aca="false">BD75</f>
        <v>1993.30208050153</v>
      </c>
      <c r="BF72" s="22" t="n">
        <f aca="false">BE75</f>
        <v>1993.30208050153</v>
      </c>
      <c r="BG72" s="22" t="n">
        <f aca="false">BF75</f>
        <v>1993.30208050153</v>
      </c>
      <c r="BH72" s="22" t="n">
        <f aca="false">BG75</f>
        <v>1993.30208050153</v>
      </c>
      <c r="BI72" s="22" t="n">
        <f aca="false">BH75</f>
        <v>1993.30208050153</v>
      </c>
      <c r="BJ72" s="22" t="n">
        <f aca="false">BI75</f>
        <v>1993.30208050153</v>
      </c>
      <c r="BK72" s="22" t="n">
        <f aca="false">BJ75</f>
        <v>1993.30208050153</v>
      </c>
      <c r="BL72" s="22" t="n">
        <f aca="false">BK75</f>
        <v>1993.30208050153</v>
      </c>
      <c r="BM72" s="22" t="n">
        <f aca="false">BL75</f>
        <v>1993.30208050153</v>
      </c>
      <c r="BN72" s="22" t="n">
        <f aca="false">BM75</f>
        <v>1993.30208050153</v>
      </c>
      <c r="BO72" s="22" t="n">
        <f aca="false">BN75</f>
        <v>1993.30208050153</v>
      </c>
      <c r="BP72" s="22" t="n">
        <f aca="false">BO75</f>
        <v>1993.30208050153</v>
      </c>
      <c r="BQ72" s="22" t="n">
        <f aca="false">BP75</f>
        <v>1993.30208050153</v>
      </c>
      <c r="BR72" s="22" t="n">
        <f aca="false">BQ75</f>
        <v>1993.30208050153</v>
      </c>
      <c r="BS72" s="22" t="n">
        <f aca="false">BR75</f>
        <v>1993.30208050153</v>
      </c>
      <c r="BT72" s="22" t="n">
        <f aca="false">BS75</f>
        <v>1993.30208050153</v>
      </c>
      <c r="BU72" s="22" t="n">
        <f aca="false">BT75</f>
        <v>1993.30208050153</v>
      </c>
      <c r="BV72" s="22" t="n">
        <f aca="false">BU75</f>
        <v>1993.30208050153</v>
      </c>
      <c r="BW72" s="22" t="n">
        <f aca="false">BV75</f>
        <v>1993.30208050153</v>
      </c>
      <c r="BX72" s="22" t="n">
        <f aca="false">BW75</f>
        <v>1993.30208050153</v>
      </c>
      <c r="BY72" s="22" t="n">
        <f aca="false">BX75</f>
        <v>1993.30208050153</v>
      </c>
      <c r="BZ72" s="22" t="n">
        <f aca="false">BY75</f>
        <v>1993.30208050153</v>
      </c>
      <c r="CA72" s="22" t="n">
        <f aca="false">BZ75</f>
        <v>1993.30208050153</v>
      </c>
      <c r="CB72" s="22" t="n">
        <f aca="false">CA75</f>
        <v>1993.30208050153</v>
      </c>
      <c r="CC72" s="22" t="n">
        <f aca="false">CB75</f>
        <v>1993.30208050153</v>
      </c>
      <c r="CD72" s="22" t="n">
        <f aca="false">CC75</f>
        <v>1993.30208050153</v>
      </c>
      <c r="CE72" s="22" t="n">
        <f aca="false">CD75</f>
        <v>1993.30208050153</v>
      </c>
      <c r="CF72" s="22" t="n">
        <f aca="false">CE75</f>
        <v>1993.30208050153</v>
      </c>
      <c r="CG72" s="22" t="n">
        <f aca="false">CF75</f>
        <v>1993.30208050153</v>
      </c>
      <c r="CH72" s="22" t="n">
        <f aca="false">CG75</f>
        <v>1993.30208050153</v>
      </c>
      <c r="CI72" s="22" t="n">
        <f aca="false">CH75</f>
        <v>1993.30208050153</v>
      </c>
      <c r="CJ72" s="22" t="n">
        <f aca="false">CI75</f>
        <v>1993.30208050153</v>
      </c>
      <c r="CK72" s="22" t="n">
        <f aca="false">CJ75</f>
        <v>1993.30208050153</v>
      </c>
      <c r="CL72" s="22" t="n">
        <f aca="false">CK75</f>
        <v>1993.30208050153</v>
      </c>
      <c r="CM72" s="22" t="n">
        <f aca="false">CL75</f>
        <v>1993.30208050153</v>
      </c>
      <c r="CN72" s="22" t="n">
        <f aca="false">CM75</f>
        <v>1993.30208050153</v>
      </c>
      <c r="CO72" s="22" t="n">
        <f aca="false">CN75</f>
        <v>1993.30208050153</v>
      </c>
      <c r="CP72" s="22" t="n">
        <f aca="false">CO75</f>
        <v>1993.30208050153</v>
      </c>
      <c r="CQ72" s="22" t="n">
        <f aca="false">CP75</f>
        <v>1993.30208050153</v>
      </c>
      <c r="CR72" s="22" t="n">
        <f aca="false">CQ75</f>
        <v>1993.30208050153</v>
      </c>
      <c r="CS72" s="22" t="n">
        <f aca="false">CR75</f>
        <v>1993.30208050153</v>
      </c>
      <c r="CT72" s="22" t="n">
        <f aca="false">CS75</f>
        <v>1993.30208050153</v>
      </c>
      <c r="CU72" s="22" t="n">
        <f aca="false">CT75</f>
        <v>1993.30208050153</v>
      </c>
      <c r="CV72" s="22" t="n">
        <f aca="false">CU75</f>
        <v>1993.30208050153</v>
      </c>
      <c r="CW72" s="22" t="n">
        <f aca="false">CV75</f>
        <v>1993.30208050153</v>
      </c>
      <c r="CX72" s="22" t="n">
        <f aca="false">CW75</f>
        <v>1993.30208050153</v>
      </c>
      <c r="CY72" s="22" t="n">
        <f aca="false">CX75</f>
        <v>1993.30208050153</v>
      </c>
      <c r="CZ72" s="22" t="n">
        <f aca="false">CY75</f>
        <v>1993.30208050153</v>
      </c>
      <c r="DA72" s="22" t="n">
        <f aca="false">CZ75</f>
        <v>1993.30208050153</v>
      </c>
      <c r="DB72" s="22" t="n">
        <f aca="false">DA75</f>
        <v>1993.30208050153</v>
      </c>
      <c r="DC72" s="22" t="n">
        <f aca="false">DB75</f>
        <v>1993.30208050153</v>
      </c>
      <c r="DD72" s="22" t="n">
        <f aca="false">DC75</f>
        <v>1993.30208050153</v>
      </c>
      <c r="DE72" s="22" t="n">
        <f aca="false">DD75</f>
        <v>1993.30208050153</v>
      </c>
      <c r="DF72" s="22" t="n">
        <f aca="false">DE75</f>
        <v>1993.30208050153</v>
      </c>
      <c r="DG72" s="22" t="n">
        <f aca="false">DF75</f>
        <v>1993.30208050153</v>
      </c>
      <c r="DH72" s="22" t="n">
        <f aca="false">DG75</f>
        <v>1993.30208050153</v>
      </c>
      <c r="DI72" s="22" t="n">
        <f aca="false">DH75</f>
        <v>1993.30208050153</v>
      </c>
      <c r="DJ72" s="22" t="n">
        <f aca="false">DI75</f>
        <v>1993.30208050153</v>
      </c>
      <c r="DK72" s="22" t="n">
        <f aca="false">DJ75</f>
        <v>1993.30208050153</v>
      </c>
      <c r="DL72" s="22" t="n">
        <f aca="false">DK75</f>
        <v>1993.30208050153</v>
      </c>
      <c r="DM72" s="22" t="n">
        <f aca="false">DL75</f>
        <v>1993.30208050153</v>
      </c>
      <c r="DN72" s="22" t="n">
        <f aca="false">DM75</f>
        <v>1993.30208050153</v>
      </c>
      <c r="DO72" s="22" t="n">
        <f aca="false">DN75</f>
        <v>1993.30208050153</v>
      </c>
      <c r="DP72" s="22" t="n">
        <f aca="false">DO75</f>
        <v>1993.30208050153</v>
      </c>
      <c r="DQ72" s="22" t="n">
        <f aca="false">DP75</f>
        <v>1993.30208050153</v>
      </c>
      <c r="DR72" s="22" t="n">
        <f aca="false">DQ75</f>
        <v>1993.30208050153</v>
      </c>
      <c r="DS72" s="22" t="n">
        <f aca="false">DR75</f>
        <v>1993.30208050153</v>
      </c>
      <c r="DT72" s="22" t="n">
        <f aca="false">DS75</f>
        <v>1993.30208050153</v>
      </c>
      <c r="DU72" s="22" t="n">
        <f aca="false">DT75</f>
        <v>1993.30208050153</v>
      </c>
      <c r="DV72" s="22" t="n">
        <f aca="false">DU75</f>
        <v>1993.30208050153</v>
      </c>
      <c r="DW72" s="22" t="n">
        <f aca="false">DV75</f>
        <v>1993.30208050153</v>
      </c>
      <c r="DX72" s="22" t="n">
        <f aca="false">DW75</f>
        <v>1993.30208050153</v>
      </c>
      <c r="DY72" s="22" t="n">
        <f aca="false">DX75</f>
        <v>1993.30208050153</v>
      </c>
      <c r="DZ72" s="22" t="n">
        <f aca="false">DY75</f>
        <v>1993.30208050153</v>
      </c>
      <c r="EA72" s="22" t="n">
        <f aca="false">DZ75</f>
        <v>1993.30208050153</v>
      </c>
      <c r="EB72" s="22" t="n">
        <f aca="false">EA75</f>
        <v>1993.30208050153</v>
      </c>
      <c r="EC72" s="22" t="n">
        <f aca="false">EB75</f>
        <v>1993.30208050153</v>
      </c>
      <c r="ED72" s="22" t="n">
        <f aca="false">EC75</f>
        <v>1993.30208050153</v>
      </c>
      <c r="EE72" s="22" t="n">
        <f aca="false">ED75</f>
        <v>1993.30208050153</v>
      </c>
      <c r="EF72" s="22" t="n">
        <f aca="false">EE75</f>
        <v>1993.30208050153</v>
      </c>
      <c r="EG72" s="22" t="n">
        <f aca="false">EF75</f>
        <v>1993.30208050153</v>
      </c>
      <c r="EH72" s="22" t="n">
        <f aca="false">EG75</f>
        <v>1993.30208050153</v>
      </c>
      <c r="EI72" s="22" t="n">
        <f aca="false">EH75</f>
        <v>1993.30208050153</v>
      </c>
      <c r="EJ72" s="22" t="n">
        <f aca="false">EI75</f>
        <v>1993.30208050153</v>
      </c>
      <c r="EK72" s="22" t="n">
        <f aca="false">EJ75</f>
        <v>1993.30208050153</v>
      </c>
      <c r="EL72" s="22" t="n">
        <f aca="false">EK75</f>
        <v>1993.30208050153</v>
      </c>
      <c r="EM72" s="22" t="n">
        <f aca="false">EL75</f>
        <v>1993.30208050153</v>
      </c>
      <c r="EN72" s="22" t="n">
        <f aca="false">EM75</f>
        <v>1993.30208050153</v>
      </c>
      <c r="EO72" s="22" t="n">
        <f aca="false">EN75</f>
        <v>1993.30208050153</v>
      </c>
      <c r="EP72" s="22" t="n">
        <f aca="false">EO75</f>
        <v>1993.30208050153</v>
      </c>
      <c r="EQ72" s="22" t="n">
        <f aca="false">EP75</f>
        <v>1993.30208050153</v>
      </c>
      <c r="ER72" s="22" t="n">
        <f aca="false">EQ75</f>
        <v>1993.30208050153</v>
      </c>
      <c r="ES72" s="22" t="n">
        <f aca="false">ER75</f>
        <v>1993.30208050153</v>
      </c>
      <c r="ET72" s="22" t="n">
        <f aca="false">ES75</f>
        <v>1993.30208050153</v>
      </c>
    </row>
    <row r="73" customFormat="false" ht="15" hidden="false" customHeight="false" outlineLevel="0" collapsed="false">
      <c r="C73" s="0" t="s">
        <v>535</v>
      </c>
      <c r="D73" s="11" t="s">
        <v>253</v>
      </c>
      <c r="E73" s="33" t="n">
        <f aca="false">SUMIF($J$4:$ET$4,"&lt;="&amp;$E12,$J73:$ET73)</f>
        <v>1120.48016110676</v>
      </c>
      <c r="F73" s="33" t="n">
        <f aca="false">SUMIF($J$4:$ET$4,"&lt;="&amp;In_COD,$J73:$ET73)</f>
        <v>1993.30208050153</v>
      </c>
      <c r="I73" s="33" t="n">
        <f aca="false">SUM(J73:ET73)</f>
        <v>1993.30208050153</v>
      </c>
      <c r="J73" s="33" t="n">
        <f aca="false">In_Guar_Credit*(1-J19)*(J72+J48+J49)*J$5/Days_In_Year*(J$4&lt;=In_COD)</f>
        <v>0</v>
      </c>
      <c r="K73" s="33" t="n">
        <f aca="false">In_Guar_Credit*(1-K19)*(K72+K48+K49)*K$5/Days_In_Year*(K$4&lt;=In_COD)</f>
        <v>18.1640998311128</v>
      </c>
      <c r="L73" s="33" t="n">
        <f aca="false">In_Guar_Credit*(1-L19)*(L72+L48+L49)*L$5/Days_In_Year*(L$4&lt;=In_COD)</f>
        <v>103.735120591234</v>
      </c>
      <c r="M73" s="33" t="n">
        <f aca="false">In_Guar_Credit*(1-M19)*(M72+M48+M49)*M$5/Days_In_Year*(M$4&lt;=In_COD)</f>
        <v>104.887733042248</v>
      </c>
      <c r="N73" s="33" t="n">
        <f aca="false">In_Guar_Credit*(1-N19)*(N72+N48+N49)*N$5/Days_In_Year*(N$4&lt;=In_COD)</f>
        <v>106.040345493261</v>
      </c>
      <c r="O73" s="33" t="n">
        <f aca="false">In_Guar_Credit*(1-O19)*(O72+O48+O49)*O$5/Days_In_Year*(O$4&lt;=In_COD)</f>
        <v>106.040345493261</v>
      </c>
      <c r="P73" s="33" t="n">
        <f aca="false">In_Guar_Credit*(1-P19)*(P72+P48+P49)*P$5/Days_In_Year*(P$4&lt;=In_COD)</f>
        <v>111.180997024782</v>
      </c>
      <c r="Q73" s="33" t="n">
        <f aca="false">In_Guar_Credit*(1-Q19)*(Q72+Q48+Q49)*Q$5/Days_In_Year*(Q$4&lt;=In_COD)</f>
        <v>111.180997024782</v>
      </c>
      <c r="R73" s="33" t="n">
        <f aca="false">In_Guar_Credit*(1-R19)*(R72+R48+R49)*R$5/Days_In_Year*(R$4&lt;=In_COD)</f>
        <v>112.402766222857</v>
      </c>
      <c r="S73" s="33" t="n">
        <f aca="false">In_Guar_Credit*(1-S19)*(S72+S48+S49)*S$5/Days_In_Year*(S$4&lt;=In_COD)</f>
        <v>112.402766222857</v>
      </c>
      <c r="T73" s="33" t="n">
        <f aca="false">In_Guar_Credit*(1-T19)*(T72+T48+T49)*T$5/Days_In_Year*(T$4&lt;=In_COD)</f>
        <v>116.574856985816</v>
      </c>
      <c r="U73" s="33" t="n">
        <f aca="false">In_Guar_Credit*(1-U19)*(U72+U48+U49)*U$5/Days_In_Year*(U$4&lt;=In_COD)</f>
        <v>117.870133174547</v>
      </c>
      <c r="V73" s="33" t="n">
        <f aca="false">In_Guar_Credit*(1-V19)*(V72+V48+V49)*V$5/Days_In_Year*(V$4&lt;=In_COD)</f>
        <v>0</v>
      </c>
      <c r="W73" s="33" t="n">
        <f aca="false">In_Guar_Credit*(1-W19)*(W72+W48+W49)*W$5/Days_In_Year*(W$4&lt;=In_COD)</f>
        <v>0</v>
      </c>
      <c r="X73" s="33" t="n">
        <f aca="false">In_Guar_Credit*(1-X19)*(X72+X48+X49)*X$5/Days_In_Year*(X$4&lt;=In_COD)</f>
        <v>120.043358210106</v>
      </c>
      <c r="Y73" s="33" t="n">
        <f aca="false">In_Guar_Credit*(1-Y19)*(Y72+Y48+Y49)*Y$5/Days_In_Year*(Y$4&lt;=In_COD)</f>
        <v>121.37717330133</v>
      </c>
      <c r="Z73" s="33" t="n">
        <f aca="false">In_Guar_Credit*(1-Z19)*(Z72+Z48+Z49)*Z$5/Days_In_Year*(Z$4&lt;=In_COD)</f>
        <v>122.710988392553</v>
      </c>
      <c r="AA73" s="33" t="n">
        <f aca="false">In_Guar_Credit*(1-AA19)*(AA72+AA48+AA49)*AA$5/Days_In_Year*(AA$4&lt;=In_COD)</f>
        <v>122.710988392553</v>
      </c>
      <c r="AB73" s="33" t="n">
        <f aca="false">In_Guar_Credit*(1-AB19)*(AB72+AB48+AB49)*AB$5/Days_In_Year*(AB$4&lt;=In_COD)</f>
        <v>127.245959702713</v>
      </c>
      <c r="AC73" s="33" t="n">
        <f aca="false">In_Guar_Credit*(1-AC19)*(AC72+AC48+AC49)*AC$5/Days_In_Year*(AC$4&lt;=In_COD)</f>
        <v>128.65980369941</v>
      </c>
      <c r="AD73" s="33" t="n">
        <f aca="false">In_Guar_Credit*(1-AD19)*(AD72+AD48+AD49)*AD$5/Days_In_Year*(AD$4&lt;=In_COD)</f>
        <v>130.073647696106</v>
      </c>
      <c r="AE73" s="33" t="n">
        <f aca="false">In_Guar_Credit*(1-AE19)*(AE72+AE48+AE49)*AE$5/Days_In_Year*(AE$4&lt;=In_COD)</f>
        <v>0</v>
      </c>
      <c r="AF73" s="33" t="n">
        <f aca="false">In_Guar_Credit*(1-AF19)*(AF72+AF48+AF49)*AF$5/Days_In_Year*(AF$4&lt;=In_COD)</f>
        <v>0</v>
      </c>
      <c r="AG73" s="33" t="n">
        <f aca="false">In_Guar_Credit*(1-AG19)*(AG72+AG48+AG49)*AG$5/Days_In_Year*(AG$4&lt;=In_COD)</f>
        <v>0</v>
      </c>
      <c r="AH73" s="33" t="n">
        <f aca="false">In_Guar_Credit*(1-AH19)*(AH72+AH48+AH49)*AH$5/Days_In_Year*(AH$4&lt;=In_COD)</f>
        <v>0</v>
      </c>
      <c r="AI73" s="33" t="n">
        <f aca="false">In_Guar_Credit*(1-AI19)*(AI72+AI48+AI49)*AI$5/Days_In_Year*(AI$4&lt;=In_COD)</f>
        <v>0</v>
      </c>
      <c r="AJ73" s="33" t="n">
        <f aca="false">In_Guar_Credit*(1-AJ19)*(AJ72+AJ48+AJ49)*AJ$5/Days_In_Year*(AJ$4&lt;=In_COD)</f>
        <v>0</v>
      </c>
      <c r="AK73" s="33" t="n">
        <f aca="false">In_Guar_Credit*(1-AK19)*(AK72+AK48+AK49)*AK$5/Days_In_Year*(AK$4&lt;=In_COD)</f>
        <v>0</v>
      </c>
      <c r="AL73" s="33" t="n">
        <f aca="false">In_Guar_Credit*(1-AL19)*(AL72+AL48+AL49)*AL$5/Days_In_Year*(AL$4&lt;=In_COD)</f>
        <v>0</v>
      </c>
      <c r="AM73" s="33" t="n">
        <f aca="false">In_Guar_Credit*(1-AM19)*(AM72+AM48+AM49)*AM$5/Days_In_Year*(AM$4&lt;=In_COD)</f>
        <v>0</v>
      </c>
      <c r="AN73" s="33" t="n">
        <f aca="false">In_Guar_Credit*(1-AN19)*(AN72+AN48+AN49)*AN$5/Days_In_Year*(AN$4&lt;=In_COD)</f>
        <v>0</v>
      </c>
      <c r="AO73" s="33" t="n">
        <f aca="false">In_Guar_Credit*(1-AO19)*(AO72+AO48+AO49)*AO$5/Days_In_Year*(AO$4&lt;=In_COD)</f>
        <v>0</v>
      </c>
      <c r="AP73" s="33" t="n">
        <f aca="false">In_Guar_Credit*(1-AP19)*(AP72+AP48+AP49)*AP$5/Days_In_Year*(AP$4&lt;=In_COD)</f>
        <v>0</v>
      </c>
      <c r="AQ73" s="33" t="n">
        <f aca="false">In_Guar_Credit*(1-AQ19)*(AQ72+AQ48+AQ49)*AQ$5/Days_In_Year*(AQ$4&lt;=In_COD)</f>
        <v>0</v>
      </c>
      <c r="AR73" s="33" t="n">
        <f aca="false">In_Guar_Credit*(1-AR19)*(AR72+AR48+AR49)*AR$5/Days_In_Year*(AR$4&lt;=In_COD)</f>
        <v>0</v>
      </c>
      <c r="AS73" s="33" t="n">
        <f aca="false">In_Guar_Credit*(1-AS19)*(AS72+AS48+AS49)*AS$5/Days_In_Year*(AS$4&lt;=In_COD)</f>
        <v>0</v>
      </c>
      <c r="AT73" s="33" t="n">
        <f aca="false">In_Guar_Credit*(1-AT19)*(AT72+AT48+AT49)*AT$5/Days_In_Year*(AT$4&lt;=In_COD)</f>
        <v>0</v>
      </c>
      <c r="AU73" s="33" t="n">
        <f aca="false">In_Guar_Credit*(1-AU19)*(AU72+AU48+AU49)*AU$5/Days_In_Year*(AU$4&lt;=In_COD)</f>
        <v>0</v>
      </c>
      <c r="AV73" s="33" t="n">
        <f aca="false">In_Guar_Credit*(1-AV19)*(AV72+AV48+AV49)*AV$5/Days_In_Year*(AV$4&lt;=In_COD)</f>
        <v>0</v>
      </c>
      <c r="AW73" s="33" t="n">
        <f aca="false">In_Guar_Credit*(1-AW19)*(AW72+AW48+AW49)*AW$5/Days_In_Year*(AW$4&lt;=In_COD)</f>
        <v>0</v>
      </c>
      <c r="AX73" s="33" t="n">
        <f aca="false">In_Guar_Credit*(1-AX19)*(AX72+AX48+AX49)*AX$5/Days_In_Year*(AX$4&lt;=In_COD)</f>
        <v>0</v>
      </c>
      <c r="AY73" s="33" t="n">
        <f aca="false">In_Guar_Credit*(1-AY19)*(AY72+AY48+AY49)*AY$5/Days_In_Year*(AY$4&lt;=In_COD)</f>
        <v>0</v>
      </c>
      <c r="AZ73" s="33" t="n">
        <f aca="false">In_Guar_Credit*(1-AZ19)*(AZ72+AZ48+AZ49)*AZ$5/Days_In_Year*(AZ$4&lt;=In_COD)</f>
        <v>0</v>
      </c>
      <c r="BA73" s="33" t="n">
        <f aca="false">In_Guar_Credit*(1-BA19)*(BA72+BA48+BA49)*BA$5/Days_In_Year*(BA$4&lt;=In_COD)</f>
        <v>0</v>
      </c>
      <c r="BB73" s="33" t="n">
        <f aca="false">In_Guar_Credit*(1-BB19)*(BB72+BB48+BB49)*BB$5/Days_In_Year*(BB$4&lt;=In_COD)</f>
        <v>0</v>
      </c>
      <c r="BC73" s="33" t="n">
        <f aca="false">In_Guar_Credit*(1-BC19)*(BC72+BC48+BC49)*BC$5/Days_In_Year*(BC$4&lt;=In_COD)</f>
        <v>0</v>
      </c>
      <c r="BD73" s="33" t="n">
        <f aca="false">In_Guar_Credit*(1-BD19)*(BD72+BD48+BD49)*BD$5/Days_In_Year*(BD$4&lt;=In_COD)</f>
        <v>0</v>
      </c>
      <c r="BE73" s="33" t="n">
        <f aca="false">In_Guar_Credit*(1-BE19)*(BE72+BE48+BE49)*BE$5/Days_In_Year*(BE$4&lt;=In_COD)</f>
        <v>0</v>
      </c>
      <c r="BF73" s="33" t="n">
        <f aca="false">In_Guar_Credit*(1-BF19)*(BF72+BF48+BF49)*BF$5/Days_In_Year*(BF$4&lt;=In_COD)</f>
        <v>0</v>
      </c>
      <c r="BG73" s="33" t="n">
        <f aca="false">In_Guar_Credit*(1-BG19)*(BG72+BG48+BG49)*BG$5/Days_In_Year*(BG$4&lt;=In_COD)</f>
        <v>0</v>
      </c>
      <c r="BH73" s="33" t="n">
        <f aca="false">In_Guar_Credit*(1-BH19)*(BH72+BH48+BH49)*BH$5/Days_In_Year*(BH$4&lt;=In_COD)</f>
        <v>0</v>
      </c>
      <c r="BI73" s="33" t="n">
        <f aca="false">In_Guar_Credit*(1-BI19)*(BI72+BI48+BI49)*BI$5/Days_In_Year*(BI$4&lt;=In_COD)</f>
        <v>0</v>
      </c>
      <c r="BJ73" s="33" t="n">
        <f aca="false">In_Guar_Credit*(1-BJ19)*(BJ72+BJ48+BJ49)*BJ$5/Days_In_Year*(BJ$4&lt;=In_COD)</f>
        <v>0</v>
      </c>
      <c r="BK73" s="33" t="n">
        <f aca="false">In_Guar_Credit*(1-BK19)*(BK72+BK48+BK49)*BK$5/Days_In_Year*(BK$4&lt;=In_COD)</f>
        <v>0</v>
      </c>
      <c r="BL73" s="33" t="n">
        <f aca="false">In_Guar_Credit*(1-BL19)*(BL72+BL48+BL49)*BL$5/Days_In_Year*(BL$4&lt;=In_COD)</f>
        <v>0</v>
      </c>
      <c r="BM73" s="33" t="n">
        <f aca="false">In_Guar_Credit*(1-BM19)*(BM72+BM48+BM49)*BM$5/Days_In_Year*(BM$4&lt;=In_COD)</f>
        <v>0</v>
      </c>
      <c r="BN73" s="33" t="n">
        <f aca="false">In_Guar_Credit*(1-BN19)*(BN72+BN48+BN49)*BN$5/Days_In_Year*(BN$4&lt;=In_COD)</f>
        <v>0</v>
      </c>
      <c r="BO73" s="33" t="n">
        <f aca="false">In_Guar_Credit*(1-BO19)*(BO72+BO48+BO49)*BO$5/Days_In_Year*(BO$4&lt;=In_COD)</f>
        <v>0</v>
      </c>
      <c r="BP73" s="33" t="n">
        <f aca="false">In_Guar_Credit*(1-BP19)*(BP72+BP48+BP49)*BP$5/Days_In_Year*(BP$4&lt;=In_COD)</f>
        <v>0</v>
      </c>
      <c r="BQ73" s="33" t="n">
        <f aca="false">In_Guar_Credit*(1-BQ19)*(BQ72+BQ48+BQ49)*BQ$5/Days_In_Year*(BQ$4&lt;=In_COD)</f>
        <v>0</v>
      </c>
      <c r="BR73" s="33" t="n">
        <f aca="false">In_Guar_Credit*(1-BR19)*(BR72+BR48+BR49)*BR$5/Days_In_Year*(BR$4&lt;=In_COD)</f>
        <v>0</v>
      </c>
      <c r="BS73" s="33" t="n">
        <f aca="false">In_Guar_Credit*(1-BS19)*(BS72+BS48+BS49)*BS$5/Days_In_Year*(BS$4&lt;=In_COD)</f>
        <v>0</v>
      </c>
      <c r="BT73" s="33" t="n">
        <f aca="false">In_Guar_Credit*(1-BT19)*(BT72+BT48+BT49)*BT$5/Days_In_Year*(BT$4&lt;=In_COD)</f>
        <v>0</v>
      </c>
      <c r="BU73" s="33" t="n">
        <f aca="false">In_Guar_Credit*(1-BU19)*(BU72+BU48+BU49)*BU$5/Days_In_Year*(BU$4&lt;=In_COD)</f>
        <v>0</v>
      </c>
      <c r="BV73" s="33" t="n">
        <f aca="false">In_Guar_Credit*(1-BV19)*(BV72+BV48+BV49)*BV$5/Days_In_Year*(BV$4&lt;=In_COD)</f>
        <v>0</v>
      </c>
      <c r="BW73" s="33" t="n">
        <f aca="false">In_Guar_Credit*(1-BW19)*(BW72+BW48+BW49)*BW$5/Days_In_Year*(BW$4&lt;=In_COD)</f>
        <v>0</v>
      </c>
      <c r="BX73" s="33" t="n">
        <f aca="false">In_Guar_Credit*(1-BX19)*(BX72+BX48+BX49)*BX$5/Days_In_Year*(BX$4&lt;=In_COD)</f>
        <v>0</v>
      </c>
      <c r="BY73" s="33" t="n">
        <f aca="false">In_Guar_Credit*(1-BY19)*(BY72+BY48+BY49)*BY$5/Days_In_Year*(BY$4&lt;=In_COD)</f>
        <v>0</v>
      </c>
      <c r="BZ73" s="33" t="n">
        <f aca="false">In_Guar_Credit*(1-BZ19)*(BZ72+BZ48+BZ49)*BZ$5/Days_In_Year*(BZ$4&lt;=In_COD)</f>
        <v>0</v>
      </c>
      <c r="CA73" s="33" t="n">
        <f aca="false">In_Guar_Credit*(1-CA19)*(CA72+CA48+CA49)*CA$5/Days_In_Year*(CA$4&lt;=In_COD)</f>
        <v>0</v>
      </c>
      <c r="CB73" s="33" t="n">
        <f aca="false">In_Guar_Credit*(1-CB19)*(CB72+CB48+CB49)*CB$5/Days_In_Year*(CB$4&lt;=In_COD)</f>
        <v>0</v>
      </c>
      <c r="CC73" s="33" t="n">
        <f aca="false">In_Guar_Credit*(1-CC19)*(CC72+CC48+CC49)*CC$5/Days_In_Year*(CC$4&lt;=In_COD)</f>
        <v>0</v>
      </c>
      <c r="CD73" s="33" t="n">
        <f aca="false">In_Guar_Credit*(1-CD19)*(CD72+CD48+CD49)*CD$5/Days_In_Year*(CD$4&lt;=In_COD)</f>
        <v>0</v>
      </c>
      <c r="CE73" s="33" t="n">
        <f aca="false">In_Guar_Credit*(1-CE19)*(CE72+CE48+CE49)*CE$5/Days_In_Year*(CE$4&lt;=In_COD)</f>
        <v>0</v>
      </c>
      <c r="CF73" s="33" t="n">
        <f aca="false">In_Guar_Credit*(1-CF19)*(CF72+CF48+CF49)*CF$5/Days_In_Year*(CF$4&lt;=In_COD)</f>
        <v>0</v>
      </c>
      <c r="CG73" s="33" t="n">
        <f aca="false">In_Guar_Credit*(1-CG19)*(CG72+CG48+CG49)*CG$5/Days_In_Year*(CG$4&lt;=In_COD)</f>
        <v>0</v>
      </c>
      <c r="CH73" s="33" t="n">
        <f aca="false">In_Guar_Credit*(1-CH19)*(CH72+CH48+CH49)*CH$5/Days_In_Year*(CH$4&lt;=In_COD)</f>
        <v>0</v>
      </c>
      <c r="CI73" s="33" t="n">
        <f aca="false">In_Guar_Credit*(1-CI19)*(CI72+CI48+CI49)*CI$5/Days_In_Year*(CI$4&lt;=In_COD)</f>
        <v>0</v>
      </c>
      <c r="CJ73" s="33" t="n">
        <f aca="false">In_Guar_Credit*(1-CJ19)*(CJ72+CJ48+CJ49)*CJ$5/Days_In_Year*(CJ$4&lt;=In_COD)</f>
        <v>0</v>
      </c>
      <c r="CK73" s="33" t="n">
        <f aca="false">In_Guar_Credit*(1-CK19)*(CK72+CK48+CK49)*CK$5/Days_In_Year*(CK$4&lt;=In_COD)</f>
        <v>0</v>
      </c>
      <c r="CL73" s="33" t="n">
        <f aca="false">In_Guar_Credit*(1-CL19)*(CL72+CL48+CL49)*CL$5/Days_In_Year*(CL$4&lt;=In_COD)</f>
        <v>0</v>
      </c>
      <c r="CM73" s="33" t="n">
        <f aca="false">In_Guar_Credit*(1-CM19)*(CM72+CM48+CM49)*CM$5/Days_In_Year*(CM$4&lt;=In_COD)</f>
        <v>0</v>
      </c>
      <c r="CN73" s="33" t="n">
        <f aca="false">In_Guar_Credit*(1-CN19)*(CN72+CN48+CN49)*CN$5/Days_In_Year*(CN$4&lt;=In_COD)</f>
        <v>0</v>
      </c>
      <c r="CO73" s="33" t="n">
        <f aca="false">In_Guar_Credit*(1-CO19)*(CO72+CO48+CO49)*CO$5/Days_In_Year*(CO$4&lt;=In_COD)</f>
        <v>0</v>
      </c>
      <c r="CP73" s="33" t="n">
        <f aca="false">In_Guar_Credit*(1-CP19)*(CP72+CP48+CP49)*CP$5/Days_In_Year*(CP$4&lt;=In_COD)</f>
        <v>0</v>
      </c>
      <c r="CQ73" s="33" t="n">
        <f aca="false">In_Guar_Credit*(1-CQ19)*(CQ72+CQ48+CQ49)*CQ$5/Days_In_Year*(CQ$4&lt;=In_COD)</f>
        <v>0</v>
      </c>
      <c r="CR73" s="33" t="n">
        <f aca="false">In_Guar_Credit*(1-CR19)*(CR72+CR48+CR49)*CR$5/Days_In_Year*(CR$4&lt;=In_COD)</f>
        <v>0</v>
      </c>
      <c r="CS73" s="33" t="n">
        <f aca="false">In_Guar_Credit*(1-CS19)*(CS72+CS48+CS49)*CS$5/Days_In_Year*(CS$4&lt;=In_COD)</f>
        <v>0</v>
      </c>
      <c r="CT73" s="33" t="n">
        <f aca="false">In_Guar_Credit*(1-CT19)*(CT72+CT48+CT49)*CT$5/Days_In_Year*(CT$4&lt;=In_COD)</f>
        <v>0</v>
      </c>
      <c r="CU73" s="33" t="n">
        <f aca="false">In_Guar_Credit*(1-CU19)*(CU72+CU48+CU49)*CU$5/Days_In_Year*(CU$4&lt;=In_COD)</f>
        <v>0</v>
      </c>
      <c r="CV73" s="33" t="n">
        <f aca="false">In_Guar_Credit*(1-CV19)*(CV72+CV48+CV49)*CV$5/Days_In_Year*(CV$4&lt;=In_COD)</f>
        <v>0</v>
      </c>
      <c r="CW73" s="33" t="n">
        <f aca="false">In_Guar_Credit*(1-CW19)*(CW72+CW48+CW49)*CW$5/Days_In_Year*(CW$4&lt;=In_COD)</f>
        <v>0</v>
      </c>
      <c r="CX73" s="33" t="n">
        <f aca="false">In_Guar_Credit*(1-CX19)*(CX72+CX48+CX49)*CX$5/Days_In_Year*(CX$4&lt;=In_COD)</f>
        <v>0</v>
      </c>
      <c r="CY73" s="33" t="n">
        <f aca="false">In_Guar_Credit*(1-CY19)*(CY72+CY48+CY49)*CY$5/Days_In_Year*(CY$4&lt;=In_COD)</f>
        <v>0</v>
      </c>
      <c r="CZ73" s="33" t="n">
        <f aca="false">In_Guar_Credit*(1-CZ19)*(CZ72+CZ48+CZ49)*CZ$5/Days_In_Year*(CZ$4&lt;=In_COD)</f>
        <v>0</v>
      </c>
      <c r="DA73" s="33" t="n">
        <f aca="false">In_Guar_Credit*(1-DA19)*(DA72+DA48+DA49)*DA$5/Days_In_Year*(DA$4&lt;=In_COD)</f>
        <v>0</v>
      </c>
      <c r="DB73" s="33" t="n">
        <f aca="false">In_Guar_Credit*(1-DB19)*(DB72+DB48+DB49)*DB$5/Days_In_Year*(DB$4&lt;=In_COD)</f>
        <v>0</v>
      </c>
      <c r="DC73" s="33" t="n">
        <f aca="false">In_Guar_Credit*(1-DC19)*(DC72+DC48+DC49)*DC$5/Days_In_Year*(DC$4&lt;=In_COD)</f>
        <v>0</v>
      </c>
      <c r="DD73" s="33" t="n">
        <f aca="false">In_Guar_Credit*(1-DD19)*(DD72+DD48+DD49)*DD$5/Days_In_Year*(DD$4&lt;=In_COD)</f>
        <v>0</v>
      </c>
      <c r="DE73" s="33" t="n">
        <f aca="false">In_Guar_Credit*(1-DE19)*(DE72+DE48+DE49)*DE$5/Days_In_Year*(DE$4&lt;=In_COD)</f>
        <v>0</v>
      </c>
      <c r="DF73" s="33" t="n">
        <f aca="false">In_Guar_Credit*(1-DF19)*(DF72+DF48+DF49)*DF$5/Days_In_Year*(DF$4&lt;=In_COD)</f>
        <v>0</v>
      </c>
      <c r="DG73" s="33" t="n">
        <f aca="false">In_Guar_Credit*(1-DG19)*(DG72+DG48+DG49)*DG$5/Days_In_Year*(DG$4&lt;=In_COD)</f>
        <v>0</v>
      </c>
      <c r="DH73" s="33" t="n">
        <f aca="false">In_Guar_Credit*(1-DH19)*(DH72+DH48+DH49)*DH$5/Days_In_Year*(DH$4&lt;=In_COD)</f>
        <v>0</v>
      </c>
      <c r="DI73" s="33" t="n">
        <f aca="false">In_Guar_Credit*(1-DI19)*(DI72+DI48+DI49)*DI$5/Days_In_Year*(DI$4&lt;=In_COD)</f>
        <v>0</v>
      </c>
      <c r="DJ73" s="33" t="n">
        <f aca="false">In_Guar_Credit*(1-DJ19)*(DJ72+DJ48+DJ49)*DJ$5/Days_In_Year*(DJ$4&lt;=In_COD)</f>
        <v>0</v>
      </c>
      <c r="DK73" s="33" t="n">
        <f aca="false">In_Guar_Credit*(1-DK19)*(DK72+DK48+DK49)*DK$5/Days_In_Year*(DK$4&lt;=In_COD)</f>
        <v>0</v>
      </c>
      <c r="DL73" s="33" t="n">
        <f aca="false">In_Guar_Credit*(1-DL19)*(DL72+DL48+DL49)*DL$5/Days_In_Year*(DL$4&lt;=In_COD)</f>
        <v>0</v>
      </c>
      <c r="DM73" s="33" t="n">
        <f aca="false">In_Guar_Credit*(1-DM19)*(DM72+DM48+DM49)*DM$5/Days_In_Year*(DM$4&lt;=In_COD)</f>
        <v>0</v>
      </c>
      <c r="DN73" s="33" t="n">
        <f aca="false">In_Guar_Credit*(1-DN19)*(DN72+DN48+DN49)*DN$5/Days_In_Year*(DN$4&lt;=In_COD)</f>
        <v>0</v>
      </c>
      <c r="DO73" s="33" t="n">
        <f aca="false">In_Guar_Credit*(1-DO19)*(DO72+DO48+DO49)*DO$5/Days_In_Year*(DO$4&lt;=In_COD)</f>
        <v>0</v>
      </c>
      <c r="DP73" s="33" t="n">
        <f aca="false">In_Guar_Credit*(1-DP19)*(DP72+DP48+DP49)*DP$5/Days_In_Year*(DP$4&lt;=In_COD)</f>
        <v>0</v>
      </c>
      <c r="DQ73" s="33" t="n">
        <f aca="false">In_Guar_Credit*(1-DQ19)*(DQ72+DQ48+DQ49)*DQ$5/Days_In_Year*(DQ$4&lt;=In_COD)</f>
        <v>0</v>
      </c>
      <c r="DR73" s="33" t="n">
        <f aca="false">In_Guar_Credit*(1-DR19)*(DR72+DR48+DR49)*DR$5/Days_In_Year*(DR$4&lt;=In_COD)</f>
        <v>0</v>
      </c>
      <c r="DS73" s="33" t="n">
        <f aca="false">In_Guar_Credit*(1-DS19)*(DS72+DS48+DS49)*DS$5/Days_In_Year*(DS$4&lt;=In_COD)</f>
        <v>0</v>
      </c>
      <c r="DT73" s="33" t="n">
        <f aca="false">In_Guar_Credit*(1-DT19)*(DT72+DT48+DT49)*DT$5/Days_In_Year*(DT$4&lt;=In_COD)</f>
        <v>0</v>
      </c>
      <c r="DU73" s="33" t="n">
        <f aca="false">In_Guar_Credit*(1-DU19)*(DU72+DU48+DU49)*DU$5/Days_In_Year*(DU$4&lt;=In_COD)</f>
        <v>0</v>
      </c>
      <c r="DV73" s="33" t="n">
        <f aca="false">In_Guar_Credit*(1-DV19)*(DV72+DV48+DV49)*DV$5/Days_In_Year*(DV$4&lt;=In_COD)</f>
        <v>0</v>
      </c>
      <c r="DW73" s="33" t="n">
        <f aca="false">In_Guar_Credit*(1-DW19)*(DW72+DW48+DW49)*DW$5/Days_In_Year*(DW$4&lt;=In_COD)</f>
        <v>0</v>
      </c>
      <c r="DX73" s="33" t="n">
        <f aca="false">In_Guar_Credit*(1-DX19)*(DX72+DX48+DX49)*DX$5/Days_In_Year*(DX$4&lt;=In_COD)</f>
        <v>0</v>
      </c>
      <c r="DY73" s="33" t="n">
        <f aca="false">In_Guar_Credit*(1-DY19)*(DY72+DY48+DY49)*DY$5/Days_In_Year*(DY$4&lt;=In_COD)</f>
        <v>0</v>
      </c>
      <c r="DZ73" s="33" t="n">
        <f aca="false">In_Guar_Credit*(1-DZ19)*(DZ72+DZ48+DZ49)*DZ$5/Days_In_Year*(DZ$4&lt;=In_COD)</f>
        <v>0</v>
      </c>
      <c r="EA73" s="33" t="n">
        <f aca="false">In_Guar_Credit*(1-EA19)*(EA72+EA48+EA49)*EA$5/Days_In_Year*(EA$4&lt;=In_COD)</f>
        <v>0</v>
      </c>
      <c r="EB73" s="33" t="n">
        <f aca="false">In_Guar_Credit*(1-EB19)*(EB72+EB48+EB49)*EB$5/Days_In_Year*(EB$4&lt;=In_COD)</f>
        <v>0</v>
      </c>
      <c r="EC73" s="33" t="n">
        <f aca="false">In_Guar_Credit*(1-EC19)*(EC72+EC48+EC49)*EC$5/Days_In_Year*(EC$4&lt;=In_COD)</f>
        <v>0</v>
      </c>
      <c r="ED73" s="33" t="n">
        <f aca="false">In_Guar_Credit*(1-ED19)*(ED72+ED48+ED49)*ED$5/Days_In_Year*(ED$4&lt;=In_COD)</f>
        <v>0</v>
      </c>
      <c r="EE73" s="33" t="n">
        <f aca="false">In_Guar_Credit*(1-EE19)*(EE72+EE48+EE49)*EE$5/Days_In_Year*(EE$4&lt;=In_COD)</f>
        <v>0</v>
      </c>
      <c r="EF73" s="33" t="n">
        <f aca="false">In_Guar_Credit*(1-EF19)*(EF72+EF48+EF49)*EF$5/Days_In_Year*(EF$4&lt;=In_COD)</f>
        <v>0</v>
      </c>
      <c r="EG73" s="33" t="n">
        <f aca="false">In_Guar_Credit*(1-EG19)*(EG72+EG48+EG49)*EG$5/Days_In_Year*(EG$4&lt;=In_COD)</f>
        <v>0</v>
      </c>
      <c r="EH73" s="33" t="n">
        <f aca="false">In_Guar_Credit*(1-EH19)*(EH72+EH48+EH49)*EH$5/Days_In_Year*(EH$4&lt;=In_COD)</f>
        <v>0</v>
      </c>
      <c r="EI73" s="33" t="n">
        <f aca="false">In_Guar_Credit*(1-EI19)*(EI72+EI48+EI49)*EI$5/Days_In_Year*(EI$4&lt;=In_COD)</f>
        <v>0</v>
      </c>
      <c r="EJ73" s="33" t="n">
        <f aca="false">In_Guar_Credit*(1-EJ19)*(EJ72+EJ48+EJ49)*EJ$5/Days_In_Year*(EJ$4&lt;=In_COD)</f>
        <v>0</v>
      </c>
      <c r="EK73" s="33" t="n">
        <f aca="false">In_Guar_Credit*(1-EK19)*(EK72+EK48+EK49)*EK$5/Days_In_Year*(EK$4&lt;=In_COD)</f>
        <v>0</v>
      </c>
      <c r="EL73" s="33" t="n">
        <f aca="false">In_Guar_Credit*(1-EL19)*(EL72+EL48+EL49)*EL$5/Days_In_Year*(EL$4&lt;=In_COD)</f>
        <v>0</v>
      </c>
      <c r="EM73" s="33" t="n">
        <f aca="false">In_Guar_Credit*(1-EM19)*(EM72+EM48+EM49)*EM$5/Days_In_Year*(EM$4&lt;=In_COD)</f>
        <v>0</v>
      </c>
      <c r="EN73" s="33" t="n">
        <f aca="false">In_Guar_Credit*(1-EN19)*(EN72+EN48+EN49)*EN$5/Days_In_Year*(EN$4&lt;=In_COD)</f>
        <v>0</v>
      </c>
      <c r="EO73" s="33" t="n">
        <f aca="false">In_Guar_Credit*(1-EO19)*(EO72+EO48+EO49)*EO$5/Days_In_Year*(EO$4&lt;=In_COD)</f>
        <v>0</v>
      </c>
      <c r="EP73" s="33" t="n">
        <f aca="false">In_Guar_Credit*(1-EP19)*(EP72+EP48+EP49)*EP$5/Days_In_Year*(EP$4&lt;=In_COD)</f>
        <v>0</v>
      </c>
      <c r="EQ73" s="33" t="n">
        <f aca="false">In_Guar_Credit*(1-EQ19)*(EQ72+EQ48+EQ49)*EQ$5/Days_In_Year*(EQ$4&lt;=In_COD)</f>
        <v>0</v>
      </c>
      <c r="ER73" s="33" t="n">
        <f aca="false">In_Guar_Credit*(1-ER19)*(ER72+ER48+ER49)*ER$5/Days_In_Year*(ER$4&lt;=In_COD)</f>
        <v>0</v>
      </c>
      <c r="ES73" s="33" t="n">
        <f aca="false">In_Guar_Credit*(1-ES19)*(ES72+ES48+ES49)*ES$5/Days_In_Year*(ES$4&lt;=In_COD)</f>
        <v>0</v>
      </c>
      <c r="ET73" s="33" t="n">
        <f aca="false">In_Guar_Credit*(1-ET19)*(ET72+ET48+ET49)*ET$5/Days_In_Year*(ET$4&lt;=In_COD)</f>
        <v>0</v>
      </c>
    </row>
    <row r="74" customFormat="false" ht="15" hidden="false" customHeight="false" outlineLevel="0" collapsed="false">
      <c r="C74" s="0" t="s">
        <v>536</v>
      </c>
      <c r="D74" s="11" t="s">
        <v>253</v>
      </c>
      <c r="I74" s="33" t="n">
        <f aca="false">SUM(J74:ET74)</f>
        <v>1993.30208050153</v>
      </c>
      <c r="J74" s="33" t="n">
        <f aca="false">J20*SUMIF($J$7:J$7,J$7,$J73:J73)</f>
        <v>0</v>
      </c>
      <c r="K74" s="33" t="n">
        <f aca="false">K20*SUMIF($J$7:K$7,K$7,$J73:K73)</f>
        <v>18.1640998311128</v>
      </c>
      <c r="L74" s="33" t="n">
        <f aca="false">L20*SUMIF($J$7:L$7,L$7,$J73:L73)</f>
        <v>0</v>
      </c>
      <c r="M74" s="33" t="n">
        <f aca="false">M20*SUMIF($J$7:M$7,M$7,$J73:M73)</f>
        <v>0</v>
      </c>
      <c r="N74" s="33" t="n">
        <f aca="false">N20*SUMIF($J$7:N$7,N$7,$J73:N73)</f>
        <v>0</v>
      </c>
      <c r="O74" s="33" t="n">
        <f aca="false">O20*SUMIF($J$7:O$7,O$7,$J73:O73)</f>
        <v>420.703544620004</v>
      </c>
      <c r="P74" s="33" t="n">
        <f aca="false">P20*SUMIF($J$7:P$7,P$7,$J73:P73)</f>
        <v>0</v>
      </c>
      <c r="Q74" s="33" t="n">
        <f aca="false">Q20*SUMIF($J$7:Q$7,Q$7,$J73:Q73)</f>
        <v>0</v>
      </c>
      <c r="R74" s="33" t="n">
        <f aca="false">R20*SUMIF($J$7:R$7,R$7,$J73:R73)</f>
        <v>0</v>
      </c>
      <c r="S74" s="33" t="n">
        <f aca="false">S20*SUMIF($J$7:S$7,S$7,$J73:S73)</f>
        <v>447.167526495279</v>
      </c>
      <c r="T74" s="33" t="n">
        <f aca="false">T20*SUMIF($J$7:T$7,T$7,$J73:T73)</f>
        <v>0</v>
      </c>
      <c r="U74" s="33" t="n">
        <f aca="false">U20*SUMIF($J$7:U$7,U$7,$J73:U73)</f>
        <v>0</v>
      </c>
      <c r="V74" s="33" t="n">
        <f aca="false">V20*SUMIF($J$7:V$7,V$7,$J73:V73)</f>
        <v>0</v>
      </c>
      <c r="W74" s="33" t="n">
        <f aca="false">W20*SUMIF($J$7:W$7,W$7,$J73:W73)</f>
        <v>234.444990160363</v>
      </c>
      <c r="X74" s="33" t="n">
        <f aca="false">X20*SUMIF($J$7:X$7,X$7,$J73:X73)</f>
        <v>0</v>
      </c>
      <c r="Y74" s="33" t="n">
        <f aca="false">Y20*SUMIF($J$7:Y$7,Y$7,$J73:Y73)</f>
        <v>0</v>
      </c>
      <c r="Z74" s="33" t="n">
        <f aca="false">Z20*SUMIF($J$7:Z$7,Z$7,$J73:Z73)</f>
        <v>0</v>
      </c>
      <c r="AA74" s="33" t="n">
        <f aca="false">AA20*SUMIF($J$7:AA$7,AA$7,$J73:AA73)</f>
        <v>486.842508296543</v>
      </c>
      <c r="AB74" s="33" t="n">
        <f aca="false">AB20*SUMIF($J$7:AB$7,AB$7,$J73:AB73)</f>
        <v>0</v>
      </c>
      <c r="AC74" s="33" t="n">
        <f aca="false">AC20*SUMIF($J$7:AC$7,AC$7,$J73:AC73)</f>
        <v>0</v>
      </c>
      <c r="AD74" s="33" t="n">
        <f aca="false">AD20*SUMIF($J$7:AD$7,AD$7,$J73:AD73)</f>
        <v>0</v>
      </c>
      <c r="AE74" s="33" t="n">
        <f aca="false">AE20*SUMIF($J$7:AE$7,AE$7,$J73:AE73)</f>
        <v>385.979411098229</v>
      </c>
      <c r="AF74" s="33" t="n">
        <f aca="false">AF20*SUMIF($J$7:AF$7,AF$7,$J73:AF73)</f>
        <v>0</v>
      </c>
      <c r="AG74" s="33" t="n">
        <f aca="false">AG20*SUMIF($J$7:AG$7,AG$7,$J73:AG73)</f>
        <v>0</v>
      </c>
      <c r="AH74" s="33" t="n">
        <f aca="false">AH20*SUMIF($J$7:AH$7,AH$7,$J73:AH73)</f>
        <v>0</v>
      </c>
      <c r="AI74" s="33" t="n">
        <f aca="false">AI20*SUMIF($J$7:AI$7,AI$7,$J73:AI73)</f>
        <v>0</v>
      </c>
      <c r="AJ74" s="33" t="n">
        <f aca="false">AJ20*SUMIF($J$7:AJ$7,AJ$7,$J73:AJ73)</f>
        <v>0</v>
      </c>
      <c r="AK74" s="33" t="n">
        <f aca="false">AK20*SUMIF($J$7:AK$7,AK$7,$J73:AK73)</f>
        <v>0</v>
      </c>
      <c r="AL74" s="33" t="n">
        <f aca="false">AL20*SUMIF($J$7:AL$7,AL$7,$J73:AL73)</f>
        <v>0</v>
      </c>
      <c r="AM74" s="33" t="n">
        <f aca="false">AM20*SUMIF($J$7:AM$7,AM$7,$J73:AM73)</f>
        <v>0</v>
      </c>
      <c r="AN74" s="33" t="n">
        <f aca="false">AN20*SUMIF($J$7:AN$7,AN$7,$J73:AN73)</f>
        <v>0</v>
      </c>
      <c r="AO74" s="33" t="n">
        <f aca="false">AO20*SUMIF($J$7:AO$7,AO$7,$J73:AO73)</f>
        <v>0</v>
      </c>
      <c r="AP74" s="33" t="n">
        <f aca="false">AP20*SUMIF($J$7:AP$7,AP$7,$J73:AP73)</f>
        <v>0</v>
      </c>
      <c r="AQ74" s="33" t="n">
        <f aca="false">AQ20*SUMIF($J$7:AQ$7,AQ$7,$J73:AQ73)</f>
        <v>0</v>
      </c>
      <c r="AR74" s="33" t="n">
        <f aca="false">AR20*SUMIF($J$7:AR$7,AR$7,$J73:AR73)</f>
        <v>0</v>
      </c>
      <c r="AS74" s="33" t="n">
        <f aca="false">AS20*SUMIF($J$7:AS$7,AS$7,$J73:AS73)</f>
        <v>0</v>
      </c>
      <c r="AT74" s="33" t="n">
        <f aca="false">AT20*SUMIF($J$7:AT$7,AT$7,$J73:AT73)</f>
        <v>0</v>
      </c>
      <c r="AU74" s="33" t="n">
        <f aca="false">AU20*SUMIF($J$7:AU$7,AU$7,$J73:AU73)</f>
        <v>0</v>
      </c>
      <c r="AV74" s="33" t="n">
        <f aca="false">AV20*SUMIF($J$7:AV$7,AV$7,$J73:AV73)</f>
        <v>0</v>
      </c>
      <c r="AW74" s="33" t="n">
        <f aca="false">AW20*SUMIF($J$7:AW$7,AW$7,$J73:AW73)</f>
        <v>0</v>
      </c>
      <c r="AX74" s="33" t="n">
        <f aca="false">AX20*SUMIF($J$7:AX$7,AX$7,$J73:AX73)</f>
        <v>0</v>
      </c>
      <c r="AY74" s="33" t="n">
        <f aca="false">AY20*SUMIF($J$7:AY$7,AY$7,$J73:AY73)</f>
        <v>0</v>
      </c>
      <c r="AZ74" s="33" t="n">
        <f aca="false">AZ20*SUMIF($J$7:AZ$7,AZ$7,$J73:AZ73)</f>
        <v>0</v>
      </c>
      <c r="BA74" s="33" t="n">
        <f aca="false">BA20*SUMIF($J$7:BA$7,BA$7,$J73:BA73)</f>
        <v>0</v>
      </c>
      <c r="BB74" s="33" t="n">
        <f aca="false">BB20*SUMIF($J$7:BB$7,BB$7,$J73:BB73)</f>
        <v>0</v>
      </c>
      <c r="BC74" s="33" t="n">
        <f aca="false">BC20*SUMIF($J$7:BC$7,BC$7,$J73:BC73)</f>
        <v>0</v>
      </c>
      <c r="BD74" s="33" t="n">
        <f aca="false">BD20*SUMIF($J$7:BD$7,BD$7,$J73:BD73)</f>
        <v>0</v>
      </c>
      <c r="BE74" s="33" t="n">
        <f aca="false">BE20*SUMIF($J$7:BE$7,BE$7,$J73:BE73)</f>
        <v>0</v>
      </c>
      <c r="BF74" s="33" t="n">
        <f aca="false">BF20*SUMIF($J$7:BF$7,BF$7,$J73:BF73)</f>
        <v>0</v>
      </c>
      <c r="BG74" s="33" t="n">
        <f aca="false">BG20*SUMIF($J$7:BG$7,BG$7,$J73:BG73)</f>
        <v>0</v>
      </c>
      <c r="BH74" s="33" t="n">
        <f aca="false">BH20*SUMIF($J$7:BH$7,BH$7,$J73:BH73)</f>
        <v>0</v>
      </c>
      <c r="BI74" s="33" t="n">
        <f aca="false">BI20*SUMIF($J$7:BI$7,BI$7,$J73:BI73)</f>
        <v>0</v>
      </c>
      <c r="BJ74" s="33" t="n">
        <f aca="false">BJ20*SUMIF($J$7:BJ$7,BJ$7,$J73:BJ73)</f>
        <v>0</v>
      </c>
      <c r="BK74" s="33" t="n">
        <f aca="false">BK20*SUMIF($J$7:BK$7,BK$7,$J73:BK73)</f>
        <v>0</v>
      </c>
      <c r="BL74" s="33" t="n">
        <f aca="false">BL20*SUMIF($J$7:BL$7,BL$7,$J73:BL73)</f>
        <v>0</v>
      </c>
      <c r="BM74" s="33" t="n">
        <f aca="false">BM20*SUMIF($J$7:BM$7,BM$7,$J73:BM73)</f>
        <v>0</v>
      </c>
      <c r="BN74" s="33" t="n">
        <f aca="false">BN20*SUMIF($J$7:BN$7,BN$7,$J73:BN73)</f>
        <v>0</v>
      </c>
      <c r="BO74" s="33" t="n">
        <f aca="false">BO20*SUMIF($J$7:BO$7,BO$7,$J73:BO73)</f>
        <v>0</v>
      </c>
      <c r="BP74" s="33" t="n">
        <f aca="false">BP20*SUMIF($J$7:BP$7,BP$7,$J73:BP73)</f>
        <v>0</v>
      </c>
      <c r="BQ74" s="33" t="n">
        <f aca="false">BQ20*SUMIF($J$7:BQ$7,BQ$7,$J73:BQ73)</f>
        <v>0</v>
      </c>
      <c r="BR74" s="33" t="n">
        <f aca="false">BR20*SUMIF($J$7:BR$7,BR$7,$J73:BR73)</f>
        <v>0</v>
      </c>
      <c r="BS74" s="33" t="n">
        <f aca="false">BS20*SUMIF($J$7:BS$7,BS$7,$J73:BS73)</f>
        <v>0</v>
      </c>
      <c r="BT74" s="33" t="n">
        <f aca="false">BT20*SUMIF($J$7:BT$7,BT$7,$J73:BT73)</f>
        <v>0</v>
      </c>
      <c r="BU74" s="33" t="n">
        <f aca="false">BU20*SUMIF($J$7:BU$7,BU$7,$J73:BU73)</f>
        <v>0</v>
      </c>
      <c r="BV74" s="33" t="n">
        <f aca="false">BV20*SUMIF($J$7:BV$7,BV$7,$J73:BV73)</f>
        <v>0</v>
      </c>
      <c r="BW74" s="33" t="n">
        <f aca="false">BW20*SUMIF($J$7:BW$7,BW$7,$J73:BW73)</f>
        <v>0</v>
      </c>
      <c r="BX74" s="33" t="n">
        <f aca="false">BX20*SUMIF($J$7:BX$7,BX$7,$J73:BX73)</f>
        <v>0</v>
      </c>
      <c r="BY74" s="33" t="n">
        <f aca="false">BY20*SUMIF($J$7:BY$7,BY$7,$J73:BY73)</f>
        <v>0</v>
      </c>
      <c r="BZ74" s="33" t="n">
        <f aca="false">BZ20*SUMIF($J$7:BZ$7,BZ$7,$J73:BZ73)</f>
        <v>0</v>
      </c>
      <c r="CA74" s="33" t="n">
        <f aca="false">CA20*SUMIF($J$7:CA$7,CA$7,$J73:CA73)</f>
        <v>0</v>
      </c>
      <c r="CB74" s="33" t="n">
        <f aca="false">CB20*SUMIF($J$7:CB$7,CB$7,$J73:CB73)</f>
        <v>0</v>
      </c>
      <c r="CC74" s="33" t="n">
        <f aca="false">CC20*SUMIF($J$7:CC$7,CC$7,$J73:CC73)</f>
        <v>0</v>
      </c>
      <c r="CD74" s="33" t="n">
        <f aca="false">CD20*SUMIF($J$7:CD$7,CD$7,$J73:CD73)</f>
        <v>0</v>
      </c>
      <c r="CE74" s="33" t="n">
        <f aca="false">CE20*SUMIF($J$7:CE$7,CE$7,$J73:CE73)</f>
        <v>0</v>
      </c>
      <c r="CF74" s="33" t="n">
        <f aca="false">CF20*SUMIF($J$7:CF$7,CF$7,$J73:CF73)</f>
        <v>0</v>
      </c>
      <c r="CG74" s="33" t="n">
        <f aca="false">CG20*SUMIF($J$7:CG$7,CG$7,$J73:CG73)</f>
        <v>0</v>
      </c>
      <c r="CH74" s="33" t="n">
        <f aca="false">CH20*SUMIF($J$7:CH$7,CH$7,$J73:CH73)</f>
        <v>0</v>
      </c>
      <c r="CI74" s="33" t="n">
        <f aca="false">CI20*SUMIF($J$7:CI$7,CI$7,$J73:CI73)</f>
        <v>0</v>
      </c>
      <c r="CJ74" s="33" t="n">
        <f aca="false">CJ20*SUMIF($J$7:CJ$7,CJ$7,$J73:CJ73)</f>
        <v>0</v>
      </c>
      <c r="CK74" s="33" t="n">
        <f aca="false">CK20*SUMIF($J$7:CK$7,CK$7,$J73:CK73)</f>
        <v>0</v>
      </c>
      <c r="CL74" s="33" t="n">
        <f aca="false">CL20*SUMIF($J$7:CL$7,CL$7,$J73:CL73)</f>
        <v>0</v>
      </c>
      <c r="CM74" s="33" t="n">
        <f aca="false">CM20*SUMIF($J$7:CM$7,CM$7,$J73:CM73)</f>
        <v>0</v>
      </c>
      <c r="CN74" s="33" t="n">
        <f aca="false">CN20*SUMIF($J$7:CN$7,CN$7,$J73:CN73)</f>
        <v>0</v>
      </c>
      <c r="CO74" s="33" t="n">
        <f aca="false">CO20*SUMIF($J$7:CO$7,CO$7,$J73:CO73)</f>
        <v>0</v>
      </c>
      <c r="CP74" s="33" t="n">
        <f aca="false">CP20*SUMIF($J$7:CP$7,CP$7,$J73:CP73)</f>
        <v>0</v>
      </c>
      <c r="CQ74" s="33" t="n">
        <f aca="false">CQ20*SUMIF($J$7:CQ$7,CQ$7,$J73:CQ73)</f>
        <v>0</v>
      </c>
      <c r="CR74" s="33" t="n">
        <f aca="false">CR20*SUMIF($J$7:CR$7,CR$7,$J73:CR73)</f>
        <v>0</v>
      </c>
      <c r="CS74" s="33" t="n">
        <f aca="false">CS20*SUMIF($J$7:CS$7,CS$7,$J73:CS73)</f>
        <v>0</v>
      </c>
      <c r="CT74" s="33" t="n">
        <f aca="false">CT20*SUMIF($J$7:CT$7,CT$7,$J73:CT73)</f>
        <v>0</v>
      </c>
      <c r="CU74" s="33" t="n">
        <f aca="false">CU20*SUMIF($J$7:CU$7,CU$7,$J73:CU73)</f>
        <v>0</v>
      </c>
      <c r="CV74" s="33" t="n">
        <f aca="false">CV20*SUMIF($J$7:CV$7,CV$7,$J73:CV73)</f>
        <v>0</v>
      </c>
      <c r="CW74" s="33" t="n">
        <f aca="false">CW20*SUMIF($J$7:CW$7,CW$7,$J73:CW73)</f>
        <v>0</v>
      </c>
      <c r="CX74" s="33" t="n">
        <f aca="false">CX20*SUMIF($J$7:CX$7,CX$7,$J73:CX73)</f>
        <v>0</v>
      </c>
      <c r="CY74" s="33" t="n">
        <f aca="false">CY20*SUMIF($J$7:CY$7,CY$7,$J73:CY73)</f>
        <v>0</v>
      </c>
      <c r="CZ74" s="33" t="n">
        <f aca="false">CZ20*SUMIF($J$7:CZ$7,CZ$7,$J73:CZ73)</f>
        <v>0</v>
      </c>
      <c r="DA74" s="33" t="n">
        <f aca="false">DA20*SUMIF($J$7:DA$7,DA$7,$J73:DA73)</f>
        <v>0</v>
      </c>
      <c r="DB74" s="33" t="n">
        <f aca="false">DB20*SUMIF($J$7:DB$7,DB$7,$J73:DB73)</f>
        <v>0</v>
      </c>
      <c r="DC74" s="33" t="n">
        <f aca="false">DC20*SUMIF($J$7:DC$7,DC$7,$J73:DC73)</f>
        <v>0</v>
      </c>
      <c r="DD74" s="33" t="n">
        <f aca="false">DD20*SUMIF($J$7:DD$7,DD$7,$J73:DD73)</f>
        <v>0</v>
      </c>
      <c r="DE74" s="33" t="n">
        <f aca="false">DE20*SUMIF($J$7:DE$7,DE$7,$J73:DE73)</f>
        <v>0</v>
      </c>
      <c r="DF74" s="33" t="n">
        <f aca="false">DF20*SUMIF($J$7:DF$7,DF$7,$J73:DF73)</f>
        <v>0</v>
      </c>
      <c r="DG74" s="33" t="n">
        <f aca="false">DG20*SUMIF($J$7:DG$7,DG$7,$J73:DG73)</f>
        <v>0</v>
      </c>
      <c r="DH74" s="33" t="n">
        <f aca="false">DH20*SUMIF($J$7:DH$7,DH$7,$J73:DH73)</f>
        <v>0</v>
      </c>
      <c r="DI74" s="33" t="n">
        <f aca="false">DI20*SUMIF($J$7:DI$7,DI$7,$J73:DI73)</f>
        <v>0</v>
      </c>
      <c r="DJ74" s="33" t="n">
        <f aca="false">DJ20*SUMIF($J$7:DJ$7,DJ$7,$J73:DJ73)</f>
        <v>0</v>
      </c>
      <c r="DK74" s="33" t="n">
        <f aca="false">DK20*SUMIF($J$7:DK$7,DK$7,$J73:DK73)</f>
        <v>0</v>
      </c>
      <c r="DL74" s="33" t="n">
        <f aca="false">DL20*SUMIF($J$7:DL$7,DL$7,$J73:DL73)</f>
        <v>0</v>
      </c>
      <c r="DM74" s="33" t="n">
        <f aca="false">DM20*SUMIF($J$7:DM$7,DM$7,$J73:DM73)</f>
        <v>0</v>
      </c>
      <c r="DN74" s="33" t="n">
        <f aca="false">DN20*SUMIF($J$7:DN$7,DN$7,$J73:DN73)</f>
        <v>0</v>
      </c>
      <c r="DO74" s="33" t="n">
        <f aca="false">DO20*SUMIF($J$7:DO$7,DO$7,$J73:DO73)</f>
        <v>0</v>
      </c>
      <c r="DP74" s="33" t="n">
        <f aca="false">DP20*SUMIF($J$7:DP$7,DP$7,$J73:DP73)</f>
        <v>0</v>
      </c>
      <c r="DQ74" s="33" t="n">
        <f aca="false">DQ20*SUMIF($J$7:DQ$7,DQ$7,$J73:DQ73)</f>
        <v>0</v>
      </c>
      <c r="DR74" s="33" t="n">
        <f aca="false">DR20*SUMIF($J$7:DR$7,DR$7,$J73:DR73)</f>
        <v>0</v>
      </c>
      <c r="DS74" s="33" t="n">
        <f aca="false">DS20*SUMIF($J$7:DS$7,DS$7,$J73:DS73)</f>
        <v>0</v>
      </c>
      <c r="DT74" s="33" t="n">
        <f aca="false">DT20*SUMIF($J$7:DT$7,DT$7,$J73:DT73)</f>
        <v>0</v>
      </c>
      <c r="DU74" s="33" t="n">
        <f aca="false">DU20*SUMIF($J$7:DU$7,DU$7,$J73:DU73)</f>
        <v>0</v>
      </c>
      <c r="DV74" s="33" t="n">
        <f aca="false">DV20*SUMIF($J$7:DV$7,DV$7,$J73:DV73)</f>
        <v>0</v>
      </c>
      <c r="DW74" s="33" t="n">
        <f aca="false">DW20*SUMIF($J$7:DW$7,DW$7,$J73:DW73)</f>
        <v>0</v>
      </c>
      <c r="DX74" s="33" t="n">
        <f aca="false">DX20*SUMIF($J$7:DX$7,DX$7,$J73:DX73)</f>
        <v>0</v>
      </c>
      <c r="DY74" s="33" t="n">
        <f aca="false">DY20*SUMIF($J$7:DY$7,DY$7,$J73:DY73)</f>
        <v>0</v>
      </c>
      <c r="DZ74" s="33" t="n">
        <f aca="false">DZ20*SUMIF($J$7:DZ$7,DZ$7,$J73:DZ73)</f>
        <v>0</v>
      </c>
      <c r="EA74" s="33" t="n">
        <f aca="false">EA20*SUMIF($J$7:EA$7,EA$7,$J73:EA73)</f>
        <v>0</v>
      </c>
      <c r="EB74" s="33" t="n">
        <f aca="false">EB20*SUMIF($J$7:EB$7,EB$7,$J73:EB73)</f>
        <v>0</v>
      </c>
      <c r="EC74" s="33" t="n">
        <f aca="false">EC20*SUMIF($J$7:EC$7,EC$7,$J73:EC73)</f>
        <v>0</v>
      </c>
      <c r="ED74" s="33" t="n">
        <f aca="false">ED20*SUMIF($J$7:ED$7,ED$7,$J73:ED73)</f>
        <v>0</v>
      </c>
      <c r="EE74" s="33" t="n">
        <f aca="false">EE20*SUMIF($J$7:EE$7,EE$7,$J73:EE73)</f>
        <v>0</v>
      </c>
      <c r="EF74" s="33" t="n">
        <f aca="false">EF20*SUMIF($J$7:EF$7,EF$7,$J73:EF73)</f>
        <v>0</v>
      </c>
      <c r="EG74" s="33" t="n">
        <f aca="false">EG20*SUMIF($J$7:EG$7,EG$7,$J73:EG73)</f>
        <v>0</v>
      </c>
      <c r="EH74" s="33" t="n">
        <f aca="false">EH20*SUMIF($J$7:EH$7,EH$7,$J73:EH73)</f>
        <v>0</v>
      </c>
      <c r="EI74" s="33" t="n">
        <f aca="false">EI20*SUMIF($J$7:EI$7,EI$7,$J73:EI73)</f>
        <v>0</v>
      </c>
      <c r="EJ74" s="33" t="n">
        <f aca="false">EJ20*SUMIF($J$7:EJ$7,EJ$7,$J73:EJ73)</f>
        <v>0</v>
      </c>
      <c r="EK74" s="33" t="n">
        <f aca="false">EK20*SUMIF($J$7:EK$7,EK$7,$J73:EK73)</f>
        <v>0</v>
      </c>
      <c r="EL74" s="33" t="n">
        <f aca="false">EL20*SUMIF($J$7:EL$7,EL$7,$J73:EL73)</f>
        <v>0</v>
      </c>
      <c r="EM74" s="33" t="n">
        <f aca="false">EM20*SUMIF($J$7:EM$7,EM$7,$J73:EM73)</f>
        <v>0</v>
      </c>
      <c r="EN74" s="33" t="n">
        <f aca="false">EN20*SUMIF($J$7:EN$7,EN$7,$J73:EN73)</f>
        <v>0</v>
      </c>
      <c r="EO74" s="33" t="n">
        <f aca="false">EO20*SUMIF($J$7:EO$7,EO$7,$J73:EO73)</f>
        <v>0</v>
      </c>
      <c r="EP74" s="33" t="n">
        <f aca="false">EP20*SUMIF($J$7:EP$7,EP$7,$J73:EP73)</f>
        <v>0</v>
      </c>
      <c r="EQ74" s="33" t="n">
        <f aca="false">EQ20*SUMIF($J$7:EQ$7,EQ$7,$J73:EQ73)</f>
        <v>0</v>
      </c>
      <c r="ER74" s="33" t="n">
        <f aca="false">ER20*SUMIF($J$7:ER$7,ER$7,$J73:ER73)</f>
        <v>0</v>
      </c>
      <c r="ES74" s="33" t="n">
        <f aca="false">ES20*SUMIF($J$7:ES$7,ES$7,$J73:ES73)</f>
        <v>0</v>
      </c>
      <c r="ET74" s="33" t="n">
        <f aca="false">ET20*SUMIF($J$7:ET$7,ET$7,$J73:ET73)</f>
        <v>0</v>
      </c>
    </row>
    <row r="75" customFormat="false" ht="15" hidden="false" customHeight="false" outlineLevel="0" collapsed="false">
      <c r="C75" s="0" t="s">
        <v>540</v>
      </c>
      <c r="D75" s="11" t="s">
        <v>253</v>
      </c>
      <c r="I75" s="54"/>
      <c r="J75" s="33" t="n">
        <f aca="false">J72+J74</f>
        <v>0</v>
      </c>
      <c r="K75" s="33" t="n">
        <f aca="false">K72+K74</f>
        <v>18.1640998311128</v>
      </c>
      <c r="L75" s="33" t="n">
        <f aca="false">L72+L74</f>
        <v>18.1640998311128</v>
      </c>
      <c r="M75" s="33" t="n">
        <f aca="false">M72+M74</f>
        <v>18.1640998311128</v>
      </c>
      <c r="N75" s="33" t="n">
        <f aca="false">N72+N74</f>
        <v>18.1640998311128</v>
      </c>
      <c r="O75" s="33" t="n">
        <f aca="false">O72+O74</f>
        <v>438.867644451117</v>
      </c>
      <c r="P75" s="33" t="n">
        <f aca="false">P72+P74</f>
        <v>438.867644451117</v>
      </c>
      <c r="Q75" s="33" t="n">
        <f aca="false">Q72+Q74</f>
        <v>438.867644451117</v>
      </c>
      <c r="R75" s="33" t="n">
        <f aca="false">R72+R74</f>
        <v>438.867644451117</v>
      </c>
      <c r="S75" s="33" t="n">
        <f aca="false">S72+S74</f>
        <v>886.035170946395</v>
      </c>
      <c r="T75" s="33" t="n">
        <f aca="false">T72+T74</f>
        <v>886.035170946395</v>
      </c>
      <c r="U75" s="33" t="n">
        <f aca="false">U72+U74</f>
        <v>886.035170946395</v>
      </c>
      <c r="V75" s="33" t="n">
        <f aca="false">V72+V74</f>
        <v>886.035170946395</v>
      </c>
      <c r="W75" s="33" t="n">
        <f aca="false">W72+W74</f>
        <v>1120.48016110676</v>
      </c>
      <c r="X75" s="33" t="n">
        <f aca="false">X72+X74</f>
        <v>1120.48016110676</v>
      </c>
      <c r="Y75" s="33" t="n">
        <f aca="false">Y72+Y74</f>
        <v>1120.48016110676</v>
      </c>
      <c r="Z75" s="33" t="n">
        <f aca="false">Z72+Z74</f>
        <v>1120.48016110676</v>
      </c>
      <c r="AA75" s="33" t="n">
        <f aca="false">AA72+AA74</f>
        <v>1607.3226694033</v>
      </c>
      <c r="AB75" s="33" t="n">
        <f aca="false">AB72+AB74</f>
        <v>1607.3226694033</v>
      </c>
      <c r="AC75" s="33" t="n">
        <f aca="false">AC72+AC74</f>
        <v>1607.3226694033</v>
      </c>
      <c r="AD75" s="33" t="n">
        <f aca="false">AD72+AD74</f>
        <v>1607.3226694033</v>
      </c>
      <c r="AE75" s="33" t="n">
        <f aca="false">AE72+AE74</f>
        <v>1993.30208050153</v>
      </c>
      <c r="AF75" s="33" t="n">
        <f aca="false">AF72+AF74</f>
        <v>1993.30208050153</v>
      </c>
      <c r="AG75" s="33" t="n">
        <f aca="false">AG72+AG74</f>
        <v>1993.30208050153</v>
      </c>
      <c r="AH75" s="33" t="n">
        <f aca="false">AH72+AH74</f>
        <v>1993.30208050153</v>
      </c>
      <c r="AI75" s="33" t="n">
        <f aca="false">AI72+AI74</f>
        <v>1993.30208050153</v>
      </c>
      <c r="AJ75" s="33" t="n">
        <f aca="false">AJ72+AJ74</f>
        <v>1993.30208050153</v>
      </c>
      <c r="AK75" s="33" t="n">
        <f aca="false">AK72+AK74</f>
        <v>1993.30208050153</v>
      </c>
      <c r="AL75" s="33" t="n">
        <f aca="false">AL72+AL74</f>
        <v>1993.30208050153</v>
      </c>
      <c r="AM75" s="33" t="n">
        <f aca="false">AM72+AM74</f>
        <v>1993.30208050153</v>
      </c>
      <c r="AN75" s="33" t="n">
        <f aca="false">AN72+AN74</f>
        <v>1993.30208050153</v>
      </c>
      <c r="AO75" s="33" t="n">
        <f aca="false">AO72+AO74</f>
        <v>1993.30208050153</v>
      </c>
      <c r="AP75" s="33" t="n">
        <f aca="false">AP72+AP74</f>
        <v>1993.30208050153</v>
      </c>
      <c r="AQ75" s="33" t="n">
        <f aca="false">AQ72+AQ74</f>
        <v>1993.30208050153</v>
      </c>
      <c r="AR75" s="33" t="n">
        <f aca="false">AR72+AR74</f>
        <v>1993.30208050153</v>
      </c>
      <c r="AS75" s="33" t="n">
        <f aca="false">AS72+AS74</f>
        <v>1993.30208050153</v>
      </c>
      <c r="AT75" s="33" t="n">
        <f aca="false">AT72+AT74</f>
        <v>1993.30208050153</v>
      </c>
      <c r="AU75" s="33" t="n">
        <f aca="false">AU72+AU74</f>
        <v>1993.30208050153</v>
      </c>
      <c r="AV75" s="33" t="n">
        <f aca="false">AV72+AV74</f>
        <v>1993.30208050153</v>
      </c>
      <c r="AW75" s="33" t="n">
        <f aca="false">AW72+AW74</f>
        <v>1993.30208050153</v>
      </c>
      <c r="AX75" s="33" t="n">
        <f aca="false">AX72+AX74</f>
        <v>1993.30208050153</v>
      </c>
      <c r="AY75" s="33" t="n">
        <f aca="false">AY72+AY74</f>
        <v>1993.30208050153</v>
      </c>
      <c r="AZ75" s="33" t="n">
        <f aca="false">AZ72+AZ74</f>
        <v>1993.30208050153</v>
      </c>
      <c r="BA75" s="33" t="n">
        <f aca="false">BA72+BA74</f>
        <v>1993.30208050153</v>
      </c>
      <c r="BB75" s="33" t="n">
        <f aca="false">BB72+BB74</f>
        <v>1993.30208050153</v>
      </c>
      <c r="BC75" s="33" t="n">
        <f aca="false">BC72+BC74</f>
        <v>1993.30208050153</v>
      </c>
      <c r="BD75" s="33" t="n">
        <f aca="false">BD72+BD74</f>
        <v>1993.30208050153</v>
      </c>
      <c r="BE75" s="33" t="n">
        <f aca="false">BE72+BE74</f>
        <v>1993.30208050153</v>
      </c>
      <c r="BF75" s="33" t="n">
        <f aca="false">BF72+BF74</f>
        <v>1993.30208050153</v>
      </c>
      <c r="BG75" s="33" t="n">
        <f aca="false">BG72+BG74</f>
        <v>1993.30208050153</v>
      </c>
      <c r="BH75" s="33" t="n">
        <f aca="false">BH72+BH74</f>
        <v>1993.30208050153</v>
      </c>
      <c r="BI75" s="33" t="n">
        <f aca="false">BI72+BI74</f>
        <v>1993.30208050153</v>
      </c>
      <c r="BJ75" s="33" t="n">
        <f aca="false">BJ72+BJ74</f>
        <v>1993.30208050153</v>
      </c>
      <c r="BK75" s="33" t="n">
        <f aca="false">BK72+BK74</f>
        <v>1993.30208050153</v>
      </c>
      <c r="BL75" s="33" t="n">
        <f aca="false">BL72+BL74</f>
        <v>1993.30208050153</v>
      </c>
      <c r="BM75" s="33" t="n">
        <f aca="false">BM72+BM74</f>
        <v>1993.30208050153</v>
      </c>
      <c r="BN75" s="33" t="n">
        <f aca="false">BN72+BN74</f>
        <v>1993.30208050153</v>
      </c>
      <c r="BO75" s="33" t="n">
        <f aca="false">BO72+BO74</f>
        <v>1993.30208050153</v>
      </c>
      <c r="BP75" s="33" t="n">
        <f aca="false">BP72+BP74</f>
        <v>1993.30208050153</v>
      </c>
      <c r="BQ75" s="33" t="n">
        <f aca="false">BQ72+BQ74</f>
        <v>1993.30208050153</v>
      </c>
      <c r="BR75" s="33" t="n">
        <f aca="false">BR72+BR74</f>
        <v>1993.30208050153</v>
      </c>
      <c r="BS75" s="33" t="n">
        <f aca="false">BS72+BS74</f>
        <v>1993.30208050153</v>
      </c>
      <c r="BT75" s="33" t="n">
        <f aca="false">BT72+BT74</f>
        <v>1993.30208050153</v>
      </c>
      <c r="BU75" s="33" t="n">
        <f aca="false">BU72+BU74</f>
        <v>1993.30208050153</v>
      </c>
      <c r="BV75" s="33" t="n">
        <f aca="false">BV72+BV74</f>
        <v>1993.30208050153</v>
      </c>
      <c r="BW75" s="33" t="n">
        <f aca="false">BW72+BW74</f>
        <v>1993.30208050153</v>
      </c>
      <c r="BX75" s="33" t="n">
        <f aca="false">BX72+BX74</f>
        <v>1993.30208050153</v>
      </c>
      <c r="BY75" s="33" t="n">
        <f aca="false">BY72+BY74</f>
        <v>1993.30208050153</v>
      </c>
      <c r="BZ75" s="33" t="n">
        <f aca="false">BZ72+BZ74</f>
        <v>1993.30208050153</v>
      </c>
      <c r="CA75" s="33" t="n">
        <f aca="false">CA72+CA74</f>
        <v>1993.30208050153</v>
      </c>
      <c r="CB75" s="33" t="n">
        <f aca="false">CB72+CB74</f>
        <v>1993.30208050153</v>
      </c>
      <c r="CC75" s="33" t="n">
        <f aca="false">CC72+CC74</f>
        <v>1993.30208050153</v>
      </c>
      <c r="CD75" s="33" t="n">
        <f aca="false">CD72+CD74</f>
        <v>1993.30208050153</v>
      </c>
      <c r="CE75" s="33" t="n">
        <f aca="false">CE72+CE74</f>
        <v>1993.30208050153</v>
      </c>
      <c r="CF75" s="33" t="n">
        <f aca="false">CF72+CF74</f>
        <v>1993.30208050153</v>
      </c>
      <c r="CG75" s="33" t="n">
        <f aca="false">CG72+CG74</f>
        <v>1993.30208050153</v>
      </c>
      <c r="CH75" s="33" t="n">
        <f aca="false">CH72+CH74</f>
        <v>1993.30208050153</v>
      </c>
      <c r="CI75" s="33" t="n">
        <f aca="false">CI72+CI74</f>
        <v>1993.30208050153</v>
      </c>
      <c r="CJ75" s="33" t="n">
        <f aca="false">CJ72+CJ74</f>
        <v>1993.30208050153</v>
      </c>
      <c r="CK75" s="33" t="n">
        <f aca="false">CK72+CK74</f>
        <v>1993.30208050153</v>
      </c>
      <c r="CL75" s="33" t="n">
        <f aca="false">CL72+CL74</f>
        <v>1993.30208050153</v>
      </c>
      <c r="CM75" s="33" t="n">
        <f aca="false">CM72+CM74</f>
        <v>1993.30208050153</v>
      </c>
      <c r="CN75" s="33" t="n">
        <f aca="false">CN72+CN74</f>
        <v>1993.30208050153</v>
      </c>
      <c r="CO75" s="33" t="n">
        <f aca="false">CO72+CO74</f>
        <v>1993.30208050153</v>
      </c>
      <c r="CP75" s="33" t="n">
        <f aca="false">CP72+CP74</f>
        <v>1993.30208050153</v>
      </c>
      <c r="CQ75" s="33" t="n">
        <f aca="false">CQ72+CQ74</f>
        <v>1993.30208050153</v>
      </c>
      <c r="CR75" s="33" t="n">
        <f aca="false">CR72+CR74</f>
        <v>1993.30208050153</v>
      </c>
      <c r="CS75" s="33" t="n">
        <f aca="false">CS72+CS74</f>
        <v>1993.30208050153</v>
      </c>
      <c r="CT75" s="33" t="n">
        <f aca="false">CT72+CT74</f>
        <v>1993.30208050153</v>
      </c>
      <c r="CU75" s="33" t="n">
        <f aca="false">CU72+CU74</f>
        <v>1993.30208050153</v>
      </c>
      <c r="CV75" s="33" t="n">
        <f aca="false">CV72+CV74</f>
        <v>1993.30208050153</v>
      </c>
      <c r="CW75" s="33" t="n">
        <f aca="false">CW72+CW74</f>
        <v>1993.30208050153</v>
      </c>
      <c r="CX75" s="33" t="n">
        <f aca="false">CX72+CX74</f>
        <v>1993.30208050153</v>
      </c>
      <c r="CY75" s="33" t="n">
        <f aca="false">CY72+CY74</f>
        <v>1993.30208050153</v>
      </c>
      <c r="CZ75" s="33" t="n">
        <f aca="false">CZ72+CZ74</f>
        <v>1993.30208050153</v>
      </c>
      <c r="DA75" s="33" t="n">
        <f aca="false">DA72+DA74</f>
        <v>1993.30208050153</v>
      </c>
      <c r="DB75" s="33" t="n">
        <f aca="false">DB72+DB74</f>
        <v>1993.30208050153</v>
      </c>
      <c r="DC75" s="33" t="n">
        <f aca="false">DC72+DC74</f>
        <v>1993.30208050153</v>
      </c>
      <c r="DD75" s="33" t="n">
        <f aca="false">DD72+DD74</f>
        <v>1993.30208050153</v>
      </c>
      <c r="DE75" s="33" t="n">
        <f aca="false">DE72+DE74</f>
        <v>1993.30208050153</v>
      </c>
      <c r="DF75" s="33" t="n">
        <f aca="false">DF72+DF74</f>
        <v>1993.30208050153</v>
      </c>
      <c r="DG75" s="33" t="n">
        <f aca="false">DG72+DG74</f>
        <v>1993.30208050153</v>
      </c>
      <c r="DH75" s="33" t="n">
        <f aca="false">DH72+DH74</f>
        <v>1993.30208050153</v>
      </c>
      <c r="DI75" s="33" t="n">
        <f aca="false">DI72+DI74</f>
        <v>1993.30208050153</v>
      </c>
      <c r="DJ75" s="33" t="n">
        <f aca="false">DJ72+DJ74</f>
        <v>1993.30208050153</v>
      </c>
      <c r="DK75" s="33" t="n">
        <f aca="false">DK72+DK74</f>
        <v>1993.30208050153</v>
      </c>
      <c r="DL75" s="33" t="n">
        <f aca="false">DL72+DL74</f>
        <v>1993.30208050153</v>
      </c>
      <c r="DM75" s="33" t="n">
        <f aca="false">DM72+DM74</f>
        <v>1993.30208050153</v>
      </c>
      <c r="DN75" s="33" t="n">
        <f aca="false">DN72+DN74</f>
        <v>1993.30208050153</v>
      </c>
      <c r="DO75" s="33" t="n">
        <f aca="false">DO72+DO74</f>
        <v>1993.30208050153</v>
      </c>
      <c r="DP75" s="33" t="n">
        <f aca="false">DP72+DP74</f>
        <v>1993.30208050153</v>
      </c>
      <c r="DQ75" s="33" t="n">
        <f aca="false">DQ72+DQ74</f>
        <v>1993.30208050153</v>
      </c>
      <c r="DR75" s="33" t="n">
        <f aca="false">DR72+DR74</f>
        <v>1993.30208050153</v>
      </c>
      <c r="DS75" s="33" t="n">
        <f aca="false">DS72+DS74</f>
        <v>1993.30208050153</v>
      </c>
      <c r="DT75" s="33" t="n">
        <f aca="false">DT72+DT74</f>
        <v>1993.30208050153</v>
      </c>
      <c r="DU75" s="33" t="n">
        <f aca="false">DU72+DU74</f>
        <v>1993.30208050153</v>
      </c>
      <c r="DV75" s="33" t="n">
        <f aca="false">DV72+DV74</f>
        <v>1993.30208050153</v>
      </c>
      <c r="DW75" s="33" t="n">
        <f aca="false">DW72+DW74</f>
        <v>1993.30208050153</v>
      </c>
      <c r="DX75" s="33" t="n">
        <f aca="false">DX72+DX74</f>
        <v>1993.30208050153</v>
      </c>
      <c r="DY75" s="33" t="n">
        <f aca="false">DY72+DY74</f>
        <v>1993.30208050153</v>
      </c>
      <c r="DZ75" s="33" t="n">
        <f aca="false">DZ72+DZ74</f>
        <v>1993.30208050153</v>
      </c>
      <c r="EA75" s="33" t="n">
        <f aca="false">EA72+EA74</f>
        <v>1993.30208050153</v>
      </c>
      <c r="EB75" s="33" t="n">
        <f aca="false">EB72+EB74</f>
        <v>1993.30208050153</v>
      </c>
      <c r="EC75" s="33" t="n">
        <f aca="false">EC72+EC74</f>
        <v>1993.30208050153</v>
      </c>
      <c r="ED75" s="33" t="n">
        <f aca="false">ED72+ED74</f>
        <v>1993.30208050153</v>
      </c>
      <c r="EE75" s="33" t="n">
        <f aca="false">EE72+EE74</f>
        <v>1993.30208050153</v>
      </c>
      <c r="EF75" s="33" t="n">
        <f aca="false">EF72+EF74</f>
        <v>1993.30208050153</v>
      </c>
      <c r="EG75" s="33" t="n">
        <f aca="false">EG72+EG74</f>
        <v>1993.30208050153</v>
      </c>
      <c r="EH75" s="33" t="n">
        <f aca="false">EH72+EH74</f>
        <v>1993.30208050153</v>
      </c>
      <c r="EI75" s="33" t="n">
        <f aca="false">EI72+EI74</f>
        <v>1993.30208050153</v>
      </c>
      <c r="EJ75" s="33" t="n">
        <f aca="false">EJ72+EJ74</f>
        <v>1993.30208050153</v>
      </c>
      <c r="EK75" s="33" t="n">
        <f aca="false">EK72+EK74</f>
        <v>1993.30208050153</v>
      </c>
      <c r="EL75" s="33" t="n">
        <f aca="false">EL72+EL74</f>
        <v>1993.30208050153</v>
      </c>
      <c r="EM75" s="33" t="n">
        <f aca="false">EM72+EM74</f>
        <v>1993.30208050153</v>
      </c>
      <c r="EN75" s="33" t="n">
        <f aca="false">EN72+EN74</f>
        <v>1993.30208050153</v>
      </c>
      <c r="EO75" s="33" t="n">
        <f aca="false">EO72+EO74</f>
        <v>1993.30208050153</v>
      </c>
      <c r="EP75" s="33" t="n">
        <f aca="false">EP72+EP74</f>
        <v>1993.30208050153</v>
      </c>
      <c r="EQ75" s="33" t="n">
        <f aca="false">EQ72+EQ74</f>
        <v>1993.30208050153</v>
      </c>
      <c r="ER75" s="33" t="n">
        <f aca="false">ER72+ER74</f>
        <v>1993.30208050153</v>
      </c>
      <c r="ES75" s="33" t="n">
        <f aca="false">ES72+ES74</f>
        <v>1993.30208050153</v>
      </c>
      <c r="ET75" s="33" t="n">
        <f aca="false">ET72+ET74</f>
        <v>1993.30208050153</v>
      </c>
    </row>
    <row r="76" customFormat="false" ht="15" hidden="false" customHeight="false" outlineLevel="0" collapsed="false">
      <c r="A76" s="55"/>
      <c r="B76" s="55"/>
      <c r="C76" s="55" t="s">
        <v>541</v>
      </c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  <c r="AM76" s="55"/>
      <c r="AN76" s="55"/>
      <c r="AO76" s="55"/>
      <c r="AP76" s="55"/>
      <c r="AQ76" s="55"/>
      <c r="AR76" s="55"/>
      <c r="AS76" s="55"/>
      <c r="AT76" s="55"/>
      <c r="AU76" s="55"/>
      <c r="AV76" s="55"/>
      <c r="AW76" s="55"/>
      <c r="AX76" s="55"/>
      <c r="AY76" s="55"/>
      <c r="AZ76" s="55"/>
      <c r="BA76" s="55"/>
      <c r="BB76" s="55"/>
      <c r="BC76" s="55"/>
      <c r="BD76" s="55"/>
      <c r="BE76" s="55"/>
      <c r="BF76" s="55"/>
      <c r="BG76" s="55"/>
      <c r="BH76" s="55"/>
      <c r="BI76" s="55"/>
      <c r="BJ76" s="55"/>
      <c r="BK76" s="55"/>
      <c r="BL76" s="55"/>
      <c r="BM76" s="55"/>
      <c r="BN76" s="55"/>
      <c r="BO76" s="55"/>
      <c r="BP76" s="55"/>
      <c r="BQ76" s="55"/>
      <c r="BR76" s="55"/>
      <c r="BS76" s="55"/>
      <c r="BT76" s="55"/>
      <c r="BU76" s="55"/>
      <c r="BV76" s="55"/>
      <c r="BW76" s="55"/>
      <c r="BX76" s="55"/>
      <c r="BY76" s="55"/>
      <c r="BZ76" s="55"/>
      <c r="CA76" s="55"/>
      <c r="CB76" s="55"/>
      <c r="CC76" s="55"/>
      <c r="CD76" s="55"/>
      <c r="CE76" s="55"/>
      <c r="CF76" s="55"/>
      <c r="CG76" s="55"/>
      <c r="CH76" s="55"/>
      <c r="CI76" s="55"/>
      <c r="CJ76" s="55"/>
      <c r="CK76" s="55"/>
      <c r="CL76" s="55"/>
      <c r="CM76" s="55"/>
      <c r="CN76" s="55"/>
      <c r="CO76" s="55"/>
      <c r="CP76" s="55"/>
      <c r="CQ76" s="55"/>
      <c r="CR76" s="55"/>
      <c r="CS76" s="55"/>
      <c r="CT76" s="55"/>
      <c r="CU76" s="55"/>
      <c r="CV76" s="55"/>
      <c r="CW76" s="55"/>
      <c r="CX76" s="55"/>
      <c r="CY76" s="55"/>
      <c r="CZ76" s="55"/>
      <c r="DA76" s="55"/>
      <c r="DB76" s="55"/>
      <c r="DC76" s="55"/>
      <c r="DD76" s="55"/>
      <c r="DE76" s="55"/>
      <c r="DF76" s="55"/>
      <c r="DG76" s="55"/>
      <c r="DH76" s="55"/>
      <c r="DI76" s="55"/>
      <c r="DJ76" s="55"/>
      <c r="DK76" s="55"/>
      <c r="DL76" s="55"/>
      <c r="DM76" s="55"/>
      <c r="DN76" s="55"/>
      <c r="DO76" s="55"/>
      <c r="DP76" s="55"/>
      <c r="DQ76" s="55"/>
      <c r="DR76" s="55"/>
      <c r="DS76" s="55"/>
      <c r="DT76" s="55"/>
      <c r="DU76" s="55"/>
      <c r="DV76" s="55"/>
      <c r="DW76" s="55"/>
      <c r="DX76" s="55"/>
      <c r="DY76" s="55"/>
      <c r="DZ76" s="55"/>
      <c r="EA76" s="55"/>
      <c r="EB76" s="55"/>
      <c r="EC76" s="55"/>
      <c r="ED76" s="55"/>
      <c r="EE76" s="55"/>
      <c r="EF76" s="55"/>
      <c r="EG76" s="55"/>
      <c r="EH76" s="55"/>
      <c r="EI76" s="55"/>
      <c r="EJ76" s="55"/>
      <c r="EK76" s="55"/>
      <c r="EL76" s="55"/>
      <c r="EM76" s="55"/>
      <c r="EN76" s="55"/>
      <c r="EO76" s="55"/>
      <c r="EP76" s="55"/>
      <c r="EQ76" s="55"/>
      <c r="ER76" s="55"/>
      <c r="ES76" s="55"/>
      <c r="ET76" s="55"/>
    </row>
    <row r="77" customFormat="false" ht="15" hidden="false" customHeight="false" outlineLevel="0" collapsed="false">
      <c r="C77" s="0" t="s">
        <v>533</v>
      </c>
      <c r="D77" s="11" t="s">
        <v>211</v>
      </c>
      <c r="J77" s="56" t="n">
        <f aca="false">SUMPRODUCT(Devex_Keur*Devex_Date*(Devex_Date&gt;=J$3)*(Devex_Date&lt;=J$4))-J56*$F56</f>
        <v>0</v>
      </c>
      <c r="K77" s="56" t="n">
        <f aca="false">SUMPRODUCT(Devex_Keur*Devex_Date*(Devex_Date&gt;=K$3)*(Devex_Date&lt;=K$4))-K56*$F56</f>
        <v>8264787.28767123</v>
      </c>
      <c r="L77" s="56" t="n">
        <f aca="false">SUMPRODUCT(Devex_Keur*Devex_Date*(Devex_Date&gt;=L$3)*(Devex_Date&lt;=L$4))-L56*$F56</f>
        <v>27328011.4239726</v>
      </c>
      <c r="M77" s="56" t="n">
        <f aca="false">SUMPRODUCT(Devex_Keur*Devex_Date*(Devex_Date&gt;=M$3)*(Devex_Date&lt;=M$4))-M56*$F56</f>
        <v>2041249.31506849</v>
      </c>
      <c r="N77" s="56" t="n">
        <f aca="false">SUMPRODUCT(Devex_Keur*Devex_Date*(Devex_Date&gt;=N$3)*(Devex_Date&lt;=N$4))-N56*$F56</f>
        <v>2042564.38356164</v>
      </c>
      <c r="O77" s="56" t="n">
        <f aca="false">SUMPRODUCT(Devex_Keur*Devex_Date*(Devex_Date&gt;=O$3)*(Devex_Date&lt;=O$4))-O56*$F56</f>
        <v>8617904.08767123</v>
      </c>
      <c r="P77" s="56" t="n">
        <f aca="false">SUMPRODUCT(Devex_Keur*Devex_Date*(Devex_Date&gt;=P$3)*(Devex_Date&lt;=P$4))-P56*$F56</f>
        <v>60359659.8456807</v>
      </c>
      <c r="Q77" s="56" t="n">
        <f aca="false">SUMPRODUCT(Devex_Keur*Devex_Date*(Devex_Date&gt;=Q$3)*(Devex_Date&lt;=Q$4))-Q56*$F56</f>
        <v>216330.547945205</v>
      </c>
      <c r="R77" s="56" t="n">
        <f aca="false">SUMPRODUCT(Devex_Keur*Devex_Date*(Devex_Date&gt;=R$3)*(Devex_Date&lt;=R$4))-R56*$F56</f>
        <v>7708362.7728407</v>
      </c>
      <c r="S77" s="56" t="n">
        <f aca="false">SUMPRODUCT(Devex_Keur*Devex_Date*(Devex_Date&gt;=S$3)*(Devex_Date&lt;=S$4))-S56*$F56</f>
        <v>14945351.6140951</v>
      </c>
      <c r="T77" s="56" t="n">
        <f aca="false">SUMPRODUCT(Devex_Keur*Devex_Date*(Devex_Date&gt;=T$3)*(Devex_Date&lt;=T$4))-T56*$F56</f>
        <v>14376030.6849315</v>
      </c>
      <c r="U77" s="56" t="n">
        <f aca="false">SUMPRODUCT(Devex_Keur*Devex_Date*(Devex_Date&gt;=U$3)*(Devex_Date&lt;=U$4))-U56*$F56</f>
        <v>0</v>
      </c>
      <c r="V77" s="56" t="n">
        <f aca="false">SUMPRODUCT(Devex_Keur*Devex_Date*(Devex_Date&gt;=V$3)*(Devex_Date&lt;=V$4))-V56*$F56</f>
        <v>0</v>
      </c>
      <c r="W77" s="56" t="n">
        <f aca="false">SUMPRODUCT(Devex_Keur*Devex_Date*(Devex_Date&gt;=W$3)*(Devex_Date&lt;=W$4))-W56*$F56</f>
        <v>0</v>
      </c>
      <c r="X77" s="56" t="n">
        <f aca="false">SUMPRODUCT(Devex_Keur*Devex_Date*(Devex_Date&gt;=X$3)*(Devex_Date&lt;=X$4))-X56*$F56</f>
        <v>0</v>
      </c>
      <c r="Y77" s="56" t="n">
        <f aca="false">SUMPRODUCT(Devex_Keur*Devex_Date*(Devex_Date&gt;=Y$3)*(Devex_Date&lt;=Y$4))-Y56*$F56</f>
        <v>0</v>
      </c>
      <c r="Z77" s="56" t="n">
        <f aca="false">SUMPRODUCT(Devex_Keur*Devex_Date*(Devex_Date&gt;=Z$3)*(Devex_Date&lt;=Z$4))-Z56*$F56</f>
        <v>0</v>
      </c>
      <c r="AA77" s="56" t="n">
        <f aca="false">SUMPRODUCT(Devex_Keur*Devex_Date*(Devex_Date&gt;=AA$3)*(Devex_Date&lt;=AA$4))-AA56*$F56</f>
        <v>0</v>
      </c>
      <c r="AB77" s="56" t="n">
        <f aca="false">SUMPRODUCT(Devex_Keur*Devex_Date*(Devex_Date&gt;=AB$3)*(Devex_Date&lt;=AB$4))-AB56*$F56</f>
        <v>0</v>
      </c>
      <c r="AC77" s="56" t="n">
        <f aca="false">SUMPRODUCT(Devex_Keur*Devex_Date*(Devex_Date&gt;=AC$3)*(Devex_Date&lt;=AC$4))-AC56*$F56</f>
        <v>0</v>
      </c>
      <c r="AD77" s="56" t="n">
        <f aca="false">SUMPRODUCT(Devex_Keur*Devex_Date*(Devex_Date&gt;=AD$3)*(Devex_Date&lt;=AD$4))-AD56*$F56</f>
        <v>0</v>
      </c>
      <c r="AE77" s="56" t="n">
        <f aca="false">SUMPRODUCT(Devex_Keur*Devex_Date*(Devex_Date&gt;=AE$3)*(Devex_Date&lt;=AE$4))-AE56*$F56</f>
        <v>0</v>
      </c>
      <c r="AF77" s="56" t="n">
        <f aca="false">SUMPRODUCT(Devex_Keur*Devex_Date*(Devex_Date&gt;=AF$3)*(Devex_Date&lt;=AF$4))-AF56*$F56</f>
        <v>0</v>
      </c>
      <c r="AG77" s="56" t="n">
        <f aca="false">SUMPRODUCT(Devex_Keur*Devex_Date*(Devex_Date&gt;=AG$3)*(Devex_Date&lt;=AG$4))-AG56*$F56</f>
        <v>0</v>
      </c>
      <c r="AH77" s="56" t="n">
        <f aca="false">SUMPRODUCT(Devex_Keur*Devex_Date*(Devex_Date&gt;=AH$3)*(Devex_Date&lt;=AH$4))-AH56*$F56</f>
        <v>0</v>
      </c>
      <c r="AI77" s="56" t="n">
        <f aca="false">SUMPRODUCT(Devex_Keur*Devex_Date*(Devex_Date&gt;=AI$3)*(Devex_Date&lt;=AI$4))-AI56*$F56</f>
        <v>0</v>
      </c>
      <c r="AJ77" s="56" t="n">
        <f aca="false">SUMPRODUCT(Devex_Keur*Devex_Date*(Devex_Date&gt;=AJ$3)*(Devex_Date&lt;=AJ$4))-AJ56*$F56</f>
        <v>0</v>
      </c>
      <c r="AK77" s="56" t="n">
        <f aca="false">SUMPRODUCT(Devex_Keur*Devex_Date*(Devex_Date&gt;=AK$3)*(Devex_Date&lt;=AK$4))-AK56*$F56</f>
        <v>0</v>
      </c>
      <c r="AL77" s="56" t="n">
        <f aca="false">SUMPRODUCT(Devex_Keur*Devex_Date*(Devex_Date&gt;=AL$3)*(Devex_Date&lt;=AL$4))-AL56*$F56</f>
        <v>0</v>
      </c>
      <c r="AM77" s="56" t="n">
        <f aca="false">SUMPRODUCT(Devex_Keur*Devex_Date*(Devex_Date&gt;=AM$3)*(Devex_Date&lt;=AM$4))-AM56*$F56</f>
        <v>0</v>
      </c>
      <c r="AN77" s="56" t="n">
        <f aca="false">SUMPRODUCT(Devex_Keur*Devex_Date*(Devex_Date&gt;=AN$3)*(Devex_Date&lt;=AN$4))-AN56*$F56</f>
        <v>0</v>
      </c>
      <c r="AO77" s="56" t="n">
        <f aca="false">SUMPRODUCT(Devex_Keur*Devex_Date*(Devex_Date&gt;=AO$3)*(Devex_Date&lt;=AO$4))-AO56*$F56</f>
        <v>0</v>
      </c>
      <c r="AP77" s="56" t="n">
        <f aca="false">SUMPRODUCT(Devex_Keur*Devex_Date*(Devex_Date&gt;=AP$3)*(Devex_Date&lt;=AP$4))-AP56*$F56</f>
        <v>0</v>
      </c>
      <c r="AQ77" s="56" t="n">
        <f aca="false">SUMPRODUCT(Devex_Keur*Devex_Date*(Devex_Date&gt;=AQ$3)*(Devex_Date&lt;=AQ$4))-AQ56*$F56</f>
        <v>0</v>
      </c>
      <c r="AR77" s="56" t="n">
        <f aca="false">SUMPRODUCT(Devex_Keur*Devex_Date*(Devex_Date&gt;=AR$3)*(Devex_Date&lt;=AR$4))-AR56*$F56</f>
        <v>0</v>
      </c>
      <c r="AS77" s="56" t="n">
        <f aca="false">SUMPRODUCT(Devex_Keur*Devex_Date*(Devex_Date&gt;=AS$3)*(Devex_Date&lt;=AS$4))-AS56*$F56</f>
        <v>0</v>
      </c>
      <c r="AT77" s="56" t="n">
        <f aca="false">SUMPRODUCT(Devex_Keur*Devex_Date*(Devex_Date&gt;=AT$3)*(Devex_Date&lt;=AT$4))-AT56*$F56</f>
        <v>0</v>
      </c>
      <c r="AU77" s="56" t="n">
        <f aca="false">SUMPRODUCT(Devex_Keur*Devex_Date*(Devex_Date&gt;=AU$3)*(Devex_Date&lt;=AU$4))-AU56*$F56</f>
        <v>0</v>
      </c>
      <c r="AV77" s="56" t="n">
        <f aca="false">SUMPRODUCT(Devex_Keur*Devex_Date*(Devex_Date&gt;=AV$3)*(Devex_Date&lt;=AV$4))-AV56*$F56</f>
        <v>0</v>
      </c>
      <c r="AW77" s="56" t="n">
        <f aca="false">SUMPRODUCT(Devex_Keur*Devex_Date*(Devex_Date&gt;=AW$3)*(Devex_Date&lt;=AW$4))-AW56*$F56</f>
        <v>0</v>
      </c>
      <c r="AX77" s="56" t="n">
        <f aca="false">SUMPRODUCT(Devex_Keur*Devex_Date*(Devex_Date&gt;=AX$3)*(Devex_Date&lt;=AX$4))-AX56*$F56</f>
        <v>0</v>
      </c>
      <c r="AY77" s="56" t="n">
        <f aca="false">SUMPRODUCT(Devex_Keur*Devex_Date*(Devex_Date&gt;=AY$3)*(Devex_Date&lt;=AY$4))-AY56*$F56</f>
        <v>0</v>
      </c>
      <c r="AZ77" s="56" t="n">
        <f aca="false">SUMPRODUCT(Devex_Keur*Devex_Date*(Devex_Date&gt;=AZ$3)*(Devex_Date&lt;=AZ$4))-AZ56*$F56</f>
        <v>0</v>
      </c>
      <c r="BA77" s="56" t="n">
        <f aca="false">SUMPRODUCT(Devex_Keur*Devex_Date*(Devex_Date&gt;=BA$3)*(Devex_Date&lt;=BA$4))-BA56*$F56</f>
        <v>0</v>
      </c>
      <c r="BB77" s="56" t="n">
        <f aca="false">SUMPRODUCT(Devex_Keur*Devex_Date*(Devex_Date&gt;=BB$3)*(Devex_Date&lt;=BB$4))-BB56*$F56</f>
        <v>0</v>
      </c>
      <c r="BC77" s="56" t="n">
        <f aca="false">SUMPRODUCT(Devex_Keur*Devex_Date*(Devex_Date&gt;=BC$3)*(Devex_Date&lt;=BC$4))-BC56*$F56</f>
        <v>0</v>
      </c>
      <c r="BD77" s="56" t="n">
        <f aca="false">SUMPRODUCT(Devex_Keur*Devex_Date*(Devex_Date&gt;=BD$3)*(Devex_Date&lt;=BD$4))-BD56*$F56</f>
        <v>0</v>
      </c>
      <c r="BE77" s="56" t="n">
        <f aca="false">SUMPRODUCT(Devex_Keur*Devex_Date*(Devex_Date&gt;=BE$3)*(Devex_Date&lt;=BE$4))-BE56*$F56</f>
        <v>0</v>
      </c>
      <c r="BF77" s="56" t="n">
        <f aca="false">SUMPRODUCT(Devex_Keur*Devex_Date*(Devex_Date&gt;=BF$3)*(Devex_Date&lt;=BF$4))-BF56*$F56</f>
        <v>0</v>
      </c>
      <c r="BG77" s="56" t="n">
        <f aca="false">SUMPRODUCT(Devex_Keur*Devex_Date*(Devex_Date&gt;=BG$3)*(Devex_Date&lt;=BG$4))-BG56*$F56</f>
        <v>0</v>
      </c>
      <c r="BH77" s="56" t="n">
        <f aca="false">SUMPRODUCT(Devex_Keur*Devex_Date*(Devex_Date&gt;=BH$3)*(Devex_Date&lt;=BH$4))-BH56*$F56</f>
        <v>0</v>
      </c>
      <c r="BI77" s="56" t="n">
        <f aca="false">SUMPRODUCT(Devex_Keur*Devex_Date*(Devex_Date&gt;=BI$3)*(Devex_Date&lt;=BI$4))-BI56*$F56</f>
        <v>0</v>
      </c>
      <c r="BJ77" s="56" t="n">
        <f aca="false">SUMPRODUCT(Devex_Keur*Devex_Date*(Devex_Date&gt;=BJ$3)*(Devex_Date&lt;=BJ$4))-BJ56*$F56</f>
        <v>0</v>
      </c>
      <c r="BK77" s="56" t="n">
        <f aca="false">SUMPRODUCT(Devex_Keur*Devex_Date*(Devex_Date&gt;=BK$3)*(Devex_Date&lt;=BK$4))-BK56*$F56</f>
        <v>0</v>
      </c>
      <c r="BL77" s="56" t="n">
        <f aca="false">SUMPRODUCT(Devex_Keur*Devex_Date*(Devex_Date&gt;=BL$3)*(Devex_Date&lt;=BL$4))-BL56*$F56</f>
        <v>0</v>
      </c>
      <c r="BM77" s="56" t="n">
        <f aca="false">SUMPRODUCT(Devex_Keur*Devex_Date*(Devex_Date&gt;=BM$3)*(Devex_Date&lt;=BM$4))-BM56*$F56</f>
        <v>0</v>
      </c>
      <c r="BN77" s="56" t="n">
        <f aca="false">SUMPRODUCT(Devex_Keur*Devex_Date*(Devex_Date&gt;=BN$3)*(Devex_Date&lt;=BN$4))-BN56*$F56</f>
        <v>0</v>
      </c>
      <c r="BO77" s="56" t="n">
        <f aca="false">SUMPRODUCT(Devex_Keur*Devex_Date*(Devex_Date&gt;=BO$3)*(Devex_Date&lt;=BO$4))-BO56*$F56</f>
        <v>0</v>
      </c>
      <c r="BP77" s="56" t="n">
        <f aca="false">SUMPRODUCT(Devex_Keur*Devex_Date*(Devex_Date&gt;=BP$3)*(Devex_Date&lt;=BP$4))-BP56*$F56</f>
        <v>0</v>
      </c>
      <c r="BQ77" s="56" t="n">
        <f aca="false">SUMPRODUCT(Devex_Keur*Devex_Date*(Devex_Date&gt;=BQ$3)*(Devex_Date&lt;=BQ$4))-BQ56*$F56</f>
        <v>0</v>
      </c>
      <c r="BR77" s="56" t="n">
        <f aca="false">SUMPRODUCT(Devex_Keur*Devex_Date*(Devex_Date&gt;=BR$3)*(Devex_Date&lt;=BR$4))-BR56*$F56</f>
        <v>0</v>
      </c>
      <c r="BS77" s="56" t="n">
        <f aca="false">SUMPRODUCT(Devex_Keur*Devex_Date*(Devex_Date&gt;=BS$3)*(Devex_Date&lt;=BS$4))-BS56*$F56</f>
        <v>0</v>
      </c>
      <c r="BT77" s="56" t="n">
        <f aca="false">SUMPRODUCT(Devex_Keur*Devex_Date*(Devex_Date&gt;=BT$3)*(Devex_Date&lt;=BT$4))-BT56*$F56</f>
        <v>0</v>
      </c>
      <c r="BU77" s="56" t="n">
        <f aca="false">SUMPRODUCT(Devex_Keur*Devex_Date*(Devex_Date&gt;=BU$3)*(Devex_Date&lt;=BU$4))-BU56*$F56</f>
        <v>0</v>
      </c>
      <c r="BV77" s="56" t="n">
        <f aca="false">SUMPRODUCT(Devex_Keur*Devex_Date*(Devex_Date&gt;=BV$3)*(Devex_Date&lt;=BV$4))-BV56*$F56</f>
        <v>0</v>
      </c>
      <c r="BW77" s="56" t="n">
        <f aca="false">SUMPRODUCT(Devex_Keur*Devex_Date*(Devex_Date&gt;=BW$3)*(Devex_Date&lt;=BW$4))-BW56*$F56</f>
        <v>0</v>
      </c>
      <c r="BX77" s="56" t="n">
        <f aca="false">SUMPRODUCT(Devex_Keur*Devex_Date*(Devex_Date&gt;=BX$3)*(Devex_Date&lt;=BX$4))-BX56*$F56</f>
        <v>0</v>
      </c>
      <c r="BY77" s="56" t="n">
        <f aca="false">SUMPRODUCT(Devex_Keur*Devex_Date*(Devex_Date&gt;=BY$3)*(Devex_Date&lt;=BY$4))-BY56*$F56</f>
        <v>0</v>
      </c>
      <c r="BZ77" s="56" t="n">
        <f aca="false">SUMPRODUCT(Devex_Keur*Devex_Date*(Devex_Date&gt;=BZ$3)*(Devex_Date&lt;=BZ$4))-BZ56*$F56</f>
        <v>0</v>
      </c>
      <c r="CA77" s="56" t="n">
        <f aca="false">SUMPRODUCT(Devex_Keur*Devex_Date*(Devex_Date&gt;=CA$3)*(Devex_Date&lt;=CA$4))-CA56*$F56</f>
        <v>0</v>
      </c>
      <c r="CB77" s="56" t="n">
        <f aca="false">SUMPRODUCT(Devex_Keur*Devex_Date*(Devex_Date&gt;=CB$3)*(Devex_Date&lt;=CB$4))-CB56*$F56</f>
        <v>0</v>
      </c>
      <c r="CC77" s="56" t="n">
        <f aca="false">SUMPRODUCT(Devex_Keur*Devex_Date*(Devex_Date&gt;=CC$3)*(Devex_Date&lt;=CC$4))-CC56*$F56</f>
        <v>0</v>
      </c>
      <c r="CD77" s="56" t="n">
        <f aca="false">SUMPRODUCT(Devex_Keur*Devex_Date*(Devex_Date&gt;=CD$3)*(Devex_Date&lt;=CD$4))-CD56*$F56</f>
        <v>0</v>
      </c>
      <c r="CE77" s="56" t="n">
        <f aca="false">SUMPRODUCT(Devex_Keur*Devex_Date*(Devex_Date&gt;=CE$3)*(Devex_Date&lt;=CE$4))-CE56*$F56</f>
        <v>0</v>
      </c>
      <c r="CF77" s="56" t="n">
        <f aca="false">SUMPRODUCT(Devex_Keur*Devex_Date*(Devex_Date&gt;=CF$3)*(Devex_Date&lt;=CF$4))-CF56*$F56</f>
        <v>0</v>
      </c>
      <c r="CG77" s="56" t="n">
        <f aca="false">SUMPRODUCT(Devex_Keur*Devex_Date*(Devex_Date&gt;=CG$3)*(Devex_Date&lt;=CG$4))-CG56*$F56</f>
        <v>0</v>
      </c>
      <c r="CH77" s="56" t="n">
        <f aca="false">SUMPRODUCT(Devex_Keur*Devex_Date*(Devex_Date&gt;=CH$3)*(Devex_Date&lt;=CH$4))-CH56*$F56</f>
        <v>0</v>
      </c>
      <c r="CI77" s="56" t="n">
        <f aca="false">SUMPRODUCT(Devex_Keur*Devex_Date*(Devex_Date&gt;=CI$3)*(Devex_Date&lt;=CI$4))-CI56*$F56</f>
        <v>0</v>
      </c>
      <c r="CJ77" s="56" t="n">
        <f aca="false">SUMPRODUCT(Devex_Keur*Devex_Date*(Devex_Date&gt;=CJ$3)*(Devex_Date&lt;=CJ$4))-CJ56*$F56</f>
        <v>0</v>
      </c>
      <c r="CK77" s="56" t="n">
        <f aca="false">SUMPRODUCT(Devex_Keur*Devex_Date*(Devex_Date&gt;=CK$3)*(Devex_Date&lt;=CK$4))-CK56*$F56</f>
        <v>0</v>
      </c>
      <c r="CL77" s="56" t="n">
        <f aca="false">SUMPRODUCT(Devex_Keur*Devex_Date*(Devex_Date&gt;=CL$3)*(Devex_Date&lt;=CL$4))-CL56*$F56</f>
        <v>0</v>
      </c>
      <c r="CM77" s="56" t="n">
        <f aca="false">SUMPRODUCT(Devex_Keur*Devex_Date*(Devex_Date&gt;=CM$3)*(Devex_Date&lt;=CM$4))-CM56*$F56</f>
        <v>0</v>
      </c>
      <c r="CN77" s="56" t="n">
        <f aca="false">SUMPRODUCT(Devex_Keur*Devex_Date*(Devex_Date&gt;=CN$3)*(Devex_Date&lt;=CN$4))-CN56*$F56</f>
        <v>0</v>
      </c>
      <c r="CO77" s="56" t="n">
        <f aca="false">SUMPRODUCT(Devex_Keur*Devex_Date*(Devex_Date&gt;=CO$3)*(Devex_Date&lt;=CO$4))-CO56*$F56</f>
        <v>0</v>
      </c>
      <c r="CP77" s="56" t="n">
        <f aca="false">SUMPRODUCT(Devex_Keur*Devex_Date*(Devex_Date&gt;=CP$3)*(Devex_Date&lt;=CP$4))-CP56*$F56</f>
        <v>0</v>
      </c>
      <c r="CQ77" s="56" t="n">
        <f aca="false">SUMPRODUCT(Devex_Keur*Devex_Date*(Devex_Date&gt;=CQ$3)*(Devex_Date&lt;=CQ$4))-CQ56*$F56</f>
        <v>0</v>
      </c>
      <c r="CR77" s="56" t="n">
        <f aca="false">SUMPRODUCT(Devex_Keur*Devex_Date*(Devex_Date&gt;=CR$3)*(Devex_Date&lt;=CR$4))-CR56*$F56</f>
        <v>0</v>
      </c>
      <c r="CS77" s="56" t="n">
        <f aca="false">SUMPRODUCT(Devex_Keur*Devex_Date*(Devex_Date&gt;=CS$3)*(Devex_Date&lt;=CS$4))-CS56*$F56</f>
        <v>0</v>
      </c>
      <c r="CT77" s="56" t="n">
        <f aca="false">SUMPRODUCT(Devex_Keur*Devex_Date*(Devex_Date&gt;=CT$3)*(Devex_Date&lt;=CT$4))-CT56*$F56</f>
        <v>0</v>
      </c>
      <c r="CU77" s="56" t="n">
        <f aca="false">SUMPRODUCT(Devex_Keur*Devex_Date*(Devex_Date&gt;=CU$3)*(Devex_Date&lt;=CU$4))-CU56*$F56</f>
        <v>0</v>
      </c>
      <c r="CV77" s="56" t="n">
        <f aca="false">SUMPRODUCT(Devex_Keur*Devex_Date*(Devex_Date&gt;=CV$3)*(Devex_Date&lt;=CV$4))-CV56*$F56</f>
        <v>0</v>
      </c>
      <c r="CW77" s="56" t="n">
        <f aca="false">SUMPRODUCT(Devex_Keur*Devex_Date*(Devex_Date&gt;=CW$3)*(Devex_Date&lt;=CW$4))-CW56*$F56</f>
        <v>0</v>
      </c>
      <c r="CX77" s="56" t="n">
        <f aca="false">SUMPRODUCT(Devex_Keur*Devex_Date*(Devex_Date&gt;=CX$3)*(Devex_Date&lt;=CX$4))-CX56*$F56</f>
        <v>0</v>
      </c>
      <c r="CY77" s="56" t="n">
        <f aca="false">SUMPRODUCT(Devex_Keur*Devex_Date*(Devex_Date&gt;=CY$3)*(Devex_Date&lt;=CY$4))-CY56*$F56</f>
        <v>0</v>
      </c>
      <c r="CZ77" s="56" t="n">
        <f aca="false">SUMPRODUCT(Devex_Keur*Devex_Date*(Devex_Date&gt;=CZ$3)*(Devex_Date&lt;=CZ$4))-CZ56*$F56</f>
        <v>0</v>
      </c>
      <c r="DA77" s="56" t="n">
        <f aca="false">SUMPRODUCT(Devex_Keur*Devex_Date*(Devex_Date&gt;=DA$3)*(Devex_Date&lt;=DA$4))-DA56*$F56</f>
        <v>0</v>
      </c>
      <c r="DB77" s="56" t="n">
        <f aca="false">SUMPRODUCT(Devex_Keur*Devex_Date*(Devex_Date&gt;=DB$3)*(Devex_Date&lt;=DB$4))-DB56*$F56</f>
        <v>0</v>
      </c>
      <c r="DC77" s="56" t="n">
        <f aca="false">SUMPRODUCT(Devex_Keur*Devex_Date*(Devex_Date&gt;=DC$3)*(Devex_Date&lt;=DC$4))-DC56*$F56</f>
        <v>0</v>
      </c>
      <c r="DD77" s="56" t="n">
        <f aca="false">SUMPRODUCT(Devex_Keur*Devex_Date*(Devex_Date&gt;=DD$3)*(Devex_Date&lt;=DD$4))-DD56*$F56</f>
        <v>0</v>
      </c>
      <c r="DE77" s="56" t="n">
        <f aca="false">SUMPRODUCT(Devex_Keur*Devex_Date*(Devex_Date&gt;=DE$3)*(Devex_Date&lt;=DE$4))-DE56*$F56</f>
        <v>0</v>
      </c>
      <c r="DF77" s="56" t="n">
        <f aca="false">SUMPRODUCT(Devex_Keur*Devex_Date*(Devex_Date&gt;=DF$3)*(Devex_Date&lt;=DF$4))-DF56*$F56</f>
        <v>0</v>
      </c>
      <c r="DG77" s="56" t="n">
        <f aca="false">SUMPRODUCT(Devex_Keur*Devex_Date*(Devex_Date&gt;=DG$3)*(Devex_Date&lt;=DG$4))-DG56*$F56</f>
        <v>0</v>
      </c>
      <c r="DH77" s="56" t="n">
        <f aca="false">SUMPRODUCT(Devex_Keur*Devex_Date*(Devex_Date&gt;=DH$3)*(Devex_Date&lt;=DH$4))-DH56*$F56</f>
        <v>0</v>
      </c>
      <c r="DI77" s="56" t="n">
        <f aca="false">SUMPRODUCT(Devex_Keur*Devex_Date*(Devex_Date&gt;=DI$3)*(Devex_Date&lt;=DI$4))-DI56*$F56</f>
        <v>0</v>
      </c>
      <c r="DJ77" s="56" t="n">
        <f aca="false">SUMPRODUCT(Devex_Keur*Devex_Date*(Devex_Date&gt;=DJ$3)*(Devex_Date&lt;=DJ$4))-DJ56*$F56</f>
        <v>0</v>
      </c>
      <c r="DK77" s="56" t="n">
        <f aca="false">SUMPRODUCT(Devex_Keur*Devex_Date*(Devex_Date&gt;=DK$3)*(Devex_Date&lt;=DK$4))-DK56*$F56</f>
        <v>0</v>
      </c>
      <c r="DL77" s="56" t="n">
        <f aca="false">SUMPRODUCT(Devex_Keur*Devex_Date*(Devex_Date&gt;=DL$3)*(Devex_Date&lt;=DL$4))-DL56*$F56</f>
        <v>0</v>
      </c>
      <c r="DM77" s="56" t="n">
        <f aca="false">SUMPRODUCT(Devex_Keur*Devex_Date*(Devex_Date&gt;=DM$3)*(Devex_Date&lt;=DM$4))-DM56*$F56</f>
        <v>0</v>
      </c>
      <c r="DN77" s="56" t="n">
        <f aca="false">SUMPRODUCT(Devex_Keur*Devex_Date*(Devex_Date&gt;=DN$3)*(Devex_Date&lt;=DN$4))-DN56*$F56</f>
        <v>0</v>
      </c>
      <c r="DO77" s="56" t="n">
        <f aca="false">SUMPRODUCT(Devex_Keur*Devex_Date*(Devex_Date&gt;=DO$3)*(Devex_Date&lt;=DO$4))-DO56*$F56</f>
        <v>0</v>
      </c>
      <c r="DP77" s="56" t="n">
        <f aca="false">SUMPRODUCT(Devex_Keur*Devex_Date*(Devex_Date&gt;=DP$3)*(Devex_Date&lt;=DP$4))-DP56*$F56</f>
        <v>0</v>
      </c>
      <c r="DQ77" s="56" t="n">
        <f aca="false">SUMPRODUCT(Devex_Keur*Devex_Date*(Devex_Date&gt;=DQ$3)*(Devex_Date&lt;=DQ$4))-DQ56*$F56</f>
        <v>0</v>
      </c>
      <c r="DR77" s="56" t="n">
        <f aca="false">SUMPRODUCT(Devex_Keur*Devex_Date*(Devex_Date&gt;=DR$3)*(Devex_Date&lt;=DR$4))-DR56*$F56</f>
        <v>0</v>
      </c>
      <c r="DS77" s="56" t="n">
        <f aca="false">SUMPRODUCT(Devex_Keur*Devex_Date*(Devex_Date&gt;=DS$3)*(Devex_Date&lt;=DS$4))-DS56*$F56</f>
        <v>0</v>
      </c>
      <c r="DT77" s="56" t="n">
        <f aca="false">SUMPRODUCT(Devex_Keur*Devex_Date*(Devex_Date&gt;=DT$3)*(Devex_Date&lt;=DT$4))-DT56*$F56</f>
        <v>0</v>
      </c>
      <c r="DU77" s="56" t="n">
        <f aca="false">SUMPRODUCT(Devex_Keur*Devex_Date*(Devex_Date&gt;=DU$3)*(Devex_Date&lt;=DU$4))-DU56*$F56</f>
        <v>0</v>
      </c>
      <c r="DV77" s="56" t="n">
        <f aca="false">SUMPRODUCT(Devex_Keur*Devex_Date*(Devex_Date&gt;=DV$3)*(Devex_Date&lt;=DV$4))-DV56*$F56</f>
        <v>0</v>
      </c>
      <c r="DW77" s="56" t="n">
        <f aca="false">SUMPRODUCT(Devex_Keur*Devex_Date*(Devex_Date&gt;=DW$3)*(Devex_Date&lt;=DW$4))-DW56*$F56</f>
        <v>0</v>
      </c>
      <c r="DX77" s="56" t="n">
        <f aca="false">SUMPRODUCT(Devex_Keur*Devex_Date*(Devex_Date&gt;=DX$3)*(Devex_Date&lt;=DX$4))-DX56*$F56</f>
        <v>0</v>
      </c>
      <c r="DY77" s="56" t="n">
        <f aca="false">SUMPRODUCT(Devex_Keur*Devex_Date*(Devex_Date&gt;=DY$3)*(Devex_Date&lt;=DY$4))-DY56*$F56</f>
        <v>0</v>
      </c>
      <c r="DZ77" s="56" t="n">
        <f aca="false">SUMPRODUCT(Devex_Keur*Devex_Date*(Devex_Date&gt;=DZ$3)*(Devex_Date&lt;=DZ$4))-DZ56*$F56</f>
        <v>0</v>
      </c>
      <c r="EA77" s="56" t="n">
        <f aca="false">SUMPRODUCT(Devex_Keur*Devex_Date*(Devex_Date&gt;=EA$3)*(Devex_Date&lt;=EA$4))-EA56*$F56</f>
        <v>0</v>
      </c>
      <c r="EB77" s="56" t="n">
        <f aca="false">SUMPRODUCT(Devex_Keur*Devex_Date*(Devex_Date&gt;=EB$3)*(Devex_Date&lt;=EB$4))-EB56*$F56</f>
        <v>0</v>
      </c>
      <c r="EC77" s="56" t="n">
        <f aca="false">SUMPRODUCT(Devex_Keur*Devex_Date*(Devex_Date&gt;=EC$3)*(Devex_Date&lt;=EC$4))-EC56*$F56</f>
        <v>0</v>
      </c>
      <c r="ED77" s="56" t="n">
        <f aca="false">SUMPRODUCT(Devex_Keur*Devex_Date*(Devex_Date&gt;=ED$3)*(Devex_Date&lt;=ED$4))-ED56*$F56</f>
        <v>0</v>
      </c>
      <c r="EE77" s="56" t="n">
        <f aca="false">SUMPRODUCT(Devex_Keur*Devex_Date*(Devex_Date&gt;=EE$3)*(Devex_Date&lt;=EE$4))-EE56*$F56</f>
        <v>0</v>
      </c>
      <c r="EF77" s="56" t="n">
        <f aca="false">SUMPRODUCT(Devex_Keur*Devex_Date*(Devex_Date&gt;=EF$3)*(Devex_Date&lt;=EF$4))-EF56*$F56</f>
        <v>0</v>
      </c>
      <c r="EG77" s="56" t="n">
        <f aca="false">SUMPRODUCT(Devex_Keur*Devex_Date*(Devex_Date&gt;=EG$3)*(Devex_Date&lt;=EG$4))-EG56*$F56</f>
        <v>0</v>
      </c>
      <c r="EH77" s="56" t="n">
        <f aca="false">SUMPRODUCT(Devex_Keur*Devex_Date*(Devex_Date&gt;=EH$3)*(Devex_Date&lt;=EH$4))-EH56*$F56</f>
        <v>0</v>
      </c>
      <c r="EI77" s="56" t="n">
        <f aca="false">SUMPRODUCT(Devex_Keur*Devex_Date*(Devex_Date&gt;=EI$3)*(Devex_Date&lt;=EI$4))-EI56*$F56</f>
        <v>0</v>
      </c>
      <c r="EJ77" s="56" t="n">
        <f aca="false">SUMPRODUCT(Devex_Keur*Devex_Date*(Devex_Date&gt;=EJ$3)*(Devex_Date&lt;=EJ$4))-EJ56*$F56</f>
        <v>0</v>
      </c>
      <c r="EK77" s="56" t="n">
        <f aca="false">SUMPRODUCT(Devex_Keur*Devex_Date*(Devex_Date&gt;=EK$3)*(Devex_Date&lt;=EK$4))-EK56*$F56</f>
        <v>0</v>
      </c>
      <c r="EL77" s="56" t="n">
        <f aca="false">SUMPRODUCT(Devex_Keur*Devex_Date*(Devex_Date&gt;=EL$3)*(Devex_Date&lt;=EL$4))-EL56*$F56</f>
        <v>0</v>
      </c>
      <c r="EM77" s="56" t="n">
        <f aca="false">SUMPRODUCT(Devex_Keur*Devex_Date*(Devex_Date&gt;=EM$3)*(Devex_Date&lt;=EM$4))-EM56*$F56</f>
        <v>0</v>
      </c>
      <c r="EN77" s="56" t="n">
        <f aca="false">SUMPRODUCT(Devex_Keur*Devex_Date*(Devex_Date&gt;=EN$3)*(Devex_Date&lt;=EN$4))-EN56*$F56</f>
        <v>0</v>
      </c>
      <c r="EO77" s="56" t="n">
        <f aca="false">SUMPRODUCT(Devex_Keur*Devex_Date*(Devex_Date&gt;=EO$3)*(Devex_Date&lt;=EO$4))-EO56*$F56</f>
        <v>0</v>
      </c>
      <c r="EP77" s="56" t="n">
        <f aca="false">SUMPRODUCT(Devex_Keur*Devex_Date*(Devex_Date&gt;=EP$3)*(Devex_Date&lt;=EP$4))-EP56*$F56</f>
        <v>0</v>
      </c>
      <c r="EQ77" s="56" t="n">
        <f aca="false">SUMPRODUCT(Devex_Keur*Devex_Date*(Devex_Date&gt;=EQ$3)*(Devex_Date&lt;=EQ$4))-EQ56*$F56</f>
        <v>0</v>
      </c>
      <c r="ER77" s="56" t="n">
        <f aca="false">SUMPRODUCT(Devex_Keur*Devex_Date*(Devex_Date&gt;=ER$3)*(Devex_Date&lt;=ER$4))-ER56*$F56</f>
        <v>0</v>
      </c>
      <c r="ES77" s="56" t="n">
        <f aca="false">SUMPRODUCT(Devex_Keur*Devex_Date*(Devex_Date&gt;=ES$3)*(Devex_Date&lt;=ES$4))-ES56*$F56</f>
        <v>0</v>
      </c>
      <c r="ET77" s="56" t="n">
        <f aca="false">SUMPRODUCT(Devex_Keur*Devex_Date*(Devex_Date&gt;=ET$3)*(Devex_Date&lt;=ET$4))-ET56*$F56</f>
        <v>0</v>
      </c>
    </row>
    <row r="78" customFormat="false" ht="15" hidden="false" customHeight="false" outlineLevel="0" collapsed="false">
      <c r="C78" s="0" t="s">
        <v>534</v>
      </c>
      <c r="D78" s="11" t="s">
        <v>253</v>
      </c>
      <c r="J78" s="22" t="n">
        <f aca="false">I81</f>
        <v>0</v>
      </c>
      <c r="K78" s="22" t="n">
        <f aca="false">J81</f>
        <v>0</v>
      </c>
      <c r="L78" s="22" t="n">
        <f aca="false">K81</f>
        <v>187.51993995121</v>
      </c>
      <c r="M78" s="22" t="n">
        <f aca="false">L81</f>
        <v>775.964460499156</v>
      </c>
      <c r="N78" s="22" t="n">
        <f aca="false">M81</f>
        <v>819.800076937512</v>
      </c>
      <c r="O78" s="22" t="n">
        <f aca="false">N81</f>
        <v>863.635693375868</v>
      </c>
      <c r="P78" s="22" t="n">
        <f aca="false">O81</f>
        <v>1195.18381497467</v>
      </c>
      <c r="Q78" s="22" t="n">
        <f aca="false">P81</f>
        <v>2485.22560977478</v>
      </c>
      <c r="R78" s="22" t="n">
        <f aca="false">Q81</f>
        <v>2489.83519881588</v>
      </c>
      <c r="S78" s="22" t="n">
        <f aca="false">R81</f>
        <v>2653.92670879631</v>
      </c>
      <c r="T78" s="22" t="n">
        <f aca="false">S81</f>
        <v>3458.61440309663</v>
      </c>
      <c r="U78" s="22" t="n">
        <f aca="false">T81</f>
        <v>3763.27193734321</v>
      </c>
      <c r="V78" s="22" t="n">
        <f aca="false">U81</f>
        <v>3763.27193734321</v>
      </c>
      <c r="W78" s="22" t="n">
        <f aca="false">V81</f>
        <v>3763.27193734321</v>
      </c>
      <c r="X78" s="22" t="n">
        <f aca="false">W81</f>
        <v>4125.06913837992</v>
      </c>
      <c r="Y78" s="22" t="n">
        <f aca="false">X81</f>
        <v>4125.06913837992</v>
      </c>
      <c r="Z78" s="22" t="n">
        <f aca="false">Y81</f>
        <v>4125.06913837992</v>
      </c>
      <c r="AA78" s="22" t="n">
        <f aca="false">Z81</f>
        <v>4125.06913837992</v>
      </c>
      <c r="AB78" s="22" t="n">
        <f aca="false">AA81</f>
        <v>4950.0829660559</v>
      </c>
      <c r="AC78" s="22" t="n">
        <f aca="false">AB81</f>
        <v>4950.0829660559</v>
      </c>
      <c r="AD78" s="22" t="n">
        <f aca="false">AC81</f>
        <v>4950.0829660559</v>
      </c>
      <c r="AE78" s="22" t="n">
        <f aca="false">AD81</f>
        <v>4950.0829660559</v>
      </c>
      <c r="AF78" s="22" t="n">
        <f aca="false">AE81</f>
        <v>5690.5611302933</v>
      </c>
      <c r="AG78" s="22" t="n">
        <f aca="false">AF81</f>
        <v>5690.5611302933</v>
      </c>
      <c r="AH78" s="22" t="n">
        <f aca="false">AG81</f>
        <v>5690.5611302933</v>
      </c>
      <c r="AI78" s="22" t="n">
        <f aca="false">AH81</f>
        <v>5690.5611302933</v>
      </c>
      <c r="AJ78" s="22" t="n">
        <f aca="false">AI81</f>
        <v>5690.5611302933</v>
      </c>
      <c r="AK78" s="22" t="n">
        <f aca="false">AJ81</f>
        <v>5690.5611302933</v>
      </c>
      <c r="AL78" s="22" t="n">
        <f aca="false">AK81</f>
        <v>5690.5611302933</v>
      </c>
      <c r="AM78" s="22" t="n">
        <f aca="false">AL81</f>
        <v>5690.5611302933</v>
      </c>
      <c r="AN78" s="22" t="n">
        <f aca="false">AM81</f>
        <v>5690.5611302933</v>
      </c>
      <c r="AO78" s="22" t="n">
        <f aca="false">AN81</f>
        <v>5690.5611302933</v>
      </c>
      <c r="AP78" s="22" t="n">
        <f aca="false">AO81</f>
        <v>5690.5611302933</v>
      </c>
      <c r="AQ78" s="22" t="n">
        <f aca="false">AP81</f>
        <v>5690.5611302933</v>
      </c>
      <c r="AR78" s="22" t="n">
        <f aca="false">AQ81</f>
        <v>5690.5611302933</v>
      </c>
      <c r="AS78" s="22" t="n">
        <f aca="false">AR81</f>
        <v>5690.5611302933</v>
      </c>
      <c r="AT78" s="22" t="n">
        <f aca="false">AS81</f>
        <v>5690.5611302933</v>
      </c>
      <c r="AU78" s="22" t="n">
        <f aca="false">AT81</f>
        <v>5690.5611302933</v>
      </c>
      <c r="AV78" s="22" t="n">
        <f aca="false">AU81</f>
        <v>5690.5611302933</v>
      </c>
      <c r="AW78" s="22" t="n">
        <f aca="false">AV81</f>
        <v>5690.5611302933</v>
      </c>
      <c r="AX78" s="22" t="n">
        <f aca="false">AW81</f>
        <v>5690.5611302933</v>
      </c>
      <c r="AY78" s="22" t="n">
        <f aca="false">AX81</f>
        <v>5690.5611302933</v>
      </c>
      <c r="AZ78" s="22" t="n">
        <f aca="false">AY81</f>
        <v>5690.5611302933</v>
      </c>
      <c r="BA78" s="22" t="n">
        <f aca="false">AZ81</f>
        <v>5690.5611302933</v>
      </c>
      <c r="BB78" s="22" t="n">
        <f aca="false">BA81</f>
        <v>5690.5611302933</v>
      </c>
      <c r="BC78" s="22" t="n">
        <f aca="false">BB81</f>
        <v>5690.5611302933</v>
      </c>
      <c r="BD78" s="22" t="n">
        <f aca="false">BC81</f>
        <v>5690.5611302933</v>
      </c>
      <c r="BE78" s="22" t="n">
        <f aca="false">BD81</f>
        <v>5690.5611302933</v>
      </c>
      <c r="BF78" s="22" t="n">
        <f aca="false">BE81</f>
        <v>5690.5611302933</v>
      </c>
      <c r="BG78" s="22" t="n">
        <f aca="false">BF81</f>
        <v>5690.5611302933</v>
      </c>
      <c r="BH78" s="22" t="n">
        <f aca="false">BG81</f>
        <v>5690.5611302933</v>
      </c>
      <c r="BI78" s="22" t="n">
        <f aca="false">BH81</f>
        <v>5690.5611302933</v>
      </c>
      <c r="BJ78" s="22" t="n">
        <f aca="false">BI81</f>
        <v>5690.5611302933</v>
      </c>
      <c r="BK78" s="22" t="n">
        <f aca="false">BJ81</f>
        <v>5690.5611302933</v>
      </c>
      <c r="BL78" s="22" t="n">
        <f aca="false">BK81</f>
        <v>5690.5611302933</v>
      </c>
      <c r="BM78" s="22" t="n">
        <f aca="false">BL81</f>
        <v>5690.5611302933</v>
      </c>
      <c r="BN78" s="22" t="n">
        <f aca="false">BM81</f>
        <v>5690.5611302933</v>
      </c>
      <c r="BO78" s="22" t="n">
        <f aca="false">BN81</f>
        <v>5690.5611302933</v>
      </c>
      <c r="BP78" s="22" t="n">
        <f aca="false">BO81</f>
        <v>5690.5611302933</v>
      </c>
      <c r="BQ78" s="22" t="n">
        <f aca="false">BP81</f>
        <v>5690.5611302933</v>
      </c>
      <c r="BR78" s="22" t="n">
        <f aca="false">BQ81</f>
        <v>5690.5611302933</v>
      </c>
      <c r="BS78" s="22" t="n">
        <f aca="false">BR81</f>
        <v>5690.5611302933</v>
      </c>
      <c r="BT78" s="22" t="n">
        <f aca="false">BS81</f>
        <v>5690.5611302933</v>
      </c>
      <c r="BU78" s="22" t="n">
        <f aca="false">BT81</f>
        <v>5690.5611302933</v>
      </c>
      <c r="BV78" s="22" t="n">
        <f aca="false">BU81</f>
        <v>5690.5611302933</v>
      </c>
      <c r="BW78" s="22" t="n">
        <f aca="false">BV81</f>
        <v>5690.5611302933</v>
      </c>
      <c r="BX78" s="22" t="n">
        <f aca="false">BW81</f>
        <v>5690.5611302933</v>
      </c>
      <c r="BY78" s="22" t="n">
        <f aca="false">BX81</f>
        <v>5690.5611302933</v>
      </c>
      <c r="BZ78" s="22" t="n">
        <f aca="false">BY81</f>
        <v>5690.5611302933</v>
      </c>
      <c r="CA78" s="22" t="n">
        <f aca="false">BZ81</f>
        <v>5690.5611302933</v>
      </c>
      <c r="CB78" s="22" t="n">
        <f aca="false">CA81</f>
        <v>5690.5611302933</v>
      </c>
      <c r="CC78" s="22" t="n">
        <f aca="false">CB81</f>
        <v>5690.5611302933</v>
      </c>
      <c r="CD78" s="22" t="n">
        <f aca="false">CC81</f>
        <v>5690.5611302933</v>
      </c>
      <c r="CE78" s="22" t="n">
        <f aca="false">CD81</f>
        <v>5690.5611302933</v>
      </c>
      <c r="CF78" s="22" t="n">
        <f aca="false">CE81</f>
        <v>5690.5611302933</v>
      </c>
      <c r="CG78" s="22" t="n">
        <f aca="false">CF81</f>
        <v>5690.5611302933</v>
      </c>
      <c r="CH78" s="22" t="n">
        <f aca="false">CG81</f>
        <v>5690.5611302933</v>
      </c>
      <c r="CI78" s="22" t="n">
        <f aca="false">CH81</f>
        <v>5690.5611302933</v>
      </c>
      <c r="CJ78" s="22" t="n">
        <f aca="false">CI81</f>
        <v>5690.5611302933</v>
      </c>
      <c r="CK78" s="22" t="n">
        <f aca="false">CJ81</f>
        <v>5690.5611302933</v>
      </c>
      <c r="CL78" s="22" t="n">
        <f aca="false">CK81</f>
        <v>5690.5611302933</v>
      </c>
      <c r="CM78" s="22" t="n">
        <f aca="false">CL81</f>
        <v>5690.5611302933</v>
      </c>
      <c r="CN78" s="22" t="n">
        <f aca="false">CM81</f>
        <v>5690.5611302933</v>
      </c>
      <c r="CO78" s="22" t="n">
        <f aca="false">CN81</f>
        <v>5690.5611302933</v>
      </c>
      <c r="CP78" s="22" t="n">
        <f aca="false">CO81</f>
        <v>5690.5611302933</v>
      </c>
      <c r="CQ78" s="22" t="n">
        <f aca="false">CP81</f>
        <v>5690.5611302933</v>
      </c>
      <c r="CR78" s="22" t="n">
        <f aca="false">CQ81</f>
        <v>5690.5611302933</v>
      </c>
      <c r="CS78" s="22" t="n">
        <f aca="false">CR81</f>
        <v>5690.5611302933</v>
      </c>
      <c r="CT78" s="22" t="n">
        <f aca="false">CS81</f>
        <v>5690.5611302933</v>
      </c>
      <c r="CU78" s="22" t="n">
        <f aca="false">CT81</f>
        <v>5690.5611302933</v>
      </c>
      <c r="CV78" s="22" t="n">
        <f aca="false">CU81</f>
        <v>5690.5611302933</v>
      </c>
      <c r="CW78" s="22" t="n">
        <f aca="false">CV81</f>
        <v>5690.5611302933</v>
      </c>
      <c r="CX78" s="22" t="n">
        <f aca="false">CW81</f>
        <v>5690.5611302933</v>
      </c>
      <c r="CY78" s="22" t="n">
        <f aca="false">CX81</f>
        <v>5690.5611302933</v>
      </c>
      <c r="CZ78" s="22" t="n">
        <f aca="false">CY81</f>
        <v>5690.5611302933</v>
      </c>
      <c r="DA78" s="22" t="n">
        <f aca="false">CZ81</f>
        <v>5690.5611302933</v>
      </c>
      <c r="DB78" s="22" t="n">
        <f aca="false">DA81</f>
        <v>5690.5611302933</v>
      </c>
      <c r="DC78" s="22" t="n">
        <f aca="false">DB81</f>
        <v>5690.5611302933</v>
      </c>
      <c r="DD78" s="22" t="n">
        <f aca="false">DC81</f>
        <v>5690.5611302933</v>
      </c>
      <c r="DE78" s="22" t="n">
        <f aca="false">DD81</f>
        <v>5690.5611302933</v>
      </c>
      <c r="DF78" s="22" t="n">
        <f aca="false">DE81</f>
        <v>5690.5611302933</v>
      </c>
      <c r="DG78" s="22" t="n">
        <f aca="false">DF81</f>
        <v>5690.5611302933</v>
      </c>
      <c r="DH78" s="22" t="n">
        <f aca="false">DG81</f>
        <v>5690.5611302933</v>
      </c>
      <c r="DI78" s="22" t="n">
        <f aca="false">DH81</f>
        <v>5690.5611302933</v>
      </c>
      <c r="DJ78" s="22" t="n">
        <f aca="false">DI81</f>
        <v>5690.5611302933</v>
      </c>
      <c r="DK78" s="22" t="n">
        <f aca="false">DJ81</f>
        <v>5690.5611302933</v>
      </c>
      <c r="DL78" s="22" t="n">
        <f aca="false">DK81</f>
        <v>5690.5611302933</v>
      </c>
      <c r="DM78" s="22" t="n">
        <f aca="false">DL81</f>
        <v>5690.5611302933</v>
      </c>
      <c r="DN78" s="22" t="n">
        <f aca="false">DM81</f>
        <v>5690.5611302933</v>
      </c>
      <c r="DO78" s="22" t="n">
        <f aca="false">DN81</f>
        <v>5690.5611302933</v>
      </c>
      <c r="DP78" s="22" t="n">
        <f aca="false">DO81</f>
        <v>5690.5611302933</v>
      </c>
      <c r="DQ78" s="22" t="n">
        <f aca="false">DP81</f>
        <v>5690.5611302933</v>
      </c>
      <c r="DR78" s="22" t="n">
        <f aca="false">DQ81</f>
        <v>5690.5611302933</v>
      </c>
      <c r="DS78" s="22" t="n">
        <f aca="false">DR81</f>
        <v>5690.5611302933</v>
      </c>
      <c r="DT78" s="22" t="n">
        <f aca="false">DS81</f>
        <v>5690.5611302933</v>
      </c>
      <c r="DU78" s="22" t="n">
        <f aca="false">DT81</f>
        <v>5690.5611302933</v>
      </c>
      <c r="DV78" s="22" t="n">
        <f aca="false">DU81</f>
        <v>5690.5611302933</v>
      </c>
      <c r="DW78" s="22" t="n">
        <f aca="false">DV81</f>
        <v>5690.5611302933</v>
      </c>
      <c r="DX78" s="22" t="n">
        <f aca="false">DW81</f>
        <v>5690.5611302933</v>
      </c>
      <c r="DY78" s="22" t="n">
        <f aca="false">DX81</f>
        <v>5690.5611302933</v>
      </c>
      <c r="DZ78" s="22" t="n">
        <f aca="false">DY81</f>
        <v>5690.5611302933</v>
      </c>
      <c r="EA78" s="22" t="n">
        <f aca="false">DZ81</f>
        <v>5690.5611302933</v>
      </c>
      <c r="EB78" s="22" t="n">
        <f aca="false">EA81</f>
        <v>5690.5611302933</v>
      </c>
      <c r="EC78" s="22" t="n">
        <f aca="false">EB81</f>
        <v>5690.5611302933</v>
      </c>
      <c r="ED78" s="22" t="n">
        <f aca="false">EC81</f>
        <v>5690.5611302933</v>
      </c>
      <c r="EE78" s="22" t="n">
        <f aca="false">ED81</f>
        <v>5690.5611302933</v>
      </c>
      <c r="EF78" s="22" t="n">
        <f aca="false">EE81</f>
        <v>5690.5611302933</v>
      </c>
      <c r="EG78" s="22" t="n">
        <f aca="false">EF81</f>
        <v>5690.5611302933</v>
      </c>
      <c r="EH78" s="22" t="n">
        <f aca="false">EG81</f>
        <v>5690.5611302933</v>
      </c>
      <c r="EI78" s="22" t="n">
        <f aca="false">EH81</f>
        <v>5690.5611302933</v>
      </c>
      <c r="EJ78" s="22" t="n">
        <f aca="false">EI81</f>
        <v>5690.5611302933</v>
      </c>
      <c r="EK78" s="22" t="n">
        <f aca="false">EJ81</f>
        <v>5690.5611302933</v>
      </c>
      <c r="EL78" s="22" t="n">
        <f aca="false">EK81</f>
        <v>5690.5611302933</v>
      </c>
      <c r="EM78" s="22" t="n">
        <f aca="false">EL81</f>
        <v>5690.5611302933</v>
      </c>
      <c r="EN78" s="22" t="n">
        <f aca="false">EM81</f>
        <v>5690.5611302933</v>
      </c>
      <c r="EO78" s="22" t="n">
        <f aca="false">EN81</f>
        <v>5690.5611302933</v>
      </c>
      <c r="EP78" s="22" t="n">
        <f aca="false">EO81</f>
        <v>5690.5611302933</v>
      </c>
      <c r="EQ78" s="22" t="n">
        <f aca="false">EP81</f>
        <v>5690.5611302933</v>
      </c>
      <c r="ER78" s="22" t="n">
        <f aca="false">EQ81</f>
        <v>5690.5611302933</v>
      </c>
      <c r="ES78" s="22" t="n">
        <f aca="false">ER81</f>
        <v>5690.5611302933</v>
      </c>
      <c r="ET78" s="22" t="n">
        <f aca="false">ES81</f>
        <v>5690.5611302933</v>
      </c>
    </row>
    <row r="79" customFormat="false" ht="15" hidden="false" customHeight="false" outlineLevel="0" collapsed="false">
      <c r="C79" s="0" t="s">
        <v>542</v>
      </c>
      <c r="D79" s="11" t="s">
        <v>253</v>
      </c>
      <c r="E79" s="33" t="n">
        <f aca="false">MAX(SUMIF($J$4:$ET$4,"&lt;="&amp;$E12,$J79:$ET79),(In_Min_Multiple-1)*$E57)</f>
        <v>3119.62451197093</v>
      </c>
      <c r="F79" s="33" t="n">
        <f aca="false">MAX(SUMIF($J$4:$ET$4,"&lt;="&amp;In_COD,$J79:$ET79),(In_Min_Multiple-1)*$F57)</f>
        <v>3119.62451197093</v>
      </c>
      <c r="I79" s="33" t="n">
        <f aca="false">SUM(J79:ET79)</f>
        <v>2570.93661832238</v>
      </c>
      <c r="J79" s="33" t="n">
        <f aca="false">In_AtRisk_Rate/Days_In_Year*(1-J19)*(J78*J$5-(J$4+1)*J57-J77)*(J$4&lt;=In_COD)</f>
        <v>0</v>
      </c>
      <c r="K79" s="33" t="n">
        <f aca="false">In_AtRisk_Rate/Days_In_Year*(1-K19)*(K78*K$5-(K$4+1)*K57-K77)*(K$4&lt;=In_COD)</f>
        <v>8.99939200600482</v>
      </c>
      <c r="L79" s="33" t="n">
        <f aca="false">In_AtRisk_Rate/Days_In_Year*(1-L19)*(L78*L$5-(L$4+1)*L57-L77)*(L$4&lt;=In_COD)</f>
        <v>21.145094055017</v>
      </c>
      <c r="M79" s="33" t="n">
        <f aca="false">In_AtRisk_Rate/Days_In_Year*(1-M19)*(M78*M$5-(M$4+1)*M57-M77)*(M$4&lt;=In_COD)</f>
        <v>38.7639850710894</v>
      </c>
      <c r="N79" s="33" t="n">
        <f aca="false">In_AtRisk_Rate/Days_In_Year*(1-N19)*(N78*N$5-(N$4+1)*N57-N77)*(N$4&lt;=In_COD)</f>
        <v>42.8881765187639</v>
      </c>
      <c r="O79" s="33" t="n">
        <f aca="false">In_AtRisk_Rate/Days_In_Year*(1-O19)*(O78*O$5-(O$4+1)*O57-O77)*(O$4&lt;=In_COD)</f>
        <v>44.3892221183136</v>
      </c>
      <c r="P79" s="33" t="n">
        <f aca="false">In_AtRisk_Rate/Days_In_Year*(1-P19)*(P78*P$5-(P$4+1)*P57-P77)*(P$4&lt;=In_COD)</f>
        <v>98.5313518347357</v>
      </c>
      <c r="Q79" s="33" t="n">
        <f aca="false">In_AtRisk_Rate/Days_In_Year*(1-Q19)*(Q78*Q$5-(Q$4+1)*Q57-Q77)*(Q$4&lt;=In_COD)</f>
        <v>123.932079007197</v>
      </c>
      <c r="R79" s="33" t="n">
        <f aca="false">In_AtRisk_Rate/Days_In_Year*(1-R19)*(R78*R$5-(R$4+1)*R57-R77)*(R$4&lt;=In_COD)</f>
        <v>130.100550849349</v>
      </c>
      <c r="S79" s="33" t="n">
        <f aca="false">In_AtRisk_Rate/Days_In_Year*(1-S19)*(S78*S$5-(S$4+1)*S57-S77)*(S$4&lt;=In_COD)</f>
        <v>134.89757391181</v>
      </c>
      <c r="T79" s="33" t="n">
        <f aca="false">In_AtRisk_Rate/Days_In_Year*(1-T19)*(T78*T$5-(T$4+1)*T57-T77)*(T$4&lt;=In_COD)</f>
        <v>174.149120873296</v>
      </c>
      <c r="U79" s="33" t="n">
        <f aca="false">In_AtRisk_Rate/Days_In_Year*(1-U19)*(U78*U$5-(U$4+1)*U57-U77)*(U$4&lt;=In_COD)</f>
        <v>187.648080163415</v>
      </c>
      <c r="V79" s="33" t="n">
        <f aca="false">In_AtRisk_Rate/Days_In_Year*(1-V19)*(V78*V$5-(V$4+1)*V57-V77)*(V$4&lt;=In_COD)</f>
        <v>0</v>
      </c>
      <c r="W79" s="33" t="n">
        <f aca="false">In_AtRisk_Rate/Days_In_Year*(1-W19)*(W78*W$5-(W$4+1)*W57-W77)*(W$4&lt;=In_COD)</f>
        <v>0</v>
      </c>
      <c r="X79" s="33" t="n">
        <f aca="false">In_AtRisk_Rate/Days_In_Year*(1-X19)*(X78*X$5-(X$4+1)*X57-X77)*(X$4&lt;=In_COD)</f>
        <v>203.428067098188</v>
      </c>
      <c r="Y79" s="33" t="n">
        <f aca="false">In_AtRisk_Rate/Days_In_Year*(1-Y19)*(Y78*Y$5-(Y$4+1)*Y57-Y77)*(Y$4&lt;=In_COD)</f>
        <v>205.688378954834</v>
      </c>
      <c r="Z79" s="33" t="n">
        <f aca="false">In_AtRisk_Rate/Days_In_Year*(1-Z19)*(Z78*Z$5-(Z$4+1)*Z57-Z77)*(Z$4&lt;=In_COD)</f>
        <v>207.948690811481</v>
      </c>
      <c r="AA79" s="33" t="n">
        <f aca="false">In_AtRisk_Rate/Days_In_Year*(1-AA19)*(AA78*AA$5-(AA$4+1)*AA57-AA77)*(AA$4&lt;=In_COD)</f>
        <v>207.948690811481</v>
      </c>
      <c r="AB79" s="33" t="n">
        <f aca="false">In_AtRisk_Rate/Days_In_Year*(1-AB19)*(AB78*AB$5-(AB$4+1)*AB57-AB77)*(AB$4&lt;=In_COD)</f>
        <v>244.113680517825</v>
      </c>
      <c r="AC79" s="33" t="n">
        <f aca="false">In_AtRisk_Rate/Days_In_Year*(1-AC19)*(AC78*AC$5-(AC$4+1)*AC57-AC77)*(AC$4&lt;=In_COD)</f>
        <v>246.826054745801</v>
      </c>
      <c r="AD79" s="33" t="n">
        <f aca="false">In_AtRisk_Rate/Days_In_Year*(1-AD19)*(AD78*AD$5-(AD$4+1)*AD57-AD77)*(AD$4&lt;=In_COD)</f>
        <v>249.538428973777</v>
      </c>
      <c r="AE79" s="33" t="n">
        <f aca="false">In_AtRisk_Rate/Days_In_Year*(1-AE19)*(AE78*AE$5-(AE$4+1)*AE57-AE77)*(AE$4&lt;=In_COD)</f>
        <v>0</v>
      </c>
      <c r="AF79" s="33" t="n">
        <f aca="false">In_AtRisk_Rate/Days_In_Year*(1-AF19)*(AF78*AF$5-(AF$4+1)*AF57-AF77)*(AF$4&lt;=In_COD)</f>
        <v>0</v>
      </c>
      <c r="AG79" s="33" t="n">
        <f aca="false">In_AtRisk_Rate/Days_In_Year*(1-AG19)*(AG78*AG$5-(AG$4+1)*AG57-AG77)*(AG$4&lt;=In_COD)</f>
        <v>0</v>
      </c>
      <c r="AH79" s="33" t="n">
        <f aca="false">In_AtRisk_Rate/Days_In_Year*(1-AH19)*(AH78*AH$5-(AH$4+1)*AH57-AH77)*(AH$4&lt;=In_COD)</f>
        <v>0</v>
      </c>
      <c r="AI79" s="33" t="n">
        <f aca="false">In_AtRisk_Rate/Days_In_Year*(1-AI19)*(AI78*AI$5-(AI$4+1)*AI57-AI77)*(AI$4&lt;=In_COD)</f>
        <v>0</v>
      </c>
      <c r="AJ79" s="33" t="n">
        <f aca="false">In_AtRisk_Rate/Days_In_Year*(1-AJ19)*(AJ78*AJ$5-(AJ$4+1)*AJ57-AJ77)*(AJ$4&lt;=In_COD)</f>
        <v>0</v>
      </c>
      <c r="AK79" s="33" t="n">
        <f aca="false">In_AtRisk_Rate/Days_In_Year*(1-AK19)*(AK78*AK$5-(AK$4+1)*AK57-AK77)*(AK$4&lt;=In_COD)</f>
        <v>0</v>
      </c>
      <c r="AL79" s="33" t="n">
        <f aca="false">In_AtRisk_Rate/Days_In_Year*(1-AL19)*(AL78*AL$5-(AL$4+1)*AL57-AL77)*(AL$4&lt;=In_COD)</f>
        <v>0</v>
      </c>
      <c r="AM79" s="33" t="n">
        <f aca="false">In_AtRisk_Rate/Days_In_Year*(1-AM19)*(AM78*AM$5-(AM$4+1)*AM57-AM77)*(AM$4&lt;=In_COD)</f>
        <v>0</v>
      </c>
      <c r="AN79" s="33" t="n">
        <f aca="false">In_AtRisk_Rate/Days_In_Year*(1-AN19)*(AN78*AN$5-(AN$4+1)*AN57-AN77)*(AN$4&lt;=In_COD)</f>
        <v>0</v>
      </c>
      <c r="AO79" s="33" t="n">
        <f aca="false">In_AtRisk_Rate/Days_In_Year*(1-AO19)*(AO78*AO$5-(AO$4+1)*AO57-AO77)*(AO$4&lt;=In_COD)</f>
        <v>0</v>
      </c>
      <c r="AP79" s="33" t="n">
        <f aca="false">In_AtRisk_Rate/Days_In_Year*(1-AP19)*(AP78*AP$5-(AP$4+1)*AP57-AP77)*(AP$4&lt;=In_COD)</f>
        <v>0</v>
      </c>
      <c r="AQ79" s="33" t="n">
        <f aca="false">In_AtRisk_Rate/Days_In_Year*(1-AQ19)*(AQ78*AQ$5-(AQ$4+1)*AQ57-AQ77)*(AQ$4&lt;=In_COD)</f>
        <v>0</v>
      </c>
      <c r="AR79" s="33" t="n">
        <f aca="false">In_AtRisk_Rate/Days_In_Year*(1-AR19)*(AR78*AR$5-(AR$4+1)*AR57-AR77)*(AR$4&lt;=In_COD)</f>
        <v>0</v>
      </c>
      <c r="AS79" s="33" t="n">
        <f aca="false">In_AtRisk_Rate/Days_In_Year*(1-AS19)*(AS78*AS$5-(AS$4+1)*AS57-AS77)*(AS$4&lt;=In_COD)</f>
        <v>0</v>
      </c>
      <c r="AT79" s="33" t="n">
        <f aca="false">In_AtRisk_Rate/Days_In_Year*(1-AT19)*(AT78*AT$5-(AT$4+1)*AT57-AT77)*(AT$4&lt;=In_COD)</f>
        <v>0</v>
      </c>
      <c r="AU79" s="33" t="n">
        <f aca="false">In_AtRisk_Rate/Days_In_Year*(1-AU19)*(AU78*AU$5-(AU$4+1)*AU57-AU77)*(AU$4&lt;=In_COD)</f>
        <v>0</v>
      </c>
      <c r="AV79" s="33" t="n">
        <f aca="false">In_AtRisk_Rate/Days_In_Year*(1-AV19)*(AV78*AV$5-(AV$4+1)*AV57-AV77)*(AV$4&lt;=In_COD)</f>
        <v>0</v>
      </c>
      <c r="AW79" s="33" t="n">
        <f aca="false">In_AtRisk_Rate/Days_In_Year*(1-AW19)*(AW78*AW$5-(AW$4+1)*AW57-AW77)*(AW$4&lt;=In_COD)</f>
        <v>0</v>
      </c>
      <c r="AX79" s="33" t="n">
        <f aca="false">In_AtRisk_Rate/Days_In_Year*(1-AX19)*(AX78*AX$5-(AX$4+1)*AX57-AX77)*(AX$4&lt;=In_COD)</f>
        <v>0</v>
      </c>
      <c r="AY79" s="33" t="n">
        <f aca="false">In_AtRisk_Rate/Days_In_Year*(1-AY19)*(AY78*AY$5-(AY$4+1)*AY57-AY77)*(AY$4&lt;=In_COD)</f>
        <v>0</v>
      </c>
      <c r="AZ79" s="33" t="n">
        <f aca="false">In_AtRisk_Rate/Days_In_Year*(1-AZ19)*(AZ78*AZ$5-(AZ$4+1)*AZ57-AZ77)*(AZ$4&lt;=In_COD)</f>
        <v>0</v>
      </c>
      <c r="BA79" s="33" t="n">
        <f aca="false">In_AtRisk_Rate/Days_In_Year*(1-BA19)*(BA78*BA$5-(BA$4+1)*BA57-BA77)*(BA$4&lt;=In_COD)</f>
        <v>0</v>
      </c>
      <c r="BB79" s="33" t="n">
        <f aca="false">In_AtRisk_Rate/Days_In_Year*(1-BB19)*(BB78*BB$5-(BB$4+1)*BB57-BB77)*(BB$4&lt;=In_COD)</f>
        <v>0</v>
      </c>
      <c r="BC79" s="33" t="n">
        <f aca="false">In_AtRisk_Rate/Days_In_Year*(1-BC19)*(BC78*BC$5-(BC$4+1)*BC57-BC77)*(BC$4&lt;=In_COD)</f>
        <v>0</v>
      </c>
      <c r="BD79" s="33" t="n">
        <f aca="false">In_AtRisk_Rate/Days_In_Year*(1-BD19)*(BD78*BD$5-(BD$4+1)*BD57-BD77)*(BD$4&lt;=In_COD)</f>
        <v>0</v>
      </c>
      <c r="BE79" s="33" t="n">
        <f aca="false">In_AtRisk_Rate/Days_In_Year*(1-BE19)*(BE78*BE$5-(BE$4+1)*BE57-BE77)*(BE$4&lt;=In_COD)</f>
        <v>0</v>
      </c>
      <c r="BF79" s="33" t="n">
        <f aca="false">In_AtRisk_Rate/Days_In_Year*(1-BF19)*(BF78*BF$5-(BF$4+1)*BF57-BF77)*(BF$4&lt;=In_COD)</f>
        <v>0</v>
      </c>
      <c r="BG79" s="33" t="n">
        <f aca="false">In_AtRisk_Rate/Days_In_Year*(1-BG19)*(BG78*BG$5-(BG$4+1)*BG57-BG77)*(BG$4&lt;=In_COD)</f>
        <v>0</v>
      </c>
      <c r="BH79" s="33" t="n">
        <f aca="false">In_AtRisk_Rate/Days_In_Year*(1-BH19)*(BH78*BH$5-(BH$4+1)*BH57-BH77)*(BH$4&lt;=In_COD)</f>
        <v>0</v>
      </c>
      <c r="BI79" s="33" t="n">
        <f aca="false">In_AtRisk_Rate/Days_In_Year*(1-BI19)*(BI78*BI$5-(BI$4+1)*BI57-BI77)*(BI$4&lt;=In_COD)</f>
        <v>0</v>
      </c>
      <c r="BJ79" s="33" t="n">
        <f aca="false">In_AtRisk_Rate/Days_In_Year*(1-BJ19)*(BJ78*BJ$5-(BJ$4+1)*BJ57-BJ77)*(BJ$4&lt;=In_COD)</f>
        <v>0</v>
      </c>
      <c r="BK79" s="33" t="n">
        <f aca="false">In_AtRisk_Rate/Days_In_Year*(1-BK19)*(BK78*BK$5-(BK$4+1)*BK57-BK77)*(BK$4&lt;=In_COD)</f>
        <v>0</v>
      </c>
      <c r="BL79" s="33" t="n">
        <f aca="false">In_AtRisk_Rate/Days_In_Year*(1-BL19)*(BL78*BL$5-(BL$4+1)*BL57-BL77)*(BL$4&lt;=In_COD)</f>
        <v>0</v>
      </c>
      <c r="BM79" s="33" t="n">
        <f aca="false">In_AtRisk_Rate/Days_In_Year*(1-BM19)*(BM78*BM$5-(BM$4+1)*BM57-BM77)*(BM$4&lt;=In_COD)</f>
        <v>0</v>
      </c>
      <c r="BN79" s="33" t="n">
        <f aca="false">In_AtRisk_Rate/Days_In_Year*(1-BN19)*(BN78*BN$5-(BN$4+1)*BN57-BN77)*(BN$4&lt;=In_COD)</f>
        <v>0</v>
      </c>
      <c r="BO79" s="33" t="n">
        <f aca="false">In_AtRisk_Rate/Days_In_Year*(1-BO19)*(BO78*BO$5-(BO$4+1)*BO57-BO77)*(BO$4&lt;=In_COD)</f>
        <v>0</v>
      </c>
      <c r="BP79" s="33" t="n">
        <f aca="false">In_AtRisk_Rate/Days_In_Year*(1-BP19)*(BP78*BP$5-(BP$4+1)*BP57-BP77)*(BP$4&lt;=In_COD)</f>
        <v>0</v>
      </c>
      <c r="BQ79" s="33" t="n">
        <f aca="false">In_AtRisk_Rate/Days_In_Year*(1-BQ19)*(BQ78*BQ$5-(BQ$4+1)*BQ57-BQ77)*(BQ$4&lt;=In_COD)</f>
        <v>0</v>
      </c>
      <c r="BR79" s="33" t="n">
        <f aca="false">In_AtRisk_Rate/Days_In_Year*(1-BR19)*(BR78*BR$5-(BR$4+1)*BR57-BR77)*(BR$4&lt;=In_COD)</f>
        <v>0</v>
      </c>
      <c r="BS79" s="33" t="n">
        <f aca="false">In_AtRisk_Rate/Days_In_Year*(1-BS19)*(BS78*BS$5-(BS$4+1)*BS57-BS77)*(BS$4&lt;=In_COD)</f>
        <v>0</v>
      </c>
      <c r="BT79" s="33" t="n">
        <f aca="false">In_AtRisk_Rate/Days_In_Year*(1-BT19)*(BT78*BT$5-(BT$4+1)*BT57-BT77)*(BT$4&lt;=In_COD)</f>
        <v>0</v>
      </c>
      <c r="BU79" s="33" t="n">
        <f aca="false">In_AtRisk_Rate/Days_In_Year*(1-BU19)*(BU78*BU$5-(BU$4+1)*BU57-BU77)*(BU$4&lt;=In_COD)</f>
        <v>0</v>
      </c>
      <c r="BV79" s="33" t="n">
        <f aca="false">In_AtRisk_Rate/Days_In_Year*(1-BV19)*(BV78*BV$5-(BV$4+1)*BV57-BV77)*(BV$4&lt;=In_COD)</f>
        <v>0</v>
      </c>
      <c r="BW79" s="33" t="n">
        <f aca="false">In_AtRisk_Rate/Days_In_Year*(1-BW19)*(BW78*BW$5-(BW$4+1)*BW57-BW77)*(BW$4&lt;=In_COD)</f>
        <v>0</v>
      </c>
      <c r="BX79" s="33" t="n">
        <f aca="false">In_AtRisk_Rate/Days_In_Year*(1-BX19)*(BX78*BX$5-(BX$4+1)*BX57-BX77)*(BX$4&lt;=In_COD)</f>
        <v>0</v>
      </c>
      <c r="BY79" s="33" t="n">
        <f aca="false">In_AtRisk_Rate/Days_In_Year*(1-BY19)*(BY78*BY$5-(BY$4+1)*BY57-BY77)*(BY$4&lt;=In_COD)</f>
        <v>0</v>
      </c>
      <c r="BZ79" s="33" t="n">
        <f aca="false">In_AtRisk_Rate/Days_In_Year*(1-BZ19)*(BZ78*BZ$5-(BZ$4+1)*BZ57-BZ77)*(BZ$4&lt;=In_COD)</f>
        <v>0</v>
      </c>
      <c r="CA79" s="33" t="n">
        <f aca="false">In_AtRisk_Rate/Days_In_Year*(1-CA19)*(CA78*CA$5-(CA$4+1)*CA57-CA77)*(CA$4&lt;=In_COD)</f>
        <v>0</v>
      </c>
      <c r="CB79" s="33" t="n">
        <f aca="false">In_AtRisk_Rate/Days_In_Year*(1-CB19)*(CB78*CB$5-(CB$4+1)*CB57-CB77)*(CB$4&lt;=In_COD)</f>
        <v>0</v>
      </c>
      <c r="CC79" s="33" t="n">
        <f aca="false">In_AtRisk_Rate/Days_In_Year*(1-CC19)*(CC78*CC$5-(CC$4+1)*CC57-CC77)*(CC$4&lt;=In_COD)</f>
        <v>0</v>
      </c>
      <c r="CD79" s="33" t="n">
        <f aca="false">In_AtRisk_Rate/Days_In_Year*(1-CD19)*(CD78*CD$5-(CD$4+1)*CD57-CD77)*(CD$4&lt;=In_COD)</f>
        <v>0</v>
      </c>
      <c r="CE79" s="33" t="n">
        <f aca="false">In_AtRisk_Rate/Days_In_Year*(1-CE19)*(CE78*CE$5-(CE$4+1)*CE57-CE77)*(CE$4&lt;=In_COD)</f>
        <v>0</v>
      </c>
      <c r="CF79" s="33" t="n">
        <f aca="false">In_AtRisk_Rate/Days_In_Year*(1-CF19)*(CF78*CF$5-(CF$4+1)*CF57-CF77)*(CF$4&lt;=In_COD)</f>
        <v>0</v>
      </c>
      <c r="CG79" s="33" t="n">
        <f aca="false">In_AtRisk_Rate/Days_In_Year*(1-CG19)*(CG78*CG$5-(CG$4+1)*CG57-CG77)*(CG$4&lt;=In_COD)</f>
        <v>0</v>
      </c>
      <c r="CH79" s="33" t="n">
        <f aca="false">In_AtRisk_Rate/Days_In_Year*(1-CH19)*(CH78*CH$5-(CH$4+1)*CH57-CH77)*(CH$4&lt;=In_COD)</f>
        <v>0</v>
      </c>
      <c r="CI79" s="33" t="n">
        <f aca="false">In_AtRisk_Rate/Days_In_Year*(1-CI19)*(CI78*CI$5-(CI$4+1)*CI57-CI77)*(CI$4&lt;=In_COD)</f>
        <v>0</v>
      </c>
      <c r="CJ79" s="33" t="n">
        <f aca="false">In_AtRisk_Rate/Days_In_Year*(1-CJ19)*(CJ78*CJ$5-(CJ$4+1)*CJ57-CJ77)*(CJ$4&lt;=In_COD)</f>
        <v>0</v>
      </c>
      <c r="CK79" s="33" t="n">
        <f aca="false">In_AtRisk_Rate/Days_In_Year*(1-CK19)*(CK78*CK$5-(CK$4+1)*CK57-CK77)*(CK$4&lt;=In_COD)</f>
        <v>0</v>
      </c>
      <c r="CL79" s="33" t="n">
        <f aca="false">In_AtRisk_Rate/Days_In_Year*(1-CL19)*(CL78*CL$5-(CL$4+1)*CL57-CL77)*(CL$4&lt;=In_COD)</f>
        <v>0</v>
      </c>
      <c r="CM79" s="33" t="n">
        <f aca="false">In_AtRisk_Rate/Days_In_Year*(1-CM19)*(CM78*CM$5-(CM$4+1)*CM57-CM77)*(CM$4&lt;=In_COD)</f>
        <v>0</v>
      </c>
      <c r="CN79" s="33" t="n">
        <f aca="false">In_AtRisk_Rate/Days_In_Year*(1-CN19)*(CN78*CN$5-(CN$4+1)*CN57-CN77)*(CN$4&lt;=In_COD)</f>
        <v>0</v>
      </c>
      <c r="CO79" s="33" t="n">
        <f aca="false">In_AtRisk_Rate/Days_In_Year*(1-CO19)*(CO78*CO$5-(CO$4+1)*CO57-CO77)*(CO$4&lt;=In_COD)</f>
        <v>0</v>
      </c>
      <c r="CP79" s="33" t="n">
        <f aca="false">In_AtRisk_Rate/Days_In_Year*(1-CP19)*(CP78*CP$5-(CP$4+1)*CP57-CP77)*(CP$4&lt;=In_COD)</f>
        <v>0</v>
      </c>
      <c r="CQ79" s="33" t="n">
        <f aca="false">In_AtRisk_Rate/Days_In_Year*(1-CQ19)*(CQ78*CQ$5-(CQ$4+1)*CQ57-CQ77)*(CQ$4&lt;=In_COD)</f>
        <v>0</v>
      </c>
      <c r="CR79" s="33" t="n">
        <f aca="false">In_AtRisk_Rate/Days_In_Year*(1-CR19)*(CR78*CR$5-(CR$4+1)*CR57-CR77)*(CR$4&lt;=In_COD)</f>
        <v>0</v>
      </c>
      <c r="CS79" s="33" t="n">
        <f aca="false">In_AtRisk_Rate/Days_In_Year*(1-CS19)*(CS78*CS$5-(CS$4+1)*CS57-CS77)*(CS$4&lt;=In_COD)</f>
        <v>0</v>
      </c>
      <c r="CT79" s="33" t="n">
        <f aca="false">In_AtRisk_Rate/Days_In_Year*(1-CT19)*(CT78*CT$5-(CT$4+1)*CT57-CT77)*(CT$4&lt;=In_COD)</f>
        <v>0</v>
      </c>
      <c r="CU79" s="33" t="n">
        <f aca="false">In_AtRisk_Rate/Days_In_Year*(1-CU19)*(CU78*CU$5-(CU$4+1)*CU57-CU77)*(CU$4&lt;=In_COD)</f>
        <v>0</v>
      </c>
      <c r="CV79" s="33" t="n">
        <f aca="false">In_AtRisk_Rate/Days_In_Year*(1-CV19)*(CV78*CV$5-(CV$4+1)*CV57-CV77)*(CV$4&lt;=In_COD)</f>
        <v>0</v>
      </c>
      <c r="CW79" s="33" t="n">
        <f aca="false">In_AtRisk_Rate/Days_In_Year*(1-CW19)*(CW78*CW$5-(CW$4+1)*CW57-CW77)*(CW$4&lt;=In_COD)</f>
        <v>0</v>
      </c>
      <c r="CX79" s="33" t="n">
        <f aca="false">In_AtRisk_Rate/Days_In_Year*(1-CX19)*(CX78*CX$5-(CX$4+1)*CX57-CX77)*(CX$4&lt;=In_COD)</f>
        <v>0</v>
      </c>
      <c r="CY79" s="33" t="n">
        <f aca="false">In_AtRisk_Rate/Days_In_Year*(1-CY19)*(CY78*CY$5-(CY$4+1)*CY57-CY77)*(CY$4&lt;=In_COD)</f>
        <v>0</v>
      </c>
      <c r="CZ79" s="33" t="n">
        <f aca="false">In_AtRisk_Rate/Days_In_Year*(1-CZ19)*(CZ78*CZ$5-(CZ$4+1)*CZ57-CZ77)*(CZ$4&lt;=In_COD)</f>
        <v>0</v>
      </c>
      <c r="DA79" s="33" t="n">
        <f aca="false">In_AtRisk_Rate/Days_In_Year*(1-DA19)*(DA78*DA$5-(DA$4+1)*DA57-DA77)*(DA$4&lt;=In_COD)</f>
        <v>0</v>
      </c>
      <c r="DB79" s="33" t="n">
        <f aca="false">In_AtRisk_Rate/Days_In_Year*(1-DB19)*(DB78*DB$5-(DB$4+1)*DB57-DB77)*(DB$4&lt;=In_COD)</f>
        <v>0</v>
      </c>
      <c r="DC79" s="33" t="n">
        <f aca="false">In_AtRisk_Rate/Days_In_Year*(1-DC19)*(DC78*DC$5-(DC$4+1)*DC57-DC77)*(DC$4&lt;=In_COD)</f>
        <v>0</v>
      </c>
      <c r="DD79" s="33" t="n">
        <f aca="false">In_AtRisk_Rate/Days_In_Year*(1-DD19)*(DD78*DD$5-(DD$4+1)*DD57-DD77)*(DD$4&lt;=In_COD)</f>
        <v>0</v>
      </c>
      <c r="DE79" s="33" t="n">
        <f aca="false">In_AtRisk_Rate/Days_In_Year*(1-DE19)*(DE78*DE$5-(DE$4+1)*DE57-DE77)*(DE$4&lt;=In_COD)</f>
        <v>0</v>
      </c>
      <c r="DF79" s="33" t="n">
        <f aca="false">In_AtRisk_Rate/Days_In_Year*(1-DF19)*(DF78*DF$5-(DF$4+1)*DF57-DF77)*(DF$4&lt;=In_COD)</f>
        <v>0</v>
      </c>
      <c r="DG79" s="33" t="n">
        <f aca="false">In_AtRisk_Rate/Days_In_Year*(1-DG19)*(DG78*DG$5-(DG$4+1)*DG57-DG77)*(DG$4&lt;=In_COD)</f>
        <v>0</v>
      </c>
      <c r="DH79" s="33" t="n">
        <f aca="false">In_AtRisk_Rate/Days_In_Year*(1-DH19)*(DH78*DH$5-(DH$4+1)*DH57-DH77)*(DH$4&lt;=In_COD)</f>
        <v>0</v>
      </c>
      <c r="DI79" s="33" t="n">
        <f aca="false">In_AtRisk_Rate/Days_In_Year*(1-DI19)*(DI78*DI$5-(DI$4+1)*DI57-DI77)*(DI$4&lt;=In_COD)</f>
        <v>0</v>
      </c>
      <c r="DJ79" s="33" t="n">
        <f aca="false">In_AtRisk_Rate/Days_In_Year*(1-DJ19)*(DJ78*DJ$5-(DJ$4+1)*DJ57-DJ77)*(DJ$4&lt;=In_COD)</f>
        <v>0</v>
      </c>
      <c r="DK79" s="33" t="n">
        <f aca="false">In_AtRisk_Rate/Days_In_Year*(1-DK19)*(DK78*DK$5-(DK$4+1)*DK57-DK77)*(DK$4&lt;=In_COD)</f>
        <v>0</v>
      </c>
      <c r="DL79" s="33" t="n">
        <f aca="false">In_AtRisk_Rate/Days_In_Year*(1-DL19)*(DL78*DL$5-(DL$4+1)*DL57-DL77)*(DL$4&lt;=In_COD)</f>
        <v>0</v>
      </c>
      <c r="DM79" s="33" t="n">
        <f aca="false">In_AtRisk_Rate/Days_In_Year*(1-DM19)*(DM78*DM$5-(DM$4+1)*DM57-DM77)*(DM$4&lt;=In_COD)</f>
        <v>0</v>
      </c>
      <c r="DN79" s="33" t="n">
        <f aca="false">In_AtRisk_Rate/Days_In_Year*(1-DN19)*(DN78*DN$5-(DN$4+1)*DN57-DN77)*(DN$4&lt;=In_COD)</f>
        <v>0</v>
      </c>
      <c r="DO79" s="33" t="n">
        <f aca="false">In_AtRisk_Rate/Days_In_Year*(1-DO19)*(DO78*DO$5-(DO$4+1)*DO57-DO77)*(DO$4&lt;=In_COD)</f>
        <v>0</v>
      </c>
      <c r="DP79" s="33" t="n">
        <f aca="false">In_AtRisk_Rate/Days_In_Year*(1-DP19)*(DP78*DP$5-(DP$4+1)*DP57-DP77)*(DP$4&lt;=In_COD)</f>
        <v>0</v>
      </c>
      <c r="DQ79" s="33" t="n">
        <f aca="false">In_AtRisk_Rate/Days_In_Year*(1-DQ19)*(DQ78*DQ$5-(DQ$4+1)*DQ57-DQ77)*(DQ$4&lt;=In_COD)</f>
        <v>0</v>
      </c>
      <c r="DR79" s="33" t="n">
        <f aca="false">In_AtRisk_Rate/Days_In_Year*(1-DR19)*(DR78*DR$5-(DR$4+1)*DR57-DR77)*(DR$4&lt;=In_COD)</f>
        <v>0</v>
      </c>
      <c r="DS79" s="33" t="n">
        <f aca="false">In_AtRisk_Rate/Days_In_Year*(1-DS19)*(DS78*DS$5-(DS$4+1)*DS57-DS77)*(DS$4&lt;=In_COD)</f>
        <v>0</v>
      </c>
      <c r="DT79" s="33" t="n">
        <f aca="false">In_AtRisk_Rate/Days_In_Year*(1-DT19)*(DT78*DT$5-(DT$4+1)*DT57-DT77)*(DT$4&lt;=In_COD)</f>
        <v>0</v>
      </c>
      <c r="DU79" s="33" t="n">
        <f aca="false">In_AtRisk_Rate/Days_In_Year*(1-DU19)*(DU78*DU$5-(DU$4+1)*DU57-DU77)*(DU$4&lt;=In_COD)</f>
        <v>0</v>
      </c>
      <c r="DV79" s="33" t="n">
        <f aca="false">In_AtRisk_Rate/Days_In_Year*(1-DV19)*(DV78*DV$5-(DV$4+1)*DV57-DV77)*(DV$4&lt;=In_COD)</f>
        <v>0</v>
      </c>
      <c r="DW79" s="33" t="n">
        <f aca="false">In_AtRisk_Rate/Days_In_Year*(1-DW19)*(DW78*DW$5-(DW$4+1)*DW57-DW77)*(DW$4&lt;=In_COD)</f>
        <v>0</v>
      </c>
      <c r="DX79" s="33" t="n">
        <f aca="false">In_AtRisk_Rate/Days_In_Year*(1-DX19)*(DX78*DX$5-(DX$4+1)*DX57-DX77)*(DX$4&lt;=In_COD)</f>
        <v>0</v>
      </c>
      <c r="DY79" s="33" t="n">
        <f aca="false">In_AtRisk_Rate/Days_In_Year*(1-DY19)*(DY78*DY$5-(DY$4+1)*DY57-DY77)*(DY$4&lt;=In_COD)</f>
        <v>0</v>
      </c>
      <c r="DZ79" s="33" t="n">
        <f aca="false">In_AtRisk_Rate/Days_In_Year*(1-DZ19)*(DZ78*DZ$5-(DZ$4+1)*DZ57-DZ77)*(DZ$4&lt;=In_COD)</f>
        <v>0</v>
      </c>
      <c r="EA79" s="33" t="n">
        <f aca="false">In_AtRisk_Rate/Days_In_Year*(1-EA19)*(EA78*EA$5-(EA$4+1)*EA57-EA77)*(EA$4&lt;=In_COD)</f>
        <v>0</v>
      </c>
      <c r="EB79" s="33" t="n">
        <f aca="false">In_AtRisk_Rate/Days_In_Year*(1-EB19)*(EB78*EB$5-(EB$4+1)*EB57-EB77)*(EB$4&lt;=In_COD)</f>
        <v>0</v>
      </c>
      <c r="EC79" s="33" t="n">
        <f aca="false">In_AtRisk_Rate/Days_In_Year*(1-EC19)*(EC78*EC$5-(EC$4+1)*EC57-EC77)*(EC$4&lt;=In_COD)</f>
        <v>0</v>
      </c>
      <c r="ED79" s="33" t="n">
        <f aca="false">In_AtRisk_Rate/Days_In_Year*(1-ED19)*(ED78*ED$5-(ED$4+1)*ED57-ED77)*(ED$4&lt;=In_COD)</f>
        <v>0</v>
      </c>
      <c r="EE79" s="33" t="n">
        <f aca="false">In_AtRisk_Rate/Days_In_Year*(1-EE19)*(EE78*EE$5-(EE$4+1)*EE57-EE77)*(EE$4&lt;=In_COD)</f>
        <v>0</v>
      </c>
      <c r="EF79" s="33" t="n">
        <f aca="false">In_AtRisk_Rate/Days_In_Year*(1-EF19)*(EF78*EF$5-(EF$4+1)*EF57-EF77)*(EF$4&lt;=In_COD)</f>
        <v>0</v>
      </c>
      <c r="EG79" s="33" t="n">
        <f aca="false">In_AtRisk_Rate/Days_In_Year*(1-EG19)*(EG78*EG$5-(EG$4+1)*EG57-EG77)*(EG$4&lt;=In_COD)</f>
        <v>0</v>
      </c>
      <c r="EH79" s="33" t="n">
        <f aca="false">In_AtRisk_Rate/Days_In_Year*(1-EH19)*(EH78*EH$5-(EH$4+1)*EH57-EH77)*(EH$4&lt;=In_COD)</f>
        <v>0</v>
      </c>
      <c r="EI79" s="33" t="n">
        <f aca="false">In_AtRisk_Rate/Days_In_Year*(1-EI19)*(EI78*EI$5-(EI$4+1)*EI57-EI77)*(EI$4&lt;=In_COD)</f>
        <v>0</v>
      </c>
      <c r="EJ79" s="33" t="n">
        <f aca="false">In_AtRisk_Rate/Days_In_Year*(1-EJ19)*(EJ78*EJ$5-(EJ$4+1)*EJ57-EJ77)*(EJ$4&lt;=In_COD)</f>
        <v>0</v>
      </c>
      <c r="EK79" s="33" t="n">
        <f aca="false">In_AtRisk_Rate/Days_In_Year*(1-EK19)*(EK78*EK$5-(EK$4+1)*EK57-EK77)*(EK$4&lt;=In_COD)</f>
        <v>0</v>
      </c>
      <c r="EL79" s="33" t="n">
        <f aca="false">In_AtRisk_Rate/Days_In_Year*(1-EL19)*(EL78*EL$5-(EL$4+1)*EL57-EL77)*(EL$4&lt;=In_COD)</f>
        <v>0</v>
      </c>
      <c r="EM79" s="33" t="n">
        <f aca="false">In_AtRisk_Rate/Days_In_Year*(1-EM19)*(EM78*EM$5-(EM$4+1)*EM57-EM77)*(EM$4&lt;=In_COD)</f>
        <v>0</v>
      </c>
      <c r="EN79" s="33" t="n">
        <f aca="false">In_AtRisk_Rate/Days_In_Year*(1-EN19)*(EN78*EN$5-(EN$4+1)*EN57-EN77)*(EN$4&lt;=In_COD)</f>
        <v>0</v>
      </c>
      <c r="EO79" s="33" t="n">
        <f aca="false">In_AtRisk_Rate/Days_In_Year*(1-EO19)*(EO78*EO$5-(EO$4+1)*EO57-EO77)*(EO$4&lt;=In_COD)</f>
        <v>0</v>
      </c>
      <c r="EP79" s="33" t="n">
        <f aca="false">In_AtRisk_Rate/Days_In_Year*(1-EP19)*(EP78*EP$5-(EP$4+1)*EP57-EP77)*(EP$4&lt;=In_COD)</f>
        <v>0</v>
      </c>
      <c r="EQ79" s="33" t="n">
        <f aca="false">In_AtRisk_Rate/Days_In_Year*(1-EQ19)*(EQ78*EQ$5-(EQ$4+1)*EQ57-EQ77)*(EQ$4&lt;=In_COD)</f>
        <v>0</v>
      </c>
      <c r="ER79" s="33" t="n">
        <f aca="false">In_AtRisk_Rate/Days_In_Year*(1-ER19)*(ER78*ER$5-(ER$4+1)*ER57-ER77)*(ER$4&lt;=In_COD)</f>
        <v>0</v>
      </c>
      <c r="ES79" s="33" t="n">
        <f aca="false">In_AtRisk_Rate/Days_In_Year*(1-ES19)*(ES78*ES$5-(ES$4+1)*ES57-ES77)*(ES$4&lt;=In_COD)</f>
        <v>0</v>
      </c>
      <c r="ET79" s="33" t="n">
        <f aca="false">In_AtRisk_Rate/Days_In_Year*(1-ET19)*(ET78*ET$5-(ET$4+1)*ET57-ET77)*(ET$4&lt;=In_COD)</f>
        <v>0</v>
      </c>
    </row>
    <row r="80" customFormat="false" ht="15" hidden="false" customHeight="false" outlineLevel="0" collapsed="false">
      <c r="C80" s="0" t="s">
        <v>536</v>
      </c>
      <c r="D80" s="11" t="s">
        <v>253</v>
      </c>
      <c r="I80" s="33" t="n">
        <f aca="false">SUM(J80:ET80)</f>
        <v>2570.93661832238</v>
      </c>
      <c r="J80" s="33" t="n">
        <f aca="false">J20*SUMIF($J$7:J$7,J$7,$J79:J79)</f>
        <v>0</v>
      </c>
      <c r="K80" s="33" t="n">
        <f aca="false">K20*SUMIF($J$7:K$7,K$7,$J79:K79)</f>
        <v>8.99939200600482</v>
      </c>
      <c r="L80" s="33" t="n">
        <f aca="false">L20*SUMIF($J$7:L$7,L$7,$J79:L79)</f>
        <v>0</v>
      </c>
      <c r="M80" s="33" t="n">
        <f aca="false">M20*SUMIF($J$7:M$7,M$7,$J79:M79)</f>
        <v>0</v>
      </c>
      <c r="N80" s="33" t="n">
        <f aca="false">N20*SUMIF($J$7:N$7,N$7,$J79:N79)</f>
        <v>0</v>
      </c>
      <c r="O80" s="33" t="n">
        <f aca="false">O20*SUMIF($J$7:O$7,O$7,$J79:O79)</f>
        <v>147.186477763184</v>
      </c>
      <c r="P80" s="33" t="n">
        <f aca="false">P20*SUMIF($J$7:P$7,P$7,$J79:P79)</f>
        <v>0</v>
      </c>
      <c r="Q80" s="33" t="n">
        <f aca="false">Q20*SUMIF($J$7:Q$7,Q$7,$J79:Q79)</f>
        <v>0</v>
      </c>
      <c r="R80" s="33" t="n">
        <f aca="false">R20*SUMIF($J$7:R$7,R$7,$J79:R79)</f>
        <v>0</v>
      </c>
      <c r="S80" s="33" t="n">
        <f aca="false">S20*SUMIF($J$7:S$7,S$7,$J79:S79)</f>
        <v>487.461555603092</v>
      </c>
      <c r="T80" s="33" t="n">
        <f aca="false">T20*SUMIF($J$7:T$7,T$7,$J79:T79)</f>
        <v>0</v>
      </c>
      <c r="U80" s="33" t="n">
        <f aca="false">U20*SUMIF($J$7:U$7,U$7,$J79:U79)</f>
        <v>0</v>
      </c>
      <c r="V80" s="33" t="n">
        <f aca="false">V20*SUMIF($J$7:V$7,V$7,$J79:V79)</f>
        <v>0</v>
      </c>
      <c r="W80" s="33" t="n">
        <f aca="false">W20*SUMIF($J$7:W$7,W$7,$J79:W79)</f>
        <v>361.79720103671</v>
      </c>
      <c r="X80" s="33" t="n">
        <f aca="false">X20*SUMIF($J$7:X$7,X$7,$J79:X79)</f>
        <v>0</v>
      </c>
      <c r="Y80" s="33" t="n">
        <f aca="false">Y20*SUMIF($J$7:Y$7,Y$7,$J79:Y79)</f>
        <v>0</v>
      </c>
      <c r="Z80" s="33" t="n">
        <f aca="false">Z20*SUMIF($J$7:Z$7,Z$7,$J79:Z79)</f>
        <v>0</v>
      </c>
      <c r="AA80" s="33" t="n">
        <f aca="false">AA20*SUMIF($J$7:AA$7,AA$7,$J79:AA79)</f>
        <v>825.013827675984</v>
      </c>
      <c r="AB80" s="33" t="n">
        <f aca="false">AB20*SUMIF($J$7:AB$7,AB$7,$J79:AB79)</f>
        <v>0</v>
      </c>
      <c r="AC80" s="33" t="n">
        <f aca="false">AC20*SUMIF($J$7:AC$7,AC$7,$J79:AC79)</f>
        <v>0</v>
      </c>
      <c r="AD80" s="33" t="n">
        <f aca="false">AD20*SUMIF($J$7:AD$7,AD$7,$J79:AD79)</f>
        <v>0</v>
      </c>
      <c r="AE80" s="33" t="n">
        <f aca="false">AE20*SUMIF($J$7:AE$7,AE$7,$J79:AE79)</f>
        <v>740.478164237403</v>
      </c>
      <c r="AF80" s="33" t="n">
        <f aca="false">AF20*SUMIF($J$7:AF$7,AF$7,$J79:AF79)</f>
        <v>0</v>
      </c>
      <c r="AG80" s="33" t="n">
        <f aca="false">AG20*SUMIF($J$7:AG$7,AG$7,$J79:AG79)</f>
        <v>0</v>
      </c>
      <c r="AH80" s="33" t="n">
        <f aca="false">AH20*SUMIF($J$7:AH$7,AH$7,$J79:AH79)</f>
        <v>0</v>
      </c>
      <c r="AI80" s="33" t="n">
        <f aca="false">AI20*SUMIF($J$7:AI$7,AI$7,$J79:AI79)</f>
        <v>0</v>
      </c>
      <c r="AJ80" s="33" t="n">
        <f aca="false">AJ20*SUMIF($J$7:AJ$7,AJ$7,$J79:AJ79)</f>
        <v>0</v>
      </c>
      <c r="AK80" s="33" t="n">
        <f aca="false">AK20*SUMIF($J$7:AK$7,AK$7,$J79:AK79)</f>
        <v>0</v>
      </c>
      <c r="AL80" s="33" t="n">
        <f aca="false">AL20*SUMIF($J$7:AL$7,AL$7,$J79:AL79)</f>
        <v>0</v>
      </c>
      <c r="AM80" s="33" t="n">
        <f aca="false">AM20*SUMIF($J$7:AM$7,AM$7,$J79:AM79)</f>
        <v>0</v>
      </c>
      <c r="AN80" s="33" t="n">
        <f aca="false">AN20*SUMIF($J$7:AN$7,AN$7,$J79:AN79)</f>
        <v>0</v>
      </c>
      <c r="AO80" s="33" t="n">
        <f aca="false">AO20*SUMIF($J$7:AO$7,AO$7,$J79:AO79)</f>
        <v>0</v>
      </c>
      <c r="AP80" s="33" t="n">
        <f aca="false">AP20*SUMIF($J$7:AP$7,AP$7,$J79:AP79)</f>
        <v>0</v>
      </c>
      <c r="AQ80" s="33" t="n">
        <f aca="false">AQ20*SUMIF($J$7:AQ$7,AQ$7,$J79:AQ79)</f>
        <v>0</v>
      </c>
      <c r="AR80" s="33" t="n">
        <f aca="false">AR20*SUMIF($J$7:AR$7,AR$7,$J79:AR79)</f>
        <v>0</v>
      </c>
      <c r="AS80" s="33" t="n">
        <f aca="false">AS20*SUMIF($J$7:AS$7,AS$7,$J79:AS79)</f>
        <v>0</v>
      </c>
      <c r="AT80" s="33" t="n">
        <f aca="false">AT20*SUMIF($J$7:AT$7,AT$7,$J79:AT79)</f>
        <v>0</v>
      </c>
      <c r="AU80" s="33" t="n">
        <f aca="false">AU20*SUMIF($J$7:AU$7,AU$7,$J79:AU79)</f>
        <v>0</v>
      </c>
      <c r="AV80" s="33" t="n">
        <f aca="false">AV20*SUMIF($J$7:AV$7,AV$7,$J79:AV79)</f>
        <v>0</v>
      </c>
      <c r="AW80" s="33" t="n">
        <f aca="false">AW20*SUMIF($J$7:AW$7,AW$7,$J79:AW79)</f>
        <v>0</v>
      </c>
      <c r="AX80" s="33" t="n">
        <f aca="false">AX20*SUMIF($J$7:AX$7,AX$7,$J79:AX79)</f>
        <v>0</v>
      </c>
      <c r="AY80" s="33" t="n">
        <f aca="false">AY20*SUMIF($J$7:AY$7,AY$7,$J79:AY79)</f>
        <v>0</v>
      </c>
      <c r="AZ80" s="33" t="n">
        <f aca="false">AZ20*SUMIF($J$7:AZ$7,AZ$7,$J79:AZ79)</f>
        <v>0</v>
      </c>
      <c r="BA80" s="33" t="n">
        <f aca="false">BA20*SUMIF($J$7:BA$7,BA$7,$J79:BA79)</f>
        <v>0</v>
      </c>
      <c r="BB80" s="33" t="n">
        <f aca="false">BB20*SUMIF($J$7:BB$7,BB$7,$J79:BB79)</f>
        <v>0</v>
      </c>
      <c r="BC80" s="33" t="n">
        <f aca="false">BC20*SUMIF($J$7:BC$7,BC$7,$J79:BC79)</f>
        <v>0</v>
      </c>
      <c r="BD80" s="33" t="n">
        <f aca="false">BD20*SUMIF($J$7:BD$7,BD$7,$J79:BD79)</f>
        <v>0</v>
      </c>
      <c r="BE80" s="33" t="n">
        <f aca="false">BE20*SUMIF($J$7:BE$7,BE$7,$J79:BE79)</f>
        <v>0</v>
      </c>
      <c r="BF80" s="33" t="n">
        <f aca="false">BF20*SUMIF($J$7:BF$7,BF$7,$J79:BF79)</f>
        <v>0</v>
      </c>
      <c r="BG80" s="33" t="n">
        <f aca="false">BG20*SUMIF($J$7:BG$7,BG$7,$J79:BG79)</f>
        <v>0</v>
      </c>
      <c r="BH80" s="33" t="n">
        <f aca="false">BH20*SUMIF($J$7:BH$7,BH$7,$J79:BH79)</f>
        <v>0</v>
      </c>
      <c r="BI80" s="33" t="n">
        <f aca="false">BI20*SUMIF($J$7:BI$7,BI$7,$J79:BI79)</f>
        <v>0</v>
      </c>
      <c r="BJ80" s="33" t="n">
        <f aca="false">BJ20*SUMIF($J$7:BJ$7,BJ$7,$J79:BJ79)</f>
        <v>0</v>
      </c>
      <c r="BK80" s="33" t="n">
        <f aca="false">BK20*SUMIF($J$7:BK$7,BK$7,$J79:BK79)</f>
        <v>0</v>
      </c>
      <c r="BL80" s="33" t="n">
        <f aca="false">BL20*SUMIF($J$7:BL$7,BL$7,$J79:BL79)</f>
        <v>0</v>
      </c>
      <c r="BM80" s="33" t="n">
        <f aca="false">BM20*SUMIF($J$7:BM$7,BM$7,$J79:BM79)</f>
        <v>0</v>
      </c>
      <c r="BN80" s="33" t="n">
        <f aca="false">BN20*SUMIF($J$7:BN$7,BN$7,$J79:BN79)</f>
        <v>0</v>
      </c>
      <c r="BO80" s="33" t="n">
        <f aca="false">BO20*SUMIF($J$7:BO$7,BO$7,$J79:BO79)</f>
        <v>0</v>
      </c>
      <c r="BP80" s="33" t="n">
        <f aca="false">BP20*SUMIF($J$7:BP$7,BP$7,$J79:BP79)</f>
        <v>0</v>
      </c>
      <c r="BQ80" s="33" t="n">
        <f aca="false">BQ20*SUMIF($J$7:BQ$7,BQ$7,$J79:BQ79)</f>
        <v>0</v>
      </c>
      <c r="BR80" s="33" t="n">
        <f aca="false">BR20*SUMIF($J$7:BR$7,BR$7,$J79:BR79)</f>
        <v>0</v>
      </c>
      <c r="BS80" s="33" t="n">
        <f aca="false">BS20*SUMIF($J$7:BS$7,BS$7,$J79:BS79)</f>
        <v>0</v>
      </c>
      <c r="BT80" s="33" t="n">
        <f aca="false">BT20*SUMIF($J$7:BT$7,BT$7,$J79:BT79)</f>
        <v>0</v>
      </c>
      <c r="BU80" s="33" t="n">
        <f aca="false">BU20*SUMIF($J$7:BU$7,BU$7,$J79:BU79)</f>
        <v>0</v>
      </c>
      <c r="BV80" s="33" t="n">
        <f aca="false">BV20*SUMIF($J$7:BV$7,BV$7,$J79:BV79)</f>
        <v>0</v>
      </c>
      <c r="BW80" s="33" t="n">
        <f aca="false">BW20*SUMIF($J$7:BW$7,BW$7,$J79:BW79)</f>
        <v>0</v>
      </c>
      <c r="BX80" s="33" t="n">
        <f aca="false">BX20*SUMIF($J$7:BX$7,BX$7,$J79:BX79)</f>
        <v>0</v>
      </c>
      <c r="BY80" s="33" t="n">
        <f aca="false">BY20*SUMIF($J$7:BY$7,BY$7,$J79:BY79)</f>
        <v>0</v>
      </c>
      <c r="BZ80" s="33" t="n">
        <f aca="false">BZ20*SUMIF($J$7:BZ$7,BZ$7,$J79:BZ79)</f>
        <v>0</v>
      </c>
      <c r="CA80" s="33" t="n">
        <f aca="false">CA20*SUMIF($J$7:CA$7,CA$7,$J79:CA79)</f>
        <v>0</v>
      </c>
      <c r="CB80" s="33" t="n">
        <f aca="false">CB20*SUMIF($J$7:CB$7,CB$7,$J79:CB79)</f>
        <v>0</v>
      </c>
      <c r="CC80" s="33" t="n">
        <f aca="false">CC20*SUMIF($J$7:CC$7,CC$7,$J79:CC79)</f>
        <v>0</v>
      </c>
      <c r="CD80" s="33" t="n">
        <f aca="false">CD20*SUMIF($J$7:CD$7,CD$7,$J79:CD79)</f>
        <v>0</v>
      </c>
      <c r="CE80" s="33" t="n">
        <f aca="false">CE20*SUMIF($J$7:CE$7,CE$7,$J79:CE79)</f>
        <v>0</v>
      </c>
      <c r="CF80" s="33" t="n">
        <f aca="false">CF20*SUMIF($J$7:CF$7,CF$7,$J79:CF79)</f>
        <v>0</v>
      </c>
      <c r="CG80" s="33" t="n">
        <f aca="false">CG20*SUMIF($J$7:CG$7,CG$7,$J79:CG79)</f>
        <v>0</v>
      </c>
      <c r="CH80" s="33" t="n">
        <f aca="false">CH20*SUMIF($J$7:CH$7,CH$7,$J79:CH79)</f>
        <v>0</v>
      </c>
      <c r="CI80" s="33" t="n">
        <f aca="false">CI20*SUMIF($J$7:CI$7,CI$7,$J79:CI79)</f>
        <v>0</v>
      </c>
      <c r="CJ80" s="33" t="n">
        <f aca="false">CJ20*SUMIF($J$7:CJ$7,CJ$7,$J79:CJ79)</f>
        <v>0</v>
      </c>
      <c r="CK80" s="33" t="n">
        <f aca="false">CK20*SUMIF($J$7:CK$7,CK$7,$J79:CK79)</f>
        <v>0</v>
      </c>
      <c r="CL80" s="33" t="n">
        <f aca="false">CL20*SUMIF($J$7:CL$7,CL$7,$J79:CL79)</f>
        <v>0</v>
      </c>
      <c r="CM80" s="33" t="n">
        <f aca="false">CM20*SUMIF($J$7:CM$7,CM$7,$J79:CM79)</f>
        <v>0</v>
      </c>
      <c r="CN80" s="33" t="n">
        <f aca="false">CN20*SUMIF($J$7:CN$7,CN$7,$J79:CN79)</f>
        <v>0</v>
      </c>
      <c r="CO80" s="33" t="n">
        <f aca="false">CO20*SUMIF($J$7:CO$7,CO$7,$J79:CO79)</f>
        <v>0</v>
      </c>
      <c r="CP80" s="33" t="n">
        <f aca="false">CP20*SUMIF($J$7:CP$7,CP$7,$J79:CP79)</f>
        <v>0</v>
      </c>
      <c r="CQ80" s="33" t="n">
        <f aca="false">CQ20*SUMIF($J$7:CQ$7,CQ$7,$J79:CQ79)</f>
        <v>0</v>
      </c>
      <c r="CR80" s="33" t="n">
        <f aca="false">CR20*SUMIF($J$7:CR$7,CR$7,$J79:CR79)</f>
        <v>0</v>
      </c>
      <c r="CS80" s="33" t="n">
        <f aca="false">CS20*SUMIF($J$7:CS$7,CS$7,$J79:CS79)</f>
        <v>0</v>
      </c>
      <c r="CT80" s="33" t="n">
        <f aca="false">CT20*SUMIF($J$7:CT$7,CT$7,$J79:CT79)</f>
        <v>0</v>
      </c>
      <c r="CU80" s="33" t="n">
        <f aca="false">CU20*SUMIF($J$7:CU$7,CU$7,$J79:CU79)</f>
        <v>0</v>
      </c>
      <c r="CV80" s="33" t="n">
        <f aca="false">CV20*SUMIF($J$7:CV$7,CV$7,$J79:CV79)</f>
        <v>0</v>
      </c>
      <c r="CW80" s="33" t="n">
        <f aca="false">CW20*SUMIF($J$7:CW$7,CW$7,$J79:CW79)</f>
        <v>0</v>
      </c>
      <c r="CX80" s="33" t="n">
        <f aca="false">CX20*SUMIF($J$7:CX$7,CX$7,$J79:CX79)</f>
        <v>0</v>
      </c>
      <c r="CY80" s="33" t="n">
        <f aca="false">CY20*SUMIF($J$7:CY$7,CY$7,$J79:CY79)</f>
        <v>0</v>
      </c>
      <c r="CZ80" s="33" t="n">
        <f aca="false">CZ20*SUMIF($J$7:CZ$7,CZ$7,$J79:CZ79)</f>
        <v>0</v>
      </c>
      <c r="DA80" s="33" t="n">
        <f aca="false">DA20*SUMIF($J$7:DA$7,DA$7,$J79:DA79)</f>
        <v>0</v>
      </c>
      <c r="DB80" s="33" t="n">
        <f aca="false">DB20*SUMIF($J$7:DB$7,DB$7,$J79:DB79)</f>
        <v>0</v>
      </c>
      <c r="DC80" s="33" t="n">
        <f aca="false">DC20*SUMIF($J$7:DC$7,DC$7,$J79:DC79)</f>
        <v>0</v>
      </c>
      <c r="DD80" s="33" t="n">
        <f aca="false">DD20*SUMIF($J$7:DD$7,DD$7,$J79:DD79)</f>
        <v>0</v>
      </c>
      <c r="DE80" s="33" t="n">
        <f aca="false">DE20*SUMIF($J$7:DE$7,DE$7,$J79:DE79)</f>
        <v>0</v>
      </c>
      <c r="DF80" s="33" t="n">
        <f aca="false">DF20*SUMIF($J$7:DF$7,DF$7,$J79:DF79)</f>
        <v>0</v>
      </c>
      <c r="DG80" s="33" t="n">
        <f aca="false">DG20*SUMIF($J$7:DG$7,DG$7,$J79:DG79)</f>
        <v>0</v>
      </c>
      <c r="DH80" s="33" t="n">
        <f aca="false">DH20*SUMIF($J$7:DH$7,DH$7,$J79:DH79)</f>
        <v>0</v>
      </c>
      <c r="DI80" s="33" t="n">
        <f aca="false">DI20*SUMIF($J$7:DI$7,DI$7,$J79:DI79)</f>
        <v>0</v>
      </c>
      <c r="DJ80" s="33" t="n">
        <f aca="false">DJ20*SUMIF($J$7:DJ$7,DJ$7,$J79:DJ79)</f>
        <v>0</v>
      </c>
      <c r="DK80" s="33" t="n">
        <f aca="false">DK20*SUMIF($J$7:DK$7,DK$7,$J79:DK79)</f>
        <v>0</v>
      </c>
      <c r="DL80" s="33" t="n">
        <f aca="false">DL20*SUMIF($J$7:DL$7,DL$7,$J79:DL79)</f>
        <v>0</v>
      </c>
      <c r="DM80" s="33" t="n">
        <f aca="false">DM20*SUMIF($J$7:DM$7,DM$7,$J79:DM79)</f>
        <v>0</v>
      </c>
      <c r="DN80" s="33" t="n">
        <f aca="false">DN20*SUMIF($J$7:DN$7,DN$7,$J79:DN79)</f>
        <v>0</v>
      </c>
      <c r="DO80" s="33" t="n">
        <f aca="false">DO20*SUMIF($J$7:DO$7,DO$7,$J79:DO79)</f>
        <v>0</v>
      </c>
      <c r="DP80" s="33" t="n">
        <f aca="false">DP20*SUMIF($J$7:DP$7,DP$7,$J79:DP79)</f>
        <v>0</v>
      </c>
      <c r="DQ80" s="33" t="n">
        <f aca="false">DQ20*SUMIF($J$7:DQ$7,DQ$7,$J79:DQ79)</f>
        <v>0</v>
      </c>
      <c r="DR80" s="33" t="n">
        <f aca="false">DR20*SUMIF($J$7:DR$7,DR$7,$J79:DR79)</f>
        <v>0</v>
      </c>
      <c r="DS80" s="33" t="n">
        <f aca="false">DS20*SUMIF($J$7:DS$7,DS$7,$J79:DS79)</f>
        <v>0</v>
      </c>
      <c r="DT80" s="33" t="n">
        <f aca="false">DT20*SUMIF($J$7:DT$7,DT$7,$J79:DT79)</f>
        <v>0</v>
      </c>
      <c r="DU80" s="33" t="n">
        <f aca="false">DU20*SUMIF($J$7:DU$7,DU$7,$J79:DU79)</f>
        <v>0</v>
      </c>
      <c r="DV80" s="33" t="n">
        <f aca="false">DV20*SUMIF($J$7:DV$7,DV$7,$J79:DV79)</f>
        <v>0</v>
      </c>
      <c r="DW80" s="33" t="n">
        <f aca="false">DW20*SUMIF($J$7:DW$7,DW$7,$J79:DW79)</f>
        <v>0</v>
      </c>
      <c r="DX80" s="33" t="n">
        <f aca="false">DX20*SUMIF($J$7:DX$7,DX$7,$J79:DX79)</f>
        <v>0</v>
      </c>
      <c r="DY80" s="33" t="n">
        <f aca="false">DY20*SUMIF($J$7:DY$7,DY$7,$J79:DY79)</f>
        <v>0</v>
      </c>
      <c r="DZ80" s="33" t="n">
        <f aca="false">DZ20*SUMIF($J$7:DZ$7,DZ$7,$J79:DZ79)</f>
        <v>0</v>
      </c>
      <c r="EA80" s="33" t="n">
        <f aca="false">EA20*SUMIF($J$7:EA$7,EA$7,$J79:EA79)</f>
        <v>0</v>
      </c>
      <c r="EB80" s="33" t="n">
        <f aca="false">EB20*SUMIF($J$7:EB$7,EB$7,$J79:EB79)</f>
        <v>0</v>
      </c>
      <c r="EC80" s="33" t="n">
        <f aca="false">EC20*SUMIF($J$7:EC$7,EC$7,$J79:EC79)</f>
        <v>0</v>
      </c>
      <c r="ED80" s="33" t="n">
        <f aca="false">ED20*SUMIF($J$7:ED$7,ED$7,$J79:ED79)</f>
        <v>0</v>
      </c>
      <c r="EE80" s="33" t="n">
        <f aca="false">EE20*SUMIF($J$7:EE$7,EE$7,$J79:EE79)</f>
        <v>0</v>
      </c>
      <c r="EF80" s="33" t="n">
        <f aca="false">EF20*SUMIF($J$7:EF$7,EF$7,$J79:EF79)</f>
        <v>0</v>
      </c>
      <c r="EG80" s="33" t="n">
        <f aca="false">EG20*SUMIF($J$7:EG$7,EG$7,$J79:EG79)</f>
        <v>0</v>
      </c>
      <c r="EH80" s="33" t="n">
        <f aca="false">EH20*SUMIF($J$7:EH$7,EH$7,$J79:EH79)</f>
        <v>0</v>
      </c>
      <c r="EI80" s="33" t="n">
        <f aca="false">EI20*SUMIF($J$7:EI$7,EI$7,$J79:EI79)</f>
        <v>0</v>
      </c>
      <c r="EJ80" s="33" t="n">
        <f aca="false">EJ20*SUMIF($J$7:EJ$7,EJ$7,$J79:EJ79)</f>
        <v>0</v>
      </c>
      <c r="EK80" s="33" t="n">
        <f aca="false">EK20*SUMIF($J$7:EK$7,EK$7,$J79:EK79)</f>
        <v>0</v>
      </c>
      <c r="EL80" s="33" t="n">
        <f aca="false">EL20*SUMIF($J$7:EL$7,EL$7,$J79:EL79)</f>
        <v>0</v>
      </c>
      <c r="EM80" s="33" t="n">
        <f aca="false">EM20*SUMIF($J$7:EM$7,EM$7,$J79:EM79)</f>
        <v>0</v>
      </c>
      <c r="EN80" s="33" t="n">
        <f aca="false">EN20*SUMIF($J$7:EN$7,EN$7,$J79:EN79)</f>
        <v>0</v>
      </c>
      <c r="EO80" s="33" t="n">
        <f aca="false">EO20*SUMIF($J$7:EO$7,EO$7,$J79:EO79)</f>
        <v>0</v>
      </c>
      <c r="EP80" s="33" t="n">
        <f aca="false">EP20*SUMIF($J$7:EP$7,EP$7,$J79:EP79)</f>
        <v>0</v>
      </c>
      <c r="EQ80" s="33" t="n">
        <f aca="false">EQ20*SUMIF($J$7:EQ$7,EQ$7,$J79:EQ79)</f>
        <v>0</v>
      </c>
      <c r="ER80" s="33" t="n">
        <f aca="false">ER20*SUMIF($J$7:ER$7,ER$7,$J79:ER79)</f>
        <v>0</v>
      </c>
      <c r="ES80" s="33" t="n">
        <f aca="false">ES20*SUMIF($J$7:ES$7,ES$7,$J79:ES79)</f>
        <v>0</v>
      </c>
      <c r="ET80" s="33" t="n">
        <f aca="false">ET20*SUMIF($J$7:ET$7,ET$7,$J79:ET79)</f>
        <v>0</v>
      </c>
    </row>
    <row r="81" customFormat="false" ht="15" hidden="false" customHeight="false" outlineLevel="0" collapsed="false">
      <c r="C81" s="0" t="s">
        <v>537</v>
      </c>
      <c r="D81" s="11" t="s">
        <v>253</v>
      </c>
      <c r="I81" s="54"/>
      <c r="J81" s="33" t="n">
        <f aca="false">J78-J57+J80</f>
        <v>0</v>
      </c>
      <c r="K81" s="33" t="n">
        <f aca="false">K78-K57+K80</f>
        <v>187.51993995121</v>
      </c>
      <c r="L81" s="33" t="n">
        <f aca="false">L78-L57+L80</f>
        <v>775.964460499156</v>
      </c>
      <c r="M81" s="33" t="n">
        <f aca="false">M78-M57+M80</f>
        <v>819.800076937512</v>
      </c>
      <c r="N81" s="33" t="n">
        <f aca="false">N78-N57+N80</f>
        <v>863.635693375868</v>
      </c>
      <c r="O81" s="33" t="n">
        <f aca="false">O78-O57+O80</f>
        <v>1195.18381497467</v>
      </c>
      <c r="P81" s="33" t="n">
        <f aca="false">P78-P57+P80</f>
        <v>2485.22560977478</v>
      </c>
      <c r="Q81" s="33" t="n">
        <f aca="false">Q78-Q57+Q80</f>
        <v>2489.83519881588</v>
      </c>
      <c r="R81" s="33" t="n">
        <f aca="false">R78-R57+R80</f>
        <v>2653.92670879631</v>
      </c>
      <c r="S81" s="33" t="n">
        <f aca="false">S78-S57+S80</f>
        <v>3458.61440309663</v>
      </c>
      <c r="T81" s="33" t="n">
        <f aca="false">T78-T57+T80</f>
        <v>3763.27193734321</v>
      </c>
      <c r="U81" s="33" t="n">
        <f aca="false">U78-U57+U80</f>
        <v>3763.27193734321</v>
      </c>
      <c r="V81" s="33" t="n">
        <f aca="false">V78-V57+V80</f>
        <v>3763.27193734321</v>
      </c>
      <c r="W81" s="33" t="n">
        <f aca="false">W78-W57+W80</f>
        <v>4125.06913837992</v>
      </c>
      <c r="X81" s="33" t="n">
        <f aca="false">X78-X57+X80</f>
        <v>4125.06913837992</v>
      </c>
      <c r="Y81" s="33" t="n">
        <f aca="false">Y78-Y57+Y80</f>
        <v>4125.06913837992</v>
      </c>
      <c r="Z81" s="33" t="n">
        <f aca="false">Z78-Z57+Z80</f>
        <v>4125.06913837992</v>
      </c>
      <c r="AA81" s="33" t="n">
        <f aca="false">AA78-AA57+AA80</f>
        <v>4950.0829660559</v>
      </c>
      <c r="AB81" s="33" t="n">
        <f aca="false">AB78-AB57+AB80</f>
        <v>4950.0829660559</v>
      </c>
      <c r="AC81" s="33" t="n">
        <f aca="false">AC78-AC57+AC80</f>
        <v>4950.0829660559</v>
      </c>
      <c r="AD81" s="33" t="n">
        <f aca="false">AD78-AD57+AD80</f>
        <v>4950.0829660559</v>
      </c>
      <c r="AE81" s="33" t="n">
        <f aca="false">AE78-AE57+AE80</f>
        <v>5690.5611302933</v>
      </c>
      <c r="AF81" s="33" t="n">
        <f aca="false">AF78-AF57+AF80</f>
        <v>5690.5611302933</v>
      </c>
      <c r="AG81" s="33" t="n">
        <f aca="false">AG78-AG57+AG80</f>
        <v>5690.5611302933</v>
      </c>
      <c r="AH81" s="33" t="n">
        <f aca="false">AH78-AH57+AH80</f>
        <v>5690.5611302933</v>
      </c>
      <c r="AI81" s="33" t="n">
        <f aca="false">AI78-AI57+AI80</f>
        <v>5690.5611302933</v>
      </c>
      <c r="AJ81" s="33" t="n">
        <f aca="false">AJ78-AJ57+AJ80</f>
        <v>5690.5611302933</v>
      </c>
      <c r="AK81" s="33" t="n">
        <f aca="false">AK78-AK57+AK80</f>
        <v>5690.5611302933</v>
      </c>
      <c r="AL81" s="33" t="n">
        <f aca="false">AL78-AL57+AL80</f>
        <v>5690.5611302933</v>
      </c>
      <c r="AM81" s="33" t="n">
        <f aca="false">AM78-AM57+AM80</f>
        <v>5690.5611302933</v>
      </c>
      <c r="AN81" s="33" t="n">
        <f aca="false">AN78-AN57+AN80</f>
        <v>5690.5611302933</v>
      </c>
      <c r="AO81" s="33" t="n">
        <f aca="false">AO78-AO57+AO80</f>
        <v>5690.5611302933</v>
      </c>
      <c r="AP81" s="33" t="n">
        <f aca="false">AP78-AP57+AP80</f>
        <v>5690.5611302933</v>
      </c>
      <c r="AQ81" s="33" t="n">
        <f aca="false">AQ78-AQ57+AQ80</f>
        <v>5690.5611302933</v>
      </c>
      <c r="AR81" s="33" t="n">
        <f aca="false">AR78-AR57+AR80</f>
        <v>5690.5611302933</v>
      </c>
      <c r="AS81" s="33" t="n">
        <f aca="false">AS78-AS57+AS80</f>
        <v>5690.5611302933</v>
      </c>
      <c r="AT81" s="33" t="n">
        <f aca="false">AT78-AT57+AT80</f>
        <v>5690.5611302933</v>
      </c>
      <c r="AU81" s="33" t="n">
        <f aca="false">AU78-AU57+AU80</f>
        <v>5690.5611302933</v>
      </c>
      <c r="AV81" s="33" t="n">
        <f aca="false">AV78-AV57+AV80</f>
        <v>5690.5611302933</v>
      </c>
      <c r="AW81" s="33" t="n">
        <f aca="false">AW78-AW57+AW80</f>
        <v>5690.5611302933</v>
      </c>
      <c r="AX81" s="33" t="n">
        <f aca="false">AX78-AX57+AX80</f>
        <v>5690.5611302933</v>
      </c>
      <c r="AY81" s="33" t="n">
        <f aca="false">AY78-AY57+AY80</f>
        <v>5690.5611302933</v>
      </c>
      <c r="AZ81" s="33" t="n">
        <f aca="false">AZ78-AZ57+AZ80</f>
        <v>5690.5611302933</v>
      </c>
      <c r="BA81" s="33" t="n">
        <f aca="false">BA78-BA57+BA80</f>
        <v>5690.5611302933</v>
      </c>
      <c r="BB81" s="33" t="n">
        <f aca="false">BB78-BB57+BB80</f>
        <v>5690.5611302933</v>
      </c>
      <c r="BC81" s="33" t="n">
        <f aca="false">BC78-BC57+BC80</f>
        <v>5690.5611302933</v>
      </c>
      <c r="BD81" s="33" t="n">
        <f aca="false">BD78-BD57+BD80</f>
        <v>5690.5611302933</v>
      </c>
      <c r="BE81" s="33" t="n">
        <f aca="false">BE78-BE57+BE80</f>
        <v>5690.5611302933</v>
      </c>
      <c r="BF81" s="33" t="n">
        <f aca="false">BF78-BF57+BF80</f>
        <v>5690.5611302933</v>
      </c>
      <c r="BG81" s="33" t="n">
        <f aca="false">BG78-BG57+BG80</f>
        <v>5690.5611302933</v>
      </c>
      <c r="BH81" s="33" t="n">
        <f aca="false">BH78-BH57+BH80</f>
        <v>5690.5611302933</v>
      </c>
      <c r="BI81" s="33" t="n">
        <f aca="false">BI78-BI57+BI80</f>
        <v>5690.5611302933</v>
      </c>
      <c r="BJ81" s="33" t="n">
        <f aca="false">BJ78-BJ57+BJ80</f>
        <v>5690.5611302933</v>
      </c>
      <c r="BK81" s="33" t="n">
        <f aca="false">BK78-BK57+BK80</f>
        <v>5690.5611302933</v>
      </c>
      <c r="BL81" s="33" t="n">
        <f aca="false">BL78-BL57+BL80</f>
        <v>5690.5611302933</v>
      </c>
      <c r="BM81" s="33" t="n">
        <f aca="false">BM78-BM57+BM80</f>
        <v>5690.5611302933</v>
      </c>
      <c r="BN81" s="33" t="n">
        <f aca="false">BN78-BN57+BN80</f>
        <v>5690.5611302933</v>
      </c>
      <c r="BO81" s="33" t="n">
        <f aca="false">BO78-BO57+BO80</f>
        <v>5690.5611302933</v>
      </c>
      <c r="BP81" s="33" t="n">
        <f aca="false">BP78-BP57+BP80</f>
        <v>5690.5611302933</v>
      </c>
      <c r="BQ81" s="33" t="n">
        <f aca="false">BQ78-BQ57+BQ80</f>
        <v>5690.5611302933</v>
      </c>
      <c r="BR81" s="33" t="n">
        <f aca="false">BR78-BR57+BR80</f>
        <v>5690.5611302933</v>
      </c>
      <c r="BS81" s="33" t="n">
        <f aca="false">BS78-BS57+BS80</f>
        <v>5690.5611302933</v>
      </c>
      <c r="BT81" s="33" t="n">
        <f aca="false">BT78-BT57+BT80</f>
        <v>5690.5611302933</v>
      </c>
      <c r="BU81" s="33" t="n">
        <f aca="false">BU78-BU57+BU80</f>
        <v>5690.5611302933</v>
      </c>
      <c r="BV81" s="33" t="n">
        <f aca="false">BV78-BV57+BV80</f>
        <v>5690.5611302933</v>
      </c>
      <c r="BW81" s="33" t="n">
        <f aca="false">BW78-BW57+BW80</f>
        <v>5690.5611302933</v>
      </c>
      <c r="BX81" s="33" t="n">
        <f aca="false">BX78-BX57+BX80</f>
        <v>5690.5611302933</v>
      </c>
      <c r="BY81" s="33" t="n">
        <f aca="false">BY78-BY57+BY80</f>
        <v>5690.5611302933</v>
      </c>
      <c r="BZ81" s="33" t="n">
        <f aca="false">BZ78-BZ57+BZ80</f>
        <v>5690.5611302933</v>
      </c>
      <c r="CA81" s="33" t="n">
        <f aca="false">CA78-CA57+CA80</f>
        <v>5690.5611302933</v>
      </c>
      <c r="CB81" s="33" t="n">
        <f aca="false">CB78-CB57+CB80</f>
        <v>5690.5611302933</v>
      </c>
      <c r="CC81" s="33" t="n">
        <f aca="false">CC78-CC57+CC80</f>
        <v>5690.5611302933</v>
      </c>
      <c r="CD81" s="33" t="n">
        <f aca="false">CD78-CD57+CD80</f>
        <v>5690.5611302933</v>
      </c>
      <c r="CE81" s="33" t="n">
        <f aca="false">CE78-CE57+CE80</f>
        <v>5690.5611302933</v>
      </c>
      <c r="CF81" s="33" t="n">
        <f aca="false">CF78-CF57+CF80</f>
        <v>5690.5611302933</v>
      </c>
      <c r="CG81" s="33" t="n">
        <f aca="false">CG78-CG57+CG80</f>
        <v>5690.5611302933</v>
      </c>
      <c r="CH81" s="33" t="n">
        <f aca="false">CH78-CH57+CH80</f>
        <v>5690.5611302933</v>
      </c>
      <c r="CI81" s="33" t="n">
        <f aca="false">CI78-CI57+CI80</f>
        <v>5690.5611302933</v>
      </c>
      <c r="CJ81" s="33" t="n">
        <f aca="false">CJ78-CJ57+CJ80</f>
        <v>5690.5611302933</v>
      </c>
      <c r="CK81" s="33" t="n">
        <f aca="false">CK78-CK57+CK80</f>
        <v>5690.5611302933</v>
      </c>
      <c r="CL81" s="33" t="n">
        <f aca="false">CL78-CL57+CL80</f>
        <v>5690.5611302933</v>
      </c>
      <c r="CM81" s="33" t="n">
        <f aca="false">CM78-CM57+CM80</f>
        <v>5690.5611302933</v>
      </c>
      <c r="CN81" s="33" t="n">
        <f aca="false">CN78-CN57+CN80</f>
        <v>5690.5611302933</v>
      </c>
      <c r="CO81" s="33" t="n">
        <f aca="false">CO78-CO57+CO80</f>
        <v>5690.5611302933</v>
      </c>
      <c r="CP81" s="33" t="n">
        <f aca="false">CP78-CP57+CP80</f>
        <v>5690.5611302933</v>
      </c>
      <c r="CQ81" s="33" t="n">
        <f aca="false">CQ78-CQ57+CQ80</f>
        <v>5690.5611302933</v>
      </c>
      <c r="CR81" s="33" t="n">
        <f aca="false">CR78-CR57+CR80</f>
        <v>5690.5611302933</v>
      </c>
      <c r="CS81" s="33" t="n">
        <f aca="false">CS78-CS57+CS80</f>
        <v>5690.5611302933</v>
      </c>
      <c r="CT81" s="33" t="n">
        <f aca="false">CT78-CT57+CT80</f>
        <v>5690.5611302933</v>
      </c>
      <c r="CU81" s="33" t="n">
        <f aca="false">CU78-CU57+CU80</f>
        <v>5690.5611302933</v>
      </c>
      <c r="CV81" s="33" t="n">
        <f aca="false">CV78-CV57+CV80</f>
        <v>5690.5611302933</v>
      </c>
      <c r="CW81" s="33" t="n">
        <f aca="false">CW78-CW57+CW80</f>
        <v>5690.5611302933</v>
      </c>
      <c r="CX81" s="33" t="n">
        <f aca="false">CX78-CX57+CX80</f>
        <v>5690.5611302933</v>
      </c>
      <c r="CY81" s="33" t="n">
        <f aca="false">CY78-CY57+CY80</f>
        <v>5690.5611302933</v>
      </c>
      <c r="CZ81" s="33" t="n">
        <f aca="false">CZ78-CZ57+CZ80</f>
        <v>5690.5611302933</v>
      </c>
      <c r="DA81" s="33" t="n">
        <f aca="false">DA78-DA57+DA80</f>
        <v>5690.5611302933</v>
      </c>
      <c r="DB81" s="33" t="n">
        <f aca="false">DB78-DB57+DB80</f>
        <v>5690.5611302933</v>
      </c>
      <c r="DC81" s="33" t="n">
        <f aca="false">DC78-DC57+DC80</f>
        <v>5690.5611302933</v>
      </c>
      <c r="DD81" s="33" t="n">
        <f aca="false">DD78-DD57+DD80</f>
        <v>5690.5611302933</v>
      </c>
      <c r="DE81" s="33" t="n">
        <f aca="false">DE78-DE57+DE80</f>
        <v>5690.5611302933</v>
      </c>
      <c r="DF81" s="33" t="n">
        <f aca="false">DF78-DF57+DF80</f>
        <v>5690.5611302933</v>
      </c>
      <c r="DG81" s="33" t="n">
        <f aca="false">DG78-DG57+DG80</f>
        <v>5690.5611302933</v>
      </c>
      <c r="DH81" s="33" t="n">
        <f aca="false">DH78-DH57+DH80</f>
        <v>5690.5611302933</v>
      </c>
      <c r="DI81" s="33" t="n">
        <f aca="false">DI78-DI57+DI80</f>
        <v>5690.5611302933</v>
      </c>
      <c r="DJ81" s="33" t="n">
        <f aca="false">DJ78-DJ57+DJ80</f>
        <v>5690.5611302933</v>
      </c>
      <c r="DK81" s="33" t="n">
        <f aca="false">DK78-DK57+DK80</f>
        <v>5690.5611302933</v>
      </c>
      <c r="DL81" s="33" t="n">
        <f aca="false">DL78-DL57+DL80</f>
        <v>5690.5611302933</v>
      </c>
      <c r="DM81" s="33" t="n">
        <f aca="false">DM78-DM57+DM80</f>
        <v>5690.5611302933</v>
      </c>
      <c r="DN81" s="33" t="n">
        <f aca="false">DN78-DN57+DN80</f>
        <v>5690.5611302933</v>
      </c>
      <c r="DO81" s="33" t="n">
        <f aca="false">DO78-DO57+DO80</f>
        <v>5690.5611302933</v>
      </c>
      <c r="DP81" s="33" t="n">
        <f aca="false">DP78-DP57+DP80</f>
        <v>5690.5611302933</v>
      </c>
      <c r="DQ81" s="33" t="n">
        <f aca="false">DQ78-DQ57+DQ80</f>
        <v>5690.5611302933</v>
      </c>
      <c r="DR81" s="33" t="n">
        <f aca="false">DR78-DR57+DR80</f>
        <v>5690.5611302933</v>
      </c>
      <c r="DS81" s="33" t="n">
        <f aca="false">DS78-DS57+DS80</f>
        <v>5690.5611302933</v>
      </c>
      <c r="DT81" s="33" t="n">
        <f aca="false">DT78-DT57+DT80</f>
        <v>5690.5611302933</v>
      </c>
      <c r="DU81" s="33" t="n">
        <f aca="false">DU78-DU57+DU80</f>
        <v>5690.5611302933</v>
      </c>
      <c r="DV81" s="33" t="n">
        <f aca="false">DV78-DV57+DV80</f>
        <v>5690.5611302933</v>
      </c>
      <c r="DW81" s="33" t="n">
        <f aca="false">DW78-DW57+DW80</f>
        <v>5690.5611302933</v>
      </c>
      <c r="DX81" s="33" t="n">
        <f aca="false">DX78-DX57+DX80</f>
        <v>5690.5611302933</v>
      </c>
      <c r="DY81" s="33" t="n">
        <f aca="false">DY78-DY57+DY80</f>
        <v>5690.5611302933</v>
      </c>
      <c r="DZ81" s="33" t="n">
        <f aca="false">DZ78-DZ57+DZ80</f>
        <v>5690.5611302933</v>
      </c>
      <c r="EA81" s="33" t="n">
        <f aca="false">EA78-EA57+EA80</f>
        <v>5690.5611302933</v>
      </c>
      <c r="EB81" s="33" t="n">
        <f aca="false">EB78-EB57+EB80</f>
        <v>5690.5611302933</v>
      </c>
      <c r="EC81" s="33" t="n">
        <f aca="false">EC78-EC57+EC80</f>
        <v>5690.5611302933</v>
      </c>
      <c r="ED81" s="33" t="n">
        <f aca="false">ED78-ED57+ED80</f>
        <v>5690.5611302933</v>
      </c>
      <c r="EE81" s="33" t="n">
        <f aca="false">EE78-EE57+EE80</f>
        <v>5690.5611302933</v>
      </c>
      <c r="EF81" s="33" t="n">
        <f aca="false">EF78-EF57+EF80</f>
        <v>5690.5611302933</v>
      </c>
      <c r="EG81" s="33" t="n">
        <f aca="false">EG78-EG57+EG80</f>
        <v>5690.5611302933</v>
      </c>
      <c r="EH81" s="33" t="n">
        <f aca="false">EH78-EH57+EH80</f>
        <v>5690.5611302933</v>
      </c>
      <c r="EI81" s="33" t="n">
        <f aca="false">EI78-EI57+EI80</f>
        <v>5690.5611302933</v>
      </c>
      <c r="EJ81" s="33" t="n">
        <f aca="false">EJ78-EJ57+EJ80</f>
        <v>5690.5611302933</v>
      </c>
      <c r="EK81" s="33" t="n">
        <f aca="false">EK78-EK57+EK80</f>
        <v>5690.5611302933</v>
      </c>
      <c r="EL81" s="33" t="n">
        <f aca="false">EL78-EL57+EL80</f>
        <v>5690.5611302933</v>
      </c>
      <c r="EM81" s="33" t="n">
        <f aca="false">EM78-EM57+EM80</f>
        <v>5690.5611302933</v>
      </c>
      <c r="EN81" s="33" t="n">
        <f aca="false">EN78-EN57+EN80</f>
        <v>5690.5611302933</v>
      </c>
      <c r="EO81" s="33" t="n">
        <f aca="false">EO78-EO57+EO80</f>
        <v>5690.5611302933</v>
      </c>
      <c r="EP81" s="33" t="n">
        <f aca="false">EP78-EP57+EP80</f>
        <v>5690.5611302933</v>
      </c>
      <c r="EQ81" s="33" t="n">
        <f aca="false">EQ78-EQ57+EQ80</f>
        <v>5690.5611302933</v>
      </c>
      <c r="ER81" s="33" t="n">
        <f aca="false">ER78-ER57+ER80</f>
        <v>5690.5611302933</v>
      </c>
      <c r="ES81" s="33" t="n">
        <f aca="false">ES78-ES57+ES80</f>
        <v>5690.5611302933</v>
      </c>
      <c r="ET81" s="33" t="n">
        <f aca="false">ET78-ET57+ET80</f>
        <v>5690.5611302933</v>
      </c>
    </row>
    <row r="83" customFormat="false" ht="15" hidden="false" customHeight="false" outlineLevel="0" collapsed="false">
      <c r="A83" s="9" t="s">
        <v>13</v>
      </c>
      <c r="B83" s="9"/>
      <c r="C83" s="9" t="s">
        <v>543</v>
      </c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</row>
    <row r="84" customFormat="false" ht="15" hidden="false" customHeight="false" outlineLevel="0" collapsed="false">
      <c r="C84" s="0" t="s">
        <v>544</v>
      </c>
      <c r="D84" s="11" t="s">
        <v>35</v>
      </c>
      <c r="E84" s="47" t="n">
        <f aca="false">1-$F24/$E24</f>
        <v>0.337748344370861</v>
      </c>
      <c r="F84" s="47" t="n">
        <f aca="false">(1-In_BESS_Built)*($E25&gt;0)</f>
        <v>0</v>
      </c>
    </row>
    <row r="85" customFormat="false" ht="15" hidden="false" customHeight="false" outlineLevel="0" collapsed="false">
      <c r="C85" s="0" t="s">
        <v>545</v>
      </c>
      <c r="D85" s="11" t="s">
        <v>253</v>
      </c>
      <c r="E85" s="33" t="n">
        <f aca="false">$E49*$E24*In_Bench_Wind/$E45</f>
        <v>4199.04109589041</v>
      </c>
      <c r="F85" s="33" t="n">
        <f aca="false">$E49-$E85</f>
        <v>2794.52054794521</v>
      </c>
    </row>
    <row r="86" customFormat="false" ht="15" hidden="false" customHeight="false" outlineLevel="0" collapsed="false">
      <c r="C86" s="0" t="s">
        <v>546</v>
      </c>
      <c r="D86" s="11" t="s">
        <v>253</v>
      </c>
      <c r="E86" s="33" t="n">
        <f aca="false">($E84&gt;In_Tolerance_Cap)*$E84*$E85+($F84&gt;In_Tolerance_Cap)*$F84*$F85</f>
        <v>1418.21917808219</v>
      </c>
      <c r="F86" s="33" t="n">
        <f aca="false">($E84+$F84&gt;0)*$E49</f>
        <v>6993.56164383562</v>
      </c>
    </row>
    <row r="87" customFormat="false" ht="15" hidden="false" customHeight="false" outlineLevel="0" collapsed="false">
      <c r="C87" s="0" t="s">
        <v>547</v>
      </c>
      <c r="D87" s="11" t="s">
        <v>253</v>
      </c>
      <c r="E87" s="44" t="n">
        <f aca="false">EDATE(In_COD,In_Sanction_Lag)</f>
        <v>48303</v>
      </c>
      <c r="I87" s="33" t="n">
        <f aca="false">SUM(J87:ET87)</f>
        <v>-1418.21917808219</v>
      </c>
      <c r="J87" s="33" t="n">
        <f aca="false">-CHOOSE(In_Sanction_Regime,$E86,$F86)*N(AND(J$3&lt;=$E87,J$4&gt;=$E87))</f>
        <v>-0</v>
      </c>
      <c r="K87" s="33" t="n">
        <f aca="false">-CHOOSE(In_Sanction_Regime,$E86,$F86)*N(AND(K$3&lt;=$E87,K$4&gt;=$E87))</f>
        <v>-0</v>
      </c>
      <c r="L87" s="33" t="n">
        <f aca="false">-CHOOSE(In_Sanction_Regime,$E86,$F86)*N(AND(L$3&lt;=$E87,L$4&gt;=$E87))</f>
        <v>-0</v>
      </c>
      <c r="M87" s="33" t="n">
        <f aca="false">-CHOOSE(In_Sanction_Regime,$E86,$F86)*N(AND(M$3&lt;=$E87,M$4&gt;=$E87))</f>
        <v>-0</v>
      </c>
      <c r="N87" s="33" t="n">
        <f aca="false">-CHOOSE(In_Sanction_Regime,$E86,$F86)*N(AND(N$3&lt;=$E87,N$4&gt;=$E87))</f>
        <v>-0</v>
      </c>
      <c r="O87" s="33" t="n">
        <f aca="false">-CHOOSE(In_Sanction_Regime,$E86,$F86)*N(AND(O$3&lt;=$E87,O$4&gt;=$E87))</f>
        <v>-0</v>
      </c>
      <c r="P87" s="33" t="n">
        <f aca="false">-CHOOSE(In_Sanction_Regime,$E86,$F86)*N(AND(P$3&lt;=$E87,P$4&gt;=$E87))</f>
        <v>-0</v>
      </c>
      <c r="Q87" s="33" t="n">
        <f aca="false">-CHOOSE(In_Sanction_Regime,$E86,$F86)*N(AND(Q$3&lt;=$E87,Q$4&gt;=$E87))</f>
        <v>-0</v>
      </c>
      <c r="R87" s="33" t="n">
        <f aca="false">-CHOOSE(In_Sanction_Regime,$E86,$F86)*N(AND(R$3&lt;=$E87,R$4&gt;=$E87))</f>
        <v>-0</v>
      </c>
      <c r="S87" s="33" t="n">
        <f aca="false">-CHOOSE(In_Sanction_Regime,$E86,$F86)*N(AND(S$3&lt;=$E87,S$4&gt;=$E87))</f>
        <v>-0</v>
      </c>
      <c r="T87" s="33" t="n">
        <f aca="false">-CHOOSE(In_Sanction_Regime,$E86,$F86)*N(AND(T$3&lt;=$E87,T$4&gt;=$E87))</f>
        <v>-0</v>
      </c>
      <c r="U87" s="33" t="n">
        <f aca="false">-CHOOSE(In_Sanction_Regime,$E86,$F86)*N(AND(U$3&lt;=$E87,U$4&gt;=$E87))</f>
        <v>-0</v>
      </c>
      <c r="V87" s="33" t="n">
        <f aca="false">-CHOOSE(In_Sanction_Regime,$E86,$F86)*N(AND(V$3&lt;=$E87,V$4&gt;=$E87))</f>
        <v>-0</v>
      </c>
      <c r="W87" s="33" t="n">
        <f aca="false">-CHOOSE(In_Sanction_Regime,$E86,$F86)*N(AND(W$3&lt;=$E87,W$4&gt;=$E87))</f>
        <v>-0</v>
      </c>
      <c r="X87" s="33" t="n">
        <f aca="false">-CHOOSE(In_Sanction_Regime,$E86,$F86)*N(AND(X$3&lt;=$E87,X$4&gt;=$E87))</f>
        <v>-0</v>
      </c>
      <c r="Y87" s="33" t="n">
        <f aca="false">-CHOOSE(In_Sanction_Regime,$E86,$F86)*N(AND(Y$3&lt;=$E87,Y$4&gt;=$E87))</f>
        <v>-0</v>
      </c>
      <c r="Z87" s="33" t="n">
        <f aca="false">-CHOOSE(In_Sanction_Regime,$E86,$F86)*N(AND(Z$3&lt;=$E87,Z$4&gt;=$E87))</f>
        <v>-0</v>
      </c>
      <c r="AA87" s="33" t="n">
        <f aca="false">-CHOOSE(In_Sanction_Regime,$E86,$F86)*N(AND(AA$3&lt;=$E87,AA$4&gt;=$E87))</f>
        <v>-0</v>
      </c>
      <c r="AB87" s="33" t="n">
        <f aca="false">-CHOOSE(In_Sanction_Regime,$E86,$F86)*N(AND(AB$3&lt;=$E87,AB$4&gt;=$E87))</f>
        <v>-0</v>
      </c>
      <c r="AC87" s="33" t="n">
        <f aca="false">-CHOOSE(In_Sanction_Regime,$E86,$F86)*N(AND(AC$3&lt;=$E87,AC$4&gt;=$E87))</f>
        <v>-0</v>
      </c>
      <c r="AD87" s="33" t="n">
        <f aca="false">-CHOOSE(In_Sanction_Regime,$E86,$F86)*N(AND(AD$3&lt;=$E87,AD$4&gt;=$E87))</f>
        <v>-0</v>
      </c>
      <c r="AE87" s="33" t="n">
        <f aca="false">-CHOOSE(In_Sanction_Regime,$E86,$F86)*N(AND(AE$3&lt;=$E87,AE$4&gt;=$E87))</f>
        <v>-0</v>
      </c>
      <c r="AF87" s="33" t="n">
        <f aca="false">-CHOOSE(In_Sanction_Regime,$E86,$F86)*N(AND(AF$3&lt;=$E87,AF$4&gt;=$E87))</f>
        <v>-1418.21917808219</v>
      </c>
      <c r="AG87" s="33" t="n">
        <f aca="false">-CHOOSE(In_Sanction_Regime,$E86,$F86)*N(AND(AG$3&lt;=$E87,AG$4&gt;=$E87))</f>
        <v>-0</v>
      </c>
      <c r="AH87" s="33" t="n">
        <f aca="false">-CHOOSE(In_Sanction_Regime,$E86,$F86)*N(AND(AH$3&lt;=$E87,AH$4&gt;=$E87))</f>
        <v>-0</v>
      </c>
      <c r="AI87" s="33" t="n">
        <f aca="false">-CHOOSE(In_Sanction_Regime,$E86,$F86)*N(AND(AI$3&lt;=$E87,AI$4&gt;=$E87))</f>
        <v>-0</v>
      </c>
      <c r="AJ87" s="33" t="n">
        <f aca="false">-CHOOSE(In_Sanction_Regime,$E86,$F86)*N(AND(AJ$3&lt;=$E87,AJ$4&gt;=$E87))</f>
        <v>-0</v>
      </c>
      <c r="AK87" s="33" t="n">
        <f aca="false">-CHOOSE(In_Sanction_Regime,$E86,$F86)*N(AND(AK$3&lt;=$E87,AK$4&gt;=$E87))</f>
        <v>-0</v>
      </c>
      <c r="AL87" s="33" t="n">
        <f aca="false">-CHOOSE(In_Sanction_Regime,$E86,$F86)*N(AND(AL$3&lt;=$E87,AL$4&gt;=$E87))</f>
        <v>-0</v>
      </c>
      <c r="AM87" s="33" t="n">
        <f aca="false">-CHOOSE(In_Sanction_Regime,$E86,$F86)*N(AND(AM$3&lt;=$E87,AM$4&gt;=$E87))</f>
        <v>-0</v>
      </c>
      <c r="AN87" s="33" t="n">
        <f aca="false">-CHOOSE(In_Sanction_Regime,$E86,$F86)*N(AND(AN$3&lt;=$E87,AN$4&gt;=$E87))</f>
        <v>-0</v>
      </c>
      <c r="AO87" s="33" t="n">
        <f aca="false">-CHOOSE(In_Sanction_Regime,$E86,$F86)*N(AND(AO$3&lt;=$E87,AO$4&gt;=$E87))</f>
        <v>-0</v>
      </c>
      <c r="AP87" s="33" t="n">
        <f aca="false">-CHOOSE(In_Sanction_Regime,$E86,$F86)*N(AND(AP$3&lt;=$E87,AP$4&gt;=$E87))</f>
        <v>-0</v>
      </c>
      <c r="AQ87" s="33" t="n">
        <f aca="false">-CHOOSE(In_Sanction_Regime,$E86,$F86)*N(AND(AQ$3&lt;=$E87,AQ$4&gt;=$E87))</f>
        <v>-0</v>
      </c>
      <c r="AR87" s="33" t="n">
        <f aca="false">-CHOOSE(In_Sanction_Regime,$E86,$F86)*N(AND(AR$3&lt;=$E87,AR$4&gt;=$E87))</f>
        <v>-0</v>
      </c>
      <c r="AS87" s="33" t="n">
        <f aca="false">-CHOOSE(In_Sanction_Regime,$E86,$F86)*N(AND(AS$3&lt;=$E87,AS$4&gt;=$E87))</f>
        <v>-0</v>
      </c>
      <c r="AT87" s="33" t="n">
        <f aca="false">-CHOOSE(In_Sanction_Regime,$E86,$F86)*N(AND(AT$3&lt;=$E87,AT$4&gt;=$E87))</f>
        <v>-0</v>
      </c>
      <c r="AU87" s="33" t="n">
        <f aca="false">-CHOOSE(In_Sanction_Regime,$E86,$F86)*N(AND(AU$3&lt;=$E87,AU$4&gt;=$E87))</f>
        <v>-0</v>
      </c>
      <c r="AV87" s="33" t="n">
        <f aca="false">-CHOOSE(In_Sanction_Regime,$E86,$F86)*N(AND(AV$3&lt;=$E87,AV$4&gt;=$E87))</f>
        <v>-0</v>
      </c>
      <c r="AW87" s="33" t="n">
        <f aca="false">-CHOOSE(In_Sanction_Regime,$E86,$F86)*N(AND(AW$3&lt;=$E87,AW$4&gt;=$E87))</f>
        <v>-0</v>
      </c>
      <c r="AX87" s="33" t="n">
        <f aca="false">-CHOOSE(In_Sanction_Regime,$E86,$F86)*N(AND(AX$3&lt;=$E87,AX$4&gt;=$E87))</f>
        <v>-0</v>
      </c>
      <c r="AY87" s="33" t="n">
        <f aca="false">-CHOOSE(In_Sanction_Regime,$E86,$F86)*N(AND(AY$3&lt;=$E87,AY$4&gt;=$E87))</f>
        <v>-0</v>
      </c>
      <c r="AZ87" s="33" t="n">
        <f aca="false">-CHOOSE(In_Sanction_Regime,$E86,$F86)*N(AND(AZ$3&lt;=$E87,AZ$4&gt;=$E87))</f>
        <v>-0</v>
      </c>
      <c r="BA87" s="33" t="n">
        <f aca="false">-CHOOSE(In_Sanction_Regime,$E86,$F86)*N(AND(BA$3&lt;=$E87,BA$4&gt;=$E87))</f>
        <v>-0</v>
      </c>
      <c r="BB87" s="33" t="n">
        <f aca="false">-CHOOSE(In_Sanction_Regime,$E86,$F86)*N(AND(BB$3&lt;=$E87,BB$4&gt;=$E87))</f>
        <v>-0</v>
      </c>
      <c r="BC87" s="33" t="n">
        <f aca="false">-CHOOSE(In_Sanction_Regime,$E86,$F86)*N(AND(BC$3&lt;=$E87,BC$4&gt;=$E87))</f>
        <v>-0</v>
      </c>
      <c r="BD87" s="33" t="n">
        <f aca="false">-CHOOSE(In_Sanction_Regime,$E86,$F86)*N(AND(BD$3&lt;=$E87,BD$4&gt;=$E87))</f>
        <v>-0</v>
      </c>
      <c r="BE87" s="33" t="n">
        <f aca="false">-CHOOSE(In_Sanction_Regime,$E86,$F86)*N(AND(BE$3&lt;=$E87,BE$4&gt;=$E87))</f>
        <v>-0</v>
      </c>
      <c r="BF87" s="33" t="n">
        <f aca="false">-CHOOSE(In_Sanction_Regime,$E86,$F86)*N(AND(BF$3&lt;=$E87,BF$4&gt;=$E87))</f>
        <v>-0</v>
      </c>
      <c r="BG87" s="33" t="n">
        <f aca="false">-CHOOSE(In_Sanction_Regime,$E86,$F86)*N(AND(BG$3&lt;=$E87,BG$4&gt;=$E87))</f>
        <v>-0</v>
      </c>
      <c r="BH87" s="33" t="n">
        <f aca="false">-CHOOSE(In_Sanction_Regime,$E86,$F86)*N(AND(BH$3&lt;=$E87,BH$4&gt;=$E87))</f>
        <v>-0</v>
      </c>
      <c r="BI87" s="33" t="n">
        <f aca="false">-CHOOSE(In_Sanction_Regime,$E86,$F86)*N(AND(BI$3&lt;=$E87,BI$4&gt;=$E87))</f>
        <v>-0</v>
      </c>
      <c r="BJ87" s="33" t="n">
        <f aca="false">-CHOOSE(In_Sanction_Regime,$E86,$F86)*N(AND(BJ$3&lt;=$E87,BJ$4&gt;=$E87))</f>
        <v>-0</v>
      </c>
      <c r="BK87" s="33" t="n">
        <f aca="false">-CHOOSE(In_Sanction_Regime,$E86,$F86)*N(AND(BK$3&lt;=$E87,BK$4&gt;=$E87))</f>
        <v>-0</v>
      </c>
      <c r="BL87" s="33" t="n">
        <f aca="false">-CHOOSE(In_Sanction_Regime,$E86,$F86)*N(AND(BL$3&lt;=$E87,BL$4&gt;=$E87))</f>
        <v>-0</v>
      </c>
      <c r="BM87" s="33" t="n">
        <f aca="false">-CHOOSE(In_Sanction_Regime,$E86,$F86)*N(AND(BM$3&lt;=$E87,BM$4&gt;=$E87))</f>
        <v>-0</v>
      </c>
      <c r="BN87" s="33" t="n">
        <f aca="false">-CHOOSE(In_Sanction_Regime,$E86,$F86)*N(AND(BN$3&lt;=$E87,BN$4&gt;=$E87))</f>
        <v>-0</v>
      </c>
      <c r="BO87" s="33" t="n">
        <f aca="false">-CHOOSE(In_Sanction_Regime,$E86,$F86)*N(AND(BO$3&lt;=$E87,BO$4&gt;=$E87))</f>
        <v>-0</v>
      </c>
      <c r="BP87" s="33" t="n">
        <f aca="false">-CHOOSE(In_Sanction_Regime,$E86,$F86)*N(AND(BP$3&lt;=$E87,BP$4&gt;=$E87))</f>
        <v>-0</v>
      </c>
      <c r="BQ87" s="33" t="n">
        <f aca="false">-CHOOSE(In_Sanction_Regime,$E86,$F86)*N(AND(BQ$3&lt;=$E87,BQ$4&gt;=$E87))</f>
        <v>-0</v>
      </c>
      <c r="BR87" s="33" t="n">
        <f aca="false">-CHOOSE(In_Sanction_Regime,$E86,$F86)*N(AND(BR$3&lt;=$E87,BR$4&gt;=$E87))</f>
        <v>-0</v>
      </c>
      <c r="BS87" s="33" t="n">
        <f aca="false">-CHOOSE(In_Sanction_Regime,$E86,$F86)*N(AND(BS$3&lt;=$E87,BS$4&gt;=$E87))</f>
        <v>-0</v>
      </c>
      <c r="BT87" s="33" t="n">
        <f aca="false">-CHOOSE(In_Sanction_Regime,$E86,$F86)*N(AND(BT$3&lt;=$E87,BT$4&gt;=$E87))</f>
        <v>-0</v>
      </c>
      <c r="BU87" s="33" t="n">
        <f aca="false">-CHOOSE(In_Sanction_Regime,$E86,$F86)*N(AND(BU$3&lt;=$E87,BU$4&gt;=$E87))</f>
        <v>-0</v>
      </c>
      <c r="BV87" s="33" t="n">
        <f aca="false">-CHOOSE(In_Sanction_Regime,$E86,$F86)*N(AND(BV$3&lt;=$E87,BV$4&gt;=$E87))</f>
        <v>-0</v>
      </c>
      <c r="BW87" s="33" t="n">
        <f aca="false">-CHOOSE(In_Sanction_Regime,$E86,$F86)*N(AND(BW$3&lt;=$E87,BW$4&gt;=$E87))</f>
        <v>-0</v>
      </c>
      <c r="BX87" s="33" t="n">
        <f aca="false">-CHOOSE(In_Sanction_Regime,$E86,$F86)*N(AND(BX$3&lt;=$E87,BX$4&gt;=$E87))</f>
        <v>-0</v>
      </c>
      <c r="BY87" s="33" t="n">
        <f aca="false">-CHOOSE(In_Sanction_Regime,$E86,$F86)*N(AND(BY$3&lt;=$E87,BY$4&gt;=$E87))</f>
        <v>-0</v>
      </c>
      <c r="BZ87" s="33" t="n">
        <f aca="false">-CHOOSE(In_Sanction_Regime,$E86,$F86)*N(AND(BZ$3&lt;=$E87,BZ$4&gt;=$E87))</f>
        <v>-0</v>
      </c>
      <c r="CA87" s="33" t="n">
        <f aca="false">-CHOOSE(In_Sanction_Regime,$E86,$F86)*N(AND(CA$3&lt;=$E87,CA$4&gt;=$E87))</f>
        <v>-0</v>
      </c>
      <c r="CB87" s="33" t="n">
        <f aca="false">-CHOOSE(In_Sanction_Regime,$E86,$F86)*N(AND(CB$3&lt;=$E87,CB$4&gt;=$E87))</f>
        <v>-0</v>
      </c>
      <c r="CC87" s="33" t="n">
        <f aca="false">-CHOOSE(In_Sanction_Regime,$E86,$F86)*N(AND(CC$3&lt;=$E87,CC$4&gt;=$E87))</f>
        <v>-0</v>
      </c>
      <c r="CD87" s="33" t="n">
        <f aca="false">-CHOOSE(In_Sanction_Regime,$E86,$F86)*N(AND(CD$3&lt;=$E87,CD$4&gt;=$E87))</f>
        <v>-0</v>
      </c>
      <c r="CE87" s="33" t="n">
        <f aca="false">-CHOOSE(In_Sanction_Regime,$E86,$F86)*N(AND(CE$3&lt;=$E87,CE$4&gt;=$E87))</f>
        <v>-0</v>
      </c>
      <c r="CF87" s="33" t="n">
        <f aca="false">-CHOOSE(In_Sanction_Regime,$E86,$F86)*N(AND(CF$3&lt;=$E87,CF$4&gt;=$E87))</f>
        <v>-0</v>
      </c>
      <c r="CG87" s="33" t="n">
        <f aca="false">-CHOOSE(In_Sanction_Regime,$E86,$F86)*N(AND(CG$3&lt;=$E87,CG$4&gt;=$E87))</f>
        <v>-0</v>
      </c>
      <c r="CH87" s="33" t="n">
        <f aca="false">-CHOOSE(In_Sanction_Regime,$E86,$F86)*N(AND(CH$3&lt;=$E87,CH$4&gt;=$E87))</f>
        <v>-0</v>
      </c>
      <c r="CI87" s="33" t="n">
        <f aca="false">-CHOOSE(In_Sanction_Regime,$E86,$F86)*N(AND(CI$3&lt;=$E87,CI$4&gt;=$E87))</f>
        <v>-0</v>
      </c>
      <c r="CJ87" s="33" t="n">
        <f aca="false">-CHOOSE(In_Sanction_Regime,$E86,$F86)*N(AND(CJ$3&lt;=$E87,CJ$4&gt;=$E87))</f>
        <v>-0</v>
      </c>
      <c r="CK87" s="33" t="n">
        <f aca="false">-CHOOSE(In_Sanction_Regime,$E86,$F86)*N(AND(CK$3&lt;=$E87,CK$4&gt;=$E87))</f>
        <v>-0</v>
      </c>
      <c r="CL87" s="33" t="n">
        <f aca="false">-CHOOSE(In_Sanction_Regime,$E86,$F86)*N(AND(CL$3&lt;=$E87,CL$4&gt;=$E87))</f>
        <v>-0</v>
      </c>
      <c r="CM87" s="33" t="n">
        <f aca="false">-CHOOSE(In_Sanction_Regime,$E86,$F86)*N(AND(CM$3&lt;=$E87,CM$4&gt;=$E87))</f>
        <v>-0</v>
      </c>
      <c r="CN87" s="33" t="n">
        <f aca="false">-CHOOSE(In_Sanction_Regime,$E86,$F86)*N(AND(CN$3&lt;=$E87,CN$4&gt;=$E87))</f>
        <v>-0</v>
      </c>
      <c r="CO87" s="33" t="n">
        <f aca="false">-CHOOSE(In_Sanction_Regime,$E86,$F86)*N(AND(CO$3&lt;=$E87,CO$4&gt;=$E87))</f>
        <v>-0</v>
      </c>
      <c r="CP87" s="33" t="n">
        <f aca="false">-CHOOSE(In_Sanction_Regime,$E86,$F86)*N(AND(CP$3&lt;=$E87,CP$4&gt;=$E87))</f>
        <v>-0</v>
      </c>
      <c r="CQ87" s="33" t="n">
        <f aca="false">-CHOOSE(In_Sanction_Regime,$E86,$F86)*N(AND(CQ$3&lt;=$E87,CQ$4&gt;=$E87))</f>
        <v>-0</v>
      </c>
      <c r="CR87" s="33" t="n">
        <f aca="false">-CHOOSE(In_Sanction_Regime,$E86,$F86)*N(AND(CR$3&lt;=$E87,CR$4&gt;=$E87))</f>
        <v>-0</v>
      </c>
      <c r="CS87" s="33" t="n">
        <f aca="false">-CHOOSE(In_Sanction_Regime,$E86,$F86)*N(AND(CS$3&lt;=$E87,CS$4&gt;=$E87))</f>
        <v>-0</v>
      </c>
      <c r="CT87" s="33" t="n">
        <f aca="false">-CHOOSE(In_Sanction_Regime,$E86,$F86)*N(AND(CT$3&lt;=$E87,CT$4&gt;=$E87))</f>
        <v>-0</v>
      </c>
      <c r="CU87" s="33" t="n">
        <f aca="false">-CHOOSE(In_Sanction_Regime,$E86,$F86)*N(AND(CU$3&lt;=$E87,CU$4&gt;=$E87))</f>
        <v>-0</v>
      </c>
      <c r="CV87" s="33" t="n">
        <f aca="false">-CHOOSE(In_Sanction_Regime,$E86,$F86)*N(AND(CV$3&lt;=$E87,CV$4&gt;=$E87))</f>
        <v>-0</v>
      </c>
      <c r="CW87" s="33" t="n">
        <f aca="false">-CHOOSE(In_Sanction_Regime,$E86,$F86)*N(AND(CW$3&lt;=$E87,CW$4&gt;=$E87))</f>
        <v>-0</v>
      </c>
      <c r="CX87" s="33" t="n">
        <f aca="false">-CHOOSE(In_Sanction_Regime,$E86,$F86)*N(AND(CX$3&lt;=$E87,CX$4&gt;=$E87))</f>
        <v>-0</v>
      </c>
      <c r="CY87" s="33" t="n">
        <f aca="false">-CHOOSE(In_Sanction_Regime,$E86,$F86)*N(AND(CY$3&lt;=$E87,CY$4&gt;=$E87))</f>
        <v>-0</v>
      </c>
      <c r="CZ87" s="33" t="n">
        <f aca="false">-CHOOSE(In_Sanction_Regime,$E86,$F86)*N(AND(CZ$3&lt;=$E87,CZ$4&gt;=$E87))</f>
        <v>-0</v>
      </c>
      <c r="DA87" s="33" t="n">
        <f aca="false">-CHOOSE(In_Sanction_Regime,$E86,$F86)*N(AND(DA$3&lt;=$E87,DA$4&gt;=$E87))</f>
        <v>-0</v>
      </c>
      <c r="DB87" s="33" t="n">
        <f aca="false">-CHOOSE(In_Sanction_Regime,$E86,$F86)*N(AND(DB$3&lt;=$E87,DB$4&gt;=$E87))</f>
        <v>-0</v>
      </c>
      <c r="DC87" s="33" t="n">
        <f aca="false">-CHOOSE(In_Sanction_Regime,$E86,$F86)*N(AND(DC$3&lt;=$E87,DC$4&gt;=$E87))</f>
        <v>-0</v>
      </c>
      <c r="DD87" s="33" t="n">
        <f aca="false">-CHOOSE(In_Sanction_Regime,$E86,$F86)*N(AND(DD$3&lt;=$E87,DD$4&gt;=$E87))</f>
        <v>-0</v>
      </c>
      <c r="DE87" s="33" t="n">
        <f aca="false">-CHOOSE(In_Sanction_Regime,$E86,$F86)*N(AND(DE$3&lt;=$E87,DE$4&gt;=$E87))</f>
        <v>-0</v>
      </c>
      <c r="DF87" s="33" t="n">
        <f aca="false">-CHOOSE(In_Sanction_Regime,$E86,$F86)*N(AND(DF$3&lt;=$E87,DF$4&gt;=$E87))</f>
        <v>-0</v>
      </c>
      <c r="DG87" s="33" t="n">
        <f aca="false">-CHOOSE(In_Sanction_Regime,$E86,$F86)*N(AND(DG$3&lt;=$E87,DG$4&gt;=$E87))</f>
        <v>-0</v>
      </c>
      <c r="DH87" s="33" t="n">
        <f aca="false">-CHOOSE(In_Sanction_Regime,$E86,$F86)*N(AND(DH$3&lt;=$E87,DH$4&gt;=$E87))</f>
        <v>-0</v>
      </c>
      <c r="DI87" s="33" t="n">
        <f aca="false">-CHOOSE(In_Sanction_Regime,$E86,$F86)*N(AND(DI$3&lt;=$E87,DI$4&gt;=$E87))</f>
        <v>-0</v>
      </c>
      <c r="DJ87" s="33" t="n">
        <f aca="false">-CHOOSE(In_Sanction_Regime,$E86,$F86)*N(AND(DJ$3&lt;=$E87,DJ$4&gt;=$E87))</f>
        <v>-0</v>
      </c>
      <c r="DK87" s="33" t="n">
        <f aca="false">-CHOOSE(In_Sanction_Regime,$E86,$F86)*N(AND(DK$3&lt;=$E87,DK$4&gt;=$E87))</f>
        <v>-0</v>
      </c>
      <c r="DL87" s="33" t="n">
        <f aca="false">-CHOOSE(In_Sanction_Regime,$E86,$F86)*N(AND(DL$3&lt;=$E87,DL$4&gt;=$E87))</f>
        <v>-0</v>
      </c>
      <c r="DM87" s="33" t="n">
        <f aca="false">-CHOOSE(In_Sanction_Regime,$E86,$F86)*N(AND(DM$3&lt;=$E87,DM$4&gt;=$E87))</f>
        <v>-0</v>
      </c>
      <c r="DN87" s="33" t="n">
        <f aca="false">-CHOOSE(In_Sanction_Regime,$E86,$F86)*N(AND(DN$3&lt;=$E87,DN$4&gt;=$E87))</f>
        <v>-0</v>
      </c>
      <c r="DO87" s="33" t="n">
        <f aca="false">-CHOOSE(In_Sanction_Regime,$E86,$F86)*N(AND(DO$3&lt;=$E87,DO$4&gt;=$E87))</f>
        <v>-0</v>
      </c>
      <c r="DP87" s="33" t="n">
        <f aca="false">-CHOOSE(In_Sanction_Regime,$E86,$F86)*N(AND(DP$3&lt;=$E87,DP$4&gt;=$E87))</f>
        <v>-0</v>
      </c>
      <c r="DQ87" s="33" t="n">
        <f aca="false">-CHOOSE(In_Sanction_Regime,$E86,$F86)*N(AND(DQ$3&lt;=$E87,DQ$4&gt;=$E87))</f>
        <v>-0</v>
      </c>
      <c r="DR87" s="33" t="n">
        <f aca="false">-CHOOSE(In_Sanction_Regime,$E86,$F86)*N(AND(DR$3&lt;=$E87,DR$4&gt;=$E87))</f>
        <v>-0</v>
      </c>
      <c r="DS87" s="33" t="n">
        <f aca="false">-CHOOSE(In_Sanction_Regime,$E86,$F86)*N(AND(DS$3&lt;=$E87,DS$4&gt;=$E87))</f>
        <v>-0</v>
      </c>
      <c r="DT87" s="33" t="n">
        <f aca="false">-CHOOSE(In_Sanction_Regime,$E86,$F86)*N(AND(DT$3&lt;=$E87,DT$4&gt;=$E87))</f>
        <v>-0</v>
      </c>
      <c r="DU87" s="33" t="n">
        <f aca="false">-CHOOSE(In_Sanction_Regime,$E86,$F86)*N(AND(DU$3&lt;=$E87,DU$4&gt;=$E87))</f>
        <v>-0</v>
      </c>
      <c r="DV87" s="33" t="n">
        <f aca="false">-CHOOSE(In_Sanction_Regime,$E86,$F86)*N(AND(DV$3&lt;=$E87,DV$4&gt;=$E87))</f>
        <v>-0</v>
      </c>
      <c r="DW87" s="33" t="n">
        <f aca="false">-CHOOSE(In_Sanction_Regime,$E86,$F86)*N(AND(DW$3&lt;=$E87,DW$4&gt;=$E87))</f>
        <v>-0</v>
      </c>
      <c r="DX87" s="33" t="n">
        <f aca="false">-CHOOSE(In_Sanction_Regime,$E86,$F86)*N(AND(DX$3&lt;=$E87,DX$4&gt;=$E87))</f>
        <v>-0</v>
      </c>
      <c r="DY87" s="33" t="n">
        <f aca="false">-CHOOSE(In_Sanction_Regime,$E86,$F86)*N(AND(DY$3&lt;=$E87,DY$4&gt;=$E87))</f>
        <v>-0</v>
      </c>
      <c r="DZ87" s="33" t="n">
        <f aca="false">-CHOOSE(In_Sanction_Regime,$E86,$F86)*N(AND(DZ$3&lt;=$E87,DZ$4&gt;=$E87))</f>
        <v>-0</v>
      </c>
      <c r="EA87" s="33" t="n">
        <f aca="false">-CHOOSE(In_Sanction_Regime,$E86,$F86)*N(AND(EA$3&lt;=$E87,EA$4&gt;=$E87))</f>
        <v>-0</v>
      </c>
      <c r="EB87" s="33" t="n">
        <f aca="false">-CHOOSE(In_Sanction_Regime,$E86,$F86)*N(AND(EB$3&lt;=$E87,EB$4&gt;=$E87))</f>
        <v>-0</v>
      </c>
      <c r="EC87" s="33" t="n">
        <f aca="false">-CHOOSE(In_Sanction_Regime,$E86,$F86)*N(AND(EC$3&lt;=$E87,EC$4&gt;=$E87))</f>
        <v>-0</v>
      </c>
      <c r="ED87" s="33" t="n">
        <f aca="false">-CHOOSE(In_Sanction_Regime,$E86,$F86)*N(AND(ED$3&lt;=$E87,ED$4&gt;=$E87))</f>
        <v>-0</v>
      </c>
      <c r="EE87" s="33" t="n">
        <f aca="false">-CHOOSE(In_Sanction_Regime,$E86,$F86)*N(AND(EE$3&lt;=$E87,EE$4&gt;=$E87))</f>
        <v>-0</v>
      </c>
      <c r="EF87" s="33" t="n">
        <f aca="false">-CHOOSE(In_Sanction_Regime,$E86,$F86)*N(AND(EF$3&lt;=$E87,EF$4&gt;=$E87))</f>
        <v>-0</v>
      </c>
      <c r="EG87" s="33" t="n">
        <f aca="false">-CHOOSE(In_Sanction_Regime,$E86,$F86)*N(AND(EG$3&lt;=$E87,EG$4&gt;=$E87))</f>
        <v>-0</v>
      </c>
      <c r="EH87" s="33" t="n">
        <f aca="false">-CHOOSE(In_Sanction_Regime,$E86,$F86)*N(AND(EH$3&lt;=$E87,EH$4&gt;=$E87))</f>
        <v>-0</v>
      </c>
      <c r="EI87" s="33" t="n">
        <f aca="false">-CHOOSE(In_Sanction_Regime,$E86,$F86)*N(AND(EI$3&lt;=$E87,EI$4&gt;=$E87))</f>
        <v>-0</v>
      </c>
      <c r="EJ87" s="33" t="n">
        <f aca="false">-CHOOSE(In_Sanction_Regime,$E86,$F86)*N(AND(EJ$3&lt;=$E87,EJ$4&gt;=$E87))</f>
        <v>-0</v>
      </c>
      <c r="EK87" s="33" t="n">
        <f aca="false">-CHOOSE(In_Sanction_Regime,$E86,$F86)*N(AND(EK$3&lt;=$E87,EK$4&gt;=$E87))</f>
        <v>-0</v>
      </c>
      <c r="EL87" s="33" t="n">
        <f aca="false">-CHOOSE(In_Sanction_Regime,$E86,$F86)*N(AND(EL$3&lt;=$E87,EL$4&gt;=$E87))</f>
        <v>-0</v>
      </c>
      <c r="EM87" s="33" t="n">
        <f aca="false">-CHOOSE(In_Sanction_Regime,$E86,$F86)*N(AND(EM$3&lt;=$E87,EM$4&gt;=$E87))</f>
        <v>-0</v>
      </c>
      <c r="EN87" s="33" t="n">
        <f aca="false">-CHOOSE(In_Sanction_Regime,$E86,$F86)*N(AND(EN$3&lt;=$E87,EN$4&gt;=$E87))</f>
        <v>-0</v>
      </c>
      <c r="EO87" s="33" t="n">
        <f aca="false">-CHOOSE(In_Sanction_Regime,$E86,$F86)*N(AND(EO$3&lt;=$E87,EO$4&gt;=$E87))</f>
        <v>-0</v>
      </c>
      <c r="EP87" s="33" t="n">
        <f aca="false">-CHOOSE(In_Sanction_Regime,$E86,$F86)*N(AND(EP$3&lt;=$E87,EP$4&gt;=$E87))</f>
        <v>-0</v>
      </c>
      <c r="EQ87" s="33" t="n">
        <f aca="false">-CHOOSE(In_Sanction_Regime,$E86,$F86)*N(AND(EQ$3&lt;=$E87,EQ$4&gt;=$E87))</f>
        <v>-0</v>
      </c>
      <c r="ER87" s="33" t="n">
        <f aca="false">-CHOOSE(In_Sanction_Regime,$E86,$F86)*N(AND(ER$3&lt;=$E87,ER$4&gt;=$E87))</f>
        <v>-0</v>
      </c>
      <c r="ES87" s="33" t="n">
        <f aca="false">-CHOOSE(In_Sanction_Regime,$E86,$F86)*N(AND(ES$3&lt;=$E87,ES$4&gt;=$E87))</f>
        <v>-0</v>
      </c>
      <c r="ET87" s="33" t="n">
        <f aca="false">-CHOOSE(In_Sanction_Regime,$E86,$F86)*N(AND(ET$3&lt;=$E87,ET$4&gt;=$E87))</f>
        <v>-0</v>
      </c>
    </row>
    <row r="88" customFormat="false" ht="15" hidden="false" customHeight="false" outlineLevel="0" collapsed="false">
      <c r="C88" s="0" t="s">
        <v>548</v>
      </c>
      <c r="D88" s="11" t="s">
        <v>147</v>
      </c>
      <c r="E88" s="32" t="n">
        <f aca="false">($E84&gt;In_Tolerance_Cap)*$E84*In_MVA</f>
        <v>33.7748344370861</v>
      </c>
    </row>
    <row r="89" customFormat="false" ht="15" hidden="false" customHeight="false" outlineLevel="0" collapsed="false">
      <c r="C89" s="0" t="s">
        <v>148</v>
      </c>
      <c r="D89" s="11" t="s">
        <v>41</v>
      </c>
      <c r="E89" s="46" t="n">
        <f aca="false">N($I87&lt;0)</f>
        <v>1</v>
      </c>
    </row>
    <row r="91" customFormat="false" ht="15" hidden="false" customHeight="false" outlineLevel="0" collapsed="false">
      <c r="A91" s="9" t="s">
        <v>13</v>
      </c>
      <c r="B91" s="9"/>
      <c r="C91" s="9" t="s">
        <v>549</v>
      </c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</row>
    <row r="92" customFormat="false" ht="15" hidden="false" customHeight="false" outlineLevel="0" collapsed="false">
      <c r="C92" s="0" t="s">
        <v>550</v>
      </c>
      <c r="D92" s="11" t="s">
        <v>41</v>
      </c>
      <c r="E92" s="46" t="n">
        <f aca="false">MAX(In_CN_Turbine,1-In_Delivered)</f>
        <v>0</v>
      </c>
    </row>
    <row r="93" customFormat="false" ht="15" hidden="false" customHeight="false" outlineLevel="0" collapsed="false">
      <c r="C93" s="0" t="s">
        <v>551</v>
      </c>
      <c r="D93" s="11" t="s">
        <v>27</v>
      </c>
      <c r="E93" s="33" t="n">
        <f aca="false">IF($E92=1,In_Turbine_CN,In_Turbine)</f>
        <v>600</v>
      </c>
      <c r="F93" s="33" t="n">
        <f aca="false">In_Installation+In_Foundations+In_BoP+In_Owner+In_Easements</f>
        <v>355</v>
      </c>
    </row>
    <row r="94" customFormat="false" ht="15" hidden="false" customHeight="false" outlineLevel="0" collapsed="false">
      <c r="C94" s="0" t="s">
        <v>552</v>
      </c>
      <c r="D94" s="11" t="s">
        <v>253</v>
      </c>
      <c r="E94" s="33" t="n">
        <f aca="false">IF($E92=1,In_Substation_CN,In_Substation)</f>
        <v>12000</v>
      </c>
    </row>
    <row r="95" customFormat="false" ht="15" hidden="false" customHeight="false" outlineLevel="0" collapsed="false">
      <c r="C95" s="0" t="s">
        <v>553</v>
      </c>
      <c r="D95" s="11" t="s">
        <v>253</v>
      </c>
      <c r="E95" s="33" t="n">
        <f aca="false">(($E93+$F93)*$F24+$E94)*(1+In_Capex_Contingency)+In_BESS_Capex*$F26</f>
        <v>133275</v>
      </c>
      <c r="I95" s="33" t="n">
        <f aca="false">SUM(J95:ET95)</f>
        <v>-133275</v>
      </c>
      <c r="J95" s="33" t="n">
        <f aca="false">-$E95*J13</f>
        <v>-0</v>
      </c>
      <c r="K95" s="33" t="n">
        <f aca="false">-$E95*K13</f>
        <v>-0</v>
      </c>
      <c r="L95" s="33" t="n">
        <f aca="false">-$E95*L13</f>
        <v>-0</v>
      </c>
      <c r="M95" s="33" t="n">
        <f aca="false">-$E95*M13</f>
        <v>-0</v>
      </c>
      <c r="N95" s="33" t="n">
        <f aca="false">-$E95*N13</f>
        <v>-0</v>
      </c>
      <c r="O95" s="33" t="n">
        <f aca="false">-$E95*O13</f>
        <v>-0</v>
      </c>
      <c r="P95" s="33" t="n">
        <f aca="false">-$E95*P13</f>
        <v>-0</v>
      </c>
      <c r="Q95" s="33" t="n">
        <f aca="false">-$E95*Q13</f>
        <v>-0</v>
      </c>
      <c r="R95" s="33" t="n">
        <f aca="false">-$E95*R13</f>
        <v>-0</v>
      </c>
      <c r="S95" s="33" t="n">
        <f aca="false">-$E95*S13</f>
        <v>-0</v>
      </c>
      <c r="T95" s="33" t="n">
        <f aca="false">-$E95*T13</f>
        <v>-0</v>
      </c>
      <c r="U95" s="33" t="n">
        <f aca="false">-$E95*U13</f>
        <v>-0</v>
      </c>
      <c r="V95" s="33" t="n">
        <f aca="false">-$E95*V13</f>
        <v>-0</v>
      </c>
      <c r="W95" s="33" t="n">
        <f aca="false">-$E95*W13</f>
        <v>-16796.301369863</v>
      </c>
      <c r="X95" s="33" t="n">
        <f aca="false">-$E95*X13</f>
        <v>-16431.1643835616</v>
      </c>
      <c r="Y95" s="33" t="n">
        <f aca="false">-$E95*Y13</f>
        <v>-16613.7328767123</v>
      </c>
      <c r="Z95" s="33" t="n">
        <f aca="false">-$E95*Z13</f>
        <v>-16796.301369863</v>
      </c>
      <c r="AA95" s="33" t="n">
        <f aca="false">-$E95*AA13</f>
        <v>-16796.301369863</v>
      </c>
      <c r="AB95" s="33" t="n">
        <f aca="false">-$E95*AB13</f>
        <v>-16431.1643835616</v>
      </c>
      <c r="AC95" s="33" t="n">
        <f aca="false">-$E95*AC13</f>
        <v>-16613.7328767123</v>
      </c>
      <c r="AD95" s="33" t="n">
        <f aca="false">-$E95*AD13</f>
        <v>-16796.301369863</v>
      </c>
      <c r="AE95" s="33" t="n">
        <f aca="false">-$E95*AE13</f>
        <v>-0</v>
      </c>
      <c r="AF95" s="33" t="n">
        <f aca="false">-$E95*AF13</f>
        <v>-0</v>
      </c>
      <c r="AG95" s="33" t="n">
        <f aca="false">-$E95*AG13</f>
        <v>-0</v>
      </c>
      <c r="AH95" s="33" t="n">
        <f aca="false">-$E95*AH13</f>
        <v>-0</v>
      </c>
      <c r="AI95" s="33" t="n">
        <f aca="false">-$E95*AI13</f>
        <v>-0</v>
      </c>
      <c r="AJ95" s="33" t="n">
        <f aca="false">-$E95*AJ13</f>
        <v>-0</v>
      </c>
      <c r="AK95" s="33" t="n">
        <f aca="false">-$E95*AK13</f>
        <v>-0</v>
      </c>
      <c r="AL95" s="33" t="n">
        <f aca="false">-$E95*AL13</f>
        <v>-0</v>
      </c>
      <c r="AM95" s="33" t="n">
        <f aca="false">-$E95*AM13</f>
        <v>-0</v>
      </c>
      <c r="AN95" s="33" t="n">
        <f aca="false">-$E95*AN13</f>
        <v>-0</v>
      </c>
      <c r="AO95" s="33" t="n">
        <f aca="false">-$E95*AO13</f>
        <v>-0</v>
      </c>
      <c r="AP95" s="33" t="n">
        <f aca="false">-$E95*AP13</f>
        <v>-0</v>
      </c>
      <c r="AQ95" s="33" t="n">
        <f aca="false">-$E95*AQ13</f>
        <v>-0</v>
      </c>
      <c r="AR95" s="33" t="n">
        <f aca="false">-$E95*AR13</f>
        <v>-0</v>
      </c>
      <c r="AS95" s="33" t="n">
        <f aca="false">-$E95*AS13</f>
        <v>-0</v>
      </c>
      <c r="AT95" s="33" t="n">
        <f aca="false">-$E95*AT13</f>
        <v>-0</v>
      </c>
      <c r="AU95" s="33" t="n">
        <f aca="false">-$E95*AU13</f>
        <v>-0</v>
      </c>
      <c r="AV95" s="33" t="n">
        <f aca="false">-$E95*AV13</f>
        <v>-0</v>
      </c>
      <c r="AW95" s="33" t="n">
        <f aca="false">-$E95*AW13</f>
        <v>-0</v>
      </c>
      <c r="AX95" s="33" t="n">
        <f aca="false">-$E95*AX13</f>
        <v>-0</v>
      </c>
      <c r="AY95" s="33" t="n">
        <f aca="false">-$E95*AY13</f>
        <v>-0</v>
      </c>
      <c r="AZ95" s="33" t="n">
        <f aca="false">-$E95*AZ13</f>
        <v>-0</v>
      </c>
      <c r="BA95" s="33" t="n">
        <f aca="false">-$E95*BA13</f>
        <v>-0</v>
      </c>
      <c r="BB95" s="33" t="n">
        <f aca="false">-$E95*BB13</f>
        <v>-0</v>
      </c>
      <c r="BC95" s="33" t="n">
        <f aca="false">-$E95*BC13</f>
        <v>-0</v>
      </c>
      <c r="BD95" s="33" t="n">
        <f aca="false">-$E95*BD13</f>
        <v>-0</v>
      </c>
      <c r="BE95" s="33" t="n">
        <f aca="false">-$E95*BE13</f>
        <v>-0</v>
      </c>
      <c r="BF95" s="33" t="n">
        <f aca="false">-$E95*BF13</f>
        <v>-0</v>
      </c>
      <c r="BG95" s="33" t="n">
        <f aca="false">-$E95*BG13</f>
        <v>-0</v>
      </c>
      <c r="BH95" s="33" t="n">
        <f aca="false">-$E95*BH13</f>
        <v>-0</v>
      </c>
      <c r="BI95" s="33" t="n">
        <f aca="false">-$E95*BI13</f>
        <v>-0</v>
      </c>
      <c r="BJ95" s="33" t="n">
        <f aca="false">-$E95*BJ13</f>
        <v>-0</v>
      </c>
      <c r="BK95" s="33" t="n">
        <f aca="false">-$E95*BK13</f>
        <v>-0</v>
      </c>
      <c r="BL95" s="33" t="n">
        <f aca="false">-$E95*BL13</f>
        <v>-0</v>
      </c>
      <c r="BM95" s="33" t="n">
        <f aca="false">-$E95*BM13</f>
        <v>-0</v>
      </c>
      <c r="BN95" s="33" t="n">
        <f aca="false">-$E95*BN13</f>
        <v>-0</v>
      </c>
      <c r="BO95" s="33" t="n">
        <f aca="false">-$E95*BO13</f>
        <v>-0</v>
      </c>
      <c r="BP95" s="33" t="n">
        <f aca="false">-$E95*BP13</f>
        <v>-0</v>
      </c>
      <c r="BQ95" s="33" t="n">
        <f aca="false">-$E95*BQ13</f>
        <v>-0</v>
      </c>
      <c r="BR95" s="33" t="n">
        <f aca="false">-$E95*BR13</f>
        <v>-0</v>
      </c>
      <c r="BS95" s="33" t="n">
        <f aca="false">-$E95*BS13</f>
        <v>-0</v>
      </c>
      <c r="BT95" s="33" t="n">
        <f aca="false">-$E95*BT13</f>
        <v>-0</v>
      </c>
      <c r="BU95" s="33" t="n">
        <f aca="false">-$E95*BU13</f>
        <v>-0</v>
      </c>
      <c r="BV95" s="33" t="n">
        <f aca="false">-$E95*BV13</f>
        <v>-0</v>
      </c>
      <c r="BW95" s="33" t="n">
        <f aca="false">-$E95*BW13</f>
        <v>-0</v>
      </c>
      <c r="BX95" s="33" t="n">
        <f aca="false">-$E95*BX13</f>
        <v>-0</v>
      </c>
      <c r="BY95" s="33" t="n">
        <f aca="false">-$E95*BY13</f>
        <v>-0</v>
      </c>
      <c r="BZ95" s="33" t="n">
        <f aca="false">-$E95*BZ13</f>
        <v>-0</v>
      </c>
      <c r="CA95" s="33" t="n">
        <f aca="false">-$E95*CA13</f>
        <v>-0</v>
      </c>
      <c r="CB95" s="33" t="n">
        <f aca="false">-$E95*CB13</f>
        <v>-0</v>
      </c>
      <c r="CC95" s="33" t="n">
        <f aca="false">-$E95*CC13</f>
        <v>-0</v>
      </c>
      <c r="CD95" s="33" t="n">
        <f aca="false">-$E95*CD13</f>
        <v>-0</v>
      </c>
      <c r="CE95" s="33" t="n">
        <f aca="false">-$E95*CE13</f>
        <v>-0</v>
      </c>
      <c r="CF95" s="33" t="n">
        <f aca="false">-$E95*CF13</f>
        <v>-0</v>
      </c>
      <c r="CG95" s="33" t="n">
        <f aca="false">-$E95*CG13</f>
        <v>-0</v>
      </c>
      <c r="CH95" s="33" t="n">
        <f aca="false">-$E95*CH13</f>
        <v>-0</v>
      </c>
      <c r="CI95" s="33" t="n">
        <f aca="false">-$E95*CI13</f>
        <v>-0</v>
      </c>
      <c r="CJ95" s="33" t="n">
        <f aca="false">-$E95*CJ13</f>
        <v>-0</v>
      </c>
      <c r="CK95" s="33" t="n">
        <f aca="false">-$E95*CK13</f>
        <v>-0</v>
      </c>
      <c r="CL95" s="33" t="n">
        <f aca="false">-$E95*CL13</f>
        <v>-0</v>
      </c>
      <c r="CM95" s="33" t="n">
        <f aca="false">-$E95*CM13</f>
        <v>-0</v>
      </c>
      <c r="CN95" s="33" t="n">
        <f aca="false">-$E95*CN13</f>
        <v>-0</v>
      </c>
      <c r="CO95" s="33" t="n">
        <f aca="false">-$E95*CO13</f>
        <v>-0</v>
      </c>
      <c r="CP95" s="33" t="n">
        <f aca="false">-$E95*CP13</f>
        <v>-0</v>
      </c>
      <c r="CQ95" s="33" t="n">
        <f aca="false">-$E95*CQ13</f>
        <v>-0</v>
      </c>
      <c r="CR95" s="33" t="n">
        <f aca="false">-$E95*CR13</f>
        <v>-0</v>
      </c>
      <c r="CS95" s="33" t="n">
        <f aca="false">-$E95*CS13</f>
        <v>-0</v>
      </c>
      <c r="CT95" s="33" t="n">
        <f aca="false">-$E95*CT13</f>
        <v>-0</v>
      </c>
      <c r="CU95" s="33" t="n">
        <f aca="false">-$E95*CU13</f>
        <v>-0</v>
      </c>
      <c r="CV95" s="33" t="n">
        <f aca="false">-$E95*CV13</f>
        <v>-0</v>
      </c>
      <c r="CW95" s="33" t="n">
        <f aca="false">-$E95*CW13</f>
        <v>-0</v>
      </c>
      <c r="CX95" s="33" t="n">
        <f aca="false">-$E95*CX13</f>
        <v>-0</v>
      </c>
      <c r="CY95" s="33" t="n">
        <f aca="false">-$E95*CY13</f>
        <v>-0</v>
      </c>
      <c r="CZ95" s="33" t="n">
        <f aca="false">-$E95*CZ13</f>
        <v>-0</v>
      </c>
      <c r="DA95" s="33" t="n">
        <f aca="false">-$E95*DA13</f>
        <v>-0</v>
      </c>
      <c r="DB95" s="33" t="n">
        <f aca="false">-$E95*DB13</f>
        <v>-0</v>
      </c>
      <c r="DC95" s="33" t="n">
        <f aca="false">-$E95*DC13</f>
        <v>-0</v>
      </c>
      <c r="DD95" s="33" t="n">
        <f aca="false">-$E95*DD13</f>
        <v>-0</v>
      </c>
      <c r="DE95" s="33" t="n">
        <f aca="false">-$E95*DE13</f>
        <v>-0</v>
      </c>
      <c r="DF95" s="33" t="n">
        <f aca="false">-$E95*DF13</f>
        <v>-0</v>
      </c>
      <c r="DG95" s="33" t="n">
        <f aca="false">-$E95*DG13</f>
        <v>-0</v>
      </c>
      <c r="DH95" s="33" t="n">
        <f aca="false">-$E95*DH13</f>
        <v>-0</v>
      </c>
      <c r="DI95" s="33" t="n">
        <f aca="false">-$E95*DI13</f>
        <v>-0</v>
      </c>
      <c r="DJ95" s="33" t="n">
        <f aca="false">-$E95*DJ13</f>
        <v>-0</v>
      </c>
      <c r="DK95" s="33" t="n">
        <f aca="false">-$E95*DK13</f>
        <v>-0</v>
      </c>
      <c r="DL95" s="33" t="n">
        <f aca="false">-$E95*DL13</f>
        <v>-0</v>
      </c>
      <c r="DM95" s="33" t="n">
        <f aca="false">-$E95*DM13</f>
        <v>-0</v>
      </c>
      <c r="DN95" s="33" t="n">
        <f aca="false">-$E95*DN13</f>
        <v>-0</v>
      </c>
      <c r="DO95" s="33" t="n">
        <f aca="false">-$E95*DO13</f>
        <v>-0</v>
      </c>
      <c r="DP95" s="33" t="n">
        <f aca="false">-$E95*DP13</f>
        <v>-0</v>
      </c>
      <c r="DQ95" s="33" t="n">
        <f aca="false">-$E95*DQ13</f>
        <v>-0</v>
      </c>
      <c r="DR95" s="33" t="n">
        <f aca="false">-$E95*DR13</f>
        <v>-0</v>
      </c>
      <c r="DS95" s="33" t="n">
        <f aca="false">-$E95*DS13</f>
        <v>-0</v>
      </c>
      <c r="DT95" s="33" t="n">
        <f aca="false">-$E95*DT13</f>
        <v>-0</v>
      </c>
      <c r="DU95" s="33" t="n">
        <f aca="false">-$E95*DU13</f>
        <v>-0</v>
      </c>
      <c r="DV95" s="33" t="n">
        <f aca="false">-$E95*DV13</f>
        <v>-0</v>
      </c>
      <c r="DW95" s="33" t="n">
        <f aca="false">-$E95*DW13</f>
        <v>-0</v>
      </c>
      <c r="DX95" s="33" t="n">
        <f aca="false">-$E95*DX13</f>
        <v>-0</v>
      </c>
      <c r="DY95" s="33" t="n">
        <f aca="false">-$E95*DY13</f>
        <v>-0</v>
      </c>
      <c r="DZ95" s="33" t="n">
        <f aca="false">-$E95*DZ13</f>
        <v>-0</v>
      </c>
      <c r="EA95" s="33" t="n">
        <f aca="false">-$E95*EA13</f>
        <v>-0</v>
      </c>
      <c r="EB95" s="33" t="n">
        <f aca="false">-$E95*EB13</f>
        <v>-0</v>
      </c>
      <c r="EC95" s="33" t="n">
        <f aca="false">-$E95*EC13</f>
        <v>-0</v>
      </c>
      <c r="ED95" s="33" t="n">
        <f aca="false">-$E95*ED13</f>
        <v>-0</v>
      </c>
      <c r="EE95" s="33" t="n">
        <f aca="false">-$E95*EE13</f>
        <v>-0</v>
      </c>
      <c r="EF95" s="33" t="n">
        <f aca="false">-$E95*EF13</f>
        <v>-0</v>
      </c>
      <c r="EG95" s="33" t="n">
        <f aca="false">-$E95*EG13</f>
        <v>-0</v>
      </c>
      <c r="EH95" s="33" t="n">
        <f aca="false">-$E95*EH13</f>
        <v>-0</v>
      </c>
      <c r="EI95" s="33" t="n">
        <f aca="false">-$E95*EI13</f>
        <v>-0</v>
      </c>
      <c r="EJ95" s="33" t="n">
        <f aca="false">-$E95*EJ13</f>
        <v>-0</v>
      </c>
      <c r="EK95" s="33" t="n">
        <f aca="false">-$E95*EK13</f>
        <v>-0</v>
      </c>
      <c r="EL95" s="33" t="n">
        <f aca="false">-$E95*EL13</f>
        <v>-0</v>
      </c>
      <c r="EM95" s="33" t="n">
        <f aca="false">-$E95*EM13</f>
        <v>-0</v>
      </c>
      <c r="EN95" s="33" t="n">
        <f aca="false">-$E95*EN13</f>
        <v>-0</v>
      </c>
      <c r="EO95" s="33" t="n">
        <f aca="false">-$E95*EO13</f>
        <v>-0</v>
      </c>
      <c r="EP95" s="33" t="n">
        <f aca="false">-$E95*EP13</f>
        <v>-0</v>
      </c>
      <c r="EQ95" s="33" t="n">
        <f aca="false">-$E95*EQ13</f>
        <v>-0</v>
      </c>
      <c r="ER95" s="33" t="n">
        <f aca="false">-$E95*ER13</f>
        <v>-0</v>
      </c>
      <c r="ES95" s="33" t="n">
        <f aca="false">-$E95*ES13</f>
        <v>-0</v>
      </c>
      <c r="ET95" s="33" t="n">
        <f aca="false">-$E95*ET13</f>
        <v>-0</v>
      </c>
    </row>
    <row r="96" customFormat="false" ht="15" hidden="false" customHeight="false" outlineLevel="0" collapsed="false">
      <c r="C96" s="0" t="s">
        <v>554</v>
      </c>
      <c r="D96" s="11" t="s">
        <v>253</v>
      </c>
      <c r="E96" s="33" t="n">
        <f aca="false">$E30*In_MVA*In_Delivered</f>
        <v>5000</v>
      </c>
      <c r="I96" s="33" t="n">
        <f aca="false">SUM(J96:ET96)</f>
        <v>-5000</v>
      </c>
      <c r="J96" s="33" t="n">
        <f aca="false">-$E96*J14</f>
        <v>-0</v>
      </c>
      <c r="K96" s="33" t="n">
        <f aca="false">-$E96*K14</f>
        <v>-0</v>
      </c>
      <c r="L96" s="33" t="n">
        <f aca="false">-$E96*L14</f>
        <v>-0</v>
      </c>
      <c r="M96" s="33" t="n">
        <f aca="false">-$E96*M14</f>
        <v>-0</v>
      </c>
      <c r="N96" s="33" t="n">
        <f aca="false">-$E96*N14</f>
        <v>-0</v>
      </c>
      <c r="O96" s="33" t="n">
        <f aca="false">-$E96*O14</f>
        <v>-0</v>
      </c>
      <c r="P96" s="33" t="n">
        <f aca="false">-$E96*P14</f>
        <v>-0</v>
      </c>
      <c r="Q96" s="33" t="n">
        <f aca="false">-$E96*Q14</f>
        <v>-0</v>
      </c>
      <c r="R96" s="33" t="n">
        <f aca="false">-$E96*R14</f>
        <v>-0</v>
      </c>
      <c r="S96" s="33" t="n">
        <f aca="false">-$E96*S14</f>
        <v>-0</v>
      </c>
      <c r="T96" s="33" t="n">
        <f aca="false">-$E96*T14</f>
        <v>-0</v>
      </c>
      <c r="U96" s="33" t="n">
        <f aca="false">-$E96*U14</f>
        <v>-0</v>
      </c>
      <c r="V96" s="33" t="n">
        <f aca="false">-$E96*V14</f>
        <v>-0</v>
      </c>
      <c r="W96" s="33" t="n">
        <f aca="false">-$E96*W14</f>
        <v>-0</v>
      </c>
      <c r="X96" s="33" t="n">
        <f aca="false">-$E96*X14</f>
        <v>-0</v>
      </c>
      <c r="Y96" s="33" t="n">
        <f aca="false">-$E96*Y14</f>
        <v>-0</v>
      </c>
      <c r="Z96" s="33" t="n">
        <f aca="false">-$E96*Z14</f>
        <v>-0</v>
      </c>
      <c r="AA96" s="33" t="n">
        <f aca="false">-$E96*AA14</f>
        <v>-0</v>
      </c>
      <c r="AB96" s="33" t="n">
        <f aca="false">-$E96*AB14</f>
        <v>-0</v>
      </c>
      <c r="AC96" s="33" t="n">
        <f aca="false">-$E96*AC14</f>
        <v>-0</v>
      </c>
      <c r="AD96" s="33" t="n">
        <f aca="false">-$E96*AD14</f>
        <v>-5000</v>
      </c>
      <c r="AE96" s="33" t="n">
        <f aca="false">-$E96*AE14</f>
        <v>-0</v>
      </c>
      <c r="AF96" s="33" t="n">
        <f aca="false">-$E96*AF14</f>
        <v>-0</v>
      </c>
      <c r="AG96" s="33" t="n">
        <f aca="false">-$E96*AG14</f>
        <v>-0</v>
      </c>
      <c r="AH96" s="33" t="n">
        <f aca="false">-$E96*AH14</f>
        <v>-0</v>
      </c>
      <c r="AI96" s="33" t="n">
        <f aca="false">-$E96*AI14</f>
        <v>-0</v>
      </c>
      <c r="AJ96" s="33" t="n">
        <f aca="false">-$E96*AJ14</f>
        <v>-0</v>
      </c>
      <c r="AK96" s="33" t="n">
        <f aca="false">-$E96*AK14</f>
        <v>-0</v>
      </c>
      <c r="AL96" s="33" t="n">
        <f aca="false">-$E96*AL14</f>
        <v>-0</v>
      </c>
      <c r="AM96" s="33" t="n">
        <f aca="false">-$E96*AM14</f>
        <v>-0</v>
      </c>
      <c r="AN96" s="33" t="n">
        <f aca="false">-$E96*AN14</f>
        <v>-0</v>
      </c>
      <c r="AO96" s="33" t="n">
        <f aca="false">-$E96*AO14</f>
        <v>-0</v>
      </c>
      <c r="AP96" s="33" t="n">
        <f aca="false">-$E96*AP14</f>
        <v>-0</v>
      </c>
      <c r="AQ96" s="33" t="n">
        <f aca="false">-$E96*AQ14</f>
        <v>-0</v>
      </c>
      <c r="AR96" s="33" t="n">
        <f aca="false">-$E96*AR14</f>
        <v>-0</v>
      </c>
      <c r="AS96" s="33" t="n">
        <f aca="false">-$E96*AS14</f>
        <v>-0</v>
      </c>
      <c r="AT96" s="33" t="n">
        <f aca="false">-$E96*AT14</f>
        <v>-0</v>
      </c>
      <c r="AU96" s="33" t="n">
        <f aca="false">-$E96*AU14</f>
        <v>-0</v>
      </c>
      <c r="AV96" s="33" t="n">
        <f aca="false">-$E96*AV14</f>
        <v>-0</v>
      </c>
      <c r="AW96" s="33" t="n">
        <f aca="false">-$E96*AW14</f>
        <v>-0</v>
      </c>
      <c r="AX96" s="33" t="n">
        <f aca="false">-$E96*AX14</f>
        <v>-0</v>
      </c>
      <c r="AY96" s="33" t="n">
        <f aca="false">-$E96*AY14</f>
        <v>-0</v>
      </c>
      <c r="AZ96" s="33" t="n">
        <f aca="false">-$E96*AZ14</f>
        <v>-0</v>
      </c>
      <c r="BA96" s="33" t="n">
        <f aca="false">-$E96*BA14</f>
        <v>-0</v>
      </c>
      <c r="BB96" s="33" t="n">
        <f aca="false">-$E96*BB14</f>
        <v>-0</v>
      </c>
      <c r="BC96" s="33" t="n">
        <f aca="false">-$E96*BC14</f>
        <v>-0</v>
      </c>
      <c r="BD96" s="33" t="n">
        <f aca="false">-$E96*BD14</f>
        <v>-0</v>
      </c>
      <c r="BE96" s="33" t="n">
        <f aca="false">-$E96*BE14</f>
        <v>-0</v>
      </c>
      <c r="BF96" s="33" t="n">
        <f aca="false">-$E96*BF14</f>
        <v>-0</v>
      </c>
      <c r="BG96" s="33" t="n">
        <f aca="false">-$E96*BG14</f>
        <v>-0</v>
      </c>
      <c r="BH96" s="33" t="n">
        <f aca="false">-$E96*BH14</f>
        <v>-0</v>
      </c>
      <c r="BI96" s="33" t="n">
        <f aca="false">-$E96*BI14</f>
        <v>-0</v>
      </c>
      <c r="BJ96" s="33" t="n">
        <f aca="false">-$E96*BJ14</f>
        <v>-0</v>
      </c>
      <c r="BK96" s="33" t="n">
        <f aca="false">-$E96*BK14</f>
        <v>-0</v>
      </c>
      <c r="BL96" s="33" t="n">
        <f aca="false">-$E96*BL14</f>
        <v>-0</v>
      </c>
      <c r="BM96" s="33" t="n">
        <f aca="false">-$E96*BM14</f>
        <v>-0</v>
      </c>
      <c r="BN96" s="33" t="n">
        <f aca="false">-$E96*BN14</f>
        <v>-0</v>
      </c>
      <c r="BO96" s="33" t="n">
        <f aca="false">-$E96*BO14</f>
        <v>-0</v>
      </c>
      <c r="BP96" s="33" t="n">
        <f aca="false">-$E96*BP14</f>
        <v>-0</v>
      </c>
      <c r="BQ96" s="33" t="n">
        <f aca="false">-$E96*BQ14</f>
        <v>-0</v>
      </c>
      <c r="BR96" s="33" t="n">
        <f aca="false">-$E96*BR14</f>
        <v>-0</v>
      </c>
      <c r="BS96" s="33" t="n">
        <f aca="false">-$E96*BS14</f>
        <v>-0</v>
      </c>
      <c r="BT96" s="33" t="n">
        <f aca="false">-$E96*BT14</f>
        <v>-0</v>
      </c>
      <c r="BU96" s="33" t="n">
        <f aca="false">-$E96*BU14</f>
        <v>-0</v>
      </c>
      <c r="BV96" s="33" t="n">
        <f aca="false">-$E96*BV14</f>
        <v>-0</v>
      </c>
      <c r="BW96" s="33" t="n">
        <f aca="false">-$E96*BW14</f>
        <v>-0</v>
      </c>
      <c r="BX96" s="33" t="n">
        <f aca="false">-$E96*BX14</f>
        <v>-0</v>
      </c>
      <c r="BY96" s="33" t="n">
        <f aca="false">-$E96*BY14</f>
        <v>-0</v>
      </c>
      <c r="BZ96" s="33" t="n">
        <f aca="false">-$E96*BZ14</f>
        <v>-0</v>
      </c>
      <c r="CA96" s="33" t="n">
        <f aca="false">-$E96*CA14</f>
        <v>-0</v>
      </c>
      <c r="CB96" s="33" t="n">
        <f aca="false">-$E96*CB14</f>
        <v>-0</v>
      </c>
      <c r="CC96" s="33" t="n">
        <f aca="false">-$E96*CC14</f>
        <v>-0</v>
      </c>
      <c r="CD96" s="33" t="n">
        <f aca="false">-$E96*CD14</f>
        <v>-0</v>
      </c>
      <c r="CE96" s="33" t="n">
        <f aca="false">-$E96*CE14</f>
        <v>-0</v>
      </c>
      <c r="CF96" s="33" t="n">
        <f aca="false">-$E96*CF14</f>
        <v>-0</v>
      </c>
      <c r="CG96" s="33" t="n">
        <f aca="false">-$E96*CG14</f>
        <v>-0</v>
      </c>
      <c r="CH96" s="33" t="n">
        <f aca="false">-$E96*CH14</f>
        <v>-0</v>
      </c>
      <c r="CI96" s="33" t="n">
        <f aca="false">-$E96*CI14</f>
        <v>-0</v>
      </c>
      <c r="CJ96" s="33" t="n">
        <f aca="false">-$E96*CJ14</f>
        <v>-0</v>
      </c>
      <c r="CK96" s="33" t="n">
        <f aca="false">-$E96*CK14</f>
        <v>-0</v>
      </c>
      <c r="CL96" s="33" t="n">
        <f aca="false">-$E96*CL14</f>
        <v>-0</v>
      </c>
      <c r="CM96" s="33" t="n">
        <f aca="false">-$E96*CM14</f>
        <v>-0</v>
      </c>
      <c r="CN96" s="33" t="n">
        <f aca="false">-$E96*CN14</f>
        <v>-0</v>
      </c>
      <c r="CO96" s="33" t="n">
        <f aca="false">-$E96*CO14</f>
        <v>-0</v>
      </c>
      <c r="CP96" s="33" t="n">
        <f aca="false">-$E96*CP14</f>
        <v>-0</v>
      </c>
      <c r="CQ96" s="33" t="n">
        <f aca="false">-$E96*CQ14</f>
        <v>-0</v>
      </c>
      <c r="CR96" s="33" t="n">
        <f aca="false">-$E96*CR14</f>
        <v>-0</v>
      </c>
      <c r="CS96" s="33" t="n">
        <f aca="false">-$E96*CS14</f>
        <v>-0</v>
      </c>
      <c r="CT96" s="33" t="n">
        <f aca="false">-$E96*CT14</f>
        <v>-0</v>
      </c>
      <c r="CU96" s="33" t="n">
        <f aca="false">-$E96*CU14</f>
        <v>-0</v>
      </c>
      <c r="CV96" s="33" t="n">
        <f aca="false">-$E96*CV14</f>
        <v>-0</v>
      </c>
      <c r="CW96" s="33" t="n">
        <f aca="false">-$E96*CW14</f>
        <v>-0</v>
      </c>
      <c r="CX96" s="33" t="n">
        <f aca="false">-$E96*CX14</f>
        <v>-0</v>
      </c>
      <c r="CY96" s="33" t="n">
        <f aca="false">-$E96*CY14</f>
        <v>-0</v>
      </c>
      <c r="CZ96" s="33" t="n">
        <f aca="false">-$E96*CZ14</f>
        <v>-0</v>
      </c>
      <c r="DA96" s="33" t="n">
        <f aca="false">-$E96*DA14</f>
        <v>-0</v>
      </c>
      <c r="DB96" s="33" t="n">
        <f aca="false">-$E96*DB14</f>
        <v>-0</v>
      </c>
      <c r="DC96" s="33" t="n">
        <f aca="false">-$E96*DC14</f>
        <v>-0</v>
      </c>
      <c r="DD96" s="33" t="n">
        <f aca="false">-$E96*DD14</f>
        <v>-0</v>
      </c>
      <c r="DE96" s="33" t="n">
        <f aca="false">-$E96*DE14</f>
        <v>-0</v>
      </c>
      <c r="DF96" s="33" t="n">
        <f aca="false">-$E96*DF14</f>
        <v>-0</v>
      </c>
      <c r="DG96" s="33" t="n">
        <f aca="false">-$E96*DG14</f>
        <v>-0</v>
      </c>
      <c r="DH96" s="33" t="n">
        <f aca="false">-$E96*DH14</f>
        <v>-0</v>
      </c>
      <c r="DI96" s="33" t="n">
        <f aca="false">-$E96*DI14</f>
        <v>-0</v>
      </c>
      <c r="DJ96" s="33" t="n">
        <f aca="false">-$E96*DJ14</f>
        <v>-0</v>
      </c>
      <c r="DK96" s="33" t="n">
        <f aca="false">-$E96*DK14</f>
        <v>-0</v>
      </c>
      <c r="DL96" s="33" t="n">
        <f aca="false">-$E96*DL14</f>
        <v>-0</v>
      </c>
      <c r="DM96" s="33" t="n">
        <f aca="false">-$E96*DM14</f>
        <v>-0</v>
      </c>
      <c r="DN96" s="33" t="n">
        <f aca="false">-$E96*DN14</f>
        <v>-0</v>
      </c>
      <c r="DO96" s="33" t="n">
        <f aca="false">-$E96*DO14</f>
        <v>-0</v>
      </c>
      <c r="DP96" s="33" t="n">
        <f aca="false">-$E96*DP14</f>
        <v>-0</v>
      </c>
      <c r="DQ96" s="33" t="n">
        <f aca="false">-$E96*DQ14</f>
        <v>-0</v>
      </c>
      <c r="DR96" s="33" t="n">
        <f aca="false">-$E96*DR14</f>
        <v>-0</v>
      </c>
      <c r="DS96" s="33" t="n">
        <f aca="false">-$E96*DS14</f>
        <v>-0</v>
      </c>
      <c r="DT96" s="33" t="n">
        <f aca="false">-$E96*DT14</f>
        <v>-0</v>
      </c>
      <c r="DU96" s="33" t="n">
        <f aca="false">-$E96*DU14</f>
        <v>-0</v>
      </c>
      <c r="DV96" s="33" t="n">
        <f aca="false">-$E96*DV14</f>
        <v>-0</v>
      </c>
      <c r="DW96" s="33" t="n">
        <f aca="false">-$E96*DW14</f>
        <v>-0</v>
      </c>
      <c r="DX96" s="33" t="n">
        <f aca="false">-$E96*DX14</f>
        <v>-0</v>
      </c>
      <c r="DY96" s="33" t="n">
        <f aca="false">-$E96*DY14</f>
        <v>-0</v>
      </c>
      <c r="DZ96" s="33" t="n">
        <f aca="false">-$E96*DZ14</f>
        <v>-0</v>
      </c>
      <c r="EA96" s="33" t="n">
        <f aca="false">-$E96*EA14</f>
        <v>-0</v>
      </c>
      <c r="EB96" s="33" t="n">
        <f aca="false">-$E96*EB14</f>
        <v>-0</v>
      </c>
      <c r="EC96" s="33" t="n">
        <f aca="false">-$E96*EC14</f>
        <v>-0</v>
      </c>
      <c r="ED96" s="33" t="n">
        <f aca="false">-$E96*ED14</f>
        <v>-0</v>
      </c>
      <c r="EE96" s="33" t="n">
        <f aca="false">-$E96*EE14</f>
        <v>-0</v>
      </c>
      <c r="EF96" s="33" t="n">
        <f aca="false">-$E96*EF14</f>
        <v>-0</v>
      </c>
      <c r="EG96" s="33" t="n">
        <f aca="false">-$E96*EG14</f>
        <v>-0</v>
      </c>
      <c r="EH96" s="33" t="n">
        <f aca="false">-$E96*EH14</f>
        <v>-0</v>
      </c>
      <c r="EI96" s="33" t="n">
        <f aca="false">-$E96*EI14</f>
        <v>-0</v>
      </c>
      <c r="EJ96" s="33" t="n">
        <f aca="false">-$E96*EJ14</f>
        <v>-0</v>
      </c>
      <c r="EK96" s="33" t="n">
        <f aca="false">-$E96*EK14</f>
        <v>-0</v>
      </c>
      <c r="EL96" s="33" t="n">
        <f aca="false">-$E96*EL14</f>
        <v>-0</v>
      </c>
      <c r="EM96" s="33" t="n">
        <f aca="false">-$E96*EM14</f>
        <v>-0</v>
      </c>
      <c r="EN96" s="33" t="n">
        <f aca="false">-$E96*EN14</f>
        <v>-0</v>
      </c>
      <c r="EO96" s="33" t="n">
        <f aca="false">-$E96*EO14</f>
        <v>-0</v>
      </c>
      <c r="EP96" s="33" t="n">
        <f aca="false">-$E96*EP14</f>
        <v>-0</v>
      </c>
      <c r="EQ96" s="33" t="n">
        <f aca="false">-$E96*EQ14</f>
        <v>-0</v>
      </c>
      <c r="ER96" s="33" t="n">
        <f aca="false">-$E96*ER14</f>
        <v>-0</v>
      </c>
      <c r="ES96" s="33" t="n">
        <f aca="false">-$E96*ES14</f>
        <v>-0</v>
      </c>
      <c r="ET96" s="33" t="n">
        <f aca="false">-$E96*ET14</f>
        <v>-0</v>
      </c>
    </row>
    <row r="97" customFormat="false" ht="15" hidden="false" customHeight="false" outlineLevel="0" collapsed="false">
      <c r="A97" s="55"/>
      <c r="B97" s="55"/>
      <c r="C97" s="55" t="s">
        <v>555</v>
      </c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5"/>
      <c r="AD97" s="55"/>
      <c r="AE97" s="55"/>
      <c r="AF97" s="55"/>
      <c r="AG97" s="55"/>
      <c r="AH97" s="55"/>
      <c r="AI97" s="55"/>
      <c r="AJ97" s="55"/>
      <c r="AK97" s="55"/>
      <c r="AL97" s="55"/>
      <c r="AM97" s="55"/>
      <c r="AN97" s="55"/>
      <c r="AO97" s="55"/>
      <c r="AP97" s="55"/>
      <c r="AQ97" s="55"/>
      <c r="AR97" s="55"/>
      <c r="AS97" s="55"/>
      <c r="AT97" s="55"/>
      <c r="AU97" s="55"/>
      <c r="AV97" s="55"/>
      <c r="AW97" s="55"/>
      <c r="AX97" s="55"/>
      <c r="AY97" s="55"/>
      <c r="AZ97" s="55"/>
      <c r="BA97" s="55"/>
      <c r="BB97" s="55"/>
      <c r="BC97" s="55"/>
      <c r="BD97" s="55"/>
      <c r="BE97" s="55"/>
      <c r="BF97" s="55"/>
      <c r="BG97" s="55"/>
      <c r="BH97" s="55"/>
      <c r="BI97" s="55"/>
      <c r="BJ97" s="55"/>
      <c r="BK97" s="55"/>
      <c r="BL97" s="55"/>
      <c r="BM97" s="55"/>
      <c r="BN97" s="55"/>
      <c r="BO97" s="55"/>
      <c r="BP97" s="55"/>
      <c r="BQ97" s="55"/>
      <c r="BR97" s="55"/>
      <c r="BS97" s="55"/>
      <c r="BT97" s="55"/>
      <c r="BU97" s="55"/>
      <c r="BV97" s="55"/>
      <c r="BW97" s="55"/>
      <c r="BX97" s="55"/>
      <c r="BY97" s="55"/>
      <c r="BZ97" s="55"/>
      <c r="CA97" s="55"/>
      <c r="CB97" s="55"/>
      <c r="CC97" s="55"/>
      <c r="CD97" s="55"/>
      <c r="CE97" s="55"/>
      <c r="CF97" s="55"/>
      <c r="CG97" s="55"/>
      <c r="CH97" s="55"/>
      <c r="CI97" s="55"/>
      <c r="CJ97" s="55"/>
      <c r="CK97" s="55"/>
      <c r="CL97" s="55"/>
      <c r="CM97" s="55"/>
      <c r="CN97" s="55"/>
      <c r="CO97" s="55"/>
      <c r="CP97" s="55"/>
      <c r="CQ97" s="55"/>
      <c r="CR97" s="55"/>
      <c r="CS97" s="55"/>
      <c r="CT97" s="55"/>
      <c r="CU97" s="55"/>
      <c r="CV97" s="55"/>
      <c r="CW97" s="55"/>
      <c r="CX97" s="55"/>
      <c r="CY97" s="55"/>
      <c r="CZ97" s="55"/>
      <c r="DA97" s="55"/>
      <c r="DB97" s="55"/>
      <c r="DC97" s="55"/>
      <c r="DD97" s="55"/>
      <c r="DE97" s="55"/>
      <c r="DF97" s="55"/>
      <c r="DG97" s="55"/>
      <c r="DH97" s="55"/>
      <c r="DI97" s="55"/>
      <c r="DJ97" s="55"/>
      <c r="DK97" s="55"/>
      <c r="DL97" s="55"/>
      <c r="DM97" s="55"/>
      <c r="DN97" s="55"/>
      <c r="DO97" s="55"/>
      <c r="DP97" s="55"/>
      <c r="DQ97" s="55"/>
      <c r="DR97" s="55"/>
      <c r="DS97" s="55"/>
      <c r="DT97" s="55"/>
      <c r="DU97" s="55"/>
      <c r="DV97" s="55"/>
      <c r="DW97" s="55"/>
      <c r="DX97" s="55"/>
      <c r="DY97" s="55"/>
      <c r="DZ97" s="55"/>
      <c r="EA97" s="55"/>
      <c r="EB97" s="55"/>
      <c r="EC97" s="55"/>
      <c r="ED97" s="55"/>
      <c r="EE97" s="55"/>
      <c r="EF97" s="55"/>
      <c r="EG97" s="55"/>
      <c r="EH97" s="55"/>
      <c r="EI97" s="55"/>
      <c r="EJ97" s="55"/>
      <c r="EK97" s="55"/>
      <c r="EL97" s="55"/>
      <c r="EM97" s="55"/>
      <c r="EN97" s="55"/>
      <c r="EO97" s="55"/>
      <c r="EP97" s="55"/>
      <c r="EQ97" s="55"/>
      <c r="ER97" s="55"/>
      <c r="ES97" s="55"/>
      <c r="ET97" s="55"/>
    </row>
    <row r="98" customFormat="false" ht="15" hidden="false" customHeight="false" outlineLevel="0" collapsed="false">
      <c r="C98" s="0" t="s">
        <v>534</v>
      </c>
      <c r="D98" s="11" t="s">
        <v>253</v>
      </c>
      <c r="J98" s="22" t="n">
        <f aca="false">I102</f>
        <v>0</v>
      </c>
      <c r="K98" s="22" t="n">
        <f aca="false">J102</f>
        <v>0</v>
      </c>
      <c r="L98" s="22" t="n">
        <f aca="false">K102</f>
        <v>0</v>
      </c>
      <c r="M98" s="22" t="n">
        <f aca="false">L102</f>
        <v>0</v>
      </c>
      <c r="N98" s="22" t="n">
        <f aca="false">M102</f>
        <v>0</v>
      </c>
      <c r="O98" s="22" t="n">
        <f aca="false">N102</f>
        <v>0</v>
      </c>
      <c r="P98" s="22" t="n">
        <f aca="false">O102</f>
        <v>0</v>
      </c>
      <c r="Q98" s="22" t="n">
        <f aca="false">P102</f>
        <v>0</v>
      </c>
      <c r="R98" s="22" t="n">
        <f aca="false">Q102</f>
        <v>0</v>
      </c>
      <c r="S98" s="22" t="n">
        <f aca="false">R102</f>
        <v>0</v>
      </c>
      <c r="T98" s="22" t="n">
        <f aca="false">S102</f>
        <v>0</v>
      </c>
      <c r="U98" s="22" t="n">
        <f aca="false">T102</f>
        <v>0</v>
      </c>
      <c r="V98" s="22" t="n">
        <f aca="false">U102</f>
        <v>0</v>
      </c>
      <c r="W98" s="22" t="n">
        <f aca="false">V102</f>
        <v>0</v>
      </c>
      <c r="X98" s="22" t="n">
        <f aca="false">W102</f>
        <v>11981.7564177174</v>
      </c>
      <c r="Y98" s="22" t="n">
        <f aca="false">X102</f>
        <v>23852.8118250537</v>
      </c>
      <c r="Z98" s="22" t="n">
        <f aca="false">Y102</f>
        <v>36002.491907783</v>
      </c>
      <c r="AA98" s="22" t="n">
        <f aca="false">Z102</f>
        <v>48434.2794743477</v>
      </c>
      <c r="AB98" s="22" t="n">
        <f aca="false">AA102</f>
        <v>61021.4643854944</v>
      </c>
      <c r="AC98" s="22" t="n">
        <f aca="false">AB102</f>
        <v>73505.516142428</v>
      </c>
      <c r="AD98" s="22" t="n">
        <f aca="false">AC102</f>
        <v>86275.8550291244</v>
      </c>
      <c r="AE98" s="22" t="n">
        <f aca="false">AD102</f>
        <v>99336.0596347059</v>
      </c>
      <c r="AF98" s="22" t="n">
        <f aca="false">AE102</f>
        <v>97406.8129044928</v>
      </c>
      <c r="AG98" s="22" t="n">
        <f aca="false">AF102</f>
        <v>95453.450590152</v>
      </c>
      <c r="AH98" s="22" t="n">
        <f aca="false">AG102</f>
        <v>93475.671246882</v>
      </c>
      <c r="AI98" s="22" t="n">
        <f aca="false">AH102</f>
        <v>91473.1696618211</v>
      </c>
      <c r="AJ98" s="22" t="n">
        <f aca="false">AI102</f>
        <v>89445.636806947</v>
      </c>
      <c r="AK98" s="22" t="n">
        <f aca="false">AJ102</f>
        <v>87392.7597913869</v>
      </c>
      <c r="AL98" s="22" t="n">
        <f aca="false">AK102</f>
        <v>85314.2218131323</v>
      </c>
      <c r="AM98" s="22" t="n">
        <f aca="false">AL102</f>
        <v>83209.7021101496</v>
      </c>
      <c r="AN98" s="22" t="n">
        <f aca="false">AM102</f>
        <v>81078.8759108795</v>
      </c>
      <c r="AO98" s="22" t="n">
        <f aca="false">AN102</f>
        <v>78921.4143841186</v>
      </c>
      <c r="AP98" s="22" t="n">
        <f aca="false">AO102</f>
        <v>76736.9845882732</v>
      </c>
      <c r="AQ98" s="22" t="n">
        <f aca="false">AP102</f>
        <v>74525.2494199797</v>
      </c>
      <c r="AR98" s="22" t="n">
        <f aca="false">AQ102</f>
        <v>72285.8675620825</v>
      </c>
      <c r="AS98" s="22" t="n">
        <f aca="false">AR102</f>
        <v>70018.4934309616</v>
      </c>
      <c r="AT98" s="22" t="n">
        <f aca="false">AS102</f>
        <v>67722.7771232017</v>
      </c>
      <c r="AU98" s="22" t="n">
        <f aca="false">AT102</f>
        <v>65398.3643615948</v>
      </c>
      <c r="AV98" s="22" t="n">
        <f aca="false">AU102</f>
        <v>63044.8964404679</v>
      </c>
      <c r="AW98" s="22" t="n">
        <f aca="false">AV102</f>
        <v>60662.0101703268</v>
      </c>
      <c r="AX98" s="22" t="n">
        <f aca="false">AW102</f>
        <v>58249.337821809</v>
      </c>
      <c r="AY98" s="22" t="n">
        <f aca="false">AX102</f>
        <v>55806.5070689347</v>
      </c>
      <c r="AZ98" s="22" t="n">
        <f aca="false">AY102</f>
        <v>53333.1409316494</v>
      </c>
      <c r="BA98" s="22" t="n">
        <f aca="false">AZ102</f>
        <v>50828.8577176481</v>
      </c>
      <c r="BB98" s="22" t="n">
        <f aca="false">BA102</f>
        <v>48293.2709634718</v>
      </c>
      <c r="BC98" s="22" t="n">
        <f aca="false">BB102</f>
        <v>45725.9893748683</v>
      </c>
      <c r="BD98" s="22" t="n">
        <f aca="false">BC102</f>
        <v>43126.6167664073</v>
      </c>
      <c r="BE98" s="22" t="n">
        <f aca="false">BD102</f>
        <v>40494.7520003404</v>
      </c>
      <c r="BF98" s="22" t="n">
        <f aca="false">BE102</f>
        <v>37829.9889246978</v>
      </c>
      <c r="BG98" s="22" t="n">
        <f aca="false">BF102</f>
        <v>35131.9163106096</v>
      </c>
      <c r="BH98" s="22" t="n">
        <f aca="false">BG102</f>
        <v>32400.1177888453</v>
      </c>
      <c r="BI98" s="22" t="n">
        <f aca="false">BH102</f>
        <v>29634.1717855589</v>
      </c>
      <c r="BJ98" s="22" t="n">
        <f aca="false">BI102</f>
        <v>26833.6514572315</v>
      </c>
      <c r="BK98" s="22" t="n">
        <f aca="false">BJ102</f>
        <v>23998.1246248</v>
      </c>
      <c r="BL98" s="22" t="n">
        <f aca="false">BK102</f>
        <v>21127.1537069631</v>
      </c>
      <c r="BM98" s="22" t="n">
        <f aca="false">BL102</f>
        <v>18220.2956526532</v>
      </c>
      <c r="BN98" s="22" t="n">
        <f aca="false">BM102</f>
        <v>15277.1018726645</v>
      </c>
      <c r="BO98" s="22" t="n">
        <f aca="false">BN102</f>
        <v>12297.1181704259</v>
      </c>
      <c r="BP98" s="22" t="n">
        <f aca="false">BO102</f>
        <v>9279.88467190926</v>
      </c>
      <c r="BQ98" s="22" t="n">
        <f aca="false">BP102</f>
        <v>6224.93575466122</v>
      </c>
      <c r="BR98" s="22" t="n">
        <f aca="false">BQ102</f>
        <v>3131.79997594757</v>
      </c>
      <c r="BS98" s="22" t="n">
        <f aca="false">BR102</f>
        <v>0</v>
      </c>
      <c r="BT98" s="22" t="n">
        <f aca="false">BS102</f>
        <v>0</v>
      </c>
      <c r="BU98" s="22" t="n">
        <f aca="false">BT102</f>
        <v>0</v>
      </c>
      <c r="BV98" s="22" t="n">
        <f aca="false">BU102</f>
        <v>0</v>
      </c>
      <c r="BW98" s="22" t="n">
        <f aca="false">BV102</f>
        <v>0</v>
      </c>
      <c r="BX98" s="22" t="n">
        <f aca="false">BW102</f>
        <v>0</v>
      </c>
      <c r="BY98" s="22" t="n">
        <f aca="false">BX102</f>
        <v>0</v>
      </c>
      <c r="BZ98" s="22" t="n">
        <f aca="false">BY102</f>
        <v>0</v>
      </c>
      <c r="CA98" s="22" t="n">
        <f aca="false">BZ102</f>
        <v>0</v>
      </c>
      <c r="CB98" s="22" t="n">
        <f aca="false">CA102</f>
        <v>0</v>
      </c>
      <c r="CC98" s="22" t="n">
        <f aca="false">CB102</f>
        <v>0</v>
      </c>
      <c r="CD98" s="22" t="n">
        <f aca="false">CC102</f>
        <v>0</v>
      </c>
      <c r="CE98" s="22" t="n">
        <f aca="false">CD102</f>
        <v>0</v>
      </c>
      <c r="CF98" s="22" t="n">
        <f aca="false">CE102</f>
        <v>0</v>
      </c>
      <c r="CG98" s="22" t="n">
        <f aca="false">CF102</f>
        <v>0</v>
      </c>
      <c r="CH98" s="22" t="n">
        <f aca="false">CG102</f>
        <v>0</v>
      </c>
      <c r="CI98" s="22" t="n">
        <f aca="false">CH102</f>
        <v>0</v>
      </c>
      <c r="CJ98" s="22" t="n">
        <f aca="false">CI102</f>
        <v>0</v>
      </c>
      <c r="CK98" s="22" t="n">
        <f aca="false">CJ102</f>
        <v>0</v>
      </c>
      <c r="CL98" s="22" t="n">
        <f aca="false">CK102</f>
        <v>0</v>
      </c>
      <c r="CM98" s="22" t="n">
        <f aca="false">CL102</f>
        <v>0</v>
      </c>
      <c r="CN98" s="22" t="n">
        <f aca="false">CM102</f>
        <v>0</v>
      </c>
      <c r="CO98" s="22" t="n">
        <f aca="false">CN102</f>
        <v>0</v>
      </c>
      <c r="CP98" s="22" t="n">
        <f aca="false">CO102</f>
        <v>0</v>
      </c>
      <c r="CQ98" s="22" t="n">
        <f aca="false">CP102</f>
        <v>0</v>
      </c>
      <c r="CR98" s="22" t="n">
        <f aca="false">CQ102</f>
        <v>0</v>
      </c>
      <c r="CS98" s="22" t="n">
        <f aca="false">CR102</f>
        <v>0</v>
      </c>
      <c r="CT98" s="22" t="n">
        <f aca="false">CS102</f>
        <v>0</v>
      </c>
      <c r="CU98" s="22" t="n">
        <f aca="false">CT102</f>
        <v>0</v>
      </c>
      <c r="CV98" s="22" t="n">
        <f aca="false">CU102</f>
        <v>0</v>
      </c>
      <c r="CW98" s="22" t="n">
        <f aca="false">CV102</f>
        <v>0</v>
      </c>
      <c r="CX98" s="22" t="n">
        <f aca="false">CW102</f>
        <v>0</v>
      </c>
      <c r="CY98" s="22" t="n">
        <f aca="false">CX102</f>
        <v>0</v>
      </c>
      <c r="CZ98" s="22" t="n">
        <f aca="false">CY102</f>
        <v>0</v>
      </c>
      <c r="DA98" s="22" t="n">
        <f aca="false">CZ102</f>
        <v>0</v>
      </c>
      <c r="DB98" s="22" t="n">
        <f aca="false">DA102</f>
        <v>0</v>
      </c>
      <c r="DC98" s="22" t="n">
        <f aca="false">DB102</f>
        <v>0</v>
      </c>
      <c r="DD98" s="22" t="n">
        <f aca="false">DC102</f>
        <v>0</v>
      </c>
      <c r="DE98" s="22" t="n">
        <f aca="false">DD102</f>
        <v>0</v>
      </c>
      <c r="DF98" s="22" t="n">
        <f aca="false">DE102</f>
        <v>0</v>
      </c>
      <c r="DG98" s="22" t="n">
        <f aca="false">DF102</f>
        <v>0</v>
      </c>
      <c r="DH98" s="22" t="n">
        <f aca="false">DG102</f>
        <v>0</v>
      </c>
      <c r="DI98" s="22" t="n">
        <f aca="false">DH102</f>
        <v>0</v>
      </c>
      <c r="DJ98" s="22" t="n">
        <f aca="false">DI102</f>
        <v>0</v>
      </c>
      <c r="DK98" s="22" t="n">
        <f aca="false">DJ102</f>
        <v>0</v>
      </c>
      <c r="DL98" s="22" t="n">
        <f aca="false">DK102</f>
        <v>0</v>
      </c>
      <c r="DM98" s="22" t="n">
        <f aca="false">DL102</f>
        <v>0</v>
      </c>
      <c r="DN98" s="22" t="n">
        <f aca="false">DM102</f>
        <v>0</v>
      </c>
      <c r="DO98" s="22" t="n">
        <f aca="false">DN102</f>
        <v>0</v>
      </c>
      <c r="DP98" s="22" t="n">
        <f aca="false">DO102</f>
        <v>0</v>
      </c>
      <c r="DQ98" s="22" t="n">
        <f aca="false">DP102</f>
        <v>0</v>
      </c>
      <c r="DR98" s="22" t="n">
        <f aca="false">DQ102</f>
        <v>0</v>
      </c>
      <c r="DS98" s="22" t="n">
        <f aca="false">DR102</f>
        <v>0</v>
      </c>
      <c r="DT98" s="22" t="n">
        <f aca="false">DS102</f>
        <v>0</v>
      </c>
      <c r="DU98" s="22" t="n">
        <f aca="false">DT102</f>
        <v>0</v>
      </c>
      <c r="DV98" s="22" t="n">
        <f aca="false">DU102</f>
        <v>0</v>
      </c>
      <c r="DW98" s="22" t="n">
        <f aca="false">DV102</f>
        <v>0</v>
      </c>
      <c r="DX98" s="22" t="n">
        <f aca="false">DW102</f>
        <v>0</v>
      </c>
      <c r="DY98" s="22" t="n">
        <f aca="false">DX102</f>
        <v>0</v>
      </c>
      <c r="DZ98" s="22" t="n">
        <f aca="false">DY102</f>
        <v>0</v>
      </c>
      <c r="EA98" s="22" t="n">
        <f aca="false">DZ102</f>
        <v>0</v>
      </c>
      <c r="EB98" s="22" t="n">
        <f aca="false">EA102</f>
        <v>0</v>
      </c>
      <c r="EC98" s="22" t="n">
        <f aca="false">EB102</f>
        <v>0</v>
      </c>
      <c r="ED98" s="22" t="n">
        <f aca="false">EC102</f>
        <v>0</v>
      </c>
      <c r="EE98" s="22" t="n">
        <f aca="false">ED102</f>
        <v>0</v>
      </c>
      <c r="EF98" s="22" t="n">
        <f aca="false">EE102</f>
        <v>0</v>
      </c>
      <c r="EG98" s="22" t="n">
        <f aca="false">EF102</f>
        <v>0</v>
      </c>
      <c r="EH98" s="22" t="n">
        <f aca="false">EG102</f>
        <v>0</v>
      </c>
      <c r="EI98" s="22" t="n">
        <f aca="false">EH102</f>
        <v>0</v>
      </c>
      <c r="EJ98" s="22" t="n">
        <f aca="false">EI102</f>
        <v>0</v>
      </c>
      <c r="EK98" s="22" t="n">
        <f aca="false">EJ102</f>
        <v>0</v>
      </c>
      <c r="EL98" s="22" t="n">
        <f aca="false">EK102</f>
        <v>0</v>
      </c>
      <c r="EM98" s="22" t="n">
        <f aca="false">EL102</f>
        <v>0</v>
      </c>
      <c r="EN98" s="22" t="n">
        <f aca="false">EM102</f>
        <v>0</v>
      </c>
      <c r="EO98" s="22" t="n">
        <f aca="false">EN102</f>
        <v>0</v>
      </c>
      <c r="EP98" s="22" t="n">
        <f aca="false">EO102</f>
        <v>0</v>
      </c>
      <c r="EQ98" s="22" t="n">
        <f aca="false">EP102</f>
        <v>0</v>
      </c>
      <c r="ER98" s="22" t="n">
        <f aca="false">EQ102</f>
        <v>0</v>
      </c>
      <c r="ES98" s="22" t="n">
        <f aca="false">ER102</f>
        <v>0</v>
      </c>
      <c r="ET98" s="22" t="n">
        <f aca="false">ES102</f>
        <v>0</v>
      </c>
    </row>
    <row r="99" customFormat="false" ht="15" hidden="false" customHeight="false" outlineLevel="0" collapsed="false">
      <c r="C99" s="0" t="s">
        <v>556</v>
      </c>
      <c r="D99" s="11" t="s">
        <v>253</v>
      </c>
      <c r="E99" s="33" t="n">
        <f aca="false">-IF(In_CN_Turbine=1,In_Gearing_CN,In_Gearing)*($I95+$I53+$I96)</f>
        <v>95072.6324449315</v>
      </c>
      <c r="I99" s="33" t="n">
        <f aca="false">SUM(J99:ET99)</f>
        <v>95072.6324449315</v>
      </c>
      <c r="J99" s="33" t="n">
        <f aca="false">$E99*J13</f>
        <v>0</v>
      </c>
      <c r="K99" s="33" t="n">
        <f aca="false">$E99*K13</f>
        <v>0</v>
      </c>
      <c r="L99" s="33" t="n">
        <f aca="false">$E99*L13</f>
        <v>0</v>
      </c>
      <c r="M99" s="33" t="n">
        <f aca="false">$E99*M13</f>
        <v>0</v>
      </c>
      <c r="N99" s="33" t="n">
        <f aca="false">$E99*N13</f>
        <v>0</v>
      </c>
      <c r="O99" s="33" t="n">
        <f aca="false">$E99*O13</f>
        <v>0</v>
      </c>
      <c r="P99" s="33" t="n">
        <f aca="false">$E99*P13</f>
        <v>0</v>
      </c>
      <c r="Q99" s="33" t="n">
        <f aca="false">$E99*Q13</f>
        <v>0</v>
      </c>
      <c r="R99" s="33" t="n">
        <f aca="false">$E99*R13</f>
        <v>0</v>
      </c>
      <c r="S99" s="33" t="n">
        <f aca="false">$E99*S13</f>
        <v>0</v>
      </c>
      <c r="T99" s="33" t="n">
        <f aca="false">$E99*T13</f>
        <v>0</v>
      </c>
      <c r="U99" s="33" t="n">
        <f aca="false">$E99*U13</f>
        <v>0</v>
      </c>
      <c r="V99" s="33" t="n">
        <f aca="false">$E99*V13</f>
        <v>0</v>
      </c>
      <c r="W99" s="33" t="n">
        <f aca="false">$E99*W13</f>
        <v>11981.7564177174</v>
      </c>
      <c r="X99" s="33" t="n">
        <f aca="false">$E99*X13</f>
        <v>11721.2834521148</v>
      </c>
      <c r="Y99" s="33" t="n">
        <f aca="false">$E99*Y13</f>
        <v>11851.5199349161</v>
      </c>
      <c r="Z99" s="33" t="n">
        <f aca="false">$E99*Z13</f>
        <v>11981.7564177174</v>
      </c>
      <c r="AA99" s="33" t="n">
        <f aca="false">$E99*AA13</f>
        <v>11981.7564177174</v>
      </c>
      <c r="AB99" s="33" t="n">
        <f aca="false">$E99*AB13</f>
        <v>11721.2834521148</v>
      </c>
      <c r="AC99" s="33" t="n">
        <f aca="false">$E99*AC13</f>
        <v>11851.5199349161</v>
      </c>
      <c r="AD99" s="33" t="n">
        <f aca="false">$E99*AD13</f>
        <v>11981.7564177174</v>
      </c>
      <c r="AE99" s="33" t="n">
        <f aca="false">$E99*AE13</f>
        <v>0</v>
      </c>
      <c r="AF99" s="33" t="n">
        <f aca="false">$E99*AF13</f>
        <v>0</v>
      </c>
      <c r="AG99" s="33" t="n">
        <f aca="false">$E99*AG13</f>
        <v>0</v>
      </c>
      <c r="AH99" s="33" t="n">
        <f aca="false">$E99*AH13</f>
        <v>0</v>
      </c>
      <c r="AI99" s="33" t="n">
        <f aca="false">$E99*AI13</f>
        <v>0</v>
      </c>
      <c r="AJ99" s="33" t="n">
        <f aca="false">$E99*AJ13</f>
        <v>0</v>
      </c>
      <c r="AK99" s="33" t="n">
        <f aca="false">$E99*AK13</f>
        <v>0</v>
      </c>
      <c r="AL99" s="33" t="n">
        <f aca="false">$E99*AL13</f>
        <v>0</v>
      </c>
      <c r="AM99" s="33" t="n">
        <f aca="false">$E99*AM13</f>
        <v>0</v>
      </c>
      <c r="AN99" s="33" t="n">
        <f aca="false">$E99*AN13</f>
        <v>0</v>
      </c>
      <c r="AO99" s="33" t="n">
        <f aca="false">$E99*AO13</f>
        <v>0</v>
      </c>
      <c r="AP99" s="33" t="n">
        <f aca="false">$E99*AP13</f>
        <v>0</v>
      </c>
      <c r="AQ99" s="33" t="n">
        <f aca="false">$E99*AQ13</f>
        <v>0</v>
      </c>
      <c r="AR99" s="33" t="n">
        <f aca="false">$E99*AR13</f>
        <v>0</v>
      </c>
      <c r="AS99" s="33" t="n">
        <f aca="false">$E99*AS13</f>
        <v>0</v>
      </c>
      <c r="AT99" s="33" t="n">
        <f aca="false">$E99*AT13</f>
        <v>0</v>
      </c>
      <c r="AU99" s="33" t="n">
        <f aca="false">$E99*AU13</f>
        <v>0</v>
      </c>
      <c r="AV99" s="33" t="n">
        <f aca="false">$E99*AV13</f>
        <v>0</v>
      </c>
      <c r="AW99" s="33" t="n">
        <f aca="false">$E99*AW13</f>
        <v>0</v>
      </c>
      <c r="AX99" s="33" t="n">
        <f aca="false">$E99*AX13</f>
        <v>0</v>
      </c>
      <c r="AY99" s="33" t="n">
        <f aca="false">$E99*AY13</f>
        <v>0</v>
      </c>
      <c r="AZ99" s="33" t="n">
        <f aca="false">$E99*AZ13</f>
        <v>0</v>
      </c>
      <c r="BA99" s="33" t="n">
        <f aca="false">$E99*BA13</f>
        <v>0</v>
      </c>
      <c r="BB99" s="33" t="n">
        <f aca="false">$E99*BB13</f>
        <v>0</v>
      </c>
      <c r="BC99" s="33" t="n">
        <f aca="false">$E99*BC13</f>
        <v>0</v>
      </c>
      <c r="BD99" s="33" t="n">
        <f aca="false">$E99*BD13</f>
        <v>0</v>
      </c>
      <c r="BE99" s="33" t="n">
        <f aca="false">$E99*BE13</f>
        <v>0</v>
      </c>
      <c r="BF99" s="33" t="n">
        <f aca="false">$E99*BF13</f>
        <v>0</v>
      </c>
      <c r="BG99" s="33" t="n">
        <f aca="false">$E99*BG13</f>
        <v>0</v>
      </c>
      <c r="BH99" s="33" t="n">
        <f aca="false">$E99*BH13</f>
        <v>0</v>
      </c>
      <c r="BI99" s="33" t="n">
        <f aca="false">$E99*BI13</f>
        <v>0</v>
      </c>
      <c r="BJ99" s="33" t="n">
        <f aca="false">$E99*BJ13</f>
        <v>0</v>
      </c>
      <c r="BK99" s="33" t="n">
        <f aca="false">$E99*BK13</f>
        <v>0</v>
      </c>
      <c r="BL99" s="33" t="n">
        <f aca="false">$E99*BL13</f>
        <v>0</v>
      </c>
      <c r="BM99" s="33" t="n">
        <f aca="false">$E99*BM13</f>
        <v>0</v>
      </c>
      <c r="BN99" s="33" t="n">
        <f aca="false">$E99*BN13</f>
        <v>0</v>
      </c>
      <c r="BO99" s="33" t="n">
        <f aca="false">$E99*BO13</f>
        <v>0</v>
      </c>
      <c r="BP99" s="33" t="n">
        <f aca="false">$E99*BP13</f>
        <v>0</v>
      </c>
      <c r="BQ99" s="33" t="n">
        <f aca="false">$E99*BQ13</f>
        <v>0</v>
      </c>
      <c r="BR99" s="33" t="n">
        <f aca="false">$E99*BR13</f>
        <v>0</v>
      </c>
      <c r="BS99" s="33" t="n">
        <f aca="false">$E99*BS13</f>
        <v>0</v>
      </c>
      <c r="BT99" s="33" t="n">
        <f aca="false">$E99*BT13</f>
        <v>0</v>
      </c>
      <c r="BU99" s="33" t="n">
        <f aca="false">$E99*BU13</f>
        <v>0</v>
      </c>
      <c r="BV99" s="33" t="n">
        <f aca="false">$E99*BV13</f>
        <v>0</v>
      </c>
      <c r="BW99" s="33" t="n">
        <f aca="false">$E99*BW13</f>
        <v>0</v>
      </c>
      <c r="BX99" s="33" t="n">
        <f aca="false">$E99*BX13</f>
        <v>0</v>
      </c>
      <c r="BY99" s="33" t="n">
        <f aca="false">$E99*BY13</f>
        <v>0</v>
      </c>
      <c r="BZ99" s="33" t="n">
        <f aca="false">$E99*BZ13</f>
        <v>0</v>
      </c>
      <c r="CA99" s="33" t="n">
        <f aca="false">$E99*CA13</f>
        <v>0</v>
      </c>
      <c r="CB99" s="33" t="n">
        <f aca="false">$E99*CB13</f>
        <v>0</v>
      </c>
      <c r="CC99" s="33" t="n">
        <f aca="false">$E99*CC13</f>
        <v>0</v>
      </c>
      <c r="CD99" s="33" t="n">
        <f aca="false">$E99*CD13</f>
        <v>0</v>
      </c>
      <c r="CE99" s="33" t="n">
        <f aca="false">$E99*CE13</f>
        <v>0</v>
      </c>
      <c r="CF99" s="33" t="n">
        <f aca="false">$E99*CF13</f>
        <v>0</v>
      </c>
      <c r="CG99" s="33" t="n">
        <f aca="false">$E99*CG13</f>
        <v>0</v>
      </c>
      <c r="CH99" s="33" t="n">
        <f aca="false">$E99*CH13</f>
        <v>0</v>
      </c>
      <c r="CI99" s="33" t="n">
        <f aca="false">$E99*CI13</f>
        <v>0</v>
      </c>
      <c r="CJ99" s="33" t="n">
        <f aca="false">$E99*CJ13</f>
        <v>0</v>
      </c>
      <c r="CK99" s="33" t="n">
        <f aca="false">$E99*CK13</f>
        <v>0</v>
      </c>
      <c r="CL99" s="33" t="n">
        <f aca="false">$E99*CL13</f>
        <v>0</v>
      </c>
      <c r="CM99" s="33" t="n">
        <f aca="false">$E99*CM13</f>
        <v>0</v>
      </c>
      <c r="CN99" s="33" t="n">
        <f aca="false">$E99*CN13</f>
        <v>0</v>
      </c>
      <c r="CO99" s="33" t="n">
        <f aca="false">$E99*CO13</f>
        <v>0</v>
      </c>
      <c r="CP99" s="33" t="n">
        <f aca="false">$E99*CP13</f>
        <v>0</v>
      </c>
      <c r="CQ99" s="33" t="n">
        <f aca="false">$E99*CQ13</f>
        <v>0</v>
      </c>
      <c r="CR99" s="33" t="n">
        <f aca="false">$E99*CR13</f>
        <v>0</v>
      </c>
      <c r="CS99" s="33" t="n">
        <f aca="false">$E99*CS13</f>
        <v>0</v>
      </c>
      <c r="CT99" s="33" t="n">
        <f aca="false">$E99*CT13</f>
        <v>0</v>
      </c>
      <c r="CU99" s="33" t="n">
        <f aca="false">$E99*CU13</f>
        <v>0</v>
      </c>
      <c r="CV99" s="33" t="n">
        <f aca="false">$E99*CV13</f>
        <v>0</v>
      </c>
      <c r="CW99" s="33" t="n">
        <f aca="false">$E99*CW13</f>
        <v>0</v>
      </c>
      <c r="CX99" s="33" t="n">
        <f aca="false">$E99*CX13</f>
        <v>0</v>
      </c>
      <c r="CY99" s="33" t="n">
        <f aca="false">$E99*CY13</f>
        <v>0</v>
      </c>
      <c r="CZ99" s="33" t="n">
        <f aca="false">$E99*CZ13</f>
        <v>0</v>
      </c>
      <c r="DA99" s="33" t="n">
        <f aca="false">$E99*DA13</f>
        <v>0</v>
      </c>
      <c r="DB99" s="33" t="n">
        <f aca="false">$E99*DB13</f>
        <v>0</v>
      </c>
      <c r="DC99" s="33" t="n">
        <f aca="false">$E99*DC13</f>
        <v>0</v>
      </c>
      <c r="DD99" s="33" t="n">
        <f aca="false">$E99*DD13</f>
        <v>0</v>
      </c>
      <c r="DE99" s="33" t="n">
        <f aca="false">$E99*DE13</f>
        <v>0</v>
      </c>
      <c r="DF99" s="33" t="n">
        <f aca="false">$E99*DF13</f>
        <v>0</v>
      </c>
      <c r="DG99" s="33" t="n">
        <f aca="false">$E99*DG13</f>
        <v>0</v>
      </c>
      <c r="DH99" s="33" t="n">
        <f aca="false">$E99*DH13</f>
        <v>0</v>
      </c>
      <c r="DI99" s="33" t="n">
        <f aca="false">$E99*DI13</f>
        <v>0</v>
      </c>
      <c r="DJ99" s="33" t="n">
        <f aca="false">$E99*DJ13</f>
        <v>0</v>
      </c>
      <c r="DK99" s="33" t="n">
        <f aca="false">$E99*DK13</f>
        <v>0</v>
      </c>
      <c r="DL99" s="33" t="n">
        <f aca="false">$E99*DL13</f>
        <v>0</v>
      </c>
      <c r="DM99" s="33" t="n">
        <f aca="false">$E99*DM13</f>
        <v>0</v>
      </c>
      <c r="DN99" s="33" t="n">
        <f aca="false">$E99*DN13</f>
        <v>0</v>
      </c>
      <c r="DO99" s="33" t="n">
        <f aca="false">$E99*DO13</f>
        <v>0</v>
      </c>
      <c r="DP99" s="33" t="n">
        <f aca="false">$E99*DP13</f>
        <v>0</v>
      </c>
      <c r="DQ99" s="33" t="n">
        <f aca="false">$E99*DQ13</f>
        <v>0</v>
      </c>
      <c r="DR99" s="33" t="n">
        <f aca="false">$E99*DR13</f>
        <v>0</v>
      </c>
      <c r="DS99" s="33" t="n">
        <f aca="false">$E99*DS13</f>
        <v>0</v>
      </c>
      <c r="DT99" s="33" t="n">
        <f aca="false">$E99*DT13</f>
        <v>0</v>
      </c>
      <c r="DU99" s="33" t="n">
        <f aca="false">$E99*DU13</f>
        <v>0</v>
      </c>
      <c r="DV99" s="33" t="n">
        <f aca="false">$E99*DV13</f>
        <v>0</v>
      </c>
      <c r="DW99" s="33" t="n">
        <f aca="false">$E99*DW13</f>
        <v>0</v>
      </c>
      <c r="DX99" s="33" t="n">
        <f aca="false">$E99*DX13</f>
        <v>0</v>
      </c>
      <c r="DY99" s="33" t="n">
        <f aca="false">$E99*DY13</f>
        <v>0</v>
      </c>
      <c r="DZ99" s="33" t="n">
        <f aca="false">$E99*DZ13</f>
        <v>0</v>
      </c>
      <c r="EA99" s="33" t="n">
        <f aca="false">$E99*EA13</f>
        <v>0</v>
      </c>
      <c r="EB99" s="33" t="n">
        <f aca="false">$E99*EB13</f>
        <v>0</v>
      </c>
      <c r="EC99" s="33" t="n">
        <f aca="false">$E99*EC13</f>
        <v>0</v>
      </c>
      <c r="ED99" s="33" t="n">
        <f aca="false">$E99*ED13</f>
        <v>0</v>
      </c>
      <c r="EE99" s="33" t="n">
        <f aca="false">$E99*EE13</f>
        <v>0</v>
      </c>
      <c r="EF99" s="33" t="n">
        <f aca="false">$E99*EF13</f>
        <v>0</v>
      </c>
      <c r="EG99" s="33" t="n">
        <f aca="false">$E99*EG13</f>
        <v>0</v>
      </c>
      <c r="EH99" s="33" t="n">
        <f aca="false">$E99*EH13</f>
        <v>0</v>
      </c>
      <c r="EI99" s="33" t="n">
        <f aca="false">$E99*EI13</f>
        <v>0</v>
      </c>
      <c r="EJ99" s="33" t="n">
        <f aca="false">$E99*EJ13</f>
        <v>0</v>
      </c>
      <c r="EK99" s="33" t="n">
        <f aca="false">$E99*EK13</f>
        <v>0</v>
      </c>
      <c r="EL99" s="33" t="n">
        <f aca="false">$E99*EL13</f>
        <v>0</v>
      </c>
      <c r="EM99" s="33" t="n">
        <f aca="false">$E99*EM13</f>
        <v>0</v>
      </c>
      <c r="EN99" s="33" t="n">
        <f aca="false">$E99*EN13</f>
        <v>0</v>
      </c>
      <c r="EO99" s="33" t="n">
        <f aca="false">$E99*EO13</f>
        <v>0</v>
      </c>
      <c r="EP99" s="33" t="n">
        <f aca="false">$E99*EP13</f>
        <v>0</v>
      </c>
      <c r="EQ99" s="33" t="n">
        <f aca="false">$E99*EQ13</f>
        <v>0</v>
      </c>
      <c r="ER99" s="33" t="n">
        <f aca="false">$E99*ER13</f>
        <v>0</v>
      </c>
      <c r="ES99" s="33" t="n">
        <f aca="false">$E99*ES13</f>
        <v>0</v>
      </c>
      <c r="ET99" s="33" t="n">
        <f aca="false">$E99*ET13</f>
        <v>0</v>
      </c>
    </row>
    <row r="100" customFormat="false" ht="15" hidden="false" customHeight="false" outlineLevel="0" collapsed="false">
      <c r="C100" s="0" t="s">
        <v>557</v>
      </c>
      <c r="D100" s="11" t="s">
        <v>253</v>
      </c>
      <c r="F100" s="53" t="n">
        <f aca="false">In_Debt_Rate*Months_Per_Period/Months_In_Year</f>
        <v>0.0125</v>
      </c>
      <c r="I100" s="33" t="n">
        <f aca="false">SUM(J100:ET100)</f>
        <v>4263.42718977436</v>
      </c>
      <c r="J100" s="33" t="n">
        <f aca="false">J98*$F100*(J$4&lt;=In_COD)</f>
        <v>0</v>
      </c>
      <c r="K100" s="33" t="n">
        <f aca="false">K98*$F100*(K$4&lt;=In_COD)</f>
        <v>0</v>
      </c>
      <c r="L100" s="33" t="n">
        <f aca="false">L98*$F100*(L$4&lt;=In_COD)</f>
        <v>0</v>
      </c>
      <c r="M100" s="33" t="n">
        <f aca="false">M98*$F100*(M$4&lt;=In_COD)</f>
        <v>0</v>
      </c>
      <c r="N100" s="33" t="n">
        <f aca="false">N98*$F100*(N$4&lt;=In_COD)</f>
        <v>0</v>
      </c>
      <c r="O100" s="33" t="n">
        <f aca="false">O98*$F100*(O$4&lt;=In_COD)</f>
        <v>0</v>
      </c>
      <c r="P100" s="33" t="n">
        <f aca="false">P98*$F100*(P$4&lt;=In_COD)</f>
        <v>0</v>
      </c>
      <c r="Q100" s="33" t="n">
        <f aca="false">Q98*$F100*(Q$4&lt;=In_COD)</f>
        <v>0</v>
      </c>
      <c r="R100" s="33" t="n">
        <f aca="false">R98*$F100*(R$4&lt;=In_COD)</f>
        <v>0</v>
      </c>
      <c r="S100" s="33" t="n">
        <f aca="false">S98*$F100*(S$4&lt;=In_COD)</f>
        <v>0</v>
      </c>
      <c r="T100" s="33" t="n">
        <f aca="false">T98*$F100*(T$4&lt;=In_COD)</f>
        <v>0</v>
      </c>
      <c r="U100" s="33" t="n">
        <f aca="false">U98*$F100*(U$4&lt;=In_COD)</f>
        <v>0</v>
      </c>
      <c r="V100" s="33" t="n">
        <f aca="false">V98*$F100*(V$4&lt;=In_COD)</f>
        <v>0</v>
      </c>
      <c r="W100" s="33" t="n">
        <f aca="false">W98*$F100*(W$4&lt;=In_COD)</f>
        <v>0</v>
      </c>
      <c r="X100" s="33" t="n">
        <f aca="false">X98*$F100*(X$4&lt;=In_COD)</f>
        <v>149.771955221468</v>
      </c>
      <c r="Y100" s="33" t="n">
        <f aca="false">Y98*$F100*(Y$4&lt;=In_COD)</f>
        <v>298.160147813171</v>
      </c>
      <c r="Z100" s="33" t="n">
        <f aca="false">Z98*$F100*(Z$4&lt;=In_COD)</f>
        <v>450.031148847288</v>
      </c>
      <c r="AA100" s="33" t="n">
        <f aca="false">AA98*$F100*(AA$4&lt;=In_COD)</f>
        <v>605.428493429346</v>
      </c>
      <c r="AB100" s="33" t="n">
        <f aca="false">AB98*$F100*(AB$4&lt;=In_COD)</f>
        <v>762.768304818681</v>
      </c>
      <c r="AC100" s="33" t="n">
        <f aca="false">AC98*$F100*(AC$4&lt;=In_COD)</f>
        <v>918.81895178035</v>
      </c>
      <c r="AD100" s="33" t="n">
        <f aca="false">AD98*$F100*(AD$4&lt;=In_COD)</f>
        <v>1078.44818786406</v>
      </c>
      <c r="AE100" s="33" t="n">
        <f aca="false">AE98*$F100*(AE$4&lt;=In_COD)</f>
        <v>0</v>
      </c>
      <c r="AF100" s="33" t="n">
        <f aca="false">AF98*$F100*(AF$4&lt;=In_COD)</f>
        <v>0</v>
      </c>
      <c r="AG100" s="33" t="n">
        <f aca="false">AG98*$F100*(AG$4&lt;=In_COD)</f>
        <v>0</v>
      </c>
      <c r="AH100" s="33" t="n">
        <f aca="false">AH98*$F100*(AH$4&lt;=In_COD)</f>
        <v>0</v>
      </c>
      <c r="AI100" s="33" t="n">
        <f aca="false">AI98*$F100*(AI$4&lt;=In_COD)</f>
        <v>0</v>
      </c>
      <c r="AJ100" s="33" t="n">
        <f aca="false">AJ98*$F100*(AJ$4&lt;=In_COD)</f>
        <v>0</v>
      </c>
      <c r="AK100" s="33" t="n">
        <f aca="false">AK98*$F100*(AK$4&lt;=In_COD)</f>
        <v>0</v>
      </c>
      <c r="AL100" s="33" t="n">
        <f aca="false">AL98*$F100*(AL$4&lt;=In_COD)</f>
        <v>0</v>
      </c>
      <c r="AM100" s="33" t="n">
        <f aca="false">AM98*$F100*(AM$4&lt;=In_COD)</f>
        <v>0</v>
      </c>
      <c r="AN100" s="33" t="n">
        <f aca="false">AN98*$F100*(AN$4&lt;=In_COD)</f>
        <v>0</v>
      </c>
      <c r="AO100" s="33" t="n">
        <f aca="false">AO98*$F100*(AO$4&lt;=In_COD)</f>
        <v>0</v>
      </c>
      <c r="AP100" s="33" t="n">
        <f aca="false">AP98*$F100*(AP$4&lt;=In_COD)</f>
        <v>0</v>
      </c>
      <c r="AQ100" s="33" t="n">
        <f aca="false">AQ98*$F100*(AQ$4&lt;=In_COD)</f>
        <v>0</v>
      </c>
      <c r="AR100" s="33" t="n">
        <f aca="false">AR98*$F100*(AR$4&lt;=In_COD)</f>
        <v>0</v>
      </c>
      <c r="AS100" s="33" t="n">
        <f aca="false">AS98*$F100*(AS$4&lt;=In_COD)</f>
        <v>0</v>
      </c>
      <c r="AT100" s="33" t="n">
        <f aca="false">AT98*$F100*(AT$4&lt;=In_COD)</f>
        <v>0</v>
      </c>
      <c r="AU100" s="33" t="n">
        <f aca="false">AU98*$F100*(AU$4&lt;=In_COD)</f>
        <v>0</v>
      </c>
      <c r="AV100" s="33" t="n">
        <f aca="false">AV98*$F100*(AV$4&lt;=In_COD)</f>
        <v>0</v>
      </c>
      <c r="AW100" s="33" t="n">
        <f aca="false">AW98*$F100*(AW$4&lt;=In_COD)</f>
        <v>0</v>
      </c>
      <c r="AX100" s="33" t="n">
        <f aca="false">AX98*$F100*(AX$4&lt;=In_COD)</f>
        <v>0</v>
      </c>
      <c r="AY100" s="33" t="n">
        <f aca="false">AY98*$F100*(AY$4&lt;=In_COD)</f>
        <v>0</v>
      </c>
      <c r="AZ100" s="33" t="n">
        <f aca="false">AZ98*$F100*(AZ$4&lt;=In_COD)</f>
        <v>0</v>
      </c>
      <c r="BA100" s="33" t="n">
        <f aca="false">BA98*$F100*(BA$4&lt;=In_COD)</f>
        <v>0</v>
      </c>
      <c r="BB100" s="33" t="n">
        <f aca="false">BB98*$F100*(BB$4&lt;=In_COD)</f>
        <v>0</v>
      </c>
      <c r="BC100" s="33" t="n">
        <f aca="false">BC98*$F100*(BC$4&lt;=In_COD)</f>
        <v>0</v>
      </c>
      <c r="BD100" s="33" t="n">
        <f aca="false">BD98*$F100*(BD$4&lt;=In_COD)</f>
        <v>0</v>
      </c>
      <c r="BE100" s="33" t="n">
        <f aca="false">BE98*$F100*(BE$4&lt;=In_COD)</f>
        <v>0</v>
      </c>
      <c r="BF100" s="33" t="n">
        <f aca="false">BF98*$F100*(BF$4&lt;=In_COD)</f>
        <v>0</v>
      </c>
      <c r="BG100" s="33" t="n">
        <f aca="false">BG98*$F100*(BG$4&lt;=In_COD)</f>
        <v>0</v>
      </c>
      <c r="BH100" s="33" t="n">
        <f aca="false">BH98*$F100*(BH$4&lt;=In_COD)</f>
        <v>0</v>
      </c>
      <c r="BI100" s="33" t="n">
        <f aca="false">BI98*$F100*(BI$4&lt;=In_COD)</f>
        <v>0</v>
      </c>
      <c r="BJ100" s="33" t="n">
        <f aca="false">BJ98*$F100*(BJ$4&lt;=In_COD)</f>
        <v>0</v>
      </c>
      <c r="BK100" s="33" t="n">
        <f aca="false">BK98*$F100*(BK$4&lt;=In_COD)</f>
        <v>0</v>
      </c>
      <c r="BL100" s="33" t="n">
        <f aca="false">BL98*$F100*(BL$4&lt;=In_COD)</f>
        <v>0</v>
      </c>
      <c r="BM100" s="33" t="n">
        <f aca="false">BM98*$F100*(BM$4&lt;=In_COD)</f>
        <v>0</v>
      </c>
      <c r="BN100" s="33" t="n">
        <f aca="false">BN98*$F100*(BN$4&lt;=In_COD)</f>
        <v>0</v>
      </c>
      <c r="BO100" s="33" t="n">
        <f aca="false">BO98*$F100*(BO$4&lt;=In_COD)</f>
        <v>0</v>
      </c>
      <c r="BP100" s="33" t="n">
        <f aca="false">BP98*$F100*(BP$4&lt;=In_COD)</f>
        <v>0</v>
      </c>
      <c r="BQ100" s="33" t="n">
        <f aca="false">BQ98*$F100*(BQ$4&lt;=In_COD)</f>
        <v>0</v>
      </c>
      <c r="BR100" s="33" t="n">
        <f aca="false">BR98*$F100*(BR$4&lt;=In_COD)</f>
        <v>0</v>
      </c>
      <c r="BS100" s="33" t="n">
        <f aca="false">BS98*$F100*(BS$4&lt;=In_COD)</f>
        <v>0</v>
      </c>
      <c r="BT100" s="33" t="n">
        <f aca="false">BT98*$F100*(BT$4&lt;=In_COD)</f>
        <v>0</v>
      </c>
      <c r="BU100" s="33" t="n">
        <f aca="false">BU98*$F100*(BU$4&lt;=In_COD)</f>
        <v>0</v>
      </c>
      <c r="BV100" s="33" t="n">
        <f aca="false">BV98*$F100*(BV$4&lt;=In_COD)</f>
        <v>0</v>
      </c>
      <c r="BW100" s="33" t="n">
        <f aca="false">BW98*$F100*(BW$4&lt;=In_COD)</f>
        <v>0</v>
      </c>
      <c r="BX100" s="33" t="n">
        <f aca="false">BX98*$F100*(BX$4&lt;=In_COD)</f>
        <v>0</v>
      </c>
      <c r="BY100" s="33" t="n">
        <f aca="false">BY98*$F100*(BY$4&lt;=In_COD)</f>
        <v>0</v>
      </c>
      <c r="BZ100" s="33" t="n">
        <f aca="false">BZ98*$F100*(BZ$4&lt;=In_COD)</f>
        <v>0</v>
      </c>
      <c r="CA100" s="33" t="n">
        <f aca="false">CA98*$F100*(CA$4&lt;=In_COD)</f>
        <v>0</v>
      </c>
      <c r="CB100" s="33" t="n">
        <f aca="false">CB98*$F100*(CB$4&lt;=In_COD)</f>
        <v>0</v>
      </c>
      <c r="CC100" s="33" t="n">
        <f aca="false">CC98*$F100*(CC$4&lt;=In_COD)</f>
        <v>0</v>
      </c>
      <c r="CD100" s="33" t="n">
        <f aca="false">CD98*$F100*(CD$4&lt;=In_COD)</f>
        <v>0</v>
      </c>
      <c r="CE100" s="33" t="n">
        <f aca="false">CE98*$F100*(CE$4&lt;=In_COD)</f>
        <v>0</v>
      </c>
      <c r="CF100" s="33" t="n">
        <f aca="false">CF98*$F100*(CF$4&lt;=In_COD)</f>
        <v>0</v>
      </c>
      <c r="CG100" s="33" t="n">
        <f aca="false">CG98*$F100*(CG$4&lt;=In_COD)</f>
        <v>0</v>
      </c>
      <c r="CH100" s="33" t="n">
        <f aca="false">CH98*$F100*(CH$4&lt;=In_COD)</f>
        <v>0</v>
      </c>
      <c r="CI100" s="33" t="n">
        <f aca="false">CI98*$F100*(CI$4&lt;=In_COD)</f>
        <v>0</v>
      </c>
      <c r="CJ100" s="33" t="n">
        <f aca="false">CJ98*$F100*(CJ$4&lt;=In_COD)</f>
        <v>0</v>
      </c>
      <c r="CK100" s="33" t="n">
        <f aca="false">CK98*$F100*(CK$4&lt;=In_COD)</f>
        <v>0</v>
      </c>
      <c r="CL100" s="33" t="n">
        <f aca="false">CL98*$F100*(CL$4&lt;=In_COD)</f>
        <v>0</v>
      </c>
      <c r="CM100" s="33" t="n">
        <f aca="false">CM98*$F100*(CM$4&lt;=In_COD)</f>
        <v>0</v>
      </c>
      <c r="CN100" s="33" t="n">
        <f aca="false">CN98*$F100*(CN$4&lt;=In_COD)</f>
        <v>0</v>
      </c>
      <c r="CO100" s="33" t="n">
        <f aca="false">CO98*$F100*(CO$4&lt;=In_COD)</f>
        <v>0</v>
      </c>
      <c r="CP100" s="33" t="n">
        <f aca="false">CP98*$F100*(CP$4&lt;=In_COD)</f>
        <v>0</v>
      </c>
      <c r="CQ100" s="33" t="n">
        <f aca="false">CQ98*$F100*(CQ$4&lt;=In_COD)</f>
        <v>0</v>
      </c>
      <c r="CR100" s="33" t="n">
        <f aca="false">CR98*$F100*(CR$4&lt;=In_COD)</f>
        <v>0</v>
      </c>
      <c r="CS100" s="33" t="n">
        <f aca="false">CS98*$F100*(CS$4&lt;=In_COD)</f>
        <v>0</v>
      </c>
      <c r="CT100" s="33" t="n">
        <f aca="false">CT98*$F100*(CT$4&lt;=In_COD)</f>
        <v>0</v>
      </c>
      <c r="CU100" s="33" t="n">
        <f aca="false">CU98*$F100*(CU$4&lt;=In_COD)</f>
        <v>0</v>
      </c>
      <c r="CV100" s="33" t="n">
        <f aca="false">CV98*$F100*(CV$4&lt;=In_COD)</f>
        <v>0</v>
      </c>
      <c r="CW100" s="33" t="n">
        <f aca="false">CW98*$F100*(CW$4&lt;=In_COD)</f>
        <v>0</v>
      </c>
      <c r="CX100" s="33" t="n">
        <f aca="false">CX98*$F100*(CX$4&lt;=In_COD)</f>
        <v>0</v>
      </c>
      <c r="CY100" s="33" t="n">
        <f aca="false">CY98*$F100*(CY$4&lt;=In_COD)</f>
        <v>0</v>
      </c>
      <c r="CZ100" s="33" t="n">
        <f aca="false">CZ98*$F100*(CZ$4&lt;=In_COD)</f>
        <v>0</v>
      </c>
      <c r="DA100" s="33" t="n">
        <f aca="false">DA98*$F100*(DA$4&lt;=In_COD)</f>
        <v>0</v>
      </c>
      <c r="DB100" s="33" t="n">
        <f aca="false">DB98*$F100*(DB$4&lt;=In_COD)</f>
        <v>0</v>
      </c>
      <c r="DC100" s="33" t="n">
        <f aca="false">DC98*$F100*(DC$4&lt;=In_COD)</f>
        <v>0</v>
      </c>
      <c r="DD100" s="33" t="n">
        <f aca="false">DD98*$F100*(DD$4&lt;=In_COD)</f>
        <v>0</v>
      </c>
      <c r="DE100" s="33" t="n">
        <f aca="false">DE98*$F100*(DE$4&lt;=In_COD)</f>
        <v>0</v>
      </c>
      <c r="DF100" s="33" t="n">
        <f aca="false">DF98*$F100*(DF$4&lt;=In_COD)</f>
        <v>0</v>
      </c>
      <c r="DG100" s="33" t="n">
        <f aca="false">DG98*$F100*(DG$4&lt;=In_COD)</f>
        <v>0</v>
      </c>
      <c r="DH100" s="33" t="n">
        <f aca="false">DH98*$F100*(DH$4&lt;=In_COD)</f>
        <v>0</v>
      </c>
      <c r="DI100" s="33" t="n">
        <f aca="false">DI98*$F100*(DI$4&lt;=In_COD)</f>
        <v>0</v>
      </c>
      <c r="DJ100" s="33" t="n">
        <f aca="false">DJ98*$F100*(DJ$4&lt;=In_COD)</f>
        <v>0</v>
      </c>
      <c r="DK100" s="33" t="n">
        <f aca="false">DK98*$F100*(DK$4&lt;=In_COD)</f>
        <v>0</v>
      </c>
      <c r="DL100" s="33" t="n">
        <f aca="false">DL98*$F100*(DL$4&lt;=In_COD)</f>
        <v>0</v>
      </c>
      <c r="DM100" s="33" t="n">
        <f aca="false">DM98*$F100*(DM$4&lt;=In_COD)</f>
        <v>0</v>
      </c>
      <c r="DN100" s="33" t="n">
        <f aca="false">DN98*$F100*(DN$4&lt;=In_COD)</f>
        <v>0</v>
      </c>
      <c r="DO100" s="33" t="n">
        <f aca="false">DO98*$F100*(DO$4&lt;=In_COD)</f>
        <v>0</v>
      </c>
      <c r="DP100" s="33" t="n">
        <f aca="false">DP98*$F100*(DP$4&lt;=In_COD)</f>
        <v>0</v>
      </c>
      <c r="DQ100" s="33" t="n">
        <f aca="false">DQ98*$F100*(DQ$4&lt;=In_COD)</f>
        <v>0</v>
      </c>
      <c r="DR100" s="33" t="n">
        <f aca="false">DR98*$F100*(DR$4&lt;=In_COD)</f>
        <v>0</v>
      </c>
      <c r="DS100" s="33" t="n">
        <f aca="false">DS98*$F100*(DS$4&lt;=In_COD)</f>
        <v>0</v>
      </c>
      <c r="DT100" s="33" t="n">
        <f aca="false">DT98*$F100*(DT$4&lt;=In_COD)</f>
        <v>0</v>
      </c>
      <c r="DU100" s="33" t="n">
        <f aca="false">DU98*$F100*(DU$4&lt;=In_COD)</f>
        <v>0</v>
      </c>
      <c r="DV100" s="33" t="n">
        <f aca="false">DV98*$F100*(DV$4&lt;=In_COD)</f>
        <v>0</v>
      </c>
      <c r="DW100" s="33" t="n">
        <f aca="false">DW98*$F100*(DW$4&lt;=In_COD)</f>
        <v>0</v>
      </c>
      <c r="DX100" s="33" t="n">
        <f aca="false">DX98*$F100*(DX$4&lt;=In_COD)</f>
        <v>0</v>
      </c>
      <c r="DY100" s="33" t="n">
        <f aca="false">DY98*$F100*(DY$4&lt;=In_COD)</f>
        <v>0</v>
      </c>
      <c r="DZ100" s="33" t="n">
        <f aca="false">DZ98*$F100*(DZ$4&lt;=In_COD)</f>
        <v>0</v>
      </c>
      <c r="EA100" s="33" t="n">
        <f aca="false">EA98*$F100*(EA$4&lt;=In_COD)</f>
        <v>0</v>
      </c>
      <c r="EB100" s="33" t="n">
        <f aca="false">EB98*$F100*(EB$4&lt;=In_COD)</f>
        <v>0</v>
      </c>
      <c r="EC100" s="33" t="n">
        <f aca="false">EC98*$F100*(EC$4&lt;=In_COD)</f>
        <v>0</v>
      </c>
      <c r="ED100" s="33" t="n">
        <f aca="false">ED98*$F100*(ED$4&lt;=In_COD)</f>
        <v>0</v>
      </c>
      <c r="EE100" s="33" t="n">
        <f aca="false">EE98*$F100*(EE$4&lt;=In_COD)</f>
        <v>0</v>
      </c>
      <c r="EF100" s="33" t="n">
        <f aca="false">EF98*$F100*(EF$4&lt;=In_COD)</f>
        <v>0</v>
      </c>
      <c r="EG100" s="33" t="n">
        <f aca="false">EG98*$F100*(EG$4&lt;=In_COD)</f>
        <v>0</v>
      </c>
      <c r="EH100" s="33" t="n">
        <f aca="false">EH98*$F100*(EH$4&lt;=In_COD)</f>
        <v>0</v>
      </c>
      <c r="EI100" s="33" t="n">
        <f aca="false">EI98*$F100*(EI$4&lt;=In_COD)</f>
        <v>0</v>
      </c>
      <c r="EJ100" s="33" t="n">
        <f aca="false">EJ98*$F100*(EJ$4&lt;=In_COD)</f>
        <v>0</v>
      </c>
      <c r="EK100" s="33" t="n">
        <f aca="false">EK98*$F100*(EK$4&lt;=In_COD)</f>
        <v>0</v>
      </c>
      <c r="EL100" s="33" t="n">
        <f aca="false">EL98*$F100*(EL$4&lt;=In_COD)</f>
        <v>0</v>
      </c>
      <c r="EM100" s="33" t="n">
        <f aca="false">EM98*$F100*(EM$4&lt;=In_COD)</f>
        <v>0</v>
      </c>
      <c r="EN100" s="33" t="n">
        <f aca="false">EN98*$F100*(EN$4&lt;=In_COD)</f>
        <v>0</v>
      </c>
      <c r="EO100" s="33" t="n">
        <f aca="false">EO98*$F100*(EO$4&lt;=In_COD)</f>
        <v>0</v>
      </c>
      <c r="EP100" s="33" t="n">
        <f aca="false">EP98*$F100*(EP$4&lt;=In_COD)</f>
        <v>0</v>
      </c>
      <c r="EQ100" s="33" t="n">
        <f aca="false">EQ98*$F100*(EQ$4&lt;=In_COD)</f>
        <v>0</v>
      </c>
      <c r="ER100" s="33" t="n">
        <f aca="false">ER98*$F100*(ER$4&lt;=In_COD)</f>
        <v>0</v>
      </c>
      <c r="ES100" s="33" t="n">
        <f aca="false">ES98*$F100*(ES$4&lt;=In_COD)</f>
        <v>0</v>
      </c>
      <c r="ET100" s="33" t="n">
        <f aca="false">ET98*$F100*(ET$4&lt;=In_COD)</f>
        <v>0</v>
      </c>
    </row>
    <row r="101" customFormat="false" ht="15" hidden="false" customHeight="false" outlineLevel="0" collapsed="false">
      <c r="C101" s="0" t="s">
        <v>558</v>
      </c>
      <c r="D101" s="11" t="s">
        <v>253</v>
      </c>
      <c r="I101" s="33" t="n">
        <f aca="false">SUM(J101:ET101)</f>
        <v>-99336.0596347059</v>
      </c>
      <c r="J101" s="33" t="n">
        <f aca="false">PPMT($F100,1,In_Debt_Tenor*Months_In_Year/Months_Per_Period-SUM($J17:J17)+1,J98)*J17</f>
        <v>0</v>
      </c>
      <c r="K101" s="33" t="n">
        <f aca="false">PPMT($F100,1,In_Debt_Tenor*Months_In_Year/Months_Per_Period-SUM($J17:K17)+1,K98)*K17</f>
        <v>0</v>
      </c>
      <c r="L101" s="33" t="n">
        <f aca="false">PPMT($F100,1,In_Debt_Tenor*Months_In_Year/Months_Per_Period-SUM($J17:L17)+1,L98)*L17</f>
        <v>0</v>
      </c>
      <c r="M101" s="33" t="n">
        <f aca="false">PPMT($F100,1,In_Debt_Tenor*Months_In_Year/Months_Per_Period-SUM($J17:M17)+1,M98)*M17</f>
        <v>0</v>
      </c>
      <c r="N101" s="33" t="n">
        <f aca="false">PPMT($F100,1,In_Debt_Tenor*Months_In_Year/Months_Per_Period-SUM($J17:N17)+1,N98)*N17</f>
        <v>0</v>
      </c>
      <c r="O101" s="33" t="n">
        <f aca="false">PPMT($F100,1,In_Debt_Tenor*Months_In_Year/Months_Per_Period-SUM($J17:O17)+1,O98)*O17</f>
        <v>0</v>
      </c>
      <c r="P101" s="33" t="n">
        <f aca="false">PPMT($F100,1,In_Debt_Tenor*Months_In_Year/Months_Per_Period-SUM($J17:P17)+1,P98)*P17</f>
        <v>0</v>
      </c>
      <c r="Q101" s="33" t="n">
        <f aca="false">PPMT($F100,1,In_Debt_Tenor*Months_In_Year/Months_Per_Period-SUM($J17:Q17)+1,Q98)*Q17</f>
        <v>0</v>
      </c>
      <c r="R101" s="33" t="n">
        <f aca="false">PPMT($F100,1,In_Debt_Tenor*Months_In_Year/Months_Per_Period-SUM($J17:R17)+1,R98)*R17</f>
        <v>0</v>
      </c>
      <c r="S101" s="33" t="n">
        <f aca="false">PPMT($F100,1,In_Debt_Tenor*Months_In_Year/Months_Per_Period-SUM($J17:S17)+1,S98)*S17</f>
        <v>0</v>
      </c>
      <c r="T101" s="33" t="n">
        <f aca="false">PPMT($F100,1,In_Debt_Tenor*Months_In_Year/Months_Per_Period-SUM($J17:T17)+1,T98)*T17</f>
        <v>0</v>
      </c>
      <c r="U101" s="33" t="n">
        <f aca="false">PPMT($F100,1,In_Debt_Tenor*Months_In_Year/Months_Per_Period-SUM($J17:U17)+1,U98)*U17</f>
        <v>0</v>
      </c>
      <c r="V101" s="33" t="n">
        <f aca="false">PPMT($F100,1,In_Debt_Tenor*Months_In_Year/Months_Per_Period-SUM($J17:V17)+1,V98)*V17</f>
        <v>0</v>
      </c>
      <c r="W101" s="33" t="n">
        <f aca="false">PPMT($F100,1,In_Debt_Tenor*Months_In_Year/Months_Per_Period-SUM($J17:W17)+1,W98)*W17</f>
        <v>0</v>
      </c>
      <c r="X101" s="33" t="n">
        <f aca="false">PPMT($F100,1,In_Debt_Tenor*Months_In_Year/Months_Per_Period-SUM($J17:X17)+1,X98)*X17</f>
        <v>-0</v>
      </c>
      <c r="Y101" s="33" t="n">
        <f aca="false">PPMT($F100,1,In_Debt_Tenor*Months_In_Year/Months_Per_Period-SUM($J17:Y17)+1,Y98)*Y17</f>
        <v>-0</v>
      </c>
      <c r="Z101" s="33" t="n">
        <f aca="false">PPMT($F100,1,In_Debt_Tenor*Months_In_Year/Months_Per_Period-SUM($J17:Z17)+1,Z98)*Z17</f>
        <v>-0</v>
      </c>
      <c r="AA101" s="33" t="n">
        <f aca="false">PPMT($F100,1,In_Debt_Tenor*Months_In_Year/Months_Per_Period-SUM($J17:AA17)+1,AA98)*AA17</f>
        <v>-0</v>
      </c>
      <c r="AB101" s="33" t="n">
        <f aca="false">PPMT($F100,1,In_Debt_Tenor*Months_In_Year/Months_Per_Period-SUM($J17:AB17)+1,AB98)*AB17</f>
        <v>-0</v>
      </c>
      <c r="AC101" s="33" t="n">
        <f aca="false">PPMT($F100,1,In_Debt_Tenor*Months_In_Year/Months_Per_Period-SUM($J17:AC17)+1,AC98)*AC17</f>
        <v>-0</v>
      </c>
      <c r="AD101" s="33" t="n">
        <f aca="false">PPMT($F100,1,In_Debt_Tenor*Months_In_Year/Months_Per_Period-SUM($J17:AD17)+1,AD98)*AD17</f>
        <v>-0</v>
      </c>
      <c r="AE101" s="33" t="n">
        <f aca="false">PPMT($F100,1,In_Debt_Tenor*Months_In_Year/Months_Per_Period-SUM($J17:AE17)+1,AE98)*AE17</f>
        <v>-1929.24673021309</v>
      </c>
      <c r="AF101" s="33" t="n">
        <f aca="false">PPMT($F100,1,In_Debt_Tenor*Months_In_Year/Months_Per_Period-SUM($J17:AF17)+1,AF98)*AF17</f>
        <v>-1953.36231434075</v>
      </c>
      <c r="AG101" s="33" t="n">
        <f aca="false">PPMT($F100,1,In_Debt_Tenor*Months_In_Year/Months_Per_Period-SUM($J17:AG17)+1,AG98)*AG17</f>
        <v>-1977.77934327001</v>
      </c>
      <c r="AH101" s="33" t="n">
        <f aca="false">PPMT($F100,1,In_Debt_Tenor*Months_In_Year/Months_Per_Period-SUM($J17:AH17)+1,AH98)*AH17</f>
        <v>-2002.50158506089</v>
      </c>
      <c r="AI101" s="33" t="n">
        <f aca="false">PPMT($F100,1,In_Debt_Tenor*Months_In_Year/Months_Per_Period-SUM($J17:AI17)+1,AI98)*AI17</f>
        <v>-2027.53285487415</v>
      </c>
      <c r="AJ101" s="33" t="n">
        <f aca="false">PPMT($F100,1,In_Debt_Tenor*Months_In_Year/Months_Per_Period-SUM($J17:AJ17)+1,AJ98)*AJ17</f>
        <v>-2052.87701556008</v>
      </c>
      <c r="AK101" s="33" t="n">
        <f aca="false">PPMT($F100,1,In_Debt_Tenor*Months_In_Year/Months_Per_Period-SUM($J17:AK17)+1,AK98)*AK17</f>
        <v>-2078.53797825458</v>
      </c>
      <c r="AL101" s="33" t="n">
        <f aca="false">PPMT($F100,1,In_Debt_Tenor*Months_In_Year/Months_Per_Period-SUM($J17:AL17)+1,AL98)*AL17</f>
        <v>-2104.51970298276</v>
      </c>
      <c r="AM101" s="33" t="n">
        <f aca="false">PPMT($F100,1,In_Debt_Tenor*Months_In_Year/Months_Per_Period-SUM($J17:AM17)+1,AM98)*AM17</f>
        <v>-2130.82619927004</v>
      </c>
      <c r="AN101" s="33" t="n">
        <f aca="false">PPMT($F100,1,In_Debt_Tenor*Months_In_Year/Months_Per_Period-SUM($J17:AN17)+1,AN98)*AN17</f>
        <v>-2157.46152676092</v>
      </c>
      <c r="AO101" s="33" t="n">
        <f aca="false">PPMT($F100,1,In_Debt_Tenor*Months_In_Year/Months_Per_Period-SUM($J17:AO17)+1,AO98)*AO17</f>
        <v>-2184.42979584543</v>
      </c>
      <c r="AP101" s="33" t="n">
        <f aca="false">PPMT($F100,1,In_Debt_Tenor*Months_In_Year/Months_Per_Period-SUM($J17:AP17)+1,AP98)*AP17</f>
        <v>-2211.7351682935</v>
      </c>
      <c r="AQ101" s="33" t="n">
        <f aca="false">PPMT($F100,1,In_Debt_Tenor*Months_In_Year/Months_Per_Period-SUM($J17:AQ17)+1,AQ98)*AQ17</f>
        <v>-2239.38185789717</v>
      </c>
      <c r="AR101" s="33" t="n">
        <f aca="false">PPMT($F100,1,In_Debt_Tenor*Months_In_Year/Months_Per_Period-SUM($J17:AR17)+1,AR98)*AR17</f>
        <v>-2267.37413112088</v>
      </c>
      <c r="AS101" s="33" t="n">
        <f aca="false">PPMT($F100,1,In_Debt_Tenor*Months_In_Year/Months_Per_Period-SUM($J17:AS17)+1,AS98)*AS17</f>
        <v>-2295.71630775989</v>
      </c>
      <c r="AT101" s="33" t="n">
        <f aca="false">PPMT($F100,1,In_Debt_Tenor*Months_In_Year/Months_Per_Period-SUM($J17:AT17)+1,AT98)*AT17</f>
        <v>-2324.41276160689</v>
      </c>
      <c r="AU101" s="33" t="n">
        <f aca="false">PPMT($F100,1,In_Debt_Tenor*Months_In_Year/Months_Per_Period-SUM($J17:AU17)+1,AU98)*AU17</f>
        <v>-2353.46792112698</v>
      </c>
      <c r="AV101" s="33" t="n">
        <f aca="false">PPMT($F100,1,In_Debt_Tenor*Months_In_Year/Months_Per_Period-SUM($J17:AV17)+1,AV98)*AV17</f>
        <v>-2382.88627014107</v>
      </c>
      <c r="AW101" s="33" t="n">
        <f aca="false">PPMT($F100,1,In_Debt_Tenor*Months_In_Year/Months_Per_Period-SUM($J17:AW17)+1,AW98)*AW17</f>
        <v>-2412.67234851783</v>
      </c>
      <c r="AX101" s="33" t="n">
        <f aca="false">PPMT($F100,1,In_Debt_Tenor*Months_In_Year/Months_Per_Period-SUM($J17:AX17)+1,AX98)*AX17</f>
        <v>-2442.8307528743</v>
      </c>
      <c r="AY101" s="33" t="n">
        <f aca="false">PPMT($F100,1,In_Debt_Tenor*Months_In_Year/Months_Per_Period-SUM($J17:AY17)+1,AY98)*AY17</f>
        <v>-2473.36613728523</v>
      </c>
      <c r="AZ101" s="33" t="n">
        <f aca="false">PPMT($F100,1,In_Debt_Tenor*Months_In_Year/Months_Per_Period-SUM($J17:AZ17)+1,AZ98)*AZ17</f>
        <v>-2504.2832140013</v>
      </c>
      <c r="BA101" s="33" t="n">
        <f aca="false">PPMT($F100,1,In_Debt_Tenor*Months_In_Year/Months_Per_Period-SUM($J17:BA17)+1,BA98)*BA17</f>
        <v>-2535.58675417631</v>
      </c>
      <c r="BB101" s="33" t="n">
        <f aca="false">PPMT($F100,1,In_Debt_Tenor*Months_In_Year/Months_Per_Period-SUM($J17:BB17)+1,BB98)*BB17</f>
        <v>-2567.28158860352</v>
      </c>
      <c r="BC101" s="33" t="n">
        <f aca="false">PPMT($F100,1,In_Debt_Tenor*Months_In_Year/Months_Per_Period-SUM($J17:BC17)+1,BC98)*BC17</f>
        <v>-2599.37260846106</v>
      </c>
      <c r="BD101" s="33" t="n">
        <f aca="false">PPMT($F100,1,In_Debt_Tenor*Months_In_Year/Months_Per_Period-SUM($J17:BD17)+1,BD98)*BD17</f>
        <v>-2631.86476606682</v>
      </c>
      <c r="BE101" s="33" t="n">
        <f aca="false">PPMT($F100,1,In_Debt_Tenor*Months_In_Year/Months_Per_Period-SUM($J17:BE17)+1,BE98)*BE17</f>
        <v>-2664.76307564266</v>
      </c>
      <c r="BF101" s="33" t="n">
        <f aca="false">PPMT($F100,1,In_Debt_Tenor*Months_In_Year/Months_Per_Period-SUM($J17:BF17)+1,BF98)*BF17</f>
        <v>-2698.07261408819</v>
      </c>
      <c r="BG101" s="33" t="n">
        <f aca="false">PPMT($F100,1,In_Debt_Tenor*Months_In_Year/Months_Per_Period-SUM($J17:BG17)+1,BG98)*BG17</f>
        <v>-2731.79852176429</v>
      </c>
      <c r="BH101" s="33" t="n">
        <f aca="false">PPMT($F100,1,In_Debt_Tenor*Months_In_Year/Months_Per_Period-SUM($J17:BH17)+1,BH98)*BH17</f>
        <v>-2765.94600328635</v>
      </c>
      <c r="BI101" s="33" t="n">
        <f aca="false">PPMT($F100,1,In_Debt_Tenor*Months_In_Year/Months_Per_Period-SUM($J17:BI17)+1,BI98)*BI17</f>
        <v>-2800.52032832743</v>
      </c>
      <c r="BJ101" s="33" t="n">
        <f aca="false">PPMT($F100,1,In_Debt_Tenor*Months_In_Year/Months_Per_Period-SUM($J17:BJ17)+1,BJ98)*BJ17</f>
        <v>-2835.52683243152</v>
      </c>
      <c r="BK101" s="33" t="n">
        <f aca="false">PPMT($F100,1,In_Debt_Tenor*Months_In_Year/Months_Per_Period-SUM($J17:BK17)+1,BK98)*BK17</f>
        <v>-2870.97091783691</v>
      </c>
      <c r="BL101" s="33" t="n">
        <f aca="false">PPMT($F100,1,In_Debt_Tenor*Months_In_Year/Months_Per_Period-SUM($J17:BL17)+1,BL98)*BL17</f>
        <v>-2906.85805430987</v>
      </c>
      <c r="BM101" s="33" t="n">
        <f aca="false">PPMT($F100,1,In_Debt_Tenor*Months_In_Year/Months_Per_Period-SUM($J17:BM17)+1,BM98)*BM17</f>
        <v>-2943.19377998875</v>
      </c>
      <c r="BN101" s="33" t="n">
        <f aca="false">PPMT($F100,1,In_Debt_Tenor*Months_In_Year/Months_Per_Period-SUM($J17:BN17)+1,BN98)*BN17</f>
        <v>-2979.98370223861</v>
      </c>
      <c r="BO101" s="33" t="n">
        <f aca="false">PPMT($F100,1,In_Debt_Tenor*Months_In_Year/Months_Per_Period-SUM($J17:BO17)+1,BO98)*BO17</f>
        <v>-3017.23349851659</v>
      </c>
      <c r="BP101" s="33" t="n">
        <f aca="false">PPMT($F100,1,In_Debt_Tenor*Months_In_Year/Months_Per_Period-SUM($J17:BP17)+1,BP98)*BP17</f>
        <v>-3054.94891724805</v>
      </c>
      <c r="BQ101" s="33" t="n">
        <f aca="false">PPMT($F100,1,In_Debt_Tenor*Months_In_Year/Months_Per_Period-SUM($J17:BQ17)+1,BQ98)*BQ17</f>
        <v>-3093.13577871365</v>
      </c>
      <c r="BR101" s="33" t="n">
        <f aca="false">PPMT($F100,1,In_Debt_Tenor*Months_In_Year/Months_Per_Period-SUM($J17:BR17)+1,BR98)*BR17</f>
        <v>-3131.79997594757</v>
      </c>
      <c r="BS101" s="33" t="n">
        <f aca="false">PPMT($F100,1,In_Debt_Tenor*Months_In_Year/Months_Per_Period-SUM($J17:BS17)+1,BS98)*BS17</f>
        <v>0</v>
      </c>
      <c r="BT101" s="33" t="n">
        <f aca="false">PPMT($F100,1,In_Debt_Tenor*Months_In_Year/Months_Per_Period-SUM($J17:BT17)+1,BT98)*BT17</f>
        <v>0</v>
      </c>
      <c r="BU101" s="33" t="n">
        <f aca="false">PPMT($F100,1,In_Debt_Tenor*Months_In_Year/Months_Per_Period-SUM($J17:BU17)+1,BU98)*BU17</f>
        <v>0</v>
      </c>
      <c r="BV101" s="33" t="n">
        <f aca="false">PPMT($F100,1,In_Debt_Tenor*Months_In_Year/Months_Per_Period-SUM($J17:BV17)+1,BV98)*BV17</f>
        <v>0</v>
      </c>
      <c r="BW101" s="33" t="n">
        <f aca="false">PPMT($F100,1,In_Debt_Tenor*Months_In_Year/Months_Per_Period-SUM($J17:BW17)+1,BW98)*BW17</f>
        <v>0</v>
      </c>
      <c r="BX101" s="33" t="n">
        <f aca="false">PPMT($F100,1,In_Debt_Tenor*Months_In_Year/Months_Per_Period-SUM($J17:BX17)+1,BX98)*BX17</f>
        <v>0</v>
      </c>
      <c r="BY101" s="33" t="n">
        <f aca="false">PPMT($F100,1,In_Debt_Tenor*Months_In_Year/Months_Per_Period-SUM($J17:BY17)+1,BY98)*BY17</f>
        <v>0</v>
      </c>
      <c r="BZ101" s="33" t="n">
        <f aca="false">PPMT($F100,1,In_Debt_Tenor*Months_In_Year/Months_Per_Period-SUM($J17:BZ17)+1,BZ98)*BZ17</f>
        <v>0</v>
      </c>
      <c r="CA101" s="33" t="n">
        <f aca="false">PPMT($F100,1,In_Debt_Tenor*Months_In_Year/Months_Per_Period-SUM($J17:CA17)+1,CA98)*CA17</f>
        <v>0</v>
      </c>
      <c r="CB101" s="33" t="n">
        <f aca="false">PPMT($F100,1,In_Debt_Tenor*Months_In_Year/Months_Per_Period-SUM($J17:CB17)+1,CB98)*CB17</f>
        <v>0</v>
      </c>
      <c r="CC101" s="33" t="n">
        <f aca="false">PPMT($F100,1,In_Debt_Tenor*Months_In_Year/Months_Per_Period-SUM($J17:CC17)+1,CC98)*CC17</f>
        <v>0</v>
      </c>
      <c r="CD101" s="33" t="n">
        <f aca="false">PPMT($F100,1,In_Debt_Tenor*Months_In_Year/Months_Per_Period-SUM($J17:CD17)+1,CD98)*CD17</f>
        <v>0</v>
      </c>
      <c r="CE101" s="33" t="n">
        <f aca="false">PPMT($F100,1,In_Debt_Tenor*Months_In_Year/Months_Per_Period-SUM($J17:CE17)+1,CE98)*CE17</f>
        <v>0</v>
      </c>
      <c r="CF101" s="33" t="n">
        <f aca="false">PPMT($F100,1,In_Debt_Tenor*Months_In_Year/Months_Per_Period-SUM($J17:CF17)+1,CF98)*CF17</f>
        <v>0</v>
      </c>
      <c r="CG101" s="33" t="n">
        <f aca="false">PPMT($F100,1,In_Debt_Tenor*Months_In_Year/Months_Per_Period-SUM($J17:CG17)+1,CG98)*CG17</f>
        <v>0</v>
      </c>
      <c r="CH101" s="33" t="n">
        <f aca="false">PPMT($F100,1,In_Debt_Tenor*Months_In_Year/Months_Per_Period-SUM($J17:CH17)+1,CH98)*CH17</f>
        <v>0</v>
      </c>
      <c r="CI101" s="33" t="n">
        <f aca="false">PPMT($F100,1,In_Debt_Tenor*Months_In_Year/Months_Per_Period-SUM($J17:CI17)+1,CI98)*CI17</f>
        <v>0</v>
      </c>
      <c r="CJ101" s="33" t="n">
        <f aca="false">PPMT($F100,1,In_Debt_Tenor*Months_In_Year/Months_Per_Period-SUM($J17:CJ17)+1,CJ98)*CJ17</f>
        <v>0</v>
      </c>
      <c r="CK101" s="33" t="n">
        <f aca="false">PPMT($F100,1,In_Debt_Tenor*Months_In_Year/Months_Per_Period-SUM($J17:CK17)+1,CK98)*CK17</f>
        <v>0</v>
      </c>
      <c r="CL101" s="33" t="n">
        <f aca="false">PPMT($F100,1,In_Debt_Tenor*Months_In_Year/Months_Per_Period-SUM($J17:CL17)+1,CL98)*CL17</f>
        <v>0</v>
      </c>
      <c r="CM101" s="33" t="n">
        <f aca="false">PPMT($F100,1,In_Debt_Tenor*Months_In_Year/Months_Per_Period-SUM($J17:CM17)+1,CM98)*CM17</f>
        <v>0</v>
      </c>
      <c r="CN101" s="33" t="n">
        <f aca="false">PPMT($F100,1,In_Debt_Tenor*Months_In_Year/Months_Per_Period-SUM($J17:CN17)+1,CN98)*CN17</f>
        <v>0</v>
      </c>
      <c r="CO101" s="33" t="n">
        <f aca="false">PPMT($F100,1,In_Debt_Tenor*Months_In_Year/Months_Per_Period-SUM($J17:CO17)+1,CO98)*CO17</f>
        <v>0</v>
      </c>
      <c r="CP101" s="33" t="n">
        <f aca="false">PPMT($F100,1,In_Debt_Tenor*Months_In_Year/Months_Per_Period-SUM($J17:CP17)+1,CP98)*CP17</f>
        <v>0</v>
      </c>
      <c r="CQ101" s="33" t="n">
        <f aca="false">PPMT($F100,1,In_Debt_Tenor*Months_In_Year/Months_Per_Period-SUM($J17:CQ17)+1,CQ98)*CQ17</f>
        <v>0</v>
      </c>
      <c r="CR101" s="33" t="n">
        <f aca="false">PPMT($F100,1,In_Debt_Tenor*Months_In_Year/Months_Per_Period-SUM($J17:CR17)+1,CR98)*CR17</f>
        <v>0</v>
      </c>
      <c r="CS101" s="33" t="n">
        <f aca="false">PPMT($F100,1,In_Debt_Tenor*Months_In_Year/Months_Per_Period-SUM($J17:CS17)+1,CS98)*CS17</f>
        <v>0</v>
      </c>
      <c r="CT101" s="33" t="n">
        <f aca="false">PPMT($F100,1,In_Debt_Tenor*Months_In_Year/Months_Per_Period-SUM($J17:CT17)+1,CT98)*CT17</f>
        <v>0</v>
      </c>
      <c r="CU101" s="33" t="n">
        <f aca="false">PPMT($F100,1,In_Debt_Tenor*Months_In_Year/Months_Per_Period-SUM($J17:CU17)+1,CU98)*CU17</f>
        <v>0</v>
      </c>
      <c r="CV101" s="33" t="n">
        <f aca="false">PPMT($F100,1,In_Debt_Tenor*Months_In_Year/Months_Per_Period-SUM($J17:CV17)+1,CV98)*CV17</f>
        <v>0</v>
      </c>
      <c r="CW101" s="33" t="n">
        <f aca="false">PPMT($F100,1,In_Debt_Tenor*Months_In_Year/Months_Per_Period-SUM($J17:CW17)+1,CW98)*CW17</f>
        <v>0</v>
      </c>
      <c r="CX101" s="33" t="n">
        <f aca="false">PPMT($F100,1,In_Debt_Tenor*Months_In_Year/Months_Per_Period-SUM($J17:CX17)+1,CX98)*CX17</f>
        <v>0</v>
      </c>
      <c r="CY101" s="33" t="n">
        <f aca="false">PPMT($F100,1,In_Debt_Tenor*Months_In_Year/Months_Per_Period-SUM($J17:CY17)+1,CY98)*CY17</f>
        <v>0</v>
      </c>
      <c r="CZ101" s="33" t="n">
        <f aca="false">PPMT($F100,1,In_Debt_Tenor*Months_In_Year/Months_Per_Period-SUM($J17:CZ17)+1,CZ98)*CZ17</f>
        <v>0</v>
      </c>
      <c r="DA101" s="33" t="n">
        <f aca="false">PPMT($F100,1,In_Debt_Tenor*Months_In_Year/Months_Per_Period-SUM($J17:DA17)+1,DA98)*DA17</f>
        <v>0</v>
      </c>
      <c r="DB101" s="33" t="n">
        <f aca="false">PPMT($F100,1,In_Debt_Tenor*Months_In_Year/Months_Per_Period-SUM($J17:DB17)+1,DB98)*DB17</f>
        <v>0</v>
      </c>
      <c r="DC101" s="33" t="n">
        <f aca="false">PPMT($F100,1,In_Debt_Tenor*Months_In_Year/Months_Per_Period-SUM($J17:DC17)+1,DC98)*DC17</f>
        <v>0</v>
      </c>
      <c r="DD101" s="33" t="n">
        <f aca="false">PPMT($F100,1,In_Debt_Tenor*Months_In_Year/Months_Per_Period-SUM($J17:DD17)+1,DD98)*DD17</f>
        <v>0</v>
      </c>
      <c r="DE101" s="33" t="n">
        <f aca="false">PPMT($F100,1,In_Debt_Tenor*Months_In_Year/Months_Per_Period-SUM($J17:DE17)+1,DE98)*DE17</f>
        <v>0</v>
      </c>
      <c r="DF101" s="33" t="n">
        <f aca="false">PPMT($F100,1,In_Debt_Tenor*Months_In_Year/Months_Per_Period-SUM($J17:DF17)+1,DF98)*DF17</f>
        <v>0</v>
      </c>
      <c r="DG101" s="33" t="n">
        <f aca="false">PPMT($F100,1,In_Debt_Tenor*Months_In_Year/Months_Per_Period-SUM($J17:DG17)+1,DG98)*DG17</f>
        <v>0</v>
      </c>
      <c r="DH101" s="33" t="n">
        <f aca="false">PPMT($F100,1,In_Debt_Tenor*Months_In_Year/Months_Per_Period-SUM($J17:DH17)+1,DH98)*DH17</f>
        <v>0</v>
      </c>
      <c r="DI101" s="33" t="n">
        <f aca="false">PPMT($F100,1,In_Debt_Tenor*Months_In_Year/Months_Per_Period-SUM($J17:DI17)+1,DI98)*DI17</f>
        <v>0</v>
      </c>
      <c r="DJ101" s="33" t="n">
        <f aca="false">PPMT($F100,1,In_Debt_Tenor*Months_In_Year/Months_Per_Period-SUM($J17:DJ17)+1,DJ98)*DJ17</f>
        <v>0</v>
      </c>
      <c r="DK101" s="33" t="n">
        <f aca="false">PPMT($F100,1,In_Debt_Tenor*Months_In_Year/Months_Per_Period-SUM($J17:DK17)+1,DK98)*DK17</f>
        <v>0</v>
      </c>
      <c r="DL101" s="33" t="n">
        <f aca="false">PPMT($F100,1,In_Debt_Tenor*Months_In_Year/Months_Per_Period-SUM($J17:DL17)+1,DL98)*DL17</f>
        <v>0</v>
      </c>
      <c r="DM101" s="33" t="n">
        <f aca="false">PPMT($F100,1,In_Debt_Tenor*Months_In_Year/Months_Per_Period-SUM($J17:DM17)+1,DM98)*DM17</f>
        <v>0</v>
      </c>
      <c r="DN101" s="33" t="n">
        <f aca="false">PPMT($F100,1,In_Debt_Tenor*Months_In_Year/Months_Per_Period-SUM($J17:DN17)+1,DN98)*DN17</f>
        <v>0</v>
      </c>
      <c r="DO101" s="33" t="n">
        <f aca="false">PPMT($F100,1,In_Debt_Tenor*Months_In_Year/Months_Per_Period-SUM($J17:DO17)+1,DO98)*DO17</f>
        <v>0</v>
      </c>
      <c r="DP101" s="33" t="n">
        <f aca="false">PPMT($F100,1,In_Debt_Tenor*Months_In_Year/Months_Per_Period-SUM($J17:DP17)+1,DP98)*DP17</f>
        <v>0</v>
      </c>
      <c r="DQ101" s="33" t="n">
        <f aca="false">PPMT($F100,1,In_Debt_Tenor*Months_In_Year/Months_Per_Period-SUM($J17:DQ17)+1,DQ98)*DQ17</f>
        <v>0</v>
      </c>
      <c r="DR101" s="33" t="n">
        <f aca="false">PPMT($F100,1,In_Debt_Tenor*Months_In_Year/Months_Per_Period-SUM($J17:DR17)+1,DR98)*DR17</f>
        <v>0</v>
      </c>
      <c r="DS101" s="33" t="n">
        <f aca="false">PPMT($F100,1,In_Debt_Tenor*Months_In_Year/Months_Per_Period-SUM($J17:DS17)+1,DS98)*DS17</f>
        <v>0</v>
      </c>
      <c r="DT101" s="33" t="n">
        <f aca="false">PPMT($F100,1,In_Debt_Tenor*Months_In_Year/Months_Per_Period-SUM($J17:DT17)+1,DT98)*DT17</f>
        <v>0</v>
      </c>
      <c r="DU101" s="33" t="n">
        <f aca="false">PPMT($F100,1,In_Debt_Tenor*Months_In_Year/Months_Per_Period-SUM($J17:DU17)+1,DU98)*DU17</f>
        <v>0</v>
      </c>
      <c r="DV101" s="33" t="n">
        <f aca="false">PPMT($F100,1,In_Debt_Tenor*Months_In_Year/Months_Per_Period-SUM($J17:DV17)+1,DV98)*DV17</f>
        <v>0</v>
      </c>
      <c r="DW101" s="33" t="n">
        <f aca="false">PPMT($F100,1,In_Debt_Tenor*Months_In_Year/Months_Per_Period-SUM($J17:DW17)+1,DW98)*DW17</f>
        <v>0</v>
      </c>
      <c r="DX101" s="33" t="n">
        <f aca="false">PPMT($F100,1,In_Debt_Tenor*Months_In_Year/Months_Per_Period-SUM($J17:DX17)+1,DX98)*DX17</f>
        <v>0</v>
      </c>
      <c r="DY101" s="33" t="n">
        <f aca="false">PPMT($F100,1,In_Debt_Tenor*Months_In_Year/Months_Per_Period-SUM($J17:DY17)+1,DY98)*DY17</f>
        <v>0</v>
      </c>
      <c r="DZ101" s="33" t="n">
        <f aca="false">PPMT($F100,1,In_Debt_Tenor*Months_In_Year/Months_Per_Period-SUM($J17:DZ17)+1,DZ98)*DZ17</f>
        <v>0</v>
      </c>
      <c r="EA101" s="33" t="n">
        <f aca="false">PPMT($F100,1,In_Debt_Tenor*Months_In_Year/Months_Per_Period-SUM($J17:EA17)+1,EA98)*EA17</f>
        <v>0</v>
      </c>
      <c r="EB101" s="33" t="n">
        <f aca="false">PPMT($F100,1,In_Debt_Tenor*Months_In_Year/Months_Per_Period-SUM($J17:EB17)+1,EB98)*EB17</f>
        <v>0</v>
      </c>
      <c r="EC101" s="33" t="n">
        <f aca="false">PPMT($F100,1,In_Debt_Tenor*Months_In_Year/Months_Per_Period-SUM($J17:EC17)+1,EC98)*EC17</f>
        <v>0</v>
      </c>
      <c r="ED101" s="33" t="n">
        <f aca="false">PPMT($F100,1,In_Debt_Tenor*Months_In_Year/Months_Per_Period-SUM($J17:ED17)+1,ED98)*ED17</f>
        <v>0</v>
      </c>
      <c r="EE101" s="33" t="n">
        <f aca="false">PPMT($F100,1,In_Debt_Tenor*Months_In_Year/Months_Per_Period-SUM($J17:EE17)+1,EE98)*EE17</f>
        <v>0</v>
      </c>
      <c r="EF101" s="33" t="n">
        <f aca="false">PPMT($F100,1,In_Debt_Tenor*Months_In_Year/Months_Per_Period-SUM($J17:EF17)+1,EF98)*EF17</f>
        <v>0</v>
      </c>
      <c r="EG101" s="33" t="n">
        <f aca="false">PPMT($F100,1,In_Debt_Tenor*Months_In_Year/Months_Per_Period-SUM($J17:EG17)+1,EG98)*EG17</f>
        <v>0</v>
      </c>
      <c r="EH101" s="33" t="n">
        <f aca="false">PPMT($F100,1,In_Debt_Tenor*Months_In_Year/Months_Per_Period-SUM($J17:EH17)+1,EH98)*EH17</f>
        <v>0</v>
      </c>
      <c r="EI101" s="33" t="n">
        <f aca="false">PPMT($F100,1,In_Debt_Tenor*Months_In_Year/Months_Per_Period-SUM($J17:EI17)+1,EI98)*EI17</f>
        <v>0</v>
      </c>
      <c r="EJ101" s="33" t="n">
        <f aca="false">PPMT($F100,1,In_Debt_Tenor*Months_In_Year/Months_Per_Period-SUM($J17:EJ17)+1,EJ98)*EJ17</f>
        <v>0</v>
      </c>
      <c r="EK101" s="33" t="n">
        <f aca="false">PPMT($F100,1,In_Debt_Tenor*Months_In_Year/Months_Per_Period-SUM($J17:EK17)+1,EK98)*EK17</f>
        <v>0</v>
      </c>
      <c r="EL101" s="33" t="n">
        <f aca="false">PPMT($F100,1,In_Debt_Tenor*Months_In_Year/Months_Per_Period-SUM($J17:EL17)+1,EL98)*EL17</f>
        <v>0</v>
      </c>
      <c r="EM101" s="33" t="n">
        <f aca="false">PPMT($F100,1,In_Debt_Tenor*Months_In_Year/Months_Per_Period-SUM($J17:EM17)+1,EM98)*EM17</f>
        <v>0</v>
      </c>
      <c r="EN101" s="33" t="n">
        <f aca="false">PPMT($F100,1,In_Debt_Tenor*Months_In_Year/Months_Per_Period-SUM($J17:EN17)+1,EN98)*EN17</f>
        <v>0</v>
      </c>
      <c r="EO101" s="33" t="n">
        <f aca="false">PPMT($F100,1,In_Debt_Tenor*Months_In_Year/Months_Per_Period-SUM($J17:EO17)+1,EO98)*EO17</f>
        <v>0</v>
      </c>
      <c r="EP101" s="33" t="n">
        <f aca="false">PPMT($F100,1,In_Debt_Tenor*Months_In_Year/Months_Per_Period-SUM($J17:EP17)+1,EP98)*EP17</f>
        <v>0</v>
      </c>
      <c r="EQ101" s="33" t="n">
        <f aca="false">PPMT($F100,1,In_Debt_Tenor*Months_In_Year/Months_Per_Period-SUM($J17:EQ17)+1,EQ98)*EQ17</f>
        <v>0</v>
      </c>
      <c r="ER101" s="33" t="n">
        <f aca="false">PPMT($F100,1,In_Debt_Tenor*Months_In_Year/Months_Per_Period-SUM($J17:ER17)+1,ER98)*ER17</f>
        <v>0</v>
      </c>
      <c r="ES101" s="33" t="n">
        <f aca="false">PPMT($F100,1,In_Debt_Tenor*Months_In_Year/Months_Per_Period-SUM($J17:ES17)+1,ES98)*ES17</f>
        <v>0</v>
      </c>
      <c r="ET101" s="33" t="n">
        <f aca="false">PPMT($F100,1,In_Debt_Tenor*Months_In_Year/Months_Per_Period-SUM($J17:ET17)+1,ET98)*ET17</f>
        <v>0</v>
      </c>
    </row>
    <row r="102" customFormat="false" ht="15" hidden="false" customHeight="false" outlineLevel="0" collapsed="false">
      <c r="C102" s="30" t="s">
        <v>537</v>
      </c>
      <c r="D102" s="11" t="s">
        <v>253</v>
      </c>
      <c r="I102" s="54"/>
      <c r="J102" s="35" t="n">
        <f aca="false">SUM(J98:J101)</f>
        <v>0</v>
      </c>
      <c r="K102" s="35" t="n">
        <f aca="false">SUM(K98:K101)</f>
        <v>0</v>
      </c>
      <c r="L102" s="35" t="n">
        <f aca="false">SUM(L98:L101)</f>
        <v>0</v>
      </c>
      <c r="M102" s="35" t="n">
        <f aca="false">SUM(M98:M101)</f>
        <v>0</v>
      </c>
      <c r="N102" s="35" t="n">
        <f aca="false">SUM(N98:N101)</f>
        <v>0</v>
      </c>
      <c r="O102" s="35" t="n">
        <f aca="false">SUM(O98:O101)</f>
        <v>0</v>
      </c>
      <c r="P102" s="35" t="n">
        <f aca="false">SUM(P98:P101)</f>
        <v>0</v>
      </c>
      <c r="Q102" s="35" t="n">
        <f aca="false">SUM(Q98:Q101)</f>
        <v>0</v>
      </c>
      <c r="R102" s="35" t="n">
        <f aca="false">SUM(R98:R101)</f>
        <v>0</v>
      </c>
      <c r="S102" s="35" t="n">
        <f aca="false">SUM(S98:S101)</f>
        <v>0</v>
      </c>
      <c r="T102" s="35" t="n">
        <f aca="false">SUM(T98:T101)</f>
        <v>0</v>
      </c>
      <c r="U102" s="35" t="n">
        <f aca="false">SUM(U98:U101)</f>
        <v>0</v>
      </c>
      <c r="V102" s="35" t="n">
        <f aca="false">SUM(V98:V101)</f>
        <v>0</v>
      </c>
      <c r="W102" s="35" t="n">
        <f aca="false">SUM(W98:W101)</f>
        <v>11981.7564177174</v>
      </c>
      <c r="X102" s="35" t="n">
        <f aca="false">SUM(X98:X101)</f>
        <v>23852.8118250537</v>
      </c>
      <c r="Y102" s="35" t="n">
        <f aca="false">SUM(Y98:Y101)</f>
        <v>36002.491907783</v>
      </c>
      <c r="Z102" s="35" t="n">
        <f aca="false">SUM(Z98:Z101)</f>
        <v>48434.2794743477</v>
      </c>
      <c r="AA102" s="35" t="n">
        <f aca="false">SUM(AA98:AA101)</f>
        <v>61021.4643854944</v>
      </c>
      <c r="AB102" s="35" t="n">
        <f aca="false">SUM(AB98:AB101)</f>
        <v>73505.516142428</v>
      </c>
      <c r="AC102" s="35" t="n">
        <f aca="false">SUM(AC98:AC101)</f>
        <v>86275.8550291244</v>
      </c>
      <c r="AD102" s="35" t="n">
        <f aca="false">SUM(AD98:AD101)</f>
        <v>99336.0596347059</v>
      </c>
      <c r="AE102" s="35" t="n">
        <f aca="false">SUM(AE98:AE101)</f>
        <v>97406.8129044928</v>
      </c>
      <c r="AF102" s="35" t="n">
        <f aca="false">SUM(AF98:AF101)</f>
        <v>95453.450590152</v>
      </c>
      <c r="AG102" s="35" t="n">
        <f aca="false">SUM(AG98:AG101)</f>
        <v>93475.671246882</v>
      </c>
      <c r="AH102" s="35" t="n">
        <f aca="false">SUM(AH98:AH101)</f>
        <v>91473.1696618211</v>
      </c>
      <c r="AI102" s="35" t="n">
        <f aca="false">SUM(AI98:AI101)</f>
        <v>89445.636806947</v>
      </c>
      <c r="AJ102" s="35" t="n">
        <f aca="false">SUM(AJ98:AJ101)</f>
        <v>87392.7597913869</v>
      </c>
      <c r="AK102" s="35" t="n">
        <f aca="false">SUM(AK98:AK101)</f>
        <v>85314.2218131323</v>
      </c>
      <c r="AL102" s="35" t="n">
        <f aca="false">SUM(AL98:AL101)</f>
        <v>83209.7021101496</v>
      </c>
      <c r="AM102" s="35" t="n">
        <f aca="false">SUM(AM98:AM101)</f>
        <v>81078.8759108795</v>
      </c>
      <c r="AN102" s="35" t="n">
        <f aca="false">SUM(AN98:AN101)</f>
        <v>78921.4143841186</v>
      </c>
      <c r="AO102" s="35" t="n">
        <f aca="false">SUM(AO98:AO101)</f>
        <v>76736.9845882732</v>
      </c>
      <c r="AP102" s="35" t="n">
        <f aca="false">SUM(AP98:AP101)</f>
        <v>74525.2494199797</v>
      </c>
      <c r="AQ102" s="35" t="n">
        <f aca="false">SUM(AQ98:AQ101)</f>
        <v>72285.8675620825</v>
      </c>
      <c r="AR102" s="35" t="n">
        <f aca="false">SUM(AR98:AR101)</f>
        <v>70018.4934309616</v>
      </c>
      <c r="AS102" s="35" t="n">
        <f aca="false">SUM(AS98:AS101)</f>
        <v>67722.7771232017</v>
      </c>
      <c r="AT102" s="35" t="n">
        <f aca="false">SUM(AT98:AT101)</f>
        <v>65398.3643615948</v>
      </c>
      <c r="AU102" s="35" t="n">
        <f aca="false">SUM(AU98:AU101)</f>
        <v>63044.8964404679</v>
      </c>
      <c r="AV102" s="35" t="n">
        <f aca="false">SUM(AV98:AV101)</f>
        <v>60662.0101703268</v>
      </c>
      <c r="AW102" s="35" t="n">
        <f aca="false">SUM(AW98:AW101)</f>
        <v>58249.337821809</v>
      </c>
      <c r="AX102" s="35" t="n">
        <f aca="false">SUM(AX98:AX101)</f>
        <v>55806.5070689347</v>
      </c>
      <c r="AY102" s="35" t="n">
        <f aca="false">SUM(AY98:AY101)</f>
        <v>53333.1409316494</v>
      </c>
      <c r="AZ102" s="35" t="n">
        <f aca="false">SUM(AZ98:AZ101)</f>
        <v>50828.8577176481</v>
      </c>
      <c r="BA102" s="35" t="n">
        <f aca="false">SUM(BA98:BA101)</f>
        <v>48293.2709634718</v>
      </c>
      <c r="BB102" s="35" t="n">
        <f aca="false">SUM(BB98:BB101)</f>
        <v>45725.9893748683</v>
      </c>
      <c r="BC102" s="35" t="n">
        <f aca="false">SUM(BC98:BC101)</f>
        <v>43126.6167664073</v>
      </c>
      <c r="BD102" s="35" t="n">
        <f aca="false">SUM(BD98:BD101)</f>
        <v>40494.7520003404</v>
      </c>
      <c r="BE102" s="35" t="n">
        <f aca="false">SUM(BE98:BE101)</f>
        <v>37829.9889246978</v>
      </c>
      <c r="BF102" s="35" t="n">
        <f aca="false">SUM(BF98:BF101)</f>
        <v>35131.9163106096</v>
      </c>
      <c r="BG102" s="35" t="n">
        <f aca="false">SUM(BG98:BG101)</f>
        <v>32400.1177888453</v>
      </c>
      <c r="BH102" s="35" t="n">
        <f aca="false">SUM(BH98:BH101)</f>
        <v>29634.1717855589</v>
      </c>
      <c r="BI102" s="35" t="n">
        <f aca="false">SUM(BI98:BI101)</f>
        <v>26833.6514572315</v>
      </c>
      <c r="BJ102" s="35" t="n">
        <f aca="false">SUM(BJ98:BJ101)</f>
        <v>23998.1246248</v>
      </c>
      <c r="BK102" s="35" t="n">
        <f aca="false">SUM(BK98:BK101)</f>
        <v>21127.1537069631</v>
      </c>
      <c r="BL102" s="35" t="n">
        <f aca="false">SUM(BL98:BL101)</f>
        <v>18220.2956526532</v>
      </c>
      <c r="BM102" s="35" t="n">
        <f aca="false">SUM(BM98:BM101)</f>
        <v>15277.1018726645</v>
      </c>
      <c r="BN102" s="35" t="n">
        <f aca="false">SUM(BN98:BN101)</f>
        <v>12297.1181704259</v>
      </c>
      <c r="BO102" s="35" t="n">
        <f aca="false">SUM(BO98:BO101)</f>
        <v>9279.88467190926</v>
      </c>
      <c r="BP102" s="35" t="n">
        <f aca="false">SUM(BP98:BP101)</f>
        <v>6224.93575466122</v>
      </c>
      <c r="BQ102" s="35" t="n">
        <f aca="false">SUM(BQ98:BQ101)</f>
        <v>3131.79997594757</v>
      </c>
      <c r="BR102" s="35" t="n">
        <f aca="false">SUM(BR98:BR101)</f>
        <v>0</v>
      </c>
      <c r="BS102" s="35" t="n">
        <f aca="false">SUM(BS98:BS101)</f>
        <v>0</v>
      </c>
      <c r="BT102" s="35" t="n">
        <f aca="false">SUM(BT98:BT101)</f>
        <v>0</v>
      </c>
      <c r="BU102" s="35" t="n">
        <f aca="false">SUM(BU98:BU101)</f>
        <v>0</v>
      </c>
      <c r="BV102" s="35" t="n">
        <f aca="false">SUM(BV98:BV101)</f>
        <v>0</v>
      </c>
      <c r="BW102" s="35" t="n">
        <f aca="false">SUM(BW98:BW101)</f>
        <v>0</v>
      </c>
      <c r="BX102" s="35" t="n">
        <f aca="false">SUM(BX98:BX101)</f>
        <v>0</v>
      </c>
      <c r="BY102" s="35" t="n">
        <f aca="false">SUM(BY98:BY101)</f>
        <v>0</v>
      </c>
      <c r="BZ102" s="35" t="n">
        <f aca="false">SUM(BZ98:BZ101)</f>
        <v>0</v>
      </c>
      <c r="CA102" s="35" t="n">
        <f aca="false">SUM(CA98:CA101)</f>
        <v>0</v>
      </c>
      <c r="CB102" s="35" t="n">
        <f aca="false">SUM(CB98:CB101)</f>
        <v>0</v>
      </c>
      <c r="CC102" s="35" t="n">
        <f aca="false">SUM(CC98:CC101)</f>
        <v>0</v>
      </c>
      <c r="CD102" s="35" t="n">
        <f aca="false">SUM(CD98:CD101)</f>
        <v>0</v>
      </c>
      <c r="CE102" s="35" t="n">
        <f aca="false">SUM(CE98:CE101)</f>
        <v>0</v>
      </c>
      <c r="CF102" s="35" t="n">
        <f aca="false">SUM(CF98:CF101)</f>
        <v>0</v>
      </c>
      <c r="CG102" s="35" t="n">
        <f aca="false">SUM(CG98:CG101)</f>
        <v>0</v>
      </c>
      <c r="CH102" s="35" t="n">
        <f aca="false">SUM(CH98:CH101)</f>
        <v>0</v>
      </c>
      <c r="CI102" s="35" t="n">
        <f aca="false">SUM(CI98:CI101)</f>
        <v>0</v>
      </c>
      <c r="CJ102" s="35" t="n">
        <f aca="false">SUM(CJ98:CJ101)</f>
        <v>0</v>
      </c>
      <c r="CK102" s="35" t="n">
        <f aca="false">SUM(CK98:CK101)</f>
        <v>0</v>
      </c>
      <c r="CL102" s="35" t="n">
        <f aca="false">SUM(CL98:CL101)</f>
        <v>0</v>
      </c>
      <c r="CM102" s="35" t="n">
        <f aca="false">SUM(CM98:CM101)</f>
        <v>0</v>
      </c>
      <c r="CN102" s="35" t="n">
        <f aca="false">SUM(CN98:CN101)</f>
        <v>0</v>
      </c>
      <c r="CO102" s="35" t="n">
        <f aca="false">SUM(CO98:CO101)</f>
        <v>0</v>
      </c>
      <c r="CP102" s="35" t="n">
        <f aca="false">SUM(CP98:CP101)</f>
        <v>0</v>
      </c>
      <c r="CQ102" s="35" t="n">
        <f aca="false">SUM(CQ98:CQ101)</f>
        <v>0</v>
      </c>
      <c r="CR102" s="35" t="n">
        <f aca="false">SUM(CR98:CR101)</f>
        <v>0</v>
      </c>
      <c r="CS102" s="35" t="n">
        <f aca="false">SUM(CS98:CS101)</f>
        <v>0</v>
      </c>
      <c r="CT102" s="35" t="n">
        <f aca="false">SUM(CT98:CT101)</f>
        <v>0</v>
      </c>
      <c r="CU102" s="35" t="n">
        <f aca="false">SUM(CU98:CU101)</f>
        <v>0</v>
      </c>
      <c r="CV102" s="35" t="n">
        <f aca="false">SUM(CV98:CV101)</f>
        <v>0</v>
      </c>
      <c r="CW102" s="35" t="n">
        <f aca="false">SUM(CW98:CW101)</f>
        <v>0</v>
      </c>
      <c r="CX102" s="35" t="n">
        <f aca="false">SUM(CX98:CX101)</f>
        <v>0</v>
      </c>
      <c r="CY102" s="35" t="n">
        <f aca="false">SUM(CY98:CY101)</f>
        <v>0</v>
      </c>
      <c r="CZ102" s="35" t="n">
        <f aca="false">SUM(CZ98:CZ101)</f>
        <v>0</v>
      </c>
      <c r="DA102" s="35" t="n">
        <f aca="false">SUM(DA98:DA101)</f>
        <v>0</v>
      </c>
      <c r="DB102" s="35" t="n">
        <f aca="false">SUM(DB98:DB101)</f>
        <v>0</v>
      </c>
      <c r="DC102" s="35" t="n">
        <f aca="false">SUM(DC98:DC101)</f>
        <v>0</v>
      </c>
      <c r="DD102" s="35" t="n">
        <f aca="false">SUM(DD98:DD101)</f>
        <v>0</v>
      </c>
      <c r="DE102" s="35" t="n">
        <f aca="false">SUM(DE98:DE101)</f>
        <v>0</v>
      </c>
      <c r="DF102" s="35" t="n">
        <f aca="false">SUM(DF98:DF101)</f>
        <v>0</v>
      </c>
      <c r="DG102" s="35" t="n">
        <f aca="false">SUM(DG98:DG101)</f>
        <v>0</v>
      </c>
      <c r="DH102" s="35" t="n">
        <f aca="false">SUM(DH98:DH101)</f>
        <v>0</v>
      </c>
      <c r="DI102" s="35" t="n">
        <f aca="false">SUM(DI98:DI101)</f>
        <v>0</v>
      </c>
      <c r="DJ102" s="35" t="n">
        <f aca="false">SUM(DJ98:DJ101)</f>
        <v>0</v>
      </c>
      <c r="DK102" s="35" t="n">
        <f aca="false">SUM(DK98:DK101)</f>
        <v>0</v>
      </c>
      <c r="DL102" s="35" t="n">
        <f aca="false">SUM(DL98:DL101)</f>
        <v>0</v>
      </c>
      <c r="DM102" s="35" t="n">
        <f aca="false">SUM(DM98:DM101)</f>
        <v>0</v>
      </c>
      <c r="DN102" s="35" t="n">
        <f aca="false">SUM(DN98:DN101)</f>
        <v>0</v>
      </c>
      <c r="DO102" s="35" t="n">
        <f aca="false">SUM(DO98:DO101)</f>
        <v>0</v>
      </c>
      <c r="DP102" s="35" t="n">
        <f aca="false">SUM(DP98:DP101)</f>
        <v>0</v>
      </c>
      <c r="DQ102" s="35" t="n">
        <f aca="false">SUM(DQ98:DQ101)</f>
        <v>0</v>
      </c>
      <c r="DR102" s="35" t="n">
        <f aca="false">SUM(DR98:DR101)</f>
        <v>0</v>
      </c>
      <c r="DS102" s="35" t="n">
        <f aca="false">SUM(DS98:DS101)</f>
        <v>0</v>
      </c>
      <c r="DT102" s="35" t="n">
        <f aca="false">SUM(DT98:DT101)</f>
        <v>0</v>
      </c>
      <c r="DU102" s="35" t="n">
        <f aca="false">SUM(DU98:DU101)</f>
        <v>0</v>
      </c>
      <c r="DV102" s="35" t="n">
        <f aca="false">SUM(DV98:DV101)</f>
        <v>0</v>
      </c>
      <c r="DW102" s="35" t="n">
        <f aca="false">SUM(DW98:DW101)</f>
        <v>0</v>
      </c>
      <c r="DX102" s="35" t="n">
        <f aca="false">SUM(DX98:DX101)</f>
        <v>0</v>
      </c>
      <c r="DY102" s="35" t="n">
        <f aca="false">SUM(DY98:DY101)</f>
        <v>0</v>
      </c>
      <c r="DZ102" s="35" t="n">
        <f aca="false">SUM(DZ98:DZ101)</f>
        <v>0</v>
      </c>
      <c r="EA102" s="35" t="n">
        <f aca="false">SUM(EA98:EA101)</f>
        <v>0</v>
      </c>
      <c r="EB102" s="35" t="n">
        <f aca="false">SUM(EB98:EB101)</f>
        <v>0</v>
      </c>
      <c r="EC102" s="35" t="n">
        <f aca="false">SUM(EC98:EC101)</f>
        <v>0</v>
      </c>
      <c r="ED102" s="35" t="n">
        <f aca="false">SUM(ED98:ED101)</f>
        <v>0</v>
      </c>
      <c r="EE102" s="35" t="n">
        <f aca="false">SUM(EE98:EE101)</f>
        <v>0</v>
      </c>
      <c r="EF102" s="35" t="n">
        <f aca="false">SUM(EF98:EF101)</f>
        <v>0</v>
      </c>
      <c r="EG102" s="35" t="n">
        <f aca="false">SUM(EG98:EG101)</f>
        <v>0</v>
      </c>
      <c r="EH102" s="35" t="n">
        <f aca="false">SUM(EH98:EH101)</f>
        <v>0</v>
      </c>
      <c r="EI102" s="35" t="n">
        <f aca="false">SUM(EI98:EI101)</f>
        <v>0</v>
      </c>
      <c r="EJ102" s="35" t="n">
        <f aca="false">SUM(EJ98:EJ101)</f>
        <v>0</v>
      </c>
      <c r="EK102" s="35" t="n">
        <f aca="false">SUM(EK98:EK101)</f>
        <v>0</v>
      </c>
      <c r="EL102" s="35" t="n">
        <f aca="false">SUM(EL98:EL101)</f>
        <v>0</v>
      </c>
      <c r="EM102" s="35" t="n">
        <f aca="false">SUM(EM98:EM101)</f>
        <v>0</v>
      </c>
      <c r="EN102" s="35" t="n">
        <f aca="false">SUM(EN98:EN101)</f>
        <v>0</v>
      </c>
      <c r="EO102" s="35" t="n">
        <f aca="false">SUM(EO98:EO101)</f>
        <v>0</v>
      </c>
      <c r="EP102" s="35" t="n">
        <f aca="false">SUM(EP98:EP101)</f>
        <v>0</v>
      </c>
      <c r="EQ102" s="35" t="n">
        <f aca="false">SUM(EQ98:EQ101)</f>
        <v>0</v>
      </c>
      <c r="ER102" s="35" t="n">
        <f aca="false">SUM(ER98:ER101)</f>
        <v>0</v>
      </c>
      <c r="ES102" s="35" t="n">
        <f aca="false">SUM(ES98:ES101)</f>
        <v>0</v>
      </c>
      <c r="ET102" s="35" t="n">
        <f aca="false">SUM(ET98:ET101)</f>
        <v>0</v>
      </c>
    </row>
    <row r="103" customFormat="false" ht="15" hidden="false" customHeight="false" outlineLevel="0" collapsed="false">
      <c r="C103" s="0" t="s">
        <v>559</v>
      </c>
      <c r="D103" s="11" t="s">
        <v>253</v>
      </c>
      <c r="I103" s="33" t="n">
        <f aca="false">SUM(J103:ET103)</f>
        <v>-27501.8393911707</v>
      </c>
      <c r="J103" s="33" t="n">
        <f aca="false">-J98*$F100*(J$4&gt;In_COD)</f>
        <v>-0</v>
      </c>
      <c r="K103" s="33" t="n">
        <f aca="false">-K98*$F100*(K$4&gt;In_COD)</f>
        <v>-0</v>
      </c>
      <c r="L103" s="33" t="n">
        <f aca="false">-L98*$F100*(L$4&gt;In_COD)</f>
        <v>-0</v>
      </c>
      <c r="M103" s="33" t="n">
        <f aca="false">-M98*$F100*(M$4&gt;In_COD)</f>
        <v>-0</v>
      </c>
      <c r="N103" s="33" t="n">
        <f aca="false">-N98*$F100*(N$4&gt;In_COD)</f>
        <v>-0</v>
      </c>
      <c r="O103" s="33" t="n">
        <f aca="false">-O98*$F100*(O$4&gt;In_COD)</f>
        <v>-0</v>
      </c>
      <c r="P103" s="33" t="n">
        <f aca="false">-P98*$F100*(P$4&gt;In_COD)</f>
        <v>-0</v>
      </c>
      <c r="Q103" s="33" t="n">
        <f aca="false">-Q98*$F100*(Q$4&gt;In_COD)</f>
        <v>-0</v>
      </c>
      <c r="R103" s="33" t="n">
        <f aca="false">-R98*$F100*(R$4&gt;In_COD)</f>
        <v>-0</v>
      </c>
      <c r="S103" s="33" t="n">
        <f aca="false">-S98*$F100*(S$4&gt;In_COD)</f>
        <v>-0</v>
      </c>
      <c r="T103" s="33" t="n">
        <f aca="false">-T98*$F100*(T$4&gt;In_COD)</f>
        <v>-0</v>
      </c>
      <c r="U103" s="33" t="n">
        <f aca="false">-U98*$F100*(U$4&gt;In_COD)</f>
        <v>-0</v>
      </c>
      <c r="V103" s="33" t="n">
        <f aca="false">-V98*$F100*(V$4&gt;In_COD)</f>
        <v>-0</v>
      </c>
      <c r="W103" s="33" t="n">
        <f aca="false">-W98*$F100*(W$4&gt;In_COD)</f>
        <v>-0</v>
      </c>
      <c r="X103" s="33" t="n">
        <f aca="false">-X98*$F100*(X$4&gt;In_COD)</f>
        <v>-0</v>
      </c>
      <c r="Y103" s="33" t="n">
        <f aca="false">-Y98*$F100*(Y$4&gt;In_COD)</f>
        <v>-0</v>
      </c>
      <c r="Z103" s="33" t="n">
        <f aca="false">-Z98*$F100*(Z$4&gt;In_COD)</f>
        <v>-0</v>
      </c>
      <c r="AA103" s="33" t="n">
        <f aca="false">-AA98*$F100*(AA$4&gt;In_COD)</f>
        <v>-0</v>
      </c>
      <c r="AB103" s="33" t="n">
        <f aca="false">-AB98*$F100*(AB$4&gt;In_COD)</f>
        <v>-0</v>
      </c>
      <c r="AC103" s="33" t="n">
        <f aca="false">-AC98*$F100*(AC$4&gt;In_COD)</f>
        <v>-0</v>
      </c>
      <c r="AD103" s="33" t="n">
        <f aca="false">-AD98*$F100*(AD$4&gt;In_COD)</f>
        <v>-0</v>
      </c>
      <c r="AE103" s="33" t="n">
        <f aca="false">-AE98*$F100*(AE$4&gt;In_COD)</f>
        <v>-1241.70074543382</v>
      </c>
      <c r="AF103" s="33" t="n">
        <f aca="false">-AF98*$F100*(AF$4&gt;In_COD)</f>
        <v>-1217.58516130616</v>
      </c>
      <c r="AG103" s="33" t="n">
        <f aca="false">-AG98*$F100*(AG$4&gt;In_COD)</f>
        <v>-1193.1681323769</v>
      </c>
      <c r="AH103" s="33" t="n">
        <f aca="false">-AH98*$F100*(AH$4&gt;In_COD)</f>
        <v>-1168.44589058603</v>
      </c>
      <c r="AI103" s="33" t="n">
        <f aca="false">-AI98*$F100*(AI$4&gt;In_COD)</f>
        <v>-1143.41462077276</v>
      </c>
      <c r="AJ103" s="33" t="n">
        <f aca="false">-AJ98*$F100*(AJ$4&gt;In_COD)</f>
        <v>-1118.07046008684</v>
      </c>
      <c r="AK103" s="33" t="n">
        <f aca="false">-AK98*$F100*(AK$4&gt;In_COD)</f>
        <v>-1092.40949739234</v>
      </c>
      <c r="AL103" s="33" t="n">
        <f aca="false">-AL98*$F100*(AL$4&gt;In_COD)</f>
        <v>-1066.42777266415</v>
      </c>
      <c r="AM103" s="33" t="n">
        <f aca="false">-AM98*$F100*(AM$4&gt;In_COD)</f>
        <v>-1040.12127637687</v>
      </c>
      <c r="AN103" s="33" t="n">
        <f aca="false">-AN98*$F100*(AN$4&gt;In_COD)</f>
        <v>-1013.48594888599</v>
      </c>
      <c r="AO103" s="33" t="n">
        <f aca="false">-AO98*$F100*(AO$4&gt;In_COD)</f>
        <v>-986.517679801483</v>
      </c>
      <c r="AP103" s="33" t="n">
        <f aca="false">-AP98*$F100*(AP$4&gt;In_COD)</f>
        <v>-959.212307353415</v>
      </c>
      <c r="AQ103" s="33" t="n">
        <f aca="false">-AQ98*$F100*(AQ$4&gt;In_COD)</f>
        <v>-931.565617749746</v>
      </c>
      <c r="AR103" s="33" t="n">
        <f aca="false">-AR98*$F100*(AR$4&gt;In_COD)</f>
        <v>-903.573344526032</v>
      </c>
      <c r="AS103" s="33" t="n">
        <f aca="false">-AS98*$F100*(AS$4&gt;In_COD)</f>
        <v>-875.23116788702</v>
      </c>
      <c r="AT103" s="33" t="n">
        <f aca="false">-AT98*$F100*(AT$4&gt;In_COD)</f>
        <v>-846.534714040022</v>
      </c>
      <c r="AU103" s="33" t="n">
        <f aca="false">-AU98*$F100*(AU$4&gt;In_COD)</f>
        <v>-817.479554519936</v>
      </c>
      <c r="AV103" s="33" t="n">
        <f aca="false">-AV98*$F100*(AV$4&gt;In_COD)</f>
        <v>-788.061205505848</v>
      </c>
      <c r="AW103" s="33" t="n">
        <f aca="false">-AW98*$F100*(AW$4&gt;In_COD)</f>
        <v>-758.275127129085</v>
      </c>
      <c r="AX103" s="33" t="n">
        <f aca="false">-AX98*$F100*(AX$4&gt;In_COD)</f>
        <v>-728.116722772612</v>
      </c>
      <c r="AY103" s="33" t="n">
        <f aca="false">-AY98*$F100*(AY$4&gt;In_COD)</f>
        <v>-697.581338361684</v>
      </c>
      <c r="AZ103" s="33" t="n">
        <f aca="false">-AZ98*$F100*(AZ$4&gt;In_COD)</f>
        <v>-666.664261645618</v>
      </c>
      <c r="BA103" s="33" t="n">
        <f aca="false">-BA98*$F100*(BA$4&gt;In_COD)</f>
        <v>-635.360721470602</v>
      </c>
      <c r="BB103" s="33" t="n">
        <f aca="false">-BB98*$F100*(BB$4&gt;In_COD)</f>
        <v>-603.665887043398</v>
      </c>
      <c r="BC103" s="33" t="n">
        <f aca="false">-BC98*$F100*(BC$4&gt;In_COD)</f>
        <v>-571.574867185854</v>
      </c>
      <c r="BD103" s="33" t="n">
        <f aca="false">-BD98*$F100*(BD$4&gt;In_COD)</f>
        <v>-539.082709580091</v>
      </c>
      <c r="BE103" s="33" t="n">
        <f aca="false">-BE98*$F100*(BE$4&gt;In_COD)</f>
        <v>-506.184400004255</v>
      </c>
      <c r="BF103" s="33" t="n">
        <f aca="false">-BF98*$F100*(BF$4&gt;In_COD)</f>
        <v>-472.874861558722</v>
      </c>
      <c r="BG103" s="33" t="n">
        <f aca="false">-BG98*$F100*(BG$4&gt;In_COD)</f>
        <v>-439.14895388262</v>
      </c>
      <c r="BH103" s="33" t="n">
        <f aca="false">-BH98*$F100*(BH$4&gt;In_COD)</f>
        <v>-405.001472360566</v>
      </c>
      <c r="BI103" s="33" t="n">
        <f aca="false">-BI98*$F100*(BI$4&gt;In_COD)</f>
        <v>-370.427147319487</v>
      </c>
      <c r="BJ103" s="33" t="n">
        <f aca="false">-BJ98*$F100*(BJ$4&gt;In_COD)</f>
        <v>-335.420643215394</v>
      </c>
      <c r="BK103" s="33" t="n">
        <f aca="false">-BK98*$F100*(BK$4&gt;In_COD)</f>
        <v>-299.97655781</v>
      </c>
      <c r="BL103" s="33" t="n">
        <f aca="false">-BL98*$F100*(BL$4&gt;In_COD)</f>
        <v>-264.089421337039</v>
      </c>
      <c r="BM103" s="33" t="n">
        <f aca="false">-BM98*$F100*(BM$4&gt;In_COD)</f>
        <v>-227.753695658165</v>
      </c>
      <c r="BN103" s="33" t="n">
        <f aca="false">-BN98*$F100*(BN$4&gt;In_COD)</f>
        <v>-190.963773408306</v>
      </c>
      <c r="BO103" s="33" t="n">
        <f aca="false">-BO98*$F100*(BO$4&gt;In_COD)</f>
        <v>-153.713977130323</v>
      </c>
      <c r="BP103" s="33" t="n">
        <f aca="false">-BP98*$F100*(BP$4&gt;In_COD)</f>
        <v>-115.998558398866</v>
      </c>
      <c r="BQ103" s="33" t="n">
        <f aca="false">-BQ98*$F100*(BQ$4&gt;In_COD)</f>
        <v>-77.8116969332652</v>
      </c>
      <c r="BR103" s="33" t="n">
        <f aca="false">-BR98*$F100*(BR$4&gt;In_COD)</f>
        <v>-39.1474996993446</v>
      </c>
      <c r="BS103" s="33" t="n">
        <f aca="false">-BS98*$F100*(BS$4&gt;In_COD)</f>
        <v>-0</v>
      </c>
      <c r="BT103" s="33" t="n">
        <f aca="false">-BT98*$F100*(BT$4&gt;In_COD)</f>
        <v>-0</v>
      </c>
      <c r="BU103" s="33" t="n">
        <f aca="false">-BU98*$F100*(BU$4&gt;In_COD)</f>
        <v>-0</v>
      </c>
      <c r="BV103" s="33" t="n">
        <f aca="false">-BV98*$F100*(BV$4&gt;In_COD)</f>
        <v>-0</v>
      </c>
      <c r="BW103" s="33" t="n">
        <f aca="false">-BW98*$F100*(BW$4&gt;In_COD)</f>
        <v>-0</v>
      </c>
      <c r="BX103" s="33" t="n">
        <f aca="false">-BX98*$F100*(BX$4&gt;In_COD)</f>
        <v>-0</v>
      </c>
      <c r="BY103" s="33" t="n">
        <f aca="false">-BY98*$F100*(BY$4&gt;In_COD)</f>
        <v>-0</v>
      </c>
      <c r="BZ103" s="33" t="n">
        <f aca="false">-BZ98*$F100*(BZ$4&gt;In_COD)</f>
        <v>-0</v>
      </c>
      <c r="CA103" s="33" t="n">
        <f aca="false">-CA98*$F100*(CA$4&gt;In_COD)</f>
        <v>-0</v>
      </c>
      <c r="CB103" s="33" t="n">
        <f aca="false">-CB98*$F100*(CB$4&gt;In_COD)</f>
        <v>-0</v>
      </c>
      <c r="CC103" s="33" t="n">
        <f aca="false">-CC98*$F100*(CC$4&gt;In_COD)</f>
        <v>-0</v>
      </c>
      <c r="CD103" s="33" t="n">
        <f aca="false">-CD98*$F100*(CD$4&gt;In_COD)</f>
        <v>-0</v>
      </c>
      <c r="CE103" s="33" t="n">
        <f aca="false">-CE98*$F100*(CE$4&gt;In_COD)</f>
        <v>-0</v>
      </c>
      <c r="CF103" s="33" t="n">
        <f aca="false">-CF98*$F100*(CF$4&gt;In_COD)</f>
        <v>-0</v>
      </c>
      <c r="CG103" s="33" t="n">
        <f aca="false">-CG98*$F100*(CG$4&gt;In_COD)</f>
        <v>-0</v>
      </c>
      <c r="CH103" s="33" t="n">
        <f aca="false">-CH98*$F100*(CH$4&gt;In_COD)</f>
        <v>-0</v>
      </c>
      <c r="CI103" s="33" t="n">
        <f aca="false">-CI98*$F100*(CI$4&gt;In_COD)</f>
        <v>-0</v>
      </c>
      <c r="CJ103" s="33" t="n">
        <f aca="false">-CJ98*$F100*(CJ$4&gt;In_COD)</f>
        <v>-0</v>
      </c>
      <c r="CK103" s="33" t="n">
        <f aca="false">-CK98*$F100*(CK$4&gt;In_COD)</f>
        <v>-0</v>
      </c>
      <c r="CL103" s="33" t="n">
        <f aca="false">-CL98*$F100*(CL$4&gt;In_COD)</f>
        <v>-0</v>
      </c>
      <c r="CM103" s="33" t="n">
        <f aca="false">-CM98*$F100*(CM$4&gt;In_COD)</f>
        <v>-0</v>
      </c>
      <c r="CN103" s="33" t="n">
        <f aca="false">-CN98*$F100*(CN$4&gt;In_COD)</f>
        <v>-0</v>
      </c>
      <c r="CO103" s="33" t="n">
        <f aca="false">-CO98*$F100*(CO$4&gt;In_COD)</f>
        <v>-0</v>
      </c>
      <c r="CP103" s="33" t="n">
        <f aca="false">-CP98*$F100*(CP$4&gt;In_COD)</f>
        <v>-0</v>
      </c>
      <c r="CQ103" s="33" t="n">
        <f aca="false">-CQ98*$F100*(CQ$4&gt;In_COD)</f>
        <v>-0</v>
      </c>
      <c r="CR103" s="33" t="n">
        <f aca="false">-CR98*$F100*(CR$4&gt;In_COD)</f>
        <v>-0</v>
      </c>
      <c r="CS103" s="33" t="n">
        <f aca="false">-CS98*$F100*(CS$4&gt;In_COD)</f>
        <v>-0</v>
      </c>
      <c r="CT103" s="33" t="n">
        <f aca="false">-CT98*$F100*(CT$4&gt;In_COD)</f>
        <v>-0</v>
      </c>
      <c r="CU103" s="33" t="n">
        <f aca="false">-CU98*$F100*(CU$4&gt;In_COD)</f>
        <v>-0</v>
      </c>
      <c r="CV103" s="33" t="n">
        <f aca="false">-CV98*$F100*(CV$4&gt;In_COD)</f>
        <v>-0</v>
      </c>
      <c r="CW103" s="33" t="n">
        <f aca="false">-CW98*$F100*(CW$4&gt;In_COD)</f>
        <v>-0</v>
      </c>
      <c r="CX103" s="33" t="n">
        <f aca="false">-CX98*$F100*(CX$4&gt;In_COD)</f>
        <v>-0</v>
      </c>
      <c r="CY103" s="33" t="n">
        <f aca="false">-CY98*$F100*(CY$4&gt;In_COD)</f>
        <v>-0</v>
      </c>
      <c r="CZ103" s="33" t="n">
        <f aca="false">-CZ98*$F100*(CZ$4&gt;In_COD)</f>
        <v>-0</v>
      </c>
      <c r="DA103" s="33" t="n">
        <f aca="false">-DA98*$F100*(DA$4&gt;In_COD)</f>
        <v>-0</v>
      </c>
      <c r="DB103" s="33" t="n">
        <f aca="false">-DB98*$F100*(DB$4&gt;In_COD)</f>
        <v>-0</v>
      </c>
      <c r="DC103" s="33" t="n">
        <f aca="false">-DC98*$F100*(DC$4&gt;In_COD)</f>
        <v>-0</v>
      </c>
      <c r="DD103" s="33" t="n">
        <f aca="false">-DD98*$F100*(DD$4&gt;In_COD)</f>
        <v>-0</v>
      </c>
      <c r="DE103" s="33" t="n">
        <f aca="false">-DE98*$F100*(DE$4&gt;In_COD)</f>
        <v>-0</v>
      </c>
      <c r="DF103" s="33" t="n">
        <f aca="false">-DF98*$F100*(DF$4&gt;In_COD)</f>
        <v>-0</v>
      </c>
      <c r="DG103" s="33" t="n">
        <f aca="false">-DG98*$F100*(DG$4&gt;In_COD)</f>
        <v>-0</v>
      </c>
      <c r="DH103" s="33" t="n">
        <f aca="false">-DH98*$F100*(DH$4&gt;In_COD)</f>
        <v>-0</v>
      </c>
      <c r="DI103" s="33" t="n">
        <f aca="false">-DI98*$F100*(DI$4&gt;In_COD)</f>
        <v>-0</v>
      </c>
      <c r="DJ103" s="33" t="n">
        <f aca="false">-DJ98*$F100*(DJ$4&gt;In_COD)</f>
        <v>-0</v>
      </c>
      <c r="DK103" s="33" t="n">
        <f aca="false">-DK98*$F100*(DK$4&gt;In_COD)</f>
        <v>-0</v>
      </c>
      <c r="DL103" s="33" t="n">
        <f aca="false">-DL98*$F100*(DL$4&gt;In_COD)</f>
        <v>-0</v>
      </c>
      <c r="DM103" s="33" t="n">
        <f aca="false">-DM98*$F100*(DM$4&gt;In_COD)</f>
        <v>-0</v>
      </c>
      <c r="DN103" s="33" t="n">
        <f aca="false">-DN98*$F100*(DN$4&gt;In_COD)</f>
        <v>-0</v>
      </c>
      <c r="DO103" s="33" t="n">
        <f aca="false">-DO98*$F100*(DO$4&gt;In_COD)</f>
        <v>-0</v>
      </c>
      <c r="DP103" s="33" t="n">
        <f aca="false">-DP98*$F100*(DP$4&gt;In_COD)</f>
        <v>-0</v>
      </c>
      <c r="DQ103" s="33" t="n">
        <f aca="false">-DQ98*$F100*(DQ$4&gt;In_COD)</f>
        <v>-0</v>
      </c>
      <c r="DR103" s="33" t="n">
        <f aca="false">-DR98*$F100*(DR$4&gt;In_COD)</f>
        <v>-0</v>
      </c>
      <c r="DS103" s="33" t="n">
        <f aca="false">-DS98*$F100*(DS$4&gt;In_COD)</f>
        <v>-0</v>
      </c>
      <c r="DT103" s="33" t="n">
        <f aca="false">-DT98*$F100*(DT$4&gt;In_COD)</f>
        <v>-0</v>
      </c>
      <c r="DU103" s="33" t="n">
        <f aca="false">-DU98*$F100*(DU$4&gt;In_COD)</f>
        <v>-0</v>
      </c>
      <c r="DV103" s="33" t="n">
        <f aca="false">-DV98*$F100*(DV$4&gt;In_COD)</f>
        <v>-0</v>
      </c>
      <c r="DW103" s="33" t="n">
        <f aca="false">-DW98*$F100*(DW$4&gt;In_COD)</f>
        <v>-0</v>
      </c>
      <c r="DX103" s="33" t="n">
        <f aca="false">-DX98*$F100*(DX$4&gt;In_COD)</f>
        <v>-0</v>
      </c>
      <c r="DY103" s="33" t="n">
        <f aca="false">-DY98*$F100*(DY$4&gt;In_COD)</f>
        <v>-0</v>
      </c>
      <c r="DZ103" s="33" t="n">
        <f aca="false">-DZ98*$F100*(DZ$4&gt;In_COD)</f>
        <v>-0</v>
      </c>
      <c r="EA103" s="33" t="n">
        <f aca="false">-EA98*$F100*(EA$4&gt;In_COD)</f>
        <v>-0</v>
      </c>
      <c r="EB103" s="33" t="n">
        <f aca="false">-EB98*$F100*(EB$4&gt;In_COD)</f>
        <v>-0</v>
      </c>
      <c r="EC103" s="33" t="n">
        <f aca="false">-EC98*$F100*(EC$4&gt;In_COD)</f>
        <v>-0</v>
      </c>
      <c r="ED103" s="33" t="n">
        <f aca="false">-ED98*$F100*(ED$4&gt;In_COD)</f>
        <v>-0</v>
      </c>
      <c r="EE103" s="33" t="n">
        <f aca="false">-EE98*$F100*(EE$4&gt;In_COD)</f>
        <v>-0</v>
      </c>
      <c r="EF103" s="33" t="n">
        <f aca="false">-EF98*$F100*(EF$4&gt;In_COD)</f>
        <v>-0</v>
      </c>
      <c r="EG103" s="33" t="n">
        <f aca="false">-EG98*$F100*(EG$4&gt;In_COD)</f>
        <v>-0</v>
      </c>
      <c r="EH103" s="33" t="n">
        <f aca="false">-EH98*$F100*(EH$4&gt;In_COD)</f>
        <v>-0</v>
      </c>
      <c r="EI103" s="33" t="n">
        <f aca="false">-EI98*$F100*(EI$4&gt;In_COD)</f>
        <v>-0</v>
      </c>
      <c r="EJ103" s="33" t="n">
        <f aca="false">-EJ98*$F100*(EJ$4&gt;In_COD)</f>
        <v>-0</v>
      </c>
      <c r="EK103" s="33" t="n">
        <f aca="false">-EK98*$F100*(EK$4&gt;In_COD)</f>
        <v>-0</v>
      </c>
      <c r="EL103" s="33" t="n">
        <f aca="false">-EL98*$F100*(EL$4&gt;In_COD)</f>
        <v>-0</v>
      </c>
      <c r="EM103" s="33" t="n">
        <f aca="false">-EM98*$F100*(EM$4&gt;In_COD)</f>
        <v>-0</v>
      </c>
      <c r="EN103" s="33" t="n">
        <f aca="false">-EN98*$F100*(EN$4&gt;In_COD)</f>
        <v>-0</v>
      </c>
      <c r="EO103" s="33" t="n">
        <f aca="false">-EO98*$F100*(EO$4&gt;In_COD)</f>
        <v>-0</v>
      </c>
      <c r="EP103" s="33" t="n">
        <f aca="false">-EP98*$F100*(EP$4&gt;In_COD)</f>
        <v>-0</v>
      </c>
      <c r="EQ103" s="33" t="n">
        <f aca="false">-EQ98*$F100*(EQ$4&gt;In_COD)</f>
        <v>-0</v>
      </c>
      <c r="ER103" s="33" t="n">
        <f aca="false">-ER98*$F100*(ER$4&gt;In_COD)</f>
        <v>-0</v>
      </c>
      <c r="ES103" s="33" t="n">
        <f aca="false">-ES98*$F100*(ES$4&gt;In_COD)</f>
        <v>-0</v>
      </c>
      <c r="ET103" s="33" t="n">
        <f aca="false">-ET98*$F100*(ET$4&gt;In_COD)</f>
        <v>-0</v>
      </c>
    </row>
    <row r="104" customFormat="false" ht="15" hidden="false" customHeight="false" outlineLevel="0" collapsed="false">
      <c r="C104" s="0" t="s">
        <v>405</v>
      </c>
      <c r="D104" s="11" t="s">
        <v>253</v>
      </c>
      <c r="I104" s="33" t="n">
        <f aca="false">SUM(J104:ET104)</f>
        <v>-1663.7710677863</v>
      </c>
      <c r="J104" s="33" t="n">
        <f aca="false">-In_Upfront_Fee*$E99*(J98=0)*(J99&gt;0)</f>
        <v>-0</v>
      </c>
      <c r="K104" s="33" t="n">
        <f aca="false">-In_Upfront_Fee*$E99*(K98=0)*(K99&gt;0)</f>
        <v>-0</v>
      </c>
      <c r="L104" s="33" t="n">
        <f aca="false">-In_Upfront_Fee*$E99*(L98=0)*(L99&gt;0)</f>
        <v>-0</v>
      </c>
      <c r="M104" s="33" t="n">
        <f aca="false">-In_Upfront_Fee*$E99*(M98=0)*(M99&gt;0)</f>
        <v>-0</v>
      </c>
      <c r="N104" s="33" t="n">
        <f aca="false">-In_Upfront_Fee*$E99*(N98=0)*(N99&gt;0)</f>
        <v>-0</v>
      </c>
      <c r="O104" s="33" t="n">
        <f aca="false">-In_Upfront_Fee*$E99*(O98=0)*(O99&gt;0)</f>
        <v>-0</v>
      </c>
      <c r="P104" s="33" t="n">
        <f aca="false">-In_Upfront_Fee*$E99*(P98=0)*(P99&gt;0)</f>
        <v>-0</v>
      </c>
      <c r="Q104" s="33" t="n">
        <f aca="false">-In_Upfront_Fee*$E99*(Q98=0)*(Q99&gt;0)</f>
        <v>-0</v>
      </c>
      <c r="R104" s="33" t="n">
        <f aca="false">-In_Upfront_Fee*$E99*(R98=0)*(R99&gt;0)</f>
        <v>-0</v>
      </c>
      <c r="S104" s="33" t="n">
        <f aca="false">-In_Upfront_Fee*$E99*(S98=0)*(S99&gt;0)</f>
        <v>-0</v>
      </c>
      <c r="T104" s="33" t="n">
        <f aca="false">-In_Upfront_Fee*$E99*(T98=0)*(T99&gt;0)</f>
        <v>-0</v>
      </c>
      <c r="U104" s="33" t="n">
        <f aca="false">-In_Upfront_Fee*$E99*(U98=0)*(U99&gt;0)</f>
        <v>-0</v>
      </c>
      <c r="V104" s="33" t="n">
        <f aca="false">-In_Upfront_Fee*$E99*(V98=0)*(V99&gt;0)</f>
        <v>-0</v>
      </c>
      <c r="W104" s="33" t="n">
        <f aca="false">-In_Upfront_Fee*$E99*(W98=0)*(W99&gt;0)</f>
        <v>-1663.7710677863</v>
      </c>
      <c r="X104" s="33" t="n">
        <f aca="false">-In_Upfront_Fee*$E99*(X98=0)*(X99&gt;0)</f>
        <v>-0</v>
      </c>
      <c r="Y104" s="33" t="n">
        <f aca="false">-In_Upfront_Fee*$E99*(Y98=0)*(Y99&gt;0)</f>
        <v>-0</v>
      </c>
      <c r="Z104" s="33" t="n">
        <f aca="false">-In_Upfront_Fee*$E99*(Z98=0)*(Z99&gt;0)</f>
        <v>-0</v>
      </c>
      <c r="AA104" s="33" t="n">
        <f aca="false">-In_Upfront_Fee*$E99*(AA98=0)*(AA99&gt;0)</f>
        <v>-0</v>
      </c>
      <c r="AB104" s="33" t="n">
        <f aca="false">-In_Upfront_Fee*$E99*(AB98=0)*(AB99&gt;0)</f>
        <v>-0</v>
      </c>
      <c r="AC104" s="33" t="n">
        <f aca="false">-In_Upfront_Fee*$E99*(AC98=0)*(AC99&gt;0)</f>
        <v>-0</v>
      </c>
      <c r="AD104" s="33" t="n">
        <f aca="false">-In_Upfront_Fee*$E99*(AD98=0)*(AD99&gt;0)</f>
        <v>-0</v>
      </c>
      <c r="AE104" s="33" t="n">
        <f aca="false">-In_Upfront_Fee*$E99*(AE98=0)*(AE99&gt;0)</f>
        <v>-0</v>
      </c>
      <c r="AF104" s="33" t="n">
        <f aca="false">-In_Upfront_Fee*$E99*(AF98=0)*(AF99&gt;0)</f>
        <v>-0</v>
      </c>
      <c r="AG104" s="33" t="n">
        <f aca="false">-In_Upfront_Fee*$E99*(AG98=0)*(AG99&gt;0)</f>
        <v>-0</v>
      </c>
      <c r="AH104" s="33" t="n">
        <f aca="false">-In_Upfront_Fee*$E99*(AH98=0)*(AH99&gt;0)</f>
        <v>-0</v>
      </c>
      <c r="AI104" s="33" t="n">
        <f aca="false">-In_Upfront_Fee*$E99*(AI98=0)*(AI99&gt;0)</f>
        <v>-0</v>
      </c>
      <c r="AJ104" s="33" t="n">
        <f aca="false">-In_Upfront_Fee*$E99*(AJ98=0)*(AJ99&gt;0)</f>
        <v>-0</v>
      </c>
      <c r="AK104" s="33" t="n">
        <f aca="false">-In_Upfront_Fee*$E99*(AK98=0)*(AK99&gt;0)</f>
        <v>-0</v>
      </c>
      <c r="AL104" s="33" t="n">
        <f aca="false">-In_Upfront_Fee*$E99*(AL98=0)*(AL99&gt;0)</f>
        <v>-0</v>
      </c>
      <c r="AM104" s="33" t="n">
        <f aca="false">-In_Upfront_Fee*$E99*(AM98=0)*(AM99&gt;0)</f>
        <v>-0</v>
      </c>
      <c r="AN104" s="33" t="n">
        <f aca="false">-In_Upfront_Fee*$E99*(AN98=0)*(AN99&gt;0)</f>
        <v>-0</v>
      </c>
      <c r="AO104" s="33" t="n">
        <f aca="false">-In_Upfront_Fee*$E99*(AO98=0)*(AO99&gt;0)</f>
        <v>-0</v>
      </c>
      <c r="AP104" s="33" t="n">
        <f aca="false">-In_Upfront_Fee*$E99*(AP98=0)*(AP99&gt;0)</f>
        <v>-0</v>
      </c>
      <c r="AQ104" s="33" t="n">
        <f aca="false">-In_Upfront_Fee*$E99*(AQ98=0)*(AQ99&gt;0)</f>
        <v>-0</v>
      </c>
      <c r="AR104" s="33" t="n">
        <f aca="false">-In_Upfront_Fee*$E99*(AR98=0)*(AR99&gt;0)</f>
        <v>-0</v>
      </c>
      <c r="AS104" s="33" t="n">
        <f aca="false">-In_Upfront_Fee*$E99*(AS98=0)*(AS99&gt;0)</f>
        <v>-0</v>
      </c>
      <c r="AT104" s="33" t="n">
        <f aca="false">-In_Upfront_Fee*$E99*(AT98=0)*(AT99&gt;0)</f>
        <v>-0</v>
      </c>
      <c r="AU104" s="33" t="n">
        <f aca="false">-In_Upfront_Fee*$E99*(AU98=0)*(AU99&gt;0)</f>
        <v>-0</v>
      </c>
      <c r="AV104" s="33" t="n">
        <f aca="false">-In_Upfront_Fee*$E99*(AV98=0)*(AV99&gt;0)</f>
        <v>-0</v>
      </c>
      <c r="AW104" s="33" t="n">
        <f aca="false">-In_Upfront_Fee*$E99*(AW98=0)*(AW99&gt;0)</f>
        <v>-0</v>
      </c>
      <c r="AX104" s="33" t="n">
        <f aca="false">-In_Upfront_Fee*$E99*(AX98=0)*(AX99&gt;0)</f>
        <v>-0</v>
      </c>
      <c r="AY104" s="33" t="n">
        <f aca="false">-In_Upfront_Fee*$E99*(AY98=0)*(AY99&gt;0)</f>
        <v>-0</v>
      </c>
      <c r="AZ104" s="33" t="n">
        <f aca="false">-In_Upfront_Fee*$E99*(AZ98=0)*(AZ99&gt;0)</f>
        <v>-0</v>
      </c>
      <c r="BA104" s="33" t="n">
        <f aca="false">-In_Upfront_Fee*$E99*(BA98=0)*(BA99&gt;0)</f>
        <v>-0</v>
      </c>
      <c r="BB104" s="33" t="n">
        <f aca="false">-In_Upfront_Fee*$E99*(BB98=0)*(BB99&gt;0)</f>
        <v>-0</v>
      </c>
      <c r="BC104" s="33" t="n">
        <f aca="false">-In_Upfront_Fee*$E99*(BC98=0)*(BC99&gt;0)</f>
        <v>-0</v>
      </c>
      <c r="BD104" s="33" t="n">
        <f aca="false">-In_Upfront_Fee*$E99*(BD98=0)*(BD99&gt;0)</f>
        <v>-0</v>
      </c>
      <c r="BE104" s="33" t="n">
        <f aca="false">-In_Upfront_Fee*$E99*(BE98=0)*(BE99&gt;0)</f>
        <v>-0</v>
      </c>
      <c r="BF104" s="33" t="n">
        <f aca="false">-In_Upfront_Fee*$E99*(BF98=0)*(BF99&gt;0)</f>
        <v>-0</v>
      </c>
      <c r="BG104" s="33" t="n">
        <f aca="false">-In_Upfront_Fee*$E99*(BG98=0)*(BG99&gt;0)</f>
        <v>-0</v>
      </c>
      <c r="BH104" s="33" t="n">
        <f aca="false">-In_Upfront_Fee*$E99*(BH98=0)*(BH99&gt;0)</f>
        <v>-0</v>
      </c>
      <c r="BI104" s="33" t="n">
        <f aca="false">-In_Upfront_Fee*$E99*(BI98=0)*(BI99&gt;0)</f>
        <v>-0</v>
      </c>
      <c r="BJ104" s="33" t="n">
        <f aca="false">-In_Upfront_Fee*$E99*(BJ98=0)*(BJ99&gt;0)</f>
        <v>-0</v>
      </c>
      <c r="BK104" s="33" t="n">
        <f aca="false">-In_Upfront_Fee*$E99*(BK98=0)*(BK99&gt;0)</f>
        <v>-0</v>
      </c>
      <c r="BL104" s="33" t="n">
        <f aca="false">-In_Upfront_Fee*$E99*(BL98=0)*(BL99&gt;0)</f>
        <v>-0</v>
      </c>
      <c r="BM104" s="33" t="n">
        <f aca="false">-In_Upfront_Fee*$E99*(BM98=0)*(BM99&gt;0)</f>
        <v>-0</v>
      </c>
      <c r="BN104" s="33" t="n">
        <f aca="false">-In_Upfront_Fee*$E99*(BN98=0)*(BN99&gt;0)</f>
        <v>-0</v>
      </c>
      <c r="BO104" s="33" t="n">
        <f aca="false">-In_Upfront_Fee*$E99*(BO98=0)*(BO99&gt;0)</f>
        <v>-0</v>
      </c>
      <c r="BP104" s="33" t="n">
        <f aca="false">-In_Upfront_Fee*$E99*(BP98=0)*(BP99&gt;0)</f>
        <v>-0</v>
      </c>
      <c r="BQ104" s="33" t="n">
        <f aca="false">-In_Upfront_Fee*$E99*(BQ98=0)*(BQ99&gt;0)</f>
        <v>-0</v>
      </c>
      <c r="BR104" s="33" t="n">
        <f aca="false">-In_Upfront_Fee*$E99*(BR98=0)*(BR99&gt;0)</f>
        <v>-0</v>
      </c>
      <c r="BS104" s="33" t="n">
        <f aca="false">-In_Upfront_Fee*$E99*(BS98=0)*(BS99&gt;0)</f>
        <v>-0</v>
      </c>
      <c r="BT104" s="33" t="n">
        <f aca="false">-In_Upfront_Fee*$E99*(BT98=0)*(BT99&gt;0)</f>
        <v>-0</v>
      </c>
      <c r="BU104" s="33" t="n">
        <f aca="false">-In_Upfront_Fee*$E99*(BU98=0)*(BU99&gt;0)</f>
        <v>-0</v>
      </c>
      <c r="BV104" s="33" t="n">
        <f aca="false">-In_Upfront_Fee*$E99*(BV98=0)*(BV99&gt;0)</f>
        <v>-0</v>
      </c>
      <c r="BW104" s="33" t="n">
        <f aca="false">-In_Upfront_Fee*$E99*(BW98=0)*(BW99&gt;0)</f>
        <v>-0</v>
      </c>
      <c r="BX104" s="33" t="n">
        <f aca="false">-In_Upfront_Fee*$E99*(BX98=0)*(BX99&gt;0)</f>
        <v>-0</v>
      </c>
      <c r="BY104" s="33" t="n">
        <f aca="false">-In_Upfront_Fee*$E99*(BY98=0)*(BY99&gt;0)</f>
        <v>-0</v>
      </c>
      <c r="BZ104" s="33" t="n">
        <f aca="false">-In_Upfront_Fee*$E99*(BZ98=0)*(BZ99&gt;0)</f>
        <v>-0</v>
      </c>
      <c r="CA104" s="33" t="n">
        <f aca="false">-In_Upfront_Fee*$E99*(CA98=0)*(CA99&gt;0)</f>
        <v>-0</v>
      </c>
      <c r="CB104" s="33" t="n">
        <f aca="false">-In_Upfront_Fee*$E99*(CB98=0)*(CB99&gt;0)</f>
        <v>-0</v>
      </c>
      <c r="CC104" s="33" t="n">
        <f aca="false">-In_Upfront_Fee*$E99*(CC98=0)*(CC99&gt;0)</f>
        <v>-0</v>
      </c>
      <c r="CD104" s="33" t="n">
        <f aca="false">-In_Upfront_Fee*$E99*(CD98=0)*(CD99&gt;0)</f>
        <v>-0</v>
      </c>
      <c r="CE104" s="33" t="n">
        <f aca="false">-In_Upfront_Fee*$E99*(CE98=0)*(CE99&gt;0)</f>
        <v>-0</v>
      </c>
      <c r="CF104" s="33" t="n">
        <f aca="false">-In_Upfront_Fee*$E99*(CF98=0)*(CF99&gt;0)</f>
        <v>-0</v>
      </c>
      <c r="CG104" s="33" t="n">
        <f aca="false">-In_Upfront_Fee*$E99*(CG98=0)*(CG99&gt;0)</f>
        <v>-0</v>
      </c>
      <c r="CH104" s="33" t="n">
        <f aca="false">-In_Upfront_Fee*$E99*(CH98=0)*(CH99&gt;0)</f>
        <v>-0</v>
      </c>
      <c r="CI104" s="33" t="n">
        <f aca="false">-In_Upfront_Fee*$E99*(CI98=0)*(CI99&gt;0)</f>
        <v>-0</v>
      </c>
      <c r="CJ104" s="33" t="n">
        <f aca="false">-In_Upfront_Fee*$E99*(CJ98=0)*(CJ99&gt;0)</f>
        <v>-0</v>
      </c>
      <c r="CK104" s="33" t="n">
        <f aca="false">-In_Upfront_Fee*$E99*(CK98=0)*(CK99&gt;0)</f>
        <v>-0</v>
      </c>
      <c r="CL104" s="33" t="n">
        <f aca="false">-In_Upfront_Fee*$E99*(CL98=0)*(CL99&gt;0)</f>
        <v>-0</v>
      </c>
      <c r="CM104" s="33" t="n">
        <f aca="false">-In_Upfront_Fee*$E99*(CM98=0)*(CM99&gt;0)</f>
        <v>-0</v>
      </c>
      <c r="CN104" s="33" t="n">
        <f aca="false">-In_Upfront_Fee*$E99*(CN98=0)*(CN99&gt;0)</f>
        <v>-0</v>
      </c>
      <c r="CO104" s="33" t="n">
        <f aca="false">-In_Upfront_Fee*$E99*(CO98=0)*(CO99&gt;0)</f>
        <v>-0</v>
      </c>
      <c r="CP104" s="33" t="n">
        <f aca="false">-In_Upfront_Fee*$E99*(CP98=0)*(CP99&gt;0)</f>
        <v>-0</v>
      </c>
      <c r="CQ104" s="33" t="n">
        <f aca="false">-In_Upfront_Fee*$E99*(CQ98=0)*(CQ99&gt;0)</f>
        <v>-0</v>
      </c>
      <c r="CR104" s="33" t="n">
        <f aca="false">-In_Upfront_Fee*$E99*(CR98=0)*(CR99&gt;0)</f>
        <v>-0</v>
      </c>
      <c r="CS104" s="33" t="n">
        <f aca="false">-In_Upfront_Fee*$E99*(CS98=0)*(CS99&gt;0)</f>
        <v>-0</v>
      </c>
      <c r="CT104" s="33" t="n">
        <f aca="false">-In_Upfront_Fee*$E99*(CT98=0)*(CT99&gt;0)</f>
        <v>-0</v>
      </c>
      <c r="CU104" s="33" t="n">
        <f aca="false">-In_Upfront_Fee*$E99*(CU98=0)*(CU99&gt;0)</f>
        <v>-0</v>
      </c>
      <c r="CV104" s="33" t="n">
        <f aca="false">-In_Upfront_Fee*$E99*(CV98=0)*(CV99&gt;0)</f>
        <v>-0</v>
      </c>
      <c r="CW104" s="33" t="n">
        <f aca="false">-In_Upfront_Fee*$E99*(CW98=0)*(CW99&gt;0)</f>
        <v>-0</v>
      </c>
      <c r="CX104" s="33" t="n">
        <f aca="false">-In_Upfront_Fee*$E99*(CX98=0)*(CX99&gt;0)</f>
        <v>-0</v>
      </c>
      <c r="CY104" s="33" t="n">
        <f aca="false">-In_Upfront_Fee*$E99*(CY98=0)*(CY99&gt;0)</f>
        <v>-0</v>
      </c>
      <c r="CZ104" s="33" t="n">
        <f aca="false">-In_Upfront_Fee*$E99*(CZ98=0)*(CZ99&gt;0)</f>
        <v>-0</v>
      </c>
      <c r="DA104" s="33" t="n">
        <f aca="false">-In_Upfront_Fee*$E99*(DA98=0)*(DA99&gt;0)</f>
        <v>-0</v>
      </c>
      <c r="DB104" s="33" t="n">
        <f aca="false">-In_Upfront_Fee*$E99*(DB98=0)*(DB99&gt;0)</f>
        <v>-0</v>
      </c>
      <c r="DC104" s="33" t="n">
        <f aca="false">-In_Upfront_Fee*$E99*(DC98=0)*(DC99&gt;0)</f>
        <v>-0</v>
      </c>
      <c r="DD104" s="33" t="n">
        <f aca="false">-In_Upfront_Fee*$E99*(DD98=0)*(DD99&gt;0)</f>
        <v>-0</v>
      </c>
      <c r="DE104" s="33" t="n">
        <f aca="false">-In_Upfront_Fee*$E99*(DE98=0)*(DE99&gt;0)</f>
        <v>-0</v>
      </c>
      <c r="DF104" s="33" t="n">
        <f aca="false">-In_Upfront_Fee*$E99*(DF98=0)*(DF99&gt;0)</f>
        <v>-0</v>
      </c>
      <c r="DG104" s="33" t="n">
        <f aca="false">-In_Upfront_Fee*$E99*(DG98=0)*(DG99&gt;0)</f>
        <v>-0</v>
      </c>
      <c r="DH104" s="33" t="n">
        <f aca="false">-In_Upfront_Fee*$E99*(DH98=0)*(DH99&gt;0)</f>
        <v>-0</v>
      </c>
      <c r="DI104" s="33" t="n">
        <f aca="false">-In_Upfront_Fee*$E99*(DI98=0)*(DI99&gt;0)</f>
        <v>-0</v>
      </c>
      <c r="DJ104" s="33" t="n">
        <f aca="false">-In_Upfront_Fee*$E99*(DJ98=0)*(DJ99&gt;0)</f>
        <v>-0</v>
      </c>
      <c r="DK104" s="33" t="n">
        <f aca="false">-In_Upfront_Fee*$E99*(DK98=0)*(DK99&gt;0)</f>
        <v>-0</v>
      </c>
      <c r="DL104" s="33" t="n">
        <f aca="false">-In_Upfront_Fee*$E99*(DL98=0)*(DL99&gt;0)</f>
        <v>-0</v>
      </c>
      <c r="DM104" s="33" t="n">
        <f aca="false">-In_Upfront_Fee*$E99*(DM98=0)*(DM99&gt;0)</f>
        <v>-0</v>
      </c>
      <c r="DN104" s="33" t="n">
        <f aca="false">-In_Upfront_Fee*$E99*(DN98=0)*(DN99&gt;0)</f>
        <v>-0</v>
      </c>
      <c r="DO104" s="33" t="n">
        <f aca="false">-In_Upfront_Fee*$E99*(DO98=0)*(DO99&gt;0)</f>
        <v>-0</v>
      </c>
      <c r="DP104" s="33" t="n">
        <f aca="false">-In_Upfront_Fee*$E99*(DP98=0)*(DP99&gt;0)</f>
        <v>-0</v>
      </c>
      <c r="DQ104" s="33" t="n">
        <f aca="false">-In_Upfront_Fee*$E99*(DQ98=0)*(DQ99&gt;0)</f>
        <v>-0</v>
      </c>
      <c r="DR104" s="33" t="n">
        <f aca="false">-In_Upfront_Fee*$E99*(DR98=0)*(DR99&gt;0)</f>
        <v>-0</v>
      </c>
      <c r="DS104" s="33" t="n">
        <f aca="false">-In_Upfront_Fee*$E99*(DS98=0)*(DS99&gt;0)</f>
        <v>-0</v>
      </c>
      <c r="DT104" s="33" t="n">
        <f aca="false">-In_Upfront_Fee*$E99*(DT98=0)*(DT99&gt;0)</f>
        <v>-0</v>
      </c>
      <c r="DU104" s="33" t="n">
        <f aca="false">-In_Upfront_Fee*$E99*(DU98=0)*(DU99&gt;0)</f>
        <v>-0</v>
      </c>
      <c r="DV104" s="33" t="n">
        <f aca="false">-In_Upfront_Fee*$E99*(DV98=0)*(DV99&gt;0)</f>
        <v>-0</v>
      </c>
      <c r="DW104" s="33" t="n">
        <f aca="false">-In_Upfront_Fee*$E99*(DW98=0)*(DW99&gt;0)</f>
        <v>-0</v>
      </c>
      <c r="DX104" s="33" t="n">
        <f aca="false">-In_Upfront_Fee*$E99*(DX98=0)*(DX99&gt;0)</f>
        <v>-0</v>
      </c>
      <c r="DY104" s="33" t="n">
        <f aca="false">-In_Upfront_Fee*$E99*(DY98=0)*(DY99&gt;0)</f>
        <v>-0</v>
      </c>
      <c r="DZ104" s="33" t="n">
        <f aca="false">-In_Upfront_Fee*$E99*(DZ98=0)*(DZ99&gt;0)</f>
        <v>-0</v>
      </c>
      <c r="EA104" s="33" t="n">
        <f aca="false">-In_Upfront_Fee*$E99*(EA98=0)*(EA99&gt;0)</f>
        <v>-0</v>
      </c>
      <c r="EB104" s="33" t="n">
        <f aca="false">-In_Upfront_Fee*$E99*(EB98=0)*(EB99&gt;0)</f>
        <v>-0</v>
      </c>
      <c r="EC104" s="33" t="n">
        <f aca="false">-In_Upfront_Fee*$E99*(EC98=0)*(EC99&gt;0)</f>
        <v>-0</v>
      </c>
      <c r="ED104" s="33" t="n">
        <f aca="false">-In_Upfront_Fee*$E99*(ED98=0)*(ED99&gt;0)</f>
        <v>-0</v>
      </c>
      <c r="EE104" s="33" t="n">
        <f aca="false">-In_Upfront_Fee*$E99*(EE98=0)*(EE99&gt;0)</f>
        <v>-0</v>
      </c>
      <c r="EF104" s="33" t="n">
        <f aca="false">-In_Upfront_Fee*$E99*(EF98=0)*(EF99&gt;0)</f>
        <v>-0</v>
      </c>
      <c r="EG104" s="33" t="n">
        <f aca="false">-In_Upfront_Fee*$E99*(EG98=0)*(EG99&gt;0)</f>
        <v>-0</v>
      </c>
      <c r="EH104" s="33" t="n">
        <f aca="false">-In_Upfront_Fee*$E99*(EH98=0)*(EH99&gt;0)</f>
        <v>-0</v>
      </c>
      <c r="EI104" s="33" t="n">
        <f aca="false">-In_Upfront_Fee*$E99*(EI98=0)*(EI99&gt;0)</f>
        <v>-0</v>
      </c>
      <c r="EJ104" s="33" t="n">
        <f aca="false">-In_Upfront_Fee*$E99*(EJ98=0)*(EJ99&gt;0)</f>
        <v>-0</v>
      </c>
      <c r="EK104" s="33" t="n">
        <f aca="false">-In_Upfront_Fee*$E99*(EK98=0)*(EK99&gt;0)</f>
        <v>-0</v>
      </c>
      <c r="EL104" s="33" t="n">
        <f aca="false">-In_Upfront_Fee*$E99*(EL98=0)*(EL99&gt;0)</f>
        <v>-0</v>
      </c>
      <c r="EM104" s="33" t="n">
        <f aca="false">-In_Upfront_Fee*$E99*(EM98=0)*(EM99&gt;0)</f>
        <v>-0</v>
      </c>
      <c r="EN104" s="33" t="n">
        <f aca="false">-In_Upfront_Fee*$E99*(EN98=0)*(EN99&gt;0)</f>
        <v>-0</v>
      </c>
      <c r="EO104" s="33" t="n">
        <f aca="false">-In_Upfront_Fee*$E99*(EO98=0)*(EO99&gt;0)</f>
        <v>-0</v>
      </c>
      <c r="EP104" s="33" t="n">
        <f aca="false">-In_Upfront_Fee*$E99*(EP98=0)*(EP99&gt;0)</f>
        <v>-0</v>
      </c>
      <c r="EQ104" s="33" t="n">
        <f aca="false">-In_Upfront_Fee*$E99*(EQ98=0)*(EQ99&gt;0)</f>
        <v>-0</v>
      </c>
      <c r="ER104" s="33" t="n">
        <f aca="false">-In_Upfront_Fee*$E99*(ER98=0)*(ER99&gt;0)</f>
        <v>-0</v>
      </c>
      <c r="ES104" s="33" t="n">
        <f aca="false">-In_Upfront_Fee*$E99*(ES98=0)*(ES99&gt;0)</f>
        <v>-0</v>
      </c>
      <c r="ET104" s="33" t="n">
        <f aca="false">-In_Upfront_Fee*$E99*(ET98=0)*(ET99&gt;0)</f>
        <v>-0</v>
      </c>
    </row>
    <row r="105" customFormat="false" ht="15" hidden="false" customHeight="false" outlineLevel="0" collapsed="false">
      <c r="C105" s="0" t="s">
        <v>560</v>
      </c>
      <c r="D105" s="11" t="s">
        <v>253</v>
      </c>
      <c r="I105" s="33" t="n">
        <f aca="false">SUM(J105:ET105)</f>
        <v>-962.619234608902</v>
      </c>
      <c r="J105" s="33" t="n">
        <f aca="false">-In_Commitment_Fee*($E99-SUM($J99:J99)+J99)*J$6*(J13&gt;0)</f>
        <v>-0</v>
      </c>
      <c r="K105" s="33" t="n">
        <f aca="false">-In_Commitment_Fee*($E99-SUM($J99:K99)+K99)*K$6*(K13&gt;0)</f>
        <v>-0</v>
      </c>
      <c r="L105" s="33" t="n">
        <f aca="false">-In_Commitment_Fee*($E99-SUM($J99:L99)+L99)*L$6*(L13&gt;0)</f>
        <v>-0</v>
      </c>
      <c r="M105" s="33" t="n">
        <f aca="false">-In_Commitment_Fee*($E99-SUM($J99:M99)+M99)*M$6*(M13&gt;0)</f>
        <v>-0</v>
      </c>
      <c r="N105" s="33" t="n">
        <f aca="false">-In_Commitment_Fee*($E99-SUM($J99:N99)+N99)*N$6*(N13&gt;0)</f>
        <v>-0</v>
      </c>
      <c r="O105" s="33" t="n">
        <f aca="false">-In_Commitment_Fee*($E99-SUM($J99:O99)+O99)*O$6*(O13&gt;0)</f>
        <v>-0</v>
      </c>
      <c r="P105" s="33" t="n">
        <f aca="false">-In_Commitment_Fee*($E99-SUM($J99:P99)+P99)*P$6*(P13&gt;0)</f>
        <v>-0</v>
      </c>
      <c r="Q105" s="33" t="n">
        <f aca="false">-In_Commitment_Fee*($E99-SUM($J99:Q99)+Q99)*Q$6*(Q13&gt;0)</f>
        <v>-0</v>
      </c>
      <c r="R105" s="33" t="n">
        <f aca="false">-In_Commitment_Fee*($E99-SUM($J99:R99)+R99)*R$6*(R13&gt;0)</f>
        <v>-0</v>
      </c>
      <c r="S105" s="33" t="n">
        <f aca="false">-In_Commitment_Fee*($E99-SUM($J99:S99)+S99)*S$6*(S13&gt;0)</f>
        <v>-0</v>
      </c>
      <c r="T105" s="33" t="n">
        <f aca="false">-In_Commitment_Fee*($E99-SUM($J99:T99)+T99)*T$6*(T13&gt;0)</f>
        <v>-0</v>
      </c>
      <c r="U105" s="33" t="n">
        <f aca="false">-In_Commitment_Fee*($E99-SUM($J99:U99)+U99)*U$6*(U13&gt;0)</f>
        <v>-0</v>
      </c>
      <c r="V105" s="33" t="n">
        <f aca="false">-In_Commitment_Fee*($E99-SUM($J99:V99)+V99)*V$6*(V13&gt;0)</f>
        <v>-0</v>
      </c>
      <c r="W105" s="33" t="n">
        <f aca="false">-In_Commitment_Fee*($E99-SUM($J99:W99)+W99)*W$6*(W13&gt;0)</f>
        <v>-215.671615518913</v>
      </c>
      <c r="X105" s="33" t="n">
        <f aca="false">-In_Commitment_Fee*($E99-SUM($J99:X99)+X99)*X$6*(X13&gt;0)</f>
        <v>-184.393450909708</v>
      </c>
      <c r="Y105" s="33" t="n">
        <f aca="false">-In_Commitment_Fee*($E99-SUM($J99:Y99)+Y99)*Y$6*(Y13&gt;0)</f>
        <v>-160.141633750702</v>
      </c>
      <c r="Z105" s="33" t="n">
        <f aca="false">-In_Commitment_Fee*($E99-SUM($J99:Z99)+Z99)*Z$6*(Z13&gt;0)</f>
        <v>-135.016340126224</v>
      </c>
      <c r="AA105" s="33" t="n">
        <f aca="false">-In_Commitment_Fee*($E99-SUM($J99:AA99)+AA99)*AA$6*(AA13&gt;0)</f>
        <v>-107.835807759457</v>
      </c>
      <c r="AB105" s="33" t="n">
        <f aca="false">-In_Commitment_Fee*($E99-SUM($J99:AB99)+AB99)*AB$6*(AB13&gt;0)</f>
        <v>-78.9018998406745</v>
      </c>
      <c r="AC105" s="33" t="n">
        <f aca="false">-In_Commitment_Fee*($E99-SUM($J99:AC99)+AC99)*AC$6*(AC13&gt;0)</f>
        <v>-53.4779543364571</v>
      </c>
      <c r="AD105" s="33" t="n">
        <f aca="false">-In_Commitment_Fee*($E99-SUM($J99:AD99)+AD99)*AD$6*(AD13&gt;0)</f>
        <v>-27.1805323667671</v>
      </c>
      <c r="AE105" s="33" t="n">
        <f aca="false">-In_Commitment_Fee*($E99-SUM($J99:AE99)+AE99)*AE$6*(AE13&gt;0)</f>
        <v>-0</v>
      </c>
      <c r="AF105" s="33" t="n">
        <f aca="false">-In_Commitment_Fee*($E99-SUM($J99:AF99)+AF99)*AF$6*(AF13&gt;0)</f>
        <v>-0</v>
      </c>
      <c r="AG105" s="33" t="n">
        <f aca="false">-In_Commitment_Fee*($E99-SUM($J99:AG99)+AG99)*AG$6*(AG13&gt;0)</f>
        <v>-0</v>
      </c>
      <c r="AH105" s="33" t="n">
        <f aca="false">-In_Commitment_Fee*($E99-SUM($J99:AH99)+AH99)*AH$6*(AH13&gt;0)</f>
        <v>-0</v>
      </c>
      <c r="AI105" s="33" t="n">
        <f aca="false">-In_Commitment_Fee*($E99-SUM($J99:AI99)+AI99)*AI$6*(AI13&gt;0)</f>
        <v>-0</v>
      </c>
      <c r="AJ105" s="33" t="n">
        <f aca="false">-In_Commitment_Fee*($E99-SUM($J99:AJ99)+AJ99)*AJ$6*(AJ13&gt;0)</f>
        <v>-0</v>
      </c>
      <c r="AK105" s="33" t="n">
        <f aca="false">-In_Commitment_Fee*($E99-SUM($J99:AK99)+AK99)*AK$6*(AK13&gt;0)</f>
        <v>-0</v>
      </c>
      <c r="AL105" s="33" t="n">
        <f aca="false">-In_Commitment_Fee*($E99-SUM($J99:AL99)+AL99)*AL$6*(AL13&gt;0)</f>
        <v>-0</v>
      </c>
      <c r="AM105" s="33" t="n">
        <f aca="false">-In_Commitment_Fee*($E99-SUM($J99:AM99)+AM99)*AM$6*(AM13&gt;0)</f>
        <v>-0</v>
      </c>
      <c r="AN105" s="33" t="n">
        <f aca="false">-In_Commitment_Fee*($E99-SUM($J99:AN99)+AN99)*AN$6*(AN13&gt;0)</f>
        <v>-0</v>
      </c>
      <c r="AO105" s="33" t="n">
        <f aca="false">-In_Commitment_Fee*($E99-SUM($J99:AO99)+AO99)*AO$6*(AO13&gt;0)</f>
        <v>-0</v>
      </c>
      <c r="AP105" s="33" t="n">
        <f aca="false">-In_Commitment_Fee*($E99-SUM($J99:AP99)+AP99)*AP$6*(AP13&gt;0)</f>
        <v>-0</v>
      </c>
      <c r="AQ105" s="33" t="n">
        <f aca="false">-In_Commitment_Fee*($E99-SUM($J99:AQ99)+AQ99)*AQ$6*(AQ13&gt;0)</f>
        <v>-0</v>
      </c>
      <c r="AR105" s="33" t="n">
        <f aca="false">-In_Commitment_Fee*($E99-SUM($J99:AR99)+AR99)*AR$6*(AR13&gt;0)</f>
        <v>-0</v>
      </c>
      <c r="AS105" s="33" t="n">
        <f aca="false">-In_Commitment_Fee*($E99-SUM($J99:AS99)+AS99)*AS$6*(AS13&gt;0)</f>
        <v>-0</v>
      </c>
      <c r="AT105" s="33" t="n">
        <f aca="false">-In_Commitment_Fee*($E99-SUM($J99:AT99)+AT99)*AT$6*(AT13&gt;0)</f>
        <v>-0</v>
      </c>
      <c r="AU105" s="33" t="n">
        <f aca="false">-In_Commitment_Fee*($E99-SUM($J99:AU99)+AU99)*AU$6*(AU13&gt;0)</f>
        <v>-0</v>
      </c>
      <c r="AV105" s="33" t="n">
        <f aca="false">-In_Commitment_Fee*($E99-SUM($J99:AV99)+AV99)*AV$6*(AV13&gt;0)</f>
        <v>-0</v>
      </c>
      <c r="AW105" s="33" t="n">
        <f aca="false">-In_Commitment_Fee*($E99-SUM($J99:AW99)+AW99)*AW$6*(AW13&gt;0)</f>
        <v>-0</v>
      </c>
      <c r="AX105" s="33" t="n">
        <f aca="false">-In_Commitment_Fee*($E99-SUM($J99:AX99)+AX99)*AX$6*(AX13&gt;0)</f>
        <v>-0</v>
      </c>
      <c r="AY105" s="33" t="n">
        <f aca="false">-In_Commitment_Fee*($E99-SUM($J99:AY99)+AY99)*AY$6*(AY13&gt;0)</f>
        <v>-0</v>
      </c>
      <c r="AZ105" s="33" t="n">
        <f aca="false">-In_Commitment_Fee*($E99-SUM($J99:AZ99)+AZ99)*AZ$6*(AZ13&gt;0)</f>
        <v>-0</v>
      </c>
      <c r="BA105" s="33" t="n">
        <f aca="false">-In_Commitment_Fee*($E99-SUM($J99:BA99)+BA99)*BA$6*(BA13&gt;0)</f>
        <v>-0</v>
      </c>
      <c r="BB105" s="33" t="n">
        <f aca="false">-In_Commitment_Fee*($E99-SUM($J99:BB99)+BB99)*BB$6*(BB13&gt;0)</f>
        <v>-0</v>
      </c>
      <c r="BC105" s="33" t="n">
        <f aca="false">-In_Commitment_Fee*($E99-SUM($J99:BC99)+BC99)*BC$6*(BC13&gt;0)</f>
        <v>-0</v>
      </c>
      <c r="BD105" s="33" t="n">
        <f aca="false">-In_Commitment_Fee*($E99-SUM($J99:BD99)+BD99)*BD$6*(BD13&gt;0)</f>
        <v>-0</v>
      </c>
      <c r="BE105" s="33" t="n">
        <f aca="false">-In_Commitment_Fee*($E99-SUM($J99:BE99)+BE99)*BE$6*(BE13&gt;0)</f>
        <v>-0</v>
      </c>
      <c r="BF105" s="33" t="n">
        <f aca="false">-In_Commitment_Fee*($E99-SUM($J99:BF99)+BF99)*BF$6*(BF13&gt;0)</f>
        <v>-0</v>
      </c>
      <c r="BG105" s="33" t="n">
        <f aca="false">-In_Commitment_Fee*($E99-SUM($J99:BG99)+BG99)*BG$6*(BG13&gt;0)</f>
        <v>-0</v>
      </c>
      <c r="BH105" s="33" t="n">
        <f aca="false">-In_Commitment_Fee*($E99-SUM($J99:BH99)+BH99)*BH$6*(BH13&gt;0)</f>
        <v>-0</v>
      </c>
      <c r="BI105" s="33" t="n">
        <f aca="false">-In_Commitment_Fee*($E99-SUM($J99:BI99)+BI99)*BI$6*(BI13&gt;0)</f>
        <v>-0</v>
      </c>
      <c r="BJ105" s="33" t="n">
        <f aca="false">-In_Commitment_Fee*($E99-SUM($J99:BJ99)+BJ99)*BJ$6*(BJ13&gt;0)</f>
        <v>-0</v>
      </c>
      <c r="BK105" s="33" t="n">
        <f aca="false">-In_Commitment_Fee*($E99-SUM($J99:BK99)+BK99)*BK$6*(BK13&gt;0)</f>
        <v>-0</v>
      </c>
      <c r="BL105" s="33" t="n">
        <f aca="false">-In_Commitment_Fee*($E99-SUM($J99:BL99)+BL99)*BL$6*(BL13&gt;0)</f>
        <v>-0</v>
      </c>
      <c r="BM105" s="33" t="n">
        <f aca="false">-In_Commitment_Fee*($E99-SUM($J99:BM99)+BM99)*BM$6*(BM13&gt;0)</f>
        <v>-0</v>
      </c>
      <c r="BN105" s="33" t="n">
        <f aca="false">-In_Commitment_Fee*($E99-SUM($J99:BN99)+BN99)*BN$6*(BN13&gt;0)</f>
        <v>-0</v>
      </c>
      <c r="BO105" s="33" t="n">
        <f aca="false">-In_Commitment_Fee*($E99-SUM($J99:BO99)+BO99)*BO$6*(BO13&gt;0)</f>
        <v>-0</v>
      </c>
      <c r="BP105" s="33" t="n">
        <f aca="false">-In_Commitment_Fee*($E99-SUM($J99:BP99)+BP99)*BP$6*(BP13&gt;0)</f>
        <v>-0</v>
      </c>
      <c r="BQ105" s="33" t="n">
        <f aca="false">-In_Commitment_Fee*($E99-SUM($J99:BQ99)+BQ99)*BQ$6*(BQ13&gt;0)</f>
        <v>-0</v>
      </c>
      <c r="BR105" s="33" t="n">
        <f aca="false">-In_Commitment_Fee*($E99-SUM($J99:BR99)+BR99)*BR$6*(BR13&gt;0)</f>
        <v>-0</v>
      </c>
      <c r="BS105" s="33" t="n">
        <f aca="false">-In_Commitment_Fee*($E99-SUM($J99:BS99)+BS99)*BS$6*(BS13&gt;0)</f>
        <v>-0</v>
      </c>
      <c r="BT105" s="33" t="n">
        <f aca="false">-In_Commitment_Fee*($E99-SUM($J99:BT99)+BT99)*BT$6*(BT13&gt;0)</f>
        <v>-0</v>
      </c>
      <c r="BU105" s="33" t="n">
        <f aca="false">-In_Commitment_Fee*($E99-SUM($J99:BU99)+BU99)*BU$6*(BU13&gt;0)</f>
        <v>-0</v>
      </c>
      <c r="BV105" s="33" t="n">
        <f aca="false">-In_Commitment_Fee*($E99-SUM($J99:BV99)+BV99)*BV$6*(BV13&gt;0)</f>
        <v>-0</v>
      </c>
      <c r="BW105" s="33" t="n">
        <f aca="false">-In_Commitment_Fee*($E99-SUM($J99:BW99)+BW99)*BW$6*(BW13&gt;0)</f>
        <v>-0</v>
      </c>
      <c r="BX105" s="33" t="n">
        <f aca="false">-In_Commitment_Fee*($E99-SUM($J99:BX99)+BX99)*BX$6*(BX13&gt;0)</f>
        <v>-0</v>
      </c>
      <c r="BY105" s="33" t="n">
        <f aca="false">-In_Commitment_Fee*($E99-SUM($J99:BY99)+BY99)*BY$6*(BY13&gt;0)</f>
        <v>-0</v>
      </c>
      <c r="BZ105" s="33" t="n">
        <f aca="false">-In_Commitment_Fee*($E99-SUM($J99:BZ99)+BZ99)*BZ$6*(BZ13&gt;0)</f>
        <v>-0</v>
      </c>
      <c r="CA105" s="33" t="n">
        <f aca="false">-In_Commitment_Fee*($E99-SUM($J99:CA99)+CA99)*CA$6*(CA13&gt;0)</f>
        <v>-0</v>
      </c>
      <c r="CB105" s="33" t="n">
        <f aca="false">-In_Commitment_Fee*($E99-SUM($J99:CB99)+CB99)*CB$6*(CB13&gt;0)</f>
        <v>-0</v>
      </c>
      <c r="CC105" s="33" t="n">
        <f aca="false">-In_Commitment_Fee*($E99-SUM($J99:CC99)+CC99)*CC$6*(CC13&gt;0)</f>
        <v>-0</v>
      </c>
      <c r="CD105" s="33" t="n">
        <f aca="false">-In_Commitment_Fee*($E99-SUM($J99:CD99)+CD99)*CD$6*(CD13&gt;0)</f>
        <v>-0</v>
      </c>
      <c r="CE105" s="33" t="n">
        <f aca="false">-In_Commitment_Fee*($E99-SUM($J99:CE99)+CE99)*CE$6*(CE13&gt;0)</f>
        <v>-0</v>
      </c>
      <c r="CF105" s="33" t="n">
        <f aca="false">-In_Commitment_Fee*($E99-SUM($J99:CF99)+CF99)*CF$6*(CF13&gt;0)</f>
        <v>-0</v>
      </c>
      <c r="CG105" s="33" t="n">
        <f aca="false">-In_Commitment_Fee*($E99-SUM($J99:CG99)+CG99)*CG$6*(CG13&gt;0)</f>
        <v>-0</v>
      </c>
      <c r="CH105" s="33" t="n">
        <f aca="false">-In_Commitment_Fee*($E99-SUM($J99:CH99)+CH99)*CH$6*(CH13&gt;0)</f>
        <v>-0</v>
      </c>
      <c r="CI105" s="33" t="n">
        <f aca="false">-In_Commitment_Fee*($E99-SUM($J99:CI99)+CI99)*CI$6*(CI13&gt;0)</f>
        <v>-0</v>
      </c>
      <c r="CJ105" s="33" t="n">
        <f aca="false">-In_Commitment_Fee*($E99-SUM($J99:CJ99)+CJ99)*CJ$6*(CJ13&gt;0)</f>
        <v>-0</v>
      </c>
      <c r="CK105" s="33" t="n">
        <f aca="false">-In_Commitment_Fee*($E99-SUM($J99:CK99)+CK99)*CK$6*(CK13&gt;0)</f>
        <v>-0</v>
      </c>
      <c r="CL105" s="33" t="n">
        <f aca="false">-In_Commitment_Fee*($E99-SUM($J99:CL99)+CL99)*CL$6*(CL13&gt;0)</f>
        <v>-0</v>
      </c>
      <c r="CM105" s="33" t="n">
        <f aca="false">-In_Commitment_Fee*($E99-SUM($J99:CM99)+CM99)*CM$6*(CM13&gt;0)</f>
        <v>-0</v>
      </c>
      <c r="CN105" s="33" t="n">
        <f aca="false">-In_Commitment_Fee*($E99-SUM($J99:CN99)+CN99)*CN$6*(CN13&gt;0)</f>
        <v>-0</v>
      </c>
      <c r="CO105" s="33" t="n">
        <f aca="false">-In_Commitment_Fee*($E99-SUM($J99:CO99)+CO99)*CO$6*(CO13&gt;0)</f>
        <v>-0</v>
      </c>
      <c r="CP105" s="33" t="n">
        <f aca="false">-In_Commitment_Fee*($E99-SUM($J99:CP99)+CP99)*CP$6*(CP13&gt;0)</f>
        <v>-0</v>
      </c>
      <c r="CQ105" s="33" t="n">
        <f aca="false">-In_Commitment_Fee*($E99-SUM($J99:CQ99)+CQ99)*CQ$6*(CQ13&gt;0)</f>
        <v>-0</v>
      </c>
      <c r="CR105" s="33" t="n">
        <f aca="false">-In_Commitment_Fee*($E99-SUM($J99:CR99)+CR99)*CR$6*(CR13&gt;0)</f>
        <v>-0</v>
      </c>
      <c r="CS105" s="33" t="n">
        <f aca="false">-In_Commitment_Fee*($E99-SUM($J99:CS99)+CS99)*CS$6*(CS13&gt;0)</f>
        <v>-0</v>
      </c>
      <c r="CT105" s="33" t="n">
        <f aca="false">-In_Commitment_Fee*($E99-SUM($J99:CT99)+CT99)*CT$6*(CT13&gt;0)</f>
        <v>-0</v>
      </c>
      <c r="CU105" s="33" t="n">
        <f aca="false">-In_Commitment_Fee*($E99-SUM($J99:CU99)+CU99)*CU$6*(CU13&gt;0)</f>
        <v>-0</v>
      </c>
      <c r="CV105" s="33" t="n">
        <f aca="false">-In_Commitment_Fee*($E99-SUM($J99:CV99)+CV99)*CV$6*(CV13&gt;0)</f>
        <v>-0</v>
      </c>
      <c r="CW105" s="33" t="n">
        <f aca="false">-In_Commitment_Fee*($E99-SUM($J99:CW99)+CW99)*CW$6*(CW13&gt;0)</f>
        <v>-0</v>
      </c>
      <c r="CX105" s="33" t="n">
        <f aca="false">-In_Commitment_Fee*($E99-SUM($J99:CX99)+CX99)*CX$6*(CX13&gt;0)</f>
        <v>-0</v>
      </c>
      <c r="CY105" s="33" t="n">
        <f aca="false">-In_Commitment_Fee*($E99-SUM($J99:CY99)+CY99)*CY$6*(CY13&gt;0)</f>
        <v>-0</v>
      </c>
      <c r="CZ105" s="33" t="n">
        <f aca="false">-In_Commitment_Fee*($E99-SUM($J99:CZ99)+CZ99)*CZ$6*(CZ13&gt;0)</f>
        <v>-0</v>
      </c>
      <c r="DA105" s="33" t="n">
        <f aca="false">-In_Commitment_Fee*($E99-SUM($J99:DA99)+DA99)*DA$6*(DA13&gt;0)</f>
        <v>-0</v>
      </c>
      <c r="DB105" s="33" t="n">
        <f aca="false">-In_Commitment_Fee*($E99-SUM($J99:DB99)+DB99)*DB$6*(DB13&gt;0)</f>
        <v>-0</v>
      </c>
      <c r="DC105" s="33" t="n">
        <f aca="false">-In_Commitment_Fee*($E99-SUM($J99:DC99)+DC99)*DC$6*(DC13&gt;0)</f>
        <v>-0</v>
      </c>
      <c r="DD105" s="33" t="n">
        <f aca="false">-In_Commitment_Fee*($E99-SUM($J99:DD99)+DD99)*DD$6*(DD13&gt;0)</f>
        <v>-0</v>
      </c>
      <c r="DE105" s="33" t="n">
        <f aca="false">-In_Commitment_Fee*($E99-SUM($J99:DE99)+DE99)*DE$6*(DE13&gt;0)</f>
        <v>-0</v>
      </c>
      <c r="DF105" s="33" t="n">
        <f aca="false">-In_Commitment_Fee*($E99-SUM($J99:DF99)+DF99)*DF$6*(DF13&gt;0)</f>
        <v>-0</v>
      </c>
      <c r="DG105" s="33" t="n">
        <f aca="false">-In_Commitment_Fee*($E99-SUM($J99:DG99)+DG99)*DG$6*(DG13&gt;0)</f>
        <v>-0</v>
      </c>
      <c r="DH105" s="33" t="n">
        <f aca="false">-In_Commitment_Fee*($E99-SUM($J99:DH99)+DH99)*DH$6*(DH13&gt;0)</f>
        <v>-0</v>
      </c>
      <c r="DI105" s="33" t="n">
        <f aca="false">-In_Commitment_Fee*($E99-SUM($J99:DI99)+DI99)*DI$6*(DI13&gt;0)</f>
        <v>-0</v>
      </c>
      <c r="DJ105" s="33" t="n">
        <f aca="false">-In_Commitment_Fee*($E99-SUM($J99:DJ99)+DJ99)*DJ$6*(DJ13&gt;0)</f>
        <v>-0</v>
      </c>
      <c r="DK105" s="33" t="n">
        <f aca="false">-In_Commitment_Fee*($E99-SUM($J99:DK99)+DK99)*DK$6*(DK13&gt;0)</f>
        <v>-0</v>
      </c>
      <c r="DL105" s="33" t="n">
        <f aca="false">-In_Commitment_Fee*($E99-SUM($J99:DL99)+DL99)*DL$6*(DL13&gt;0)</f>
        <v>-0</v>
      </c>
      <c r="DM105" s="33" t="n">
        <f aca="false">-In_Commitment_Fee*($E99-SUM($J99:DM99)+DM99)*DM$6*(DM13&gt;0)</f>
        <v>-0</v>
      </c>
      <c r="DN105" s="33" t="n">
        <f aca="false">-In_Commitment_Fee*($E99-SUM($J99:DN99)+DN99)*DN$6*(DN13&gt;0)</f>
        <v>-0</v>
      </c>
      <c r="DO105" s="33" t="n">
        <f aca="false">-In_Commitment_Fee*($E99-SUM($J99:DO99)+DO99)*DO$6*(DO13&gt;0)</f>
        <v>-0</v>
      </c>
      <c r="DP105" s="33" t="n">
        <f aca="false">-In_Commitment_Fee*($E99-SUM($J99:DP99)+DP99)*DP$6*(DP13&gt;0)</f>
        <v>-0</v>
      </c>
      <c r="DQ105" s="33" t="n">
        <f aca="false">-In_Commitment_Fee*($E99-SUM($J99:DQ99)+DQ99)*DQ$6*(DQ13&gt;0)</f>
        <v>-0</v>
      </c>
      <c r="DR105" s="33" t="n">
        <f aca="false">-In_Commitment_Fee*($E99-SUM($J99:DR99)+DR99)*DR$6*(DR13&gt;0)</f>
        <v>-0</v>
      </c>
      <c r="DS105" s="33" t="n">
        <f aca="false">-In_Commitment_Fee*($E99-SUM($J99:DS99)+DS99)*DS$6*(DS13&gt;0)</f>
        <v>-0</v>
      </c>
      <c r="DT105" s="33" t="n">
        <f aca="false">-In_Commitment_Fee*($E99-SUM($J99:DT99)+DT99)*DT$6*(DT13&gt;0)</f>
        <v>-0</v>
      </c>
      <c r="DU105" s="33" t="n">
        <f aca="false">-In_Commitment_Fee*($E99-SUM($J99:DU99)+DU99)*DU$6*(DU13&gt;0)</f>
        <v>-0</v>
      </c>
      <c r="DV105" s="33" t="n">
        <f aca="false">-In_Commitment_Fee*($E99-SUM($J99:DV99)+DV99)*DV$6*(DV13&gt;0)</f>
        <v>-0</v>
      </c>
      <c r="DW105" s="33" t="n">
        <f aca="false">-In_Commitment_Fee*($E99-SUM($J99:DW99)+DW99)*DW$6*(DW13&gt;0)</f>
        <v>-0</v>
      </c>
      <c r="DX105" s="33" t="n">
        <f aca="false">-In_Commitment_Fee*($E99-SUM($J99:DX99)+DX99)*DX$6*(DX13&gt;0)</f>
        <v>-0</v>
      </c>
      <c r="DY105" s="33" t="n">
        <f aca="false">-In_Commitment_Fee*($E99-SUM($J99:DY99)+DY99)*DY$6*(DY13&gt;0)</f>
        <v>-0</v>
      </c>
      <c r="DZ105" s="33" t="n">
        <f aca="false">-In_Commitment_Fee*($E99-SUM($J99:DZ99)+DZ99)*DZ$6*(DZ13&gt;0)</f>
        <v>-0</v>
      </c>
      <c r="EA105" s="33" t="n">
        <f aca="false">-In_Commitment_Fee*($E99-SUM($J99:EA99)+EA99)*EA$6*(EA13&gt;0)</f>
        <v>-0</v>
      </c>
      <c r="EB105" s="33" t="n">
        <f aca="false">-In_Commitment_Fee*($E99-SUM($J99:EB99)+EB99)*EB$6*(EB13&gt;0)</f>
        <v>-0</v>
      </c>
      <c r="EC105" s="33" t="n">
        <f aca="false">-In_Commitment_Fee*($E99-SUM($J99:EC99)+EC99)*EC$6*(EC13&gt;0)</f>
        <v>-0</v>
      </c>
      <c r="ED105" s="33" t="n">
        <f aca="false">-In_Commitment_Fee*($E99-SUM($J99:ED99)+ED99)*ED$6*(ED13&gt;0)</f>
        <v>-0</v>
      </c>
      <c r="EE105" s="33" t="n">
        <f aca="false">-In_Commitment_Fee*($E99-SUM($J99:EE99)+EE99)*EE$6*(EE13&gt;0)</f>
        <v>-0</v>
      </c>
      <c r="EF105" s="33" t="n">
        <f aca="false">-In_Commitment_Fee*($E99-SUM($J99:EF99)+EF99)*EF$6*(EF13&gt;0)</f>
        <v>-0</v>
      </c>
      <c r="EG105" s="33" t="n">
        <f aca="false">-In_Commitment_Fee*($E99-SUM($J99:EG99)+EG99)*EG$6*(EG13&gt;0)</f>
        <v>-0</v>
      </c>
      <c r="EH105" s="33" t="n">
        <f aca="false">-In_Commitment_Fee*($E99-SUM($J99:EH99)+EH99)*EH$6*(EH13&gt;0)</f>
        <v>-0</v>
      </c>
      <c r="EI105" s="33" t="n">
        <f aca="false">-In_Commitment_Fee*($E99-SUM($J99:EI99)+EI99)*EI$6*(EI13&gt;0)</f>
        <v>-0</v>
      </c>
      <c r="EJ105" s="33" t="n">
        <f aca="false">-In_Commitment_Fee*($E99-SUM($J99:EJ99)+EJ99)*EJ$6*(EJ13&gt;0)</f>
        <v>-0</v>
      </c>
      <c r="EK105" s="33" t="n">
        <f aca="false">-In_Commitment_Fee*($E99-SUM($J99:EK99)+EK99)*EK$6*(EK13&gt;0)</f>
        <v>-0</v>
      </c>
      <c r="EL105" s="33" t="n">
        <f aca="false">-In_Commitment_Fee*($E99-SUM($J99:EL99)+EL99)*EL$6*(EL13&gt;0)</f>
        <v>-0</v>
      </c>
      <c r="EM105" s="33" t="n">
        <f aca="false">-In_Commitment_Fee*($E99-SUM($J99:EM99)+EM99)*EM$6*(EM13&gt;0)</f>
        <v>-0</v>
      </c>
      <c r="EN105" s="33" t="n">
        <f aca="false">-In_Commitment_Fee*($E99-SUM($J99:EN99)+EN99)*EN$6*(EN13&gt;0)</f>
        <v>-0</v>
      </c>
      <c r="EO105" s="33" t="n">
        <f aca="false">-In_Commitment_Fee*($E99-SUM($J99:EO99)+EO99)*EO$6*(EO13&gt;0)</f>
        <v>-0</v>
      </c>
      <c r="EP105" s="33" t="n">
        <f aca="false">-In_Commitment_Fee*($E99-SUM($J99:EP99)+EP99)*EP$6*(EP13&gt;0)</f>
        <v>-0</v>
      </c>
      <c r="EQ105" s="33" t="n">
        <f aca="false">-In_Commitment_Fee*($E99-SUM($J99:EQ99)+EQ99)*EQ$6*(EQ13&gt;0)</f>
        <v>-0</v>
      </c>
      <c r="ER105" s="33" t="n">
        <f aca="false">-In_Commitment_Fee*($E99-SUM($J99:ER99)+ER99)*ER$6*(ER13&gt;0)</f>
        <v>-0</v>
      </c>
      <c r="ES105" s="33" t="n">
        <f aca="false">-In_Commitment_Fee*($E99-SUM($J99:ES99)+ES99)*ES$6*(ES13&gt;0)</f>
        <v>-0</v>
      </c>
      <c r="ET105" s="33" t="n">
        <f aca="false">-In_Commitment_Fee*($E99-SUM($J99:ET99)+ET99)*ET$6*(ET13&gt;0)</f>
        <v>-0</v>
      </c>
    </row>
    <row r="106" customFormat="false" ht="15" hidden="false" customHeight="false" outlineLevel="0" collapsed="false">
      <c r="C106" s="30" t="s">
        <v>561</v>
      </c>
      <c r="D106" s="11" t="s">
        <v>253</v>
      </c>
      <c r="I106" s="35" t="n">
        <f aca="false">SUM(J106:ET106)</f>
        <v>-161080.777710614</v>
      </c>
      <c r="J106" s="35" t="n">
        <f aca="false">J95+J53+J96+J104+J105</f>
        <v>-0</v>
      </c>
      <c r="K106" s="35" t="n">
        <f aca="false">K95+K53+K96+K104+K105</f>
        <v>-0</v>
      </c>
      <c r="L106" s="35" t="n">
        <f aca="false">L95+L53+L96+L104+L105</f>
        <v>-0</v>
      </c>
      <c r="M106" s="35" t="n">
        <f aca="false">M95+M53+M96+M104+M105</f>
        <v>-0</v>
      </c>
      <c r="N106" s="35" t="n">
        <f aca="false">N95+N53+N96+N104+N105</f>
        <v>-0</v>
      </c>
      <c r="O106" s="35" t="n">
        <f aca="false">O95+O53+O96+O104+O105</f>
        <v>-0</v>
      </c>
      <c r="P106" s="35" t="n">
        <f aca="false">P95+P53+P96+P104+P105</f>
        <v>-0</v>
      </c>
      <c r="Q106" s="35" t="n">
        <f aca="false">Q95+Q53+Q96+Q104+Q105</f>
        <v>-0</v>
      </c>
      <c r="R106" s="35" t="n">
        <f aca="false">R95+R53+R96+R104+R105</f>
        <v>-0</v>
      </c>
      <c r="S106" s="35" t="n">
        <f aca="false">S95+S53+S96+S104+S105</f>
        <v>-0</v>
      </c>
      <c r="T106" s="35" t="n">
        <f aca="false">T95+T53+T96+T104+T105</f>
        <v>-20179.3874082192</v>
      </c>
      <c r="U106" s="35" t="n">
        <f aca="false">U95+U53+U96+U104+U105</f>
        <v>-0</v>
      </c>
      <c r="V106" s="35" t="n">
        <f aca="false">V95+V53+V96+V104+V105</f>
        <v>-0</v>
      </c>
      <c r="W106" s="35" t="n">
        <f aca="false">W95+W53+W96+W104+W105</f>
        <v>-18675.7440531682</v>
      </c>
      <c r="X106" s="35" t="n">
        <f aca="false">X95+X53+X96+X104+X105</f>
        <v>-16615.5578344714</v>
      </c>
      <c r="Y106" s="35" t="n">
        <f aca="false">Y95+Y53+Y96+Y104+Y105</f>
        <v>-16773.874510463</v>
      </c>
      <c r="Z106" s="35" t="n">
        <f aca="false">Z95+Z53+Z96+Z104+Z105</f>
        <v>-16931.3177099892</v>
      </c>
      <c r="AA106" s="35" t="n">
        <f aca="false">AA95+AA53+AA96+AA104+AA105</f>
        <v>-16904.1371776225</v>
      </c>
      <c r="AB106" s="35" t="n">
        <f aca="false">AB95+AB53+AB96+AB104+AB105</f>
        <v>-16510.0662834023</v>
      </c>
      <c r="AC106" s="35" t="n">
        <f aca="false">AC95+AC53+AC96+AC104+AC105</f>
        <v>-16667.2108310488</v>
      </c>
      <c r="AD106" s="35" t="n">
        <f aca="false">AD95+AD53+AD96+AD104+AD105</f>
        <v>-21823.4819022298</v>
      </c>
      <c r="AE106" s="35" t="n">
        <f aca="false">AE95+AE53+AE96+AE104+AE105</f>
        <v>-0</v>
      </c>
      <c r="AF106" s="35" t="n">
        <f aca="false">AF95+AF53+AF96+AF104+AF105</f>
        <v>-0</v>
      </c>
      <c r="AG106" s="35" t="n">
        <f aca="false">AG95+AG53+AG96+AG104+AG105</f>
        <v>-0</v>
      </c>
      <c r="AH106" s="35" t="n">
        <f aca="false">AH95+AH53+AH96+AH104+AH105</f>
        <v>-0</v>
      </c>
      <c r="AI106" s="35" t="n">
        <f aca="false">AI95+AI53+AI96+AI104+AI105</f>
        <v>-0</v>
      </c>
      <c r="AJ106" s="35" t="n">
        <f aca="false">AJ95+AJ53+AJ96+AJ104+AJ105</f>
        <v>-0</v>
      </c>
      <c r="AK106" s="35" t="n">
        <f aca="false">AK95+AK53+AK96+AK104+AK105</f>
        <v>-0</v>
      </c>
      <c r="AL106" s="35" t="n">
        <f aca="false">AL95+AL53+AL96+AL104+AL105</f>
        <v>-0</v>
      </c>
      <c r="AM106" s="35" t="n">
        <f aca="false">AM95+AM53+AM96+AM104+AM105</f>
        <v>-0</v>
      </c>
      <c r="AN106" s="35" t="n">
        <f aca="false">AN95+AN53+AN96+AN104+AN105</f>
        <v>-0</v>
      </c>
      <c r="AO106" s="35" t="n">
        <f aca="false">AO95+AO53+AO96+AO104+AO105</f>
        <v>-0</v>
      </c>
      <c r="AP106" s="35" t="n">
        <f aca="false">AP95+AP53+AP96+AP104+AP105</f>
        <v>-0</v>
      </c>
      <c r="AQ106" s="35" t="n">
        <f aca="false">AQ95+AQ53+AQ96+AQ104+AQ105</f>
        <v>-0</v>
      </c>
      <c r="AR106" s="35" t="n">
        <f aca="false">AR95+AR53+AR96+AR104+AR105</f>
        <v>-0</v>
      </c>
      <c r="AS106" s="35" t="n">
        <f aca="false">AS95+AS53+AS96+AS104+AS105</f>
        <v>-0</v>
      </c>
      <c r="AT106" s="35" t="n">
        <f aca="false">AT95+AT53+AT96+AT104+AT105</f>
        <v>-0</v>
      </c>
      <c r="AU106" s="35" t="n">
        <f aca="false">AU95+AU53+AU96+AU104+AU105</f>
        <v>-0</v>
      </c>
      <c r="AV106" s="35" t="n">
        <f aca="false">AV95+AV53+AV96+AV104+AV105</f>
        <v>-0</v>
      </c>
      <c r="AW106" s="35" t="n">
        <f aca="false">AW95+AW53+AW96+AW104+AW105</f>
        <v>-0</v>
      </c>
      <c r="AX106" s="35" t="n">
        <f aca="false">AX95+AX53+AX96+AX104+AX105</f>
        <v>-0</v>
      </c>
      <c r="AY106" s="35" t="n">
        <f aca="false">AY95+AY53+AY96+AY104+AY105</f>
        <v>-0</v>
      </c>
      <c r="AZ106" s="35" t="n">
        <f aca="false">AZ95+AZ53+AZ96+AZ104+AZ105</f>
        <v>-0</v>
      </c>
      <c r="BA106" s="35" t="n">
        <f aca="false">BA95+BA53+BA96+BA104+BA105</f>
        <v>-0</v>
      </c>
      <c r="BB106" s="35" t="n">
        <f aca="false">BB95+BB53+BB96+BB104+BB105</f>
        <v>-0</v>
      </c>
      <c r="BC106" s="35" t="n">
        <f aca="false">BC95+BC53+BC96+BC104+BC105</f>
        <v>-0</v>
      </c>
      <c r="BD106" s="35" t="n">
        <f aca="false">BD95+BD53+BD96+BD104+BD105</f>
        <v>-0</v>
      </c>
      <c r="BE106" s="35" t="n">
        <f aca="false">BE95+BE53+BE96+BE104+BE105</f>
        <v>-0</v>
      </c>
      <c r="BF106" s="35" t="n">
        <f aca="false">BF95+BF53+BF96+BF104+BF105</f>
        <v>-0</v>
      </c>
      <c r="BG106" s="35" t="n">
        <f aca="false">BG95+BG53+BG96+BG104+BG105</f>
        <v>-0</v>
      </c>
      <c r="BH106" s="35" t="n">
        <f aca="false">BH95+BH53+BH96+BH104+BH105</f>
        <v>-0</v>
      </c>
      <c r="BI106" s="35" t="n">
        <f aca="false">BI95+BI53+BI96+BI104+BI105</f>
        <v>-0</v>
      </c>
      <c r="BJ106" s="35" t="n">
        <f aca="false">BJ95+BJ53+BJ96+BJ104+BJ105</f>
        <v>-0</v>
      </c>
      <c r="BK106" s="35" t="n">
        <f aca="false">BK95+BK53+BK96+BK104+BK105</f>
        <v>-0</v>
      </c>
      <c r="BL106" s="35" t="n">
        <f aca="false">BL95+BL53+BL96+BL104+BL105</f>
        <v>-0</v>
      </c>
      <c r="BM106" s="35" t="n">
        <f aca="false">BM95+BM53+BM96+BM104+BM105</f>
        <v>-0</v>
      </c>
      <c r="BN106" s="35" t="n">
        <f aca="false">BN95+BN53+BN96+BN104+BN105</f>
        <v>-0</v>
      </c>
      <c r="BO106" s="35" t="n">
        <f aca="false">BO95+BO53+BO96+BO104+BO105</f>
        <v>-0</v>
      </c>
      <c r="BP106" s="35" t="n">
        <f aca="false">BP95+BP53+BP96+BP104+BP105</f>
        <v>-0</v>
      </c>
      <c r="BQ106" s="35" t="n">
        <f aca="false">BQ95+BQ53+BQ96+BQ104+BQ105</f>
        <v>-0</v>
      </c>
      <c r="BR106" s="35" t="n">
        <f aca="false">BR95+BR53+BR96+BR104+BR105</f>
        <v>-0</v>
      </c>
      <c r="BS106" s="35" t="n">
        <f aca="false">BS95+BS53+BS96+BS104+BS105</f>
        <v>-0</v>
      </c>
      <c r="BT106" s="35" t="n">
        <f aca="false">BT95+BT53+BT96+BT104+BT105</f>
        <v>-0</v>
      </c>
      <c r="BU106" s="35" t="n">
        <f aca="false">BU95+BU53+BU96+BU104+BU105</f>
        <v>-0</v>
      </c>
      <c r="BV106" s="35" t="n">
        <f aca="false">BV95+BV53+BV96+BV104+BV105</f>
        <v>-0</v>
      </c>
      <c r="BW106" s="35" t="n">
        <f aca="false">BW95+BW53+BW96+BW104+BW105</f>
        <v>-0</v>
      </c>
      <c r="BX106" s="35" t="n">
        <f aca="false">BX95+BX53+BX96+BX104+BX105</f>
        <v>-0</v>
      </c>
      <c r="BY106" s="35" t="n">
        <f aca="false">BY95+BY53+BY96+BY104+BY105</f>
        <v>-0</v>
      </c>
      <c r="BZ106" s="35" t="n">
        <f aca="false">BZ95+BZ53+BZ96+BZ104+BZ105</f>
        <v>-0</v>
      </c>
      <c r="CA106" s="35" t="n">
        <f aca="false">CA95+CA53+CA96+CA104+CA105</f>
        <v>-0</v>
      </c>
      <c r="CB106" s="35" t="n">
        <f aca="false">CB95+CB53+CB96+CB104+CB105</f>
        <v>-0</v>
      </c>
      <c r="CC106" s="35" t="n">
        <f aca="false">CC95+CC53+CC96+CC104+CC105</f>
        <v>-0</v>
      </c>
      <c r="CD106" s="35" t="n">
        <f aca="false">CD95+CD53+CD96+CD104+CD105</f>
        <v>-0</v>
      </c>
      <c r="CE106" s="35" t="n">
        <f aca="false">CE95+CE53+CE96+CE104+CE105</f>
        <v>-0</v>
      </c>
      <c r="CF106" s="35" t="n">
        <f aca="false">CF95+CF53+CF96+CF104+CF105</f>
        <v>-0</v>
      </c>
      <c r="CG106" s="35" t="n">
        <f aca="false">CG95+CG53+CG96+CG104+CG105</f>
        <v>-0</v>
      </c>
      <c r="CH106" s="35" t="n">
        <f aca="false">CH95+CH53+CH96+CH104+CH105</f>
        <v>-0</v>
      </c>
      <c r="CI106" s="35" t="n">
        <f aca="false">CI95+CI53+CI96+CI104+CI105</f>
        <v>-0</v>
      </c>
      <c r="CJ106" s="35" t="n">
        <f aca="false">CJ95+CJ53+CJ96+CJ104+CJ105</f>
        <v>-0</v>
      </c>
      <c r="CK106" s="35" t="n">
        <f aca="false">CK95+CK53+CK96+CK104+CK105</f>
        <v>-0</v>
      </c>
      <c r="CL106" s="35" t="n">
        <f aca="false">CL95+CL53+CL96+CL104+CL105</f>
        <v>-0</v>
      </c>
      <c r="CM106" s="35" t="n">
        <f aca="false">CM95+CM53+CM96+CM104+CM105</f>
        <v>-0</v>
      </c>
      <c r="CN106" s="35" t="n">
        <f aca="false">CN95+CN53+CN96+CN104+CN105</f>
        <v>-0</v>
      </c>
      <c r="CO106" s="35" t="n">
        <f aca="false">CO95+CO53+CO96+CO104+CO105</f>
        <v>-0</v>
      </c>
      <c r="CP106" s="35" t="n">
        <f aca="false">CP95+CP53+CP96+CP104+CP105</f>
        <v>-0</v>
      </c>
      <c r="CQ106" s="35" t="n">
        <f aca="false">CQ95+CQ53+CQ96+CQ104+CQ105</f>
        <v>-0</v>
      </c>
      <c r="CR106" s="35" t="n">
        <f aca="false">CR95+CR53+CR96+CR104+CR105</f>
        <v>-0</v>
      </c>
      <c r="CS106" s="35" t="n">
        <f aca="false">CS95+CS53+CS96+CS104+CS105</f>
        <v>-0</v>
      </c>
      <c r="CT106" s="35" t="n">
        <f aca="false">CT95+CT53+CT96+CT104+CT105</f>
        <v>-0</v>
      </c>
      <c r="CU106" s="35" t="n">
        <f aca="false">CU95+CU53+CU96+CU104+CU105</f>
        <v>-0</v>
      </c>
      <c r="CV106" s="35" t="n">
        <f aca="false">CV95+CV53+CV96+CV104+CV105</f>
        <v>-0</v>
      </c>
      <c r="CW106" s="35" t="n">
        <f aca="false">CW95+CW53+CW96+CW104+CW105</f>
        <v>-0</v>
      </c>
      <c r="CX106" s="35" t="n">
        <f aca="false">CX95+CX53+CX96+CX104+CX105</f>
        <v>-0</v>
      </c>
      <c r="CY106" s="35" t="n">
        <f aca="false">CY95+CY53+CY96+CY104+CY105</f>
        <v>-0</v>
      </c>
      <c r="CZ106" s="35" t="n">
        <f aca="false">CZ95+CZ53+CZ96+CZ104+CZ105</f>
        <v>-0</v>
      </c>
      <c r="DA106" s="35" t="n">
        <f aca="false">DA95+DA53+DA96+DA104+DA105</f>
        <v>-0</v>
      </c>
      <c r="DB106" s="35" t="n">
        <f aca="false">DB95+DB53+DB96+DB104+DB105</f>
        <v>-0</v>
      </c>
      <c r="DC106" s="35" t="n">
        <f aca="false">DC95+DC53+DC96+DC104+DC105</f>
        <v>-0</v>
      </c>
      <c r="DD106" s="35" t="n">
        <f aca="false">DD95+DD53+DD96+DD104+DD105</f>
        <v>-0</v>
      </c>
      <c r="DE106" s="35" t="n">
        <f aca="false">DE95+DE53+DE96+DE104+DE105</f>
        <v>-0</v>
      </c>
      <c r="DF106" s="35" t="n">
        <f aca="false">DF95+DF53+DF96+DF104+DF105</f>
        <v>-0</v>
      </c>
      <c r="DG106" s="35" t="n">
        <f aca="false">DG95+DG53+DG96+DG104+DG105</f>
        <v>-0</v>
      </c>
      <c r="DH106" s="35" t="n">
        <f aca="false">DH95+DH53+DH96+DH104+DH105</f>
        <v>-0</v>
      </c>
      <c r="DI106" s="35" t="n">
        <f aca="false">DI95+DI53+DI96+DI104+DI105</f>
        <v>-0</v>
      </c>
      <c r="DJ106" s="35" t="n">
        <f aca="false">DJ95+DJ53+DJ96+DJ104+DJ105</f>
        <v>-0</v>
      </c>
      <c r="DK106" s="35" t="n">
        <f aca="false">DK95+DK53+DK96+DK104+DK105</f>
        <v>-0</v>
      </c>
      <c r="DL106" s="35" t="n">
        <f aca="false">DL95+DL53+DL96+DL104+DL105</f>
        <v>-0</v>
      </c>
      <c r="DM106" s="35" t="n">
        <f aca="false">DM95+DM53+DM96+DM104+DM105</f>
        <v>-0</v>
      </c>
      <c r="DN106" s="35" t="n">
        <f aca="false">DN95+DN53+DN96+DN104+DN105</f>
        <v>-0</v>
      </c>
      <c r="DO106" s="35" t="n">
        <f aca="false">DO95+DO53+DO96+DO104+DO105</f>
        <v>-0</v>
      </c>
      <c r="DP106" s="35" t="n">
        <f aca="false">DP95+DP53+DP96+DP104+DP105</f>
        <v>-0</v>
      </c>
      <c r="DQ106" s="35" t="n">
        <f aca="false">DQ95+DQ53+DQ96+DQ104+DQ105</f>
        <v>-0</v>
      </c>
      <c r="DR106" s="35" t="n">
        <f aca="false">DR95+DR53+DR96+DR104+DR105</f>
        <v>-0</v>
      </c>
      <c r="DS106" s="35" t="n">
        <f aca="false">DS95+DS53+DS96+DS104+DS105</f>
        <v>-0</v>
      </c>
      <c r="DT106" s="35" t="n">
        <f aca="false">DT95+DT53+DT96+DT104+DT105</f>
        <v>-0</v>
      </c>
      <c r="DU106" s="35" t="n">
        <f aca="false">DU95+DU53+DU96+DU104+DU105</f>
        <v>-0</v>
      </c>
      <c r="DV106" s="35" t="n">
        <f aca="false">DV95+DV53+DV96+DV104+DV105</f>
        <v>-0</v>
      </c>
      <c r="DW106" s="35" t="n">
        <f aca="false">DW95+DW53+DW96+DW104+DW105</f>
        <v>-0</v>
      </c>
      <c r="DX106" s="35" t="n">
        <f aca="false">DX95+DX53+DX96+DX104+DX105</f>
        <v>-0</v>
      </c>
      <c r="DY106" s="35" t="n">
        <f aca="false">DY95+DY53+DY96+DY104+DY105</f>
        <v>-0</v>
      </c>
      <c r="DZ106" s="35" t="n">
        <f aca="false">DZ95+DZ53+DZ96+DZ104+DZ105</f>
        <v>-0</v>
      </c>
      <c r="EA106" s="35" t="n">
        <f aca="false">EA95+EA53+EA96+EA104+EA105</f>
        <v>-0</v>
      </c>
      <c r="EB106" s="35" t="n">
        <f aca="false">EB95+EB53+EB96+EB104+EB105</f>
        <v>-0</v>
      </c>
      <c r="EC106" s="35" t="n">
        <f aca="false">EC95+EC53+EC96+EC104+EC105</f>
        <v>-0</v>
      </c>
      <c r="ED106" s="35" t="n">
        <f aca="false">ED95+ED53+ED96+ED104+ED105</f>
        <v>-0</v>
      </c>
      <c r="EE106" s="35" t="n">
        <f aca="false">EE95+EE53+EE96+EE104+EE105</f>
        <v>-0</v>
      </c>
      <c r="EF106" s="35" t="n">
        <f aca="false">EF95+EF53+EF96+EF104+EF105</f>
        <v>-0</v>
      </c>
      <c r="EG106" s="35" t="n">
        <f aca="false">EG95+EG53+EG96+EG104+EG105</f>
        <v>-0</v>
      </c>
      <c r="EH106" s="35" t="n">
        <f aca="false">EH95+EH53+EH96+EH104+EH105</f>
        <v>-0</v>
      </c>
      <c r="EI106" s="35" t="n">
        <f aca="false">EI95+EI53+EI96+EI104+EI105</f>
        <v>-0</v>
      </c>
      <c r="EJ106" s="35" t="n">
        <f aca="false">EJ95+EJ53+EJ96+EJ104+EJ105</f>
        <v>-0</v>
      </c>
      <c r="EK106" s="35" t="n">
        <f aca="false">EK95+EK53+EK96+EK104+EK105</f>
        <v>-0</v>
      </c>
      <c r="EL106" s="35" t="n">
        <f aca="false">EL95+EL53+EL96+EL104+EL105</f>
        <v>-0</v>
      </c>
      <c r="EM106" s="35" t="n">
        <f aca="false">EM95+EM53+EM96+EM104+EM105</f>
        <v>-0</v>
      </c>
      <c r="EN106" s="35" t="n">
        <f aca="false">EN95+EN53+EN96+EN104+EN105</f>
        <v>-0</v>
      </c>
      <c r="EO106" s="35" t="n">
        <f aca="false">EO95+EO53+EO96+EO104+EO105</f>
        <v>-0</v>
      </c>
      <c r="EP106" s="35" t="n">
        <f aca="false">EP95+EP53+EP96+EP104+EP105</f>
        <v>-0</v>
      </c>
      <c r="EQ106" s="35" t="n">
        <f aca="false">EQ95+EQ53+EQ96+EQ104+EQ105</f>
        <v>-0</v>
      </c>
      <c r="ER106" s="35" t="n">
        <f aca="false">ER95+ER53+ER96+ER104+ER105</f>
        <v>-0</v>
      </c>
      <c r="ES106" s="35" t="n">
        <f aca="false">ES95+ES53+ES96+ES104+ES105</f>
        <v>-0</v>
      </c>
      <c r="ET106" s="35" t="n">
        <f aca="false">ET95+ET53+ET96+ET104+ET105</f>
        <v>-0</v>
      </c>
    </row>
    <row r="108" customFormat="false" ht="15" hidden="false" customHeight="false" outlineLevel="0" collapsed="false">
      <c r="A108" s="9" t="s">
        <v>13</v>
      </c>
      <c r="B108" s="9"/>
      <c r="C108" s="9" t="s">
        <v>371</v>
      </c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  <c r="CJ108" s="9"/>
      <c r="CK108" s="9"/>
      <c r="CL108" s="9"/>
      <c r="CM108" s="9"/>
      <c r="CN108" s="9"/>
      <c r="CO108" s="9"/>
      <c r="CP108" s="9"/>
      <c r="CQ108" s="9"/>
      <c r="CR108" s="9"/>
      <c r="CS108" s="9"/>
      <c r="CT108" s="9"/>
      <c r="CU108" s="9"/>
      <c r="CV108" s="9"/>
      <c r="CW108" s="9"/>
      <c r="CX108" s="9"/>
      <c r="CY108" s="9"/>
      <c r="CZ108" s="9"/>
      <c r="DA108" s="9"/>
      <c r="DB108" s="9"/>
      <c r="DC108" s="9"/>
      <c r="DD108" s="9"/>
      <c r="DE108" s="9"/>
      <c r="DF108" s="9"/>
      <c r="DG108" s="9"/>
      <c r="DH108" s="9"/>
      <c r="DI108" s="9"/>
      <c r="DJ108" s="9"/>
      <c r="DK108" s="9"/>
      <c r="DL108" s="9"/>
      <c r="DM108" s="9"/>
      <c r="DN108" s="9"/>
      <c r="DO108" s="9"/>
      <c r="DP108" s="9"/>
      <c r="DQ108" s="9"/>
      <c r="DR108" s="9"/>
      <c r="DS108" s="9"/>
      <c r="DT108" s="9"/>
      <c r="DU108" s="9"/>
      <c r="DV108" s="9"/>
      <c r="DW108" s="9"/>
      <c r="DX108" s="9"/>
      <c r="DY108" s="9"/>
      <c r="DZ108" s="9"/>
      <c r="EA108" s="9"/>
      <c r="EB108" s="9"/>
      <c r="EC108" s="9"/>
      <c r="ED108" s="9"/>
      <c r="EE108" s="9"/>
      <c r="EF108" s="9"/>
      <c r="EG108" s="9"/>
      <c r="EH108" s="9"/>
      <c r="EI108" s="9"/>
      <c r="EJ108" s="9"/>
      <c r="EK108" s="9"/>
      <c r="EL108" s="9"/>
      <c r="EM108" s="9"/>
      <c r="EN108" s="9"/>
      <c r="EO108" s="9"/>
      <c r="EP108" s="9"/>
      <c r="EQ108" s="9"/>
      <c r="ER108" s="9"/>
      <c r="ES108" s="9"/>
      <c r="ET108" s="9"/>
    </row>
    <row r="109" customFormat="false" ht="15" hidden="false" customHeight="false" outlineLevel="0" collapsed="false">
      <c r="C109" s="0" t="s">
        <v>562</v>
      </c>
      <c r="D109" s="11" t="s">
        <v>211</v>
      </c>
      <c r="J109" s="42" t="n">
        <f aca="false">ROUNDUP(YEARFRAC(In_COD,J$4),0)*(J$4&gt;In_COD)</f>
        <v>0</v>
      </c>
      <c r="K109" s="42" t="n">
        <f aca="false">ROUNDUP(YEARFRAC(In_COD,K$4),0)*(K$4&gt;In_COD)</f>
        <v>0</v>
      </c>
      <c r="L109" s="42" t="n">
        <f aca="false">ROUNDUP(YEARFRAC(In_COD,L$4),0)*(L$4&gt;In_COD)</f>
        <v>0</v>
      </c>
      <c r="M109" s="42" t="n">
        <f aca="false">ROUNDUP(YEARFRAC(In_COD,M$4),0)*(M$4&gt;In_COD)</f>
        <v>0</v>
      </c>
      <c r="N109" s="42" t="n">
        <f aca="false">ROUNDUP(YEARFRAC(In_COD,N$4),0)*(N$4&gt;In_COD)</f>
        <v>0</v>
      </c>
      <c r="O109" s="42" t="n">
        <f aca="false">ROUNDUP(YEARFRAC(In_COD,O$4),0)*(O$4&gt;In_COD)</f>
        <v>0</v>
      </c>
      <c r="P109" s="42" t="n">
        <f aca="false">ROUNDUP(YEARFRAC(In_COD,P$4),0)*(P$4&gt;In_COD)</f>
        <v>0</v>
      </c>
      <c r="Q109" s="42" t="n">
        <f aca="false">ROUNDUP(YEARFRAC(In_COD,Q$4),0)*(Q$4&gt;In_COD)</f>
        <v>0</v>
      </c>
      <c r="R109" s="42" t="n">
        <f aca="false">ROUNDUP(YEARFRAC(In_COD,R$4),0)*(R$4&gt;In_COD)</f>
        <v>0</v>
      </c>
      <c r="S109" s="42" t="n">
        <f aca="false">ROUNDUP(YEARFRAC(In_COD,S$4),0)*(S$4&gt;In_COD)</f>
        <v>0</v>
      </c>
      <c r="T109" s="42" t="n">
        <f aca="false">ROUNDUP(YEARFRAC(In_COD,T$4),0)*(T$4&gt;In_COD)</f>
        <v>0</v>
      </c>
      <c r="U109" s="42" t="n">
        <f aca="false">ROUNDUP(YEARFRAC(In_COD,U$4),0)*(U$4&gt;In_COD)</f>
        <v>0</v>
      </c>
      <c r="V109" s="42" t="n">
        <f aca="false">ROUNDUP(YEARFRAC(In_COD,V$4),0)*(V$4&gt;In_COD)</f>
        <v>0</v>
      </c>
      <c r="W109" s="42" t="n">
        <f aca="false">ROUNDUP(YEARFRAC(In_COD,W$4),0)*(W$4&gt;In_COD)</f>
        <v>0</v>
      </c>
      <c r="X109" s="42" t="n">
        <f aca="false">ROUNDUP(YEARFRAC(In_COD,X$4),0)*(X$4&gt;In_COD)</f>
        <v>0</v>
      </c>
      <c r="Y109" s="42" t="n">
        <f aca="false">ROUNDUP(YEARFRAC(In_COD,Y$4),0)*(Y$4&gt;In_COD)</f>
        <v>0</v>
      </c>
      <c r="Z109" s="42" t="n">
        <f aca="false">ROUNDUP(YEARFRAC(In_COD,Z$4),0)*(Z$4&gt;In_COD)</f>
        <v>0</v>
      </c>
      <c r="AA109" s="42" t="n">
        <f aca="false">ROUNDUP(YEARFRAC(In_COD,AA$4),0)*(AA$4&gt;In_COD)</f>
        <v>0</v>
      </c>
      <c r="AB109" s="42" t="n">
        <f aca="false">ROUNDUP(YEARFRAC(In_COD,AB$4),0)*(AB$4&gt;In_COD)</f>
        <v>0</v>
      </c>
      <c r="AC109" s="42" t="n">
        <f aca="false">ROUNDUP(YEARFRAC(In_COD,AC$4),0)*(AC$4&gt;In_COD)</f>
        <v>0</v>
      </c>
      <c r="AD109" s="42" t="n">
        <f aca="false">ROUNDUP(YEARFRAC(In_COD,AD$4),0)*(AD$4&gt;In_COD)</f>
        <v>0</v>
      </c>
      <c r="AE109" s="42" t="n">
        <f aca="false">ROUNDUP(YEARFRAC(In_COD,AE$4),0)*(AE$4&gt;In_COD)</f>
        <v>1</v>
      </c>
      <c r="AF109" s="42" t="n">
        <f aca="false">ROUNDUP(YEARFRAC(In_COD,AF$4),0)*(AF$4&gt;In_COD)</f>
        <v>1</v>
      </c>
      <c r="AG109" s="42" t="n">
        <f aca="false">ROUNDUP(YEARFRAC(In_COD,AG$4),0)*(AG$4&gt;In_COD)</f>
        <v>1</v>
      </c>
      <c r="AH109" s="42" t="n">
        <f aca="false">ROUNDUP(YEARFRAC(In_COD,AH$4),0)*(AH$4&gt;In_COD)</f>
        <v>1</v>
      </c>
      <c r="AI109" s="42" t="n">
        <f aca="false">ROUNDUP(YEARFRAC(In_COD,AI$4),0)*(AI$4&gt;In_COD)</f>
        <v>2</v>
      </c>
      <c r="AJ109" s="42" t="n">
        <f aca="false">ROUNDUP(YEARFRAC(In_COD,AJ$4),0)*(AJ$4&gt;In_COD)</f>
        <v>2</v>
      </c>
      <c r="AK109" s="42" t="n">
        <f aca="false">ROUNDUP(YEARFRAC(In_COD,AK$4),0)*(AK$4&gt;In_COD)</f>
        <v>2</v>
      </c>
      <c r="AL109" s="42" t="n">
        <f aca="false">ROUNDUP(YEARFRAC(In_COD,AL$4),0)*(AL$4&gt;In_COD)</f>
        <v>2</v>
      </c>
      <c r="AM109" s="42" t="n">
        <f aca="false">ROUNDUP(YEARFRAC(In_COD,AM$4),0)*(AM$4&gt;In_COD)</f>
        <v>3</v>
      </c>
      <c r="AN109" s="42" t="n">
        <f aca="false">ROUNDUP(YEARFRAC(In_COD,AN$4),0)*(AN$4&gt;In_COD)</f>
        <v>3</v>
      </c>
      <c r="AO109" s="42" t="n">
        <f aca="false">ROUNDUP(YEARFRAC(In_COD,AO$4),0)*(AO$4&gt;In_COD)</f>
        <v>3</v>
      </c>
      <c r="AP109" s="42" t="n">
        <f aca="false">ROUNDUP(YEARFRAC(In_COD,AP$4),0)*(AP$4&gt;In_COD)</f>
        <v>3</v>
      </c>
      <c r="AQ109" s="42" t="n">
        <f aca="false">ROUNDUP(YEARFRAC(In_COD,AQ$4),0)*(AQ$4&gt;In_COD)</f>
        <v>4</v>
      </c>
      <c r="AR109" s="42" t="n">
        <f aca="false">ROUNDUP(YEARFRAC(In_COD,AR$4),0)*(AR$4&gt;In_COD)</f>
        <v>4</v>
      </c>
      <c r="AS109" s="42" t="n">
        <f aca="false">ROUNDUP(YEARFRAC(In_COD,AS$4),0)*(AS$4&gt;In_COD)</f>
        <v>4</v>
      </c>
      <c r="AT109" s="42" t="n">
        <f aca="false">ROUNDUP(YEARFRAC(In_COD,AT$4),0)*(AT$4&gt;In_COD)</f>
        <v>4</v>
      </c>
      <c r="AU109" s="42" t="n">
        <f aca="false">ROUNDUP(YEARFRAC(In_COD,AU$4),0)*(AU$4&gt;In_COD)</f>
        <v>5</v>
      </c>
      <c r="AV109" s="42" t="n">
        <f aca="false">ROUNDUP(YEARFRAC(In_COD,AV$4),0)*(AV$4&gt;In_COD)</f>
        <v>5</v>
      </c>
      <c r="AW109" s="42" t="n">
        <f aca="false">ROUNDUP(YEARFRAC(In_COD,AW$4),0)*(AW$4&gt;In_COD)</f>
        <v>5</v>
      </c>
      <c r="AX109" s="42" t="n">
        <f aca="false">ROUNDUP(YEARFRAC(In_COD,AX$4),0)*(AX$4&gt;In_COD)</f>
        <v>5</v>
      </c>
      <c r="AY109" s="42" t="n">
        <f aca="false">ROUNDUP(YEARFRAC(In_COD,AY$4),0)*(AY$4&gt;In_COD)</f>
        <v>6</v>
      </c>
      <c r="AZ109" s="42" t="n">
        <f aca="false">ROUNDUP(YEARFRAC(In_COD,AZ$4),0)*(AZ$4&gt;In_COD)</f>
        <v>6</v>
      </c>
      <c r="BA109" s="42" t="n">
        <f aca="false">ROUNDUP(YEARFRAC(In_COD,BA$4),0)*(BA$4&gt;In_COD)</f>
        <v>6</v>
      </c>
      <c r="BB109" s="42" t="n">
        <f aca="false">ROUNDUP(YEARFRAC(In_COD,BB$4),0)*(BB$4&gt;In_COD)</f>
        <v>6</v>
      </c>
      <c r="BC109" s="42" t="n">
        <f aca="false">ROUNDUP(YEARFRAC(In_COD,BC$4),0)*(BC$4&gt;In_COD)</f>
        <v>7</v>
      </c>
      <c r="BD109" s="42" t="n">
        <f aca="false">ROUNDUP(YEARFRAC(In_COD,BD$4),0)*(BD$4&gt;In_COD)</f>
        <v>7</v>
      </c>
      <c r="BE109" s="42" t="n">
        <f aca="false">ROUNDUP(YEARFRAC(In_COD,BE$4),0)*(BE$4&gt;In_COD)</f>
        <v>7</v>
      </c>
      <c r="BF109" s="42" t="n">
        <f aca="false">ROUNDUP(YEARFRAC(In_COD,BF$4),0)*(BF$4&gt;In_COD)</f>
        <v>7</v>
      </c>
      <c r="BG109" s="42" t="n">
        <f aca="false">ROUNDUP(YEARFRAC(In_COD,BG$4),0)*(BG$4&gt;In_COD)</f>
        <v>8</v>
      </c>
      <c r="BH109" s="42" t="n">
        <f aca="false">ROUNDUP(YEARFRAC(In_COD,BH$4),0)*(BH$4&gt;In_COD)</f>
        <v>8</v>
      </c>
      <c r="BI109" s="42" t="n">
        <f aca="false">ROUNDUP(YEARFRAC(In_COD,BI$4),0)*(BI$4&gt;In_COD)</f>
        <v>8</v>
      </c>
      <c r="BJ109" s="42" t="n">
        <f aca="false">ROUNDUP(YEARFRAC(In_COD,BJ$4),0)*(BJ$4&gt;In_COD)</f>
        <v>8</v>
      </c>
      <c r="BK109" s="42" t="n">
        <f aca="false">ROUNDUP(YEARFRAC(In_COD,BK$4),0)*(BK$4&gt;In_COD)</f>
        <v>9</v>
      </c>
      <c r="BL109" s="42" t="n">
        <f aca="false">ROUNDUP(YEARFRAC(In_COD,BL$4),0)*(BL$4&gt;In_COD)</f>
        <v>9</v>
      </c>
      <c r="BM109" s="42" t="n">
        <f aca="false">ROUNDUP(YEARFRAC(In_COD,BM$4),0)*(BM$4&gt;In_COD)</f>
        <v>9</v>
      </c>
      <c r="BN109" s="42" t="n">
        <f aca="false">ROUNDUP(YEARFRAC(In_COD,BN$4),0)*(BN$4&gt;In_COD)</f>
        <v>9</v>
      </c>
      <c r="BO109" s="42" t="n">
        <f aca="false">ROUNDUP(YEARFRAC(In_COD,BO$4),0)*(BO$4&gt;In_COD)</f>
        <v>10</v>
      </c>
      <c r="BP109" s="42" t="n">
        <f aca="false">ROUNDUP(YEARFRAC(In_COD,BP$4),0)*(BP$4&gt;In_COD)</f>
        <v>10</v>
      </c>
      <c r="BQ109" s="42" t="n">
        <f aca="false">ROUNDUP(YEARFRAC(In_COD,BQ$4),0)*(BQ$4&gt;In_COD)</f>
        <v>10</v>
      </c>
      <c r="BR109" s="42" t="n">
        <f aca="false">ROUNDUP(YEARFRAC(In_COD,BR$4),0)*(BR$4&gt;In_COD)</f>
        <v>10</v>
      </c>
      <c r="BS109" s="42" t="n">
        <f aca="false">ROUNDUP(YEARFRAC(In_COD,BS$4),0)*(BS$4&gt;In_COD)</f>
        <v>11</v>
      </c>
      <c r="BT109" s="42" t="n">
        <f aca="false">ROUNDUP(YEARFRAC(In_COD,BT$4),0)*(BT$4&gt;In_COD)</f>
        <v>11</v>
      </c>
      <c r="BU109" s="42" t="n">
        <f aca="false">ROUNDUP(YEARFRAC(In_COD,BU$4),0)*(BU$4&gt;In_COD)</f>
        <v>11</v>
      </c>
      <c r="BV109" s="42" t="n">
        <f aca="false">ROUNDUP(YEARFRAC(In_COD,BV$4),0)*(BV$4&gt;In_COD)</f>
        <v>11</v>
      </c>
      <c r="BW109" s="42" t="n">
        <f aca="false">ROUNDUP(YEARFRAC(In_COD,BW$4),0)*(BW$4&gt;In_COD)</f>
        <v>12</v>
      </c>
      <c r="BX109" s="42" t="n">
        <f aca="false">ROUNDUP(YEARFRAC(In_COD,BX$4),0)*(BX$4&gt;In_COD)</f>
        <v>12</v>
      </c>
      <c r="BY109" s="42" t="n">
        <f aca="false">ROUNDUP(YEARFRAC(In_COD,BY$4),0)*(BY$4&gt;In_COD)</f>
        <v>12</v>
      </c>
      <c r="BZ109" s="42" t="n">
        <f aca="false">ROUNDUP(YEARFRAC(In_COD,BZ$4),0)*(BZ$4&gt;In_COD)</f>
        <v>12</v>
      </c>
      <c r="CA109" s="42" t="n">
        <f aca="false">ROUNDUP(YEARFRAC(In_COD,CA$4),0)*(CA$4&gt;In_COD)</f>
        <v>13</v>
      </c>
      <c r="CB109" s="42" t="n">
        <f aca="false">ROUNDUP(YEARFRAC(In_COD,CB$4),0)*(CB$4&gt;In_COD)</f>
        <v>13</v>
      </c>
      <c r="CC109" s="42" t="n">
        <f aca="false">ROUNDUP(YEARFRAC(In_COD,CC$4),0)*(CC$4&gt;In_COD)</f>
        <v>13</v>
      </c>
      <c r="CD109" s="42" t="n">
        <f aca="false">ROUNDUP(YEARFRAC(In_COD,CD$4),0)*(CD$4&gt;In_COD)</f>
        <v>13</v>
      </c>
      <c r="CE109" s="42" t="n">
        <f aca="false">ROUNDUP(YEARFRAC(In_COD,CE$4),0)*(CE$4&gt;In_COD)</f>
        <v>14</v>
      </c>
      <c r="CF109" s="42" t="n">
        <f aca="false">ROUNDUP(YEARFRAC(In_COD,CF$4),0)*(CF$4&gt;In_COD)</f>
        <v>14</v>
      </c>
      <c r="CG109" s="42" t="n">
        <f aca="false">ROUNDUP(YEARFRAC(In_COD,CG$4),0)*(CG$4&gt;In_COD)</f>
        <v>14</v>
      </c>
      <c r="CH109" s="42" t="n">
        <f aca="false">ROUNDUP(YEARFRAC(In_COD,CH$4),0)*(CH$4&gt;In_COD)</f>
        <v>14</v>
      </c>
      <c r="CI109" s="42" t="n">
        <f aca="false">ROUNDUP(YEARFRAC(In_COD,CI$4),0)*(CI$4&gt;In_COD)</f>
        <v>15</v>
      </c>
      <c r="CJ109" s="42" t="n">
        <f aca="false">ROUNDUP(YEARFRAC(In_COD,CJ$4),0)*(CJ$4&gt;In_COD)</f>
        <v>15</v>
      </c>
      <c r="CK109" s="42" t="n">
        <f aca="false">ROUNDUP(YEARFRAC(In_COD,CK$4),0)*(CK$4&gt;In_COD)</f>
        <v>15</v>
      </c>
      <c r="CL109" s="42" t="n">
        <f aca="false">ROUNDUP(YEARFRAC(In_COD,CL$4),0)*(CL$4&gt;In_COD)</f>
        <v>15</v>
      </c>
      <c r="CM109" s="42" t="n">
        <f aca="false">ROUNDUP(YEARFRAC(In_COD,CM$4),0)*(CM$4&gt;In_COD)</f>
        <v>16</v>
      </c>
      <c r="CN109" s="42" t="n">
        <f aca="false">ROUNDUP(YEARFRAC(In_COD,CN$4),0)*(CN$4&gt;In_COD)</f>
        <v>16</v>
      </c>
      <c r="CO109" s="42" t="n">
        <f aca="false">ROUNDUP(YEARFRAC(In_COD,CO$4),0)*(CO$4&gt;In_COD)</f>
        <v>16</v>
      </c>
      <c r="CP109" s="42" t="n">
        <f aca="false">ROUNDUP(YEARFRAC(In_COD,CP$4),0)*(CP$4&gt;In_COD)</f>
        <v>16</v>
      </c>
      <c r="CQ109" s="42" t="n">
        <f aca="false">ROUNDUP(YEARFRAC(In_COD,CQ$4),0)*(CQ$4&gt;In_COD)</f>
        <v>17</v>
      </c>
      <c r="CR109" s="42" t="n">
        <f aca="false">ROUNDUP(YEARFRAC(In_COD,CR$4),0)*(CR$4&gt;In_COD)</f>
        <v>17</v>
      </c>
      <c r="CS109" s="42" t="n">
        <f aca="false">ROUNDUP(YEARFRAC(In_COD,CS$4),0)*(CS$4&gt;In_COD)</f>
        <v>17</v>
      </c>
      <c r="CT109" s="42" t="n">
        <f aca="false">ROUNDUP(YEARFRAC(In_COD,CT$4),0)*(CT$4&gt;In_COD)</f>
        <v>17</v>
      </c>
      <c r="CU109" s="42" t="n">
        <f aca="false">ROUNDUP(YEARFRAC(In_COD,CU$4),0)*(CU$4&gt;In_COD)</f>
        <v>18</v>
      </c>
      <c r="CV109" s="42" t="n">
        <f aca="false">ROUNDUP(YEARFRAC(In_COD,CV$4),0)*(CV$4&gt;In_COD)</f>
        <v>18</v>
      </c>
      <c r="CW109" s="42" t="n">
        <f aca="false">ROUNDUP(YEARFRAC(In_COD,CW$4),0)*(CW$4&gt;In_COD)</f>
        <v>18</v>
      </c>
      <c r="CX109" s="42" t="n">
        <f aca="false">ROUNDUP(YEARFRAC(In_COD,CX$4),0)*(CX$4&gt;In_COD)</f>
        <v>18</v>
      </c>
      <c r="CY109" s="42" t="n">
        <f aca="false">ROUNDUP(YEARFRAC(In_COD,CY$4),0)*(CY$4&gt;In_COD)</f>
        <v>19</v>
      </c>
      <c r="CZ109" s="42" t="n">
        <f aca="false">ROUNDUP(YEARFRAC(In_COD,CZ$4),0)*(CZ$4&gt;In_COD)</f>
        <v>19</v>
      </c>
      <c r="DA109" s="42" t="n">
        <f aca="false">ROUNDUP(YEARFRAC(In_COD,DA$4),0)*(DA$4&gt;In_COD)</f>
        <v>19</v>
      </c>
      <c r="DB109" s="42" t="n">
        <f aca="false">ROUNDUP(YEARFRAC(In_COD,DB$4),0)*(DB$4&gt;In_COD)</f>
        <v>19</v>
      </c>
      <c r="DC109" s="42" t="n">
        <f aca="false">ROUNDUP(YEARFRAC(In_COD,DC$4),0)*(DC$4&gt;In_COD)</f>
        <v>20</v>
      </c>
      <c r="DD109" s="42" t="n">
        <f aca="false">ROUNDUP(YEARFRAC(In_COD,DD$4),0)*(DD$4&gt;In_COD)</f>
        <v>20</v>
      </c>
      <c r="DE109" s="42" t="n">
        <f aca="false">ROUNDUP(YEARFRAC(In_COD,DE$4),0)*(DE$4&gt;In_COD)</f>
        <v>20</v>
      </c>
      <c r="DF109" s="42" t="n">
        <f aca="false">ROUNDUP(YEARFRAC(In_COD,DF$4),0)*(DF$4&gt;In_COD)</f>
        <v>20</v>
      </c>
      <c r="DG109" s="42" t="n">
        <f aca="false">ROUNDUP(YEARFRAC(In_COD,DG$4),0)*(DG$4&gt;In_COD)</f>
        <v>21</v>
      </c>
      <c r="DH109" s="42" t="n">
        <f aca="false">ROUNDUP(YEARFRAC(In_COD,DH$4),0)*(DH$4&gt;In_COD)</f>
        <v>21</v>
      </c>
      <c r="DI109" s="42" t="n">
        <f aca="false">ROUNDUP(YEARFRAC(In_COD,DI$4),0)*(DI$4&gt;In_COD)</f>
        <v>21</v>
      </c>
      <c r="DJ109" s="42" t="n">
        <f aca="false">ROUNDUP(YEARFRAC(In_COD,DJ$4),0)*(DJ$4&gt;In_COD)</f>
        <v>21</v>
      </c>
      <c r="DK109" s="42" t="n">
        <f aca="false">ROUNDUP(YEARFRAC(In_COD,DK$4),0)*(DK$4&gt;In_COD)</f>
        <v>22</v>
      </c>
      <c r="DL109" s="42" t="n">
        <f aca="false">ROUNDUP(YEARFRAC(In_COD,DL$4),0)*(DL$4&gt;In_COD)</f>
        <v>22</v>
      </c>
      <c r="DM109" s="42" t="n">
        <f aca="false">ROUNDUP(YEARFRAC(In_COD,DM$4),0)*(DM$4&gt;In_COD)</f>
        <v>22</v>
      </c>
      <c r="DN109" s="42" t="n">
        <f aca="false">ROUNDUP(YEARFRAC(In_COD,DN$4),0)*(DN$4&gt;In_COD)</f>
        <v>22</v>
      </c>
      <c r="DO109" s="42" t="n">
        <f aca="false">ROUNDUP(YEARFRAC(In_COD,DO$4),0)*(DO$4&gt;In_COD)</f>
        <v>23</v>
      </c>
      <c r="DP109" s="42" t="n">
        <f aca="false">ROUNDUP(YEARFRAC(In_COD,DP$4),0)*(DP$4&gt;In_COD)</f>
        <v>23</v>
      </c>
      <c r="DQ109" s="42" t="n">
        <f aca="false">ROUNDUP(YEARFRAC(In_COD,DQ$4),0)*(DQ$4&gt;In_COD)</f>
        <v>23</v>
      </c>
      <c r="DR109" s="42" t="n">
        <f aca="false">ROUNDUP(YEARFRAC(In_COD,DR$4),0)*(DR$4&gt;In_COD)</f>
        <v>23</v>
      </c>
      <c r="DS109" s="42" t="n">
        <f aca="false">ROUNDUP(YEARFRAC(In_COD,DS$4),0)*(DS$4&gt;In_COD)</f>
        <v>24</v>
      </c>
      <c r="DT109" s="42" t="n">
        <f aca="false">ROUNDUP(YEARFRAC(In_COD,DT$4),0)*(DT$4&gt;In_COD)</f>
        <v>24</v>
      </c>
      <c r="DU109" s="42" t="n">
        <f aca="false">ROUNDUP(YEARFRAC(In_COD,DU$4),0)*(DU$4&gt;In_COD)</f>
        <v>24</v>
      </c>
      <c r="DV109" s="42" t="n">
        <f aca="false">ROUNDUP(YEARFRAC(In_COD,DV$4),0)*(DV$4&gt;In_COD)</f>
        <v>24</v>
      </c>
      <c r="DW109" s="42" t="n">
        <f aca="false">ROUNDUP(YEARFRAC(In_COD,DW$4),0)*(DW$4&gt;In_COD)</f>
        <v>25</v>
      </c>
      <c r="DX109" s="42" t="n">
        <f aca="false">ROUNDUP(YEARFRAC(In_COD,DX$4),0)*(DX$4&gt;In_COD)</f>
        <v>25</v>
      </c>
      <c r="DY109" s="42" t="n">
        <f aca="false">ROUNDUP(YEARFRAC(In_COD,DY$4),0)*(DY$4&gt;In_COD)</f>
        <v>25</v>
      </c>
      <c r="DZ109" s="42" t="n">
        <f aca="false">ROUNDUP(YEARFRAC(In_COD,DZ$4),0)*(DZ$4&gt;In_COD)</f>
        <v>25</v>
      </c>
      <c r="EA109" s="42" t="n">
        <f aca="false">ROUNDUP(YEARFRAC(In_COD,EA$4),0)*(EA$4&gt;In_COD)</f>
        <v>26</v>
      </c>
      <c r="EB109" s="42" t="n">
        <f aca="false">ROUNDUP(YEARFRAC(In_COD,EB$4),0)*(EB$4&gt;In_COD)</f>
        <v>26</v>
      </c>
      <c r="EC109" s="42" t="n">
        <f aca="false">ROUNDUP(YEARFRAC(In_COD,EC$4),0)*(EC$4&gt;In_COD)</f>
        <v>26</v>
      </c>
      <c r="ED109" s="42" t="n">
        <f aca="false">ROUNDUP(YEARFRAC(In_COD,ED$4),0)*(ED$4&gt;In_COD)</f>
        <v>26</v>
      </c>
      <c r="EE109" s="42" t="n">
        <f aca="false">ROUNDUP(YEARFRAC(In_COD,EE$4),0)*(EE$4&gt;In_COD)</f>
        <v>27</v>
      </c>
      <c r="EF109" s="42" t="n">
        <f aca="false">ROUNDUP(YEARFRAC(In_COD,EF$4),0)*(EF$4&gt;In_COD)</f>
        <v>27</v>
      </c>
      <c r="EG109" s="42" t="n">
        <f aca="false">ROUNDUP(YEARFRAC(In_COD,EG$4),0)*(EG$4&gt;In_COD)</f>
        <v>27</v>
      </c>
      <c r="EH109" s="42" t="n">
        <f aca="false">ROUNDUP(YEARFRAC(In_COD,EH$4),0)*(EH$4&gt;In_COD)</f>
        <v>27</v>
      </c>
      <c r="EI109" s="42" t="n">
        <f aca="false">ROUNDUP(YEARFRAC(In_COD,EI$4),0)*(EI$4&gt;In_COD)</f>
        <v>28</v>
      </c>
      <c r="EJ109" s="42" t="n">
        <f aca="false">ROUNDUP(YEARFRAC(In_COD,EJ$4),0)*(EJ$4&gt;In_COD)</f>
        <v>28</v>
      </c>
      <c r="EK109" s="42" t="n">
        <f aca="false">ROUNDUP(YEARFRAC(In_COD,EK$4),0)*(EK$4&gt;In_COD)</f>
        <v>28</v>
      </c>
      <c r="EL109" s="42" t="n">
        <f aca="false">ROUNDUP(YEARFRAC(In_COD,EL$4),0)*(EL$4&gt;In_COD)</f>
        <v>28</v>
      </c>
      <c r="EM109" s="42" t="n">
        <f aca="false">ROUNDUP(YEARFRAC(In_COD,EM$4),0)*(EM$4&gt;In_COD)</f>
        <v>29</v>
      </c>
      <c r="EN109" s="42" t="n">
        <f aca="false">ROUNDUP(YEARFRAC(In_COD,EN$4),0)*(EN$4&gt;In_COD)</f>
        <v>29</v>
      </c>
      <c r="EO109" s="42" t="n">
        <f aca="false">ROUNDUP(YEARFRAC(In_COD,EO$4),0)*(EO$4&gt;In_COD)</f>
        <v>29</v>
      </c>
      <c r="EP109" s="42" t="n">
        <f aca="false">ROUNDUP(YEARFRAC(In_COD,EP$4),0)*(EP$4&gt;In_COD)</f>
        <v>29</v>
      </c>
      <c r="EQ109" s="42" t="n">
        <f aca="false">ROUNDUP(YEARFRAC(In_COD,EQ$4),0)*(EQ$4&gt;In_COD)</f>
        <v>30</v>
      </c>
      <c r="ER109" s="42" t="n">
        <f aca="false">ROUNDUP(YEARFRAC(In_COD,ER$4),0)*(ER$4&gt;In_COD)</f>
        <v>30</v>
      </c>
      <c r="ES109" s="42" t="n">
        <f aca="false">ROUNDUP(YEARFRAC(In_COD,ES$4),0)*(ES$4&gt;In_COD)</f>
        <v>30</v>
      </c>
      <c r="ET109" s="42" t="n">
        <f aca="false">ROUNDUP(YEARFRAC(In_COD,ET$4),0)*(ET$4&gt;In_COD)</f>
        <v>30</v>
      </c>
    </row>
    <row r="110" customFormat="false" ht="15" hidden="false" customHeight="false" outlineLevel="0" collapsed="false">
      <c r="C110" s="0" t="s">
        <v>563</v>
      </c>
      <c r="D110" s="11" t="s">
        <v>482</v>
      </c>
      <c r="J110" s="52" t="n">
        <f aca="false">(1+In_Opex_Esc)^(J$7-YEAR(In_COD))</f>
        <v>0.883854287609517</v>
      </c>
      <c r="K110" s="52" t="n">
        <f aca="false">(1+In_Opex_Esc)^(K$7-YEAR(In_COD))</f>
        <v>0.883854287609517</v>
      </c>
      <c r="L110" s="52" t="n">
        <f aca="false">(1+In_Opex_Esc)^(L$7-YEAR(In_COD))</f>
        <v>0.905950644799755</v>
      </c>
      <c r="M110" s="52" t="n">
        <f aca="false">(1+In_Opex_Esc)^(M$7-YEAR(In_COD))</f>
        <v>0.905950644799755</v>
      </c>
      <c r="N110" s="52" t="n">
        <f aca="false">(1+In_Opex_Esc)^(N$7-YEAR(In_COD))</f>
        <v>0.905950644799755</v>
      </c>
      <c r="O110" s="52" t="n">
        <f aca="false">(1+In_Opex_Esc)^(O$7-YEAR(In_COD))</f>
        <v>0.905950644799755</v>
      </c>
      <c r="P110" s="52" t="n">
        <f aca="false">(1+In_Opex_Esc)^(P$7-YEAR(In_COD))</f>
        <v>0.928599410919749</v>
      </c>
      <c r="Q110" s="52" t="n">
        <f aca="false">(1+In_Opex_Esc)^(Q$7-YEAR(In_COD))</f>
        <v>0.928599410919749</v>
      </c>
      <c r="R110" s="52" t="n">
        <f aca="false">(1+In_Opex_Esc)^(R$7-YEAR(In_COD))</f>
        <v>0.928599410919749</v>
      </c>
      <c r="S110" s="52" t="n">
        <f aca="false">(1+In_Opex_Esc)^(S$7-YEAR(In_COD))</f>
        <v>0.928599410919749</v>
      </c>
      <c r="T110" s="52" t="n">
        <f aca="false">(1+In_Opex_Esc)^(T$7-YEAR(In_COD))</f>
        <v>0.951814396192743</v>
      </c>
      <c r="U110" s="52" t="n">
        <f aca="false">(1+In_Opex_Esc)^(U$7-YEAR(In_COD))</f>
        <v>0.951814396192743</v>
      </c>
      <c r="V110" s="52" t="n">
        <f aca="false">(1+In_Opex_Esc)^(V$7-YEAR(In_COD))</f>
        <v>0.951814396192743</v>
      </c>
      <c r="W110" s="52" t="n">
        <f aca="false">(1+In_Opex_Esc)^(W$7-YEAR(In_COD))</f>
        <v>0.951814396192743</v>
      </c>
      <c r="X110" s="52" t="n">
        <f aca="false">(1+In_Opex_Esc)^(X$7-YEAR(In_COD))</f>
        <v>0.975609756097561</v>
      </c>
      <c r="Y110" s="52" t="n">
        <f aca="false">(1+In_Opex_Esc)^(Y$7-YEAR(In_COD))</f>
        <v>0.975609756097561</v>
      </c>
      <c r="Z110" s="52" t="n">
        <f aca="false">(1+In_Opex_Esc)^(Z$7-YEAR(In_COD))</f>
        <v>0.975609756097561</v>
      </c>
      <c r="AA110" s="52" t="n">
        <f aca="false">(1+In_Opex_Esc)^(AA$7-YEAR(In_COD))</f>
        <v>0.975609756097561</v>
      </c>
      <c r="AB110" s="52" t="n">
        <f aca="false">(1+In_Opex_Esc)^(AB$7-YEAR(In_COD))</f>
        <v>1</v>
      </c>
      <c r="AC110" s="52" t="n">
        <f aca="false">(1+In_Opex_Esc)^(AC$7-YEAR(In_COD))</f>
        <v>1</v>
      </c>
      <c r="AD110" s="52" t="n">
        <f aca="false">(1+In_Opex_Esc)^(AD$7-YEAR(In_COD))</f>
        <v>1</v>
      </c>
      <c r="AE110" s="52" t="n">
        <f aca="false">(1+In_Opex_Esc)^(AE$7-YEAR(In_COD))</f>
        <v>1</v>
      </c>
      <c r="AF110" s="52" t="n">
        <f aca="false">(1+In_Opex_Esc)^(AF$7-YEAR(In_COD))</f>
        <v>1.025</v>
      </c>
      <c r="AG110" s="52" t="n">
        <f aca="false">(1+In_Opex_Esc)^(AG$7-YEAR(In_COD))</f>
        <v>1.025</v>
      </c>
      <c r="AH110" s="52" t="n">
        <f aca="false">(1+In_Opex_Esc)^(AH$7-YEAR(In_COD))</f>
        <v>1.025</v>
      </c>
      <c r="AI110" s="52" t="n">
        <f aca="false">(1+In_Opex_Esc)^(AI$7-YEAR(In_COD))</f>
        <v>1.025</v>
      </c>
      <c r="AJ110" s="52" t="n">
        <f aca="false">(1+In_Opex_Esc)^(AJ$7-YEAR(In_COD))</f>
        <v>1.050625</v>
      </c>
      <c r="AK110" s="52" t="n">
        <f aca="false">(1+In_Opex_Esc)^(AK$7-YEAR(In_COD))</f>
        <v>1.050625</v>
      </c>
      <c r="AL110" s="52" t="n">
        <f aca="false">(1+In_Opex_Esc)^(AL$7-YEAR(In_COD))</f>
        <v>1.050625</v>
      </c>
      <c r="AM110" s="52" t="n">
        <f aca="false">(1+In_Opex_Esc)^(AM$7-YEAR(In_COD))</f>
        <v>1.050625</v>
      </c>
      <c r="AN110" s="52" t="n">
        <f aca="false">(1+In_Opex_Esc)^(AN$7-YEAR(In_COD))</f>
        <v>1.076890625</v>
      </c>
      <c r="AO110" s="52" t="n">
        <f aca="false">(1+In_Opex_Esc)^(AO$7-YEAR(In_COD))</f>
        <v>1.076890625</v>
      </c>
      <c r="AP110" s="52" t="n">
        <f aca="false">(1+In_Opex_Esc)^(AP$7-YEAR(In_COD))</f>
        <v>1.076890625</v>
      </c>
      <c r="AQ110" s="52" t="n">
        <f aca="false">(1+In_Opex_Esc)^(AQ$7-YEAR(In_COD))</f>
        <v>1.076890625</v>
      </c>
      <c r="AR110" s="52" t="n">
        <f aca="false">(1+In_Opex_Esc)^(AR$7-YEAR(In_COD))</f>
        <v>1.103812890625</v>
      </c>
      <c r="AS110" s="52" t="n">
        <f aca="false">(1+In_Opex_Esc)^(AS$7-YEAR(In_COD))</f>
        <v>1.103812890625</v>
      </c>
      <c r="AT110" s="52" t="n">
        <f aca="false">(1+In_Opex_Esc)^(AT$7-YEAR(In_COD))</f>
        <v>1.103812890625</v>
      </c>
      <c r="AU110" s="52" t="n">
        <f aca="false">(1+In_Opex_Esc)^(AU$7-YEAR(In_COD))</f>
        <v>1.103812890625</v>
      </c>
      <c r="AV110" s="52" t="n">
        <f aca="false">(1+In_Opex_Esc)^(AV$7-YEAR(In_COD))</f>
        <v>1.13140821289062</v>
      </c>
      <c r="AW110" s="52" t="n">
        <f aca="false">(1+In_Opex_Esc)^(AW$7-YEAR(In_COD))</f>
        <v>1.13140821289062</v>
      </c>
      <c r="AX110" s="52" t="n">
        <f aca="false">(1+In_Opex_Esc)^(AX$7-YEAR(In_COD))</f>
        <v>1.13140821289062</v>
      </c>
      <c r="AY110" s="52" t="n">
        <f aca="false">(1+In_Opex_Esc)^(AY$7-YEAR(In_COD))</f>
        <v>1.13140821289062</v>
      </c>
      <c r="AZ110" s="52" t="n">
        <f aca="false">(1+In_Opex_Esc)^(AZ$7-YEAR(In_COD))</f>
        <v>1.15969341821289</v>
      </c>
      <c r="BA110" s="52" t="n">
        <f aca="false">(1+In_Opex_Esc)^(BA$7-YEAR(In_COD))</f>
        <v>1.15969341821289</v>
      </c>
      <c r="BB110" s="52" t="n">
        <f aca="false">(1+In_Opex_Esc)^(BB$7-YEAR(In_COD))</f>
        <v>1.15969341821289</v>
      </c>
      <c r="BC110" s="52" t="n">
        <f aca="false">(1+In_Opex_Esc)^(BC$7-YEAR(In_COD))</f>
        <v>1.15969341821289</v>
      </c>
      <c r="BD110" s="52" t="n">
        <f aca="false">(1+In_Opex_Esc)^(BD$7-YEAR(In_COD))</f>
        <v>1.18868575366821</v>
      </c>
      <c r="BE110" s="52" t="n">
        <f aca="false">(1+In_Opex_Esc)^(BE$7-YEAR(In_COD))</f>
        <v>1.18868575366821</v>
      </c>
      <c r="BF110" s="52" t="n">
        <f aca="false">(1+In_Opex_Esc)^(BF$7-YEAR(In_COD))</f>
        <v>1.18868575366821</v>
      </c>
      <c r="BG110" s="52" t="n">
        <f aca="false">(1+In_Opex_Esc)^(BG$7-YEAR(In_COD))</f>
        <v>1.18868575366821</v>
      </c>
      <c r="BH110" s="52" t="n">
        <f aca="false">(1+In_Opex_Esc)^(BH$7-YEAR(In_COD))</f>
        <v>1.21840289750992</v>
      </c>
      <c r="BI110" s="52" t="n">
        <f aca="false">(1+In_Opex_Esc)^(BI$7-YEAR(In_COD))</f>
        <v>1.21840289750992</v>
      </c>
      <c r="BJ110" s="52" t="n">
        <f aca="false">(1+In_Opex_Esc)^(BJ$7-YEAR(In_COD))</f>
        <v>1.21840289750992</v>
      </c>
      <c r="BK110" s="52" t="n">
        <f aca="false">(1+In_Opex_Esc)^(BK$7-YEAR(In_COD))</f>
        <v>1.21840289750992</v>
      </c>
      <c r="BL110" s="52" t="n">
        <f aca="false">(1+In_Opex_Esc)^(BL$7-YEAR(In_COD))</f>
        <v>1.24886296994767</v>
      </c>
      <c r="BM110" s="52" t="n">
        <f aca="false">(1+In_Opex_Esc)^(BM$7-YEAR(In_COD))</f>
        <v>1.24886296994767</v>
      </c>
      <c r="BN110" s="52" t="n">
        <f aca="false">(1+In_Opex_Esc)^(BN$7-YEAR(In_COD))</f>
        <v>1.24886296994767</v>
      </c>
      <c r="BO110" s="52" t="n">
        <f aca="false">(1+In_Opex_Esc)^(BO$7-YEAR(In_COD))</f>
        <v>1.24886296994767</v>
      </c>
      <c r="BP110" s="52" t="n">
        <f aca="false">(1+In_Opex_Esc)^(BP$7-YEAR(In_COD))</f>
        <v>1.28008454419636</v>
      </c>
      <c r="BQ110" s="52" t="n">
        <f aca="false">(1+In_Opex_Esc)^(BQ$7-YEAR(In_COD))</f>
        <v>1.28008454419636</v>
      </c>
      <c r="BR110" s="52" t="n">
        <f aca="false">(1+In_Opex_Esc)^(BR$7-YEAR(In_COD))</f>
        <v>1.28008454419636</v>
      </c>
      <c r="BS110" s="52" t="n">
        <f aca="false">(1+In_Opex_Esc)^(BS$7-YEAR(In_COD))</f>
        <v>1.28008454419636</v>
      </c>
      <c r="BT110" s="52" t="n">
        <f aca="false">(1+In_Opex_Esc)^(BT$7-YEAR(In_COD))</f>
        <v>1.31208665780127</v>
      </c>
      <c r="BU110" s="52" t="n">
        <f aca="false">(1+In_Opex_Esc)^(BU$7-YEAR(In_COD))</f>
        <v>1.31208665780127</v>
      </c>
      <c r="BV110" s="52" t="n">
        <f aca="false">(1+In_Opex_Esc)^(BV$7-YEAR(In_COD))</f>
        <v>1.31208665780127</v>
      </c>
      <c r="BW110" s="52" t="n">
        <f aca="false">(1+In_Opex_Esc)^(BW$7-YEAR(In_COD))</f>
        <v>1.31208665780127</v>
      </c>
      <c r="BX110" s="52" t="n">
        <f aca="false">(1+In_Opex_Esc)^(BX$7-YEAR(In_COD))</f>
        <v>1.3448888242463</v>
      </c>
      <c r="BY110" s="52" t="n">
        <f aca="false">(1+In_Opex_Esc)^(BY$7-YEAR(In_COD))</f>
        <v>1.3448888242463</v>
      </c>
      <c r="BZ110" s="52" t="n">
        <f aca="false">(1+In_Opex_Esc)^(BZ$7-YEAR(In_COD))</f>
        <v>1.3448888242463</v>
      </c>
      <c r="CA110" s="52" t="n">
        <f aca="false">(1+In_Opex_Esc)^(CA$7-YEAR(In_COD))</f>
        <v>1.3448888242463</v>
      </c>
      <c r="CB110" s="52" t="n">
        <f aca="false">(1+In_Opex_Esc)^(CB$7-YEAR(In_COD))</f>
        <v>1.37851104485245</v>
      </c>
      <c r="CC110" s="52" t="n">
        <f aca="false">(1+In_Opex_Esc)^(CC$7-YEAR(In_COD))</f>
        <v>1.37851104485245</v>
      </c>
      <c r="CD110" s="52" t="n">
        <f aca="false">(1+In_Opex_Esc)^(CD$7-YEAR(In_COD))</f>
        <v>1.37851104485245</v>
      </c>
      <c r="CE110" s="52" t="n">
        <f aca="false">(1+In_Opex_Esc)^(CE$7-YEAR(In_COD))</f>
        <v>1.37851104485245</v>
      </c>
      <c r="CF110" s="52" t="n">
        <f aca="false">(1+In_Opex_Esc)^(CF$7-YEAR(In_COD))</f>
        <v>1.41297382097377</v>
      </c>
      <c r="CG110" s="52" t="n">
        <f aca="false">(1+In_Opex_Esc)^(CG$7-YEAR(In_COD))</f>
        <v>1.41297382097377</v>
      </c>
      <c r="CH110" s="52" t="n">
        <f aca="false">(1+In_Opex_Esc)^(CH$7-YEAR(In_COD))</f>
        <v>1.41297382097377</v>
      </c>
      <c r="CI110" s="52" t="n">
        <f aca="false">(1+In_Opex_Esc)^(CI$7-YEAR(In_COD))</f>
        <v>1.41297382097377</v>
      </c>
      <c r="CJ110" s="52" t="n">
        <f aca="false">(1+In_Opex_Esc)^(CJ$7-YEAR(In_COD))</f>
        <v>1.44829816649811</v>
      </c>
      <c r="CK110" s="52" t="n">
        <f aca="false">(1+In_Opex_Esc)^(CK$7-YEAR(In_COD))</f>
        <v>1.44829816649811</v>
      </c>
      <c r="CL110" s="52" t="n">
        <f aca="false">(1+In_Opex_Esc)^(CL$7-YEAR(In_COD))</f>
        <v>1.44829816649811</v>
      </c>
      <c r="CM110" s="52" t="n">
        <f aca="false">(1+In_Opex_Esc)^(CM$7-YEAR(In_COD))</f>
        <v>1.44829816649811</v>
      </c>
      <c r="CN110" s="52" t="n">
        <f aca="false">(1+In_Opex_Esc)^(CN$7-YEAR(In_COD))</f>
        <v>1.48450562066056</v>
      </c>
      <c r="CO110" s="52" t="n">
        <f aca="false">(1+In_Opex_Esc)^(CO$7-YEAR(In_COD))</f>
        <v>1.48450562066056</v>
      </c>
      <c r="CP110" s="52" t="n">
        <f aca="false">(1+In_Opex_Esc)^(CP$7-YEAR(In_COD))</f>
        <v>1.48450562066056</v>
      </c>
      <c r="CQ110" s="52" t="n">
        <f aca="false">(1+In_Opex_Esc)^(CQ$7-YEAR(In_COD))</f>
        <v>1.48450562066056</v>
      </c>
      <c r="CR110" s="52" t="n">
        <f aca="false">(1+In_Opex_Esc)^(CR$7-YEAR(In_COD))</f>
        <v>1.52161826117708</v>
      </c>
      <c r="CS110" s="52" t="n">
        <f aca="false">(1+In_Opex_Esc)^(CS$7-YEAR(In_COD))</f>
        <v>1.52161826117708</v>
      </c>
      <c r="CT110" s="52" t="n">
        <f aca="false">(1+In_Opex_Esc)^(CT$7-YEAR(In_COD))</f>
        <v>1.52161826117708</v>
      </c>
      <c r="CU110" s="52" t="n">
        <f aca="false">(1+In_Opex_Esc)^(CU$7-YEAR(In_COD))</f>
        <v>1.52161826117708</v>
      </c>
      <c r="CV110" s="52" t="n">
        <f aca="false">(1+In_Opex_Esc)^(CV$7-YEAR(In_COD))</f>
        <v>1.5596587177065</v>
      </c>
      <c r="CW110" s="52" t="n">
        <f aca="false">(1+In_Opex_Esc)^(CW$7-YEAR(In_COD))</f>
        <v>1.5596587177065</v>
      </c>
      <c r="CX110" s="52" t="n">
        <f aca="false">(1+In_Opex_Esc)^(CX$7-YEAR(In_COD))</f>
        <v>1.5596587177065</v>
      </c>
      <c r="CY110" s="52" t="n">
        <f aca="false">(1+In_Opex_Esc)^(CY$7-YEAR(In_COD))</f>
        <v>1.5596587177065</v>
      </c>
      <c r="CZ110" s="52" t="n">
        <f aca="false">(1+In_Opex_Esc)^(CZ$7-YEAR(In_COD))</f>
        <v>1.59865018564917</v>
      </c>
      <c r="DA110" s="52" t="n">
        <f aca="false">(1+In_Opex_Esc)^(DA$7-YEAR(In_COD))</f>
        <v>1.59865018564917</v>
      </c>
      <c r="DB110" s="52" t="n">
        <f aca="false">(1+In_Opex_Esc)^(DB$7-YEAR(In_COD))</f>
        <v>1.59865018564917</v>
      </c>
      <c r="DC110" s="52" t="n">
        <f aca="false">(1+In_Opex_Esc)^(DC$7-YEAR(In_COD))</f>
        <v>1.59865018564917</v>
      </c>
      <c r="DD110" s="52" t="n">
        <f aca="false">(1+In_Opex_Esc)^(DD$7-YEAR(In_COD))</f>
        <v>1.63861644029039</v>
      </c>
      <c r="DE110" s="52" t="n">
        <f aca="false">(1+In_Opex_Esc)^(DE$7-YEAR(In_COD))</f>
        <v>1.63861644029039</v>
      </c>
      <c r="DF110" s="52" t="n">
        <f aca="false">(1+In_Opex_Esc)^(DF$7-YEAR(In_COD))</f>
        <v>1.63861644029039</v>
      </c>
      <c r="DG110" s="52" t="n">
        <f aca="false">(1+In_Opex_Esc)^(DG$7-YEAR(In_COD))</f>
        <v>1.63861644029039</v>
      </c>
      <c r="DH110" s="52" t="n">
        <f aca="false">(1+In_Opex_Esc)^(DH$7-YEAR(In_COD))</f>
        <v>1.67958185129765</v>
      </c>
      <c r="DI110" s="52" t="n">
        <f aca="false">(1+In_Opex_Esc)^(DI$7-YEAR(In_COD))</f>
        <v>1.67958185129765</v>
      </c>
      <c r="DJ110" s="52" t="n">
        <f aca="false">(1+In_Opex_Esc)^(DJ$7-YEAR(In_COD))</f>
        <v>1.67958185129765</v>
      </c>
      <c r="DK110" s="52" t="n">
        <f aca="false">(1+In_Opex_Esc)^(DK$7-YEAR(In_COD))</f>
        <v>1.67958185129765</v>
      </c>
      <c r="DL110" s="52" t="n">
        <f aca="false">(1+In_Opex_Esc)^(DL$7-YEAR(In_COD))</f>
        <v>1.7215713975801</v>
      </c>
      <c r="DM110" s="52" t="n">
        <f aca="false">(1+In_Opex_Esc)^(DM$7-YEAR(In_COD))</f>
        <v>1.7215713975801</v>
      </c>
      <c r="DN110" s="52" t="n">
        <f aca="false">(1+In_Opex_Esc)^(DN$7-YEAR(In_COD))</f>
        <v>1.7215713975801</v>
      </c>
      <c r="DO110" s="52" t="n">
        <f aca="false">(1+In_Opex_Esc)^(DO$7-YEAR(In_COD))</f>
        <v>1.7215713975801</v>
      </c>
      <c r="DP110" s="52" t="n">
        <f aca="false">(1+In_Opex_Esc)^(DP$7-YEAR(In_COD))</f>
        <v>1.7646106825196</v>
      </c>
      <c r="DQ110" s="52" t="n">
        <f aca="false">(1+In_Opex_Esc)^(DQ$7-YEAR(In_COD))</f>
        <v>1.7646106825196</v>
      </c>
      <c r="DR110" s="52" t="n">
        <f aca="false">(1+In_Opex_Esc)^(DR$7-YEAR(In_COD))</f>
        <v>1.7646106825196</v>
      </c>
      <c r="DS110" s="52" t="n">
        <f aca="false">(1+In_Opex_Esc)^(DS$7-YEAR(In_COD))</f>
        <v>1.7646106825196</v>
      </c>
      <c r="DT110" s="52" t="n">
        <f aca="false">(1+In_Opex_Esc)^(DT$7-YEAR(In_COD))</f>
        <v>1.80872594958259</v>
      </c>
      <c r="DU110" s="52" t="n">
        <f aca="false">(1+In_Opex_Esc)^(DU$7-YEAR(In_COD))</f>
        <v>1.80872594958259</v>
      </c>
      <c r="DV110" s="52" t="n">
        <f aca="false">(1+In_Opex_Esc)^(DV$7-YEAR(In_COD))</f>
        <v>1.80872594958259</v>
      </c>
      <c r="DW110" s="52" t="n">
        <f aca="false">(1+In_Opex_Esc)^(DW$7-YEAR(In_COD))</f>
        <v>1.80872594958259</v>
      </c>
      <c r="DX110" s="52" t="n">
        <f aca="false">(1+In_Opex_Esc)^(DX$7-YEAR(In_COD))</f>
        <v>1.85394409832215</v>
      </c>
      <c r="DY110" s="52" t="n">
        <f aca="false">(1+In_Opex_Esc)^(DY$7-YEAR(In_COD))</f>
        <v>1.85394409832215</v>
      </c>
      <c r="DZ110" s="52" t="n">
        <f aca="false">(1+In_Opex_Esc)^(DZ$7-YEAR(In_COD))</f>
        <v>1.85394409832215</v>
      </c>
      <c r="EA110" s="52" t="n">
        <f aca="false">(1+In_Opex_Esc)^(EA$7-YEAR(In_COD))</f>
        <v>1.85394409832215</v>
      </c>
      <c r="EB110" s="52" t="n">
        <f aca="false">(1+In_Opex_Esc)^(EB$7-YEAR(In_COD))</f>
        <v>1.90029270078021</v>
      </c>
      <c r="EC110" s="52" t="n">
        <f aca="false">(1+In_Opex_Esc)^(EC$7-YEAR(In_COD))</f>
        <v>1.90029270078021</v>
      </c>
      <c r="ED110" s="52" t="n">
        <f aca="false">(1+In_Opex_Esc)^(ED$7-YEAR(In_COD))</f>
        <v>1.90029270078021</v>
      </c>
      <c r="EE110" s="52" t="n">
        <f aca="false">(1+In_Opex_Esc)^(EE$7-YEAR(In_COD))</f>
        <v>1.90029270078021</v>
      </c>
      <c r="EF110" s="52" t="n">
        <f aca="false">(1+In_Opex_Esc)^(EF$7-YEAR(In_COD))</f>
        <v>1.94780001829971</v>
      </c>
      <c r="EG110" s="52" t="n">
        <f aca="false">(1+In_Opex_Esc)^(EG$7-YEAR(In_COD))</f>
        <v>1.94780001829971</v>
      </c>
      <c r="EH110" s="52" t="n">
        <f aca="false">(1+In_Opex_Esc)^(EH$7-YEAR(In_COD))</f>
        <v>1.94780001829971</v>
      </c>
      <c r="EI110" s="52" t="n">
        <f aca="false">(1+In_Opex_Esc)^(EI$7-YEAR(In_COD))</f>
        <v>1.94780001829971</v>
      </c>
      <c r="EJ110" s="52" t="n">
        <f aca="false">(1+In_Opex_Esc)^(EJ$7-YEAR(In_COD))</f>
        <v>1.9964950187572</v>
      </c>
      <c r="EK110" s="52" t="n">
        <f aca="false">(1+In_Opex_Esc)^(EK$7-YEAR(In_COD))</f>
        <v>1.9964950187572</v>
      </c>
      <c r="EL110" s="52" t="n">
        <f aca="false">(1+In_Opex_Esc)^(EL$7-YEAR(In_COD))</f>
        <v>1.9964950187572</v>
      </c>
      <c r="EM110" s="52" t="n">
        <f aca="false">(1+In_Opex_Esc)^(EM$7-YEAR(In_COD))</f>
        <v>1.9964950187572</v>
      </c>
      <c r="EN110" s="52" t="n">
        <f aca="false">(1+In_Opex_Esc)^(EN$7-YEAR(In_COD))</f>
        <v>2.04640739422613</v>
      </c>
      <c r="EO110" s="52" t="n">
        <f aca="false">(1+In_Opex_Esc)^(EO$7-YEAR(In_COD))</f>
        <v>2.04640739422613</v>
      </c>
      <c r="EP110" s="52" t="n">
        <f aca="false">(1+In_Opex_Esc)^(EP$7-YEAR(In_COD))</f>
        <v>2.04640739422613</v>
      </c>
      <c r="EQ110" s="52" t="n">
        <f aca="false">(1+In_Opex_Esc)^(EQ$7-YEAR(In_COD))</f>
        <v>2.04640739422613</v>
      </c>
      <c r="ER110" s="52" t="n">
        <f aca="false">(1+In_Opex_Esc)^(ER$7-YEAR(In_COD))</f>
        <v>2.09756757908179</v>
      </c>
      <c r="ES110" s="52" t="n">
        <f aca="false">(1+In_Opex_Esc)^(ES$7-YEAR(In_COD))</f>
        <v>2.09756757908179</v>
      </c>
      <c r="ET110" s="52" t="n">
        <f aca="false">(1+In_Opex_Esc)^(ET$7-YEAR(In_COD))</f>
        <v>2.09756757908179</v>
      </c>
    </row>
    <row r="111" customFormat="false" ht="15" hidden="false" customHeight="false" outlineLevel="0" collapsed="false">
      <c r="C111" s="0" t="s">
        <v>564</v>
      </c>
      <c r="D111" s="11" t="s">
        <v>32</v>
      </c>
      <c r="J111" s="28" t="n">
        <f aca="false">In_PPA_Price*(1+In_PPA_Esc)^(J$7-YEAR(In_COD))</f>
        <v>85.6319118846074</v>
      </c>
      <c r="K111" s="28" t="n">
        <f aca="false">In_PPA_Price*(1+In_PPA_Esc)^(K$7-YEAR(In_COD))</f>
        <v>85.6319118846074</v>
      </c>
      <c r="L111" s="28" t="n">
        <f aca="false">In_PPA_Price*(1+In_PPA_Esc)^(L$7-YEAR(In_COD))</f>
        <v>86.4882310034535</v>
      </c>
      <c r="M111" s="28" t="n">
        <f aca="false">In_PPA_Price*(1+In_PPA_Esc)^(M$7-YEAR(In_COD))</f>
        <v>86.4882310034535</v>
      </c>
      <c r="N111" s="28" t="n">
        <f aca="false">In_PPA_Price*(1+In_PPA_Esc)^(N$7-YEAR(In_COD))</f>
        <v>86.4882310034535</v>
      </c>
      <c r="O111" s="28" t="n">
        <f aca="false">In_PPA_Price*(1+In_PPA_Esc)^(O$7-YEAR(In_COD))</f>
        <v>86.4882310034535</v>
      </c>
      <c r="P111" s="28" t="n">
        <f aca="false">In_PPA_Price*(1+In_PPA_Esc)^(P$7-YEAR(In_COD))</f>
        <v>87.353113313488</v>
      </c>
      <c r="Q111" s="28" t="n">
        <f aca="false">In_PPA_Price*(1+In_PPA_Esc)^(Q$7-YEAR(In_COD))</f>
        <v>87.353113313488</v>
      </c>
      <c r="R111" s="28" t="n">
        <f aca="false">In_PPA_Price*(1+In_PPA_Esc)^(R$7-YEAR(In_COD))</f>
        <v>87.353113313488</v>
      </c>
      <c r="S111" s="28" t="n">
        <f aca="false">In_PPA_Price*(1+In_PPA_Esc)^(S$7-YEAR(In_COD))</f>
        <v>87.353113313488</v>
      </c>
      <c r="T111" s="28" t="n">
        <f aca="false">In_PPA_Price*(1+In_PPA_Esc)^(T$7-YEAR(In_COD))</f>
        <v>88.2266444466229</v>
      </c>
      <c r="U111" s="28" t="n">
        <f aca="false">In_PPA_Price*(1+In_PPA_Esc)^(U$7-YEAR(In_COD))</f>
        <v>88.2266444466229</v>
      </c>
      <c r="V111" s="28" t="n">
        <f aca="false">In_PPA_Price*(1+In_PPA_Esc)^(V$7-YEAR(In_COD))</f>
        <v>88.2266444466229</v>
      </c>
      <c r="W111" s="28" t="n">
        <f aca="false">In_PPA_Price*(1+In_PPA_Esc)^(W$7-YEAR(In_COD))</f>
        <v>88.2266444466229</v>
      </c>
      <c r="X111" s="28" t="n">
        <f aca="false">In_PPA_Price*(1+In_PPA_Esc)^(X$7-YEAR(In_COD))</f>
        <v>89.1089108910891</v>
      </c>
      <c r="Y111" s="28" t="n">
        <f aca="false">In_PPA_Price*(1+In_PPA_Esc)^(Y$7-YEAR(In_COD))</f>
        <v>89.1089108910891</v>
      </c>
      <c r="Z111" s="28" t="n">
        <f aca="false">In_PPA_Price*(1+In_PPA_Esc)^(Z$7-YEAR(In_COD))</f>
        <v>89.1089108910891</v>
      </c>
      <c r="AA111" s="28" t="n">
        <f aca="false">In_PPA_Price*(1+In_PPA_Esc)^(AA$7-YEAR(In_COD))</f>
        <v>89.1089108910891</v>
      </c>
      <c r="AB111" s="28" t="n">
        <f aca="false">In_PPA_Price*(1+In_PPA_Esc)^(AB$7-YEAR(In_COD))</f>
        <v>90</v>
      </c>
      <c r="AC111" s="28" t="n">
        <f aca="false">In_PPA_Price*(1+In_PPA_Esc)^(AC$7-YEAR(In_COD))</f>
        <v>90</v>
      </c>
      <c r="AD111" s="28" t="n">
        <f aca="false">In_PPA_Price*(1+In_PPA_Esc)^(AD$7-YEAR(In_COD))</f>
        <v>90</v>
      </c>
      <c r="AE111" s="28" t="n">
        <f aca="false">In_PPA_Price*(1+In_PPA_Esc)^(AE$7-YEAR(In_COD))</f>
        <v>90</v>
      </c>
      <c r="AF111" s="28" t="n">
        <f aca="false">In_PPA_Price*(1+In_PPA_Esc)^(AF$7-YEAR(In_COD))</f>
        <v>90.9</v>
      </c>
      <c r="AG111" s="28" t="n">
        <f aca="false">In_PPA_Price*(1+In_PPA_Esc)^(AG$7-YEAR(In_COD))</f>
        <v>90.9</v>
      </c>
      <c r="AH111" s="28" t="n">
        <f aca="false">In_PPA_Price*(1+In_PPA_Esc)^(AH$7-YEAR(In_COD))</f>
        <v>90.9</v>
      </c>
      <c r="AI111" s="28" t="n">
        <f aca="false">In_PPA_Price*(1+In_PPA_Esc)^(AI$7-YEAR(In_COD))</f>
        <v>90.9</v>
      </c>
      <c r="AJ111" s="28" t="n">
        <f aca="false">In_PPA_Price*(1+In_PPA_Esc)^(AJ$7-YEAR(In_COD))</f>
        <v>91.809</v>
      </c>
      <c r="AK111" s="28" t="n">
        <f aca="false">In_PPA_Price*(1+In_PPA_Esc)^(AK$7-YEAR(In_COD))</f>
        <v>91.809</v>
      </c>
      <c r="AL111" s="28" t="n">
        <f aca="false">In_PPA_Price*(1+In_PPA_Esc)^(AL$7-YEAR(In_COD))</f>
        <v>91.809</v>
      </c>
      <c r="AM111" s="28" t="n">
        <f aca="false">In_PPA_Price*(1+In_PPA_Esc)^(AM$7-YEAR(In_COD))</f>
        <v>91.809</v>
      </c>
      <c r="AN111" s="28" t="n">
        <f aca="false">In_PPA_Price*(1+In_PPA_Esc)^(AN$7-YEAR(In_COD))</f>
        <v>92.72709</v>
      </c>
      <c r="AO111" s="28" t="n">
        <f aca="false">In_PPA_Price*(1+In_PPA_Esc)^(AO$7-YEAR(In_COD))</f>
        <v>92.72709</v>
      </c>
      <c r="AP111" s="28" t="n">
        <f aca="false">In_PPA_Price*(1+In_PPA_Esc)^(AP$7-YEAR(In_COD))</f>
        <v>92.72709</v>
      </c>
      <c r="AQ111" s="28" t="n">
        <f aca="false">In_PPA_Price*(1+In_PPA_Esc)^(AQ$7-YEAR(In_COD))</f>
        <v>92.72709</v>
      </c>
      <c r="AR111" s="28" t="n">
        <f aca="false">In_PPA_Price*(1+In_PPA_Esc)^(AR$7-YEAR(In_COD))</f>
        <v>93.6543609</v>
      </c>
      <c r="AS111" s="28" t="n">
        <f aca="false">In_PPA_Price*(1+In_PPA_Esc)^(AS$7-YEAR(In_COD))</f>
        <v>93.6543609</v>
      </c>
      <c r="AT111" s="28" t="n">
        <f aca="false">In_PPA_Price*(1+In_PPA_Esc)^(AT$7-YEAR(In_COD))</f>
        <v>93.6543609</v>
      </c>
      <c r="AU111" s="28" t="n">
        <f aca="false">In_PPA_Price*(1+In_PPA_Esc)^(AU$7-YEAR(In_COD))</f>
        <v>93.6543609</v>
      </c>
      <c r="AV111" s="28" t="n">
        <f aca="false">In_PPA_Price*(1+In_PPA_Esc)^(AV$7-YEAR(In_COD))</f>
        <v>94.590904509</v>
      </c>
      <c r="AW111" s="28" t="n">
        <f aca="false">In_PPA_Price*(1+In_PPA_Esc)^(AW$7-YEAR(In_COD))</f>
        <v>94.590904509</v>
      </c>
      <c r="AX111" s="28" t="n">
        <f aca="false">In_PPA_Price*(1+In_PPA_Esc)^(AX$7-YEAR(In_COD))</f>
        <v>94.590904509</v>
      </c>
      <c r="AY111" s="28" t="n">
        <f aca="false">In_PPA_Price*(1+In_PPA_Esc)^(AY$7-YEAR(In_COD))</f>
        <v>94.590904509</v>
      </c>
      <c r="AZ111" s="28" t="n">
        <f aca="false">In_PPA_Price*(1+In_PPA_Esc)^(AZ$7-YEAR(In_COD))</f>
        <v>95.53681355409</v>
      </c>
      <c r="BA111" s="28" t="n">
        <f aca="false">In_PPA_Price*(1+In_PPA_Esc)^(BA$7-YEAR(In_COD))</f>
        <v>95.53681355409</v>
      </c>
      <c r="BB111" s="28" t="n">
        <f aca="false">In_PPA_Price*(1+In_PPA_Esc)^(BB$7-YEAR(In_COD))</f>
        <v>95.53681355409</v>
      </c>
      <c r="BC111" s="28" t="n">
        <f aca="false">In_PPA_Price*(1+In_PPA_Esc)^(BC$7-YEAR(In_COD))</f>
        <v>95.53681355409</v>
      </c>
      <c r="BD111" s="28" t="n">
        <f aca="false">In_PPA_Price*(1+In_PPA_Esc)^(BD$7-YEAR(In_COD))</f>
        <v>96.4921816896309</v>
      </c>
      <c r="BE111" s="28" t="n">
        <f aca="false">In_PPA_Price*(1+In_PPA_Esc)^(BE$7-YEAR(In_COD))</f>
        <v>96.4921816896309</v>
      </c>
      <c r="BF111" s="28" t="n">
        <f aca="false">In_PPA_Price*(1+In_PPA_Esc)^(BF$7-YEAR(In_COD))</f>
        <v>96.4921816896309</v>
      </c>
      <c r="BG111" s="28" t="n">
        <f aca="false">In_PPA_Price*(1+In_PPA_Esc)^(BG$7-YEAR(In_COD))</f>
        <v>96.4921816896309</v>
      </c>
      <c r="BH111" s="28" t="n">
        <f aca="false">In_PPA_Price*(1+In_PPA_Esc)^(BH$7-YEAR(In_COD))</f>
        <v>97.4571035065272</v>
      </c>
      <c r="BI111" s="28" t="n">
        <f aca="false">In_PPA_Price*(1+In_PPA_Esc)^(BI$7-YEAR(In_COD))</f>
        <v>97.4571035065272</v>
      </c>
      <c r="BJ111" s="28" t="n">
        <f aca="false">In_PPA_Price*(1+In_PPA_Esc)^(BJ$7-YEAR(In_COD))</f>
        <v>97.4571035065272</v>
      </c>
      <c r="BK111" s="28" t="n">
        <f aca="false">In_PPA_Price*(1+In_PPA_Esc)^(BK$7-YEAR(In_COD))</f>
        <v>97.4571035065272</v>
      </c>
      <c r="BL111" s="28" t="n">
        <f aca="false">In_PPA_Price*(1+In_PPA_Esc)^(BL$7-YEAR(In_COD))</f>
        <v>98.4316745415925</v>
      </c>
      <c r="BM111" s="28" t="n">
        <f aca="false">In_PPA_Price*(1+In_PPA_Esc)^(BM$7-YEAR(In_COD))</f>
        <v>98.4316745415925</v>
      </c>
      <c r="BN111" s="28" t="n">
        <f aca="false">In_PPA_Price*(1+In_PPA_Esc)^(BN$7-YEAR(In_COD))</f>
        <v>98.4316745415925</v>
      </c>
      <c r="BO111" s="28" t="n">
        <f aca="false">In_PPA_Price*(1+In_PPA_Esc)^(BO$7-YEAR(In_COD))</f>
        <v>98.4316745415925</v>
      </c>
      <c r="BP111" s="28" t="n">
        <f aca="false">In_PPA_Price*(1+In_PPA_Esc)^(BP$7-YEAR(In_COD))</f>
        <v>99.4159912870084</v>
      </c>
      <c r="BQ111" s="28" t="n">
        <f aca="false">In_PPA_Price*(1+In_PPA_Esc)^(BQ$7-YEAR(In_COD))</f>
        <v>99.4159912870084</v>
      </c>
      <c r="BR111" s="28" t="n">
        <f aca="false">In_PPA_Price*(1+In_PPA_Esc)^(BR$7-YEAR(In_COD))</f>
        <v>99.4159912870084</v>
      </c>
      <c r="BS111" s="28" t="n">
        <f aca="false">In_PPA_Price*(1+In_PPA_Esc)^(BS$7-YEAR(In_COD))</f>
        <v>99.4159912870084</v>
      </c>
      <c r="BT111" s="28" t="n">
        <f aca="false">In_PPA_Price*(1+In_PPA_Esc)^(BT$7-YEAR(In_COD))</f>
        <v>100.410151199878</v>
      </c>
      <c r="BU111" s="28" t="n">
        <f aca="false">In_PPA_Price*(1+In_PPA_Esc)^(BU$7-YEAR(In_COD))</f>
        <v>100.410151199878</v>
      </c>
      <c r="BV111" s="28" t="n">
        <f aca="false">In_PPA_Price*(1+In_PPA_Esc)^(BV$7-YEAR(In_COD))</f>
        <v>100.410151199878</v>
      </c>
      <c r="BW111" s="28" t="n">
        <f aca="false">In_PPA_Price*(1+In_PPA_Esc)^(BW$7-YEAR(In_COD))</f>
        <v>100.410151199878</v>
      </c>
      <c r="BX111" s="28" t="n">
        <f aca="false">In_PPA_Price*(1+In_PPA_Esc)^(BX$7-YEAR(In_COD))</f>
        <v>101.414252711877</v>
      </c>
      <c r="BY111" s="28" t="n">
        <f aca="false">In_PPA_Price*(1+In_PPA_Esc)^(BY$7-YEAR(In_COD))</f>
        <v>101.414252711877</v>
      </c>
      <c r="BZ111" s="28" t="n">
        <f aca="false">In_PPA_Price*(1+In_PPA_Esc)^(BZ$7-YEAR(In_COD))</f>
        <v>101.414252711877</v>
      </c>
      <c r="CA111" s="28" t="n">
        <f aca="false">In_PPA_Price*(1+In_PPA_Esc)^(CA$7-YEAR(In_COD))</f>
        <v>101.414252711877</v>
      </c>
      <c r="CB111" s="28" t="n">
        <f aca="false">In_PPA_Price*(1+In_PPA_Esc)^(CB$7-YEAR(In_COD))</f>
        <v>102.428395238996</v>
      </c>
      <c r="CC111" s="28" t="n">
        <f aca="false">In_PPA_Price*(1+In_PPA_Esc)^(CC$7-YEAR(In_COD))</f>
        <v>102.428395238996</v>
      </c>
      <c r="CD111" s="28" t="n">
        <f aca="false">In_PPA_Price*(1+In_PPA_Esc)^(CD$7-YEAR(In_COD))</f>
        <v>102.428395238996</v>
      </c>
      <c r="CE111" s="28" t="n">
        <f aca="false">In_PPA_Price*(1+In_PPA_Esc)^(CE$7-YEAR(In_COD))</f>
        <v>102.428395238996</v>
      </c>
      <c r="CF111" s="28" t="n">
        <f aca="false">In_PPA_Price*(1+In_PPA_Esc)^(CF$7-YEAR(In_COD))</f>
        <v>103.452679191386</v>
      </c>
      <c r="CG111" s="28" t="n">
        <f aca="false">In_PPA_Price*(1+In_PPA_Esc)^(CG$7-YEAR(In_COD))</f>
        <v>103.452679191386</v>
      </c>
      <c r="CH111" s="28" t="n">
        <f aca="false">In_PPA_Price*(1+In_PPA_Esc)^(CH$7-YEAR(In_COD))</f>
        <v>103.452679191386</v>
      </c>
      <c r="CI111" s="28" t="n">
        <f aca="false">In_PPA_Price*(1+In_PPA_Esc)^(CI$7-YEAR(In_COD))</f>
        <v>103.452679191386</v>
      </c>
      <c r="CJ111" s="28" t="n">
        <f aca="false">In_PPA_Price*(1+In_PPA_Esc)^(CJ$7-YEAR(In_COD))</f>
        <v>104.4872059833</v>
      </c>
      <c r="CK111" s="28" t="n">
        <f aca="false">In_PPA_Price*(1+In_PPA_Esc)^(CK$7-YEAR(In_COD))</f>
        <v>104.4872059833</v>
      </c>
      <c r="CL111" s="28" t="n">
        <f aca="false">In_PPA_Price*(1+In_PPA_Esc)^(CL$7-YEAR(In_COD))</f>
        <v>104.4872059833</v>
      </c>
      <c r="CM111" s="28" t="n">
        <f aca="false">In_PPA_Price*(1+In_PPA_Esc)^(CM$7-YEAR(In_COD))</f>
        <v>104.4872059833</v>
      </c>
      <c r="CN111" s="28" t="n">
        <f aca="false">In_PPA_Price*(1+In_PPA_Esc)^(CN$7-YEAR(In_COD))</f>
        <v>105.532078043133</v>
      </c>
      <c r="CO111" s="28" t="n">
        <f aca="false">In_PPA_Price*(1+In_PPA_Esc)^(CO$7-YEAR(In_COD))</f>
        <v>105.532078043133</v>
      </c>
      <c r="CP111" s="28" t="n">
        <f aca="false">In_PPA_Price*(1+In_PPA_Esc)^(CP$7-YEAR(In_COD))</f>
        <v>105.532078043133</v>
      </c>
      <c r="CQ111" s="28" t="n">
        <f aca="false">In_PPA_Price*(1+In_PPA_Esc)^(CQ$7-YEAR(In_COD))</f>
        <v>105.532078043133</v>
      </c>
      <c r="CR111" s="28" t="n">
        <f aca="false">In_PPA_Price*(1+In_PPA_Esc)^(CR$7-YEAR(In_COD))</f>
        <v>106.587398823564</v>
      </c>
      <c r="CS111" s="28" t="n">
        <f aca="false">In_PPA_Price*(1+In_PPA_Esc)^(CS$7-YEAR(In_COD))</f>
        <v>106.587398823564</v>
      </c>
      <c r="CT111" s="28" t="n">
        <f aca="false">In_PPA_Price*(1+In_PPA_Esc)^(CT$7-YEAR(In_COD))</f>
        <v>106.587398823564</v>
      </c>
      <c r="CU111" s="28" t="n">
        <f aca="false">In_PPA_Price*(1+In_PPA_Esc)^(CU$7-YEAR(In_COD))</f>
        <v>106.587398823564</v>
      </c>
      <c r="CV111" s="28" t="n">
        <f aca="false">In_PPA_Price*(1+In_PPA_Esc)^(CV$7-YEAR(In_COD))</f>
        <v>107.6532728118</v>
      </c>
      <c r="CW111" s="28" t="n">
        <f aca="false">In_PPA_Price*(1+In_PPA_Esc)^(CW$7-YEAR(In_COD))</f>
        <v>107.6532728118</v>
      </c>
      <c r="CX111" s="28" t="n">
        <f aca="false">In_PPA_Price*(1+In_PPA_Esc)^(CX$7-YEAR(In_COD))</f>
        <v>107.6532728118</v>
      </c>
      <c r="CY111" s="28" t="n">
        <f aca="false">In_PPA_Price*(1+In_PPA_Esc)^(CY$7-YEAR(In_COD))</f>
        <v>107.6532728118</v>
      </c>
      <c r="CZ111" s="28" t="n">
        <f aca="false">In_PPA_Price*(1+In_PPA_Esc)^(CZ$7-YEAR(In_COD))</f>
        <v>108.729805539918</v>
      </c>
      <c r="DA111" s="28" t="n">
        <f aca="false">In_PPA_Price*(1+In_PPA_Esc)^(DA$7-YEAR(In_COD))</f>
        <v>108.729805539918</v>
      </c>
      <c r="DB111" s="28" t="n">
        <f aca="false">In_PPA_Price*(1+In_PPA_Esc)^(DB$7-YEAR(In_COD))</f>
        <v>108.729805539918</v>
      </c>
      <c r="DC111" s="28" t="n">
        <f aca="false">In_PPA_Price*(1+In_PPA_Esc)^(DC$7-YEAR(In_COD))</f>
        <v>108.729805539918</v>
      </c>
      <c r="DD111" s="28" t="n">
        <f aca="false">In_PPA_Price*(1+In_PPA_Esc)^(DD$7-YEAR(In_COD))</f>
        <v>109.817103595317</v>
      </c>
      <c r="DE111" s="28" t="n">
        <f aca="false">In_PPA_Price*(1+In_PPA_Esc)^(DE$7-YEAR(In_COD))</f>
        <v>109.817103595317</v>
      </c>
      <c r="DF111" s="28" t="n">
        <f aca="false">In_PPA_Price*(1+In_PPA_Esc)^(DF$7-YEAR(In_COD))</f>
        <v>109.817103595317</v>
      </c>
      <c r="DG111" s="28" t="n">
        <f aca="false">In_PPA_Price*(1+In_PPA_Esc)^(DG$7-YEAR(In_COD))</f>
        <v>109.817103595317</v>
      </c>
      <c r="DH111" s="28" t="n">
        <f aca="false">In_PPA_Price*(1+In_PPA_Esc)^(DH$7-YEAR(In_COD))</f>
        <v>110.91527463127</v>
      </c>
      <c r="DI111" s="28" t="n">
        <f aca="false">In_PPA_Price*(1+In_PPA_Esc)^(DI$7-YEAR(In_COD))</f>
        <v>110.91527463127</v>
      </c>
      <c r="DJ111" s="28" t="n">
        <f aca="false">In_PPA_Price*(1+In_PPA_Esc)^(DJ$7-YEAR(In_COD))</f>
        <v>110.91527463127</v>
      </c>
      <c r="DK111" s="28" t="n">
        <f aca="false">In_PPA_Price*(1+In_PPA_Esc)^(DK$7-YEAR(In_COD))</f>
        <v>110.91527463127</v>
      </c>
      <c r="DL111" s="28" t="n">
        <f aca="false">In_PPA_Price*(1+In_PPA_Esc)^(DL$7-YEAR(In_COD))</f>
        <v>112.024427377583</v>
      </c>
      <c r="DM111" s="28" t="n">
        <f aca="false">In_PPA_Price*(1+In_PPA_Esc)^(DM$7-YEAR(In_COD))</f>
        <v>112.024427377583</v>
      </c>
      <c r="DN111" s="28" t="n">
        <f aca="false">In_PPA_Price*(1+In_PPA_Esc)^(DN$7-YEAR(In_COD))</f>
        <v>112.024427377583</v>
      </c>
      <c r="DO111" s="28" t="n">
        <f aca="false">In_PPA_Price*(1+In_PPA_Esc)^(DO$7-YEAR(In_COD))</f>
        <v>112.024427377583</v>
      </c>
      <c r="DP111" s="28" t="n">
        <f aca="false">In_PPA_Price*(1+In_PPA_Esc)^(DP$7-YEAR(In_COD))</f>
        <v>113.144671651359</v>
      </c>
      <c r="DQ111" s="28" t="n">
        <f aca="false">In_PPA_Price*(1+In_PPA_Esc)^(DQ$7-YEAR(In_COD))</f>
        <v>113.144671651359</v>
      </c>
      <c r="DR111" s="28" t="n">
        <f aca="false">In_PPA_Price*(1+In_PPA_Esc)^(DR$7-YEAR(In_COD))</f>
        <v>113.144671651359</v>
      </c>
      <c r="DS111" s="28" t="n">
        <f aca="false">In_PPA_Price*(1+In_PPA_Esc)^(DS$7-YEAR(In_COD))</f>
        <v>113.144671651359</v>
      </c>
      <c r="DT111" s="28" t="n">
        <f aca="false">In_PPA_Price*(1+In_PPA_Esc)^(DT$7-YEAR(In_COD))</f>
        <v>114.276118367872</v>
      </c>
      <c r="DU111" s="28" t="n">
        <f aca="false">In_PPA_Price*(1+In_PPA_Esc)^(DU$7-YEAR(In_COD))</f>
        <v>114.276118367872</v>
      </c>
      <c r="DV111" s="28" t="n">
        <f aca="false">In_PPA_Price*(1+In_PPA_Esc)^(DV$7-YEAR(In_COD))</f>
        <v>114.276118367872</v>
      </c>
      <c r="DW111" s="28" t="n">
        <f aca="false">In_PPA_Price*(1+In_PPA_Esc)^(DW$7-YEAR(In_COD))</f>
        <v>114.276118367872</v>
      </c>
      <c r="DX111" s="28" t="n">
        <f aca="false">In_PPA_Price*(1+In_PPA_Esc)^(DX$7-YEAR(In_COD))</f>
        <v>115.418879551551</v>
      </c>
      <c r="DY111" s="28" t="n">
        <f aca="false">In_PPA_Price*(1+In_PPA_Esc)^(DY$7-YEAR(In_COD))</f>
        <v>115.418879551551</v>
      </c>
      <c r="DZ111" s="28" t="n">
        <f aca="false">In_PPA_Price*(1+In_PPA_Esc)^(DZ$7-YEAR(In_COD))</f>
        <v>115.418879551551</v>
      </c>
      <c r="EA111" s="28" t="n">
        <f aca="false">In_PPA_Price*(1+In_PPA_Esc)^(EA$7-YEAR(In_COD))</f>
        <v>115.418879551551</v>
      </c>
      <c r="EB111" s="28" t="n">
        <f aca="false">In_PPA_Price*(1+In_PPA_Esc)^(EB$7-YEAR(In_COD))</f>
        <v>116.573068347067</v>
      </c>
      <c r="EC111" s="28" t="n">
        <f aca="false">In_PPA_Price*(1+In_PPA_Esc)^(EC$7-YEAR(In_COD))</f>
        <v>116.573068347067</v>
      </c>
      <c r="ED111" s="28" t="n">
        <f aca="false">In_PPA_Price*(1+In_PPA_Esc)^(ED$7-YEAR(In_COD))</f>
        <v>116.573068347067</v>
      </c>
      <c r="EE111" s="28" t="n">
        <f aca="false">In_PPA_Price*(1+In_PPA_Esc)^(EE$7-YEAR(In_COD))</f>
        <v>116.573068347067</v>
      </c>
      <c r="EF111" s="28" t="n">
        <f aca="false">In_PPA_Price*(1+In_PPA_Esc)^(EF$7-YEAR(In_COD))</f>
        <v>117.738799030537</v>
      </c>
      <c r="EG111" s="28" t="n">
        <f aca="false">In_PPA_Price*(1+In_PPA_Esc)^(EG$7-YEAR(In_COD))</f>
        <v>117.738799030537</v>
      </c>
      <c r="EH111" s="28" t="n">
        <f aca="false">In_PPA_Price*(1+In_PPA_Esc)^(EH$7-YEAR(In_COD))</f>
        <v>117.738799030537</v>
      </c>
      <c r="EI111" s="28" t="n">
        <f aca="false">In_PPA_Price*(1+In_PPA_Esc)^(EI$7-YEAR(In_COD))</f>
        <v>117.738799030537</v>
      </c>
      <c r="EJ111" s="28" t="n">
        <f aca="false">In_PPA_Price*(1+In_PPA_Esc)^(EJ$7-YEAR(In_COD))</f>
        <v>118.916187020843</v>
      </c>
      <c r="EK111" s="28" t="n">
        <f aca="false">In_PPA_Price*(1+In_PPA_Esc)^(EK$7-YEAR(In_COD))</f>
        <v>118.916187020843</v>
      </c>
      <c r="EL111" s="28" t="n">
        <f aca="false">In_PPA_Price*(1+In_PPA_Esc)^(EL$7-YEAR(In_COD))</f>
        <v>118.916187020843</v>
      </c>
      <c r="EM111" s="28" t="n">
        <f aca="false">In_PPA_Price*(1+In_PPA_Esc)^(EM$7-YEAR(In_COD))</f>
        <v>118.916187020843</v>
      </c>
      <c r="EN111" s="28" t="n">
        <f aca="false">In_PPA_Price*(1+In_PPA_Esc)^(EN$7-YEAR(In_COD))</f>
        <v>120.105348891051</v>
      </c>
      <c r="EO111" s="28" t="n">
        <f aca="false">In_PPA_Price*(1+In_PPA_Esc)^(EO$7-YEAR(In_COD))</f>
        <v>120.105348891051</v>
      </c>
      <c r="EP111" s="28" t="n">
        <f aca="false">In_PPA_Price*(1+In_PPA_Esc)^(EP$7-YEAR(In_COD))</f>
        <v>120.105348891051</v>
      </c>
      <c r="EQ111" s="28" t="n">
        <f aca="false">In_PPA_Price*(1+In_PPA_Esc)^(EQ$7-YEAR(In_COD))</f>
        <v>120.105348891051</v>
      </c>
      <c r="ER111" s="28" t="n">
        <f aca="false">In_PPA_Price*(1+In_PPA_Esc)^(ER$7-YEAR(In_COD))</f>
        <v>121.306402379962</v>
      </c>
      <c r="ES111" s="28" t="n">
        <f aca="false">In_PPA_Price*(1+In_PPA_Esc)^(ES$7-YEAR(In_COD))</f>
        <v>121.306402379962</v>
      </c>
      <c r="ET111" s="28" t="n">
        <f aca="false">In_PPA_Price*(1+In_PPA_Esc)^(ET$7-YEAR(In_COD))</f>
        <v>121.306402379962</v>
      </c>
    </row>
    <row r="112" customFormat="false" ht="15" hidden="false" customHeight="false" outlineLevel="0" collapsed="false">
      <c r="C112" s="0" t="s">
        <v>565</v>
      </c>
      <c r="D112" s="11" t="s">
        <v>499</v>
      </c>
      <c r="I112" s="33" t="n">
        <f aca="false">SUM(J112:ET112)</f>
        <v>6931492.24461103</v>
      </c>
      <c r="J112" s="33" t="n">
        <f aca="false">$F24*In_P50_Hours*(1-In_Curtailment)*(1-$E27)*(1-In_Degradation)^(J109-1)*J15*J$6</f>
        <v>0</v>
      </c>
      <c r="K112" s="33" t="n">
        <f aca="false">$F24*In_P50_Hours*(1-In_Curtailment)*(1-$E27)*(1-In_Degradation)^(K109-1)*K15*K$6</f>
        <v>0</v>
      </c>
      <c r="L112" s="33" t="n">
        <f aca="false">$F24*In_P50_Hours*(1-In_Curtailment)*(1-$E27)*(1-In_Degradation)^(L109-1)*L15*L$6</f>
        <v>0</v>
      </c>
      <c r="M112" s="33" t="n">
        <f aca="false">$F24*In_P50_Hours*(1-In_Curtailment)*(1-$E27)*(1-In_Degradation)^(M109-1)*M15*M$6</f>
        <v>0</v>
      </c>
      <c r="N112" s="33" t="n">
        <f aca="false">$F24*In_P50_Hours*(1-In_Curtailment)*(1-$E27)*(1-In_Degradation)^(N109-1)*N15*N$6</f>
        <v>0</v>
      </c>
      <c r="O112" s="33" t="n">
        <f aca="false">$F24*In_P50_Hours*(1-In_Curtailment)*(1-$E27)*(1-In_Degradation)^(O109-1)*O15*O$6</f>
        <v>0</v>
      </c>
      <c r="P112" s="33" t="n">
        <f aca="false">$F24*In_P50_Hours*(1-In_Curtailment)*(1-$E27)*(1-In_Degradation)^(P109-1)*P15*P$6</f>
        <v>0</v>
      </c>
      <c r="Q112" s="33" t="n">
        <f aca="false">$F24*In_P50_Hours*(1-In_Curtailment)*(1-$E27)*(1-In_Degradation)^(Q109-1)*Q15*Q$6</f>
        <v>0</v>
      </c>
      <c r="R112" s="33" t="n">
        <f aca="false">$F24*In_P50_Hours*(1-In_Curtailment)*(1-$E27)*(1-In_Degradation)^(R109-1)*R15*R$6</f>
        <v>0</v>
      </c>
      <c r="S112" s="33" t="n">
        <f aca="false">$F24*In_P50_Hours*(1-In_Curtailment)*(1-$E27)*(1-In_Degradation)^(S109-1)*S15*S$6</f>
        <v>0</v>
      </c>
      <c r="T112" s="33" t="n">
        <f aca="false">$F24*In_P50_Hours*(1-In_Curtailment)*(1-$E27)*(1-In_Degradation)^(T109-1)*T15*T$6</f>
        <v>0</v>
      </c>
      <c r="U112" s="33" t="n">
        <f aca="false">$F24*In_P50_Hours*(1-In_Curtailment)*(1-$E27)*(1-In_Degradation)^(U109-1)*U15*U$6</f>
        <v>0</v>
      </c>
      <c r="V112" s="33" t="n">
        <f aca="false">$F24*In_P50_Hours*(1-In_Curtailment)*(1-$E27)*(1-In_Degradation)^(V109-1)*V15*V$6</f>
        <v>0</v>
      </c>
      <c r="W112" s="33" t="n">
        <f aca="false">$F24*In_P50_Hours*(1-In_Curtailment)*(1-$E27)*(1-In_Degradation)^(W109-1)*W15*W$6</f>
        <v>0</v>
      </c>
      <c r="X112" s="33" t="n">
        <f aca="false">$F24*In_P50_Hours*(1-In_Curtailment)*(1-$E27)*(1-In_Degradation)^(X109-1)*X15*X$6</f>
        <v>0</v>
      </c>
      <c r="Y112" s="33" t="n">
        <f aca="false">$F24*In_P50_Hours*(1-In_Curtailment)*(1-$E27)*(1-In_Degradation)^(Y109-1)*Y15*Y$6</f>
        <v>0</v>
      </c>
      <c r="Z112" s="33" t="n">
        <f aca="false">$F24*In_P50_Hours*(1-In_Curtailment)*(1-$E27)*(1-In_Degradation)^(Z109-1)*Z15*Z$6</f>
        <v>0</v>
      </c>
      <c r="AA112" s="33" t="n">
        <f aca="false">$F24*In_P50_Hours*(1-In_Curtailment)*(1-$E27)*(1-In_Degradation)^(AA109-1)*AA15*AA$6</f>
        <v>0</v>
      </c>
      <c r="AB112" s="33" t="n">
        <f aca="false">$F24*In_P50_Hours*(1-In_Curtailment)*(1-$E27)*(1-In_Degradation)^(AB109-1)*AB15*AB$6</f>
        <v>0</v>
      </c>
      <c r="AC112" s="33" t="n">
        <f aca="false">$F24*In_P50_Hours*(1-In_Curtailment)*(1-$E27)*(1-In_Degradation)^(AC109-1)*AC15*AC$6</f>
        <v>0</v>
      </c>
      <c r="AD112" s="33" t="n">
        <f aca="false">$F24*In_P50_Hours*(1-In_Curtailment)*(1-$E27)*(1-In_Degradation)^(AD109-1)*AD15*AD$6</f>
        <v>0</v>
      </c>
      <c r="AE112" s="33" t="n">
        <f aca="false">$F24*In_P50_Hours*(1-In_Curtailment)*(1-$E27)*(1-In_Degradation)^(AE109-1)*AE15*AE$6</f>
        <v>60765.3698630137</v>
      </c>
      <c r="AF112" s="33" t="n">
        <f aca="false">$F24*In_P50_Hours*(1-In_Curtailment)*(1-$E27)*(1-In_Degradation)^(AF109-1)*AF15*AF$6</f>
        <v>60104.8767123288</v>
      </c>
      <c r="AG112" s="33" t="n">
        <f aca="false">$F24*In_P50_Hours*(1-In_Curtailment)*(1-$E27)*(1-In_Degradation)^(AG109-1)*AG15*AG$6</f>
        <v>60104.8767123288</v>
      </c>
      <c r="AH112" s="33" t="n">
        <f aca="false">$F24*In_P50_Hours*(1-In_Curtailment)*(1-$E27)*(1-In_Degradation)^(AH109-1)*AH15*AH$6</f>
        <v>60765.3698630137</v>
      </c>
      <c r="AI112" s="33" t="n">
        <f aca="false">$F24*In_P50_Hours*(1-In_Curtailment)*(1-$E27)*(1-In_Degradation)^(AI109-1)*AI15*AI$6</f>
        <v>60583.0737534247</v>
      </c>
      <c r="AJ112" s="33" t="n">
        <f aca="false">$F24*In_P50_Hours*(1-In_Curtailment)*(1-$E27)*(1-In_Degradation)^(AJ109-1)*AJ15*AJ$6</f>
        <v>59266.0504109589</v>
      </c>
      <c r="AK112" s="33" t="n">
        <f aca="false">$F24*In_P50_Hours*(1-In_Curtailment)*(1-$E27)*(1-In_Degradation)^(AK109-1)*AK15*AK$6</f>
        <v>59924.5620821918</v>
      </c>
      <c r="AL112" s="33" t="n">
        <f aca="false">$F24*In_P50_Hours*(1-In_Curtailment)*(1-$E27)*(1-In_Degradation)^(AL109-1)*AL15*AL$6</f>
        <v>60583.0737534247</v>
      </c>
      <c r="AM112" s="33" t="n">
        <f aca="false">$F24*In_P50_Hours*(1-In_Curtailment)*(1-$E27)*(1-In_Degradation)^(AM109-1)*AM15*AM$6</f>
        <v>60401.3245321644</v>
      </c>
      <c r="AN112" s="33" t="n">
        <f aca="false">$F24*In_P50_Hours*(1-In_Curtailment)*(1-$E27)*(1-In_Degradation)^(AN109-1)*AN15*AN$6</f>
        <v>59088.252259726</v>
      </c>
      <c r="AO112" s="33" t="n">
        <f aca="false">$F24*In_P50_Hours*(1-In_Curtailment)*(1-$E27)*(1-In_Degradation)^(AO109-1)*AO15*AO$6</f>
        <v>59744.7883959452</v>
      </c>
      <c r="AP112" s="33" t="n">
        <f aca="false">$F24*In_P50_Hours*(1-In_Curtailment)*(1-$E27)*(1-In_Degradation)^(AP109-1)*AP15*AP$6</f>
        <v>60401.3245321644</v>
      </c>
      <c r="AQ112" s="33" t="n">
        <f aca="false">$F24*In_P50_Hours*(1-In_Curtailment)*(1-$E27)*(1-In_Degradation)^(AQ109-1)*AQ15*AQ$6</f>
        <v>60220.1205585679</v>
      </c>
      <c r="AR112" s="33" t="n">
        <f aca="false">$F24*In_P50_Hours*(1-In_Curtailment)*(1-$E27)*(1-In_Degradation)^(AR109-1)*AR15*AR$6</f>
        <v>58910.9875029468</v>
      </c>
      <c r="AS112" s="33" t="n">
        <f aca="false">$F24*In_P50_Hours*(1-In_Curtailment)*(1-$E27)*(1-In_Degradation)^(AS109-1)*AS15*AS$6</f>
        <v>59565.5540307574</v>
      </c>
      <c r="AT112" s="33" t="n">
        <f aca="false">$F24*In_P50_Hours*(1-In_Curtailment)*(1-$E27)*(1-In_Degradation)^(AT109-1)*AT15*AT$6</f>
        <v>60220.1205585679</v>
      </c>
      <c r="AU112" s="33" t="n">
        <f aca="false">$F24*In_P50_Hours*(1-In_Curtailment)*(1-$E27)*(1-In_Degradation)^(AU109-1)*AU15*AU$6</f>
        <v>60039.4601968922</v>
      </c>
      <c r="AV112" s="33" t="n">
        <f aca="false">$F24*In_P50_Hours*(1-In_Curtailment)*(1-$E27)*(1-In_Degradation)^(AV109-1)*AV15*AV$6</f>
        <v>59386.8573686651</v>
      </c>
      <c r="AW112" s="33" t="n">
        <f aca="false">$F24*In_P50_Hours*(1-In_Curtailment)*(1-$E27)*(1-In_Degradation)^(AW109-1)*AW15*AW$6</f>
        <v>59386.8573686651</v>
      </c>
      <c r="AX112" s="33" t="n">
        <f aca="false">$F24*In_P50_Hours*(1-In_Curtailment)*(1-$E27)*(1-In_Degradation)^(AX109-1)*AX15*AX$6</f>
        <v>60039.4601968922</v>
      </c>
      <c r="AY112" s="33" t="n">
        <f aca="false">$F24*In_P50_Hours*(1-In_Curtailment)*(1-$E27)*(1-In_Degradation)^(AY109-1)*AY15*AY$6</f>
        <v>59859.3418163015</v>
      </c>
      <c r="AZ112" s="33" t="n">
        <f aca="false">$F24*In_P50_Hours*(1-In_Curtailment)*(1-$E27)*(1-In_Degradation)^(AZ109-1)*AZ15*AZ$6</f>
        <v>58558.0517768167</v>
      </c>
      <c r="BA112" s="33" t="n">
        <f aca="false">$F24*In_P50_Hours*(1-In_Curtailment)*(1-$E27)*(1-In_Degradation)^(BA109-1)*BA15*BA$6</f>
        <v>59208.6967965591</v>
      </c>
      <c r="BB112" s="33" t="n">
        <f aca="false">$F24*In_P50_Hours*(1-In_Curtailment)*(1-$E27)*(1-In_Degradation)^(BB109-1)*BB15*BB$6</f>
        <v>59859.3418163015</v>
      </c>
      <c r="BC112" s="33" t="n">
        <f aca="false">$F24*In_P50_Hours*(1-In_Curtailment)*(1-$E27)*(1-In_Degradation)^(BC109-1)*BC15*BC$6</f>
        <v>59679.7637908526</v>
      </c>
      <c r="BD112" s="33" t="n">
        <f aca="false">$F24*In_P50_Hours*(1-In_Curtailment)*(1-$E27)*(1-In_Degradation)^(BD109-1)*BD15*BD$6</f>
        <v>58382.3776214862</v>
      </c>
      <c r="BE112" s="33" t="n">
        <f aca="false">$F24*In_P50_Hours*(1-In_Curtailment)*(1-$E27)*(1-In_Degradation)^(BE109-1)*BE15*BE$6</f>
        <v>59031.0707061694</v>
      </c>
      <c r="BF112" s="33" t="n">
        <f aca="false">$F24*In_P50_Hours*(1-In_Curtailment)*(1-$E27)*(1-In_Degradation)^(BF109-1)*BF15*BF$6</f>
        <v>59679.7637908526</v>
      </c>
      <c r="BG112" s="33" t="n">
        <f aca="false">$F24*In_P50_Hours*(1-In_Curtailment)*(1-$E27)*(1-In_Degradation)^(BG109-1)*BG15*BG$6</f>
        <v>59500.7244994801</v>
      </c>
      <c r="BH112" s="33" t="n">
        <f aca="false">$F24*In_P50_Hours*(1-In_Curtailment)*(1-$E27)*(1-In_Degradation)^(BH109-1)*BH15*BH$6</f>
        <v>58207.2304886218</v>
      </c>
      <c r="BI112" s="33" t="n">
        <f aca="false">$F24*In_P50_Hours*(1-In_Curtailment)*(1-$E27)*(1-In_Degradation)^(BI109-1)*BI15*BI$6</f>
        <v>58853.9774940509</v>
      </c>
      <c r="BJ112" s="33" t="n">
        <f aca="false">$F24*In_P50_Hours*(1-In_Curtailment)*(1-$E27)*(1-In_Degradation)^(BJ109-1)*BJ15*BJ$6</f>
        <v>59500.7244994801</v>
      </c>
      <c r="BK112" s="33" t="n">
        <f aca="false">$F24*In_P50_Hours*(1-In_Curtailment)*(1-$E27)*(1-In_Degradation)^(BK109-1)*BK15*BK$6</f>
        <v>59322.2223259816</v>
      </c>
      <c r="BL112" s="33" t="n">
        <f aca="false">$F24*In_P50_Hours*(1-In_Curtailment)*(1-$E27)*(1-In_Degradation)^(BL109-1)*BL15*BL$6</f>
        <v>58677.4155615688</v>
      </c>
      <c r="BM112" s="33" t="n">
        <f aca="false">$F24*In_P50_Hours*(1-In_Curtailment)*(1-$E27)*(1-In_Degradation)^(BM109-1)*BM15*BM$6</f>
        <v>58677.4155615688</v>
      </c>
      <c r="BN112" s="33" t="n">
        <f aca="false">$F24*In_P50_Hours*(1-In_Curtailment)*(1-$E27)*(1-In_Degradation)^(BN109-1)*BN15*BN$6</f>
        <v>59322.2223259816</v>
      </c>
      <c r="BO112" s="33" t="n">
        <f aca="false">$F24*In_P50_Hours*(1-In_Curtailment)*(1-$E27)*(1-In_Degradation)^(BO109-1)*BO15*BO$6</f>
        <v>59144.2556590037</v>
      </c>
      <c r="BP112" s="33" t="n">
        <f aca="false">$F24*In_P50_Hours*(1-In_Curtailment)*(1-$E27)*(1-In_Degradation)^(BP109-1)*BP15*BP$6</f>
        <v>57858.5109707644</v>
      </c>
      <c r="BQ112" s="33" t="n">
        <f aca="false">$F24*In_P50_Hours*(1-In_Curtailment)*(1-$E27)*(1-In_Degradation)^(BQ109-1)*BQ15*BQ$6</f>
        <v>58501.3833148841</v>
      </c>
      <c r="BR112" s="33" t="n">
        <f aca="false">$F24*In_P50_Hours*(1-In_Curtailment)*(1-$E27)*(1-In_Degradation)^(BR109-1)*BR15*BR$6</f>
        <v>59144.2556590037</v>
      </c>
      <c r="BS112" s="33" t="n">
        <f aca="false">$F24*In_P50_Hours*(1-In_Curtailment)*(1-$E27)*(1-In_Degradation)^(BS109-1)*BS15*BS$6</f>
        <v>58966.8228920267</v>
      </c>
      <c r="BT112" s="33" t="n">
        <f aca="false">$F24*In_P50_Hours*(1-In_Curtailment)*(1-$E27)*(1-In_Degradation)^(BT109-1)*BT15*BT$6</f>
        <v>57684.9354378522</v>
      </c>
      <c r="BU112" s="33" t="n">
        <f aca="false">$F24*In_P50_Hours*(1-In_Curtailment)*(1-$E27)*(1-In_Degradation)^(BU109-1)*BU15*BU$6</f>
        <v>58325.8791649394</v>
      </c>
      <c r="BV112" s="33" t="n">
        <f aca="false">$F24*In_P50_Hours*(1-In_Curtailment)*(1-$E27)*(1-In_Degradation)^(BV109-1)*BV15*BV$6</f>
        <v>58966.8228920267</v>
      </c>
      <c r="BW112" s="33" t="n">
        <f aca="false">$F24*In_P50_Hours*(1-In_Curtailment)*(1-$E27)*(1-In_Degradation)^(BW109-1)*BW15*BW$6</f>
        <v>58789.9224233506</v>
      </c>
      <c r="BX112" s="33" t="n">
        <f aca="false">$F24*In_P50_Hours*(1-In_Curtailment)*(1-$E27)*(1-In_Degradation)^(BX109-1)*BX15*BX$6</f>
        <v>57511.8806315386</v>
      </c>
      <c r="BY112" s="33" t="n">
        <f aca="false">$F24*In_P50_Hours*(1-In_Curtailment)*(1-$E27)*(1-In_Degradation)^(BY109-1)*BY15*BY$6</f>
        <v>58150.9015274446</v>
      </c>
      <c r="BZ112" s="33" t="n">
        <f aca="false">$F24*In_P50_Hours*(1-In_Curtailment)*(1-$E27)*(1-In_Degradation)^(BZ109-1)*BZ15*BZ$6</f>
        <v>58789.9224233506</v>
      </c>
      <c r="CA112" s="33" t="n">
        <f aca="false">$F24*In_P50_Hours*(1-In_Curtailment)*(1-$E27)*(1-In_Degradation)^(CA109-1)*CA15*CA$6</f>
        <v>58613.5526560805</v>
      </c>
      <c r="CB112" s="33" t="n">
        <f aca="false">$F24*In_P50_Hours*(1-In_Curtailment)*(1-$E27)*(1-In_Degradation)^(CB109-1)*CB15*CB$6</f>
        <v>57976.4488228623</v>
      </c>
      <c r="CC112" s="33" t="n">
        <f aca="false">$F24*In_P50_Hours*(1-In_Curtailment)*(1-$E27)*(1-In_Degradation)^(CC109-1)*CC15*CC$6</f>
        <v>57976.4488228623</v>
      </c>
      <c r="CD112" s="33" t="n">
        <f aca="false">$F24*In_P50_Hours*(1-In_Curtailment)*(1-$E27)*(1-In_Degradation)^(CD109-1)*CD15*CD$6</f>
        <v>58613.5526560805</v>
      </c>
      <c r="CE112" s="33" t="n">
        <f aca="false">$F24*In_P50_Hours*(1-In_Curtailment)*(1-$E27)*(1-In_Degradation)^(CE109-1)*CE15*CE$6</f>
        <v>58437.7119981123</v>
      </c>
      <c r="CF112" s="33" t="n">
        <f aca="false">$F24*In_P50_Hours*(1-In_Curtailment)*(1-$E27)*(1-In_Degradation)^(CF109-1)*CF15*CF$6</f>
        <v>57167.326954675</v>
      </c>
      <c r="CG112" s="33" t="n">
        <f aca="false">$F24*In_P50_Hours*(1-In_Curtailment)*(1-$E27)*(1-In_Degradation)^(CG109-1)*CG15*CG$6</f>
        <v>57802.5194763937</v>
      </c>
      <c r="CH112" s="33" t="n">
        <f aca="false">$F24*In_P50_Hours*(1-In_Curtailment)*(1-$E27)*(1-In_Degradation)^(CH109-1)*CH15*CH$6</f>
        <v>58437.7119981123</v>
      </c>
      <c r="CI112" s="33" t="n">
        <f aca="false">$F24*In_P50_Hours*(1-In_Curtailment)*(1-$E27)*(1-In_Degradation)^(CI109-1)*CI15*CI$6</f>
        <v>58262.398862118</v>
      </c>
      <c r="CJ112" s="33" t="n">
        <f aca="false">$F24*In_P50_Hours*(1-In_Curtailment)*(1-$E27)*(1-In_Degradation)^(CJ109-1)*CJ15*CJ$6</f>
        <v>56995.824973811</v>
      </c>
      <c r="CK112" s="33" t="n">
        <f aca="false">$F24*In_P50_Hours*(1-In_Curtailment)*(1-$E27)*(1-In_Degradation)^(CK109-1)*CK15*CK$6</f>
        <v>57629.1119179645</v>
      </c>
      <c r="CL112" s="33" t="n">
        <f aca="false">$F24*In_P50_Hours*(1-In_Curtailment)*(1-$E27)*(1-In_Degradation)^(CL109-1)*CL15*CL$6</f>
        <v>58262.398862118</v>
      </c>
      <c r="CM112" s="33" t="n">
        <f aca="false">$F24*In_P50_Hours*(1-In_Curtailment)*(1-$E27)*(1-In_Degradation)^(CM109-1)*CM15*CM$6</f>
        <v>58087.6116655316</v>
      </c>
      <c r="CN112" s="33" t="n">
        <f aca="false">$F24*In_P50_Hours*(1-In_Curtailment)*(1-$E27)*(1-In_Degradation)^(CN109-1)*CN15*CN$6</f>
        <v>56824.8374988896</v>
      </c>
      <c r="CO112" s="33" t="n">
        <f aca="false">$F24*In_P50_Hours*(1-In_Curtailment)*(1-$E27)*(1-In_Degradation)^(CO109-1)*CO15*CO$6</f>
        <v>57456.2245822106</v>
      </c>
      <c r="CP112" s="33" t="n">
        <f aca="false">$F24*In_P50_Hours*(1-In_Curtailment)*(1-$E27)*(1-In_Degradation)^(CP109-1)*CP15*CP$6</f>
        <v>58087.6116655316</v>
      </c>
      <c r="CQ112" s="33" t="n">
        <f aca="false">$F24*In_P50_Hours*(1-In_Curtailment)*(1-$E27)*(1-In_Degradation)^(CQ109-1)*CQ15*CQ$6</f>
        <v>57913.348830535</v>
      </c>
      <c r="CR112" s="33" t="n">
        <f aca="false">$F24*In_P50_Hours*(1-In_Curtailment)*(1-$E27)*(1-In_Degradation)^(CR109-1)*CR15*CR$6</f>
        <v>57283.855908464</v>
      </c>
      <c r="CS112" s="33" t="n">
        <f aca="false">$F24*In_P50_Hours*(1-In_Curtailment)*(1-$E27)*(1-In_Degradation)^(CS109-1)*CS15*CS$6</f>
        <v>57283.855908464</v>
      </c>
      <c r="CT112" s="33" t="n">
        <f aca="false">$F24*In_P50_Hours*(1-In_Curtailment)*(1-$E27)*(1-In_Degradation)^(CT109-1)*CT15*CT$6</f>
        <v>57913.348830535</v>
      </c>
      <c r="CU112" s="33" t="n">
        <f aca="false">$F24*In_P50_Hours*(1-In_Curtailment)*(1-$E27)*(1-In_Degradation)^(CU109-1)*CU15*CU$6</f>
        <v>57739.6087840434</v>
      </c>
      <c r="CV112" s="33" t="n">
        <f aca="false">$F24*In_P50_Hours*(1-In_Curtailment)*(1-$E27)*(1-In_Degradation)^(CV109-1)*CV15*CV$6</f>
        <v>56484.3998974337</v>
      </c>
      <c r="CW112" s="33" t="n">
        <f aca="false">$F24*In_P50_Hours*(1-In_Curtailment)*(1-$E27)*(1-In_Degradation)^(CW109-1)*CW15*CW$6</f>
        <v>57112.0043407386</v>
      </c>
      <c r="CX112" s="33" t="n">
        <f aca="false">$F24*In_P50_Hours*(1-In_Curtailment)*(1-$E27)*(1-In_Degradation)^(CX109-1)*CX15*CX$6</f>
        <v>57739.6087840434</v>
      </c>
      <c r="CY112" s="33" t="n">
        <f aca="false">$F24*In_P50_Hours*(1-In_Curtailment)*(1-$E27)*(1-In_Degradation)^(CY109-1)*CY15*CY$6</f>
        <v>57566.3899576913</v>
      </c>
      <c r="CZ112" s="33" t="n">
        <f aca="false">$F24*In_P50_Hours*(1-In_Curtailment)*(1-$E27)*(1-In_Degradation)^(CZ109-1)*CZ15*CZ$6</f>
        <v>56314.9466977414</v>
      </c>
      <c r="DA112" s="33" t="n">
        <f aca="false">$F24*In_P50_Hours*(1-In_Curtailment)*(1-$E27)*(1-In_Degradation)^(DA109-1)*DA15*DA$6</f>
        <v>56940.6683277164</v>
      </c>
      <c r="DB112" s="33" t="n">
        <f aca="false">$F24*In_P50_Hours*(1-In_Curtailment)*(1-$E27)*(1-In_Degradation)^(DB109-1)*DB15*DB$6</f>
        <v>57566.3899576913</v>
      </c>
      <c r="DC112" s="33" t="n">
        <f aca="false">$F24*In_P50_Hours*(1-In_Curtailment)*(1-$E27)*(1-In_Degradation)^(DC109-1)*DC15*DC$6</f>
        <v>57393.6907878182</v>
      </c>
      <c r="DD112" s="33" t="n">
        <f aca="false">$F24*In_P50_Hours*(1-In_Curtailment)*(1-$E27)*(1-In_Degradation)^(DD109-1)*DD15*DD$6</f>
        <v>56146.0018576482</v>
      </c>
      <c r="DE112" s="33" t="n">
        <f aca="false">$F24*In_P50_Hours*(1-In_Curtailment)*(1-$E27)*(1-In_Degradation)^(DE109-1)*DE15*DE$6</f>
        <v>56769.8463227332</v>
      </c>
      <c r="DF112" s="33" t="n">
        <f aca="false">$F24*In_P50_Hours*(1-In_Curtailment)*(1-$E27)*(1-In_Degradation)^(DF109-1)*DF15*DF$6</f>
        <v>57393.6907878182</v>
      </c>
      <c r="DG112" s="33" t="n">
        <f aca="false">$F24*In_P50_Hours*(1-In_Curtailment)*(1-$E27)*(1-In_Degradation)^(DG109-1)*DG15*DG$6</f>
        <v>57221.5097154547</v>
      </c>
      <c r="DH112" s="33" t="n">
        <f aca="false">$F24*In_P50_Hours*(1-In_Curtailment)*(1-$E27)*(1-In_Degradation)^(DH109-1)*DH15*DH$6</f>
        <v>56599.536783765</v>
      </c>
      <c r="DI112" s="33" t="n">
        <f aca="false">$F24*In_P50_Hours*(1-In_Curtailment)*(1-$E27)*(1-In_Degradation)^(DI109-1)*DI15*DI$6</f>
        <v>56599.536783765</v>
      </c>
      <c r="DJ112" s="33" t="n">
        <f aca="false">$F24*In_P50_Hours*(1-In_Curtailment)*(1-$E27)*(1-In_Degradation)^(DJ109-1)*DJ15*DJ$6</f>
        <v>57221.5097154547</v>
      </c>
      <c r="DK112" s="33" t="n">
        <f aca="false">$F24*In_P50_Hours*(1-In_Curtailment)*(1-$E27)*(1-In_Degradation)^(DK109-1)*DK15*DK$6</f>
        <v>57049.8451863084</v>
      </c>
      <c r="DL112" s="33" t="n">
        <f aca="false">$F24*In_P50_Hours*(1-In_Curtailment)*(1-$E27)*(1-In_Degradation)^(DL109-1)*DL15*DL$6</f>
        <v>55809.6311605191</v>
      </c>
      <c r="DM112" s="33" t="n">
        <f aca="false">$F24*In_P50_Hours*(1-In_Curtailment)*(1-$E27)*(1-In_Degradation)^(DM109-1)*DM15*DM$6</f>
        <v>56429.7381734137</v>
      </c>
      <c r="DN112" s="33" t="n">
        <f aca="false">$F24*In_P50_Hours*(1-In_Curtailment)*(1-$E27)*(1-In_Degradation)^(DN109-1)*DN15*DN$6</f>
        <v>57049.8451863084</v>
      </c>
      <c r="DO112" s="33" t="n">
        <f aca="false">$F24*In_P50_Hours*(1-In_Curtailment)*(1-$E27)*(1-In_Degradation)^(DO109-1)*DO15*DO$6</f>
        <v>56878.6956507494</v>
      </c>
      <c r="DP112" s="33" t="n">
        <f aca="false">$F24*In_P50_Hours*(1-In_Curtailment)*(1-$E27)*(1-In_Degradation)^(DP109-1)*DP15*DP$6</f>
        <v>55642.2022670375</v>
      </c>
      <c r="DQ112" s="33" t="n">
        <f aca="false">$F24*In_P50_Hours*(1-In_Curtailment)*(1-$E27)*(1-In_Degradation)^(DQ109-1)*DQ15*DQ$6</f>
        <v>56260.4489588935</v>
      </c>
      <c r="DR112" s="33" t="n">
        <f aca="false">$F24*In_P50_Hours*(1-In_Curtailment)*(1-$E27)*(1-In_Degradation)^(DR109-1)*DR15*DR$6</f>
        <v>56878.6956507494</v>
      </c>
      <c r="DS112" s="33" t="n">
        <f aca="false">$F24*In_P50_Hours*(1-In_Curtailment)*(1-$E27)*(1-In_Degradation)^(DS109-1)*DS15*DS$6</f>
        <v>56708.0595637972</v>
      </c>
      <c r="DT112" s="33" t="n">
        <f aca="false">$F24*In_P50_Hours*(1-In_Curtailment)*(1-$E27)*(1-In_Degradation)^(DT109-1)*DT15*DT$6</f>
        <v>55475.2756602364</v>
      </c>
      <c r="DU112" s="33" t="n">
        <f aca="false">$F24*In_P50_Hours*(1-In_Curtailment)*(1-$E27)*(1-In_Degradation)^(DU109-1)*DU15*DU$6</f>
        <v>56091.6676120168</v>
      </c>
      <c r="DV112" s="33" t="n">
        <f aca="false">$F24*In_P50_Hours*(1-In_Curtailment)*(1-$E27)*(1-In_Degradation)^(DV109-1)*DV15*DV$6</f>
        <v>56708.0595637972</v>
      </c>
      <c r="DW112" s="33" t="n">
        <f aca="false">$F24*In_P50_Hours*(1-In_Curtailment)*(1-$E27)*(1-In_Degradation)^(DW109-1)*DW15*DW$6</f>
        <v>56537.9353851058</v>
      </c>
      <c r="DX112" s="33" t="n">
        <f aca="false">$F24*In_P50_Hours*(1-In_Curtailment)*(1-$E27)*(1-In_Degradation)^(DX109-1)*DX15*DX$6</f>
        <v>55923.3926091807</v>
      </c>
      <c r="DY112" s="33" t="n">
        <f aca="false">$F24*In_P50_Hours*(1-In_Curtailment)*(1-$E27)*(1-In_Degradation)^(DY109-1)*DY15*DY$6</f>
        <v>55923.3926091807</v>
      </c>
      <c r="DZ112" s="33" t="n">
        <f aca="false">$F24*In_P50_Hours*(1-In_Curtailment)*(1-$E27)*(1-In_Degradation)^(DZ109-1)*DZ15*DZ$6</f>
        <v>56537.9353851058</v>
      </c>
      <c r="EA112" s="33" t="n">
        <f aca="false">$F24*In_P50_Hours*(1-In_Curtailment)*(1-$E27)*(1-In_Degradation)^(EA109-1)*EA15*EA$6</f>
        <v>56368.3215789505</v>
      </c>
      <c r="EB112" s="33" t="n">
        <f aca="false">$F24*In_P50_Hours*(1-In_Curtailment)*(1-$E27)*(1-In_Degradation)^(EB109-1)*EB15*EB$6</f>
        <v>55142.9232837559</v>
      </c>
      <c r="EC112" s="33" t="n">
        <f aca="false">$F24*In_P50_Hours*(1-In_Curtailment)*(1-$E27)*(1-In_Degradation)^(EC109-1)*EC15*EC$6</f>
        <v>55755.6224313532</v>
      </c>
      <c r="ED112" s="33" t="n">
        <f aca="false">$F24*In_P50_Hours*(1-In_Curtailment)*(1-$E27)*(1-In_Degradation)^(ED109-1)*ED15*ED$6</f>
        <v>56368.3215789505</v>
      </c>
      <c r="EE112" s="33" t="n">
        <f aca="false">$F24*In_P50_Hours*(1-In_Curtailment)*(1-$E27)*(1-In_Degradation)^(EE109-1)*EE15*EE$6</f>
        <v>56199.2166142136</v>
      </c>
      <c r="EF112" s="33" t="n">
        <f aca="false">$F24*In_P50_Hours*(1-In_Curtailment)*(1-$E27)*(1-In_Degradation)^(EF109-1)*EF15*EF$6</f>
        <v>54977.4945139046</v>
      </c>
      <c r="EG112" s="33" t="n">
        <f aca="false">$F24*In_P50_Hours*(1-In_Curtailment)*(1-$E27)*(1-In_Degradation)^(EG109-1)*EG15*EG$6</f>
        <v>55588.3555640591</v>
      </c>
      <c r="EH112" s="33" t="n">
        <f aca="false">$F24*In_P50_Hours*(1-In_Curtailment)*(1-$E27)*(1-In_Degradation)^(EH109-1)*EH15*EH$6</f>
        <v>56199.2166142136</v>
      </c>
      <c r="EI112" s="33" t="n">
        <f aca="false">$F24*In_P50_Hours*(1-In_Curtailment)*(1-$E27)*(1-In_Degradation)^(EI109-1)*EI15*EI$6</f>
        <v>56030.618964371</v>
      </c>
      <c r="EJ112" s="33" t="n">
        <f aca="false">$F24*In_P50_Hours*(1-In_Curtailment)*(1-$E27)*(1-In_Degradation)^(EJ109-1)*EJ15*EJ$6</f>
        <v>54812.5620303629</v>
      </c>
      <c r="EK112" s="33" t="n">
        <f aca="false">$F24*In_P50_Hours*(1-In_Curtailment)*(1-$E27)*(1-In_Degradation)^(EK109-1)*EK15*EK$6</f>
        <v>55421.590497367</v>
      </c>
      <c r="EL112" s="33" t="n">
        <f aca="false">$F24*In_P50_Hours*(1-In_Curtailment)*(1-$E27)*(1-In_Degradation)^(EL109-1)*EL15*EL$6</f>
        <v>56030.618964371</v>
      </c>
      <c r="EM112" s="33" t="n">
        <f aca="false">$F24*In_P50_Hours*(1-In_Curtailment)*(1-$E27)*(1-In_Degradation)^(EM109-1)*EM15*EM$6</f>
        <v>55862.5271074779</v>
      </c>
      <c r="EN112" s="33" t="n">
        <f aca="false">$F24*In_P50_Hours*(1-In_Curtailment)*(1-$E27)*(1-In_Degradation)^(EN109-1)*EN15*EN$6</f>
        <v>55255.3257258749</v>
      </c>
      <c r="EO112" s="33" t="n">
        <f aca="false">$F24*In_P50_Hours*(1-In_Curtailment)*(1-$E27)*(1-In_Degradation)^(EO109-1)*EO15*EO$6</f>
        <v>55255.3257258749</v>
      </c>
      <c r="EP112" s="33" t="n">
        <f aca="false">$F24*In_P50_Hours*(1-In_Curtailment)*(1-$E27)*(1-In_Degradation)^(EP109-1)*EP15*EP$6</f>
        <v>55862.5271074779</v>
      </c>
      <c r="EQ112" s="33" t="n">
        <f aca="false">$F24*In_P50_Hours*(1-In_Curtailment)*(1-$E27)*(1-In_Degradation)^(EQ109-1)*EQ15*EQ$6</f>
        <v>55694.9395261554</v>
      </c>
      <c r="ER112" s="33" t="n">
        <f aca="false">$F24*In_P50_Hours*(1-In_Curtailment)*(1-$E27)*(1-In_Degradation)^(ER109-1)*ER15*ER$6</f>
        <v>54484.179971239</v>
      </c>
      <c r="ES112" s="33" t="n">
        <f aca="false">$F24*In_P50_Hours*(1-In_Curtailment)*(1-$E27)*(1-In_Degradation)^(ES109-1)*ES15*ES$6</f>
        <v>55089.5597486972</v>
      </c>
      <c r="ET112" s="33" t="n">
        <f aca="false">$F24*In_P50_Hours*(1-In_Curtailment)*(1-$E27)*(1-In_Degradation)^(ET109-1)*ET15*ET$6</f>
        <v>55694.9395261554</v>
      </c>
    </row>
    <row r="113" customFormat="false" ht="15" hidden="false" customHeight="false" outlineLevel="0" collapsed="false">
      <c r="C113" s="0" t="s">
        <v>566</v>
      </c>
      <c r="D113" s="11" t="s">
        <v>253</v>
      </c>
      <c r="I113" s="33" t="n">
        <f aca="false">SUM(J113:ET113)</f>
        <v>727113.739439716</v>
      </c>
      <c r="J113" s="33" t="n">
        <f aca="false">J112*J111/Thousand</f>
        <v>0</v>
      </c>
      <c r="K113" s="33" t="n">
        <f aca="false">K112*K111/Thousand</f>
        <v>0</v>
      </c>
      <c r="L113" s="33" t="n">
        <f aca="false">L112*L111/Thousand</f>
        <v>0</v>
      </c>
      <c r="M113" s="33" t="n">
        <f aca="false">M112*M111/Thousand</f>
        <v>0</v>
      </c>
      <c r="N113" s="33" t="n">
        <f aca="false">N112*N111/Thousand</f>
        <v>0</v>
      </c>
      <c r="O113" s="33" t="n">
        <f aca="false">O112*O111/Thousand</f>
        <v>0</v>
      </c>
      <c r="P113" s="33" t="n">
        <f aca="false">P112*P111/Thousand</f>
        <v>0</v>
      </c>
      <c r="Q113" s="33" t="n">
        <f aca="false">Q112*Q111/Thousand</f>
        <v>0</v>
      </c>
      <c r="R113" s="33" t="n">
        <f aca="false">R112*R111/Thousand</f>
        <v>0</v>
      </c>
      <c r="S113" s="33" t="n">
        <f aca="false">S112*S111/Thousand</f>
        <v>0</v>
      </c>
      <c r="T113" s="33" t="n">
        <f aca="false">T112*T111/Thousand</f>
        <v>0</v>
      </c>
      <c r="U113" s="33" t="n">
        <f aca="false">U112*U111/Thousand</f>
        <v>0</v>
      </c>
      <c r="V113" s="33" t="n">
        <f aca="false">V112*V111/Thousand</f>
        <v>0</v>
      </c>
      <c r="W113" s="33" t="n">
        <f aca="false">W112*W111/Thousand</f>
        <v>0</v>
      </c>
      <c r="X113" s="33" t="n">
        <f aca="false">X112*X111/Thousand</f>
        <v>0</v>
      </c>
      <c r="Y113" s="33" t="n">
        <f aca="false">Y112*Y111/Thousand</f>
        <v>0</v>
      </c>
      <c r="Z113" s="33" t="n">
        <f aca="false">Z112*Z111/Thousand</f>
        <v>0</v>
      </c>
      <c r="AA113" s="33" t="n">
        <f aca="false">AA112*AA111/Thousand</f>
        <v>0</v>
      </c>
      <c r="AB113" s="33" t="n">
        <f aca="false">AB112*AB111/Thousand</f>
        <v>0</v>
      </c>
      <c r="AC113" s="33" t="n">
        <f aca="false">AC112*AC111/Thousand</f>
        <v>0</v>
      </c>
      <c r="AD113" s="33" t="n">
        <f aca="false">AD112*AD111/Thousand</f>
        <v>0</v>
      </c>
      <c r="AE113" s="33" t="n">
        <f aca="false">AE112*AE111/Thousand</f>
        <v>5468.88328767123</v>
      </c>
      <c r="AF113" s="33" t="n">
        <f aca="false">AF112*AF111/Thousand</f>
        <v>5463.53329315069</v>
      </c>
      <c r="AG113" s="33" t="n">
        <f aca="false">AG112*AG111/Thousand</f>
        <v>5463.53329315069</v>
      </c>
      <c r="AH113" s="33" t="n">
        <f aca="false">AH112*AH111/Thousand</f>
        <v>5523.57212054795</v>
      </c>
      <c r="AI113" s="33" t="n">
        <f aca="false">AI112*AI111/Thousand</f>
        <v>5507.0014041863</v>
      </c>
      <c r="AJ113" s="33" t="n">
        <f aca="false">AJ112*AJ111/Thousand</f>
        <v>5441.15682217973</v>
      </c>
      <c r="AK113" s="33" t="n">
        <f aca="false">AK112*AK111/Thousand</f>
        <v>5501.61412020395</v>
      </c>
      <c r="AL113" s="33" t="n">
        <f aca="false">AL112*AL111/Thousand</f>
        <v>5562.07141822817</v>
      </c>
      <c r="AM113" s="33" t="n">
        <f aca="false">AM112*AM111/Thousand</f>
        <v>5545.38520397348</v>
      </c>
      <c r="AN113" s="33" t="n">
        <f aca="false">AN112*AN111/Thousand</f>
        <v>5479.08168523032</v>
      </c>
      <c r="AO113" s="33" t="n">
        <f aca="false">AO112*AO111/Thousand</f>
        <v>5539.96037062177</v>
      </c>
      <c r="AP113" s="33" t="n">
        <f aca="false">AP112*AP111/Thousand</f>
        <v>5600.83905601322</v>
      </c>
      <c r="AQ113" s="33" t="n">
        <f aca="false">AQ112*AQ111/Thousand</f>
        <v>5584.03653884518</v>
      </c>
      <c r="AR113" s="33" t="n">
        <f aca="false">AR112*AR111/Thousand</f>
        <v>5517.27088457637</v>
      </c>
      <c r="AS113" s="33" t="n">
        <f aca="false">AS112*AS111/Thousand</f>
        <v>5578.573894405</v>
      </c>
      <c r="AT113" s="33" t="n">
        <f aca="false">AT112*AT111/Thousand</f>
        <v>5639.87690423363</v>
      </c>
      <c r="AU113" s="33" t="n">
        <f aca="false">AU112*AU111/Thousand</f>
        <v>5622.95727352093</v>
      </c>
      <c r="AV113" s="33" t="n">
        <f aca="false">AV112*AV111/Thousand</f>
        <v>5617.456554449</v>
      </c>
      <c r="AW113" s="33" t="n">
        <f aca="false">AW112*AW111/Thousand</f>
        <v>5617.456554449</v>
      </c>
      <c r="AX113" s="33" t="n">
        <f aca="false">AX112*AX111/Thousand</f>
        <v>5679.18684625614</v>
      </c>
      <c r="AY113" s="33" t="n">
        <f aca="false">AY112*AY111/Thousand</f>
        <v>5662.14928571737</v>
      </c>
      <c r="AZ113" s="33" t="n">
        <f aca="false">AZ112*AZ111/Thousand</f>
        <v>5594.44967469249</v>
      </c>
      <c r="BA113" s="33" t="n">
        <f aca="false">BA112*BA111/Thousand</f>
        <v>5656.61022663352</v>
      </c>
      <c r="BB113" s="33" t="n">
        <f aca="false">BB112*BB111/Thousand</f>
        <v>5718.77077857454</v>
      </c>
      <c r="BC113" s="33" t="n">
        <f aca="false">BC112*BC111/Thousand</f>
        <v>5701.61446623882</v>
      </c>
      <c r="BD113" s="33" t="n">
        <f aca="false">BD112*BD111/Thousand</f>
        <v>5633.44298892509</v>
      </c>
      <c r="BE113" s="33" t="n">
        <f aca="false">BE112*BE111/Thousand</f>
        <v>5696.03679991315</v>
      </c>
      <c r="BF113" s="33" t="n">
        <f aca="false">BF112*BF111/Thousand</f>
        <v>5758.63061090121</v>
      </c>
      <c r="BG113" s="33" t="n">
        <f aca="false">BG112*BG111/Thousand</f>
        <v>5741.3547190685</v>
      </c>
      <c r="BH113" s="33" t="n">
        <f aca="false">BH112*BH111/Thousand</f>
        <v>5672.7080865579</v>
      </c>
      <c r="BI113" s="33" t="n">
        <f aca="false">BI112*BI111/Thousand</f>
        <v>5735.73817640854</v>
      </c>
      <c r="BJ113" s="33" t="n">
        <f aca="false">BJ112*BJ111/Thousand</f>
        <v>5798.76826625919</v>
      </c>
      <c r="BK113" s="33" t="n">
        <f aca="false">BK112*BK111/Thousand</f>
        <v>5781.37196146041</v>
      </c>
      <c r="BL113" s="33" t="n">
        <f aca="false">BL112*BL111/Thousand</f>
        <v>5775.71627149811</v>
      </c>
      <c r="BM113" s="33" t="n">
        <f aca="false">BM112*BM111/Thousand</f>
        <v>5775.71627149811</v>
      </c>
      <c r="BN113" s="33" t="n">
        <f aca="false">BN112*BN111/Thousand</f>
        <v>5839.18568107501</v>
      </c>
      <c r="BO113" s="33" t="n">
        <f aca="false">BO112*BO111/Thousand</f>
        <v>5821.66812403179</v>
      </c>
      <c r="BP113" s="33" t="n">
        <f aca="false">BP112*BP111/Thousand</f>
        <v>5752.0612225488</v>
      </c>
      <c r="BQ113" s="33" t="n">
        <f aca="false">BQ112*BQ111/Thousand</f>
        <v>5815.97301391045</v>
      </c>
      <c r="BR113" s="33" t="n">
        <f aca="false">BR112*BR111/Thousand</f>
        <v>5879.88480527211</v>
      </c>
      <c r="BS113" s="33" t="n">
        <f aca="false">BS112*BS111/Thousand</f>
        <v>5862.24515085629</v>
      </c>
      <c r="BT113" s="33" t="n">
        <f aca="false">BT112*BT111/Thousand</f>
        <v>5792.15308926996</v>
      </c>
      <c r="BU113" s="33" t="n">
        <f aca="false">BU112*BU111/Thousand</f>
        <v>5856.51034581741</v>
      </c>
      <c r="BV113" s="33" t="n">
        <f aca="false">BV112*BV111/Thousand</f>
        <v>5920.86760236485</v>
      </c>
      <c r="BW113" s="33" t="n">
        <f aca="false">BW112*BW111/Thousand</f>
        <v>5903.10499955776</v>
      </c>
      <c r="BX113" s="33" t="n">
        <f aca="false">BX112*BX111/Thousand</f>
        <v>5832.52439630218</v>
      </c>
      <c r="BY113" s="33" t="n">
        <f aca="false">BY112*BY111/Thousand</f>
        <v>5897.33022292776</v>
      </c>
      <c r="BZ113" s="33" t="n">
        <f aca="false">BZ112*BZ111/Thousand</f>
        <v>5962.13604955334</v>
      </c>
      <c r="CA113" s="33" t="n">
        <f aca="false">CA112*CA111/Thousand</f>
        <v>5944.24964140468</v>
      </c>
      <c r="CB113" s="33" t="n">
        <f aca="false">CB112*CB111/Thousand</f>
        <v>5938.43461458156</v>
      </c>
      <c r="CC113" s="33" t="n">
        <f aca="false">CC112*CC111/Thousand</f>
        <v>5938.43461458156</v>
      </c>
      <c r="CD113" s="33" t="n">
        <f aca="false">CD112*CD111/Thousand</f>
        <v>6003.69213781872</v>
      </c>
      <c r="CE113" s="33" t="n">
        <f aca="false">CE112*CE111/Thousand</f>
        <v>5985.68106140527</v>
      </c>
      <c r="CF113" s="33" t="n">
        <f aca="false">CF112*CF111/Thousand</f>
        <v>5914.11313567107</v>
      </c>
      <c r="CG113" s="33" t="n">
        <f aca="false">CG112*CG111/Thousand</f>
        <v>5979.8255038452</v>
      </c>
      <c r="CH113" s="33" t="n">
        <f aca="false">CH112*CH111/Thousand</f>
        <v>6045.53787201932</v>
      </c>
      <c r="CI113" s="33" t="n">
        <f aca="false">CI112*CI111/Thousand</f>
        <v>6027.40125840326</v>
      </c>
      <c r="CJ113" s="33" t="n">
        <f aca="false">CJ112*CJ111/Thousand</f>
        <v>5955.3345042267</v>
      </c>
      <c r="CK113" s="33" t="n">
        <f aca="false">CK112*CK111/Thousand</f>
        <v>6021.504887607</v>
      </c>
      <c r="CL113" s="33" t="n">
        <f aca="false">CL112*CL111/Thousand</f>
        <v>6087.67527098729</v>
      </c>
      <c r="CM113" s="33" t="n">
        <f aca="false">CM112*CM111/Thousand</f>
        <v>6069.41224517433</v>
      </c>
      <c r="CN113" s="33" t="n">
        <f aca="false">CN112*CN111/Thousand</f>
        <v>5996.84318572116</v>
      </c>
      <c r="CO113" s="33" t="n">
        <f aca="false">CO112*CO111/Thousand</f>
        <v>6063.47477667362</v>
      </c>
      <c r="CP113" s="33" t="n">
        <f aca="false">CP112*CP111/Thousand</f>
        <v>6130.10636762608</v>
      </c>
      <c r="CQ113" s="33" t="n">
        <f aca="false">CQ112*CQ111/Thousand</f>
        <v>6111.7160485232</v>
      </c>
      <c r="CR113" s="33" t="n">
        <f aca="false">CR112*CR111/Thousand</f>
        <v>6105.73719586703</v>
      </c>
      <c r="CS113" s="33" t="n">
        <f aca="false">CS112*CS111/Thousand</f>
        <v>6105.73719586703</v>
      </c>
      <c r="CT113" s="33" t="n">
        <f aca="false">CT112*CT111/Thousand</f>
        <v>6172.83320900843</v>
      </c>
      <c r="CU113" s="33" t="n">
        <f aca="false">CU112*CU111/Thousand</f>
        <v>6154.3147093814</v>
      </c>
      <c r="CV113" s="33" t="n">
        <f aca="false">CV112*CV111/Thousand</f>
        <v>6080.73051176923</v>
      </c>
      <c r="CW113" s="33" t="n">
        <f aca="false">CW112*CW111/Thousand</f>
        <v>6148.29418412223</v>
      </c>
      <c r="CX113" s="33" t="n">
        <f aca="false">CX112*CX111/Thousand</f>
        <v>6215.85785647522</v>
      </c>
      <c r="CY113" s="33" t="n">
        <f aca="false">CY112*CY111/Thousand</f>
        <v>6197.21028290579</v>
      </c>
      <c r="CZ113" s="33" t="n">
        <f aca="false">CZ112*CZ111/Thousand</f>
        <v>6123.11320343627</v>
      </c>
      <c r="DA113" s="33" t="n">
        <f aca="false">DA112*DA111/Thousand</f>
        <v>6191.14779458556</v>
      </c>
      <c r="DB113" s="33" t="n">
        <f aca="false">DB112*DB111/Thousand</f>
        <v>6259.18238573485</v>
      </c>
      <c r="DC113" s="33" t="n">
        <f aca="false">DC112*DC111/Thousand</f>
        <v>6240.40483857765</v>
      </c>
      <c r="DD113" s="33" t="n">
        <f aca="false">DD112*DD111/Thousand</f>
        <v>6165.79130246422</v>
      </c>
      <c r="DE113" s="33" t="n">
        <f aca="false">DE112*DE111/Thousand</f>
        <v>6234.30009471382</v>
      </c>
      <c r="DF113" s="33" t="n">
        <f aca="false">DF112*DF111/Thousand</f>
        <v>6302.80888696342</v>
      </c>
      <c r="DG113" s="33" t="n">
        <f aca="false">DG112*DG111/Thousand</f>
        <v>6283.90046030253</v>
      </c>
      <c r="DH113" s="33" t="n">
        <f aca="false">DH112*DH111/Thousand</f>
        <v>6277.75316637398</v>
      </c>
      <c r="DI113" s="33" t="n">
        <f aca="false">DI112*DI111/Thousand</f>
        <v>6277.75316637398</v>
      </c>
      <c r="DJ113" s="33" t="n">
        <f aca="false">DJ112*DJ111/Thousand</f>
        <v>6346.73946490556</v>
      </c>
      <c r="DK113" s="33" t="n">
        <f aca="false">DK112*DK111/Thousand</f>
        <v>6327.69924651084</v>
      </c>
      <c r="DL113" s="33" t="n">
        <f aca="false">DL112*DL111/Thousand</f>
        <v>6252.04197291125</v>
      </c>
      <c r="DM113" s="33" t="n">
        <f aca="false">DM112*DM111/Thousand</f>
        <v>6321.5091059436</v>
      </c>
      <c r="DN113" s="33" t="n">
        <f aca="false">DN112*DN111/Thousand</f>
        <v>6390.97623897595</v>
      </c>
      <c r="DO113" s="33" t="n">
        <f aca="false">DO112*DO111/Thousand</f>
        <v>6371.80331025902</v>
      </c>
      <c r="DP113" s="33" t="n">
        <f aca="false">DP112*DP111/Thousand</f>
        <v>6295.61870546244</v>
      </c>
      <c r="DQ113" s="33" t="n">
        <f aca="false">DQ112*DQ111/Thousand</f>
        <v>6365.57002441203</v>
      </c>
      <c r="DR113" s="33" t="n">
        <f aca="false">DR112*DR111/Thousand</f>
        <v>6435.52134336161</v>
      </c>
      <c r="DS113" s="33" t="n">
        <f aca="false">DS112*DS111/Thousand</f>
        <v>6416.21477933153</v>
      </c>
      <c r="DT113" s="33" t="n">
        <f aca="false">DT112*DT111/Thousand</f>
        <v>6339.49916783952</v>
      </c>
      <c r="DU113" s="33" t="n">
        <f aca="false">DU112*DU111/Thousand</f>
        <v>6409.93804748218</v>
      </c>
      <c r="DV113" s="33" t="n">
        <f aca="false">DV112*DV111/Thousand</f>
        <v>6480.37692712484</v>
      </c>
      <c r="DW113" s="33" t="n">
        <f aca="false">DW112*DW111/Thousand</f>
        <v>6460.93579634347</v>
      </c>
      <c r="DX113" s="33" t="n">
        <f aca="false">DX112*DX111/Thousand</f>
        <v>6454.61531567313</v>
      </c>
      <c r="DY113" s="33" t="n">
        <f aca="false">DY112*DY111/Thousand</f>
        <v>6454.61531567313</v>
      </c>
      <c r="DZ113" s="33" t="n">
        <f aca="false">DZ112*DZ111/Thousand</f>
        <v>6525.5451543069</v>
      </c>
      <c r="EA113" s="33" t="n">
        <f aca="false">EA112*EA111/Thousand</f>
        <v>6505.96851884398</v>
      </c>
      <c r="EB113" s="33" t="n">
        <f aca="false">EB112*EB111/Thousand</f>
        <v>6428.17976481433</v>
      </c>
      <c r="EC113" s="33" t="n">
        <f aca="false">EC112*EC111/Thousand</f>
        <v>6499.60398442337</v>
      </c>
      <c r="ED113" s="33" t="n">
        <f aca="false">ED112*ED111/Thousand</f>
        <v>6571.02820403242</v>
      </c>
      <c r="EE113" s="33" t="n">
        <f aca="false">EE112*EE111/Thousand</f>
        <v>6551.31511942033</v>
      </c>
      <c r="EF113" s="33" t="n">
        <f aca="false">EF112*EF111/Thousand</f>
        <v>6472.98417777508</v>
      </c>
      <c r="EG113" s="33" t="n">
        <f aca="false">EG112*EG111/Thousand</f>
        <v>6544.90622419481</v>
      </c>
      <c r="EH113" s="33" t="n">
        <f aca="false">EH112*EH111/Thousand</f>
        <v>6616.82827061453</v>
      </c>
      <c r="EI113" s="33" t="n">
        <f aca="false">EI112*EI111/Thousand</f>
        <v>6596.97778580269</v>
      </c>
      <c r="EJ113" s="33" t="n">
        <f aca="false">EJ112*EJ111/Thousand</f>
        <v>6518.10087749417</v>
      </c>
      <c r="EK113" s="33" t="n">
        <f aca="false">EK112*EK111/Thousand</f>
        <v>6590.52422057744</v>
      </c>
      <c r="EL113" s="33" t="n">
        <f aca="false">EL112*EL111/Thousand</f>
        <v>6662.94756366071</v>
      </c>
      <c r="EM113" s="33" t="n">
        <f aca="false">EM112*EM111/Thousand</f>
        <v>6642.95872096973</v>
      </c>
      <c r="EN113" s="33" t="n">
        <f aca="false">EN112*EN111/Thousand</f>
        <v>6636.46017439487</v>
      </c>
      <c r="EO113" s="33" t="n">
        <f aca="false">EO112*EO111/Thousand</f>
        <v>6636.46017439487</v>
      </c>
      <c r="EP113" s="33" t="n">
        <f aca="false">EP112*EP111/Thousand</f>
        <v>6709.38830817943</v>
      </c>
      <c r="EQ113" s="33" t="n">
        <f aca="false">EQ112*EQ111/Thousand</f>
        <v>6689.26014325489</v>
      </c>
      <c r="ER113" s="33" t="n">
        <f aca="false">ER112*ER111/Thousand</f>
        <v>6609.27985893336</v>
      </c>
      <c r="ES113" s="33" t="n">
        <f aca="false">ES112*ES111/Thousand</f>
        <v>6682.7163018104</v>
      </c>
      <c r="ET113" s="33" t="n">
        <f aca="false">ET112*ET111/Thousand</f>
        <v>6756.15274468744</v>
      </c>
    </row>
    <row r="114" customFormat="false" ht="15" hidden="false" customHeight="false" outlineLevel="0" collapsed="false">
      <c r="C114" s="0" t="s">
        <v>567</v>
      </c>
      <c r="D114" s="11" t="s">
        <v>253</v>
      </c>
      <c r="I114" s="33" t="n">
        <f aca="false">SUM(J114:ET114)</f>
        <v>-51382.5373327149</v>
      </c>
      <c r="J114" s="33" t="n">
        <f aca="false">-In_Var_Opex*J112*J110/Thousand</f>
        <v>-0</v>
      </c>
      <c r="K114" s="33" t="n">
        <f aca="false">-In_Var_Opex*K112*K110/Thousand</f>
        <v>-0</v>
      </c>
      <c r="L114" s="33" t="n">
        <f aca="false">-In_Var_Opex*L112*L110/Thousand</f>
        <v>-0</v>
      </c>
      <c r="M114" s="33" t="n">
        <f aca="false">-In_Var_Opex*M112*M110/Thousand</f>
        <v>-0</v>
      </c>
      <c r="N114" s="33" t="n">
        <f aca="false">-In_Var_Opex*N112*N110/Thousand</f>
        <v>-0</v>
      </c>
      <c r="O114" s="33" t="n">
        <f aca="false">-In_Var_Opex*O112*O110/Thousand</f>
        <v>-0</v>
      </c>
      <c r="P114" s="33" t="n">
        <f aca="false">-In_Var_Opex*P112*P110/Thousand</f>
        <v>-0</v>
      </c>
      <c r="Q114" s="33" t="n">
        <f aca="false">-In_Var_Opex*Q112*Q110/Thousand</f>
        <v>-0</v>
      </c>
      <c r="R114" s="33" t="n">
        <f aca="false">-In_Var_Opex*R112*R110/Thousand</f>
        <v>-0</v>
      </c>
      <c r="S114" s="33" t="n">
        <f aca="false">-In_Var_Opex*S112*S110/Thousand</f>
        <v>-0</v>
      </c>
      <c r="T114" s="33" t="n">
        <f aca="false">-In_Var_Opex*T112*T110/Thousand</f>
        <v>-0</v>
      </c>
      <c r="U114" s="33" t="n">
        <f aca="false">-In_Var_Opex*U112*U110/Thousand</f>
        <v>-0</v>
      </c>
      <c r="V114" s="33" t="n">
        <f aca="false">-In_Var_Opex*V112*V110/Thousand</f>
        <v>-0</v>
      </c>
      <c r="W114" s="33" t="n">
        <f aca="false">-In_Var_Opex*W112*W110/Thousand</f>
        <v>-0</v>
      </c>
      <c r="X114" s="33" t="n">
        <f aca="false">-In_Var_Opex*X112*X110/Thousand</f>
        <v>-0</v>
      </c>
      <c r="Y114" s="33" t="n">
        <f aca="false">-In_Var_Opex*Y112*Y110/Thousand</f>
        <v>-0</v>
      </c>
      <c r="Z114" s="33" t="n">
        <f aca="false">-In_Var_Opex*Z112*Z110/Thousand</f>
        <v>-0</v>
      </c>
      <c r="AA114" s="33" t="n">
        <f aca="false">-In_Var_Opex*AA112*AA110/Thousand</f>
        <v>-0</v>
      </c>
      <c r="AB114" s="33" t="n">
        <f aca="false">-In_Var_Opex*AB112*AB110/Thousand</f>
        <v>-0</v>
      </c>
      <c r="AC114" s="33" t="n">
        <f aca="false">-In_Var_Opex*AC112*AC110/Thousand</f>
        <v>-0</v>
      </c>
      <c r="AD114" s="33" t="n">
        <f aca="false">-In_Var_Opex*AD112*AD110/Thousand</f>
        <v>-0</v>
      </c>
      <c r="AE114" s="33" t="n">
        <f aca="false">-In_Var_Opex*AE112*AE110/Thousand</f>
        <v>-303.826849315069</v>
      </c>
      <c r="AF114" s="33" t="n">
        <f aca="false">-In_Var_Opex*AF112*AF110/Thousand</f>
        <v>-308.037493150685</v>
      </c>
      <c r="AG114" s="33" t="n">
        <f aca="false">-In_Var_Opex*AG112*AG110/Thousand</f>
        <v>-308.037493150685</v>
      </c>
      <c r="AH114" s="33" t="n">
        <f aca="false">-In_Var_Opex*AH112*AH110/Thousand</f>
        <v>-311.422520547945</v>
      </c>
      <c r="AI114" s="33" t="n">
        <f aca="false">-In_Var_Opex*AI112*AI110/Thousand</f>
        <v>-310.488252986301</v>
      </c>
      <c r="AJ114" s="33" t="n">
        <f aca="false">-In_Var_Opex*AJ112*AJ110/Thousand</f>
        <v>-311.331971065068</v>
      </c>
      <c r="AK114" s="33" t="n">
        <f aca="false">-In_Var_Opex*AK112*AK110/Thousand</f>
        <v>-314.791215188014</v>
      </c>
      <c r="AL114" s="33" t="n">
        <f aca="false">-In_Var_Opex*AL112*AL110/Thousand</f>
        <v>-318.250459310959</v>
      </c>
      <c r="AM114" s="33" t="n">
        <f aca="false">-In_Var_Opex*AM112*AM110/Thousand</f>
        <v>-317.295707933026</v>
      </c>
      <c r="AN114" s="33" t="n">
        <f aca="false">-In_Var_Opex*AN112*AN110/Thousand</f>
        <v>-318.15792453067</v>
      </c>
      <c r="AO114" s="33" t="n">
        <f aca="false">-In_Var_Opex*AO112*AO110/Thousand</f>
        <v>-321.693012581011</v>
      </c>
      <c r="AP114" s="33" t="n">
        <f aca="false">-In_Var_Opex*AP112*AP110/Thousand</f>
        <v>-325.228100631352</v>
      </c>
      <c r="AQ114" s="33" t="n">
        <f aca="false">-In_Var_Opex*AQ112*AQ110/Thousand</f>
        <v>-324.252416329458</v>
      </c>
      <c r="AR114" s="33" t="n">
        <f aca="false">-In_Var_Opex*AR112*AR110/Thousand</f>
        <v>-325.133537026005</v>
      </c>
      <c r="AS114" s="33" t="n">
        <f aca="false">-In_Var_Opex*AS112*AS110/Thousand</f>
        <v>-328.746131881849</v>
      </c>
      <c r="AT114" s="33" t="n">
        <f aca="false">-In_Var_Opex*AT112*AT110/Thousand</f>
        <v>-332.358726737694</v>
      </c>
      <c r="AU114" s="33" t="n">
        <f aca="false">-In_Var_Opex*AU112*AU110/Thousand</f>
        <v>-331.361650557481</v>
      </c>
      <c r="AV114" s="33" t="n">
        <f aca="false">-In_Var_Opex*AV112*AV110/Thousand</f>
        <v>-335.953890823359</v>
      </c>
      <c r="AW114" s="33" t="n">
        <f aca="false">-In_Var_Opex*AW112*AW110/Thousand</f>
        <v>-335.953890823359</v>
      </c>
      <c r="AX114" s="33" t="n">
        <f aca="false">-In_Var_Opex*AX112*AX110/Thousand</f>
        <v>-339.645691821418</v>
      </c>
      <c r="AY114" s="33" t="n">
        <f aca="false">-In_Var_Opex*AY112*AY110/Thousand</f>
        <v>-338.626754745954</v>
      </c>
      <c r="AZ114" s="33" t="n">
        <f aca="false">-In_Var_Opex*AZ112*AZ110/Thousand</f>
        <v>-339.54693614472</v>
      </c>
      <c r="BA114" s="33" t="n">
        <f aca="false">-In_Var_Opex*BA112*BA110/Thousand</f>
        <v>-343.319679879661</v>
      </c>
      <c r="BB114" s="33" t="n">
        <f aca="false">-In_Var_Opex*BB112*BB110/Thousand</f>
        <v>-347.092423614602</v>
      </c>
      <c r="BC114" s="33" t="n">
        <f aca="false">-In_Var_Opex*BC112*BC110/Thousand</f>
        <v>-346.051146343759</v>
      </c>
      <c r="BD114" s="33" t="n">
        <f aca="false">-In_Var_Opex*BD112*BD110/Thousand</f>
        <v>-346.991502719693</v>
      </c>
      <c r="BE114" s="33" t="n">
        <f aca="false">-In_Var_Opex*BE112*BE110/Thousand</f>
        <v>-350.846963861023</v>
      </c>
      <c r="BF114" s="33" t="n">
        <f aca="false">-In_Var_Opex*BF112*BF110/Thousand</f>
        <v>-354.702425002353</v>
      </c>
      <c r="BG114" s="33" t="n">
        <f aca="false">-In_Var_Opex*BG112*BG110/Thousand</f>
        <v>-353.638317727346</v>
      </c>
      <c r="BH114" s="33" t="n">
        <f aca="false">-In_Var_Opex*BH112*BH110/Thousand</f>
        <v>-354.599291416822</v>
      </c>
      <c r="BI114" s="33" t="n">
        <f aca="false">-In_Var_Opex*BI112*BI110/Thousand</f>
        <v>-358.539283543675</v>
      </c>
      <c r="BJ114" s="33" t="n">
        <f aca="false">-In_Var_Opex*BJ112*BJ110/Thousand</f>
        <v>-362.479275670529</v>
      </c>
      <c r="BK114" s="33" t="n">
        <f aca="false">-In_Var_Opex*BK112*BK110/Thousand</f>
        <v>-361.391837843517</v>
      </c>
      <c r="BL114" s="33" t="n">
        <f aca="false">-In_Var_Opex*BL112*BL110/Thousand</f>
        <v>-366.400257335371</v>
      </c>
      <c r="BM114" s="33" t="n">
        <f aca="false">-In_Var_Opex*BM112*BM110/Thousand</f>
        <v>-366.400257335371</v>
      </c>
      <c r="BN114" s="33" t="n">
        <f aca="false">-In_Var_Opex*BN112*BN110/Thousand</f>
        <v>-370.426633789605</v>
      </c>
      <c r="BO114" s="33" t="n">
        <f aca="false">-In_Var_Opex*BO112*BO110/Thousand</f>
        <v>-369.315353888237</v>
      </c>
      <c r="BP114" s="33" t="n">
        <f aca="false">-In_Var_Opex*BP112*BP110/Thousand</f>
        <v>-370.318928219455</v>
      </c>
      <c r="BQ114" s="33" t="n">
        <f aca="false">-In_Var_Opex*BQ112*BQ110/Thousand</f>
        <v>-374.433582977449</v>
      </c>
      <c r="BR114" s="33" t="n">
        <f aca="false">-In_Var_Opex*BR112*BR110/Thousand</f>
        <v>-378.548237735442</v>
      </c>
      <c r="BS114" s="33" t="n">
        <f aca="false">-In_Var_Opex*BS112*BS110/Thousand</f>
        <v>-377.412593022236</v>
      </c>
      <c r="BT114" s="33" t="n">
        <f aca="false">-In_Var_Opex*BT112*BT110/Thousand</f>
        <v>-378.438170720666</v>
      </c>
      <c r="BU114" s="33" t="n">
        <f aca="false">-In_Var_Opex*BU112*BU110/Thousand</f>
        <v>-382.643039284229</v>
      </c>
      <c r="BV114" s="33" t="n">
        <f aca="false">-In_Var_Opex*BV112*BV110/Thousand</f>
        <v>-386.847907847792</v>
      </c>
      <c r="BW114" s="33" t="n">
        <f aca="false">-In_Var_Opex*BW112*BW110/Thousand</f>
        <v>-385.687364124249</v>
      </c>
      <c r="BX114" s="33" t="n">
        <f aca="false">-In_Var_Opex*BX112*BX110/Thousand</f>
        <v>-386.735427613717</v>
      </c>
      <c r="BY114" s="33" t="n">
        <f aca="false">-In_Var_Opex*BY112*BY110/Thousand</f>
        <v>-391.032487920536</v>
      </c>
      <c r="BZ114" s="33" t="n">
        <f aca="false">-In_Var_Opex*BZ112*BZ110/Thousand</f>
        <v>-395.329548227355</v>
      </c>
      <c r="CA114" s="33" t="n">
        <f aca="false">-In_Var_Opex*CA112*CA110/Thousand</f>
        <v>-394.143559582673</v>
      </c>
      <c r="CB114" s="33" t="n">
        <f aca="false">-In_Var_Opex*CB112*CB110/Thousand</f>
        <v>-399.605875218193</v>
      </c>
      <c r="CC114" s="33" t="n">
        <f aca="false">-In_Var_Opex*CC112*CC110/Thousand</f>
        <v>-399.605875218193</v>
      </c>
      <c r="CD114" s="33" t="n">
        <f aca="false">-In_Var_Opex*CD112*CD110/Thousand</f>
        <v>-403.99714857224</v>
      </c>
      <c r="CE114" s="33" t="n">
        <f aca="false">-In_Var_Opex*CE112*CE110/Thousand</f>
        <v>-402.785157126523</v>
      </c>
      <c r="CF114" s="33" t="n">
        <f aca="false">-In_Var_Opex*CF112*CF110/Thousand</f>
        <v>-403.879682010019</v>
      </c>
      <c r="CG114" s="33" t="n">
        <f aca="false">-In_Var_Opex*CG112*CG110/Thousand</f>
        <v>-408.367234032352</v>
      </c>
      <c r="CH114" s="33" t="n">
        <f aca="false">-In_Var_Opex*CH112*CH110/Thousand</f>
        <v>-412.854786054686</v>
      </c>
      <c r="CI114" s="33" t="n">
        <f aca="false">-In_Var_Opex*CI112*CI110/Thousand</f>
        <v>-411.616221696522</v>
      </c>
      <c r="CJ114" s="33" t="n">
        <f aca="false">-In_Var_Opex*CJ112*CJ110/Thousand</f>
        <v>-412.734744038088</v>
      </c>
      <c r="CK114" s="33" t="n">
        <f aca="false">-In_Var_Opex*CK112*CK110/Thousand</f>
        <v>-417.320685638512</v>
      </c>
      <c r="CL114" s="33" t="n">
        <f aca="false">-In_Var_Opex*CL112*CL110/Thousand</f>
        <v>-421.906627238935</v>
      </c>
      <c r="CM114" s="33" t="n">
        <f aca="false">-In_Var_Opex*CM112*CM110/Thousand</f>
        <v>-420.640907357218</v>
      </c>
      <c r="CN114" s="33" t="n">
        <f aca="false">-In_Var_Opex*CN112*CN110/Thousand</f>
        <v>-421.783953301123</v>
      </c>
      <c r="CO114" s="33" t="n">
        <f aca="false">-In_Var_Opex*CO112*CO110/Thousand</f>
        <v>-426.470441671136</v>
      </c>
      <c r="CP114" s="33" t="n">
        <f aca="false">-In_Var_Opex*CP112*CP110/Thousand</f>
        <v>-431.156930041149</v>
      </c>
      <c r="CQ114" s="33" t="n">
        <f aca="false">-In_Var_Opex*CQ112*CQ110/Thousand</f>
        <v>-429.863459251025</v>
      </c>
      <c r="CR114" s="33" t="n">
        <f aca="false">-In_Var_Opex*CR112*CR110/Thousand</f>
        <v>-435.820806104776</v>
      </c>
      <c r="CS114" s="33" t="n">
        <f aca="false">-In_Var_Opex*CS112*CS110/Thousand</f>
        <v>-435.820806104776</v>
      </c>
      <c r="CT114" s="33" t="n">
        <f aca="false">-In_Var_Opex*CT112*CT110/Thousand</f>
        <v>-440.610045732301</v>
      </c>
      <c r="CU114" s="33" t="n">
        <f aca="false">-In_Var_Opex*CU112*CU110/Thousand</f>
        <v>-439.288215595104</v>
      </c>
      <c r="CV114" s="33" t="n">
        <f aca="false">-In_Var_Opex*CV112*CV110/Thousand</f>
        <v>-440.481933572264</v>
      </c>
      <c r="CW114" s="33" t="n">
        <f aca="false">-In_Var_Opex*CW112*CW110/Thousand</f>
        <v>-445.376177278623</v>
      </c>
      <c r="CX114" s="33" t="n">
        <f aca="false">-In_Var_Opex*CX112*CX110/Thousand</f>
        <v>-450.270420984981</v>
      </c>
      <c r="CY114" s="33" t="n">
        <f aca="false">-In_Var_Opex*CY112*CY110/Thousand</f>
        <v>-448.919609722026</v>
      </c>
      <c r="CZ114" s="33" t="n">
        <f aca="false">-In_Var_Opex*CZ112*CZ110/Thousand</f>
        <v>-450.139499965836</v>
      </c>
      <c r="DA114" s="33" t="n">
        <f aca="false">-In_Var_Opex*DA112*DA110/Thousand</f>
        <v>-455.141049965457</v>
      </c>
      <c r="DB114" s="33" t="n">
        <f aca="false">-In_Var_Opex*DB112*DB110/Thousand</f>
        <v>-460.142599965077</v>
      </c>
      <c r="DC114" s="33" t="n">
        <f aca="false">-In_Var_Opex*DC112*DC110/Thousand</f>
        <v>-458.762172165182</v>
      </c>
      <c r="DD114" s="33" t="n">
        <f aca="false">-In_Var_Opex*DD112*DD110/Thousand</f>
        <v>-460.008808502587</v>
      </c>
      <c r="DE114" s="33" t="n">
        <f aca="false">-In_Var_Opex*DE112*DE110/Thousand</f>
        <v>-465.120017485949</v>
      </c>
      <c r="DF114" s="33" t="n">
        <f aca="false">-In_Var_Opex*DF112*DF110/Thousand</f>
        <v>-470.231226469311</v>
      </c>
      <c r="DG114" s="33" t="n">
        <f aca="false">-In_Var_Opex*DG112*DG110/Thousand</f>
        <v>-468.820532789903</v>
      </c>
      <c r="DH114" s="33" t="n">
        <f aca="false">-In_Var_Opex*DH112*DH110/Thousand</f>
        <v>-475.317773869328</v>
      </c>
      <c r="DI114" s="33" t="n">
        <f aca="false">-In_Var_Opex*DI112*DI110/Thousand</f>
        <v>-475.317773869328</v>
      </c>
      <c r="DJ114" s="33" t="n">
        <f aca="false">-In_Var_Opex*DJ112*DJ110/Thousand</f>
        <v>-480.541046109651</v>
      </c>
      <c r="DK114" s="33" t="n">
        <f aca="false">-In_Var_Opex*DK112*DK110/Thousand</f>
        <v>-479.099422971322</v>
      </c>
      <c r="DL114" s="33" t="n">
        <f aca="false">-In_Var_Opex*DL112*DL110/Thousand</f>
        <v>-480.401323577222</v>
      </c>
      <c r="DM114" s="33" t="n">
        <f aca="false">-In_Var_Opex*DM112*DM110/Thousand</f>
        <v>-485.739116061413</v>
      </c>
      <c r="DN114" s="33" t="n">
        <f aca="false">-In_Var_Opex*DN112*DN110/Thousand</f>
        <v>-491.076908545605</v>
      </c>
      <c r="DO114" s="33" t="n">
        <f aca="false">-In_Var_Opex*DO112*DO110/Thousand</f>
        <v>-489.603677819968</v>
      </c>
      <c r="DP114" s="33" t="n">
        <f aca="false">-In_Var_Opex*DP112*DP110/Thousand</f>
        <v>-490.934122596653</v>
      </c>
      <c r="DQ114" s="33" t="n">
        <f aca="false">-In_Var_Opex*DQ112*DQ110/Thousand</f>
        <v>-496.38894618106</v>
      </c>
      <c r="DR114" s="33" t="n">
        <f aca="false">-In_Var_Opex*DR112*DR110/Thousand</f>
        <v>-501.843769765467</v>
      </c>
      <c r="DS114" s="33" t="n">
        <f aca="false">-In_Var_Opex*DS112*DS110/Thousand</f>
        <v>-500.338238456171</v>
      </c>
      <c r="DT114" s="33" t="n">
        <f aca="false">-In_Var_Opex*DT112*DT110/Thousand</f>
        <v>-501.697853234584</v>
      </c>
      <c r="DU114" s="33" t="n">
        <f aca="false">-In_Var_Opex*DU112*DU110/Thousand</f>
        <v>-507.27227382608</v>
      </c>
      <c r="DV114" s="33" t="n">
        <f aca="false">-In_Var_Opex*DV112*DV110/Thousand</f>
        <v>-512.846694417575</v>
      </c>
      <c r="DW114" s="33" t="n">
        <f aca="false">-In_Var_Opex*DW112*DW110/Thousand</f>
        <v>-511.308154334322</v>
      </c>
      <c r="DX114" s="33" t="n">
        <f aca="false">-In_Var_Opex*DX112*DX110/Thousand</f>
        <v>-518.394218429716</v>
      </c>
      <c r="DY114" s="33" t="n">
        <f aca="false">-In_Var_Opex*DY112*DY110/Thousand</f>
        <v>-518.394218429716</v>
      </c>
      <c r="DZ114" s="33" t="n">
        <f aca="false">-In_Var_Opex*DZ112*DZ110/Thousand</f>
        <v>-524.09085819268</v>
      </c>
      <c r="EA114" s="33" t="n">
        <f aca="false">-In_Var_Opex*EA112*EA110/Thousand</f>
        <v>-522.518585618102</v>
      </c>
      <c r="EB114" s="33" t="n">
        <f aca="false">-In_Var_Opex*EB112*EB110/Thousand</f>
        <v>-523.938473079021</v>
      </c>
      <c r="EC114" s="33" t="n">
        <f aca="false">-In_Var_Opex*EC112*EC110/Thousand</f>
        <v>-529.760011668788</v>
      </c>
      <c r="ED114" s="33" t="n">
        <f aca="false">-In_Var_Opex*ED112*ED110/Thousand</f>
        <v>-535.581550258555</v>
      </c>
      <c r="EE114" s="33" t="n">
        <f aca="false">-In_Var_Opex*EE112*EE110/Thousand</f>
        <v>-533.974805607779</v>
      </c>
      <c r="EF114" s="33" t="n">
        <f aca="false">-In_Var_Opex*EF112*EF110/Thousand</f>
        <v>-535.425824101278</v>
      </c>
      <c r="EG114" s="33" t="n">
        <f aca="false">-In_Var_Opex*EG112*EG110/Thousand</f>
        <v>-541.374999924626</v>
      </c>
      <c r="EH114" s="33" t="n">
        <f aca="false">-In_Var_Opex*EH112*EH110/Thousand</f>
        <v>-547.324175747974</v>
      </c>
      <c r="EI114" s="33" t="n">
        <f aca="false">-In_Var_Opex*EI112*EI110/Thousand</f>
        <v>-545.68220322073</v>
      </c>
      <c r="EJ114" s="33" t="n">
        <f aca="false">-In_Var_Opex*EJ112*EJ110/Thousand</f>
        <v>-547.165035294699</v>
      </c>
      <c r="EK114" s="33" t="n">
        <f aca="false">-In_Var_Opex*EK112*EK110/Thousand</f>
        <v>-553.244646797973</v>
      </c>
      <c r="EL114" s="33" t="n">
        <f aca="false">-In_Var_Opex*EL112*EL110/Thousand</f>
        <v>-559.324258301248</v>
      </c>
      <c r="EM114" s="33" t="n">
        <f aca="false">-In_Var_Opex*EM112*EM110/Thousand</f>
        <v>-557.646285526344</v>
      </c>
      <c r="EN114" s="33" t="n">
        <f aca="false">-In_Var_Opex*EN112*EN110/Thousand</f>
        <v>-565.374535679019</v>
      </c>
      <c r="EO114" s="33" t="n">
        <f aca="false">-In_Var_Opex*EO112*EO110/Thousand</f>
        <v>-565.374535679019</v>
      </c>
      <c r="EP114" s="33" t="n">
        <f aca="false">-In_Var_Opex*EP112*EP110/Thousand</f>
        <v>-571.587442664503</v>
      </c>
      <c r="EQ114" s="33" t="n">
        <f aca="false">-In_Var_Opex*EQ112*EQ110/Thousand</f>
        <v>-569.872680336509</v>
      </c>
      <c r="ER114" s="33" t="n">
        <f aca="false">-In_Var_Opex*ER112*ER110/Thousand</f>
        <v>-571.421247402641</v>
      </c>
      <c r="ES114" s="33" t="n">
        <f aca="false">-In_Var_Opex*ES112*ES110/Thousand</f>
        <v>-577.770372373781</v>
      </c>
      <c r="ET114" s="33" t="n">
        <f aca="false">-In_Var_Opex*ET112*ET110/Thousand</f>
        <v>-584.119497344922</v>
      </c>
    </row>
    <row r="115" customFormat="false" ht="15" hidden="false" customHeight="false" outlineLevel="0" collapsed="false">
      <c r="C115" s="0" t="s">
        <v>568</v>
      </c>
      <c r="D115" s="11" t="s">
        <v>253</v>
      </c>
      <c r="I115" s="33" t="n">
        <f aca="false">SUM(J115:ET115)</f>
        <v>-105177.037405926</v>
      </c>
      <c r="J115" s="33" t="n">
        <f aca="false">-(In_Fixed_Opex*$F24+In_Admin)*J110*J15*J$6</f>
        <v>-0</v>
      </c>
      <c r="K115" s="33" t="n">
        <f aca="false">-(In_Fixed_Opex*$F24+In_Admin)*K110*K15*K$6</f>
        <v>-0</v>
      </c>
      <c r="L115" s="33" t="n">
        <f aca="false">-(In_Fixed_Opex*$F24+In_Admin)*L110*L15*L$6</f>
        <v>-0</v>
      </c>
      <c r="M115" s="33" t="n">
        <f aca="false">-(In_Fixed_Opex*$F24+In_Admin)*M110*M15*M$6</f>
        <v>-0</v>
      </c>
      <c r="N115" s="33" t="n">
        <f aca="false">-(In_Fixed_Opex*$F24+In_Admin)*N110*N15*N$6</f>
        <v>-0</v>
      </c>
      <c r="O115" s="33" t="n">
        <f aca="false">-(In_Fixed_Opex*$F24+In_Admin)*O110*O15*O$6</f>
        <v>-0</v>
      </c>
      <c r="P115" s="33" t="n">
        <f aca="false">-(In_Fixed_Opex*$F24+In_Admin)*P110*P15*P$6</f>
        <v>-0</v>
      </c>
      <c r="Q115" s="33" t="n">
        <f aca="false">-(In_Fixed_Opex*$F24+In_Admin)*Q110*Q15*Q$6</f>
        <v>-0</v>
      </c>
      <c r="R115" s="33" t="n">
        <f aca="false">-(In_Fixed_Opex*$F24+In_Admin)*R110*R15*R$6</f>
        <v>-0</v>
      </c>
      <c r="S115" s="33" t="n">
        <f aca="false">-(In_Fixed_Opex*$F24+In_Admin)*S110*S15*S$6</f>
        <v>-0</v>
      </c>
      <c r="T115" s="33" t="n">
        <f aca="false">-(In_Fixed_Opex*$F24+In_Admin)*T110*T15*T$6</f>
        <v>-0</v>
      </c>
      <c r="U115" s="33" t="n">
        <f aca="false">-(In_Fixed_Opex*$F24+In_Admin)*U110*U15*U$6</f>
        <v>-0</v>
      </c>
      <c r="V115" s="33" t="n">
        <f aca="false">-(In_Fixed_Opex*$F24+In_Admin)*V110*V15*V$6</f>
        <v>-0</v>
      </c>
      <c r="W115" s="33" t="n">
        <f aca="false">-(In_Fixed_Opex*$F24+In_Admin)*W110*W15*W$6</f>
        <v>-0</v>
      </c>
      <c r="X115" s="33" t="n">
        <f aca="false">-(In_Fixed_Opex*$F24+In_Admin)*X110*X15*X$6</f>
        <v>-0</v>
      </c>
      <c r="Y115" s="33" t="n">
        <f aca="false">-(In_Fixed_Opex*$F24+In_Admin)*Y110*Y15*Y$6</f>
        <v>-0</v>
      </c>
      <c r="Z115" s="33" t="n">
        <f aca="false">-(In_Fixed_Opex*$F24+In_Admin)*Z110*Z15*Z$6</f>
        <v>-0</v>
      </c>
      <c r="AA115" s="33" t="n">
        <f aca="false">-(In_Fixed_Opex*$F24+In_Admin)*AA110*AA15*AA$6</f>
        <v>-0</v>
      </c>
      <c r="AB115" s="33" t="n">
        <f aca="false">-(In_Fixed_Opex*$F24+In_Admin)*AB110*AB15*AB$6</f>
        <v>-0</v>
      </c>
      <c r="AC115" s="33" t="n">
        <f aca="false">-(In_Fixed_Opex*$F24+In_Admin)*AC110*AC15*AC$6</f>
        <v>-0</v>
      </c>
      <c r="AD115" s="33" t="n">
        <f aca="false">-(In_Fixed_Opex*$F24+In_Admin)*AD110*AD15*AD$6</f>
        <v>-0</v>
      </c>
      <c r="AE115" s="33" t="n">
        <f aca="false">-(In_Fixed_Opex*$F24+In_Admin)*AE110*AE15*AE$6</f>
        <v>-592.328767123288</v>
      </c>
      <c r="AF115" s="33" t="n">
        <f aca="false">-(In_Fixed_Opex*$F24+In_Admin)*AF110*AF15*AF$6</f>
        <v>-600.537671232877</v>
      </c>
      <c r="AG115" s="33" t="n">
        <f aca="false">-(In_Fixed_Opex*$F24+In_Admin)*AG110*AG15*AG$6</f>
        <v>-600.537671232877</v>
      </c>
      <c r="AH115" s="33" t="n">
        <f aca="false">-(In_Fixed_Opex*$F24+In_Admin)*AH110*AH15*AH$6</f>
        <v>-607.13698630137</v>
      </c>
      <c r="AI115" s="33" t="n">
        <f aca="false">-(In_Fixed_Opex*$F24+In_Admin)*AI110*AI15*AI$6</f>
        <v>-607.13698630137</v>
      </c>
      <c r="AJ115" s="33" t="n">
        <f aca="false">-(In_Fixed_Opex*$F24+In_Admin)*AJ110*AJ15*AJ$6</f>
        <v>-608.786815068493</v>
      </c>
      <c r="AK115" s="33" t="n">
        <f aca="false">-(In_Fixed_Opex*$F24+In_Admin)*AK110*AK15*AK$6</f>
        <v>-615.551113013699</v>
      </c>
      <c r="AL115" s="33" t="n">
        <f aca="false">-(In_Fixed_Opex*$F24+In_Admin)*AL110*AL15*AL$6</f>
        <v>-622.315410958904</v>
      </c>
      <c r="AM115" s="33" t="n">
        <f aca="false">-(In_Fixed_Opex*$F24+In_Admin)*AM110*AM15*AM$6</f>
        <v>-622.315410958904</v>
      </c>
      <c r="AN115" s="33" t="n">
        <f aca="false">-(In_Fixed_Opex*$F24+In_Admin)*AN110*AN15*AN$6</f>
        <v>-624.006485445205</v>
      </c>
      <c r="AO115" s="33" t="n">
        <f aca="false">-(In_Fixed_Opex*$F24+In_Admin)*AO110*AO15*AO$6</f>
        <v>-630.939890839041</v>
      </c>
      <c r="AP115" s="33" t="n">
        <f aca="false">-(In_Fixed_Opex*$F24+In_Admin)*AP110*AP15*AP$6</f>
        <v>-637.873296232877</v>
      </c>
      <c r="AQ115" s="33" t="n">
        <f aca="false">-(In_Fixed_Opex*$F24+In_Admin)*AQ110*AQ15*AQ$6</f>
        <v>-637.873296232877</v>
      </c>
      <c r="AR115" s="33" t="n">
        <f aca="false">-(In_Fixed_Opex*$F24+In_Admin)*AR110*AR15*AR$6</f>
        <v>-639.606647581335</v>
      </c>
      <c r="AS115" s="33" t="n">
        <f aca="false">-(In_Fixed_Opex*$F24+In_Admin)*AS110*AS15*AS$6</f>
        <v>-646.713388110017</v>
      </c>
      <c r="AT115" s="33" t="n">
        <f aca="false">-(In_Fixed_Opex*$F24+In_Admin)*AT110*AT15*AT$6</f>
        <v>-653.820128638698</v>
      </c>
      <c r="AU115" s="33" t="n">
        <f aca="false">-(In_Fixed_Opex*$F24+In_Admin)*AU110*AU15*AU$6</f>
        <v>-653.820128638698</v>
      </c>
      <c r="AV115" s="33" t="n">
        <f aca="false">-(In_Fixed_Opex*$F24+In_Admin)*AV110*AV15*AV$6</f>
        <v>-662.881222812767</v>
      </c>
      <c r="AW115" s="33" t="n">
        <f aca="false">-(In_Fixed_Opex*$F24+In_Admin)*AW110*AW15*AW$6</f>
        <v>-662.881222812767</v>
      </c>
      <c r="AX115" s="33" t="n">
        <f aca="false">-(In_Fixed_Opex*$F24+In_Admin)*AX110*AX15*AX$6</f>
        <v>-670.165631854666</v>
      </c>
      <c r="AY115" s="33" t="n">
        <f aca="false">-(In_Fixed_Opex*$F24+In_Admin)*AY110*AY15*AY$6</f>
        <v>-670.165631854666</v>
      </c>
      <c r="AZ115" s="33" t="n">
        <f aca="false">-(In_Fixed_Opex*$F24+In_Admin)*AZ110*AZ15*AZ$6</f>
        <v>-671.98673411514</v>
      </c>
      <c r="BA115" s="33" t="n">
        <f aca="false">-(In_Fixed_Opex*$F24+In_Admin)*BA110*BA15*BA$6</f>
        <v>-679.453253383086</v>
      </c>
      <c r="BB115" s="33" t="n">
        <f aca="false">-(In_Fixed_Opex*$F24+In_Admin)*BB110*BB15*BB$6</f>
        <v>-686.919772651032</v>
      </c>
      <c r="BC115" s="33" t="n">
        <f aca="false">-(In_Fixed_Opex*$F24+In_Admin)*BC110*BC15*BC$6</f>
        <v>-686.919772651032</v>
      </c>
      <c r="BD115" s="33" t="n">
        <f aca="false">-(In_Fixed_Opex*$F24+In_Admin)*BD110*BD15*BD$6</f>
        <v>-688.786402468019</v>
      </c>
      <c r="BE115" s="33" t="n">
        <f aca="false">-(In_Fixed_Opex*$F24+In_Admin)*BE110*BE15*BE$6</f>
        <v>-696.439584717664</v>
      </c>
      <c r="BF115" s="33" t="n">
        <f aca="false">-(In_Fixed_Opex*$F24+In_Admin)*BF110*BF15*BF$6</f>
        <v>-704.092766967308</v>
      </c>
      <c r="BG115" s="33" t="n">
        <f aca="false">-(In_Fixed_Opex*$F24+In_Admin)*BG110*BG15*BG$6</f>
        <v>-704.092766967308</v>
      </c>
      <c r="BH115" s="33" t="n">
        <f aca="false">-(In_Fixed_Opex*$F24+In_Admin)*BH110*BH15*BH$6</f>
        <v>-706.006062529719</v>
      </c>
      <c r="BI115" s="33" t="n">
        <f aca="false">-(In_Fixed_Opex*$F24+In_Admin)*BI110*BI15*BI$6</f>
        <v>-713.850574335605</v>
      </c>
      <c r="BJ115" s="33" t="n">
        <f aca="false">-(In_Fixed_Opex*$F24+In_Admin)*BJ110*BJ15*BJ$6</f>
        <v>-721.695086141491</v>
      </c>
      <c r="BK115" s="33" t="n">
        <f aca="false">-(In_Fixed_Opex*$F24+In_Admin)*BK110*BK15*BK$6</f>
        <v>-721.695086141491</v>
      </c>
      <c r="BL115" s="33" t="n">
        <f aca="false">-(In_Fixed_Opex*$F24+In_Admin)*BL110*BL15*BL$6</f>
        <v>-731.696838693995</v>
      </c>
      <c r="BM115" s="33" t="n">
        <f aca="false">-(In_Fixed_Opex*$F24+In_Admin)*BM110*BM15*BM$6</f>
        <v>-731.696838693995</v>
      </c>
      <c r="BN115" s="33" t="n">
        <f aca="false">-(In_Fixed_Opex*$F24+In_Admin)*BN110*BN15*BN$6</f>
        <v>-739.737463295028</v>
      </c>
      <c r="BO115" s="33" t="n">
        <f aca="false">-(In_Fixed_Opex*$F24+In_Admin)*BO110*BO15*BO$6</f>
        <v>-739.737463295028</v>
      </c>
      <c r="BP115" s="33" t="n">
        <f aca="false">-(In_Fixed_Opex*$F24+In_Admin)*BP110*BP15*BP$6</f>
        <v>-741.747619445286</v>
      </c>
      <c r="BQ115" s="33" t="n">
        <f aca="false">-(In_Fixed_Opex*$F24+In_Admin)*BQ110*BQ15*BQ$6</f>
        <v>-749.989259661345</v>
      </c>
      <c r="BR115" s="33" t="n">
        <f aca="false">-(In_Fixed_Opex*$F24+In_Admin)*BR110*BR15*BR$6</f>
        <v>-758.230899877404</v>
      </c>
      <c r="BS115" s="33" t="n">
        <f aca="false">-(In_Fixed_Opex*$F24+In_Admin)*BS110*BS15*BS$6</f>
        <v>-758.230899877404</v>
      </c>
      <c r="BT115" s="33" t="n">
        <f aca="false">-(In_Fixed_Opex*$F24+In_Admin)*BT110*BT15*BT$6</f>
        <v>-760.291309931418</v>
      </c>
      <c r="BU115" s="33" t="n">
        <f aca="false">-(In_Fixed_Opex*$F24+In_Admin)*BU110*BU15*BU$6</f>
        <v>-768.738991152879</v>
      </c>
      <c r="BV115" s="33" t="n">
        <f aca="false">-(In_Fixed_Opex*$F24+In_Admin)*BV110*BV15*BV$6</f>
        <v>-777.186672374339</v>
      </c>
      <c r="BW115" s="33" t="n">
        <f aca="false">-(In_Fixed_Opex*$F24+In_Admin)*BW110*BW15*BW$6</f>
        <v>-777.186672374339</v>
      </c>
      <c r="BX115" s="33" t="n">
        <f aca="false">-(In_Fixed_Opex*$F24+In_Admin)*BX110*BX15*BX$6</f>
        <v>-779.298592679704</v>
      </c>
      <c r="BY115" s="33" t="n">
        <f aca="false">-(In_Fixed_Opex*$F24+In_Admin)*BY110*BY15*BY$6</f>
        <v>-787.9574659317</v>
      </c>
      <c r="BZ115" s="33" t="n">
        <f aca="false">-(In_Fixed_Opex*$F24+In_Admin)*BZ110*BZ15*BZ$6</f>
        <v>-796.616339183697</v>
      </c>
      <c r="CA115" s="33" t="n">
        <f aca="false">-(In_Fixed_Opex*$F24+In_Admin)*CA110*CA15*CA$6</f>
        <v>-796.616339183697</v>
      </c>
      <c r="CB115" s="33" t="n">
        <f aca="false">-(In_Fixed_Opex*$F24+In_Admin)*CB110*CB15*CB$6</f>
        <v>-807.656402579993</v>
      </c>
      <c r="CC115" s="33" t="n">
        <f aca="false">-(In_Fixed_Opex*$F24+In_Admin)*CC110*CC15*CC$6</f>
        <v>-807.656402579993</v>
      </c>
      <c r="CD115" s="33" t="n">
        <f aca="false">-(In_Fixed_Opex*$F24+In_Admin)*CD110*CD15*CD$6</f>
        <v>-816.53174766329</v>
      </c>
      <c r="CE115" s="33" t="n">
        <f aca="false">-(In_Fixed_Opex*$F24+In_Admin)*CE110*CE15*CE$6</f>
        <v>-816.53174766329</v>
      </c>
      <c r="CF115" s="33" t="n">
        <f aca="false">-(In_Fixed_Opex*$F24+In_Admin)*CF110*CF15*CF$6</f>
        <v>-818.750583934114</v>
      </c>
      <c r="CG115" s="33" t="n">
        <f aca="false">-(In_Fixed_Opex*$F24+In_Admin)*CG110*CG15*CG$6</f>
        <v>-827.847812644493</v>
      </c>
      <c r="CH115" s="33" t="n">
        <f aca="false">-(In_Fixed_Opex*$F24+In_Admin)*CH110*CH15*CH$6</f>
        <v>-836.945041354872</v>
      </c>
      <c r="CI115" s="33" t="n">
        <f aca="false">-(In_Fixed_Opex*$F24+In_Admin)*CI110*CI15*CI$6</f>
        <v>-836.945041354872</v>
      </c>
      <c r="CJ115" s="33" t="n">
        <f aca="false">-(In_Fixed_Opex*$F24+In_Admin)*CJ110*CJ15*CJ$6</f>
        <v>-839.219348532466</v>
      </c>
      <c r="CK115" s="33" t="n">
        <f aca="false">-(In_Fixed_Opex*$F24+In_Admin)*CK110*CK15*CK$6</f>
        <v>-848.544007960605</v>
      </c>
      <c r="CL115" s="33" t="n">
        <f aca="false">-(In_Fixed_Opex*$F24+In_Admin)*CL110*CL15*CL$6</f>
        <v>-857.868667388743</v>
      </c>
      <c r="CM115" s="33" t="n">
        <f aca="false">-(In_Fixed_Opex*$F24+In_Admin)*CM110*CM15*CM$6</f>
        <v>-857.868667388743</v>
      </c>
      <c r="CN115" s="33" t="n">
        <f aca="false">-(In_Fixed_Opex*$F24+In_Admin)*CN110*CN15*CN$6</f>
        <v>-860.199832245778</v>
      </c>
      <c r="CO115" s="33" t="n">
        <f aca="false">-(In_Fixed_Opex*$F24+In_Admin)*CO110*CO15*CO$6</f>
        <v>-869.75760815962</v>
      </c>
      <c r="CP115" s="33" t="n">
        <f aca="false">-(In_Fixed_Opex*$F24+In_Admin)*CP110*CP15*CP$6</f>
        <v>-879.315384073462</v>
      </c>
      <c r="CQ115" s="33" t="n">
        <f aca="false">-(In_Fixed_Opex*$F24+In_Admin)*CQ110*CQ15*CQ$6</f>
        <v>-879.315384073462</v>
      </c>
      <c r="CR115" s="33" t="n">
        <f aca="false">-(In_Fixed_Opex*$F24+In_Admin)*CR110*CR15*CR$6</f>
        <v>-891.50154836361</v>
      </c>
      <c r="CS115" s="33" t="n">
        <f aca="false">-(In_Fixed_Opex*$F24+In_Admin)*CS110*CS15*CS$6</f>
        <v>-891.50154836361</v>
      </c>
      <c r="CT115" s="33" t="n">
        <f aca="false">-(In_Fixed_Opex*$F24+In_Admin)*CT110*CT15*CT$6</f>
        <v>-901.298268675298</v>
      </c>
      <c r="CU115" s="33" t="n">
        <f aca="false">-(In_Fixed_Opex*$F24+In_Admin)*CU110*CU15*CU$6</f>
        <v>-901.298268675298</v>
      </c>
      <c r="CV115" s="33" t="n">
        <f aca="false">-(In_Fixed_Opex*$F24+In_Admin)*CV110*CV15*CV$6</f>
        <v>-903.74744875322</v>
      </c>
      <c r="CW115" s="33" t="n">
        <f aca="false">-(In_Fixed_Opex*$F24+In_Admin)*CW110*CW15*CW$6</f>
        <v>-913.789087072701</v>
      </c>
      <c r="CX115" s="33" t="n">
        <f aca="false">-(In_Fixed_Opex*$F24+In_Admin)*CX110*CX15*CX$6</f>
        <v>-923.830725392181</v>
      </c>
      <c r="CY115" s="33" t="n">
        <f aca="false">-(In_Fixed_Opex*$F24+In_Admin)*CY110*CY15*CY$6</f>
        <v>-923.830725392181</v>
      </c>
      <c r="CZ115" s="33" t="n">
        <f aca="false">-(In_Fixed_Opex*$F24+In_Admin)*CZ110*CZ15*CZ$6</f>
        <v>-926.341134972051</v>
      </c>
      <c r="DA115" s="33" t="n">
        <f aca="false">-(In_Fixed_Opex*$F24+In_Admin)*DA110*DA15*DA$6</f>
        <v>-936.633814249518</v>
      </c>
      <c r="DB115" s="33" t="n">
        <f aca="false">-(In_Fixed_Opex*$F24+In_Admin)*DB110*DB15*DB$6</f>
        <v>-946.926493526985</v>
      </c>
      <c r="DC115" s="33" t="n">
        <f aca="false">-(In_Fixed_Opex*$F24+In_Admin)*DC110*DC15*DC$6</f>
        <v>-946.926493526985</v>
      </c>
      <c r="DD115" s="33" t="n">
        <f aca="false">-(In_Fixed_Opex*$F24+In_Admin)*DD110*DD15*DD$6</f>
        <v>-949.499663346352</v>
      </c>
      <c r="DE115" s="33" t="n">
        <f aca="false">-(In_Fixed_Opex*$F24+In_Admin)*DE110*DE15*DE$6</f>
        <v>-960.049659605756</v>
      </c>
      <c r="DF115" s="33" t="n">
        <f aca="false">-(In_Fixed_Opex*$F24+In_Admin)*DF110*DF15*DF$6</f>
        <v>-970.59965586516</v>
      </c>
      <c r="DG115" s="33" t="n">
        <f aca="false">-(In_Fixed_Opex*$F24+In_Admin)*DG110*DG15*DG$6</f>
        <v>-970.59965586516</v>
      </c>
      <c r="DH115" s="33" t="n">
        <f aca="false">-(In_Fixed_Opex*$F24+In_Admin)*DH110*DH15*DH$6</f>
        <v>-984.0509010959</v>
      </c>
      <c r="DI115" s="33" t="n">
        <f aca="false">-(In_Fixed_Opex*$F24+In_Admin)*DI110*DI15*DI$6</f>
        <v>-984.0509010959</v>
      </c>
      <c r="DJ115" s="33" t="n">
        <f aca="false">-(In_Fixed_Opex*$F24+In_Admin)*DJ110*DJ15*DJ$6</f>
        <v>-994.864647261789</v>
      </c>
      <c r="DK115" s="33" t="n">
        <f aca="false">-(In_Fixed_Opex*$F24+In_Admin)*DK110*DK15*DK$6</f>
        <v>-994.864647261789</v>
      </c>
      <c r="DL115" s="33" t="n">
        <f aca="false">-(In_Fixed_Opex*$F24+In_Admin)*DL110*DL15*DL$6</f>
        <v>-997.568083803261</v>
      </c>
      <c r="DM115" s="33" t="n">
        <f aca="false">-(In_Fixed_Opex*$F24+In_Admin)*DM110*DM15*DM$6</f>
        <v>-1008.6521736233</v>
      </c>
      <c r="DN115" s="33" t="n">
        <f aca="false">-(In_Fixed_Opex*$F24+In_Admin)*DN110*DN15*DN$6</f>
        <v>-1019.73626344333</v>
      </c>
      <c r="DO115" s="33" t="n">
        <f aca="false">-(In_Fixed_Opex*$F24+In_Admin)*DO110*DO15*DO$6</f>
        <v>-1019.73626344333</v>
      </c>
      <c r="DP115" s="33" t="n">
        <f aca="false">-(In_Fixed_Opex*$F24+In_Admin)*DP110*DP15*DP$6</f>
        <v>-1022.50728589834</v>
      </c>
      <c r="DQ115" s="33" t="n">
        <f aca="false">-(In_Fixed_Opex*$F24+In_Admin)*DQ110*DQ15*DQ$6</f>
        <v>-1033.86847796388</v>
      </c>
      <c r="DR115" s="33" t="n">
        <f aca="false">-(In_Fixed_Opex*$F24+In_Admin)*DR110*DR15*DR$6</f>
        <v>-1045.22967002942</v>
      </c>
      <c r="DS115" s="33" t="n">
        <f aca="false">-(In_Fixed_Opex*$F24+In_Admin)*DS110*DS15*DS$6</f>
        <v>-1045.22967002942</v>
      </c>
      <c r="DT115" s="33" t="n">
        <f aca="false">-(In_Fixed_Opex*$F24+In_Admin)*DT110*DT15*DT$6</f>
        <v>-1048.0699680458</v>
      </c>
      <c r="DU115" s="33" t="n">
        <f aca="false">-(In_Fixed_Opex*$F24+In_Admin)*DU110*DU15*DU$6</f>
        <v>-1059.71518991298</v>
      </c>
      <c r="DV115" s="33" t="n">
        <f aca="false">-(In_Fixed_Opex*$F24+In_Admin)*DV110*DV15*DV$6</f>
        <v>-1071.36041178015</v>
      </c>
      <c r="DW115" s="33" t="n">
        <f aca="false">-(In_Fixed_Opex*$F24+In_Admin)*DW110*DW15*DW$6</f>
        <v>-1071.36041178015</v>
      </c>
      <c r="DX115" s="33" t="n">
        <f aca="false">-(In_Fixed_Opex*$F24+In_Admin)*DX110*DX15*DX$6</f>
        <v>-1086.2080696608</v>
      </c>
      <c r="DY115" s="33" t="n">
        <f aca="false">-(In_Fixed_Opex*$F24+In_Admin)*DY110*DY15*DY$6</f>
        <v>-1086.2080696608</v>
      </c>
      <c r="DZ115" s="33" t="n">
        <f aca="false">-(In_Fixed_Opex*$F24+In_Admin)*DZ110*DZ15*DZ$6</f>
        <v>-1098.14442207466</v>
      </c>
      <c r="EA115" s="33" t="n">
        <f aca="false">-(In_Fixed_Opex*$F24+In_Admin)*EA110*EA15*EA$6</f>
        <v>-1098.14442207466</v>
      </c>
      <c r="EB115" s="33" t="n">
        <f aca="false">-(In_Fixed_Opex*$F24+In_Admin)*EB110*EB15*EB$6</f>
        <v>-1101.12851017812</v>
      </c>
      <c r="EC115" s="33" t="n">
        <f aca="false">-(In_Fixed_Opex*$F24+In_Admin)*EC110*EC15*EC$6</f>
        <v>-1113.36327140232</v>
      </c>
      <c r="ED115" s="33" t="n">
        <f aca="false">-(In_Fixed_Opex*$F24+In_Admin)*ED110*ED15*ED$6</f>
        <v>-1125.59803262652</v>
      </c>
      <c r="EE115" s="33" t="n">
        <f aca="false">-(In_Fixed_Opex*$F24+In_Admin)*EE110*EE15*EE$6</f>
        <v>-1125.59803262652</v>
      </c>
      <c r="EF115" s="33" t="n">
        <f aca="false">-(In_Fixed_Opex*$F24+In_Admin)*EF110*EF15*EF$6</f>
        <v>-1128.65672293257</v>
      </c>
      <c r="EG115" s="33" t="n">
        <f aca="false">-(In_Fixed_Opex*$F24+In_Admin)*EG110*EG15*EG$6</f>
        <v>-1141.19735318738</v>
      </c>
      <c r="EH115" s="33" t="n">
        <f aca="false">-(In_Fixed_Opex*$F24+In_Admin)*EH110*EH15*EH$6</f>
        <v>-1153.73798344218</v>
      </c>
      <c r="EI115" s="33" t="n">
        <f aca="false">-(In_Fixed_Opex*$F24+In_Admin)*EI110*EI15*EI$6</f>
        <v>-1153.73798344218</v>
      </c>
      <c r="EJ115" s="33" t="n">
        <f aca="false">-(In_Fixed_Opex*$F24+In_Admin)*EJ110*EJ15*EJ$6</f>
        <v>-1156.87314100589</v>
      </c>
      <c r="EK115" s="33" t="n">
        <f aca="false">-(In_Fixed_Opex*$F24+In_Admin)*EK110*EK15*EK$6</f>
        <v>-1169.72728701706</v>
      </c>
      <c r="EL115" s="33" t="n">
        <f aca="false">-(In_Fixed_Opex*$F24+In_Admin)*EL110*EL15*EL$6</f>
        <v>-1182.58143302824</v>
      </c>
      <c r="EM115" s="33" t="n">
        <f aca="false">-(In_Fixed_Opex*$F24+In_Admin)*EM110*EM15*EM$6</f>
        <v>-1182.58143302824</v>
      </c>
      <c r="EN115" s="33" t="n">
        <f aca="false">-(In_Fixed_Opex*$F24+In_Admin)*EN110*EN15*EN$6</f>
        <v>-1198.97046919249</v>
      </c>
      <c r="EO115" s="33" t="n">
        <f aca="false">-(In_Fixed_Opex*$F24+In_Admin)*EO110*EO15*EO$6</f>
        <v>-1198.97046919249</v>
      </c>
      <c r="EP115" s="33" t="n">
        <f aca="false">-(In_Fixed_Opex*$F24+In_Admin)*EP110*EP15*EP$6</f>
        <v>-1212.14596885395</v>
      </c>
      <c r="EQ115" s="33" t="n">
        <f aca="false">-(In_Fixed_Opex*$F24+In_Admin)*EQ110*EQ15*EQ$6</f>
        <v>-1212.14596885395</v>
      </c>
      <c r="ER115" s="33" t="n">
        <f aca="false">-(In_Fixed_Opex*$F24+In_Admin)*ER110*ER15*ER$6</f>
        <v>-1215.43984376931</v>
      </c>
      <c r="ES115" s="33" t="n">
        <f aca="false">-(In_Fixed_Opex*$F24+In_Admin)*ES110*ES15*ES$6</f>
        <v>-1228.9447309223</v>
      </c>
      <c r="ET115" s="33" t="n">
        <f aca="false">-(In_Fixed_Opex*$F24+In_Admin)*ET110*ET15*ET$6</f>
        <v>-1242.44961807529</v>
      </c>
    </row>
    <row r="116" customFormat="false" ht="15" hidden="false" customHeight="false" outlineLevel="0" collapsed="false">
      <c r="C116" s="0" t="s">
        <v>569</v>
      </c>
      <c r="D116" s="11" t="s">
        <v>253</v>
      </c>
      <c r="I116" s="33" t="n">
        <f aca="false">SUM(J116:ET116)</f>
        <v>-14015.8951421437</v>
      </c>
      <c r="J116" s="33" t="n">
        <f aca="false">-In_Lease*$F24*J110*J16*J$6</f>
        <v>-0</v>
      </c>
      <c r="K116" s="33" t="n">
        <f aca="false">-In_Lease*$F24*K110*K16*K$6</f>
        <v>-0</v>
      </c>
      <c r="L116" s="33" t="n">
        <f aca="false">-In_Lease*$F24*L110*L16*L$6</f>
        <v>-0</v>
      </c>
      <c r="M116" s="33" t="n">
        <f aca="false">-In_Lease*$F24*M110*M16*M$6</f>
        <v>-0</v>
      </c>
      <c r="N116" s="33" t="n">
        <f aca="false">-In_Lease*$F24*N110*N16*N$6</f>
        <v>-0</v>
      </c>
      <c r="O116" s="33" t="n">
        <f aca="false">-In_Lease*$F24*O110*O16*O$6</f>
        <v>-0</v>
      </c>
      <c r="P116" s="33" t="n">
        <f aca="false">-In_Lease*$F24*P110*P16*P$6</f>
        <v>-0</v>
      </c>
      <c r="Q116" s="33" t="n">
        <f aca="false">-In_Lease*$F24*Q110*Q16*Q$6</f>
        <v>-0</v>
      </c>
      <c r="R116" s="33" t="n">
        <f aca="false">-In_Lease*$F24*R110*R16*R$6</f>
        <v>-0</v>
      </c>
      <c r="S116" s="33" t="n">
        <f aca="false">-In_Lease*$F24*S110*S16*S$6</f>
        <v>-0</v>
      </c>
      <c r="T116" s="33" t="n">
        <f aca="false">-In_Lease*$F24*T110*T16*T$6</f>
        <v>-0</v>
      </c>
      <c r="U116" s="33" t="n">
        <f aca="false">-In_Lease*$F24*U110*U16*U$6</f>
        <v>-0</v>
      </c>
      <c r="V116" s="33" t="n">
        <f aca="false">-In_Lease*$F24*V110*V16*V$6</f>
        <v>-0</v>
      </c>
      <c r="W116" s="33" t="n">
        <f aca="false">-In_Lease*$F24*W110*W16*W$6</f>
        <v>-71.9728146162183</v>
      </c>
      <c r="X116" s="33" t="n">
        <f aca="false">-In_Lease*$F24*X110*X16*X$6</f>
        <v>-72.1683929168059</v>
      </c>
      <c r="Y116" s="33" t="n">
        <f aca="false">-In_Lease*$F24*Y110*Y16*Y$6</f>
        <v>-72.9702639492148</v>
      </c>
      <c r="Z116" s="33" t="n">
        <f aca="false">-In_Lease*$F24*Z110*Z16*Z$6</f>
        <v>-73.7721349816238</v>
      </c>
      <c r="AA116" s="33" t="n">
        <f aca="false">-In_Lease*$F24*AA110*AA16*AA$6</f>
        <v>-73.7721349816238</v>
      </c>
      <c r="AB116" s="33" t="n">
        <f aca="false">-In_Lease*$F24*AB110*AB16*AB$6</f>
        <v>-73.972602739726</v>
      </c>
      <c r="AC116" s="33" t="n">
        <f aca="false">-In_Lease*$F24*AC110*AC16*AC$6</f>
        <v>-74.7945205479452</v>
      </c>
      <c r="AD116" s="33" t="n">
        <f aca="false">-In_Lease*$F24*AD110*AD16*AD$6</f>
        <v>-75.6164383561644</v>
      </c>
      <c r="AE116" s="33" t="n">
        <f aca="false">-In_Lease*$F24*AE110*AE16*AE$6</f>
        <v>-75.6164383561644</v>
      </c>
      <c r="AF116" s="33" t="n">
        <f aca="false">-In_Lease*$F24*AF110*AF16*AF$6</f>
        <v>-76.6643835616438</v>
      </c>
      <c r="AG116" s="33" t="n">
        <f aca="false">-In_Lease*$F24*AG110*AG16*AG$6</f>
        <v>-76.6643835616438</v>
      </c>
      <c r="AH116" s="33" t="n">
        <f aca="false">-In_Lease*$F24*AH110*AH16*AH$6</f>
        <v>-77.5068493150685</v>
      </c>
      <c r="AI116" s="33" t="n">
        <f aca="false">-In_Lease*$F24*AI110*AI16*AI$6</f>
        <v>-77.5068493150685</v>
      </c>
      <c r="AJ116" s="33" t="n">
        <f aca="false">-In_Lease*$F24*AJ110*AJ16*AJ$6</f>
        <v>-77.7174657534247</v>
      </c>
      <c r="AK116" s="33" t="n">
        <f aca="false">-In_Lease*$F24*AK110*AK16*AK$6</f>
        <v>-78.5809931506849</v>
      </c>
      <c r="AL116" s="33" t="n">
        <f aca="false">-In_Lease*$F24*AL110*AL16*AL$6</f>
        <v>-79.4445205479452</v>
      </c>
      <c r="AM116" s="33" t="n">
        <f aca="false">-In_Lease*$F24*AM110*AM16*AM$6</f>
        <v>-79.4445205479452</v>
      </c>
      <c r="AN116" s="33" t="n">
        <f aca="false">-In_Lease*$F24*AN110*AN16*AN$6</f>
        <v>-79.6604023972602</v>
      </c>
      <c r="AO116" s="33" t="n">
        <f aca="false">-In_Lease*$F24*AO110*AO16*AO$6</f>
        <v>-80.545517979452</v>
      </c>
      <c r="AP116" s="33" t="n">
        <f aca="false">-In_Lease*$F24*AP110*AP16*AP$6</f>
        <v>-81.4306335616438</v>
      </c>
      <c r="AQ116" s="33" t="n">
        <f aca="false">-In_Lease*$F24*AQ110*AQ16*AQ$6</f>
        <v>-81.4306335616438</v>
      </c>
      <c r="AR116" s="33" t="n">
        <f aca="false">-In_Lease*$F24*AR110*AR16*AR$6</f>
        <v>-81.6519124571917</v>
      </c>
      <c r="AS116" s="33" t="n">
        <f aca="false">-In_Lease*$F24*AS110*AS16*AS$6</f>
        <v>-82.5591559289383</v>
      </c>
      <c r="AT116" s="33" t="n">
        <f aca="false">-In_Lease*$F24*AT110*AT16*AT$6</f>
        <v>-83.4663994006849</v>
      </c>
      <c r="AU116" s="33" t="n">
        <f aca="false">-In_Lease*$F24*AU110*AU16*AU$6</f>
        <v>-83.4663994006849</v>
      </c>
      <c r="AV116" s="33" t="n">
        <f aca="false">-In_Lease*$F24*AV110*AV16*AV$6</f>
        <v>-84.6231348271618</v>
      </c>
      <c r="AW116" s="33" t="n">
        <f aca="false">-In_Lease*$F24*AW110*AW16*AW$6</f>
        <v>-84.6231348271618</v>
      </c>
      <c r="AX116" s="33" t="n">
        <f aca="false">-In_Lease*$F24*AX110*AX16*AX$6</f>
        <v>-85.553059385702</v>
      </c>
      <c r="AY116" s="33" t="n">
        <f aca="false">-In_Lease*$F24*AY110*AY16*AY$6</f>
        <v>-85.553059385702</v>
      </c>
      <c r="AZ116" s="33" t="n">
        <f aca="false">-In_Lease*$F24*AZ110*AZ16*AZ$6</f>
        <v>-85.7855405253371</v>
      </c>
      <c r="BA116" s="33" t="n">
        <f aca="false">-In_Lease*$F24*BA110*BA16*BA$6</f>
        <v>-86.7387131978408</v>
      </c>
      <c r="BB116" s="33" t="n">
        <f aca="false">-In_Lease*$F24*BB110*BB16*BB$6</f>
        <v>-87.6918858703446</v>
      </c>
      <c r="BC116" s="33" t="n">
        <f aca="false">-In_Lease*$F24*BC110*BC16*BC$6</f>
        <v>-87.6918858703446</v>
      </c>
      <c r="BD116" s="33" t="n">
        <f aca="false">-In_Lease*$F24*BD110*BD16*BD$6</f>
        <v>-87.9301790384705</v>
      </c>
      <c r="BE116" s="33" t="n">
        <f aca="false">-In_Lease*$F24*BE110*BE16*BE$6</f>
        <v>-88.9071810277869</v>
      </c>
      <c r="BF116" s="33" t="n">
        <f aca="false">-In_Lease*$F24*BF110*BF16*BF$6</f>
        <v>-89.8841830171032</v>
      </c>
      <c r="BG116" s="33" t="n">
        <f aca="false">-In_Lease*$F24*BG110*BG16*BG$6</f>
        <v>-89.8841830171032</v>
      </c>
      <c r="BH116" s="33" t="n">
        <f aca="false">-In_Lease*$F24*BH110*BH16*BH$6</f>
        <v>-90.1284335144322</v>
      </c>
      <c r="BI116" s="33" t="n">
        <f aca="false">-In_Lease*$F24*BI110*BI16*BI$6</f>
        <v>-91.1298605534815</v>
      </c>
      <c r="BJ116" s="33" t="n">
        <f aca="false">-In_Lease*$F24*BJ110*BJ16*BJ$6</f>
        <v>-92.1312875925307</v>
      </c>
      <c r="BK116" s="33" t="n">
        <f aca="false">-In_Lease*$F24*BK110*BK16*BK$6</f>
        <v>-92.1312875925307</v>
      </c>
      <c r="BL116" s="33" t="n">
        <f aca="false">-In_Lease*$F24*BL110*BL16*BL$6</f>
        <v>-93.4081070673185</v>
      </c>
      <c r="BM116" s="33" t="n">
        <f aca="false">-In_Lease*$F24*BM110*BM16*BM$6</f>
        <v>-93.4081070673185</v>
      </c>
      <c r="BN116" s="33" t="n">
        <f aca="false">-In_Lease*$F24*BN110*BN16*BN$6</f>
        <v>-94.434569782344</v>
      </c>
      <c r="BO116" s="33" t="n">
        <f aca="false">-In_Lease*$F24*BO110*BO16*BO$6</f>
        <v>-94.434569782344</v>
      </c>
      <c r="BP116" s="33" t="n">
        <f aca="false">-In_Lease*$F24*BP110*BP16*BP$6</f>
        <v>-94.6911854611004</v>
      </c>
      <c r="BQ116" s="33" t="n">
        <f aca="false">-In_Lease*$F24*BQ110*BQ16*BQ$6</f>
        <v>-95.7433097440015</v>
      </c>
      <c r="BR116" s="33" t="n">
        <f aca="false">-In_Lease*$F24*BR110*BR16*BR$6</f>
        <v>-96.7954340269026</v>
      </c>
      <c r="BS116" s="33" t="n">
        <f aca="false">-In_Lease*$F24*BS110*BS16*BS$6</f>
        <v>-96.7954340269026</v>
      </c>
      <c r="BT116" s="33" t="n">
        <f aca="false">-In_Lease*$F24*BT110*BT16*BT$6</f>
        <v>-97.0584650976279</v>
      </c>
      <c r="BU116" s="33" t="n">
        <f aca="false">-In_Lease*$F24*BU110*BU16*BU$6</f>
        <v>-98.1368924876015</v>
      </c>
      <c r="BV116" s="33" t="n">
        <f aca="false">-In_Lease*$F24*BV110*BV16*BV$6</f>
        <v>-99.2153198775752</v>
      </c>
      <c r="BW116" s="33" t="n">
        <f aca="false">-In_Lease*$F24*BW110*BW16*BW$6</f>
        <v>-99.2153198775752</v>
      </c>
      <c r="BX116" s="33" t="n">
        <f aca="false">-In_Lease*$F24*BX110*BX16*BX$6</f>
        <v>-99.4849267250686</v>
      </c>
      <c r="BY116" s="33" t="n">
        <f aca="false">-In_Lease*$F24*BY110*BY16*BY$6</f>
        <v>-100.590314799792</v>
      </c>
      <c r="BZ116" s="33" t="n">
        <f aca="false">-In_Lease*$F24*BZ110*BZ16*BZ$6</f>
        <v>-101.695702874515</v>
      </c>
      <c r="CA116" s="33" t="n">
        <f aca="false">-In_Lease*$F24*CA110*CA16*CA$6</f>
        <v>-101.695702874515</v>
      </c>
      <c r="CB116" s="33" t="n">
        <f aca="false">-In_Lease*$F24*CB110*CB16*CB$6</f>
        <v>-103.105072669786</v>
      </c>
      <c r="CC116" s="33" t="n">
        <f aca="false">-In_Lease*$F24*CC110*CC16*CC$6</f>
        <v>-103.105072669786</v>
      </c>
      <c r="CD116" s="33" t="n">
        <f aca="false">-In_Lease*$F24*CD110*CD16*CD$6</f>
        <v>-104.238095446377</v>
      </c>
      <c r="CE116" s="33" t="n">
        <f aca="false">-In_Lease*$F24*CE110*CE16*CE$6</f>
        <v>-104.238095446377</v>
      </c>
      <c r="CF116" s="33" t="n">
        <f aca="false">-In_Lease*$F24*CF110*CF16*CF$6</f>
        <v>-104.521351140525</v>
      </c>
      <c r="CG116" s="33" t="n">
        <f aca="false">-In_Lease*$F24*CG110*CG16*CG$6</f>
        <v>-105.682699486531</v>
      </c>
      <c r="CH116" s="33" t="n">
        <f aca="false">-In_Lease*$F24*CH110*CH16*CH$6</f>
        <v>-106.844047832537</v>
      </c>
      <c r="CI116" s="33" t="n">
        <f aca="false">-In_Lease*$F24*CI110*CI16*CI$6</f>
        <v>-106.844047832537</v>
      </c>
      <c r="CJ116" s="33" t="n">
        <f aca="false">-In_Lease*$F24*CJ110*CJ16*CJ$6</f>
        <v>-107.134384919038</v>
      </c>
      <c r="CK116" s="33" t="n">
        <f aca="false">-In_Lease*$F24*CK110*CK16*CK$6</f>
        <v>-108.324766973694</v>
      </c>
      <c r="CL116" s="33" t="n">
        <f aca="false">-In_Lease*$F24*CL110*CL16*CL$6</f>
        <v>-109.51514902835</v>
      </c>
      <c r="CM116" s="33" t="n">
        <f aca="false">-In_Lease*$F24*CM110*CM16*CM$6</f>
        <v>-109.51514902835</v>
      </c>
      <c r="CN116" s="33" t="n">
        <f aca="false">-In_Lease*$F24*CN110*CN16*CN$6</f>
        <v>-109.812744542014</v>
      </c>
      <c r="CO116" s="33" t="n">
        <f aca="false">-In_Lease*$F24*CO110*CO16*CO$6</f>
        <v>-111.032886148037</v>
      </c>
      <c r="CP116" s="33" t="n">
        <f aca="false">-In_Lease*$F24*CP110*CP16*CP$6</f>
        <v>-112.253027754059</v>
      </c>
      <c r="CQ116" s="33" t="n">
        <f aca="false">-In_Lease*$F24*CQ110*CQ16*CQ$6</f>
        <v>-112.253027754059</v>
      </c>
      <c r="CR116" s="33" t="n">
        <f aca="false">-In_Lease*$F24*CR110*CR16*CR$6</f>
        <v>-113.808708301737</v>
      </c>
      <c r="CS116" s="33" t="n">
        <f aca="false">-In_Lease*$F24*CS110*CS16*CS$6</f>
        <v>-113.808708301737</v>
      </c>
      <c r="CT116" s="33" t="n">
        <f aca="false">-In_Lease*$F24*CT110*CT16*CT$6</f>
        <v>-115.05935344791</v>
      </c>
      <c r="CU116" s="33" t="n">
        <f aca="false">-In_Lease*$F24*CU110*CU16*CU$6</f>
        <v>-115.05935344791</v>
      </c>
      <c r="CV116" s="33" t="n">
        <f aca="false">-In_Lease*$F24*CV110*CV16*CV$6</f>
        <v>-115.372014734454</v>
      </c>
      <c r="CW116" s="33" t="n">
        <f aca="false">-In_Lease*$F24*CW110*CW16*CW$6</f>
        <v>-116.653926009281</v>
      </c>
      <c r="CX116" s="33" t="n">
        <f aca="false">-In_Lease*$F24*CX110*CX16*CX$6</f>
        <v>-117.935837284108</v>
      </c>
      <c r="CY116" s="33" t="n">
        <f aca="false">-In_Lease*$F24*CY110*CY16*CY$6</f>
        <v>-117.935837284108</v>
      </c>
      <c r="CZ116" s="33" t="n">
        <f aca="false">-In_Lease*$F24*CZ110*CZ16*CZ$6</f>
        <v>-118.256315102815</v>
      </c>
      <c r="DA116" s="33" t="n">
        <f aca="false">-In_Lease*$F24*DA110*DA16*DA$6</f>
        <v>-119.570274159513</v>
      </c>
      <c r="DB116" s="33" t="n">
        <f aca="false">-In_Lease*$F24*DB110*DB16*DB$6</f>
        <v>-120.884233216211</v>
      </c>
      <c r="DC116" s="33" t="n">
        <f aca="false">-In_Lease*$F24*DC110*DC16*DC$6</f>
        <v>-120.884233216211</v>
      </c>
      <c r="DD116" s="33" t="n">
        <f aca="false">-In_Lease*$F24*DD110*DD16*DD$6</f>
        <v>-121.212722980385</v>
      </c>
      <c r="DE116" s="33" t="n">
        <f aca="false">-In_Lease*$F24*DE110*DE16*DE$6</f>
        <v>-122.559531013501</v>
      </c>
      <c r="DF116" s="33" t="n">
        <f aca="false">-In_Lease*$F24*DF110*DF16*DF$6</f>
        <v>-123.906339046616</v>
      </c>
      <c r="DG116" s="33" t="n">
        <f aca="false">-In_Lease*$F24*DG110*DG16*DG$6</f>
        <v>-123.906339046616</v>
      </c>
      <c r="DH116" s="33" t="n">
        <f aca="false">-In_Lease*$F24*DH110*DH16*DH$6</f>
        <v>-125.623519288838</v>
      </c>
      <c r="DI116" s="33" t="n">
        <f aca="false">-In_Lease*$F24*DI110*DI16*DI$6</f>
        <v>-125.623519288838</v>
      </c>
      <c r="DJ116" s="33" t="n">
        <f aca="false">-In_Lease*$F24*DJ110*DJ16*DJ$6</f>
        <v>-127.003997522782</v>
      </c>
      <c r="DK116" s="33" t="n">
        <f aca="false">-In_Lease*$F24*DK110*DK16*DK$6</f>
        <v>-127.003997522782</v>
      </c>
      <c r="DL116" s="33" t="n">
        <f aca="false">-In_Lease*$F24*DL110*DL16*DL$6</f>
        <v>-127.349117081267</v>
      </c>
      <c r="DM116" s="33" t="n">
        <f aca="false">-In_Lease*$F24*DM110*DM16*DM$6</f>
        <v>-128.764107271059</v>
      </c>
      <c r="DN116" s="33" t="n">
        <f aca="false">-In_Lease*$F24*DN110*DN16*DN$6</f>
        <v>-130.179097460851</v>
      </c>
      <c r="DO116" s="33" t="n">
        <f aca="false">-In_Lease*$F24*DO110*DO16*DO$6</f>
        <v>-130.179097460851</v>
      </c>
      <c r="DP116" s="33" t="n">
        <f aca="false">-In_Lease*$F24*DP110*DP16*DP$6</f>
        <v>-130.532845008299</v>
      </c>
      <c r="DQ116" s="33" t="n">
        <f aca="false">-In_Lease*$F24*DQ110*DQ16*DQ$6</f>
        <v>-131.983209952836</v>
      </c>
      <c r="DR116" s="33" t="n">
        <f aca="false">-In_Lease*$F24*DR110*DR16*DR$6</f>
        <v>-133.433574897372</v>
      </c>
      <c r="DS116" s="33" t="n">
        <f aca="false">-In_Lease*$F24*DS110*DS16*DS$6</f>
        <v>-133.433574897372</v>
      </c>
      <c r="DT116" s="33" t="n">
        <f aca="false">-In_Lease*$F24*DT110*DT16*DT$6</f>
        <v>-133.796166133506</v>
      </c>
      <c r="DU116" s="33" t="n">
        <f aca="false">-In_Lease*$F24*DU110*DU16*DU$6</f>
        <v>-135.282790201657</v>
      </c>
      <c r="DV116" s="33" t="n">
        <f aca="false">-In_Lease*$F24*DV110*DV16*DV$6</f>
        <v>-136.769414269807</v>
      </c>
      <c r="DW116" s="33" t="n">
        <f aca="false">-In_Lease*$F24*DW110*DW16*DW$6</f>
        <v>-136.769414269807</v>
      </c>
      <c r="DX116" s="33" t="n">
        <f aca="false">-In_Lease*$F24*DX110*DX16*DX$6</f>
        <v>-138.664859956698</v>
      </c>
      <c r="DY116" s="33" t="n">
        <f aca="false">-In_Lease*$F24*DY110*DY16*DY$6</f>
        <v>-138.664859956698</v>
      </c>
      <c r="DZ116" s="33" t="n">
        <f aca="false">-In_Lease*$F24*DZ110*DZ16*DZ$6</f>
        <v>-140.188649626552</v>
      </c>
      <c r="EA116" s="33" t="n">
        <f aca="false">-In_Lease*$F24*EA110*EA16*EA$6</f>
        <v>-140.188649626552</v>
      </c>
      <c r="EB116" s="33" t="n">
        <f aca="false">-In_Lease*$F24*EB110*EB16*EB$6</f>
        <v>-140.569597044015</v>
      </c>
      <c r="EC116" s="33" t="n">
        <f aca="false">-In_Lease*$F24*EC110*EC16*EC$6</f>
        <v>-142.131481455615</v>
      </c>
      <c r="ED116" s="33" t="n">
        <f aca="false">-In_Lease*$F24*ED110*ED16*ED$6</f>
        <v>-143.693365867216</v>
      </c>
      <c r="EE116" s="33" t="n">
        <f aca="false">-In_Lease*$F24*EE110*EE16*EE$6</f>
        <v>-143.693365867216</v>
      </c>
      <c r="EF116" s="33" t="n">
        <f aca="false">-In_Lease*$F24*EF110*EF16*EF$6</f>
        <v>-144.083836970116</v>
      </c>
      <c r="EG116" s="33" t="n">
        <f aca="false">-In_Lease*$F24*EG110*EG16*EG$6</f>
        <v>-145.684768492006</v>
      </c>
      <c r="EH116" s="33" t="n">
        <f aca="false">-In_Lease*$F24*EH110*EH16*EH$6</f>
        <v>-147.285700013896</v>
      </c>
      <c r="EI116" s="33" t="n">
        <f aca="false">-In_Lease*$F24*EI110*EI16*EI$6</f>
        <v>-147.285700013896</v>
      </c>
      <c r="EJ116" s="33" t="n">
        <f aca="false">-In_Lease*$F24*EJ110*EJ16*EJ$6</f>
        <v>-147.685932894368</v>
      </c>
      <c r="EK116" s="33" t="n">
        <f aca="false">-In_Lease*$F24*EK110*EK16*EK$6</f>
        <v>-149.326887704306</v>
      </c>
      <c r="EL116" s="33" t="n">
        <f aca="false">-In_Lease*$F24*EL110*EL16*EL$6</f>
        <v>-150.967842514243</v>
      </c>
      <c r="EM116" s="33" t="n">
        <f aca="false">-In_Lease*$F24*EM110*EM16*EM$6</f>
        <v>-150.967842514243</v>
      </c>
      <c r="EN116" s="33" t="n">
        <f aca="false">-In_Lease*$F24*EN110*EN16*EN$6</f>
        <v>-153.060059896914</v>
      </c>
      <c r="EO116" s="33" t="n">
        <f aca="false">-In_Lease*$F24*EO110*EO16*EO$6</f>
        <v>-153.060059896914</v>
      </c>
      <c r="EP116" s="33" t="n">
        <f aca="false">-In_Lease*$F24*EP110*EP16*EP$6</f>
        <v>-154.742038577099</v>
      </c>
      <c r="EQ116" s="33" t="n">
        <f aca="false">-In_Lease*$F24*EQ110*EQ16*EQ$6</f>
        <v>-154.742038577099</v>
      </c>
      <c r="ER116" s="33" t="n">
        <f aca="false">-In_Lease*$F24*ER110*ER16*ER$6</f>
        <v>-155.162533247146</v>
      </c>
      <c r="ES116" s="33" t="n">
        <f aca="false">-In_Lease*$F24*ES110*ES16*ES$6</f>
        <v>-156.886561394336</v>
      </c>
      <c r="ET116" s="33" t="n">
        <f aca="false">-In_Lease*$F24*ET110*ET16*ET$6</f>
        <v>-158.610589541527</v>
      </c>
    </row>
    <row r="117" customFormat="false" ht="15" hidden="false" customHeight="false" outlineLevel="0" collapsed="false">
      <c r="C117" s="0" t="s">
        <v>570</v>
      </c>
      <c r="D117" s="11" t="s">
        <v>253</v>
      </c>
      <c r="I117" s="33" t="n">
        <f aca="false">SUM(J117:ET117)</f>
        <v>-15269.388528234</v>
      </c>
      <c r="J117" s="33" t="n">
        <f aca="false">-J113*(In_MEKH+In_HIPA)</f>
        <v>-0</v>
      </c>
      <c r="K117" s="33" t="n">
        <f aca="false">-K113*(In_MEKH+In_HIPA)</f>
        <v>-0</v>
      </c>
      <c r="L117" s="33" t="n">
        <f aca="false">-L113*(In_MEKH+In_HIPA)</f>
        <v>-0</v>
      </c>
      <c r="M117" s="33" t="n">
        <f aca="false">-M113*(In_MEKH+In_HIPA)</f>
        <v>-0</v>
      </c>
      <c r="N117" s="33" t="n">
        <f aca="false">-N113*(In_MEKH+In_HIPA)</f>
        <v>-0</v>
      </c>
      <c r="O117" s="33" t="n">
        <f aca="false">-O113*(In_MEKH+In_HIPA)</f>
        <v>-0</v>
      </c>
      <c r="P117" s="33" t="n">
        <f aca="false">-P113*(In_MEKH+In_HIPA)</f>
        <v>-0</v>
      </c>
      <c r="Q117" s="33" t="n">
        <f aca="false">-Q113*(In_MEKH+In_HIPA)</f>
        <v>-0</v>
      </c>
      <c r="R117" s="33" t="n">
        <f aca="false">-R113*(In_MEKH+In_HIPA)</f>
        <v>-0</v>
      </c>
      <c r="S117" s="33" t="n">
        <f aca="false">-S113*(In_MEKH+In_HIPA)</f>
        <v>-0</v>
      </c>
      <c r="T117" s="33" t="n">
        <f aca="false">-T113*(In_MEKH+In_HIPA)</f>
        <v>-0</v>
      </c>
      <c r="U117" s="33" t="n">
        <f aca="false">-U113*(In_MEKH+In_HIPA)</f>
        <v>-0</v>
      </c>
      <c r="V117" s="33" t="n">
        <f aca="false">-V113*(In_MEKH+In_HIPA)</f>
        <v>-0</v>
      </c>
      <c r="W117" s="33" t="n">
        <f aca="false">-W113*(In_MEKH+In_HIPA)</f>
        <v>-0</v>
      </c>
      <c r="X117" s="33" t="n">
        <f aca="false">-X113*(In_MEKH+In_HIPA)</f>
        <v>-0</v>
      </c>
      <c r="Y117" s="33" t="n">
        <f aca="false">-Y113*(In_MEKH+In_HIPA)</f>
        <v>-0</v>
      </c>
      <c r="Z117" s="33" t="n">
        <f aca="false">-Z113*(In_MEKH+In_HIPA)</f>
        <v>-0</v>
      </c>
      <c r="AA117" s="33" t="n">
        <f aca="false">-AA113*(In_MEKH+In_HIPA)</f>
        <v>-0</v>
      </c>
      <c r="AB117" s="33" t="n">
        <f aca="false">-AB113*(In_MEKH+In_HIPA)</f>
        <v>-0</v>
      </c>
      <c r="AC117" s="33" t="n">
        <f aca="false">-AC113*(In_MEKH+In_HIPA)</f>
        <v>-0</v>
      </c>
      <c r="AD117" s="33" t="n">
        <f aca="false">-AD113*(In_MEKH+In_HIPA)</f>
        <v>-0</v>
      </c>
      <c r="AE117" s="33" t="n">
        <f aca="false">-AE113*(In_MEKH+In_HIPA)</f>
        <v>-114.846549041096</v>
      </c>
      <c r="AF117" s="33" t="n">
        <f aca="false">-AF113*(In_MEKH+In_HIPA)</f>
        <v>-114.734199156164</v>
      </c>
      <c r="AG117" s="33" t="n">
        <f aca="false">-AG113*(In_MEKH+In_HIPA)</f>
        <v>-114.734199156164</v>
      </c>
      <c r="AH117" s="33" t="n">
        <f aca="false">-AH113*(In_MEKH+In_HIPA)</f>
        <v>-115.995014531507</v>
      </c>
      <c r="AI117" s="33" t="n">
        <f aca="false">-AI113*(In_MEKH+In_HIPA)</f>
        <v>-115.647029487912</v>
      </c>
      <c r="AJ117" s="33" t="n">
        <f aca="false">-AJ113*(In_MEKH+In_HIPA)</f>
        <v>-114.264293265774</v>
      </c>
      <c r="AK117" s="33" t="n">
        <f aca="false">-AK113*(In_MEKH+In_HIPA)</f>
        <v>-115.533896524283</v>
      </c>
      <c r="AL117" s="33" t="n">
        <f aca="false">-AL113*(In_MEKH+In_HIPA)</f>
        <v>-116.803499782791</v>
      </c>
      <c r="AM117" s="33" t="n">
        <f aca="false">-AM113*(In_MEKH+In_HIPA)</f>
        <v>-116.453089283443</v>
      </c>
      <c r="AN117" s="33" t="n">
        <f aca="false">-AN113*(In_MEKH+In_HIPA)</f>
        <v>-115.060715389837</v>
      </c>
      <c r="AO117" s="33" t="n">
        <f aca="false">-AO113*(In_MEKH+In_HIPA)</f>
        <v>-116.339167783057</v>
      </c>
      <c r="AP117" s="33" t="n">
        <f aca="false">-AP113*(In_MEKH+In_HIPA)</f>
        <v>-117.617620176278</v>
      </c>
      <c r="AQ117" s="33" t="n">
        <f aca="false">-AQ113*(In_MEKH+In_HIPA)</f>
        <v>-117.264767315749</v>
      </c>
      <c r="AR117" s="33" t="n">
        <f aca="false">-AR113*(In_MEKH+In_HIPA)</f>
        <v>-115.862688576104</v>
      </c>
      <c r="AS117" s="33" t="n">
        <f aca="false">-AS113*(In_MEKH+In_HIPA)</f>
        <v>-117.150051782505</v>
      </c>
      <c r="AT117" s="33" t="n">
        <f aca="false">-AT113*(In_MEKH+In_HIPA)</f>
        <v>-118.437414988906</v>
      </c>
      <c r="AU117" s="33" t="n">
        <f aca="false">-AU113*(In_MEKH+In_HIPA)</f>
        <v>-118.082102743939</v>
      </c>
      <c r="AV117" s="33" t="n">
        <f aca="false">-AV113*(In_MEKH+In_HIPA)</f>
        <v>-117.966587643429</v>
      </c>
      <c r="AW117" s="33" t="n">
        <f aca="false">-AW113*(In_MEKH+In_HIPA)</f>
        <v>-117.966587643429</v>
      </c>
      <c r="AX117" s="33" t="n">
        <f aca="false">-AX113*(In_MEKH+In_HIPA)</f>
        <v>-119.262923771379</v>
      </c>
      <c r="AY117" s="33" t="n">
        <f aca="false">-AY113*(In_MEKH+In_HIPA)</f>
        <v>-118.905135000065</v>
      </c>
      <c r="AZ117" s="33" t="n">
        <f aca="false">-AZ113*(In_MEKH+In_HIPA)</f>
        <v>-117.483443168542</v>
      </c>
      <c r="BA117" s="33" t="n">
        <f aca="false">-BA113*(In_MEKH+In_HIPA)</f>
        <v>-118.788814759304</v>
      </c>
      <c r="BB117" s="33" t="n">
        <f aca="false">-BB113*(In_MEKH+In_HIPA)</f>
        <v>-120.094186350065</v>
      </c>
      <c r="BC117" s="33" t="n">
        <f aca="false">-BC113*(In_MEKH+In_HIPA)</f>
        <v>-119.733903791015</v>
      </c>
      <c r="BD117" s="33" t="n">
        <f aca="false">-BD113*(In_MEKH+In_HIPA)</f>
        <v>-118.302302767427</v>
      </c>
      <c r="BE117" s="33" t="n">
        <f aca="false">-BE113*(In_MEKH+In_HIPA)</f>
        <v>-119.616772798176</v>
      </c>
      <c r="BF117" s="33" t="n">
        <f aca="false">-BF113*(In_MEKH+In_HIPA)</f>
        <v>-120.931242828925</v>
      </c>
      <c r="BG117" s="33" t="n">
        <f aca="false">-BG113*(In_MEKH+In_HIPA)</f>
        <v>-120.568449100439</v>
      </c>
      <c r="BH117" s="33" t="n">
        <f aca="false">-BH113*(In_MEKH+In_HIPA)</f>
        <v>-119.126869817716</v>
      </c>
      <c r="BI117" s="33" t="n">
        <f aca="false">-BI113*(In_MEKH+In_HIPA)</f>
        <v>-120.450501704579</v>
      </c>
      <c r="BJ117" s="33" t="n">
        <f aca="false">-BJ113*(In_MEKH+In_HIPA)</f>
        <v>-121.774133591443</v>
      </c>
      <c r="BK117" s="33" t="n">
        <f aca="false">-BK113*(In_MEKH+In_HIPA)</f>
        <v>-121.408811190669</v>
      </c>
      <c r="BL117" s="33" t="n">
        <f aca="false">-BL113*(In_MEKH+In_HIPA)</f>
        <v>-121.29004170146</v>
      </c>
      <c r="BM117" s="33" t="n">
        <f aca="false">-BM113*(In_MEKH+In_HIPA)</f>
        <v>-121.29004170146</v>
      </c>
      <c r="BN117" s="33" t="n">
        <f aca="false">-BN113*(In_MEKH+In_HIPA)</f>
        <v>-122.622899302575</v>
      </c>
      <c r="BO117" s="33" t="n">
        <f aca="false">-BO113*(In_MEKH+In_HIPA)</f>
        <v>-122.255030604668</v>
      </c>
      <c r="BP117" s="33" t="n">
        <f aca="false">-BP113*(In_MEKH+In_HIPA)</f>
        <v>-120.793285673525</v>
      </c>
      <c r="BQ117" s="33" t="n">
        <f aca="false">-BQ113*(In_MEKH+In_HIPA)</f>
        <v>-122.13543329212</v>
      </c>
      <c r="BR117" s="33" t="n">
        <f aca="false">-BR113*(In_MEKH+In_HIPA)</f>
        <v>-123.477580910714</v>
      </c>
      <c r="BS117" s="33" t="n">
        <f aca="false">-BS113*(In_MEKH+In_HIPA)</f>
        <v>-123.107148167982</v>
      </c>
      <c r="BT117" s="33" t="n">
        <f aca="false">-BT113*(In_MEKH+In_HIPA)</f>
        <v>-121.635214874669</v>
      </c>
      <c r="BU117" s="33" t="n">
        <f aca="false">-BU113*(In_MEKH+In_HIPA)</f>
        <v>-122.986717262166</v>
      </c>
      <c r="BV117" s="33" t="n">
        <f aca="false">-BV113*(In_MEKH+In_HIPA)</f>
        <v>-124.338219649662</v>
      </c>
      <c r="BW117" s="33" t="n">
        <f aca="false">-BW113*(In_MEKH+In_HIPA)</f>
        <v>-123.965204990713</v>
      </c>
      <c r="BX117" s="33" t="n">
        <f aca="false">-BX113*(In_MEKH+In_HIPA)</f>
        <v>-122.483012322346</v>
      </c>
      <c r="BY117" s="33" t="n">
        <f aca="false">-BY113*(In_MEKH+In_HIPA)</f>
        <v>-123.843934681483</v>
      </c>
      <c r="BZ117" s="33" t="n">
        <f aca="false">-BZ113*(In_MEKH+In_HIPA)</f>
        <v>-125.20485704062</v>
      </c>
      <c r="CA117" s="33" t="n">
        <f aca="false">-CA113*(In_MEKH+In_HIPA)</f>
        <v>-124.829242469498</v>
      </c>
      <c r="CB117" s="33" t="n">
        <f aca="false">-CB113*(In_MEKH+In_HIPA)</f>
        <v>-124.707126906213</v>
      </c>
      <c r="CC117" s="33" t="n">
        <f aca="false">-CC113*(In_MEKH+In_HIPA)</f>
        <v>-124.707126906213</v>
      </c>
      <c r="CD117" s="33" t="n">
        <f aca="false">-CD113*(In_MEKH+In_HIPA)</f>
        <v>-126.077534894193</v>
      </c>
      <c r="CE117" s="33" t="n">
        <f aca="false">-CE113*(In_MEKH+In_HIPA)</f>
        <v>-125.699302289511</v>
      </c>
      <c r="CF117" s="33" t="n">
        <f aca="false">-CF113*(In_MEKH+In_HIPA)</f>
        <v>-124.196375849093</v>
      </c>
      <c r="CG117" s="33" t="n">
        <f aca="false">-CG113*(In_MEKH+In_HIPA)</f>
        <v>-125.576335580749</v>
      </c>
      <c r="CH117" s="33" t="n">
        <f aca="false">-CH113*(In_MEKH+In_HIPA)</f>
        <v>-126.956295312406</v>
      </c>
      <c r="CI117" s="33" t="n">
        <f aca="false">-CI113*(In_MEKH+In_HIPA)</f>
        <v>-126.575426426469</v>
      </c>
      <c r="CJ117" s="33" t="n">
        <f aca="false">-CJ113*(In_MEKH+In_HIPA)</f>
        <v>-125.062024588761</v>
      </c>
      <c r="CK117" s="33" t="n">
        <f aca="false">-CK113*(In_MEKH+In_HIPA)</f>
        <v>-126.451602639747</v>
      </c>
      <c r="CL117" s="33" t="n">
        <f aca="false">-CL113*(In_MEKH+In_HIPA)</f>
        <v>-127.841180690733</v>
      </c>
      <c r="CM117" s="33" t="n">
        <f aca="false">-CM113*(In_MEKH+In_HIPA)</f>
        <v>-127.457657148661</v>
      </c>
      <c r="CN117" s="33" t="n">
        <f aca="false">-CN113*(In_MEKH+In_HIPA)</f>
        <v>-125.933706900144</v>
      </c>
      <c r="CO117" s="33" t="n">
        <f aca="false">-CO113*(In_MEKH+In_HIPA)</f>
        <v>-127.332970310146</v>
      </c>
      <c r="CP117" s="33" t="n">
        <f aca="false">-CP113*(In_MEKH+In_HIPA)</f>
        <v>-128.732233720148</v>
      </c>
      <c r="CQ117" s="33" t="n">
        <f aca="false">-CQ113*(In_MEKH+In_HIPA)</f>
        <v>-128.346037018987</v>
      </c>
      <c r="CR117" s="33" t="n">
        <f aca="false">-CR113*(In_MEKH+In_HIPA)</f>
        <v>-128.220481113208</v>
      </c>
      <c r="CS117" s="33" t="n">
        <f aca="false">-CS113*(In_MEKH+In_HIPA)</f>
        <v>-128.220481113208</v>
      </c>
      <c r="CT117" s="33" t="n">
        <f aca="false">-CT113*(In_MEKH+In_HIPA)</f>
        <v>-129.629497389177</v>
      </c>
      <c r="CU117" s="33" t="n">
        <f aca="false">-CU113*(In_MEKH+In_HIPA)</f>
        <v>-129.240608897009</v>
      </c>
      <c r="CV117" s="33" t="n">
        <f aca="false">-CV113*(In_MEKH+In_HIPA)</f>
        <v>-127.695340747154</v>
      </c>
      <c r="CW117" s="33" t="n">
        <f aca="false">-CW113*(In_MEKH+In_HIPA)</f>
        <v>-129.114177866567</v>
      </c>
      <c r="CX117" s="33" t="n">
        <f aca="false">-CX113*(In_MEKH+In_HIPA)</f>
        <v>-130.53301498598</v>
      </c>
      <c r="CY117" s="33" t="n">
        <f aca="false">-CY113*(In_MEKH+In_HIPA)</f>
        <v>-130.141415941022</v>
      </c>
      <c r="CZ117" s="33" t="n">
        <f aca="false">-CZ113*(In_MEKH+In_HIPA)</f>
        <v>-128.585377272162</v>
      </c>
      <c r="DA117" s="33" t="n">
        <f aca="false">-DA113*(In_MEKH+In_HIPA)</f>
        <v>-130.014103686297</v>
      </c>
      <c r="DB117" s="33" t="n">
        <f aca="false">-DB113*(In_MEKH+In_HIPA)</f>
        <v>-131.442830100432</v>
      </c>
      <c r="DC117" s="33" t="n">
        <f aca="false">-DC113*(In_MEKH+In_HIPA)</f>
        <v>-131.048501610131</v>
      </c>
      <c r="DD117" s="33" t="n">
        <f aca="false">-DD113*(In_MEKH+In_HIPA)</f>
        <v>-129.481617351749</v>
      </c>
      <c r="DE117" s="33" t="n">
        <f aca="false">-DE113*(In_MEKH+In_HIPA)</f>
        <v>-130.92030198899</v>
      </c>
      <c r="DF117" s="33" t="n">
        <f aca="false">-DF113*(In_MEKH+In_HIPA)</f>
        <v>-132.358986626232</v>
      </c>
      <c r="DG117" s="33" t="n">
        <f aca="false">-DG113*(In_MEKH+In_HIPA)</f>
        <v>-131.961909666353</v>
      </c>
      <c r="DH117" s="33" t="n">
        <f aca="false">-DH113*(In_MEKH+In_HIPA)</f>
        <v>-131.832816493854</v>
      </c>
      <c r="DI117" s="33" t="n">
        <f aca="false">-DI113*(In_MEKH+In_HIPA)</f>
        <v>-131.832816493854</v>
      </c>
      <c r="DJ117" s="33" t="n">
        <f aca="false">-DJ113*(In_MEKH+In_HIPA)</f>
        <v>-133.281528763017</v>
      </c>
      <c r="DK117" s="33" t="n">
        <f aca="false">-DK113*(In_MEKH+In_HIPA)</f>
        <v>-132.881684176728</v>
      </c>
      <c r="DL117" s="33" t="n">
        <f aca="false">-DL113*(In_MEKH+In_HIPA)</f>
        <v>-131.292881431136</v>
      </c>
      <c r="DM117" s="33" t="n">
        <f aca="false">-DM113*(In_MEKH+In_HIPA)</f>
        <v>-132.751691224816</v>
      </c>
      <c r="DN117" s="33" t="n">
        <f aca="false">-DN113*(In_MEKH+In_HIPA)</f>
        <v>-134.210501018495</v>
      </c>
      <c r="DO117" s="33" t="n">
        <f aca="false">-DO113*(In_MEKH+In_HIPA)</f>
        <v>-133.807869515439</v>
      </c>
      <c r="DP117" s="33" t="n">
        <f aca="false">-DP113*(In_MEKH+In_HIPA)</f>
        <v>-132.207992814711</v>
      </c>
      <c r="DQ117" s="33" t="n">
        <f aca="false">-DQ113*(In_MEKH+In_HIPA)</f>
        <v>-133.676970512653</v>
      </c>
      <c r="DR117" s="33" t="n">
        <f aca="false">-DR113*(In_MEKH+In_HIPA)</f>
        <v>-135.145948210594</v>
      </c>
      <c r="DS117" s="33" t="n">
        <f aca="false">-DS113*(In_MEKH+In_HIPA)</f>
        <v>-134.740510365962</v>
      </c>
      <c r="DT117" s="33" t="n">
        <f aca="false">-DT113*(In_MEKH+In_HIPA)</f>
        <v>-133.12948252463</v>
      </c>
      <c r="DU117" s="33" t="n">
        <f aca="false">-DU113*(In_MEKH+In_HIPA)</f>
        <v>-134.608698997126</v>
      </c>
      <c r="DV117" s="33" t="n">
        <f aca="false">-DV113*(In_MEKH+In_HIPA)</f>
        <v>-136.087915469622</v>
      </c>
      <c r="DW117" s="33" t="n">
        <f aca="false">-DW113*(In_MEKH+In_HIPA)</f>
        <v>-135.679651723213</v>
      </c>
      <c r="DX117" s="33" t="n">
        <f aca="false">-DX113*(In_MEKH+In_HIPA)</f>
        <v>-135.546921629136</v>
      </c>
      <c r="DY117" s="33" t="n">
        <f aca="false">-DY113*(In_MEKH+In_HIPA)</f>
        <v>-135.546921629136</v>
      </c>
      <c r="DZ117" s="33" t="n">
        <f aca="false">-DZ113*(In_MEKH+In_HIPA)</f>
        <v>-137.036448240445</v>
      </c>
      <c r="EA117" s="33" t="n">
        <f aca="false">-EA113*(In_MEKH+In_HIPA)</f>
        <v>-136.625338895724</v>
      </c>
      <c r="EB117" s="33" t="n">
        <f aca="false">-EB113*(In_MEKH+In_HIPA)</f>
        <v>-134.991775061101</v>
      </c>
      <c r="EC117" s="33" t="n">
        <f aca="false">-EC113*(In_MEKH+In_HIPA)</f>
        <v>-136.491683672891</v>
      </c>
      <c r="ED117" s="33" t="n">
        <f aca="false">-ED113*(In_MEKH+In_HIPA)</f>
        <v>-137.991592284681</v>
      </c>
      <c r="EE117" s="33" t="n">
        <f aca="false">-EE113*(In_MEKH+In_HIPA)</f>
        <v>-137.577617507827</v>
      </c>
      <c r="EF117" s="33" t="n">
        <f aca="false">-EF113*(In_MEKH+In_HIPA)</f>
        <v>-135.932667733277</v>
      </c>
      <c r="EG117" s="33" t="n">
        <f aca="false">-EG113*(In_MEKH+In_HIPA)</f>
        <v>-137.443030708091</v>
      </c>
      <c r="EH117" s="33" t="n">
        <f aca="false">-EH113*(In_MEKH+In_HIPA)</f>
        <v>-138.953393682905</v>
      </c>
      <c r="EI117" s="33" t="n">
        <f aca="false">-EI113*(In_MEKH+In_HIPA)</f>
        <v>-138.536533501856</v>
      </c>
      <c r="EJ117" s="33" t="n">
        <f aca="false">-EJ113*(In_MEKH+In_HIPA)</f>
        <v>-136.880118427378</v>
      </c>
      <c r="EK117" s="33" t="n">
        <f aca="false">-EK113*(In_MEKH+In_HIPA)</f>
        <v>-138.401008632126</v>
      </c>
      <c r="EL117" s="33" t="n">
        <f aca="false">-EL113*(In_MEKH+In_HIPA)</f>
        <v>-139.921898836875</v>
      </c>
      <c r="EM117" s="33" t="n">
        <f aca="false">-EM113*(In_MEKH+In_HIPA)</f>
        <v>-139.502133140364</v>
      </c>
      <c r="EN117" s="33" t="n">
        <f aca="false">-EN113*(In_MEKH+In_HIPA)</f>
        <v>-139.365663662292</v>
      </c>
      <c r="EO117" s="33" t="n">
        <f aca="false">-EO113*(In_MEKH+In_HIPA)</f>
        <v>-139.365663662292</v>
      </c>
      <c r="EP117" s="33" t="n">
        <f aca="false">-EP113*(In_MEKH+In_HIPA)</f>
        <v>-140.897154471768</v>
      </c>
      <c r="EQ117" s="33" t="n">
        <f aca="false">-EQ113*(In_MEKH+In_HIPA)</f>
        <v>-140.474463008353</v>
      </c>
      <c r="ER117" s="33" t="n">
        <f aca="false">-ER113*(In_MEKH+In_HIPA)</f>
        <v>-138.794877037601</v>
      </c>
      <c r="ES117" s="33" t="n">
        <f aca="false">-ES113*(In_MEKH+In_HIPA)</f>
        <v>-140.337042338018</v>
      </c>
      <c r="ET117" s="33" t="n">
        <f aca="false">-ET113*(In_MEKH+In_HIPA)</f>
        <v>-141.879207638436</v>
      </c>
    </row>
    <row r="118" customFormat="false" ht="15" hidden="false" customHeight="false" outlineLevel="0" collapsed="false">
      <c r="C118" s="0" t="s">
        <v>390</v>
      </c>
      <c r="D118" s="11" t="s">
        <v>253</v>
      </c>
      <c r="I118" s="33" t="n">
        <f aca="false">SUM(J118:ET118)</f>
        <v>-8565.12918101122</v>
      </c>
      <c r="J118" s="33" t="n">
        <f aca="false">In_Opex_Contingency*(J114+J115+J116-J113*In_MEKH)</f>
        <v>-0</v>
      </c>
      <c r="K118" s="33" t="n">
        <f aca="false">In_Opex_Contingency*(K114+K115+K116-K113*In_MEKH)</f>
        <v>-0</v>
      </c>
      <c r="L118" s="33" t="n">
        <f aca="false">In_Opex_Contingency*(L114+L115+L116-L113*In_MEKH)</f>
        <v>-0</v>
      </c>
      <c r="M118" s="33" t="n">
        <f aca="false">In_Opex_Contingency*(M114+M115+M116-M113*In_MEKH)</f>
        <v>-0</v>
      </c>
      <c r="N118" s="33" t="n">
        <f aca="false">In_Opex_Contingency*(N114+N115+N116-N113*In_MEKH)</f>
        <v>-0</v>
      </c>
      <c r="O118" s="33" t="n">
        <f aca="false">In_Opex_Contingency*(O114+O115+O116-O113*In_MEKH)</f>
        <v>-0</v>
      </c>
      <c r="P118" s="33" t="n">
        <f aca="false">In_Opex_Contingency*(P114+P115+P116-P113*In_MEKH)</f>
        <v>-0</v>
      </c>
      <c r="Q118" s="33" t="n">
        <f aca="false">In_Opex_Contingency*(Q114+Q115+Q116-Q113*In_MEKH)</f>
        <v>-0</v>
      </c>
      <c r="R118" s="33" t="n">
        <f aca="false">In_Opex_Contingency*(R114+R115+R116-R113*In_MEKH)</f>
        <v>-0</v>
      </c>
      <c r="S118" s="33" t="n">
        <f aca="false">In_Opex_Contingency*(S114+S115+S116-S113*In_MEKH)</f>
        <v>-0</v>
      </c>
      <c r="T118" s="33" t="n">
        <f aca="false">In_Opex_Contingency*(T114+T115+T116-T113*In_MEKH)</f>
        <v>-0</v>
      </c>
      <c r="U118" s="33" t="n">
        <f aca="false">In_Opex_Contingency*(U114+U115+U116-U113*In_MEKH)</f>
        <v>-0</v>
      </c>
      <c r="V118" s="33" t="n">
        <f aca="false">In_Opex_Contingency*(V114+V115+V116-V113*In_MEKH)</f>
        <v>-0</v>
      </c>
      <c r="W118" s="33" t="n">
        <f aca="false">In_Opex_Contingency*(W114+W115+W116-W113*In_MEKH)</f>
        <v>-3.59864073081092</v>
      </c>
      <c r="X118" s="33" t="n">
        <f aca="false">In_Opex_Contingency*(X114+X115+X116-X113*In_MEKH)</f>
        <v>-3.60841964584029</v>
      </c>
      <c r="Y118" s="33" t="n">
        <f aca="false">In_Opex_Contingency*(Y114+Y115+Y116-Y113*In_MEKH)</f>
        <v>-3.64851319746074</v>
      </c>
      <c r="Z118" s="33" t="n">
        <f aca="false">In_Opex_Contingency*(Z114+Z115+Z116-Z113*In_MEKH)</f>
        <v>-3.68860674908119</v>
      </c>
      <c r="AA118" s="33" t="n">
        <f aca="false">In_Opex_Contingency*(AA114+AA115+AA116-AA113*In_MEKH)</f>
        <v>-3.68860674908119</v>
      </c>
      <c r="AB118" s="33" t="n">
        <f aca="false">In_Opex_Contingency*(AB114+AB115+AB116-AB113*In_MEKH)</f>
        <v>-3.6986301369863</v>
      </c>
      <c r="AC118" s="33" t="n">
        <f aca="false">In_Opex_Contingency*(AC114+AC115+AC116-AC113*In_MEKH)</f>
        <v>-3.73972602739726</v>
      </c>
      <c r="AD118" s="33" t="n">
        <f aca="false">In_Opex_Contingency*(AD114+AD115+AD116-AD113*In_MEKH)</f>
        <v>-3.78082191780822</v>
      </c>
      <c r="AE118" s="33" t="n">
        <f aca="false">In_Opex_Contingency*(AE114+AE115+AE116-AE113*In_MEKH)</f>
        <v>-48.8620469041096</v>
      </c>
      <c r="AF118" s="33" t="n">
        <f aca="false">In_Opex_Contingency*(AF114+AF115+AF116-AF113*In_MEKH)</f>
        <v>-49.5351540619178</v>
      </c>
      <c r="AG118" s="33" t="n">
        <f aca="false">In_Opex_Contingency*(AG114+AG115+AG116-AG113*In_MEKH)</f>
        <v>-49.5351540619178</v>
      </c>
      <c r="AH118" s="33" t="n">
        <f aca="false">In_Opex_Contingency*(AH114+AH115+AH116-AH113*In_MEKH)</f>
        <v>-50.0794964142466</v>
      </c>
      <c r="AI118" s="33" t="n">
        <f aca="false">In_Opex_Contingency*(AI114+AI115+AI116-AI113*In_MEKH)</f>
        <v>-50.0319545003463</v>
      </c>
      <c r="AJ118" s="33" t="n">
        <f aca="false">In_Opex_Contingency*(AJ114+AJ115+AJ116-AJ113*In_MEKH)</f>
        <v>-50.1638704354583</v>
      </c>
      <c r="AK118" s="33" t="n">
        <f aca="false">In_Opex_Contingency*(AK114+AK115+AK116-AK113*In_MEKH)</f>
        <v>-50.7212467736301</v>
      </c>
      <c r="AL118" s="33" t="n">
        <f aca="false">In_Opex_Contingency*(AL114+AL115+AL116-AL113*In_MEKH)</f>
        <v>-51.2786231118018</v>
      </c>
      <c r="AM118" s="33" t="n">
        <f aca="false">In_Opex_Contingency*(AM114+AM115+AM116-AM113*In_MEKH)</f>
        <v>-51.2300512321924</v>
      </c>
      <c r="AN118" s="33" t="n">
        <f aca="false">In_Opex_Contingency*(AN114+AN115+AN116-AN113*In_MEKH)</f>
        <v>-51.3651947029183</v>
      </c>
      <c r="AO118" s="33" t="n">
        <f aca="false">In_Opex_Contingency*(AO114+AO115+AO116-AO113*In_MEKH)</f>
        <v>-51.9359190885063</v>
      </c>
      <c r="AP118" s="33" t="n">
        <f aca="false">In_Opex_Contingency*(AP114+AP115+AP116-AP113*In_MEKH)</f>
        <v>-52.5066434740943</v>
      </c>
      <c r="AQ118" s="33" t="n">
        <f aca="false">In_Opex_Contingency*(AQ114+AQ115+AQ116-AQ113*In_MEKH)</f>
        <v>-52.4570191331412</v>
      </c>
      <c r="AR118" s="33" t="n">
        <f aca="false">In_Opex_Contingency*(AR114+AR115+AR116-AR113*In_MEKH)</f>
        <v>-52.5954683974554</v>
      </c>
      <c r="AS118" s="33" t="n">
        <f aca="false">In_Opex_Contingency*(AS114+AS115+AS116-AS113*In_MEKH)</f>
        <v>-53.1798624907605</v>
      </c>
      <c r="AT118" s="33" t="n">
        <f aca="false">In_Opex_Contingency*(AT114+AT115+AT116-AT113*In_MEKH)</f>
        <v>-53.7642565840656</v>
      </c>
      <c r="AU118" s="33" t="n">
        <f aca="false">In_Opex_Contingency*(AU114+AU115+AU116-AU113*In_MEKH)</f>
        <v>-53.7135567935193</v>
      </c>
      <c r="AV118" s="33" t="n">
        <f aca="false">In_Opex_Contingency*(AV114+AV115+AV116-AV113*In_MEKH)</f>
        <v>-54.4537852508869</v>
      </c>
      <c r="AW118" s="33" t="n">
        <f aca="false">In_Opex_Contingency*(AW114+AW115+AW116-AW113*In_MEKH)</f>
        <v>-54.4537852508869</v>
      </c>
      <c r="AX118" s="33" t="n">
        <f aca="false">In_Opex_Contingency*(AX114+AX115+AX116-AX113*In_MEKH)</f>
        <v>-55.0521784954021</v>
      </c>
      <c r="AY118" s="33" t="n">
        <f aca="false">In_Opex_Contingency*(AY114+AY115+AY116-AY113*In_MEKH)</f>
        <v>-55.0003797636019</v>
      </c>
      <c r="AZ118" s="33" t="n">
        <f aca="false">In_Opex_Contingency*(AZ114+AZ115+AZ116-AZ113*In_MEKH)</f>
        <v>-55.1456830229945</v>
      </c>
      <c r="BA118" s="33" t="n">
        <f aca="false">In_Opex_Contingency*(BA114+BA115+BA116-BA113*In_MEKH)</f>
        <v>-55.7584128343611</v>
      </c>
      <c r="BB118" s="33" t="n">
        <f aca="false">In_Opex_Contingency*(BB114+BB115+BB116-BB113*In_MEKH)</f>
        <v>-56.3711426457277</v>
      </c>
      <c r="BC118" s="33" t="n">
        <f aca="false">In_Opex_Contingency*(BC114+BC115+BC116-BC113*In_MEKH)</f>
        <v>-56.3182209665687</v>
      </c>
      <c r="BD118" s="33" t="n">
        <f aca="false">In_Opex_Contingency*(BD114+BD115+BD116-BD113*In_MEKH)</f>
        <v>-56.4670763607554</v>
      </c>
      <c r="BE118" s="33" t="n">
        <f aca="false">In_Opex_Contingency*(BE114+BE115+BE116-BE113*In_MEKH)</f>
        <v>-57.0944883203193</v>
      </c>
      <c r="BF118" s="33" t="n">
        <f aca="false">In_Opex_Contingency*(BF114+BF115+BF116-BF113*In_MEKH)</f>
        <v>-57.7219002798833</v>
      </c>
      <c r="BG118" s="33" t="n">
        <f aca="false">In_Opex_Contingency*(BG114+BG115+BG116-BG113*In_MEKH)</f>
        <v>-57.6678311215413</v>
      </c>
      <c r="BH118" s="33" t="n">
        <f aca="false">In_Opex_Contingency*(BH114+BH115+BH116-BH113*In_MEKH)</f>
        <v>-57.8203247773766</v>
      </c>
      <c r="BI118" s="33" t="n">
        <f aca="false">In_Opex_Contingency*(BI114+BI115+BI116-BI113*In_MEKH)</f>
        <v>-58.4627728304585</v>
      </c>
      <c r="BJ118" s="33" t="n">
        <f aca="false">In_Opex_Contingency*(BJ114+BJ115+BJ116-BJ113*In_MEKH)</f>
        <v>-59.1052208835405</v>
      </c>
      <c r="BK118" s="33" t="n">
        <f aca="false">In_Opex_Contingency*(BK114+BK115+BK116-BK113*In_MEKH)</f>
        <v>-59.04997917695</v>
      </c>
      <c r="BL118" s="33" t="n">
        <f aca="false">In_Opex_Contingency*(BL114+BL115+BL116-BL113*In_MEKH)</f>
        <v>-59.8640459684091</v>
      </c>
      <c r="BM118" s="33" t="n">
        <f aca="false">In_Opex_Contingency*(BM114+BM115+BM116-BM113*In_MEKH)</f>
        <v>-59.8640459684091</v>
      </c>
      <c r="BN118" s="33" t="n">
        <f aca="false">In_Opex_Contingency*(BN114+BN115+BN116-BN113*In_MEKH)</f>
        <v>-60.5218926274026</v>
      </c>
      <c r="BO118" s="33" t="n">
        <f aca="false">In_Opex_Contingency*(BO114+BO115+BO116-BO113*In_MEKH)</f>
        <v>-60.465452754482</v>
      </c>
      <c r="BP118" s="33" t="n">
        <f aca="false">In_Opex_Contingency*(BP114+BP115+BP116-BP113*In_MEKH)</f>
        <v>-60.6254897174195</v>
      </c>
      <c r="BQ118" s="33" t="n">
        <f aca="false">In_Opex_Contingency*(BQ114+BQ115+BQ116-BQ113*In_MEKH)</f>
        <v>-61.2991062698353</v>
      </c>
      <c r="BR118" s="33" t="n">
        <f aca="false">In_Opex_Contingency*(BR114+BR115+BR116-BR113*In_MEKH)</f>
        <v>-61.972722822251</v>
      </c>
      <c r="BS118" s="33" t="n">
        <f aca="false">In_Opex_Contingency*(BS114+BS115+BS116-BS113*In_MEKH)</f>
        <v>-61.9150586038699</v>
      </c>
      <c r="BT118" s="33" t="n">
        <f aca="false">In_Opex_Contingency*(BT114+BT115+BT116-BT113*In_MEKH)</f>
        <v>-62.0790049419491</v>
      </c>
      <c r="BU118" s="33" t="n">
        <f aca="false">In_Opex_Contingency*(BU114+BU115+BU116-BU113*In_MEKH)</f>
        <v>-62.7687716635263</v>
      </c>
      <c r="BV118" s="33" t="n">
        <f aca="false">In_Opex_Contingency*(BV114+BV115+BV116-BV113*In_MEKH)</f>
        <v>-63.4585383851035</v>
      </c>
      <c r="BW118" s="33" t="n">
        <f aca="false">In_Opex_Contingency*(BW114+BW115+BW116-BW113*In_MEKH)</f>
        <v>-63.399623068786</v>
      </c>
      <c r="BX118" s="33" t="n">
        <f aca="false">In_Opex_Contingency*(BX114+BX115+BX116-BX113*In_MEKH)</f>
        <v>-63.5675735707396</v>
      </c>
      <c r="BY118" s="33" t="n">
        <f aca="false">In_Opex_Contingency*(BY114+BY115+BY116-BY113*In_MEKH)</f>
        <v>-64.2738799437478</v>
      </c>
      <c r="BZ118" s="33" t="n">
        <f aca="false">In_Opex_Contingency*(BZ114+BZ115+BZ116-BZ113*In_MEKH)</f>
        <v>-64.980186316756</v>
      </c>
      <c r="CA118" s="33" t="n">
        <f aca="false">In_Opex_Contingency*(CA114+CA115+CA116-CA113*In_MEKH)</f>
        <v>-64.9199925641145</v>
      </c>
      <c r="CB118" s="33" t="n">
        <f aca="false">In_Opex_Contingency*(CB114+CB115+CB116-CB113*In_MEKH)</f>
        <v>-65.8152892541277</v>
      </c>
      <c r="CC118" s="33" t="n">
        <f aca="false">In_Opex_Contingency*(CC114+CC115+CC116-CC113*In_MEKH)</f>
        <v>-65.8152892541277</v>
      </c>
      <c r="CD118" s="33" t="n">
        <f aca="false">In_Opex_Contingency*(CD114+CD115+CD116-CD113*In_MEKH)</f>
        <v>-66.5385341909863</v>
      </c>
      <c r="CE118" s="33" t="n">
        <f aca="false">In_Opex_Contingency*(CE114+CE115+CE116-CE113*In_MEKH)</f>
        <v>-66.4770340648798</v>
      </c>
      <c r="CF118" s="33" t="n">
        <f aca="false">In_Opex_Contingency*(CF114+CF115+CF116-CF113*In_MEKH)</f>
        <v>-66.6532865110164</v>
      </c>
      <c r="CG118" s="33" t="n">
        <f aca="false">In_Opex_Contingency*(CG114+CG115+CG116-CG113*In_MEKH)</f>
        <v>-67.3938785833611</v>
      </c>
      <c r="CH118" s="33" t="n">
        <f aca="false">In_Opex_Contingency*(CH114+CH115+CH116-CH113*In_MEKH)</f>
        <v>-68.1344706557057</v>
      </c>
      <c r="CI118" s="33" t="n">
        <f aca="false">In_Opex_Contingency*(CI114+CI115+CI116-CI113*In_MEKH)</f>
        <v>-68.0716356071167</v>
      </c>
      <c r="CJ118" s="33" t="n">
        <f aca="false">In_Opex_Contingency*(CJ114+CJ115+CJ116-CJ113*In_MEKH)</f>
        <v>-68.252190599691</v>
      </c>
      <c r="CK118" s="33" t="n">
        <f aca="false">In_Opex_Contingency*(CK114+CK115+CK116-CK113*In_MEKH)</f>
        <v>-69.0105482730209</v>
      </c>
      <c r="CL118" s="33" t="n">
        <f aca="false">In_Opex_Contingency*(CL114+CL115+CL116-CL113*In_MEKH)</f>
        <v>-69.7689059463508</v>
      </c>
      <c r="CM118" s="33" t="n">
        <f aca="false">In_Opex_Contingency*(CM114+CM115+CM116-CM113*In_MEKH)</f>
        <v>-69.7047068009743</v>
      </c>
      <c r="CN118" s="33" t="n">
        <f aca="false">In_Opex_Contingency*(CN114+CN115+CN116-CN113*In_MEKH)</f>
        <v>-69.8896686637318</v>
      </c>
      <c r="CO118" s="33" t="n">
        <f aca="false">In_Opex_Contingency*(CO114+CO115+CO116-CO113*In_MEKH)</f>
        <v>-70.6662205377733</v>
      </c>
      <c r="CP118" s="33" t="n">
        <f aca="false">In_Opex_Contingency*(CP114+CP115+CP116-CP113*In_MEKH)</f>
        <v>-71.4427724118148</v>
      </c>
      <c r="CQ118" s="33" t="n">
        <f aca="false">In_Opex_Contingency*(CQ114+CQ115+CQ116-CQ113*In_MEKH)</f>
        <v>-71.3771793563535</v>
      </c>
      <c r="CR118" s="33" t="n">
        <f aca="false">In_Opex_Contingency*(CR114+CR115+CR116-CR113*In_MEKH)</f>
        <v>-72.3618399982995</v>
      </c>
      <c r="CS118" s="33" t="n">
        <f aca="false">In_Opex_Contingency*(CS114+CS115+CS116-CS113*In_MEKH)</f>
        <v>-72.3618399982995</v>
      </c>
      <c r="CT118" s="33" t="n">
        <f aca="false">In_Opex_Contingency*(CT114+CT115+CT116-CT113*In_MEKH)</f>
        <v>-73.1570250532259</v>
      </c>
      <c r="CU118" s="33" t="n">
        <f aca="false">In_Opex_Contingency*(CU114+CU115+CU116-CU113*In_MEKH)</f>
        <v>-73.0900076213847</v>
      </c>
      <c r="CV118" s="33" t="n">
        <f aca="false">In_Opex_Contingency*(CV114+CV115+CV116-CV113*In_MEKH)</f>
        <v>-73.2841063785854</v>
      </c>
      <c r="CW118" s="33" t="n">
        <f aca="false">In_Opex_Contingency*(CW114+CW115+CW116-CW113*In_MEKH)</f>
        <v>-74.0983742272363</v>
      </c>
      <c r="CX118" s="33" t="n">
        <f aca="false">In_Opex_Contingency*(CX114+CX115+CX116-CX113*In_MEKH)</f>
        <v>-74.9126420758873</v>
      </c>
      <c r="CY118" s="33" t="n">
        <f aca="false">In_Opex_Contingency*(CY114+CY115+CY116-CY113*In_MEKH)</f>
        <v>-74.8441691340611</v>
      </c>
      <c r="CZ118" s="33" t="n">
        <f aca="false">In_Opex_Contingency*(CZ114+CZ115+CZ116-CZ113*In_MEKH)</f>
        <v>-75.0430031622069</v>
      </c>
      <c r="DA118" s="33" t="n">
        <f aca="false">In_Opex_Contingency*(DA114+DA115+DA116-DA113*In_MEKH)</f>
        <v>-75.8768143084537</v>
      </c>
      <c r="DB118" s="33" t="n">
        <f aca="false">In_Opex_Contingency*(DB114+DB115+DB116-DB113*In_MEKH)</f>
        <v>-76.7106254547004</v>
      </c>
      <c r="DC118" s="33" t="n">
        <f aca="false">In_Opex_Contingency*(DC114+DC115+DC116-DC113*In_MEKH)</f>
        <v>-76.6406651873478</v>
      </c>
      <c r="DD118" s="33" t="n">
        <f aca="false">In_Opex_Contingency*(DD114+DD115+DD116-DD113*In_MEKH)</f>
        <v>-76.8443493065894</v>
      </c>
      <c r="DE118" s="33" t="n">
        <f aca="false">In_Opex_Contingency*(DE114+DE115+DE116-DE113*In_MEKH)</f>
        <v>-77.698175409996</v>
      </c>
      <c r="DF118" s="33" t="n">
        <f aca="false">In_Opex_Contingency*(DF114+DF115+DF116-DF113*In_MEKH)</f>
        <v>-78.5520015134025</v>
      </c>
      <c r="DG118" s="33" t="n">
        <f aca="false">In_Opex_Contingency*(DG114+DG115+DG116-DG113*In_MEKH)</f>
        <v>-78.4805214080991</v>
      </c>
      <c r="DH118" s="33" t="n">
        <f aca="false">In_Opex_Contingency*(DH114+DH115+DH116-DH113*In_MEKH)</f>
        <v>-79.563497371022</v>
      </c>
      <c r="DI118" s="33" t="n">
        <f aca="false">In_Opex_Contingency*(DI114+DI115+DI116-DI113*In_MEKH)</f>
        <v>-79.563497371022</v>
      </c>
      <c r="DJ118" s="33" t="n">
        <f aca="false">In_Opex_Contingency*(DJ114+DJ115+DJ116-DJ113*In_MEKH)</f>
        <v>-80.4378215179563</v>
      </c>
      <c r="DK118" s="33" t="n">
        <f aca="false">In_Opex_Contingency*(DK114+DK115+DK116-DK113*In_MEKH)</f>
        <v>-80.3647883501201</v>
      </c>
      <c r="DL118" s="33" t="n">
        <f aca="false">In_Opex_Contingency*(DL114+DL115+DL116-DL113*In_MEKH)</f>
        <v>-80.5785283217331</v>
      </c>
      <c r="DM118" s="33" t="n">
        <f aca="false">In_Opex_Contingency*(DM114+DM115+DM116-DM113*In_MEKH)</f>
        <v>-81.4738453030857</v>
      </c>
      <c r="DN118" s="33" t="n">
        <f aca="false">In_Opex_Contingency*(DN114+DN115+DN116-DN113*In_MEKH)</f>
        <v>-82.3691622844383</v>
      </c>
      <c r="DO118" s="33" t="n">
        <f aca="false">In_Opex_Contingency*(DO114+DO115+DO116-DO113*In_MEKH)</f>
        <v>-82.2945421017206</v>
      </c>
      <c r="DP118" s="33" t="n">
        <f aca="false">In_Opex_Contingency*(DP114+DP115+DP116-DP113*In_MEKH)</f>
        <v>-82.5134936104378</v>
      </c>
      <c r="DQ118" s="33" t="n">
        <f aca="false">In_Opex_Contingency*(DQ114+DQ115+DQ116-DQ113*In_MEKH)</f>
        <v>-83.4303102061093</v>
      </c>
      <c r="DR118" s="33" t="n">
        <f aca="false">In_Opex_Contingency*(DR114+DR115+DR116-DR113*In_MEKH)</f>
        <v>-84.3471268017809</v>
      </c>
      <c r="DS118" s="33" t="n">
        <f aca="false">In_Opex_Contingency*(DS114+DS115+DS116-DS113*In_MEKH)</f>
        <v>-84.2708849081146</v>
      </c>
      <c r="DT118" s="33" t="n">
        <f aca="false">In_Opex_Contingency*(DT114+DT115+DT116-DT113*In_MEKH)</f>
        <v>-84.4951743290865</v>
      </c>
      <c r="DU118" s="33" t="n">
        <f aca="false">In_Opex_Contingency*(DU114+DU115+DU116-DU113*In_MEKH)</f>
        <v>-85.4340095994097</v>
      </c>
      <c r="DV118" s="33" t="n">
        <f aca="false">In_Opex_Contingency*(DV114+DV115+DV116-DV113*In_MEKH)</f>
        <v>-86.3728448697329</v>
      </c>
      <c r="DW118" s="33" t="n">
        <f aca="false">In_Opex_Contingency*(DW114+DW115+DW116-DW113*In_MEKH)</f>
        <v>-86.2949458090312</v>
      </c>
      <c r="DX118" s="33" t="n">
        <f aca="false">In_Opex_Contingency*(DX114+DX115+DX116-DX113*In_MEKH)</f>
        <v>-87.4860881681444</v>
      </c>
      <c r="DY118" s="33" t="n">
        <f aca="false">In_Opex_Contingency*(DY114+DY115+DY116-DY113*In_MEKH)</f>
        <v>-87.4860881681444</v>
      </c>
      <c r="DZ118" s="33" t="n">
        <f aca="false">In_Opex_Contingency*(DZ114+DZ115+DZ116-DZ113*In_MEKH)</f>
        <v>-88.4474737524097</v>
      </c>
      <c r="EA118" s="33" t="n">
        <f aca="false">In_Opex_Contingency*(EA114+EA115+EA116-EA113*In_MEKH)</f>
        <v>-88.3678812919077</v>
      </c>
      <c r="EB118" s="33" t="n">
        <f aca="false">In_Opex_Contingency*(EB114+EB115+EB116-EB113*In_MEKH)</f>
        <v>-88.6032380032985</v>
      </c>
      <c r="EC118" s="33" t="n">
        <f aca="false">In_Opex_Contingency*(EC114+EC115+EC116-EC113*In_MEKH)</f>
        <v>-89.5877184255573</v>
      </c>
      <c r="ED118" s="33" t="n">
        <f aca="false">In_Opex_Contingency*(ED114+ED115+ED116-ED113*In_MEKH)</f>
        <v>-90.5721988478162</v>
      </c>
      <c r="EE118" s="33" t="n">
        <f aca="false">In_Opex_Contingency*(EE114+EE115+EE116-EE113*In_MEKH)</f>
        <v>-90.4908759610468</v>
      </c>
      <c r="EF118" s="33" t="n">
        <f aca="false">In_Opex_Contingency*(EF114+EF115+EF116-EF113*In_MEKH)</f>
        <v>-90.731968409087</v>
      </c>
      <c r="EG118" s="33" t="n">
        <f aca="false">In_Opex_Contingency*(EG114+EG115+EG116-EG113*In_MEKH)</f>
        <v>-91.7401013914103</v>
      </c>
      <c r="EH118" s="33" t="n">
        <f aca="false">In_Opex_Contingency*(EH114+EH115+EH116-EH113*In_MEKH)</f>
        <v>-92.7482343737334</v>
      </c>
      <c r="EI118" s="33" t="n">
        <f aca="false">In_Opex_Contingency*(EI114+EI115+EI116-EI113*In_MEKH)</f>
        <v>-92.6651432231306</v>
      </c>
      <c r="EJ118" s="33" t="n">
        <f aca="false">In_Opex_Contingency*(EJ114+EJ115+EJ116-EJ113*In_MEKH)</f>
        <v>-92.9121105036224</v>
      </c>
      <c r="EK118" s="33" t="n">
        <f aca="false">In_Opex_Contingency*(EK114+EK115+EK116-EK113*In_MEKH)</f>
        <v>-93.944467286996</v>
      </c>
      <c r="EL118" s="33" t="n">
        <f aca="false">In_Opex_Contingency*(EL114+EL115+EL116-EL113*In_MEKH)</f>
        <v>-94.9768240703696</v>
      </c>
      <c r="EM118" s="33" t="n">
        <f aca="false">In_Opex_Contingency*(EM114+EM115+EM116-EM113*In_MEKH)</f>
        <v>-94.8919259894898</v>
      </c>
      <c r="EN118" s="33" t="n">
        <f aca="false">In_Opex_Contingency*(EN114+EN115+EN116-EN113*In_MEKH)</f>
        <v>-96.2020762471408</v>
      </c>
      <c r="EO118" s="33" t="n">
        <f aca="false">In_Opex_Contingency*(EO114+EO115+EO116-EO113*In_MEKH)</f>
        <v>-96.2020762471408</v>
      </c>
      <c r="EP118" s="33" t="n">
        <f aca="false">In_Opex_Contingency*(EP114+EP115+EP116-EP113*In_MEKH)</f>
        <v>-97.2592419201863</v>
      </c>
      <c r="EQ118" s="33" t="n">
        <f aca="false">In_Opex_Contingency*(EQ114+EQ115+EQ116-EQ113*In_MEKH)</f>
        <v>-97.1724973955404</v>
      </c>
      <c r="ER118" s="33" t="n">
        <f aca="false">In_Opex_Contingency*(ER114+ER115+ER116-ER113*In_MEKH)</f>
        <v>-97.4316452139015</v>
      </c>
      <c r="ES118" s="33" t="n">
        <f aca="false">In_Opex_Contingency*(ES114+ES115+ES116-ES113*In_MEKH)</f>
        <v>-98.5142190496114</v>
      </c>
      <c r="ET118" s="33" t="n">
        <f aca="false">In_Opex_Contingency*(ET114+ET115+ET116-ET113*In_MEKH)</f>
        <v>-99.5967928853215</v>
      </c>
    </row>
    <row r="119" customFormat="false" ht="15" hidden="false" customHeight="false" outlineLevel="0" collapsed="false">
      <c r="C119" s="0" t="s">
        <v>31</v>
      </c>
      <c r="D119" s="11" t="s">
        <v>253</v>
      </c>
      <c r="I119" s="33" t="n">
        <f aca="false">SUM(J119:ET119)</f>
        <v>-20794.4767338331</v>
      </c>
      <c r="J119" s="33" t="n">
        <f aca="false">-$E31*In_Delivered*J112/Thousand</f>
        <v>-0</v>
      </c>
      <c r="K119" s="33" t="n">
        <f aca="false">-$E31*In_Delivered*K112/Thousand</f>
        <v>-0</v>
      </c>
      <c r="L119" s="33" t="n">
        <f aca="false">-$E31*In_Delivered*L112/Thousand</f>
        <v>-0</v>
      </c>
      <c r="M119" s="33" t="n">
        <f aca="false">-$E31*In_Delivered*M112/Thousand</f>
        <v>-0</v>
      </c>
      <c r="N119" s="33" t="n">
        <f aca="false">-$E31*In_Delivered*N112/Thousand</f>
        <v>-0</v>
      </c>
      <c r="O119" s="33" t="n">
        <f aca="false">-$E31*In_Delivered*O112/Thousand</f>
        <v>-0</v>
      </c>
      <c r="P119" s="33" t="n">
        <f aca="false">-$E31*In_Delivered*P112/Thousand</f>
        <v>-0</v>
      </c>
      <c r="Q119" s="33" t="n">
        <f aca="false">-$E31*In_Delivered*Q112/Thousand</f>
        <v>-0</v>
      </c>
      <c r="R119" s="33" t="n">
        <f aca="false">-$E31*In_Delivered*R112/Thousand</f>
        <v>-0</v>
      </c>
      <c r="S119" s="33" t="n">
        <f aca="false">-$E31*In_Delivered*S112/Thousand</f>
        <v>-0</v>
      </c>
      <c r="T119" s="33" t="n">
        <f aca="false">-$E31*In_Delivered*T112/Thousand</f>
        <v>-0</v>
      </c>
      <c r="U119" s="33" t="n">
        <f aca="false">-$E31*In_Delivered*U112/Thousand</f>
        <v>-0</v>
      </c>
      <c r="V119" s="33" t="n">
        <f aca="false">-$E31*In_Delivered*V112/Thousand</f>
        <v>-0</v>
      </c>
      <c r="W119" s="33" t="n">
        <f aca="false">-$E31*In_Delivered*W112/Thousand</f>
        <v>-0</v>
      </c>
      <c r="X119" s="33" t="n">
        <f aca="false">-$E31*In_Delivered*X112/Thousand</f>
        <v>-0</v>
      </c>
      <c r="Y119" s="33" t="n">
        <f aca="false">-$E31*In_Delivered*Y112/Thousand</f>
        <v>-0</v>
      </c>
      <c r="Z119" s="33" t="n">
        <f aca="false">-$E31*In_Delivered*Z112/Thousand</f>
        <v>-0</v>
      </c>
      <c r="AA119" s="33" t="n">
        <f aca="false">-$E31*In_Delivered*AA112/Thousand</f>
        <v>-0</v>
      </c>
      <c r="AB119" s="33" t="n">
        <f aca="false">-$E31*In_Delivered*AB112/Thousand</f>
        <v>-0</v>
      </c>
      <c r="AC119" s="33" t="n">
        <f aca="false">-$E31*In_Delivered*AC112/Thousand</f>
        <v>-0</v>
      </c>
      <c r="AD119" s="33" t="n">
        <f aca="false">-$E31*In_Delivered*AD112/Thousand</f>
        <v>-0</v>
      </c>
      <c r="AE119" s="33" t="n">
        <f aca="false">-$E31*In_Delivered*AE112/Thousand</f>
        <v>-182.296109589041</v>
      </c>
      <c r="AF119" s="33" t="n">
        <f aca="false">-$E31*In_Delivered*AF112/Thousand</f>
        <v>-180.314630136986</v>
      </c>
      <c r="AG119" s="33" t="n">
        <f aca="false">-$E31*In_Delivered*AG112/Thousand</f>
        <v>-180.314630136986</v>
      </c>
      <c r="AH119" s="33" t="n">
        <f aca="false">-$E31*In_Delivered*AH112/Thousand</f>
        <v>-182.296109589041</v>
      </c>
      <c r="AI119" s="33" t="n">
        <f aca="false">-$E31*In_Delivered*AI112/Thousand</f>
        <v>-181.749221260274</v>
      </c>
      <c r="AJ119" s="33" t="n">
        <f aca="false">-$E31*In_Delivered*AJ112/Thousand</f>
        <v>-177.798151232877</v>
      </c>
      <c r="AK119" s="33" t="n">
        <f aca="false">-$E31*In_Delivered*AK112/Thousand</f>
        <v>-179.773686246575</v>
      </c>
      <c r="AL119" s="33" t="n">
        <f aca="false">-$E31*In_Delivered*AL112/Thousand</f>
        <v>-181.749221260274</v>
      </c>
      <c r="AM119" s="33" t="n">
        <f aca="false">-$E31*In_Delivered*AM112/Thousand</f>
        <v>-181.203973596493</v>
      </c>
      <c r="AN119" s="33" t="n">
        <f aca="false">-$E31*In_Delivered*AN112/Thousand</f>
        <v>-177.264756779178</v>
      </c>
      <c r="AO119" s="33" t="n">
        <f aca="false">-$E31*In_Delivered*AO112/Thousand</f>
        <v>-179.234365187836</v>
      </c>
      <c r="AP119" s="33" t="n">
        <f aca="false">-$E31*In_Delivered*AP112/Thousand</f>
        <v>-181.203973596493</v>
      </c>
      <c r="AQ119" s="33" t="n">
        <f aca="false">-$E31*In_Delivered*AQ112/Thousand</f>
        <v>-180.660361675704</v>
      </c>
      <c r="AR119" s="33" t="n">
        <f aca="false">-$E31*In_Delivered*AR112/Thousand</f>
        <v>-176.732962508841</v>
      </c>
      <c r="AS119" s="33" t="n">
        <f aca="false">-$E31*In_Delivered*AS112/Thousand</f>
        <v>-178.696662092272</v>
      </c>
      <c r="AT119" s="33" t="n">
        <f aca="false">-$E31*In_Delivered*AT112/Thousand</f>
        <v>-180.660361675704</v>
      </c>
      <c r="AU119" s="33" t="n">
        <f aca="false">-$E31*In_Delivered*AU112/Thousand</f>
        <v>-180.118380590677</v>
      </c>
      <c r="AV119" s="33" t="n">
        <f aca="false">-$E31*In_Delivered*AV112/Thousand</f>
        <v>-178.160572105995</v>
      </c>
      <c r="AW119" s="33" t="n">
        <f aca="false">-$E31*In_Delivered*AW112/Thousand</f>
        <v>-178.160572105995</v>
      </c>
      <c r="AX119" s="33" t="n">
        <f aca="false">-$E31*In_Delivered*AX112/Thousand</f>
        <v>-180.118380590677</v>
      </c>
      <c r="AY119" s="33" t="n">
        <f aca="false">-$E31*In_Delivered*AY112/Thousand</f>
        <v>-179.578025448905</v>
      </c>
      <c r="AZ119" s="33" t="n">
        <f aca="false">-$E31*In_Delivered*AZ112/Thousand</f>
        <v>-175.67415533045</v>
      </c>
      <c r="BA119" s="33" t="n">
        <f aca="false">-$E31*In_Delivered*BA112/Thousand</f>
        <v>-177.626090389677</v>
      </c>
      <c r="BB119" s="33" t="n">
        <f aca="false">-$E31*In_Delivered*BB112/Thousand</f>
        <v>-179.578025448905</v>
      </c>
      <c r="BC119" s="33" t="n">
        <f aca="false">-$E31*In_Delivered*BC112/Thousand</f>
        <v>-179.039291372558</v>
      </c>
      <c r="BD119" s="33" t="n">
        <f aca="false">-$E31*In_Delivered*BD112/Thousand</f>
        <v>-175.147132864459</v>
      </c>
      <c r="BE119" s="33" t="n">
        <f aca="false">-$E31*In_Delivered*BE112/Thousand</f>
        <v>-177.093212118508</v>
      </c>
      <c r="BF119" s="33" t="n">
        <f aca="false">-$E31*In_Delivered*BF112/Thousand</f>
        <v>-179.039291372558</v>
      </c>
      <c r="BG119" s="33" t="n">
        <f aca="false">-$E31*In_Delivered*BG112/Thousand</f>
        <v>-178.50217349844</v>
      </c>
      <c r="BH119" s="33" t="n">
        <f aca="false">-$E31*In_Delivered*BH112/Thousand</f>
        <v>-174.621691465865</v>
      </c>
      <c r="BI119" s="33" t="n">
        <f aca="false">-$E31*In_Delivered*BI112/Thousand</f>
        <v>-176.561932482153</v>
      </c>
      <c r="BJ119" s="33" t="n">
        <f aca="false">-$E31*In_Delivered*BJ112/Thousand</f>
        <v>-178.50217349844</v>
      </c>
      <c r="BK119" s="33" t="n">
        <f aca="false">-$E31*In_Delivered*BK112/Thousand</f>
        <v>-177.966666977945</v>
      </c>
      <c r="BL119" s="33" t="n">
        <f aca="false">-$E31*In_Delivered*BL112/Thousand</f>
        <v>-176.032246684706</v>
      </c>
      <c r="BM119" s="33" t="n">
        <f aca="false">-$E31*In_Delivered*BM112/Thousand</f>
        <v>-176.032246684706</v>
      </c>
      <c r="BN119" s="33" t="n">
        <f aca="false">-$E31*In_Delivered*BN112/Thousand</f>
        <v>-177.966666977945</v>
      </c>
      <c r="BO119" s="33" t="n">
        <f aca="false">-$E31*In_Delivered*BO112/Thousand</f>
        <v>-177.432766977011</v>
      </c>
      <c r="BP119" s="33" t="n">
        <f aca="false">-$E31*In_Delivered*BP112/Thousand</f>
        <v>-173.575532912293</v>
      </c>
      <c r="BQ119" s="33" t="n">
        <f aca="false">-$E31*In_Delivered*BQ112/Thousand</f>
        <v>-175.504149944652</v>
      </c>
      <c r="BR119" s="33" t="n">
        <f aca="false">-$E31*In_Delivered*BR112/Thousand</f>
        <v>-177.432766977011</v>
      </c>
      <c r="BS119" s="33" t="n">
        <f aca="false">-$E31*In_Delivered*BS112/Thousand</f>
        <v>-176.90046867608</v>
      </c>
      <c r="BT119" s="33" t="n">
        <f aca="false">-$E31*In_Delivered*BT112/Thousand</f>
        <v>-173.054806313556</v>
      </c>
      <c r="BU119" s="33" t="n">
        <f aca="false">-$E31*In_Delivered*BU112/Thousand</f>
        <v>-174.977637494818</v>
      </c>
      <c r="BV119" s="33" t="n">
        <f aca="false">-$E31*In_Delivered*BV112/Thousand</f>
        <v>-176.90046867608</v>
      </c>
      <c r="BW119" s="33" t="n">
        <f aca="false">-$E31*In_Delivered*BW112/Thousand</f>
        <v>-176.369767270052</v>
      </c>
      <c r="BX119" s="33" t="n">
        <f aca="false">-$E31*In_Delivered*BX112/Thousand</f>
        <v>-172.535641894616</v>
      </c>
      <c r="BY119" s="33" t="n">
        <f aca="false">-$E31*In_Delivered*BY112/Thousand</f>
        <v>-174.452704582334</v>
      </c>
      <c r="BZ119" s="33" t="n">
        <f aca="false">-$E31*In_Delivered*BZ112/Thousand</f>
        <v>-176.369767270052</v>
      </c>
      <c r="CA119" s="33" t="n">
        <f aca="false">-$E31*In_Delivered*CA112/Thousand</f>
        <v>-175.840657968242</v>
      </c>
      <c r="CB119" s="33" t="n">
        <f aca="false">-$E31*In_Delivered*CB112/Thousand</f>
        <v>-173.929346468587</v>
      </c>
      <c r="CC119" s="33" t="n">
        <f aca="false">-$E31*In_Delivered*CC112/Thousand</f>
        <v>-173.929346468587</v>
      </c>
      <c r="CD119" s="33" t="n">
        <f aca="false">-$E31*In_Delivered*CD112/Thousand</f>
        <v>-175.840657968242</v>
      </c>
      <c r="CE119" s="33" t="n">
        <f aca="false">-$E31*In_Delivered*CE112/Thousand</f>
        <v>-175.313135994337</v>
      </c>
      <c r="CF119" s="33" t="n">
        <f aca="false">-$E31*In_Delivered*CF112/Thousand</f>
        <v>-171.501980864025</v>
      </c>
      <c r="CG119" s="33" t="n">
        <f aca="false">-$E31*In_Delivered*CG112/Thousand</f>
        <v>-173.407558429181</v>
      </c>
      <c r="CH119" s="33" t="n">
        <f aca="false">-$E31*In_Delivered*CH112/Thousand</f>
        <v>-175.313135994337</v>
      </c>
      <c r="CI119" s="33" t="n">
        <f aca="false">-$E31*In_Delivered*CI112/Thousand</f>
        <v>-174.787196586354</v>
      </c>
      <c r="CJ119" s="33" t="n">
        <f aca="false">-$E31*In_Delivered*CJ112/Thousand</f>
        <v>-170.987474921433</v>
      </c>
      <c r="CK119" s="33" t="n">
        <f aca="false">-$E31*In_Delivered*CK112/Thousand</f>
        <v>-172.887335753893</v>
      </c>
      <c r="CL119" s="33" t="n">
        <f aca="false">-$E31*In_Delivered*CL112/Thousand</f>
        <v>-174.787196586354</v>
      </c>
      <c r="CM119" s="33" t="n">
        <f aca="false">-$E31*In_Delivered*CM112/Thousand</f>
        <v>-174.262834996595</v>
      </c>
      <c r="CN119" s="33" t="n">
        <f aca="false">-$E31*In_Delivered*CN112/Thousand</f>
        <v>-170.474512496669</v>
      </c>
      <c r="CO119" s="33" t="n">
        <f aca="false">-$E31*In_Delivered*CO112/Thousand</f>
        <v>-172.368673746632</v>
      </c>
      <c r="CP119" s="33" t="n">
        <f aca="false">-$E31*In_Delivered*CP112/Thousand</f>
        <v>-174.262834996595</v>
      </c>
      <c r="CQ119" s="33" t="n">
        <f aca="false">-$E31*In_Delivered*CQ112/Thousand</f>
        <v>-173.740046491605</v>
      </c>
      <c r="CR119" s="33" t="n">
        <f aca="false">-$E31*In_Delivered*CR112/Thousand</f>
        <v>-171.851567725392</v>
      </c>
      <c r="CS119" s="33" t="n">
        <f aca="false">-$E31*In_Delivered*CS112/Thousand</f>
        <v>-171.851567725392</v>
      </c>
      <c r="CT119" s="33" t="n">
        <f aca="false">-$E31*In_Delivered*CT112/Thousand</f>
        <v>-173.740046491605</v>
      </c>
      <c r="CU119" s="33" t="n">
        <f aca="false">-$E31*In_Delivered*CU112/Thousand</f>
        <v>-173.21882635213</v>
      </c>
      <c r="CV119" s="33" t="n">
        <f aca="false">-$E31*In_Delivered*CV112/Thousand</f>
        <v>-169.453199692301</v>
      </c>
      <c r="CW119" s="33" t="n">
        <f aca="false">-$E31*In_Delivered*CW112/Thousand</f>
        <v>-171.336013022216</v>
      </c>
      <c r="CX119" s="33" t="n">
        <f aca="false">-$E31*In_Delivered*CX112/Thousand</f>
        <v>-173.21882635213</v>
      </c>
      <c r="CY119" s="33" t="n">
        <f aca="false">-$E31*In_Delivered*CY112/Thousand</f>
        <v>-172.699169873074</v>
      </c>
      <c r="CZ119" s="33" t="n">
        <f aca="false">-$E31*In_Delivered*CZ112/Thousand</f>
        <v>-168.944840093224</v>
      </c>
      <c r="DA119" s="33" t="n">
        <f aca="false">-$E31*In_Delivered*DA112/Thousand</f>
        <v>-170.822004983149</v>
      </c>
      <c r="DB119" s="33" t="n">
        <f aca="false">-$E31*In_Delivered*DB112/Thousand</f>
        <v>-172.699169873074</v>
      </c>
      <c r="DC119" s="33" t="n">
        <f aca="false">-$E31*In_Delivered*DC112/Thousand</f>
        <v>-172.181072363455</v>
      </c>
      <c r="DD119" s="33" t="n">
        <f aca="false">-$E31*In_Delivered*DD112/Thousand</f>
        <v>-168.438005572945</v>
      </c>
      <c r="DE119" s="33" t="n">
        <f aca="false">-$E31*In_Delivered*DE112/Thousand</f>
        <v>-170.3095389682</v>
      </c>
      <c r="DF119" s="33" t="n">
        <f aca="false">-$E31*In_Delivered*DF112/Thousand</f>
        <v>-172.181072363455</v>
      </c>
      <c r="DG119" s="33" t="n">
        <f aca="false">-$E31*In_Delivered*DG112/Thousand</f>
        <v>-171.664529146364</v>
      </c>
      <c r="DH119" s="33" t="n">
        <f aca="false">-$E31*In_Delivered*DH112/Thousand</f>
        <v>-169.798610351295</v>
      </c>
      <c r="DI119" s="33" t="n">
        <f aca="false">-$E31*In_Delivered*DI112/Thousand</f>
        <v>-169.798610351295</v>
      </c>
      <c r="DJ119" s="33" t="n">
        <f aca="false">-$E31*In_Delivered*DJ112/Thousand</f>
        <v>-171.664529146364</v>
      </c>
      <c r="DK119" s="33" t="n">
        <f aca="false">-$E31*In_Delivered*DK112/Thousand</f>
        <v>-171.149535558925</v>
      </c>
      <c r="DL119" s="33" t="n">
        <f aca="false">-$E31*In_Delivered*DL112/Thousand</f>
        <v>-167.428893481557</v>
      </c>
      <c r="DM119" s="33" t="n">
        <f aca="false">-$E31*In_Delivered*DM112/Thousand</f>
        <v>-169.289214520241</v>
      </c>
      <c r="DN119" s="33" t="n">
        <f aca="false">-$E31*In_Delivered*DN112/Thousand</f>
        <v>-171.149535558925</v>
      </c>
      <c r="DO119" s="33" t="n">
        <f aca="false">-$E31*In_Delivered*DO112/Thousand</f>
        <v>-170.636086952248</v>
      </c>
      <c r="DP119" s="33" t="n">
        <f aca="false">-$E31*In_Delivered*DP112/Thousand</f>
        <v>-166.926606801112</v>
      </c>
      <c r="DQ119" s="33" t="n">
        <f aca="false">-$E31*In_Delivered*DQ112/Thousand</f>
        <v>-168.78134687668</v>
      </c>
      <c r="DR119" s="33" t="n">
        <f aca="false">-$E31*In_Delivered*DR112/Thousand</f>
        <v>-170.636086952248</v>
      </c>
      <c r="DS119" s="33" t="n">
        <f aca="false">-$E31*In_Delivered*DS112/Thousand</f>
        <v>-170.124178691392</v>
      </c>
      <c r="DT119" s="33" t="n">
        <f aca="false">-$E31*In_Delivered*DT112/Thousand</f>
        <v>-166.425826980709</v>
      </c>
      <c r="DU119" s="33" t="n">
        <f aca="false">-$E31*In_Delivered*DU112/Thousand</f>
        <v>-168.27500283605</v>
      </c>
      <c r="DV119" s="33" t="n">
        <f aca="false">-$E31*In_Delivered*DV112/Thousand</f>
        <v>-170.124178691392</v>
      </c>
      <c r="DW119" s="33" t="n">
        <f aca="false">-$E31*In_Delivered*DW112/Thousand</f>
        <v>-169.613806155317</v>
      </c>
      <c r="DX119" s="33" t="n">
        <f aca="false">-$E31*In_Delivered*DX112/Thousand</f>
        <v>-167.770177827542</v>
      </c>
      <c r="DY119" s="33" t="n">
        <f aca="false">-$E31*In_Delivered*DY112/Thousand</f>
        <v>-167.770177827542</v>
      </c>
      <c r="DZ119" s="33" t="n">
        <f aca="false">-$E31*In_Delivered*DZ112/Thousand</f>
        <v>-169.613806155317</v>
      </c>
      <c r="EA119" s="33" t="n">
        <f aca="false">-$E31*In_Delivered*EA112/Thousand</f>
        <v>-169.104964736851</v>
      </c>
      <c r="EB119" s="33" t="n">
        <f aca="false">-$E31*In_Delivered*EB112/Thousand</f>
        <v>-165.428769851268</v>
      </c>
      <c r="EC119" s="33" t="n">
        <f aca="false">-$E31*In_Delivered*EC112/Thousand</f>
        <v>-167.26686729406</v>
      </c>
      <c r="ED119" s="33" t="n">
        <f aca="false">-$E31*In_Delivered*ED112/Thousand</f>
        <v>-169.104964736851</v>
      </c>
      <c r="EE119" s="33" t="n">
        <f aca="false">-$E31*In_Delivered*EE112/Thousand</f>
        <v>-168.597649842641</v>
      </c>
      <c r="EF119" s="33" t="n">
        <f aca="false">-$E31*In_Delivered*EF112/Thousand</f>
        <v>-164.932483541714</v>
      </c>
      <c r="EG119" s="33" t="n">
        <f aca="false">-$E31*In_Delivered*EG112/Thousand</f>
        <v>-166.765066692177</v>
      </c>
      <c r="EH119" s="33" t="n">
        <f aca="false">-$E31*In_Delivered*EH112/Thousand</f>
        <v>-168.597649842641</v>
      </c>
      <c r="EI119" s="33" t="n">
        <f aca="false">-$E31*In_Delivered*EI112/Thousand</f>
        <v>-168.091856893113</v>
      </c>
      <c r="EJ119" s="33" t="n">
        <f aca="false">-$E31*In_Delivered*EJ112/Thousand</f>
        <v>-164.437686091089</v>
      </c>
      <c r="EK119" s="33" t="n">
        <f aca="false">-$E31*In_Delivered*EK112/Thousand</f>
        <v>-166.264771492101</v>
      </c>
      <c r="EL119" s="33" t="n">
        <f aca="false">-$E31*In_Delivered*EL112/Thousand</f>
        <v>-168.091856893113</v>
      </c>
      <c r="EM119" s="33" t="n">
        <f aca="false">-$E31*In_Delivered*EM112/Thousand</f>
        <v>-167.587581322434</v>
      </c>
      <c r="EN119" s="33" t="n">
        <f aca="false">-$E31*In_Delivered*EN112/Thousand</f>
        <v>-165.765977177625</v>
      </c>
      <c r="EO119" s="33" t="n">
        <f aca="false">-$E31*In_Delivered*EO112/Thousand</f>
        <v>-165.765977177625</v>
      </c>
      <c r="EP119" s="33" t="n">
        <f aca="false">-$E31*In_Delivered*EP112/Thousand</f>
        <v>-167.587581322434</v>
      </c>
      <c r="EQ119" s="33" t="n">
        <f aca="false">-$E31*In_Delivered*EQ112/Thousand</f>
        <v>-167.084818578466</v>
      </c>
      <c r="ER119" s="33" t="n">
        <f aca="false">-$E31*In_Delivered*ER112/Thousand</f>
        <v>-163.452539913717</v>
      </c>
      <c r="ES119" s="33" t="n">
        <f aca="false">-$E31*In_Delivered*ES112/Thousand</f>
        <v>-165.268679246092</v>
      </c>
      <c r="ET119" s="33" t="n">
        <f aca="false">-$E31*In_Delivered*ET112/Thousand</f>
        <v>-167.084818578466</v>
      </c>
    </row>
    <row r="120" customFormat="false" ht="15" hidden="false" customHeight="false" outlineLevel="0" collapsed="false">
      <c r="C120" s="30" t="s">
        <v>571</v>
      </c>
      <c r="D120" s="11" t="s">
        <v>253</v>
      </c>
      <c r="I120" s="35" t="n">
        <f aca="false">SUM(J120:ET120)</f>
        <v>511909.275115853</v>
      </c>
      <c r="J120" s="35" t="n">
        <f aca="false">SUM(J113:J119)</f>
        <v>0</v>
      </c>
      <c r="K120" s="35" t="n">
        <f aca="false">SUM(K113:K119)</f>
        <v>0</v>
      </c>
      <c r="L120" s="35" t="n">
        <f aca="false">SUM(L113:L119)</f>
        <v>0</v>
      </c>
      <c r="M120" s="35" t="n">
        <f aca="false">SUM(M113:M119)</f>
        <v>0</v>
      </c>
      <c r="N120" s="35" t="n">
        <f aca="false">SUM(N113:N119)</f>
        <v>0</v>
      </c>
      <c r="O120" s="35" t="n">
        <f aca="false">SUM(O113:O119)</f>
        <v>0</v>
      </c>
      <c r="P120" s="35" t="n">
        <f aca="false">SUM(P113:P119)</f>
        <v>0</v>
      </c>
      <c r="Q120" s="35" t="n">
        <f aca="false">SUM(Q113:Q119)</f>
        <v>0</v>
      </c>
      <c r="R120" s="35" t="n">
        <f aca="false">SUM(R113:R119)</f>
        <v>0</v>
      </c>
      <c r="S120" s="35" t="n">
        <f aca="false">SUM(S113:S119)</f>
        <v>0</v>
      </c>
      <c r="T120" s="35" t="n">
        <f aca="false">SUM(T113:T119)</f>
        <v>0</v>
      </c>
      <c r="U120" s="35" t="n">
        <f aca="false">SUM(U113:U119)</f>
        <v>0</v>
      </c>
      <c r="V120" s="35" t="n">
        <f aca="false">SUM(V113:V119)</f>
        <v>0</v>
      </c>
      <c r="W120" s="35" t="n">
        <f aca="false">SUM(W113:W119)</f>
        <v>-75.5714553470293</v>
      </c>
      <c r="X120" s="35" t="n">
        <f aca="false">SUM(X113:X119)</f>
        <v>-75.7768125626462</v>
      </c>
      <c r="Y120" s="35" t="n">
        <f aca="false">SUM(Y113:Y119)</f>
        <v>-76.6187771466756</v>
      </c>
      <c r="Z120" s="35" t="n">
        <f aca="false">SUM(Z113:Z119)</f>
        <v>-77.460741730705</v>
      </c>
      <c r="AA120" s="35" t="n">
        <f aca="false">SUM(AA113:AA119)</f>
        <v>-77.460741730705</v>
      </c>
      <c r="AB120" s="35" t="n">
        <f aca="false">SUM(AB113:AB119)</f>
        <v>-77.6712328767123</v>
      </c>
      <c r="AC120" s="35" t="n">
        <f aca="false">SUM(AC113:AC119)</f>
        <v>-78.5342465753425</v>
      </c>
      <c r="AD120" s="35" t="n">
        <f aca="false">SUM(AD113:AD119)</f>
        <v>-79.3972602739726</v>
      </c>
      <c r="AE120" s="35" t="n">
        <f aca="false">SUM(AE113:AE119)</f>
        <v>4151.10652734247</v>
      </c>
      <c r="AF120" s="35" t="n">
        <f aca="false">SUM(AF113:AF119)</f>
        <v>4133.70976185041</v>
      </c>
      <c r="AG120" s="35" t="n">
        <f aca="false">SUM(AG113:AG119)</f>
        <v>4133.70976185041</v>
      </c>
      <c r="AH120" s="35" t="n">
        <f aca="false">SUM(AH113:AH119)</f>
        <v>4179.13514384877</v>
      </c>
      <c r="AI120" s="35" t="n">
        <f aca="false">SUM(AI113:AI119)</f>
        <v>4164.44111033503</v>
      </c>
      <c r="AJ120" s="35" t="n">
        <f aca="false">SUM(AJ113:AJ119)</f>
        <v>4101.09425535863</v>
      </c>
      <c r="AK120" s="35" t="n">
        <f aca="false">SUM(AK113:AK119)</f>
        <v>4146.66196930706</v>
      </c>
      <c r="AL120" s="35" t="n">
        <f aca="false">SUM(AL113:AL119)</f>
        <v>4192.22968325549</v>
      </c>
      <c r="AM120" s="35" t="n">
        <f aca="false">SUM(AM113:AM119)</f>
        <v>4177.44245042148</v>
      </c>
      <c r="AN120" s="35" t="n">
        <f aca="false">SUM(AN113:AN119)</f>
        <v>4113.56620598525</v>
      </c>
      <c r="AO120" s="35" t="n">
        <f aca="false">SUM(AO113:AO119)</f>
        <v>4159.27249716287</v>
      </c>
      <c r="AP120" s="35" t="n">
        <f aca="false">SUM(AP113:AP119)</f>
        <v>4204.97878834048</v>
      </c>
      <c r="AQ120" s="35" t="n">
        <f aca="false">SUM(AQ113:AQ119)</f>
        <v>4190.09804459661</v>
      </c>
      <c r="AR120" s="35" t="n">
        <f aca="false">SUM(AR113:AR119)</f>
        <v>4125.68766802944</v>
      </c>
      <c r="AS120" s="35" t="n">
        <f aca="false">SUM(AS113:AS119)</f>
        <v>4171.52864211866</v>
      </c>
      <c r="AT120" s="35" t="n">
        <f aca="false">SUM(AT113:AT119)</f>
        <v>4217.36961620788</v>
      </c>
      <c r="AU120" s="35" t="n">
        <f aca="false">SUM(AU113:AU119)</f>
        <v>4202.39505479593</v>
      </c>
      <c r="AV120" s="35" t="n">
        <f aca="false">SUM(AV113:AV119)</f>
        <v>4183.41736098541</v>
      </c>
      <c r="AW120" s="35" t="n">
        <f aca="false">SUM(AW113:AW119)</f>
        <v>4183.41736098541</v>
      </c>
      <c r="AX120" s="35" t="n">
        <f aca="false">SUM(AX113:AX119)</f>
        <v>4229.38898033689</v>
      </c>
      <c r="AY120" s="35" t="n">
        <f aca="false">SUM(AY113:AY119)</f>
        <v>4214.32029951848</v>
      </c>
      <c r="AZ120" s="35" t="n">
        <f aca="false">SUM(AZ113:AZ119)</f>
        <v>4148.8271823853</v>
      </c>
      <c r="BA120" s="35" t="n">
        <f aca="false">SUM(BA113:BA119)</f>
        <v>4194.92526218958</v>
      </c>
      <c r="BB120" s="35" t="n">
        <f aca="false">SUM(BB113:BB119)</f>
        <v>4241.02334199387</v>
      </c>
      <c r="BC120" s="35" t="n">
        <f aca="false">SUM(BC113:BC119)</f>
        <v>4225.86024524354</v>
      </c>
      <c r="BD120" s="35" t="n">
        <f aca="false">SUM(BD113:BD119)</f>
        <v>4159.81839270627</v>
      </c>
      <c r="BE120" s="35" t="n">
        <f aca="false">SUM(BE113:BE119)</f>
        <v>4206.03859706967</v>
      </c>
      <c r="BF120" s="35" t="n">
        <f aca="false">SUM(BF113:BF119)</f>
        <v>4252.25880143308</v>
      </c>
      <c r="BG120" s="35" t="n">
        <f aca="false">SUM(BG113:BG119)</f>
        <v>4237.00099763633</v>
      </c>
      <c r="BH120" s="35" t="n">
        <f aca="false">SUM(BH113:BH119)</f>
        <v>4170.40541303597</v>
      </c>
      <c r="BI120" s="35" t="n">
        <f aca="false">SUM(BI113:BI119)</f>
        <v>4216.74325095859</v>
      </c>
      <c r="BJ120" s="35" t="n">
        <f aca="false">SUM(BJ113:BJ119)</f>
        <v>4263.08108888121</v>
      </c>
      <c r="BK120" s="35" t="n">
        <f aca="false">SUM(BK113:BK119)</f>
        <v>4247.72829253731</v>
      </c>
      <c r="BL120" s="35" t="n">
        <f aca="false">SUM(BL113:BL119)</f>
        <v>4227.02473404685</v>
      </c>
      <c r="BM120" s="35" t="n">
        <f aca="false">SUM(BM113:BM119)</f>
        <v>4227.02473404685</v>
      </c>
      <c r="BN120" s="35" t="n">
        <f aca="false">SUM(BN113:BN119)</f>
        <v>4273.47555530011</v>
      </c>
      <c r="BO120" s="35" t="n">
        <f aca="false">SUM(BO113:BO119)</f>
        <v>4258.02748673002</v>
      </c>
      <c r="BP120" s="35" t="n">
        <f aca="false">SUM(BP113:BP119)</f>
        <v>4190.30918111972</v>
      </c>
      <c r="BQ120" s="35" t="n">
        <f aca="false">SUM(BQ113:BQ119)</f>
        <v>4236.86817202105</v>
      </c>
      <c r="BR120" s="35" t="n">
        <f aca="false">SUM(BR113:BR119)</f>
        <v>4283.42716292238</v>
      </c>
      <c r="BS120" s="35" t="n">
        <f aca="false">SUM(BS113:BS119)</f>
        <v>4267.88354848182</v>
      </c>
      <c r="BT120" s="35" t="n">
        <f aca="false">SUM(BT113:BT119)</f>
        <v>4199.59611739008</v>
      </c>
      <c r="BU120" s="35" t="n">
        <f aca="false">SUM(BU113:BU119)</f>
        <v>4246.25829647219</v>
      </c>
      <c r="BV120" s="35" t="n">
        <f aca="false">SUM(BV113:BV119)</f>
        <v>4292.9204755543</v>
      </c>
      <c r="BW120" s="35" t="n">
        <f aca="false">SUM(BW113:BW119)</f>
        <v>4277.28104785204</v>
      </c>
      <c r="BX120" s="35" t="n">
        <f aca="false">SUM(BX113:BX119)</f>
        <v>4208.41922149599</v>
      </c>
      <c r="BY120" s="35" t="n">
        <f aca="false">SUM(BY113:BY119)</f>
        <v>4255.17943506817</v>
      </c>
      <c r="BZ120" s="35" t="n">
        <f aca="false">SUM(BZ113:BZ119)</f>
        <v>4301.93964864034</v>
      </c>
      <c r="CA120" s="35" t="n">
        <f aca="false">SUM(CA113:CA119)</f>
        <v>4286.20414676194</v>
      </c>
      <c r="CB120" s="35" t="n">
        <f aca="false">SUM(CB113:CB119)</f>
        <v>4263.61550148466</v>
      </c>
      <c r="CC120" s="35" t="n">
        <f aca="false">SUM(CC113:CC119)</f>
        <v>4263.61550148466</v>
      </c>
      <c r="CD120" s="35" t="n">
        <f aca="false">SUM(CD113:CD119)</f>
        <v>4310.4684190834</v>
      </c>
      <c r="CE120" s="35" t="n">
        <f aca="false">SUM(CE113:CE119)</f>
        <v>4294.63658882035</v>
      </c>
      <c r="CF120" s="35" t="n">
        <f aca="false">SUM(CF113:CF119)</f>
        <v>4224.60987536228</v>
      </c>
      <c r="CG120" s="35" t="n">
        <f aca="false">SUM(CG113:CG119)</f>
        <v>4271.54998508853</v>
      </c>
      <c r="CH120" s="35" t="n">
        <f aca="false">SUM(CH113:CH119)</f>
        <v>4318.49009481478</v>
      </c>
      <c r="CI120" s="35" t="n">
        <f aca="false">SUM(CI113:CI119)</f>
        <v>4302.56168889939</v>
      </c>
      <c r="CJ120" s="35" t="n">
        <f aca="false">SUM(CJ113:CJ119)</f>
        <v>4231.94433662722</v>
      </c>
      <c r="CK120" s="35" t="n">
        <f aca="false">SUM(CK113:CK119)</f>
        <v>4278.96594036753</v>
      </c>
      <c r="CL120" s="35" t="n">
        <f aca="false">SUM(CL113:CL119)</f>
        <v>4325.98754410783</v>
      </c>
      <c r="CM120" s="35" t="n">
        <f aca="false">SUM(CM113:CM119)</f>
        <v>4309.96232245379</v>
      </c>
      <c r="CN120" s="35" t="n">
        <f aca="false">SUM(CN113:CN119)</f>
        <v>4238.7487675717</v>
      </c>
      <c r="CO120" s="35" t="n">
        <f aca="false">SUM(CO113:CO119)</f>
        <v>4285.84597610028</v>
      </c>
      <c r="CP120" s="35" t="n">
        <f aca="false">SUM(CP113:CP119)</f>
        <v>4332.94318462885</v>
      </c>
      <c r="CQ120" s="35" t="n">
        <f aca="false">SUM(CQ113:CQ119)</f>
        <v>4316.82091457771</v>
      </c>
      <c r="CR120" s="35" t="n">
        <f aca="false">SUM(CR113:CR119)</f>
        <v>4292.17224426001</v>
      </c>
      <c r="CS120" s="35" t="n">
        <f aca="false">SUM(CS113:CS119)</f>
        <v>4292.17224426001</v>
      </c>
      <c r="CT120" s="35" t="n">
        <f aca="false">SUM(CT113:CT119)</f>
        <v>4339.33897221891</v>
      </c>
      <c r="CU120" s="35" t="n">
        <f aca="false">SUM(CU113:CU119)</f>
        <v>4323.11942879257</v>
      </c>
      <c r="CV120" s="35" t="n">
        <f aca="false">SUM(CV113:CV119)</f>
        <v>4250.69646789126</v>
      </c>
      <c r="CW120" s="35" t="n">
        <f aca="false">SUM(CW113:CW119)</f>
        <v>4297.9264286456</v>
      </c>
      <c r="CX120" s="35" t="n">
        <f aca="false">SUM(CX113:CX119)</f>
        <v>4345.15638939995</v>
      </c>
      <c r="CY120" s="35" t="n">
        <f aca="false">SUM(CY113:CY119)</f>
        <v>4328.83935555932</v>
      </c>
      <c r="CZ120" s="35" t="n">
        <f aca="false">SUM(CZ113:CZ119)</f>
        <v>4255.80303286797</v>
      </c>
      <c r="DA120" s="35" t="n">
        <f aca="false">SUM(DA113:DA119)</f>
        <v>4303.08973323317</v>
      </c>
      <c r="DB120" s="35" t="n">
        <f aca="false">SUM(DB113:DB119)</f>
        <v>4350.37643359837</v>
      </c>
      <c r="DC120" s="35" t="n">
        <f aca="false">SUM(DC113:DC119)</f>
        <v>4333.96170050834</v>
      </c>
      <c r="DD120" s="35" t="n">
        <f aca="false">SUM(DD113:DD119)</f>
        <v>4260.30613540361</v>
      </c>
      <c r="DE120" s="35" t="n">
        <f aca="false">SUM(DE113:DE119)</f>
        <v>4307.64287024143</v>
      </c>
      <c r="DF120" s="35" t="n">
        <f aca="false">SUM(DF113:DF119)</f>
        <v>4354.97960507925</v>
      </c>
      <c r="DG120" s="35" t="n">
        <f aca="false">SUM(DG113:DG119)</f>
        <v>4338.46697238004</v>
      </c>
      <c r="DH120" s="35" t="n">
        <f aca="false">SUM(DH113:DH119)</f>
        <v>4311.56604790374</v>
      </c>
      <c r="DI120" s="35" t="n">
        <f aca="false">SUM(DI113:DI119)</f>
        <v>4311.56604790374</v>
      </c>
      <c r="DJ120" s="35" t="n">
        <f aca="false">SUM(DJ113:DJ119)</f>
        <v>4358.945894584</v>
      </c>
      <c r="DK120" s="35" t="n">
        <f aca="false">SUM(DK113:DK119)</f>
        <v>4342.33517066918</v>
      </c>
      <c r="DL120" s="35" t="n">
        <f aca="false">SUM(DL113:DL119)</f>
        <v>4267.42314521508</v>
      </c>
      <c r="DM120" s="35" t="n">
        <f aca="false">SUM(DM113:DM119)</f>
        <v>4314.83895793969</v>
      </c>
      <c r="DN120" s="35" t="n">
        <f aca="false">SUM(DN113:DN119)</f>
        <v>4362.2547706643</v>
      </c>
      <c r="DO120" s="35" t="n">
        <f aca="false">SUM(DO113:DO119)</f>
        <v>4345.54577296546</v>
      </c>
      <c r="DP120" s="35" t="n">
        <f aca="false">SUM(DP113:DP119)</f>
        <v>4269.99635873289</v>
      </c>
      <c r="DQ120" s="35" t="n">
        <f aca="false">SUM(DQ113:DQ119)</f>
        <v>4317.44076271881</v>
      </c>
      <c r="DR120" s="35" t="n">
        <f aca="false">SUM(DR113:DR119)</f>
        <v>4364.88516670473</v>
      </c>
      <c r="DS120" s="35" t="n">
        <f aca="false">SUM(DS113:DS119)</f>
        <v>4348.0777219831</v>
      </c>
      <c r="DT120" s="35" t="n">
        <f aca="false">SUM(DT113:DT119)</f>
        <v>4271.8846965912</v>
      </c>
      <c r="DU120" s="35" t="n">
        <f aca="false">SUM(DU113:DU119)</f>
        <v>4319.35008210888</v>
      </c>
      <c r="DV120" s="35" t="n">
        <f aca="false">SUM(DV113:DV119)</f>
        <v>4366.81546762656</v>
      </c>
      <c r="DW120" s="35" t="n">
        <f aca="false">SUM(DW113:DW119)</f>
        <v>4349.90941227163</v>
      </c>
      <c r="DX120" s="35" t="n">
        <f aca="false">SUM(DX113:DX119)</f>
        <v>4320.54498000109</v>
      </c>
      <c r="DY120" s="35" t="n">
        <f aca="false">SUM(DY113:DY119)</f>
        <v>4320.54498000109</v>
      </c>
      <c r="DZ120" s="35" t="n">
        <f aca="false">SUM(DZ113:DZ119)</f>
        <v>4368.02349626484</v>
      </c>
      <c r="EA120" s="35" t="n">
        <f aca="false">SUM(EA113:EA119)</f>
        <v>4351.01867660019</v>
      </c>
      <c r="EB120" s="35" t="n">
        <f aca="false">SUM(EB113:EB119)</f>
        <v>4273.5194015975</v>
      </c>
      <c r="EC120" s="35" t="n">
        <f aca="false">SUM(EC113:EC119)</f>
        <v>4321.00295050414</v>
      </c>
      <c r="ED120" s="35" t="n">
        <f aca="false">SUM(ED113:ED119)</f>
        <v>4368.48649941078</v>
      </c>
      <c r="EE120" s="35" t="n">
        <f aca="false">SUM(EE113:EE119)</f>
        <v>4351.38277200729</v>
      </c>
      <c r="EF120" s="35" t="n">
        <f aca="false">SUM(EF113:EF119)</f>
        <v>4273.22067408704</v>
      </c>
      <c r="EG120" s="35" t="n">
        <f aca="false">SUM(EG113:EG119)</f>
        <v>4320.70090379912</v>
      </c>
      <c r="EH120" s="35" t="n">
        <f aca="false">SUM(EH113:EH119)</f>
        <v>4368.1811335112</v>
      </c>
      <c r="EI120" s="35" t="n">
        <f aca="false">SUM(EI113:EI119)</f>
        <v>4350.97836550777</v>
      </c>
      <c r="EJ120" s="35" t="n">
        <f aca="false">SUM(EJ113:EJ119)</f>
        <v>4272.14685327713</v>
      </c>
      <c r="EK120" s="35" t="n">
        <f aca="false">SUM(EK113:EK119)</f>
        <v>4319.61515164688</v>
      </c>
      <c r="EL120" s="35" t="n">
        <f aca="false">SUM(EL113:EL119)</f>
        <v>4367.08345001662</v>
      </c>
      <c r="EM120" s="35" t="n">
        <f aca="false">SUM(EM113:EM119)</f>
        <v>4349.78151944861</v>
      </c>
      <c r="EN120" s="35" t="n">
        <f aca="false">SUM(EN113:EN119)</f>
        <v>4317.72139253939</v>
      </c>
      <c r="EO120" s="35" t="n">
        <f aca="false">SUM(EO113:EO119)</f>
        <v>4317.72139253939</v>
      </c>
      <c r="EP120" s="35" t="n">
        <f aca="false">SUM(EP113:EP119)</f>
        <v>4365.16888036949</v>
      </c>
      <c r="EQ120" s="35" t="n">
        <f aca="false">SUM(EQ113:EQ119)</f>
        <v>4347.76767650498</v>
      </c>
      <c r="ER120" s="35" t="n">
        <f aca="false">SUM(ER113:ER119)</f>
        <v>4267.57717234905</v>
      </c>
      <c r="ES120" s="35" t="n">
        <f aca="false">SUM(ES113:ES119)</f>
        <v>4314.99469648626</v>
      </c>
      <c r="ET120" s="35" t="n">
        <f aca="false">SUM(ET113:ET119)</f>
        <v>4362.41222062347</v>
      </c>
    </row>
    <row r="122" customFormat="false" ht="15" hidden="false" customHeight="false" outlineLevel="0" collapsed="false">
      <c r="A122" s="9" t="s">
        <v>13</v>
      </c>
      <c r="B122" s="9"/>
      <c r="C122" s="9" t="s">
        <v>572</v>
      </c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L122" s="9"/>
      <c r="CM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  <c r="DO122" s="9"/>
      <c r="DP122" s="9"/>
      <c r="DQ122" s="9"/>
      <c r="DR122" s="9"/>
      <c r="DS122" s="9"/>
      <c r="DT122" s="9"/>
      <c r="DU122" s="9"/>
      <c r="DV122" s="9"/>
      <c r="DW122" s="9"/>
      <c r="DX122" s="9"/>
      <c r="DY122" s="9"/>
      <c r="DZ122" s="9"/>
      <c r="EA122" s="9"/>
      <c r="EB122" s="9"/>
      <c r="EC122" s="9"/>
      <c r="ED122" s="9"/>
      <c r="EE122" s="9"/>
      <c r="EF122" s="9"/>
      <c r="EG122" s="9"/>
      <c r="EH122" s="9"/>
      <c r="EI122" s="9"/>
      <c r="EJ122" s="9"/>
      <c r="EK122" s="9"/>
      <c r="EL122" s="9"/>
      <c r="EM122" s="9"/>
      <c r="EN122" s="9"/>
      <c r="EO122" s="9"/>
      <c r="EP122" s="9"/>
      <c r="EQ122" s="9"/>
      <c r="ER122" s="9"/>
      <c r="ES122" s="9"/>
      <c r="ET122" s="9"/>
    </row>
    <row r="123" customFormat="false" ht="15" hidden="false" customHeight="false" outlineLevel="0" collapsed="false">
      <c r="C123" s="0" t="s">
        <v>573</v>
      </c>
      <c r="D123" s="11" t="s">
        <v>253</v>
      </c>
      <c r="E123" s="33" t="n">
        <f aca="false">$I100-($I95+$I53+$I96+$I50)</f>
        <v>163950.691310322</v>
      </c>
      <c r="I123" s="33" t="n">
        <f aca="false">SUM(J123:ET123)</f>
        <v>-163950.691310322</v>
      </c>
      <c r="J123" s="33" t="n">
        <f aca="false">-$E123*J18</f>
        <v>-0</v>
      </c>
      <c r="K123" s="33" t="n">
        <f aca="false">-$E123*K18</f>
        <v>-0</v>
      </c>
      <c r="L123" s="33" t="n">
        <f aca="false">-$E123*L18</f>
        <v>-0</v>
      </c>
      <c r="M123" s="33" t="n">
        <f aca="false">-$E123*M18</f>
        <v>-0</v>
      </c>
      <c r="N123" s="33" t="n">
        <f aca="false">-$E123*N18</f>
        <v>-0</v>
      </c>
      <c r="O123" s="33" t="n">
        <f aca="false">-$E123*O18</f>
        <v>-0</v>
      </c>
      <c r="P123" s="33" t="n">
        <f aca="false">-$E123*P18</f>
        <v>-0</v>
      </c>
      <c r="Q123" s="33" t="n">
        <f aca="false">-$E123*Q18</f>
        <v>-0</v>
      </c>
      <c r="R123" s="33" t="n">
        <f aca="false">-$E123*R18</f>
        <v>-0</v>
      </c>
      <c r="S123" s="33" t="n">
        <f aca="false">-$E123*S18</f>
        <v>-0</v>
      </c>
      <c r="T123" s="33" t="n">
        <f aca="false">-$E123*T18</f>
        <v>-0</v>
      </c>
      <c r="U123" s="33" t="n">
        <f aca="false">-$E123*U18</f>
        <v>-0</v>
      </c>
      <c r="V123" s="33" t="n">
        <f aca="false">-$E123*V18</f>
        <v>-0</v>
      </c>
      <c r="W123" s="33" t="n">
        <f aca="false">-$E123*W18</f>
        <v>-0</v>
      </c>
      <c r="X123" s="33" t="n">
        <f aca="false">-$E123*X18</f>
        <v>-0</v>
      </c>
      <c r="Y123" s="33" t="n">
        <f aca="false">-$E123*Y18</f>
        <v>-0</v>
      </c>
      <c r="Z123" s="33" t="n">
        <f aca="false">-$E123*Z18</f>
        <v>-0</v>
      </c>
      <c r="AA123" s="33" t="n">
        <f aca="false">-$E123*AA18</f>
        <v>-0</v>
      </c>
      <c r="AB123" s="33" t="n">
        <f aca="false">-$E123*AB18</f>
        <v>-0</v>
      </c>
      <c r="AC123" s="33" t="n">
        <f aca="false">-$E123*AC18</f>
        <v>-0</v>
      </c>
      <c r="AD123" s="33" t="n">
        <f aca="false">-$E123*AD18</f>
        <v>-0</v>
      </c>
      <c r="AE123" s="33" t="n">
        <f aca="false">-$E123*AE18</f>
        <v>-2064.81363457216</v>
      </c>
      <c r="AF123" s="33" t="n">
        <f aca="false">-$E123*AF18</f>
        <v>-2042.37000810942</v>
      </c>
      <c r="AG123" s="33" t="n">
        <f aca="false">-$E123*AG18</f>
        <v>-2042.37000810942</v>
      </c>
      <c r="AH123" s="33" t="n">
        <f aca="false">-$E123*AH18</f>
        <v>-2064.81363457216</v>
      </c>
      <c r="AI123" s="33" t="n">
        <f aca="false">-$E123*AI18</f>
        <v>-2064.81363457216</v>
      </c>
      <c r="AJ123" s="33" t="n">
        <f aca="false">-$E123*AJ18</f>
        <v>-2019.92638164668</v>
      </c>
      <c r="AK123" s="33" t="n">
        <f aca="false">-$E123*AK18</f>
        <v>-2042.37000810942</v>
      </c>
      <c r="AL123" s="33" t="n">
        <f aca="false">-$E123*AL18</f>
        <v>-2064.81363457216</v>
      </c>
      <c r="AM123" s="33" t="n">
        <f aca="false">-$E123*AM18</f>
        <v>-2064.81363457216</v>
      </c>
      <c r="AN123" s="33" t="n">
        <f aca="false">-$E123*AN18</f>
        <v>-2019.92638164668</v>
      </c>
      <c r="AO123" s="33" t="n">
        <f aca="false">-$E123*AO18</f>
        <v>-2042.37000810942</v>
      </c>
      <c r="AP123" s="33" t="n">
        <f aca="false">-$E123*AP18</f>
        <v>-2064.81363457216</v>
      </c>
      <c r="AQ123" s="33" t="n">
        <f aca="false">-$E123*AQ18</f>
        <v>-2064.81363457216</v>
      </c>
      <c r="AR123" s="33" t="n">
        <f aca="false">-$E123*AR18</f>
        <v>-2019.92638164668</v>
      </c>
      <c r="AS123" s="33" t="n">
        <f aca="false">-$E123*AS18</f>
        <v>-2042.37000810942</v>
      </c>
      <c r="AT123" s="33" t="n">
        <f aca="false">-$E123*AT18</f>
        <v>-2064.81363457216</v>
      </c>
      <c r="AU123" s="33" t="n">
        <f aca="false">-$E123*AU18</f>
        <v>-2064.81363457216</v>
      </c>
      <c r="AV123" s="33" t="n">
        <f aca="false">-$E123*AV18</f>
        <v>-2042.37000810942</v>
      </c>
      <c r="AW123" s="33" t="n">
        <f aca="false">-$E123*AW18</f>
        <v>-2042.37000810942</v>
      </c>
      <c r="AX123" s="33" t="n">
        <f aca="false">-$E123*AX18</f>
        <v>-2064.81363457216</v>
      </c>
      <c r="AY123" s="33" t="n">
        <f aca="false">-$E123*AY18</f>
        <v>-2064.81363457216</v>
      </c>
      <c r="AZ123" s="33" t="n">
        <f aca="false">-$E123*AZ18</f>
        <v>-2019.92638164668</v>
      </c>
      <c r="BA123" s="33" t="n">
        <f aca="false">-$E123*BA18</f>
        <v>-2042.37000810942</v>
      </c>
      <c r="BB123" s="33" t="n">
        <f aca="false">-$E123*BB18</f>
        <v>-2064.81363457216</v>
      </c>
      <c r="BC123" s="33" t="n">
        <f aca="false">-$E123*BC18</f>
        <v>-2064.81363457216</v>
      </c>
      <c r="BD123" s="33" t="n">
        <f aca="false">-$E123*BD18</f>
        <v>-2019.92638164668</v>
      </c>
      <c r="BE123" s="33" t="n">
        <f aca="false">-$E123*BE18</f>
        <v>-2042.37000810942</v>
      </c>
      <c r="BF123" s="33" t="n">
        <f aca="false">-$E123*BF18</f>
        <v>-2064.81363457216</v>
      </c>
      <c r="BG123" s="33" t="n">
        <f aca="false">-$E123*BG18</f>
        <v>-2064.81363457216</v>
      </c>
      <c r="BH123" s="33" t="n">
        <f aca="false">-$E123*BH18</f>
        <v>-2019.92638164668</v>
      </c>
      <c r="BI123" s="33" t="n">
        <f aca="false">-$E123*BI18</f>
        <v>-2042.37000810942</v>
      </c>
      <c r="BJ123" s="33" t="n">
        <f aca="false">-$E123*BJ18</f>
        <v>-2064.81363457216</v>
      </c>
      <c r="BK123" s="33" t="n">
        <f aca="false">-$E123*BK18</f>
        <v>-2064.81363457216</v>
      </c>
      <c r="BL123" s="33" t="n">
        <f aca="false">-$E123*BL18</f>
        <v>-2042.37000810942</v>
      </c>
      <c r="BM123" s="33" t="n">
        <f aca="false">-$E123*BM18</f>
        <v>-2042.37000810942</v>
      </c>
      <c r="BN123" s="33" t="n">
        <f aca="false">-$E123*BN18</f>
        <v>-2064.81363457216</v>
      </c>
      <c r="BO123" s="33" t="n">
        <f aca="false">-$E123*BO18</f>
        <v>-2064.81363457216</v>
      </c>
      <c r="BP123" s="33" t="n">
        <f aca="false">-$E123*BP18</f>
        <v>-2019.92638164668</v>
      </c>
      <c r="BQ123" s="33" t="n">
        <f aca="false">-$E123*BQ18</f>
        <v>-2042.37000810942</v>
      </c>
      <c r="BR123" s="33" t="n">
        <f aca="false">-$E123*BR18</f>
        <v>-2064.81363457216</v>
      </c>
      <c r="BS123" s="33" t="n">
        <f aca="false">-$E123*BS18</f>
        <v>-2064.81363457216</v>
      </c>
      <c r="BT123" s="33" t="n">
        <f aca="false">-$E123*BT18</f>
        <v>-2019.92638164668</v>
      </c>
      <c r="BU123" s="33" t="n">
        <f aca="false">-$E123*BU18</f>
        <v>-2042.37000810942</v>
      </c>
      <c r="BV123" s="33" t="n">
        <f aca="false">-$E123*BV18</f>
        <v>-2064.81363457216</v>
      </c>
      <c r="BW123" s="33" t="n">
        <f aca="false">-$E123*BW18</f>
        <v>-2064.81363457216</v>
      </c>
      <c r="BX123" s="33" t="n">
        <f aca="false">-$E123*BX18</f>
        <v>-2019.92638164668</v>
      </c>
      <c r="BY123" s="33" t="n">
        <f aca="false">-$E123*BY18</f>
        <v>-2042.37000810942</v>
      </c>
      <c r="BZ123" s="33" t="n">
        <f aca="false">-$E123*BZ18</f>
        <v>-2064.81363457216</v>
      </c>
      <c r="CA123" s="33" t="n">
        <f aca="false">-$E123*CA18</f>
        <v>-2064.81363457216</v>
      </c>
      <c r="CB123" s="33" t="n">
        <f aca="false">-$E123*CB18</f>
        <v>-2042.37000810942</v>
      </c>
      <c r="CC123" s="33" t="n">
        <f aca="false">-$E123*CC18</f>
        <v>-2042.37000810942</v>
      </c>
      <c r="CD123" s="33" t="n">
        <f aca="false">-$E123*CD18</f>
        <v>-2064.81363457216</v>
      </c>
      <c r="CE123" s="33" t="n">
        <f aca="false">-$E123*CE18</f>
        <v>-2064.81363457216</v>
      </c>
      <c r="CF123" s="33" t="n">
        <f aca="false">-$E123*CF18</f>
        <v>-2019.92638164668</v>
      </c>
      <c r="CG123" s="33" t="n">
        <f aca="false">-$E123*CG18</f>
        <v>-2042.37000810942</v>
      </c>
      <c r="CH123" s="33" t="n">
        <f aca="false">-$E123*CH18</f>
        <v>-2064.81363457216</v>
      </c>
      <c r="CI123" s="33" t="n">
        <f aca="false">-$E123*CI18</f>
        <v>-2064.81363457216</v>
      </c>
      <c r="CJ123" s="33" t="n">
        <f aca="false">-$E123*CJ18</f>
        <v>-2019.92638164668</v>
      </c>
      <c r="CK123" s="33" t="n">
        <f aca="false">-$E123*CK18</f>
        <v>-2042.37000810942</v>
      </c>
      <c r="CL123" s="33" t="n">
        <f aca="false">-$E123*CL18</f>
        <v>-2064.81363457216</v>
      </c>
      <c r="CM123" s="33" t="n">
        <f aca="false">-$E123*CM18</f>
        <v>-2064.81363457216</v>
      </c>
      <c r="CN123" s="33" t="n">
        <f aca="false">-$E123*CN18</f>
        <v>-2019.92638164668</v>
      </c>
      <c r="CO123" s="33" t="n">
        <f aca="false">-$E123*CO18</f>
        <v>-2042.37000810942</v>
      </c>
      <c r="CP123" s="33" t="n">
        <f aca="false">-$E123*CP18</f>
        <v>-2064.81363457216</v>
      </c>
      <c r="CQ123" s="33" t="n">
        <f aca="false">-$E123*CQ18</f>
        <v>-2064.81363457216</v>
      </c>
      <c r="CR123" s="33" t="n">
        <f aca="false">-$E123*CR18</f>
        <v>-2042.37000810942</v>
      </c>
      <c r="CS123" s="33" t="n">
        <f aca="false">-$E123*CS18</f>
        <v>-2042.37000810942</v>
      </c>
      <c r="CT123" s="33" t="n">
        <f aca="false">-$E123*CT18</f>
        <v>-2064.81363457216</v>
      </c>
      <c r="CU123" s="33" t="n">
        <f aca="false">-$E123*CU18</f>
        <v>-2064.81363457216</v>
      </c>
      <c r="CV123" s="33" t="n">
        <f aca="false">-$E123*CV18</f>
        <v>-2019.92638164668</v>
      </c>
      <c r="CW123" s="33" t="n">
        <f aca="false">-$E123*CW18</f>
        <v>-2042.37000810942</v>
      </c>
      <c r="CX123" s="33" t="n">
        <f aca="false">-$E123*CX18</f>
        <v>-2064.81363457216</v>
      </c>
      <c r="CY123" s="33" t="n">
        <f aca="false">-$E123*CY18</f>
        <v>-2064.81363457216</v>
      </c>
      <c r="CZ123" s="33" t="n">
        <f aca="false">-$E123*CZ18</f>
        <v>-2019.92638164668</v>
      </c>
      <c r="DA123" s="33" t="n">
        <f aca="false">-$E123*DA18</f>
        <v>-2042.37000810942</v>
      </c>
      <c r="DB123" s="33" t="n">
        <f aca="false">-$E123*DB18</f>
        <v>-2064.81363457216</v>
      </c>
      <c r="DC123" s="33" t="n">
        <f aca="false">-$E123*DC18</f>
        <v>-2064.81363457216</v>
      </c>
      <c r="DD123" s="33" t="n">
        <f aca="false">-$E123*DD18</f>
        <v>-2019.92638164668</v>
      </c>
      <c r="DE123" s="33" t="n">
        <f aca="false">-$E123*DE18</f>
        <v>-2042.37000810942</v>
      </c>
      <c r="DF123" s="33" t="n">
        <f aca="false">-$E123*DF18</f>
        <v>-2064.81363457216</v>
      </c>
      <c r="DG123" s="33" t="n">
        <f aca="false">-$E123*DG18</f>
        <v>-0</v>
      </c>
      <c r="DH123" s="33" t="n">
        <f aca="false">-$E123*DH18</f>
        <v>-0</v>
      </c>
      <c r="DI123" s="33" t="n">
        <f aca="false">-$E123*DI18</f>
        <v>-0</v>
      </c>
      <c r="DJ123" s="33" t="n">
        <f aca="false">-$E123*DJ18</f>
        <v>-0</v>
      </c>
      <c r="DK123" s="33" t="n">
        <f aca="false">-$E123*DK18</f>
        <v>-0</v>
      </c>
      <c r="DL123" s="33" t="n">
        <f aca="false">-$E123*DL18</f>
        <v>-0</v>
      </c>
      <c r="DM123" s="33" t="n">
        <f aca="false">-$E123*DM18</f>
        <v>-0</v>
      </c>
      <c r="DN123" s="33" t="n">
        <f aca="false">-$E123*DN18</f>
        <v>-0</v>
      </c>
      <c r="DO123" s="33" t="n">
        <f aca="false">-$E123*DO18</f>
        <v>-0</v>
      </c>
      <c r="DP123" s="33" t="n">
        <f aca="false">-$E123*DP18</f>
        <v>-0</v>
      </c>
      <c r="DQ123" s="33" t="n">
        <f aca="false">-$E123*DQ18</f>
        <v>-0</v>
      </c>
      <c r="DR123" s="33" t="n">
        <f aca="false">-$E123*DR18</f>
        <v>-0</v>
      </c>
      <c r="DS123" s="33" t="n">
        <f aca="false">-$E123*DS18</f>
        <v>-0</v>
      </c>
      <c r="DT123" s="33" t="n">
        <f aca="false">-$E123*DT18</f>
        <v>-0</v>
      </c>
      <c r="DU123" s="33" t="n">
        <f aca="false">-$E123*DU18</f>
        <v>-0</v>
      </c>
      <c r="DV123" s="33" t="n">
        <f aca="false">-$E123*DV18</f>
        <v>-0</v>
      </c>
      <c r="DW123" s="33" t="n">
        <f aca="false">-$E123*DW18</f>
        <v>-0</v>
      </c>
      <c r="DX123" s="33" t="n">
        <f aca="false">-$E123*DX18</f>
        <v>-0</v>
      </c>
      <c r="DY123" s="33" t="n">
        <f aca="false">-$E123*DY18</f>
        <v>-0</v>
      </c>
      <c r="DZ123" s="33" t="n">
        <f aca="false">-$E123*DZ18</f>
        <v>-0</v>
      </c>
      <c r="EA123" s="33" t="n">
        <f aca="false">-$E123*EA18</f>
        <v>-0</v>
      </c>
      <c r="EB123" s="33" t="n">
        <f aca="false">-$E123*EB18</f>
        <v>-0</v>
      </c>
      <c r="EC123" s="33" t="n">
        <f aca="false">-$E123*EC18</f>
        <v>-0</v>
      </c>
      <c r="ED123" s="33" t="n">
        <f aca="false">-$E123*ED18</f>
        <v>-0</v>
      </c>
      <c r="EE123" s="33" t="n">
        <f aca="false">-$E123*EE18</f>
        <v>-0</v>
      </c>
      <c r="EF123" s="33" t="n">
        <f aca="false">-$E123*EF18</f>
        <v>-0</v>
      </c>
      <c r="EG123" s="33" t="n">
        <f aca="false">-$E123*EG18</f>
        <v>-0</v>
      </c>
      <c r="EH123" s="33" t="n">
        <f aca="false">-$E123*EH18</f>
        <v>-0</v>
      </c>
      <c r="EI123" s="33" t="n">
        <f aca="false">-$E123*EI18</f>
        <v>-0</v>
      </c>
      <c r="EJ123" s="33" t="n">
        <f aca="false">-$E123*EJ18</f>
        <v>-0</v>
      </c>
      <c r="EK123" s="33" t="n">
        <f aca="false">-$E123*EK18</f>
        <v>-0</v>
      </c>
      <c r="EL123" s="33" t="n">
        <f aca="false">-$E123*EL18</f>
        <v>-0</v>
      </c>
      <c r="EM123" s="33" t="n">
        <f aca="false">-$E123*EM18</f>
        <v>-0</v>
      </c>
      <c r="EN123" s="33" t="n">
        <f aca="false">-$E123*EN18</f>
        <v>-0</v>
      </c>
      <c r="EO123" s="33" t="n">
        <f aca="false">-$E123*EO18</f>
        <v>-0</v>
      </c>
      <c r="EP123" s="33" t="n">
        <f aca="false">-$E123*EP18</f>
        <v>-0</v>
      </c>
      <c r="EQ123" s="33" t="n">
        <f aca="false">-$E123*EQ18</f>
        <v>-0</v>
      </c>
      <c r="ER123" s="33" t="n">
        <f aca="false">-$E123*ER18</f>
        <v>-0</v>
      </c>
      <c r="ES123" s="33" t="n">
        <f aca="false">-$E123*ES18</f>
        <v>-0</v>
      </c>
      <c r="ET123" s="33" t="n">
        <f aca="false">-$E123*ET18</f>
        <v>-0</v>
      </c>
    </row>
    <row r="124" customFormat="false" ht="15" hidden="false" customHeight="false" outlineLevel="0" collapsed="false">
      <c r="C124" s="0" t="s">
        <v>574</v>
      </c>
      <c r="D124" s="11" t="s">
        <v>253</v>
      </c>
      <c r="I124" s="33" t="n">
        <f aca="false">SUM(J124:ET124)</f>
        <v>314710.729599994</v>
      </c>
      <c r="J124" s="33" t="n">
        <f aca="false">J120+J123+J103+J104+J105+J57</f>
        <v>0</v>
      </c>
      <c r="K124" s="33" t="n">
        <f aca="false">K120+K123+K103+K104+K105+K57</f>
        <v>-178.520547945205</v>
      </c>
      <c r="L124" s="33" t="n">
        <f aca="false">L120+L123+L103+L104+L105+L57</f>
        <v>-588.444520547945</v>
      </c>
      <c r="M124" s="33" t="n">
        <f aca="false">M120+M123+M103+M104+M105+M57</f>
        <v>-43.8356164383562</v>
      </c>
      <c r="N124" s="33" t="n">
        <f aca="false">N120+N123+N103+N104+N105+N57</f>
        <v>-43.8356164383562</v>
      </c>
      <c r="O124" s="33" t="n">
        <f aca="false">O120+O123+O103+O104+O105+O57</f>
        <v>-184.361643835616</v>
      </c>
      <c r="P124" s="33" t="n">
        <f aca="false">P120+P123+P103+P104+P105+P57</f>
        <v>-1290.04179480011</v>
      </c>
      <c r="Q124" s="33" t="n">
        <f aca="false">Q120+Q123+Q103+Q104+Q105+Q57</f>
        <v>-4.60958904109589</v>
      </c>
      <c r="R124" s="33" t="n">
        <f aca="false">R120+R123+R103+R104+R105+R57</f>
        <v>-164.091509980431</v>
      </c>
      <c r="S124" s="33" t="n">
        <f aca="false">S120+S123+S103+S104+S105+S57</f>
        <v>-317.226138697232</v>
      </c>
      <c r="T124" s="33" t="n">
        <f aca="false">T120+T123+T103+T104+T105+T57</f>
        <v>-304.657534246575</v>
      </c>
      <c r="U124" s="33" t="n">
        <f aca="false">U120+U123+U103+U104+U105+U57</f>
        <v>0</v>
      </c>
      <c r="V124" s="33" t="n">
        <f aca="false">V120+V123+V103+V104+V105+V57</f>
        <v>0</v>
      </c>
      <c r="W124" s="33" t="n">
        <f aca="false">W120+W123+W103+W104+W105+W57</f>
        <v>-1955.01413865224</v>
      </c>
      <c r="X124" s="33" t="n">
        <f aca="false">X120+X123+X103+X104+X105+X57</f>
        <v>-260.170263472354</v>
      </c>
      <c r="Y124" s="33" t="n">
        <f aca="false">Y120+Y123+Y103+Y104+Y105+Y57</f>
        <v>-236.760410897378</v>
      </c>
      <c r="Z124" s="33" t="n">
        <f aca="false">Z120+Z123+Z103+Z104+Z105+Z57</f>
        <v>-212.477081856929</v>
      </c>
      <c r="AA124" s="33" t="n">
        <f aca="false">AA120+AA123+AA103+AA104+AA105+AA57</f>
        <v>-185.296549490162</v>
      </c>
      <c r="AB124" s="33" t="n">
        <f aca="false">AB120+AB123+AB103+AB104+AB105+AB57</f>
        <v>-156.573132717387</v>
      </c>
      <c r="AC124" s="33" t="n">
        <f aca="false">AC120+AC123+AC103+AC104+AC105+AC57</f>
        <v>-132.0122009118</v>
      </c>
      <c r="AD124" s="33" t="n">
        <f aca="false">AD120+AD123+AD103+AD104+AD105+AD57</f>
        <v>-106.57779264074</v>
      </c>
      <c r="AE124" s="33" t="n">
        <f aca="false">AE120+AE123+AE103+AE104+AE105+AE57</f>
        <v>844.592147336478</v>
      </c>
      <c r="AF124" s="33" t="n">
        <f aca="false">AF120+AF123+AF103+AF104+AF105+AF57</f>
        <v>873.754592434829</v>
      </c>
      <c r="AG124" s="33" t="n">
        <f aca="false">AG120+AG123+AG103+AG104+AG105+AG57</f>
        <v>898.171621364089</v>
      </c>
      <c r="AH124" s="33" t="n">
        <f aca="false">AH120+AH123+AH103+AH104+AH105+AH57</f>
        <v>945.875618690579</v>
      </c>
      <c r="AI124" s="33" t="n">
        <f aca="false">AI120+AI123+AI103+AI104+AI105+AI57</f>
        <v>956.212854990103</v>
      </c>
      <c r="AJ124" s="33" t="n">
        <f aca="false">AJ120+AJ123+AJ103+AJ104+AJ105+AJ57</f>
        <v>963.097413625111</v>
      </c>
      <c r="AK124" s="33" t="n">
        <f aca="false">AK120+AK123+AK103+AK104+AK105+AK57</f>
        <v>1011.8824638053</v>
      </c>
      <c r="AL124" s="33" t="n">
        <f aca="false">AL120+AL123+AL103+AL104+AL105+AL57</f>
        <v>1060.98827601917</v>
      </c>
      <c r="AM124" s="33" t="n">
        <f aca="false">AM120+AM123+AM103+AM104+AM105+AM57</f>
        <v>1072.50753947244</v>
      </c>
      <c r="AN124" s="33" t="n">
        <f aca="false">AN120+AN123+AN103+AN104+AN105+AN57</f>
        <v>1080.15387545258</v>
      </c>
      <c r="AO124" s="33" t="n">
        <f aca="false">AO120+AO123+AO103+AO104+AO105+AO57</f>
        <v>1130.38480925196</v>
      </c>
      <c r="AP124" s="33" t="n">
        <f aca="false">AP120+AP123+AP103+AP104+AP105+AP57</f>
        <v>1180.9528464149</v>
      </c>
      <c r="AQ124" s="33" t="n">
        <f aca="false">AQ120+AQ123+AQ103+AQ104+AQ105+AQ57</f>
        <v>1193.7187922747</v>
      </c>
      <c r="AR124" s="33" t="n">
        <f aca="false">AR120+AR123+AR103+AR104+AR105+AR57</f>
        <v>1202.18794185673</v>
      </c>
      <c r="AS124" s="33" t="n">
        <f aca="false">AS120+AS123+AS103+AS104+AS105+AS57</f>
        <v>1253.92746612221</v>
      </c>
      <c r="AT124" s="33" t="n">
        <f aca="false">AT120+AT123+AT103+AT104+AT105+AT57</f>
        <v>1306.02126759569</v>
      </c>
      <c r="AU124" s="33" t="n">
        <f aca="false">AU120+AU123+AU103+AU104+AU105+AU57</f>
        <v>1320.10186570383</v>
      </c>
      <c r="AV124" s="33" t="n">
        <f aca="false">AV120+AV123+AV103+AV104+AV105+AV57</f>
        <v>1352.98614737013</v>
      </c>
      <c r="AW124" s="33" t="n">
        <f aca="false">AW120+AW123+AW103+AW104+AW105+AW57</f>
        <v>1382.7722257469</v>
      </c>
      <c r="AX124" s="33" t="n">
        <f aca="false">AX120+AX123+AX103+AX104+AX105+AX57</f>
        <v>1436.45862299212</v>
      </c>
      <c r="AY124" s="33" t="n">
        <f aca="false">AY120+AY123+AY103+AY104+AY105+AY57</f>
        <v>1451.92532658463</v>
      </c>
      <c r="AZ124" s="33" t="n">
        <f aca="false">AZ120+AZ123+AZ103+AZ104+AZ105+AZ57</f>
        <v>1462.236539093</v>
      </c>
      <c r="BA124" s="33" t="n">
        <f aca="false">BA120+BA123+BA103+BA104+BA105+BA57</f>
        <v>1517.19453260956</v>
      </c>
      <c r="BB124" s="33" t="n">
        <f aca="false">BB120+BB123+BB103+BB104+BB105+BB57</f>
        <v>1572.5438203783</v>
      </c>
      <c r="BC124" s="33" t="n">
        <f aca="false">BC120+BC123+BC103+BC104+BC105+BC57</f>
        <v>1589.47174348552</v>
      </c>
      <c r="BD124" s="33" t="n">
        <f aca="false">BD120+BD123+BD103+BD104+BD105+BD57</f>
        <v>1600.8093014795</v>
      </c>
      <c r="BE124" s="33" t="n">
        <f aca="false">BE120+BE123+BE103+BE104+BE105+BE57</f>
        <v>1657.484188956</v>
      </c>
      <c r="BF124" s="33" t="n">
        <f aca="false">BF120+BF123+BF103+BF104+BF105+BF57</f>
        <v>1714.57030530219</v>
      </c>
      <c r="BG124" s="33" t="n">
        <f aca="false">BG120+BG123+BG103+BG104+BG105+BG57</f>
        <v>1733.03840918154</v>
      </c>
      <c r="BH124" s="33" t="n">
        <f aca="false">BH120+BH123+BH103+BH104+BH105+BH57</f>
        <v>1745.47755902872</v>
      </c>
      <c r="BI124" s="33" t="n">
        <f aca="false">BI120+BI123+BI103+BI104+BI105+BI57</f>
        <v>1803.94609552968</v>
      </c>
      <c r="BJ124" s="33" t="n">
        <f aca="false">BJ120+BJ123+BJ103+BJ104+BJ105+BJ57</f>
        <v>1862.84681109366</v>
      </c>
      <c r="BK124" s="33" t="n">
        <f aca="false">BK120+BK123+BK103+BK104+BK105+BK57</f>
        <v>1882.93810015514</v>
      </c>
      <c r="BL124" s="33" t="n">
        <f aca="false">BL120+BL123+BL103+BL104+BL105+BL57</f>
        <v>1920.56530460039</v>
      </c>
      <c r="BM124" s="33" t="n">
        <f aca="false">BM120+BM123+BM103+BM104+BM105+BM57</f>
        <v>1956.90103027926</v>
      </c>
      <c r="BN124" s="33" t="n">
        <f aca="false">BN120+BN123+BN103+BN104+BN105+BN57</f>
        <v>2017.69814731964</v>
      </c>
      <c r="BO124" s="33" t="n">
        <f aca="false">BO120+BO123+BO103+BO104+BO105+BO57</f>
        <v>2039.49987502753</v>
      </c>
      <c r="BP124" s="33" t="n">
        <f aca="false">BP120+BP123+BP103+BP104+BP105+BP57</f>
        <v>2054.38424107417</v>
      </c>
      <c r="BQ124" s="33" t="n">
        <f aca="false">BQ120+BQ123+BQ103+BQ104+BQ105+BQ57</f>
        <v>2116.68646697836</v>
      </c>
      <c r="BR124" s="33" t="n">
        <f aca="false">BR120+BR123+BR103+BR104+BR105+BR57</f>
        <v>2179.46602865087</v>
      </c>
      <c r="BS124" s="33" t="n">
        <f aca="false">BS120+BS123+BS103+BS104+BS105+BS57</f>
        <v>2203.06991390965</v>
      </c>
      <c r="BT124" s="33" t="n">
        <f aca="false">BT120+BT123+BT103+BT104+BT105+BT57</f>
        <v>2179.6697357434</v>
      </c>
      <c r="BU124" s="33" t="n">
        <f aca="false">BU120+BU123+BU103+BU104+BU105+BU57</f>
        <v>2203.88828836277</v>
      </c>
      <c r="BV124" s="33" t="n">
        <f aca="false">BV120+BV123+BV103+BV104+BV105+BV57</f>
        <v>2228.10684098214</v>
      </c>
      <c r="BW124" s="33" t="n">
        <f aca="false">BW120+BW123+BW103+BW104+BW105+BW57</f>
        <v>2212.46741327988</v>
      </c>
      <c r="BX124" s="33" t="n">
        <f aca="false">BX120+BX123+BX103+BX104+BX105+BX57</f>
        <v>2188.49283984931</v>
      </c>
      <c r="BY124" s="33" t="n">
        <f aca="false">BY120+BY123+BY103+BY104+BY105+BY57</f>
        <v>2212.80942695874</v>
      </c>
      <c r="BZ124" s="33" t="n">
        <f aca="false">BZ120+BZ123+BZ103+BZ104+BZ105+BZ57</f>
        <v>2237.12601406818</v>
      </c>
      <c r="CA124" s="33" t="n">
        <f aca="false">CA120+CA123+CA103+CA104+CA105+CA57</f>
        <v>2221.39051218978</v>
      </c>
      <c r="CB124" s="33" t="n">
        <f aca="false">CB120+CB123+CB103+CB104+CB105+CB57</f>
        <v>2221.24549337524</v>
      </c>
      <c r="CC124" s="33" t="n">
        <f aca="false">CC120+CC123+CC103+CC104+CC105+CC57</f>
        <v>2221.24549337524</v>
      </c>
      <c r="CD124" s="33" t="n">
        <f aca="false">CD120+CD123+CD103+CD104+CD105+CD57</f>
        <v>2245.65478451123</v>
      </c>
      <c r="CE124" s="33" t="n">
        <f aca="false">CE120+CE123+CE103+CE104+CE105+CE57</f>
        <v>2229.82295424819</v>
      </c>
      <c r="CF124" s="33" t="n">
        <f aca="false">CF120+CF123+CF103+CF104+CF105+CF57</f>
        <v>2204.6834937156</v>
      </c>
      <c r="CG124" s="33" t="n">
        <f aca="false">CG120+CG123+CG103+CG104+CG105+CG57</f>
        <v>2229.17997697911</v>
      </c>
      <c r="CH124" s="33" t="n">
        <f aca="false">CH120+CH123+CH103+CH104+CH105+CH57</f>
        <v>2253.67646024261</v>
      </c>
      <c r="CI124" s="33" t="n">
        <f aca="false">CI120+CI123+CI103+CI104+CI105+CI57</f>
        <v>2237.74805432723</v>
      </c>
      <c r="CJ124" s="33" t="n">
        <f aca="false">CJ120+CJ123+CJ103+CJ104+CJ105+CJ57</f>
        <v>2212.01795498054</v>
      </c>
      <c r="CK124" s="33" t="n">
        <f aca="false">CK120+CK123+CK103+CK104+CK105+CK57</f>
        <v>2236.5959322581</v>
      </c>
      <c r="CL124" s="33" t="n">
        <f aca="false">CL120+CL123+CL103+CL104+CL105+CL57</f>
        <v>2261.17390953566</v>
      </c>
      <c r="CM124" s="33" t="n">
        <f aca="false">CM120+CM123+CM103+CM104+CM105+CM57</f>
        <v>2245.14868788163</v>
      </c>
      <c r="CN124" s="33" t="n">
        <f aca="false">CN120+CN123+CN103+CN104+CN105+CN57</f>
        <v>2218.82238592502</v>
      </c>
      <c r="CO124" s="33" t="n">
        <f aca="false">CO120+CO123+CO103+CO104+CO105+CO57</f>
        <v>2243.47596799085</v>
      </c>
      <c r="CP124" s="33" t="n">
        <f aca="false">CP120+CP123+CP103+CP104+CP105+CP57</f>
        <v>2268.12955005669</v>
      </c>
      <c r="CQ124" s="33" t="n">
        <f aca="false">CQ120+CQ123+CQ103+CQ104+CQ105+CQ57</f>
        <v>2252.00728000554</v>
      </c>
      <c r="CR124" s="33" t="n">
        <f aca="false">CR120+CR123+CR103+CR104+CR105+CR57</f>
        <v>2249.80223615059</v>
      </c>
      <c r="CS124" s="33" t="n">
        <f aca="false">CS120+CS123+CS103+CS104+CS105+CS57</f>
        <v>2249.80223615059</v>
      </c>
      <c r="CT124" s="33" t="n">
        <f aca="false">CT120+CT123+CT103+CT104+CT105+CT57</f>
        <v>2274.52533764675</v>
      </c>
      <c r="CU124" s="33" t="n">
        <f aca="false">CU120+CU123+CU103+CU104+CU105+CU57</f>
        <v>2258.3057942204</v>
      </c>
      <c r="CV124" s="33" t="n">
        <f aca="false">CV120+CV123+CV103+CV104+CV105+CV57</f>
        <v>2230.77008624457</v>
      </c>
      <c r="CW124" s="33" t="n">
        <f aca="false">CW120+CW123+CW103+CW104+CW105+CW57</f>
        <v>2255.55642053618</v>
      </c>
      <c r="CX124" s="33" t="n">
        <f aca="false">CX120+CX123+CX103+CX104+CX105+CX57</f>
        <v>2280.34275482779</v>
      </c>
      <c r="CY124" s="33" t="n">
        <f aca="false">CY120+CY123+CY103+CY104+CY105+CY57</f>
        <v>2264.02572098716</v>
      </c>
      <c r="CZ124" s="33" t="n">
        <f aca="false">CZ120+CZ123+CZ103+CZ104+CZ105+CZ57</f>
        <v>2235.87665122129</v>
      </c>
      <c r="DA124" s="33" t="n">
        <f aca="false">DA120+DA123+DA103+DA104+DA105+DA57</f>
        <v>2260.71972512375</v>
      </c>
      <c r="DB124" s="33" t="n">
        <f aca="false">DB120+DB123+DB103+DB104+DB105+DB57</f>
        <v>2285.56279902621</v>
      </c>
      <c r="DC124" s="33" t="n">
        <f aca="false">DC120+DC123+DC103+DC104+DC105+DC57</f>
        <v>2269.14806593617</v>
      </c>
      <c r="DD124" s="33" t="n">
        <f aca="false">DD120+DD123+DD103+DD104+DD105+DD57</f>
        <v>2240.37975375693</v>
      </c>
      <c r="DE124" s="33" t="n">
        <f aca="false">DE120+DE123+DE103+DE104+DE105+DE57</f>
        <v>2265.27286213201</v>
      </c>
      <c r="DF124" s="33" t="n">
        <f aca="false">DF120+DF123+DF103+DF104+DF105+DF57</f>
        <v>2290.16597050708</v>
      </c>
      <c r="DG124" s="33" t="n">
        <f aca="false">DG120+DG123+DG103+DG104+DG105+DG57</f>
        <v>4338.46697238004</v>
      </c>
      <c r="DH124" s="33" t="n">
        <f aca="false">DH120+DH123+DH103+DH104+DH105+DH57</f>
        <v>4311.56604790374</v>
      </c>
      <c r="DI124" s="33" t="n">
        <f aca="false">DI120+DI123+DI103+DI104+DI105+DI57</f>
        <v>4311.56604790374</v>
      </c>
      <c r="DJ124" s="33" t="n">
        <f aca="false">DJ120+DJ123+DJ103+DJ104+DJ105+DJ57</f>
        <v>4358.945894584</v>
      </c>
      <c r="DK124" s="33" t="n">
        <f aca="false">DK120+DK123+DK103+DK104+DK105+DK57</f>
        <v>4342.33517066918</v>
      </c>
      <c r="DL124" s="33" t="n">
        <f aca="false">DL120+DL123+DL103+DL104+DL105+DL57</f>
        <v>4267.42314521508</v>
      </c>
      <c r="DM124" s="33" t="n">
        <f aca="false">DM120+DM123+DM103+DM104+DM105+DM57</f>
        <v>4314.83895793969</v>
      </c>
      <c r="DN124" s="33" t="n">
        <f aca="false">DN120+DN123+DN103+DN104+DN105+DN57</f>
        <v>4362.2547706643</v>
      </c>
      <c r="DO124" s="33" t="n">
        <f aca="false">DO120+DO123+DO103+DO104+DO105+DO57</f>
        <v>4345.54577296546</v>
      </c>
      <c r="DP124" s="33" t="n">
        <f aca="false">DP120+DP123+DP103+DP104+DP105+DP57</f>
        <v>4269.99635873289</v>
      </c>
      <c r="DQ124" s="33" t="n">
        <f aca="false">DQ120+DQ123+DQ103+DQ104+DQ105+DQ57</f>
        <v>4317.44076271881</v>
      </c>
      <c r="DR124" s="33" t="n">
        <f aca="false">DR120+DR123+DR103+DR104+DR105+DR57</f>
        <v>4364.88516670473</v>
      </c>
      <c r="DS124" s="33" t="n">
        <f aca="false">DS120+DS123+DS103+DS104+DS105+DS57</f>
        <v>4348.0777219831</v>
      </c>
      <c r="DT124" s="33" t="n">
        <f aca="false">DT120+DT123+DT103+DT104+DT105+DT57</f>
        <v>4271.8846965912</v>
      </c>
      <c r="DU124" s="33" t="n">
        <f aca="false">DU120+DU123+DU103+DU104+DU105+DU57</f>
        <v>4319.35008210888</v>
      </c>
      <c r="DV124" s="33" t="n">
        <f aca="false">DV120+DV123+DV103+DV104+DV105+DV57</f>
        <v>4366.81546762656</v>
      </c>
      <c r="DW124" s="33" t="n">
        <f aca="false">DW120+DW123+DW103+DW104+DW105+DW57</f>
        <v>4349.90941227163</v>
      </c>
      <c r="DX124" s="33" t="n">
        <f aca="false">DX120+DX123+DX103+DX104+DX105+DX57</f>
        <v>4320.54498000109</v>
      </c>
      <c r="DY124" s="33" t="n">
        <f aca="false">DY120+DY123+DY103+DY104+DY105+DY57</f>
        <v>4320.54498000109</v>
      </c>
      <c r="DZ124" s="33" t="n">
        <f aca="false">DZ120+DZ123+DZ103+DZ104+DZ105+DZ57</f>
        <v>4368.02349626484</v>
      </c>
      <c r="EA124" s="33" t="n">
        <f aca="false">EA120+EA123+EA103+EA104+EA105+EA57</f>
        <v>4351.01867660019</v>
      </c>
      <c r="EB124" s="33" t="n">
        <f aca="false">EB120+EB123+EB103+EB104+EB105+EB57</f>
        <v>4273.5194015975</v>
      </c>
      <c r="EC124" s="33" t="n">
        <f aca="false">EC120+EC123+EC103+EC104+EC105+EC57</f>
        <v>4321.00295050414</v>
      </c>
      <c r="ED124" s="33" t="n">
        <f aca="false">ED120+ED123+ED103+ED104+ED105+ED57</f>
        <v>4368.48649941078</v>
      </c>
      <c r="EE124" s="33" t="n">
        <f aca="false">EE120+EE123+EE103+EE104+EE105+EE57</f>
        <v>4351.38277200729</v>
      </c>
      <c r="EF124" s="33" t="n">
        <f aca="false">EF120+EF123+EF103+EF104+EF105+EF57</f>
        <v>4273.22067408704</v>
      </c>
      <c r="EG124" s="33" t="n">
        <f aca="false">EG120+EG123+EG103+EG104+EG105+EG57</f>
        <v>4320.70090379912</v>
      </c>
      <c r="EH124" s="33" t="n">
        <f aca="false">EH120+EH123+EH103+EH104+EH105+EH57</f>
        <v>4368.1811335112</v>
      </c>
      <c r="EI124" s="33" t="n">
        <f aca="false">EI120+EI123+EI103+EI104+EI105+EI57</f>
        <v>4350.97836550777</v>
      </c>
      <c r="EJ124" s="33" t="n">
        <f aca="false">EJ120+EJ123+EJ103+EJ104+EJ105+EJ57</f>
        <v>4272.14685327713</v>
      </c>
      <c r="EK124" s="33" t="n">
        <f aca="false">EK120+EK123+EK103+EK104+EK105+EK57</f>
        <v>4319.61515164688</v>
      </c>
      <c r="EL124" s="33" t="n">
        <f aca="false">EL120+EL123+EL103+EL104+EL105+EL57</f>
        <v>4367.08345001662</v>
      </c>
      <c r="EM124" s="33" t="n">
        <f aca="false">EM120+EM123+EM103+EM104+EM105+EM57</f>
        <v>4349.78151944861</v>
      </c>
      <c r="EN124" s="33" t="n">
        <f aca="false">EN120+EN123+EN103+EN104+EN105+EN57</f>
        <v>4317.72139253939</v>
      </c>
      <c r="EO124" s="33" t="n">
        <f aca="false">EO120+EO123+EO103+EO104+EO105+EO57</f>
        <v>4317.72139253939</v>
      </c>
      <c r="EP124" s="33" t="n">
        <f aca="false">EP120+EP123+EP103+EP104+EP105+EP57</f>
        <v>4365.16888036949</v>
      </c>
      <c r="EQ124" s="33" t="n">
        <f aca="false">EQ120+EQ123+EQ103+EQ104+EQ105+EQ57</f>
        <v>4347.76767650498</v>
      </c>
      <c r="ER124" s="33" t="n">
        <f aca="false">ER120+ER123+ER103+ER104+ER105+ER57</f>
        <v>4267.57717234905</v>
      </c>
      <c r="ES124" s="33" t="n">
        <f aca="false">ES120+ES123+ES103+ES104+ES105+ES57</f>
        <v>4314.99469648626</v>
      </c>
      <c r="ET124" s="33" t="n">
        <f aca="false">ET120+ET123+ET103+ET104+ET105+ET57</f>
        <v>4362.41222062347</v>
      </c>
    </row>
    <row r="125" customFormat="false" ht="15" hidden="false" customHeight="false" outlineLevel="0" collapsed="false">
      <c r="C125" s="0" t="s">
        <v>575</v>
      </c>
      <c r="D125" s="11" t="s">
        <v>253</v>
      </c>
      <c r="J125" s="22" t="n">
        <f aca="false">I128</f>
        <v>0</v>
      </c>
      <c r="K125" s="22" t="n">
        <f aca="false">J128</f>
        <v>0</v>
      </c>
      <c r="L125" s="22" t="n">
        <f aca="false">K128</f>
        <v>178.520547945205</v>
      </c>
      <c r="M125" s="22" t="n">
        <f aca="false">L128</f>
        <v>766.965068493151</v>
      </c>
      <c r="N125" s="22" t="n">
        <f aca="false">M128</f>
        <v>810.800684931507</v>
      </c>
      <c r="O125" s="22" t="n">
        <f aca="false">N128</f>
        <v>854.636301369863</v>
      </c>
      <c r="P125" s="22" t="n">
        <f aca="false">O128</f>
        <v>1038.99794520548</v>
      </c>
      <c r="Q125" s="22" t="n">
        <f aca="false">P128</f>
        <v>2329.03974000559</v>
      </c>
      <c r="R125" s="22" t="n">
        <f aca="false">Q128</f>
        <v>2333.64932904669</v>
      </c>
      <c r="S125" s="22" t="n">
        <f aca="false">R128</f>
        <v>2497.74083902712</v>
      </c>
      <c r="T125" s="22" t="n">
        <f aca="false">S128</f>
        <v>2814.96697772435</v>
      </c>
      <c r="U125" s="22" t="n">
        <f aca="false">T128</f>
        <v>3119.62451197093</v>
      </c>
      <c r="V125" s="22" t="n">
        <f aca="false">U128</f>
        <v>3119.62451197093</v>
      </c>
      <c r="W125" s="22" t="n">
        <f aca="false">V128</f>
        <v>3119.62451197093</v>
      </c>
      <c r="X125" s="22" t="n">
        <f aca="false">W128</f>
        <v>5074.63865062317</v>
      </c>
      <c r="Y125" s="22" t="n">
        <f aca="false">X128</f>
        <v>5334.80891409552</v>
      </c>
      <c r="Z125" s="22" t="n">
        <f aca="false">Y128</f>
        <v>5571.5693249929</v>
      </c>
      <c r="AA125" s="22" t="n">
        <f aca="false">Z128</f>
        <v>5784.04640684983</v>
      </c>
      <c r="AB125" s="22" t="n">
        <f aca="false">AA128</f>
        <v>5969.34295633999</v>
      </c>
      <c r="AC125" s="22" t="n">
        <f aca="false">AB128</f>
        <v>6125.91608905738</v>
      </c>
      <c r="AD125" s="22" t="n">
        <f aca="false">AC128</f>
        <v>6257.92828996918</v>
      </c>
      <c r="AE125" s="22" t="n">
        <f aca="false">AD128</f>
        <v>6364.50608260992</v>
      </c>
      <c r="AF125" s="22" t="n">
        <f aca="false">AE128</f>
        <v>5519.91393527344</v>
      </c>
      <c r="AG125" s="22" t="n">
        <f aca="false">AF128</f>
        <v>4646.15934283861</v>
      </c>
      <c r="AH125" s="22" t="n">
        <f aca="false">AG128</f>
        <v>3747.98772147452</v>
      </c>
      <c r="AI125" s="22" t="n">
        <f aca="false">AH128</f>
        <v>2802.11210278394</v>
      </c>
      <c r="AJ125" s="22" t="n">
        <f aca="false">AI128</f>
        <v>1845.89924779384</v>
      </c>
      <c r="AK125" s="22" t="n">
        <f aca="false">AJ128</f>
        <v>882.801834168731</v>
      </c>
      <c r="AL125" s="22" t="n">
        <f aca="false">AK128</f>
        <v>0</v>
      </c>
      <c r="AM125" s="22" t="n">
        <f aca="false">AL128</f>
        <v>0</v>
      </c>
      <c r="AN125" s="22" t="n">
        <f aca="false">AM128</f>
        <v>0</v>
      </c>
      <c r="AO125" s="22" t="n">
        <f aca="false">AN128</f>
        <v>0</v>
      </c>
      <c r="AP125" s="22" t="n">
        <f aca="false">AO128</f>
        <v>0</v>
      </c>
      <c r="AQ125" s="22" t="n">
        <f aca="false">AP128</f>
        <v>0</v>
      </c>
      <c r="AR125" s="22" t="n">
        <f aca="false">AQ128</f>
        <v>0</v>
      </c>
      <c r="AS125" s="22" t="n">
        <f aca="false">AR128</f>
        <v>0</v>
      </c>
      <c r="AT125" s="22" t="n">
        <f aca="false">AS128</f>
        <v>0</v>
      </c>
      <c r="AU125" s="22" t="n">
        <f aca="false">AT128</f>
        <v>0</v>
      </c>
      <c r="AV125" s="22" t="n">
        <f aca="false">AU128</f>
        <v>0</v>
      </c>
      <c r="AW125" s="22" t="n">
        <f aca="false">AV128</f>
        <v>0</v>
      </c>
      <c r="AX125" s="22" t="n">
        <f aca="false">AW128</f>
        <v>0</v>
      </c>
      <c r="AY125" s="22" t="n">
        <f aca="false">AX128</f>
        <v>0</v>
      </c>
      <c r="AZ125" s="22" t="n">
        <f aca="false">AY128</f>
        <v>0</v>
      </c>
      <c r="BA125" s="22" t="n">
        <f aca="false">AZ128</f>
        <v>0</v>
      </c>
      <c r="BB125" s="22" t="n">
        <f aca="false">BA128</f>
        <v>0</v>
      </c>
      <c r="BC125" s="22" t="n">
        <f aca="false">BB128</f>
        <v>0</v>
      </c>
      <c r="BD125" s="22" t="n">
        <f aca="false">BC128</f>
        <v>0</v>
      </c>
      <c r="BE125" s="22" t="n">
        <f aca="false">BD128</f>
        <v>0</v>
      </c>
      <c r="BF125" s="22" t="n">
        <f aca="false">BE128</f>
        <v>0</v>
      </c>
      <c r="BG125" s="22" t="n">
        <f aca="false">BF128</f>
        <v>0</v>
      </c>
      <c r="BH125" s="22" t="n">
        <f aca="false">BG128</f>
        <v>0</v>
      </c>
      <c r="BI125" s="22" t="n">
        <f aca="false">BH128</f>
        <v>0</v>
      </c>
      <c r="BJ125" s="22" t="n">
        <f aca="false">BI128</f>
        <v>0</v>
      </c>
      <c r="BK125" s="22" t="n">
        <f aca="false">BJ128</f>
        <v>0</v>
      </c>
      <c r="BL125" s="22" t="n">
        <f aca="false">BK128</f>
        <v>0</v>
      </c>
      <c r="BM125" s="22" t="n">
        <f aca="false">BL128</f>
        <v>0</v>
      </c>
      <c r="BN125" s="22" t="n">
        <f aca="false">BM128</f>
        <v>0</v>
      </c>
      <c r="BO125" s="22" t="n">
        <f aca="false">BN128</f>
        <v>0</v>
      </c>
      <c r="BP125" s="22" t="n">
        <f aca="false">BO128</f>
        <v>0</v>
      </c>
      <c r="BQ125" s="22" t="n">
        <f aca="false">BP128</f>
        <v>0</v>
      </c>
      <c r="BR125" s="22" t="n">
        <f aca="false">BQ128</f>
        <v>0</v>
      </c>
      <c r="BS125" s="22" t="n">
        <f aca="false">BR128</f>
        <v>0</v>
      </c>
      <c r="BT125" s="22" t="n">
        <f aca="false">BS128</f>
        <v>0</v>
      </c>
      <c r="BU125" s="22" t="n">
        <f aca="false">BT128</f>
        <v>0</v>
      </c>
      <c r="BV125" s="22" t="n">
        <f aca="false">BU128</f>
        <v>0</v>
      </c>
      <c r="BW125" s="22" t="n">
        <f aca="false">BV128</f>
        <v>0</v>
      </c>
      <c r="BX125" s="22" t="n">
        <f aca="false">BW128</f>
        <v>0</v>
      </c>
      <c r="BY125" s="22" t="n">
        <f aca="false">BX128</f>
        <v>0</v>
      </c>
      <c r="BZ125" s="22" t="n">
        <f aca="false">BY128</f>
        <v>0</v>
      </c>
      <c r="CA125" s="22" t="n">
        <f aca="false">BZ128</f>
        <v>0</v>
      </c>
      <c r="CB125" s="22" t="n">
        <f aca="false">CA128</f>
        <v>0</v>
      </c>
      <c r="CC125" s="22" t="n">
        <f aca="false">CB128</f>
        <v>0</v>
      </c>
      <c r="CD125" s="22" t="n">
        <f aca="false">CC128</f>
        <v>0</v>
      </c>
      <c r="CE125" s="22" t="n">
        <f aca="false">CD128</f>
        <v>0</v>
      </c>
      <c r="CF125" s="22" t="n">
        <f aca="false">CE128</f>
        <v>0</v>
      </c>
      <c r="CG125" s="22" t="n">
        <f aca="false">CF128</f>
        <v>0</v>
      </c>
      <c r="CH125" s="22" t="n">
        <f aca="false">CG128</f>
        <v>0</v>
      </c>
      <c r="CI125" s="22" t="n">
        <f aca="false">CH128</f>
        <v>0</v>
      </c>
      <c r="CJ125" s="22" t="n">
        <f aca="false">CI128</f>
        <v>0</v>
      </c>
      <c r="CK125" s="22" t="n">
        <f aca="false">CJ128</f>
        <v>0</v>
      </c>
      <c r="CL125" s="22" t="n">
        <f aca="false">CK128</f>
        <v>0</v>
      </c>
      <c r="CM125" s="22" t="n">
        <f aca="false">CL128</f>
        <v>0</v>
      </c>
      <c r="CN125" s="22" t="n">
        <f aca="false">CM128</f>
        <v>0</v>
      </c>
      <c r="CO125" s="22" t="n">
        <f aca="false">CN128</f>
        <v>0</v>
      </c>
      <c r="CP125" s="22" t="n">
        <f aca="false">CO128</f>
        <v>0</v>
      </c>
      <c r="CQ125" s="22" t="n">
        <f aca="false">CP128</f>
        <v>0</v>
      </c>
      <c r="CR125" s="22" t="n">
        <f aca="false">CQ128</f>
        <v>0</v>
      </c>
      <c r="CS125" s="22" t="n">
        <f aca="false">CR128</f>
        <v>0</v>
      </c>
      <c r="CT125" s="22" t="n">
        <f aca="false">CS128</f>
        <v>0</v>
      </c>
      <c r="CU125" s="22" t="n">
        <f aca="false">CT128</f>
        <v>0</v>
      </c>
      <c r="CV125" s="22" t="n">
        <f aca="false">CU128</f>
        <v>0</v>
      </c>
      <c r="CW125" s="22" t="n">
        <f aca="false">CV128</f>
        <v>0</v>
      </c>
      <c r="CX125" s="22" t="n">
        <f aca="false">CW128</f>
        <v>0</v>
      </c>
      <c r="CY125" s="22" t="n">
        <f aca="false">CX128</f>
        <v>0</v>
      </c>
      <c r="CZ125" s="22" t="n">
        <f aca="false">CY128</f>
        <v>0</v>
      </c>
      <c r="DA125" s="22" t="n">
        <f aca="false">CZ128</f>
        <v>0</v>
      </c>
      <c r="DB125" s="22" t="n">
        <f aca="false">DA128</f>
        <v>0</v>
      </c>
      <c r="DC125" s="22" t="n">
        <f aca="false">DB128</f>
        <v>0</v>
      </c>
      <c r="DD125" s="22" t="n">
        <f aca="false">DC128</f>
        <v>0</v>
      </c>
      <c r="DE125" s="22" t="n">
        <f aca="false">DD128</f>
        <v>0</v>
      </c>
      <c r="DF125" s="22" t="n">
        <f aca="false">DE128</f>
        <v>0</v>
      </c>
      <c r="DG125" s="22" t="n">
        <f aca="false">DF128</f>
        <v>0</v>
      </c>
      <c r="DH125" s="22" t="n">
        <f aca="false">DG128</f>
        <v>0</v>
      </c>
      <c r="DI125" s="22" t="n">
        <f aca="false">DH128</f>
        <v>0</v>
      </c>
      <c r="DJ125" s="22" t="n">
        <f aca="false">DI128</f>
        <v>0</v>
      </c>
      <c r="DK125" s="22" t="n">
        <f aca="false">DJ128</f>
        <v>0</v>
      </c>
      <c r="DL125" s="22" t="n">
        <f aca="false">DK128</f>
        <v>0</v>
      </c>
      <c r="DM125" s="22" t="n">
        <f aca="false">DL128</f>
        <v>0</v>
      </c>
      <c r="DN125" s="22" t="n">
        <f aca="false">DM128</f>
        <v>0</v>
      </c>
      <c r="DO125" s="22" t="n">
        <f aca="false">DN128</f>
        <v>0</v>
      </c>
      <c r="DP125" s="22" t="n">
        <f aca="false">DO128</f>
        <v>0</v>
      </c>
      <c r="DQ125" s="22" t="n">
        <f aca="false">DP128</f>
        <v>0</v>
      </c>
      <c r="DR125" s="22" t="n">
        <f aca="false">DQ128</f>
        <v>0</v>
      </c>
      <c r="DS125" s="22" t="n">
        <f aca="false">DR128</f>
        <v>0</v>
      </c>
      <c r="DT125" s="22" t="n">
        <f aca="false">DS128</f>
        <v>0</v>
      </c>
      <c r="DU125" s="22" t="n">
        <f aca="false">DT128</f>
        <v>0</v>
      </c>
      <c r="DV125" s="22" t="n">
        <f aca="false">DU128</f>
        <v>0</v>
      </c>
      <c r="DW125" s="22" t="n">
        <f aca="false">DV128</f>
        <v>0</v>
      </c>
      <c r="DX125" s="22" t="n">
        <f aca="false">DW128</f>
        <v>0</v>
      </c>
      <c r="DY125" s="22" t="n">
        <f aca="false">DX128</f>
        <v>0</v>
      </c>
      <c r="DZ125" s="22" t="n">
        <f aca="false">DY128</f>
        <v>0</v>
      </c>
      <c r="EA125" s="22" t="n">
        <f aca="false">DZ128</f>
        <v>0</v>
      </c>
      <c r="EB125" s="22" t="n">
        <f aca="false">EA128</f>
        <v>0</v>
      </c>
      <c r="EC125" s="22" t="n">
        <f aca="false">EB128</f>
        <v>0</v>
      </c>
      <c r="ED125" s="22" t="n">
        <f aca="false">EC128</f>
        <v>0</v>
      </c>
      <c r="EE125" s="22" t="n">
        <f aca="false">ED128</f>
        <v>0</v>
      </c>
      <c r="EF125" s="22" t="n">
        <f aca="false">EE128</f>
        <v>0</v>
      </c>
      <c r="EG125" s="22" t="n">
        <f aca="false">EF128</f>
        <v>0</v>
      </c>
      <c r="EH125" s="22" t="n">
        <f aca="false">EG128</f>
        <v>0</v>
      </c>
      <c r="EI125" s="22" t="n">
        <f aca="false">EH128</f>
        <v>0</v>
      </c>
      <c r="EJ125" s="22" t="n">
        <f aca="false">EI128</f>
        <v>0</v>
      </c>
      <c r="EK125" s="22" t="n">
        <f aca="false">EJ128</f>
        <v>0</v>
      </c>
      <c r="EL125" s="22" t="n">
        <f aca="false">EK128</f>
        <v>0</v>
      </c>
      <c r="EM125" s="22" t="n">
        <f aca="false">EL128</f>
        <v>0</v>
      </c>
      <c r="EN125" s="22" t="n">
        <f aca="false">EM128</f>
        <v>0</v>
      </c>
      <c r="EO125" s="22" t="n">
        <f aca="false">EN128</f>
        <v>0</v>
      </c>
      <c r="EP125" s="22" t="n">
        <f aca="false">EO128</f>
        <v>0</v>
      </c>
      <c r="EQ125" s="22" t="n">
        <f aca="false">EP128</f>
        <v>0</v>
      </c>
      <c r="ER125" s="22" t="n">
        <f aca="false">EQ128</f>
        <v>0</v>
      </c>
      <c r="ES125" s="22" t="n">
        <f aca="false">ER128</f>
        <v>0</v>
      </c>
      <c r="ET125" s="22" t="n">
        <f aca="false">ES128</f>
        <v>0</v>
      </c>
    </row>
    <row r="126" customFormat="false" ht="15" hidden="false" customHeight="false" outlineLevel="0" collapsed="false">
      <c r="C126" s="0" t="s">
        <v>576</v>
      </c>
      <c r="D126" s="11" t="s">
        <v>253</v>
      </c>
      <c r="I126" s="33" t="n">
        <f aca="false">SUM(J126:ET126)</f>
        <v>6364.50608260992</v>
      </c>
      <c r="J126" s="33" t="n">
        <f aca="false">MAX(0,-J124)</f>
        <v>-0</v>
      </c>
      <c r="K126" s="33" t="n">
        <f aca="false">MAX(0,-K124)</f>
        <v>178.520547945205</v>
      </c>
      <c r="L126" s="33" t="n">
        <f aca="false">MAX(0,-L124)</f>
        <v>588.444520547945</v>
      </c>
      <c r="M126" s="33" t="n">
        <f aca="false">MAX(0,-M124)</f>
        <v>43.8356164383562</v>
      </c>
      <c r="N126" s="33" t="n">
        <f aca="false">MAX(0,-N124)</f>
        <v>43.8356164383562</v>
      </c>
      <c r="O126" s="33" t="n">
        <f aca="false">MAX(0,-O124)</f>
        <v>184.361643835616</v>
      </c>
      <c r="P126" s="33" t="n">
        <f aca="false">MAX(0,-P124)</f>
        <v>1290.04179480011</v>
      </c>
      <c r="Q126" s="33" t="n">
        <f aca="false">MAX(0,-Q124)</f>
        <v>4.60958904109589</v>
      </c>
      <c r="R126" s="33" t="n">
        <f aca="false">MAX(0,-R124)</f>
        <v>164.091509980431</v>
      </c>
      <c r="S126" s="33" t="n">
        <f aca="false">MAX(0,-S124)</f>
        <v>317.226138697232</v>
      </c>
      <c r="T126" s="33" t="n">
        <f aca="false">MAX(0,-T124)</f>
        <v>304.657534246575</v>
      </c>
      <c r="U126" s="33" t="n">
        <f aca="false">MAX(0,-U124)</f>
        <v>-0</v>
      </c>
      <c r="V126" s="33" t="n">
        <f aca="false">MAX(0,-V124)</f>
        <v>-0</v>
      </c>
      <c r="W126" s="33" t="n">
        <f aca="false">MAX(0,-W124)</f>
        <v>1955.01413865224</v>
      </c>
      <c r="X126" s="33" t="n">
        <f aca="false">MAX(0,-X124)</f>
        <v>260.170263472354</v>
      </c>
      <c r="Y126" s="33" t="n">
        <f aca="false">MAX(0,-Y124)</f>
        <v>236.760410897378</v>
      </c>
      <c r="Z126" s="33" t="n">
        <f aca="false">MAX(0,-Z124)</f>
        <v>212.477081856929</v>
      </c>
      <c r="AA126" s="33" t="n">
        <f aca="false">MAX(0,-AA124)</f>
        <v>185.296549490162</v>
      </c>
      <c r="AB126" s="33" t="n">
        <f aca="false">MAX(0,-AB124)</f>
        <v>156.573132717387</v>
      </c>
      <c r="AC126" s="33" t="n">
        <f aca="false">MAX(0,-AC124)</f>
        <v>132.0122009118</v>
      </c>
      <c r="AD126" s="33" t="n">
        <f aca="false">MAX(0,-AD124)</f>
        <v>106.57779264074</v>
      </c>
      <c r="AE126" s="33" t="n">
        <f aca="false">MAX(0,-AE124)</f>
        <v>0</v>
      </c>
      <c r="AF126" s="33" t="n">
        <f aca="false">MAX(0,-AF124)</f>
        <v>0</v>
      </c>
      <c r="AG126" s="33" t="n">
        <f aca="false">MAX(0,-AG124)</f>
        <v>0</v>
      </c>
      <c r="AH126" s="33" t="n">
        <f aca="false">MAX(0,-AH124)</f>
        <v>0</v>
      </c>
      <c r="AI126" s="33" t="n">
        <f aca="false">MAX(0,-AI124)</f>
        <v>0</v>
      </c>
      <c r="AJ126" s="33" t="n">
        <f aca="false">MAX(0,-AJ124)</f>
        <v>0</v>
      </c>
      <c r="AK126" s="33" t="n">
        <f aca="false">MAX(0,-AK124)</f>
        <v>0</v>
      </c>
      <c r="AL126" s="33" t="n">
        <f aca="false">MAX(0,-AL124)</f>
        <v>0</v>
      </c>
      <c r="AM126" s="33" t="n">
        <f aca="false">MAX(0,-AM124)</f>
        <v>0</v>
      </c>
      <c r="AN126" s="33" t="n">
        <f aca="false">MAX(0,-AN124)</f>
        <v>0</v>
      </c>
      <c r="AO126" s="33" t="n">
        <f aca="false">MAX(0,-AO124)</f>
        <v>0</v>
      </c>
      <c r="AP126" s="33" t="n">
        <f aca="false">MAX(0,-AP124)</f>
        <v>0</v>
      </c>
      <c r="AQ126" s="33" t="n">
        <f aca="false">MAX(0,-AQ124)</f>
        <v>0</v>
      </c>
      <c r="AR126" s="33" t="n">
        <f aca="false">MAX(0,-AR124)</f>
        <v>0</v>
      </c>
      <c r="AS126" s="33" t="n">
        <f aca="false">MAX(0,-AS124)</f>
        <v>0</v>
      </c>
      <c r="AT126" s="33" t="n">
        <f aca="false">MAX(0,-AT124)</f>
        <v>0</v>
      </c>
      <c r="AU126" s="33" t="n">
        <f aca="false">MAX(0,-AU124)</f>
        <v>0</v>
      </c>
      <c r="AV126" s="33" t="n">
        <f aca="false">MAX(0,-AV124)</f>
        <v>0</v>
      </c>
      <c r="AW126" s="33" t="n">
        <f aca="false">MAX(0,-AW124)</f>
        <v>0</v>
      </c>
      <c r="AX126" s="33" t="n">
        <f aca="false">MAX(0,-AX124)</f>
        <v>0</v>
      </c>
      <c r="AY126" s="33" t="n">
        <f aca="false">MAX(0,-AY124)</f>
        <v>0</v>
      </c>
      <c r="AZ126" s="33" t="n">
        <f aca="false">MAX(0,-AZ124)</f>
        <v>0</v>
      </c>
      <c r="BA126" s="33" t="n">
        <f aca="false">MAX(0,-BA124)</f>
        <v>0</v>
      </c>
      <c r="BB126" s="33" t="n">
        <f aca="false">MAX(0,-BB124)</f>
        <v>0</v>
      </c>
      <c r="BC126" s="33" t="n">
        <f aca="false">MAX(0,-BC124)</f>
        <v>0</v>
      </c>
      <c r="BD126" s="33" t="n">
        <f aca="false">MAX(0,-BD124)</f>
        <v>0</v>
      </c>
      <c r="BE126" s="33" t="n">
        <f aca="false">MAX(0,-BE124)</f>
        <v>0</v>
      </c>
      <c r="BF126" s="33" t="n">
        <f aca="false">MAX(0,-BF124)</f>
        <v>0</v>
      </c>
      <c r="BG126" s="33" t="n">
        <f aca="false">MAX(0,-BG124)</f>
        <v>0</v>
      </c>
      <c r="BH126" s="33" t="n">
        <f aca="false">MAX(0,-BH124)</f>
        <v>0</v>
      </c>
      <c r="BI126" s="33" t="n">
        <f aca="false">MAX(0,-BI124)</f>
        <v>0</v>
      </c>
      <c r="BJ126" s="33" t="n">
        <f aca="false">MAX(0,-BJ124)</f>
        <v>0</v>
      </c>
      <c r="BK126" s="33" t="n">
        <f aca="false">MAX(0,-BK124)</f>
        <v>0</v>
      </c>
      <c r="BL126" s="33" t="n">
        <f aca="false">MAX(0,-BL124)</f>
        <v>0</v>
      </c>
      <c r="BM126" s="33" t="n">
        <f aca="false">MAX(0,-BM124)</f>
        <v>0</v>
      </c>
      <c r="BN126" s="33" t="n">
        <f aca="false">MAX(0,-BN124)</f>
        <v>0</v>
      </c>
      <c r="BO126" s="33" t="n">
        <f aca="false">MAX(0,-BO124)</f>
        <v>0</v>
      </c>
      <c r="BP126" s="33" t="n">
        <f aca="false">MAX(0,-BP124)</f>
        <v>0</v>
      </c>
      <c r="BQ126" s="33" t="n">
        <f aca="false">MAX(0,-BQ124)</f>
        <v>0</v>
      </c>
      <c r="BR126" s="33" t="n">
        <f aca="false">MAX(0,-BR124)</f>
        <v>0</v>
      </c>
      <c r="BS126" s="33" t="n">
        <f aca="false">MAX(0,-BS124)</f>
        <v>0</v>
      </c>
      <c r="BT126" s="33" t="n">
        <f aca="false">MAX(0,-BT124)</f>
        <v>0</v>
      </c>
      <c r="BU126" s="33" t="n">
        <f aca="false">MAX(0,-BU124)</f>
        <v>0</v>
      </c>
      <c r="BV126" s="33" t="n">
        <f aca="false">MAX(0,-BV124)</f>
        <v>0</v>
      </c>
      <c r="BW126" s="33" t="n">
        <f aca="false">MAX(0,-BW124)</f>
        <v>0</v>
      </c>
      <c r="BX126" s="33" t="n">
        <f aca="false">MAX(0,-BX124)</f>
        <v>0</v>
      </c>
      <c r="BY126" s="33" t="n">
        <f aca="false">MAX(0,-BY124)</f>
        <v>0</v>
      </c>
      <c r="BZ126" s="33" t="n">
        <f aca="false">MAX(0,-BZ124)</f>
        <v>0</v>
      </c>
      <c r="CA126" s="33" t="n">
        <f aca="false">MAX(0,-CA124)</f>
        <v>0</v>
      </c>
      <c r="CB126" s="33" t="n">
        <f aca="false">MAX(0,-CB124)</f>
        <v>0</v>
      </c>
      <c r="CC126" s="33" t="n">
        <f aca="false">MAX(0,-CC124)</f>
        <v>0</v>
      </c>
      <c r="CD126" s="33" t="n">
        <f aca="false">MAX(0,-CD124)</f>
        <v>0</v>
      </c>
      <c r="CE126" s="33" t="n">
        <f aca="false">MAX(0,-CE124)</f>
        <v>0</v>
      </c>
      <c r="CF126" s="33" t="n">
        <f aca="false">MAX(0,-CF124)</f>
        <v>0</v>
      </c>
      <c r="CG126" s="33" t="n">
        <f aca="false">MAX(0,-CG124)</f>
        <v>0</v>
      </c>
      <c r="CH126" s="33" t="n">
        <f aca="false">MAX(0,-CH124)</f>
        <v>0</v>
      </c>
      <c r="CI126" s="33" t="n">
        <f aca="false">MAX(0,-CI124)</f>
        <v>0</v>
      </c>
      <c r="CJ126" s="33" t="n">
        <f aca="false">MAX(0,-CJ124)</f>
        <v>0</v>
      </c>
      <c r="CK126" s="33" t="n">
        <f aca="false">MAX(0,-CK124)</f>
        <v>0</v>
      </c>
      <c r="CL126" s="33" t="n">
        <f aca="false">MAX(0,-CL124)</f>
        <v>0</v>
      </c>
      <c r="CM126" s="33" t="n">
        <f aca="false">MAX(0,-CM124)</f>
        <v>0</v>
      </c>
      <c r="CN126" s="33" t="n">
        <f aca="false">MAX(0,-CN124)</f>
        <v>0</v>
      </c>
      <c r="CO126" s="33" t="n">
        <f aca="false">MAX(0,-CO124)</f>
        <v>0</v>
      </c>
      <c r="CP126" s="33" t="n">
        <f aca="false">MAX(0,-CP124)</f>
        <v>0</v>
      </c>
      <c r="CQ126" s="33" t="n">
        <f aca="false">MAX(0,-CQ124)</f>
        <v>0</v>
      </c>
      <c r="CR126" s="33" t="n">
        <f aca="false">MAX(0,-CR124)</f>
        <v>0</v>
      </c>
      <c r="CS126" s="33" t="n">
        <f aca="false">MAX(0,-CS124)</f>
        <v>0</v>
      </c>
      <c r="CT126" s="33" t="n">
        <f aca="false">MAX(0,-CT124)</f>
        <v>0</v>
      </c>
      <c r="CU126" s="33" t="n">
        <f aca="false">MAX(0,-CU124)</f>
        <v>0</v>
      </c>
      <c r="CV126" s="33" t="n">
        <f aca="false">MAX(0,-CV124)</f>
        <v>0</v>
      </c>
      <c r="CW126" s="33" t="n">
        <f aca="false">MAX(0,-CW124)</f>
        <v>0</v>
      </c>
      <c r="CX126" s="33" t="n">
        <f aca="false">MAX(0,-CX124)</f>
        <v>0</v>
      </c>
      <c r="CY126" s="33" t="n">
        <f aca="false">MAX(0,-CY124)</f>
        <v>0</v>
      </c>
      <c r="CZ126" s="33" t="n">
        <f aca="false">MAX(0,-CZ124)</f>
        <v>0</v>
      </c>
      <c r="DA126" s="33" t="n">
        <f aca="false">MAX(0,-DA124)</f>
        <v>0</v>
      </c>
      <c r="DB126" s="33" t="n">
        <f aca="false">MAX(0,-DB124)</f>
        <v>0</v>
      </c>
      <c r="DC126" s="33" t="n">
        <f aca="false">MAX(0,-DC124)</f>
        <v>0</v>
      </c>
      <c r="DD126" s="33" t="n">
        <f aca="false">MAX(0,-DD124)</f>
        <v>0</v>
      </c>
      <c r="DE126" s="33" t="n">
        <f aca="false">MAX(0,-DE124)</f>
        <v>0</v>
      </c>
      <c r="DF126" s="33" t="n">
        <f aca="false">MAX(0,-DF124)</f>
        <v>0</v>
      </c>
      <c r="DG126" s="33" t="n">
        <f aca="false">MAX(0,-DG124)</f>
        <v>0</v>
      </c>
      <c r="DH126" s="33" t="n">
        <f aca="false">MAX(0,-DH124)</f>
        <v>0</v>
      </c>
      <c r="DI126" s="33" t="n">
        <f aca="false">MAX(0,-DI124)</f>
        <v>0</v>
      </c>
      <c r="DJ126" s="33" t="n">
        <f aca="false">MAX(0,-DJ124)</f>
        <v>0</v>
      </c>
      <c r="DK126" s="33" t="n">
        <f aca="false">MAX(0,-DK124)</f>
        <v>0</v>
      </c>
      <c r="DL126" s="33" t="n">
        <f aca="false">MAX(0,-DL124)</f>
        <v>0</v>
      </c>
      <c r="DM126" s="33" t="n">
        <f aca="false">MAX(0,-DM124)</f>
        <v>0</v>
      </c>
      <c r="DN126" s="33" t="n">
        <f aca="false">MAX(0,-DN124)</f>
        <v>0</v>
      </c>
      <c r="DO126" s="33" t="n">
        <f aca="false">MAX(0,-DO124)</f>
        <v>0</v>
      </c>
      <c r="DP126" s="33" t="n">
        <f aca="false">MAX(0,-DP124)</f>
        <v>0</v>
      </c>
      <c r="DQ126" s="33" t="n">
        <f aca="false">MAX(0,-DQ124)</f>
        <v>0</v>
      </c>
      <c r="DR126" s="33" t="n">
        <f aca="false">MAX(0,-DR124)</f>
        <v>0</v>
      </c>
      <c r="DS126" s="33" t="n">
        <f aca="false">MAX(0,-DS124)</f>
        <v>0</v>
      </c>
      <c r="DT126" s="33" t="n">
        <f aca="false">MAX(0,-DT124)</f>
        <v>0</v>
      </c>
      <c r="DU126" s="33" t="n">
        <f aca="false">MAX(0,-DU124)</f>
        <v>0</v>
      </c>
      <c r="DV126" s="33" t="n">
        <f aca="false">MAX(0,-DV124)</f>
        <v>0</v>
      </c>
      <c r="DW126" s="33" t="n">
        <f aca="false">MAX(0,-DW124)</f>
        <v>0</v>
      </c>
      <c r="DX126" s="33" t="n">
        <f aca="false">MAX(0,-DX124)</f>
        <v>0</v>
      </c>
      <c r="DY126" s="33" t="n">
        <f aca="false">MAX(0,-DY124)</f>
        <v>0</v>
      </c>
      <c r="DZ126" s="33" t="n">
        <f aca="false">MAX(0,-DZ124)</f>
        <v>0</v>
      </c>
      <c r="EA126" s="33" t="n">
        <f aca="false">MAX(0,-EA124)</f>
        <v>0</v>
      </c>
      <c r="EB126" s="33" t="n">
        <f aca="false">MAX(0,-EB124)</f>
        <v>0</v>
      </c>
      <c r="EC126" s="33" t="n">
        <f aca="false">MAX(0,-EC124)</f>
        <v>0</v>
      </c>
      <c r="ED126" s="33" t="n">
        <f aca="false">MAX(0,-ED124)</f>
        <v>0</v>
      </c>
      <c r="EE126" s="33" t="n">
        <f aca="false">MAX(0,-EE124)</f>
        <v>0</v>
      </c>
      <c r="EF126" s="33" t="n">
        <f aca="false">MAX(0,-EF124)</f>
        <v>0</v>
      </c>
      <c r="EG126" s="33" t="n">
        <f aca="false">MAX(0,-EG124)</f>
        <v>0</v>
      </c>
      <c r="EH126" s="33" t="n">
        <f aca="false">MAX(0,-EH124)</f>
        <v>0</v>
      </c>
      <c r="EI126" s="33" t="n">
        <f aca="false">MAX(0,-EI124)</f>
        <v>0</v>
      </c>
      <c r="EJ126" s="33" t="n">
        <f aca="false">MAX(0,-EJ124)</f>
        <v>0</v>
      </c>
      <c r="EK126" s="33" t="n">
        <f aca="false">MAX(0,-EK124)</f>
        <v>0</v>
      </c>
      <c r="EL126" s="33" t="n">
        <f aca="false">MAX(0,-EL124)</f>
        <v>0</v>
      </c>
      <c r="EM126" s="33" t="n">
        <f aca="false">MAX(0,-EM124)</f>
        <v>0</v>
      </c>
      <c r="EN126" s="33" t="n">
        <f aca="false">MAX(0,-EN124)</f>
        <v>0</v>
      </c>
      <c r="EO126" s="33" t="n">
        <f aca="false">MAX(0,-EO124)</f>
        <v>0</v>
      </c>
      <c r="EP126" s="33" t="n">
        <f aca="false">MAX(0,-EP124)</f>
        <v>0</v>
      </c>
      <c r="EQ126" s="33" t="n">
        <f aca="false">MAX(0,-EQ124)</f>
        <v>0</v>
      </c>
      <c r="ER126" s="33" t="n">
        <f aca="false">MAX(0,-ER124)</f>
        <v>0</v>
      </c>
      <c r="ES126" s="33" t="n">
        <f aca="false">MAX(0,-ES124)</f>
        <v>0</v>
      </c>
      <c r="ET126" s="33" t="n">
        <f aca="false">MAX(0,-ET124)</f>
        <v>0</v>
      </c>
    </row>
    <row r="127" customFormat="false" ht="15" hidden="false" customHeight="false" outlineLevel="0" collapsed="false">
      <c r="C127" s="0" t="s">
        <v>577</v>
      </c>
      <c r="D127" s="11" t="s">
        <v>253</v>
      </c>
      <c r="I127" s="33" t="n">
        <f aca="false">SUM(J127:ET127)</f>
        <v>-6364.50608260992</v>
      </c>
      <c r="J127" s="33" t="n">
        <f aca="false">-MIN(J125,MAX(0,J124))</f>
        <v>-0</v>
      </c>
      <c r="K127" s="33" t="n">
        <f aca="false">-MIN(K125,MAX(0,K124))</f>
        <v>-0</v>
      </c>
      <c r="L127" s="33" t="n">
        <f aca="false">-MIN(L125,MAX(0,L124))</f>
        <v>-0</v>
      </c>
      <c r="M127" s="33" t="n">
        <f aca="false">-MIN(M125,MAX(0,M124))</f>
        <v>-0</v>
      </c>
      <c r="N127" s="33" t="n">
        <f aca="false">-MIN(N125,MAX(0,N124))</f>
        <v>-0</v>
      </c>
      <c r="O127" s="33" t="n">
        <f aca="false">-MIN(O125,MAX(0,O124))</f>
        <v>-0</v>
      </c>
      <c r="P127" s="33" t="n">
        <f aca="false">-MIN(P125,MAX(0,P124))</f>
        <v>-0</v>
      </c>
      <c r="Q127" s="33" t="n">
        <f aca="false">-MIN(Q125,MAX(0,Q124))</f>
        <v>-0</v>
      </c>
      <c r="R127" s="33" t="n">
        <f aca="false">-MIN(R125,MAX(0,R124))</f>
        <v>-0</v>
      </c>
      <c r="S127" s="33" t="n">
        <f aca="false">-MIN(S125,MAX(0,S124))</f>
        <v>-0</v>
      </c>
      <c r="T127" s="33" t="n">
        <f aca="false">-MIN(T125,MAX(0,T124))</f>
        <v>-0</v>
      </c>
      <c r="U127" s="33" t="n">
        <f aca="false">-MIN(U125,MAX(0,U124))</f>
        <v>-0</v>
      </c>
      <c r="V127" s="33" t="n">
        <f aca="false">-MIN(V125,MAX(0,V124))</f>
        <v>-0</v>
      </c>
      <c r="W127" s="33" t="n">
        <f aca="false">-MIN(W125,MAX(0,W124))</f>
        <v>-0</v>
      </c>
      <c r="X127" s="33" t="n">
        <f aca="false">-MIN(X125,MAX(0,X124))</f>
        <v>-0</v>
      </c>
      <c r="Y127" s="33" t="n">
        <f aca="false">-MIN(Y125,MAX(0,Y124))</f>
        <v>-0</v>
      </c>
      <c r="Z127" s="33" t="n">
        <f aca="false">-MIN(Z125,MAX(0,Z124))</f>
        <v>-0</v>
      </c>
      <c r="AA127" s="33" t="n">
        <f aca="false">-MIN(AA125,MAX(0,AA124))</f>
        <v>-0</v>
      </c>
      <c r="AB127" s="33" t="n">
        <f aca="false">-MIN(AB125,MAX(0,AB124))</f>
        <v>-0</v>
      </c>
      <c r="AC127" s="33" t="n">
        <f aca="false">-MIN(AC125,MAX(0,AC124))</f>
        <v>-0</v>
      </c>
      <c r="AD127" s="33" t="n">
        <f aca="false">-MIN(AD125,MAX(0,AD124))</f>
        <v>-0</v>
      </c>
      <c r="AE127" s="33" t="n">
        <f aca="false">-MIN(AE125,MAX(0,AE124))</f>
        <v>-844.592147336478</v>
      </c>
      <c r="AF127" s="33" t="n">
        <f aca="false">-MIN(AF125,MAX(0,AF124))</f>
        <v>-873.754592434829</v>
      </c>
      <c r="AG127" s="33" t="n">
        <f aca="false">-MIN(AG125,MAX(0,AG124))</f>
        <v>-898.171621364089</v>
      </c>
      <c r="AH127" s="33" t="n">
        <f aca="false">-MIN(AH125,MAX(0,AH124))</f>
        <v>-945.875618690579</v>
      </c>
      <c r="AI127" s="33" t="n">
        <f aca="false">-MIN(AI125,MAX(0,AI124))</f>
        <v>-956.212854990103</v>
      </c>
      <c r="AJ127" s="33" t="n">
        <f aca="false">-MIN(AJ125,MAX(0,AJ124))</f>
        <v>-963.097413625111</v>
      </c>
      <c r="AK127" s="33" t="n">
        <f aca="false">-MIN(AK125,MAX(0,AK124))</f>
        <v>-882.801834168731</v>
      </c>
      <c r="AL127" s="33" t="n">
        <f aca="false">-MIN(AL125,MAX(0,AL124))</f>
        <v>-0</v>
      </c>
      <c r="AM127" s="33" t="n">
        <f aca="false">-MIN(AM125,MAX(0,AM124))</f>
        <v>-0</v>
      </c>
      <c r="AN127" s="33" t="n">
        <f aca="false">-MIN(AN125,MAX(0,AN124))</f>
        <v>-0</v>
      </c>
      <c r="AO127" s="33" t="n">
        <f aca="false">-MIN(AO125,MAX(0,AO124))</f>
        <v>-0</v>
      </c>
      <c r="AP127" s="33" t="n">
        <f aca="false">-MIN(AP125,MAX(0,AP124))</f>
        <v>-0</v>
      </c>
      <c r="AQ127" s="33" t="n">
        <f aca="false">-MIN(AQ125,MAX(0,AQ124))</f>
        <v>-0</v>
      </c>
      <c r="AR127" s="33" t="n">
        <f aca="false">-MIN(AR125,MAX(0,AR124))</f>
        <v>-0</v>
      </c>
      <c r="AS127" s="33" t="n">
        <f aca="false">-MIN(AS125,MAX(0,AS124))</f>
        <v>-0</v>
      </c>
      <c r="AT127" s="33" t="n">
        <f aca="false">-MIN(AT125,MAX(0,AT124))</f>
        <v>-0</v>
      </c>
      <c r="AU127" s="33" t="n">
        <f aca="false">-MIN(AU125,MAX(0,AU124))</f>
        <v>-0</v>
      </c>
      <c r="AV127" s="33" t="n">
        <f aca="false">-MIN(AV125,MAX(0,AV124))</f>
        <v>-0</v>
      </c>
      <c r="AW127" s="33" t="n">
        <f aca="false">-MIN(AW125,MAX(0,AW124))</f>
        <v>-0</v>
      </c>
      <c r="AX127" s="33" t="n">
        <f aca="false">-MIN(AX125,MAX(0,AX124))</f>
        <v>-0</v>
      </c>
      <c r="AY127" s="33" t="n">
        <f aca="false">-MIN(AY125,MAX(0,AY124))</f>
        <v>-0</v>
      </c>
      <c r="AZ127" s="33" t="n">
        <f aca="false">-MIN(AZ125,MAX(0,AZ124))</f>
        <v>-0</v>
      </c>
      <c r="BA127" s="33" t="n">
        <f aca="false">-MIN(BA125,MAX(0,BA124))</f>
        <v>-0</v>
      </c>
      <c r="BB127" s="33" t="n">
        <f aca="false">-MIN(BB125,MAX(0,BB124))</f>
        <v>-0</v>
      </c>
      <c r="BC127" s="33" t="n">
        <f aca="false">-MIN(BC125,MAX(0,BC124))</f>
        <v>-0</v>
      </c>
      <c r="BD127" s="33" t="n">
        <f aca="false">-MIN(BD125,MAX(0,BD124))</f>
        <v>-0</v>
      </c>
      <c r="BE127" s="33" t="n">
        <f aca="false">-MIN(BE125,MAX(0,BE124))</f>
        <v>-0</v>
      </c>
      <c r="BF127" s="33" t="n">
        <f aca="false">-MIN(BF125,MAX(0,BF124))</f>
        <v>-0</v>
      </c>
      <c r="BG127" s="33" t="n">
        <f aca="false">-MIN(BG125,MAX(0,BG124))</f>
        <v>-0</v>
      </c>
      <c r="BH127" s="33" t="n">
        <f aca="false">-MIN(BH125,MAX(0,BH124))</f>
        <v>-0</v>
      </c>
      <c r="BI127" s="33" t="n">
        <f aca="false">-MIN(BI125,MAX(0,BI124))</f>
        <v>-0</v>
      </c>
      <c r="BJ127" s="33" t="n">
        <f aca="false">-MIN(BJ125,MAX(0,BJ124))</f>
        <v>-0</v>
      </c>
      <c r="BK127" s="33" t="n">
        <f aca="false">-MIN(BK125,MAX(0,BK124))</f>
        <v>-0</v>
      </c>
      <c r="BL127" s="33" t="n">
        <f aca="false">-MIN(BL125,MAX(0,BL124))</f>
        <v>-0</v>
      </c>
      <c r="BM127" s="33" t="n">
        <f aca="false">-MIN(BM125,MAX(0,BM124))</f>
        <v>-0</v>
      </c>
      <c r="BN127" s="33" t="n">
        <f aca="false">-MIN(BN125,MAX(0,BN124))</f>
        <v>-0</v>
      </c>
      <c r="BO127" s="33" t="n">
        <f aca="false">-MIN(BO125,MAX(0,BO124))</f>
        <v>-0</v>
      </c>
      <c r="BP127" s="33" t="n">
        <f aca="false">-MIN(BP125,MAX(0,BP124))</f>
        <v>-0</v>
      </c>
      <c r="BQ127" s="33" t="n">
        <f aca="false">-MIN(BQ125,MAX(0,BQ124))</f>
        <v>-0</v>
      </c>
      <c r="BR127" s="33" t="n">
        <f aca="false">-MIN(BR125,MAX(0,BR124))</f>
        <v>-0</v>
      </c>
      <c r="BS127" s="33" t="n">
        <f aca="false">-MIN(BS125,MAX(0,BS124))</f>
        <v>-0</v>
      </c>
      <c r="BT127" s="33" t="n">
        <f aca="false">-MIN(BT125,MAX(0,BT124))</f>
        <v>-0</v>
      </c>
      <c r="BU127" s="33" t="n">
        <f aca="false">-MIN(BU125,MAX(0,BU124))</f>
        <v>-0</v>
      </c>
      <c r="BV127" s="33" t="n">
        <f aca="false">-MIN(BV125,MAX(0,BV124))</f>
        <v>-0</v>
      </c>
      <c r="BW127" s="33" t="n">
        <f aca="false">-MIN(BW125,MAX(0,BW124))</f>
        <v>-0</v>
      </c>
      <c r="BX127" s="33" t="n">
        <f aca="false">-MIN(BX125,MAX(0,BX124))</f>
        <v>-0</v>
      </c>
      <c r="BY127" s="33" t="n">
        <f aca="false">-MIN(BY125,MAX(0,BY124))</f>
        <v>-0</v>
      </c>
      <c r="BZ127" s="33" t="n">
        <f aca="false">-MIN(BZ125,MAX(0,BZ124))</f>
        <v>-0</v>
      </c>
      <c r="CA127" s="33" t="n">
        <f aca="false">-MIN(CA125,MAX(0,CA124))</f>
        <v>-0</v>
      </c>
      <c r="CB127" s="33" t="n">
        <f aca="false">-MIN(CB125,MAX(0,CB124))</f>
        <v>-0</v>
      </c>
      <c r="CC127" s="33" t="n">
        <f aca="false">-MIN(CC125,MAX(0,CC124))</f>
        <v>-0</v>
      </c>
      <c r="CD127" s="33" t="n">
        <f aca="false">-MIN(CD125,MAX(0,CD124))</f>
        <v>-0</v>
      </c>
      <c r="CE127" s="33" t="n">
        <f aca="false">-MIN(CE125,MAX(0,CE124))</f>
        <v>-0</v>
      </c>
      <c r="CF127" s="33" t="n">
        <f aca="false">-MIN(CF125,MAX(0,CF124))</f>
        <v>-0</v>
      </c>
      <c r="CG127" s="33" t="n">
        <f aca="false">-MIN(CG125,MAX(0,CG124))</f>
        <v>-0</v>
      </c>
      <c r="CH127" s="33" t="n">
        <f aca="false">-MIN(CH125,MAX(0,CH124))</f>
        <v>-0</v>
      </c>
      <c r="CI127" s="33" t="n">
        <f aca="false">-MIN(CI125,MAX(0,CI124))</f>
        <v>-0</v>
      </c>
      <c r="CJ127" s="33" t="n">
        <f aca="false">-MIN(CJ125,MAX(0,CJ124))</f>
        <v>-0</v>
      </c>
      <c r="CK127" s="33" t="n">
        <f aca="false">-MIN(CK125,MAX(0,CK124))</f>
        <v>-0</v>
      </c>
      <c r="CL127" s="33" t="n">
        <f aca="false">-MIN(CL125,MAX(0,CL124))</f>
        <v>-0</v>
      </c>
      <c r="CM127" s="33" t="n">
        <f aca="false">-MIN(CM125,MAX(0,CM124))</f>
        <v>-0</v>
      </c>
      <c r="CN127" s="33" t="n">
        <f aca="false">-MIN(CN125,MAX(0,CN124))</f>
        <v>-0</v>
      </c>
      <c r="CO127" s="33" t="n">
        <f aca="false">-MIN(CO125,MAX(0,CO124))</f>
        <v>-0</v>
      </c>
      <c r="CP127" s="33" t="n">
        <f aca="false">-MIN(CP125,MAX(0,CP124))</f>
        <v>-0</v>
      </c>
      <c r="CQ127" s="33" t="n">
        <f aca="false">-MIN(CQ125,MAX(0,CQ124))</f>
        <v>-0</v>
      </c>
      <c r="CR127" s="33" t="n">
        <f aca="false">-MIN(CR125,MAX(0,CR124))</f>
        <v>-0</v>
      </c>
      <c r="CS127" s="33" t="n">
        <f aca="false">-MIN(CS125,MAX(0,CS124))</f>
        <v>-0</v>
      </c>
      <c r="CT127" s="33" t="n">
        <f aca="false">-MIN(CT125,MAX(0,CT124))</f>
        <v>-0</v>
      </c>
      <c r="CU127" s="33" t="n">
        <f aca="false">-MIN(CU125,MAX(0,CU124))</f>
        <v>-0</v>
      </c>
      <c r="CV127" s="33" t="n">
        <f aca="false">-MIN(CV125,MAX(0,CV124))</f>
        <v>-0</v>
      </c>
      <c r="CW127" s="33" t="n">
        <f aca="false">-MIN(CW125,MAX(0,CW124))</f>
        <v>-0</v>
      </c>
      <c r="CX127" s="33" t="n">
        <f aca="false">-MIN(CX125,MAX(0,CX124))</f>
        <v>-0</v>
      </c>
      <c r="CY127" s="33" t="n">
        <f aca="false">-MIN(CY125,MAX(0,CY124))</f>
        <v>-0</v>
      </c>
      <c r="CZ127" s="33" t="n">
        <f aca="false">-MIN(CZ125,MAX(0,CZ124))</f>
        <v>-0</v>
      </c>
      <c r="DA127" s="33" t="n">
        <f aca="false">-MIN(DA125,MAX(0,DA124))</f>
        <v>-0</v>
      </c>
      <c r="DB127" s="33" t="n">
        <f aca="false">-MIN(DB125,MAX(0,DB124))</f>
        <v>-0</v>
      </c>
      <c r="DC127" s="33" t="n">
        <f aca="false">-MIN(DC125,MAX(0,DC124))</f>
        <v>-0</v>
      </c>
      <c r="DD127" s="33" t="n">
        <f aca="false">-MIN(DD125,MAX(0,DD124))</f>
        <v>-0</v>
      </c>
      <c r="DE127" s="33" t="n">
        <f aca="false">-MIN(DE125,MAX(0,DE124))</f>
        <v>-0</v>
      </c>
      <c r="DF127" s="33" t="n">
        <f aca="false">-MIN(DF125,MAX(0,DF124))</f>
        <v>-0</v>
      </c>
      <c r="DG127" s="33" t="n">
        <f aca="false">-MIN(DG125,MAX(0,DG124))</f>
        <v>-0</v>
      </c>
      <c r="DH127" s="33" t="n">
        <f aca="false">-MIN(DH125,MAX(0,DH124))</f>
        <v>-0</v>
      </c>
      <c r="DI127" s="33" t="n">
        <f aca="false">-MIN(DI125,MAX(0,DI124))</f>
        <v>-0</v>
      </c>
      <c r="DJ127" s="33" t="n">
        <f aca="false">-MIN(DJ125,MAX(0,DJ124))</f>
        <v>-0</v>
      </c>
      <c r="DK127" s="33" t="n">
        <f aca="false">-MIN(DK125,MAX(0,DK124))</f>
        <v>-0</v>
      </c>
      <c r="DL127" s="33" t="n">
        <f aca="false">-MIN(DL125,MAX(0,DL124))</f>
        <v>-0</v>
      </c>
      <c r="DM127" s="33" t="n">
        <f aca="false">-MIN(DM125,MAX(0,DM124))</f>
        <v>-0</v>
      </c>
      <c r="DN127" s="33" t="n">
        <f aca="false">-MIN(DN125,MAX(0,DN124))</f>
        <v>-0</v>
      </c>
      <c r="DO127" s="33" t="n">
        <f aca="false">-MIN(DO125,MAX(0,DO124))</f>
        <v>-0</v>
      </c>
      <c r="DP127" s="33" t="n">
        <f aca="false">-MIN(DP125,MAX(0,DP124))</f>
        <v>-0</v>
      </c>
      <c r="DQ127" s="33" t="n">
        <f aca="false">-MIN(DQ125,MAX(0,DQ124))</f>
        <v>-0</v>
      </c>
      <c r="DR127" s="33" t="n">
        <f aca="false">-MIN(DR125,MAX(0,DR124))</f>
        <v>-0</v>
      </c>
      <c r="DS127" s="33" t="n">
        <f aca="false">-MIN(DS125,MAX(0,DS124))</f>
        <v>-0</v>
      </c>
      <c r="DT127" s="33" t="n">
        <f aca="false">-MIN(DT125,MAX(0,DT124))</f>
        <v>-0</v>
      </c>
      <c r="DU127" s="33" t="n">
        <f aca="false">-MIN(DU125,MAX(0,DU124))</f>
        <v>-0</v>
      </c>
      <c r="DV127" s="33" t="n">
        <f aca="false">-MIN(DV125,MAX(0,DV124))</f>
        <v>-0</v>
      </c>
      <c r="DW127" s="33" t="n">
        <f aca="false">-MIN(DW125,MAX(0,DW124))</f>
        <v>-0</v>
      </c>
      <c r="DX127" s="33" t="n">
        <f aca="false">-MIN(DX125,MAX(0,DX124))</f>
        <v>-0</v>
      </c>
      <c r="DY127" s="33" t="n">
        <f aca="false">-MIN(DY125,MAX(0,DY124))</f>
        <v>-0</v>
      </c>
      <c r="DZ127" s="33" t="n">
        <f aca="false">-MIN(DZ125,MAX(0,DZ124))</f>
        <v>-0</v>
      </c>
      <c r="EA127" s="33" t="n">
        <f aca="false">-MIN(EA125,MAX(0,EA124))</f>
        <v>-0</v>
      </c>
      <c r="EB127" s="33" t="n">
        <f aca="false">-MIN(EB125,MAX(0,EB124))</f>
        <v>-0</v>
      </c>
      <c r="EC127" s="33" t="n">
        <f aca="false">-MIN(EC125,MAX(0,EC124))</f>
        <v>-0</v>
      </c>
      <c r="ED127" s="33" t="n">
        <f aca="false">-MIN(ED125,MAX(0,ED124))</f>
        <v>-0</v>
      </c>
      <c r="EE127" s="33" t="n">
        <f aca="false">-MIN(EE125,MAX(0,EE124))</f>
        <v>-0</v>
      </c>
      <c r="EF127" s="33" t="n">
        <f aca="false">-MIN(EF125,MAX(0,EF124))</f>
        <v>-0</v>
      </c>
      <c r="EG127" s="33" t="n">
        <f aca="false">-MIN(EG125,MAX(0,EG124))</f>
        <v>-0</v>
      </c>
      <c r="EH127" s="33" t="n">
        <f aca="false">-MIN(EH125,MAX(0,EH124))</f>
        <v>-0</v>
      </c>
      <c r="EI127" s="33" t="n">
        <f aca="false">-MIN(EI125,MAX(0,EI124))</f>
        <v>-0</v>
      </c>
      <c r="EJ127" s="33" t="n">
        <f aca="false">-MIN(EJ125,MAX(0,EJ124))</f>
        <v>-0</v>
      </c>
      <c r="EK127" s="33" t="n">
        <f aca="false">-MIN(EK125,MAX(0,EK124))</f>
        <v>-0</v>
      </c>
      <c r="EL127" s="33" t="n">
        <f aca="false">-MIN(EL125,MAX(0,EL124))</f>
        <v>-0</v>
      </c>
      <c r="EM127" s="33" t="n">
        <f aca="false">-MIN(EM125,MAX(0,EM124))</f>
        <v>-0</v>
      </c>
      <c r="EN127" s="33" t="n">
        <f aca="false">-MIN(EN125,MAX(0,EN124))</f>
        <v>-0</v>
      </c>
      <c r="EO127" s="33" t="n">
        <f aca="false">-MIN(EO125,MAX(0,EO124))</f>
        <v>-0</v>
      </c>
      <c r="EP127" s="33" t="n">
        <f aca="false">-MIN(EP125,MAX(0,EP124))</f>
        <v>-0</v>
      </c>
      <c r="EQ127" s="33" t="n">
        <f aca="false">-MIN(EQ125,MAX(0,EQ124))</f>
        <v>-0</v>
      </c>
      <c r="ER127" s="33" t="n">
        <f aca="false">-MIN(ER125,MAX(0,ER124))</f>
        <v>-0</v>
      </c>
      <c r="ES127" s="33" t="n">
        <f aca="false">-MIN(ES125,MAX(0,ES124))</f>
        <v>-0</v>
      </c>
      <c r="ET127" s="33" t="n">
        <f aca="false">-MIN(ET125,MAX(0,ET124))</f>
        <v>-0</v>
      </c>
    </row>
    <row r="128" customFormat="false" ht="15" hidden="false" customHeight="false" outlineLevel="0" collapsed="false">
      <c r="C128" s="0" t="s">
        <v>578</v>
      </c>
      <c r="D128" s="11" t="s">
        <v>253</v>
      </c>
      <c r="I128" s="54"/>
      <c r="J128" s="33" t="n">
        <f aca="false">SUM(J125:J127)</f>
        <v>0</v>
      </c>
      <c r="K128" s="33" t="n">
        <f aca="false">SUM(K125:K127)</f>
        <v>178.520547945205</v>
      </c>
      <c r="L128" s="33" t="n">
        <f aca="false">SUM(L125:L127)</f>
        <v>766.965068493151</v>
      </c>
      <c r="M128" s="33" t="n">
        <f aca="false">SUM(M125:M127)</f>
        <v>810.800684931507</v>
      </c>
      <c r="N128" s="33" t="n">
        <f aca="false">SUM(N125:N127)</f>
        <v>854.636301369863</v>
      </c>
      <c r="O128" s="33" t="n">
        <f aca="false">SUM(O125:O127)</f>
        <v>1038.99794520548</v>
      </c>
      <c r="P128" s="33" t="n">
        <f aca="false">SUM(P125:P127)</f>
        <v>2329.03974000559</v>
      </c>
      <c r="Q128" s="33" t="n">
        <f aca="false">SUM(Q125:Q127)</f>
        <v>2333.64932904669</v>
      </c>
      <c r="R128" s="33" t="n">
        <f aca="false">SUM(R125:R127)</f>
        <v>2497.74083902712</v>
      </c>
      <c r="S128" s="33" t="n">
        <f aca="false">SUM(S125:S127)</f>
        <v>2814.96697772435</v>
      </c>
      <c r="T128" s="33" t="n">
        <f aca="false">SUM(T125:T127)</f>
        <v>3119.62451197093</v>
      </c>
      <c r="U128" s="33" t="n">
        <f aca="false">SUM(U125:U127)</f>
        <v>3119.62451197093</v>
      </c>
      <c r="V128" s="33" t="n">
        <f aca="false">SUM(V125:V127)</f>
        <v>3119.62451197093</v>
      </c>
      <c r="W128" s="33" t="n">
        <f aca="false">SUM(W125:W127)</f>
        <v>5074.63865062317</v>
      </c>
      <c r="X128" s="33" t="n">
        <f aca="false">SUM(X125:X127)</f>
        <v>5334.80891409552</v>
      </c>
      <c r="Y128" s="33" t="n">
        <f aca="false">SUM(Y125:Y127)</f>
        <v>5571.5693249929</v>
      </c>
      <c r="Z128" s="33" t="n">
        <f aca="false">SUM(Z125:Z127)</f>
        <v>5784.04640684983</v>
      </c>
      <c r="AA128" s="33" t="n">
        <f aca="false">SUM(AA125:AA127)</f>
        <v>5969.34295633999</v>
      </c>
      <c r="AB128" s="33" t="n">
        <f aca="false">SUM(AB125:AB127)</f>
        <v>6125.91608905738</v>
      </c>
      <c r="AC128" s="33" t="n">
        <f aca="false">SUM(AC125:AC127)</f>
        <v>6257.92828996918</v>
      </c>
      <c r="AD128" s="33" t="n">
        <f aca="false">SUM(AD125:AD127)</f>
        <v>6364.50608260992</v>
      </c>
      <c r="AE128" s="33" t="n">
        <f aca="false">SUM(AE125:AE127)</f>
        <v>5519.91393527344</v>
      </c>
      <c r="AF128" s="33" t="n">
        <f aca="false">SUM(AF125:AF127)</f>
        <v>4646.15934283861</v>
      </c>
      <c r="AG128" s="33" t="n">
        <f aca="false">SUM(AG125:AG127)</f>
        <v>3747.98772147452</v>
      </c>
      <c r="AH128" s="33" t="n">
        <f aca="false">SUM(AH125:AH127)</f>
        <v>2802.11210278394</v>
      </c>
      <c r="AI128" s="33" t="n">
        <f aca="false">SUM(AI125:AI127)</f>
        <v>1845.89924779384</v>
      </c>
      <c r="AJ128" s="33" t="n">
        <f aca="false">SUM(AJ125:AJ127)</f>
        <v>882.801834168731</v>
      </c>
      <c r="AK128" s="33" t="n">
        <f aca="false">SUM(AK125:AK127)</f>
        <v>0</v>
      </c>
      <c r="AL128" s="33" t="n">
        <f aca="false">SUM(AL125:AL127)</f>
        <v>0</v>
      </c>
      <c r="AM128" s="33" t="n">
        <f aca="false">SUM(AM125:AM127)</f>
        <v>0</v>
      </c>
      <c r="AN128" s="33" t="n">
        <f aca="false">SUM(AN125:AN127)</f>
        <v>0</v>
      </c>
      <c r="AO128" s="33" t="n">
        <f aca="false">SUM(AO125:AO127)</f>
        <v>0</v>
      </c>
      <c r="AP128" s="33" t="n">
        <f aca="false">SUM(AP125:AP127)</f>
        <v>0</v>
      </c>
      <c r="AQ128" s="33" t="n">
        <f aca="false">SUM(AQ125:AQ127)</f>
        <v>0</v>
      </c>
      <c r="AR128" s="33" t="n">
        <f aca="false">SUM(AR125:AR127)</f>
        <v>0</v>
      </c>
      <c r="AS128" s="33" t="n">
        <f aca="false">SUM(AS125:AS127)</f>
        <v>0</v>
      </c>
      <c r="AT128" s="33" t="n">
        <f aca="false">SUM(AT125:AT127)</f>
        <v>0</v>
      </c>
      <c r="AU128" s="33" t="n">
        <f aca="false">SUM(AU125:AU127)</f>
        <v>0</v>
      </c>
      <c r="AV128" s="33" t="n">
        <f aca="false">SUM(AV125:AV127)</f>
        <v>0</v>
      </c>
      <c r="AW128" s="33" t="n">
        <f aca="false">SUM(AW125:AW127)</f>
        <v>0</v>
      </c>
      <c r="AX128" s="33" t="n">
        <f aca="false">SUM(AX125:AX127)</f>
        <v>0</v>
      </c>
      <c r="AY128" s="33" t="n">
        <f aca="false">SUM(AY125:AY127)</f>
        <v>0</v>
      </c>
      <c r="AZ128" s="33" t="n">
        <f aca="false">SUM(AZ125:AZ127)</f>
        <v>0</v>
      </c>
      <c r="BA128" s="33" t="n">
        <f aca="false">SUM(BA125:BA127)</f>
        <v>0</v>
      </c>
      <c r="BB128" s="33" t="n">
        <f aca="false">SUM(BB125:BB127)</f>
        <v>0</v>
      </c>
      <c r="BC128" s="33" t="n">
        <f aca="false">SUM(BC125:BC127)</f>
        <v>0</v>
      </c>
      <c r="BD128" s="33" t="n">
        <f aca="false">SUM(BD125:BD127)</f>
        <v>0</v>
      </c>
      <c r="BE128" s="33" t="n">
        <f aca="false">SUM(BE125:BE127)</f>
        <v>0</v>
      </c>
      <c r="BF128" s="33" t="n">
        <f aca="false">SUM(BF125:BF127)</f>
        <v>0</v>
      </c>
      <c r="BG128" s="33" t="n">
        <f aca="false">SUM(BG125:BG127)</f>
        <v>0</v>
      </c>
      <c r="BH128" s="33" t="n">
        <f aca="false">SUM(BH125:BH127)</f>
        <v>0</v>
      </c>
      <c r="BI128" s="33" t="n">
        <f aca="false">SUM(BI125:BI127)</f>
        <v>0</v>
      </c>
      <c r="BJ128" s="33" t="n">
        <f aca="false">SUM(BJ125:BJ127)</f>
        <v>0</v>
      </c>
      <c r="BK128" s="33" t="n">
        <f aca="false">SUM(BK125:BK127)</f>
        <v>0</v>
      </c>
      <c r="BL128" s="33" t="n">
        <f aca="false">SUM(BL125:BL127)</f>
        <v>0</v>
      </c>
      <c r="BM128" s="33" t="n">
        <f aca="false">SUM(BM125:BM127)</f>
        <v>0</v>
      </c>
      <c r="BN128" s="33" t="n">
        <f aca="false">SUM(BN125:BN127)</f>
        <v>0</v>
      </c>
      <c r="BO128" s="33" t="n">
        <f aca="false">SUM(BO125:BO127)</f>
        <v>0</v>
      </c>
      <c r="BP128" s="33" t="n">
        <f aca="false">SUM(BP125:BP127)</f>
        <v>0</v>
      </c>
      <c r="BQ128" s="33" t="n">
        <f aca="false">SUM(BQ125:BQ127)</f>
        <v>0</v>
      </c>
      <c r="BR128" s="33" t="n">
        <f aca="false">SUM(BR125:BR127)</f>
        <v>0</v>
      </c>
      <c r="BS128" s="33" t="n">
        <f aca="false">SUM(BS125:BS127)</f>
        <v>0</v>
      </c>
      <c r="BT128" s="33" t="n">
        <f aca="false">SUM(BT125:BT127)</f>
        <v>0</v>
      </c>
      <c r="BU128" s="33" t="n">
        <f aca="false">SUM(BU125:BU127)</f>
        <v>0</v>
      </c>
      <c r="BV128" s="33" t="n">
        <f aca="false">SUM(BV125:BV127)</f>
        <v>0</v>
      </c>
      <c r="BW128" s="33" t="n">
        <f aca="false">SUM(BW125:BW127)</f>
        <v>0</v>
      </c>
      <c r="BX128" s="33" t="n">
        <f aca="false">SUM(BX125:BX127)</f>
        <v>0</v>
      </c>
      <c r="BY128" s="33" t="n">
        <f aca="false">SUM(BY125:BY127)</f>
        <v>0</v>
      </c>
      <c r="BZ128" s="33" t="n">
        <f aca="false">SUM(BZ125:BZ127)</f>
        <v>0</v>
      </c>
      <c r="CA128" s="33" t="n">
        <f aca="false">SUM(CA125:CA127)</f>
        <v>0</v>
      </c>
      <c r="CB128" s="33" t="n">
        <f aca="false">SUM(CB125:CB127)</f>
        <v>0</v>
      </c>
      <c r="CC128" s="33" t="n">
        <f aca="false">SUM(CC125:CC127)</f>
        <v>0</v>
      </c>
      <c r="CD128" s="33" t="n">
        <f aca="false">SUM(CD125:CD127)</f>
        <v>0</v>
      </c>
      <c r="CE128" s="33" t="n">
        <f aca="false">SUM(CE125:CE127)</f>
        <v>0</v>
      </c>
      <c r="CF128" s="33" t="n">
        <f aca="false">SUM(CF125:CF127)</f>
        <v>0</v>
      </c>
      <c r="CG128" s="33" t="n">
        <f aca="false">SUM(CG125:CG127)</f>
        <v>0</v>
      </c>
      <c r="CH128" s="33" t="n">
        <f aca="false">SUM(CH125:CH127)</f>
        <v>0</v>
      </c>
      <c r="CI128" s="33" t="n">
        <f aca="false">SUM(CI125:CI127)</f>
        <v>0</v>
      </c>
      <c r="CJ128" s="33" t="n">
        <f aca="false">SUM(CJ125:CJ127)</f>
        <v>0</v>
      </c>
      <c r="CK128" s="33" t="n">
        <f aca="false">SUM(CK125:CK127)</f>
        <v>0</v>
      </c>
      <c r="CL128" s="33" t="n">
        <f aca="false">SUM(CL125:CL127)</f>
        <v>0</v>
      </c>
      <c r="CM128" s="33" t="n">
        <f aca="false">SUM(CM125:CM127)</f>
        <v>0</v>
      </c>
      <c r="CN128" s="33" t="n">
        <f aca="false">SUM(CN125:CN127)</f>
        <v>0</v>
      </c>
      <c r="CO128" s="33" t="n">
        <f aca="false">SUM(CO125:CO127)</f>
        <v>0</v>
      </c>
      <c r="CP128" s="33" t="n">
        <f aca="false">SUM(CP125:CP127)</f>
        <v>0</v>
      </c>
      <c r="CQ128" s="33" t="n">
        <f aca="false">SUM(CQ125:CQ127)</f>
        <v>0</v>
      </c>
      <c r="CR128" s="33" t="n">
        <f aca="false">SUM(CR125:CR127)</f>
        <v>0</v>
      </c>
      <c r="CS128" s="33" t="n">
        <f aca="false">SUM(CS125:CS127)</f>
        <v>0</v>
      </c>
      <c r="CT128" s="33" t="n">
        <f aca="false">SUM(CT125:CT127)</f>
        <v>0</v>
      </c>
      <c r="CU128" s="33" t="n">
        <f aca="false">SUM(CU125:CU127)</f>
        <v>0</v>
      </c>
      <c r="CV128" s="33" t="n">
        <f aca="false">SUM(CV125:CV127)</f>
        <v>0</v>
      </c>
      <c r="CW128" s="33" t="n">
        <f aca="false">SUM(CW125:CW127)</f>
        <v>0</v>
      </c>
      <c r="CX128" s="33" t="n">
        <f aca="false">SUM(CX125:CX127)</f>
        <v>0</v>
      </c>
      <c r="CY128" s="33" t="n">
        <f aca="false">SUM(CY125:CY127)</f>
        <v>0</v>
      </c>
      <c r="CZ128" s="33" t="n">
        <f aca="false">SUM(CZ125:CZ127)</f>
        <v>0</v>
      </c>
      <c r="DA128" s="33" t="n">
        <f aca="false">SUM(DA125:DA127)</f>
        <v>0</v>
      </c>
      <c r="DB128" s="33" t="n">
        <f aca="false">SUM(DB125:DB127)</f>
        <v>0</v>
      </c>
      <c r="DC128" s="33" t="n">
        <f aca="false">SUM(DC125:DC127)</f>
        <v>0</v>
      </c>
      <c r="DD128" s="33" t="n">
        <f aca="false">SUM(DD125:DD127)</f>
        <v>0</v>
      </c>
      <c r="DE128" s="33" t="n">
        <f aca="false">SUM(DE125:DE127)</f>
        <v>0</v>
      </c>
      <c r="DF128" s="33" t="n">
        <f aca="false">SUM(DF125:DF127)</f>
        <v>0</v>
      </c>
      <c r="DG128" s="33" t="n">
        <f aca="false">SUM(DG125:DG127)</f>
        <v>0</v>
      </c>
      <c r="DH128" s="33" t="n">
        <f aca="false">SUM(DH125:DH127)</f>
        <v>0</v>
      </c>
      <c r="DI128" s="33" t="n">
        <f aca="false">SUM(DI125:DI127)</f>
        <v>0</v>
      </c>
      <c r="DJ128" s="33" t="n">
        <f aca="false">SUM(DJ125:DJ127)</f>
        <v>0</v>
      </c>
      <c r="DK128" s="33" t="n">
        <f aca="false">SUM(DK125:DK127)</f>
        <v>0</v>
      </c>
      <c r="DL128" s="33" t="n">
        <f aca="false">SUM(DL125:DL127)</f>
        <v>0</v>
      </c>
      <c r="DM128" s="33" t="n">
        <f aca="false">SUM(DM125:DM127)</f>
        <v>0</v>
      </c>
      <c r="DN128" s="33" t="n">
        <f aca="false">SUM(DN125:DN127)</f>
        <v>0</v>
      </c>
      <c r="DO128" s="33" t="n">
        <f aca="false">SUM(DO125:DO127)</f>
        <v>0</v>
      </c>
      <c r="DP128" s="33" t="n">
        <f aca="false">SUM(DP125:DP127)</f>
        <v>0</v>
      </c>
      <c r="DQ128" s="33" t="n">
        <f aca="false">SUM(DQ125:DQ127)</f>
        <v>0</v>
      </c>
      <c r="DR128" s="33" t="n">
        <f aca="false">SUM(DR125:DR127)</f>
        <v>0</v>
      </c>
      <c r="DS128" s="33" t="n">
        <f aca="false">SUM(DS125:DS127)</f>
        <v>0</v>
      </c>
      <c r="DT128" s="33" t="n">
        <f aca="false">SUM(DT125:DT127)</f>
        <v>0</v>
      </c>
      <c r="DU128" s="33" t="n">
        <f aca="false">SUM(DU125:DU127)</f>
        <v>0</v>
      </c>
      <c r="DV128" s="33" t="n">
        <f aca="false">SUM(DV125:DV127)</f>
        <v>0</v>
      </c>
      <c r="DW128" s="33" t="n">
        <f aca="false">SUM(DW125:DW127)</f>
        <v>0</v>
      </c>
      <c r="DX128" s="33" t="n">
        <f aca="false">SUM(DX125:DX127)</f>
        <v>0</v>
      </c>
      <c r="DY128" s="33" t="n">
        <f aca="false">SUM(DY125:DY127)</f>
        <v>0</v>
      </c>
      <c r="DZ128" s="33" t="n">
        <f aca="false">SUM(DZ125:DZ127)</f>
        <v>0</v>
      </c>
      <c r="EA128" s="33" t="n">
        <f aca="false">SUM(EA125:EA127)</f>
        <v>0</v>
      </c>
      <c r="EB128" s="33" t="n">
        <f aca="false">SUM(EB125:EB127)</f>
        <v>0</v>
      </c>
      <c r="EC128" s="33" t="n">
        <f aca="false">SUM(EC125:EC127)</f>
        <v>0</v>
      </c>
      <c r="ED128" s="33" t="n">
        <f aca="false">SUM(ED125:ED127)</f>
        <v>0</v>
      </c>
      <c r="EE128" s="33" t="n">
        <f aca="false">SUM(EE125:EE127)</f>
        <v>0</v>
      </c>
      <c r="EF128" s="33" t="n">
        <f aca="false">SUM(EF125:EF127)</f>
        <v>0</v>
      </c>
      <c r="EG128" s="33" t="n">
        <f aca="false">SUM(EG125:EG127)</f>
        <v>0</v>
      </c>
      <c r="EH128" s="33" t="n">
        <f aca="false">SUM(EH125:EH127)</f>
        <v>0</v>
      </c>
      <c r="EI128" s="33" t="n">
        <f aca="false">SUM(EI125:EI127)</f>
        <v>0</v>
      </c>
      <c r="EJ128" s="33" t="n">
        <f aca="false">SUM(EJ125:EJ127)</f>
        <v>0</v>
      </c>
      <c r="EK128" s="33" t="n">
        <f aca="false">SUM(EK125:EK127)</f>
        <v>0</v>
      </c>
      <c r="EL128" s="33" t="n">
        <f aca="false">SUM(EL125:EL127)</f>
        <v>0</v>
      </c>
      <c r="EM128" s="33" t="n">
        <f aca="false">SUM(EM125:EM127)</f>
        <v>0</v>
      </c>
      <c r="EN128" s="33" t="n">
        <f aca="false">SUM(EN125:EN127)</f>
        <v>0</v>
      </c>
      <c r="EO128" s="33" t="n">
        <f aca="false">SUM(EO125:EO127)</f>
        <v>0</v>
      </c>
      <c r="EP128" s="33" t="n">
        <f aca="false">SUM(EP125:EP127)</f>
        <v>0</v>
      </c>
      <c r="EQ128" s="33" t="n">
        <f aca="false">SUM(EQ125:EQ127)</f>
        <v>0</v>
      </c>
      <c r="ER128" s="33" t="n">
        <f aca="false">SUM(ER125:ER127)</f>
        <v>0</v>
      </c>
      <c r="ES128" s="33" t="n">
        <f aca="false">SUM(ES125:ES127)</f>
        <v>0</v>
      </c>
      <c r="ET128" s="33" t="n">
        <f aca="false">SUM(ET125:ET127)</f>
        <v>0</v>
      </c>
    </row>
    <row r="129" customFormat="false" ht="15" hidden="false" customHeight="false" outlineLevel="0" collapsed="false">
      <c r="C129" s="30" t="s">
        <v>250</v>
      </c>
      <c r="D129" s="11" t="s">
        <v>253</v>
      </c>
      <c r="I129" s="35" t="n">
        <f aca="false">SUM(J129:ET129)</f>
        <v>-28323.9656639994</v>
      </c>
      <c r="J129" s="35" t="n">
        <f aca="false">-In_CIT*(MAX(0,J124)+J127)</f>
        <v>-0</v>
      </c>
      <c r="K129" s="35" t="n">
        <f aca="false">-In_CIT*(MAX(0,K124)+K127)</f>
        <v>-0</v>
      </c>
      <c r="L129" s="35" t="n">
        <f aca="false">-In_CIT*(MAX(0,L124)+L127)</f>
        <v>-0</v>
      </c>
      <c r="M129" s="35" t="n">
        <f aca="false">-In_CIT*(MAX(0,M124)+M127)</f>
        <v>-0</v>
      </c>
      <c r="N129" s="35" t="n">
        <f aca="false">-In_CIT*(MAX(0,N124)+N127)</f>
        <v>-0</v>
      </c>
      <c r="O129" s="35" t="n">
        <f aca="false">-In_CIT*(MAX(0,O124)+O127)</f>
        <v>-0</v>
      </c>
      <c r="P129" s="35" t="n">
        <f aca="false">-In_CIT*(MAX(0,P124)+P127)</f>
        <v>-0</v>
      </c>
      <c r="Q129" s="35" t="n">
        <f aca="false">-In_CIT*(MAX(0,Q124)+Q127)</f>
        <v>-0</v>
      </c>
      <c r="R129" s="35" t="n">
        <f aca="false">-In_CIT*(MAX(0,R124)+R127)</f>
        <v>-0</v>
      </c>
      <c r="S129" s="35" t="n">
        <f aca="false">-In_CIT*(MAX(0,S124)+S127)</f>
        <v>-0</v>
      </c>
      <c r="T129" s="35" t="n">
        <f aca="false">-In_CIT*(MAX(0,T124)+T127)</f>
        <v>-0</v>
      </c>
      <c r="U129" s="35" t="n">
        <f aca="false">-In_CIT*(MAX(0,U124)+U127)</f>
        <v>-0</v>
      </c>
      <c r="V129" s="35" t="n">
        <f aca="false">-In_CIT*(MAX(0,V124)+V127)</f>
        <v>-0</v>
      </c>
      <c r="W129" s="35" t="n">
        <f aca="false">-In_CIT*(MAX(0,W124)+W127)</f>
        <v>-0</v>
      </c>
      <c r="X129" s="35" t="n">
        <f aca="false">-In_CIT*(MAX(0,X124)+X127)</f>
        <v>-0</v>
      </c>
      <c r="Y129" s="35" t="n">
        <f aca="false">-In_CIT*(MAX(0,Y124)+Y127)</f>
        <v>-0</v>
      </c>
      <c r="Z129" s="35" t="n">
        <f aca="false">-In_CIT*(MAX(0,Z124)+Z127)</f>
        <v>-0</v>
      </c>
      <c r="AA129" s="35" t="n">
        <f aca="false">-In_CIT*(MAX(0,AA124)+AA127)</f>
        <v>-0</v>
      </c>
      <c r="AB129" s="35" t="n">
        <f aca="false">-In_CIT*(MAX(0,AB124)+AB127)</f>
        <v>-0</v>
      </c>
      <c r="AC129" s="35" t="n">
        <f aca="false">-In_CIT*(MAX(0,AC124)+AC127)</f>
        <v>-0</v>
      </c>
      <c r="AD129" s="35" t="n">
        <f aca="false">-In_CIT*(MAX(0,AD124)+AD127)</f>
        <v>-0</v>
      </c>
      <c r="AE129" s="35" t="n">
        <f aca="false">-In_CIT*(MAX(0,AE124)+AE127)</f>
        <v>-0</v>
      </c>
      <c r="AF129" s="35" t="n">
        <f aca="false">-In_CIT*(MAX(0,AF124)+AF127)</f>
        <v>-0</v>
      </c>
      <c r="AG129" s="35" t="n">
        <f aca="false">-In_CIT*(MAX(0,AG124)+AG127)</f>
        <v>-0</v>
      </c>
      <c r="AH129" s="35" t="n">
        <f aca="false">-In_CIT*(MAX(0,AH124)+AH127)</f>
        <v>-0</v>
      </c>
      <c r="AI129" s="35" t="n">
        <f aca="false">-In_CIT*(MAX(0,AI124)+AI127)</f>
        <v>-0</v>
      </c>
      <c r="AJ129" s="35" t="n">
        <f aca="false">-In_CIT*(MAX(0,AJ124)+AJ127)</f>
        <v>-0</v>
      </c>
      <c r="AK129" s="35" t="n">
        <f aca="false">-In_CIT*(MAX(0,AK124)+AK127)</f>
        <v>-11.6172566672914</v>
      </c>
      <c r="AL129" s="35" t="n">
        <f aca="false">-In_CIT*(MAX(0,AL124)+AL127)</f>
        <v>-95.4889448417256</v>
      </c>
      <c r="AM129" s="35" t="n">
        <f aca="false">-In_CIT*(MAX(0,AM124)+AM127)</f>
        <v>-96.5256785525198</v>
      </c>
      <c r="AN129" s="35" t="n">
        <f aca="false">-In_CIT*(MAX(0,AN124)+AN127)</f>
        <v>-97.2138487907318</v>
      </c>
      <c r="AO129" s="35" t="n">
        <f aca="false">-In_CIT*(MAX(0,AO124)+AO127)</f>
        <v>-101.734632832676</v>
      </c>
      <c r="AP129" s="35" t="n">
        <f aca="false">-In_CIT*(MAX(0,AP124)+AP127)</f>
        <v>-106.285756177341</v>
      </c>
      <c r="AQ129" s="35" t="n">
        <f aca="false">-In_CIT*(MAX(0,AQ124)+AQ127)</f>
        <v>-107.434691304723</v>
      </c>
      <c r="AR129" s="35" t="n">
        <f aca="false">-In_CIT*(MAX(0,AR124)+AR127)</f>
        <v>-108.196914767106</v>
      </c>
      <c r="AS129" s="35" t="n">
        <f aca="false">-In_CIT*(MAX(0,AS124)+AS127)</f>
        <v>-112.853471950999</v>
      </c>
      <c r="AT129" s="35" t="n">
        <f aca="false">-In_CIT*(MAX(0,AT124)+AT127)</f>
        <v>-117.541914083612</v>
      </c>
      <c r="AU129" s="35" t="n">
        <f aca="false">-In_CIT*(MAX(0,AU124)+AU127)</f>
        <v>-118.809167913345</v>
      </c>
      <c r="AV129" s="35" t="n">
        <f aca="false">-In_CIT*(MAX(0,AV124)+AV127)</f>
        <v>-121.768753263312</v>
      </c>
      <c r="AW129" s="35" t="n">
        <f aca="false">-In_CIT*(MAX(0,AW124)+AW127)</f>
        <v>-124.449500317221</v>
      </c>
      <c r="AX129" s="35" t="n">
        <f aca="false">-In_CIT*(MAX(0,AX124)+AX127)</f>
        <v>-129.281276069291</v>
      </c>
      <c r="AY129" s="35" t="n">
        <f aca="false">-In_CIT*(MAX(0,AY124)+AY127)</f>
        <v>-130.673279392617</v>
      </c>
      <c r="AZ129" s="35" t="n">
        <f aca="false">-In_CIT*(MAX(0,AZ124)+AZ127)</f>
        <v>-131.60128851837</v>
      </c>
      <c r="BA129" s="35" t="n">
        <f aca="false">-In_CIT*(MAX(0,BA124)+BA127)</f>
        <v>-136.54750793486</v>
      </c>
      <c r="BB129" s="35" t="n">
        <f aca="false">-In_CIT*(MAX(0,BB124)+BB127)</f>
        <v>-141.528943834047</v>
      </c>
      <c r="BC129" s="35" t="n">
        <f aca="false">-In_CIT*(MAX(0,BC124)+BC127)</f>
        <v>-143.052456913697</v>
      </c>
      <c r="BD129" s="35" t="n">
        <f aca="false">-In_CIT*(MAX(0,BD124)+BD127)</f>
        <v>-144.072837133155</v>
      </c>
      <c r="BE129" s="35" t="n">
        <f aca="false">-In_CIT*(MAX(0,BE124)+BE127)</f>
        <v>-149.17357700604</v>
      </c>
      <c r="BF129" s="35" t="n">
        <f aca="false">-In_CIT*(MAX(0,BF124)+BF127)</f>
        <v>-154.311327477197</v>
      </c>
      <c r="BG129" s="35" t="n">
        <f aca="false">-In_CIT*(MAX(0,BG124)+BG127)</f>
        <v>-155.973456826339</v>
      </c>
      <c r="BH129" s="35" t="n">
        <f aca="false">-In_CIT*(MAX(0,BH124)+BH127)</f>
        <v>-157.092980312585</v>
      </c>
      <c r="BI129" s="35" t="n">
        <f aca="false">-In_CIT*(MAX(0,BI124)+BI127)</f>
        <v>-162.355148597671</v>
      </c>
      <c r="BJ129" s="35" t="n">
        <f aca="false">-In_CIT*(MAX(0,BJ124)+BJ127)</f>
        <v>-167.656212998429</v>
      </c>
      <c r="BK129" s="35" t="n">
        <f aca="false">-In_CIT*(MAX(0,BK124)+BK127)</f>
        <v>-169.464429013963</v>
      </c>
      <c r="BL129" s="35" t="n">
        <f aca="false">-In_CIT*(MAX(0,BL124)+BL127)</f>
        <v>-172.850877414035</v>
      </c>
      <c r="BM129" s="35" t="n">
        <f aca="false">-In_CIT*(MAX(0,BM124)+BM127)</f>
        <v>-176.121092725134</v>
      </c>
      <c r="BN129" s="35" t="n">
        <f aca="false">-In_CIT*(MAX(0,BN124)+BN127)</f>
        <v>-181.592833258768</v>
      </c>
      <c r="BO129" s="35" t="n">
        <f aca="false">-In_CIT*(MAX(0,BO124)+BO127)</f>
        <v>-183.554988752478</v>
      </c>
      <c r="BP129" s="35" t="n">
        <f aca="false">-In_CIT*(MAX(0,BP124)+BP127)</f>
        <v>-184.894581696676</v>
      </c>
      <c r="BQ129" s="35" t="n">
        <f aca="false">-In_CIT*(MAX(0,BQ124)+BQ127)</f>
        <v>-190.501782028053</v>
      </c>
      <c r="BR129" s="35" t="n">
        <f aca="false">-In_CIT*(MAX(0,BR124)+BR127)</f>
        <v>-196.151942578579</v>
      </c>
      <c r="BS129" s="35" t="n">
        <f aca="false">-In_CIT*(MAX(0,BS124)+BS127)</f>
        <v>-198.276292251869</v>
      </c>
      <c r="BT129" s="35" t="n">
        <f aca="false">-In_CIT*(MAX(0,BT124)+BT127)</f>
        <v>-196.170276216906</v>
      </c>
      <c r="BU129" s="35" t="n">
        <f aca="false">-In_CIT*(MAX(0,BU124)+BU127)</f>
        <v>-198.349945952649</v>
      </c>
      <c r="BV129" s="35" t="n">
        <f aca="false">-In_CIT*(MAX(0,BV124)+BV127)</f>
        <v>-200.529615688392</v>
      </c>
      <c r="BW129" s="35" t="n">
        <f aca="false">-In_CIT*(MAX(0,BW124)+BW127)</f>
        <v>-199.122067195189</v>
      </c>
      <c r="BX129" s="35" t="n">
        <f aca="false">-In_CIT*(MAX(0,BX124)+BX127)</f>
        <v>-196.964355586438</v>
      </c>
      <c r="BY129" s="35" t="n">
        <f aca="false">-In_CIT*(MAX(0,BY124)+BY127)</f>
        <v>-199.152848426287</v>
      </c>
      <c r="BZ129" s="35" t="n">
        <f aca="false">-In_CIT*(MAX(0,BZ124)+BZ127)</f>
        <v>-201.341341266136</v>
      </c>
      <c r="CA129" s="35" t="n">
        <f aca="false">-In_CIT*(MAX(0,CA124)+CA127)</f>
        <v>-199.92514609708</v>
      </c>
      <c r="CB129" s="35" t="n">
        <f aca="false">-In_CIT*(MAX(0,CB124)+CB127)</f>
        <v>-199.912094403772</v>
      </c>
      <c r="CC129" s="35" t="n">
        <f aca="false">-In_CIT*(MAX(0,CC124)+CC127)</f>
        <v>-199.912094403772</v>
      </c>
      <c r="CD129" s="35" t="n">
        <f aca="false">-In_CIT*(MAX(0,CD124)+CD127)</f>
        <v>-202.108930606011</v>
      </c>
      <c r="CE129" s="35" t="n">
        <f aca="false">-In_CIT*(MAX(0,CE124)+CE127)</f>
        <v>-200.684065882337</v>
      </c>
      <c r="CF129" s="35" t="n">
        <f aca="false">-In_CIT*(MAX(0,CF124)+CF127)</f>
        <v>-198.421514434404</v>
      </c>
      <c r="CG129" s="35" t="n">
        <f aca="false">-In_CIT*(MAX(0,CG124)+CG127)</f>
        <v>-200.62619792812</v>
      </c>
      <c r="CH129" s="35" t="n">
        <f aca="false">-In_CIT*(MAX(0,CH124)+CH127)</f>
        <v>-202.830881421835</v>
      </c>
      <c r="CI129" s="35" t="n">
        <f aca="false">-In_CIT*(MAX(0,CI124)+CI127)</f>
        <v>-201.397324889451</v>
      </c>
      <c r="CJ129" s="35" t="n">
        <f aca="false">-In_CIT*(MAX(0,CJ124)+CJ127)</f>
        <v>-199.081615948249</v>
      </c>
      <c r="CK129" s="35" t="n">
        <f aca="false">-In_CIT*(MAX(0,CK124)+CK127)</f>
        <v>-201.293633903229</v>
      </c>
      <c r="CL129" s="35" t="n">
        <f aca="false">-In_CIT*(MAX(0,CL124)+CL127)</f>
        <v>-203.50565185821</v>
      </c>
      <c r="CM129" s="35" t="n">
        <f aca="false">-In_CIT*(MAX(0,CM124)+CM127)</f>
        <v>-202.063381909346</v>
      </c>
      <c r="CN129" s="35" t="n">
        <f aca="false">-In_CIT*(MAX(0,CN124)+CN127)</f>
        <v>-199.694014733252</v>
      </c>
      <c r="CO129" s="35" t="n">
        <f aca="false">-In_CIT*(MAX(0,CO124)+CO127)</f>
        <v>-201.912837119177</v>
      </c>
      <c r="CP129" s="35" t="n">
        <f aca="false">-In_CIT*(MAX(0,CP124)+CP127)</f>
        <v>-204.131659505102</v>
      </c>
      <c r="CQ129" s="35" t="n">
        <f aca="false">-In_CIT*(MAX(0,CQ124)+CQ127)</f>
        <v>-202.680655200499</v>
      </c>
      <c r="CR129" s="35" t="n">
        <f aca="false">-In_CIT*(MAX(0,CR124)+CR127)</f>
        <v>-202.482201253553</v>
      </c>
      <c r="CS129" s="35" t="n">
        <f aca="false">-In_CIT*(MAX(0,CS124)+CS127)</f>
        <v>-202.482201253553</v>
      </c>
      <c r="CT129" s="35" t="n">
        <f aca="false">-In_CIT*(MAX(0,CT124)+CT127)</f>
        <v>-204.707280388207</v>
      </c>
      <c r="CU129" s="35" t="n">
        <f aca="false">-In_CIT*(MAX(0,CU124)+CU127)</f>
        <v>-203.247521479836</v>
      </c>
      <c r="CV129" s="35" t="n">
        <f aca="false">-In_CIT*(MAX(0,CV124)+CV127)</f>
        <v>-200.769307762012</v>
      </c>
      <c r="CW129" s="35" t="n">
        <f aca="false">-In_CIT*(MAX(0,CW124)+CW127)</f>
        <v>-203.000077848256</v>
      </c>
      <c r="CX129" s="35" t="n">
        <f aca="false">-In_CIT*(MAX(0,CX124)+CX127)</f>
        <v>-205.230847934501</v>
      </c>
      <c r="CY129" s="35" t="n">
        <f aca="false">-In_CIT*(MAX(0,CY124)+CY127)</f>
        <v>-203.762314888844</v>
      </c>
      <c r="CZ129" s="35" t="n">
        <f aca="false">-In_CIT*(MAX(0,CZ124)+CZ127)</f>
        <v>-201.228898609916</v>
      </c>
      <c r="DA129" s="35" t="n">
        <f aca="false">-In_CIT*(MAX(0,DA124)+DA127)</f>
        <v>-203.464775261138</v>
      </c>
      <c r="DB129" s="35" t="n">
        <f aca="false">-In_CIT*(MAX(0,DB124)+DB127)</f>
        <v>-205.700651912359</v>
      </c>
      <c r="DC129" s="35" t="n">
        <f aca="false">-In_CIT*(MAX(0,DC124)+DC127)</f>
        <v>-204.223325934256</v>
      </c>
      <c r="DD129" s="35" t="n">
        <f aca="false">-In_CIT*(MAX(0,DD124)+DD127)</f>
        <v>-201.634177838124</v>
      </c>
      <c r="DE129" s="35" t="n">
        <f aca="false">-In_CIT*(MAX(0,DE124)+DE127)</f>
        <v>-203.874557591881</v>
      </c>
      <c r="DF129" s="35" t="n">
        <f aca="false">-In_CIT*(MAX(0,DF124)+DF127)</f>
        <v>-206.114937345638</v>
      </c>
      <c r="DG129" s="35" t="n">
        <f aca="false">-In_CIT*(MAX(0,DG124)+DG127)</f>
        <v>-390.462027514203</v>
      </c>
      <c r="DH129" s="35" t="n">
        <f aca="false">-In_CIT*(MAX(0,DH124)+DH127)</f>
        <v>-388.040944311337</v>
      </c>
      <c r="DI129" s="35" t="n">
        <f aca="false">-In_CIT*(MAX(0,DI124)+DI127)</f>
        <v>-388.040944311337</v>
      </c>
      <c r="DJ129" s="35" t="n">
        <f aca="false">-In_CIT*(MAX(0,DJ124)+DJ127)</f>
        <v>-392.30513051256</v>
      </c>
      <c r="DK129" s="35" t="n">
        <f aca="false">-In_CIT*(MAX(0,DK124)+DK127)</f>
        <v>-390.810165360226</v>
      </c>
      <c r="DL129" s="35" t="n">
        <f aca="false">-In_CIT*(MAX(0,DL124)+DL127)</f>
        <v>-384.068083069357</v>
      </c>
      <c r="DM129" s="35" t="n">
        <f aca="false">-In_CIT*(MAX(0,DM124)+DM127)</f>
        <v>-388.335506214572</v>
      </c>
      <c r="DN129" s="35" t="n">
        <f aca="false">-In_CIT*(MAX(0,DN124)+DN127)</f>
        <v>-392.602929359787</v>
      </c>
      <c r="DO129" s="35" t="n">
        <f aca="false">-In_CIT*(MAX(0,DO124)+DO127)</f>
        <v>-391.099119566891</v>
      </c>
      <c r="DP129" s="35" t="n">
        <f aca="false">-In_CIT*(MAX(0,DP124)+DP127)</f>
        <v>-384.29967228596</v>
      </c>
      <c r="DQ129" s="35" t="n">
        <f aca="false">-In_CIT*(MAX(0,DQ124)+DQ127)</f>
        <v>-388.569668644693</v>
      </c>
      <c r="DR129" s="35" t="n">
        <f aca="false">-In_CIT*(MAX(0,DR124)+DR127)</f>
        <v>-392.839665003426</v>
      </c>
      <c r="DS129" s="35" t="n">
        <f aca="false">-In_CIT*(MAX(0,DS124)+DS127)</f>
        <v>-391.326994978479</v>
      </c>
      <c r="DT129" s="35" t="n">
        <f aca="false">-In_CIT*(MAX(0,DT124)+DT127)</f>
        <v>-384.469622693208</v>
      </c>
      <c r="DU129" s="35" t="n">
        <f aca="false">-In_CIT*(MAX(0,DU124)+DU127)</f>
        <v>-388.741507389799</v>
      </c>
      <c r="DV129" s="35" t="n">
        <f aca="false">-In_CIT*(MAX(0,DV124)+DV127)</f>
        <v>-393.013392086391</v>
      </c>
      <c r="DW129" s="35" t="n">
        <f aca="false">-In_CIT*(MAX(0,DW124)+DW127)</f>
        <v>-391.491847104446</v>
      </c>
      <c r="DX129" s="35" t="n">
        <f aca="false">-In_CIT*(MAX(0,DX124)+DX127)</f>
        <v>-388.849048200098</v>
      </c>
      <c r="DY129" s="35" t="n">
        <f aca="false">-In_CIT*(MAX(0,DY124)+DY127)</f>
        <v>-388.849048200098</v>
      </c>
      <c r="DZ129" s="35" t="n">
        <f aca="false">-In_CIT*(MAX(0,DZ124)+DZ127)</f>
        <v>-393.122114663836</v>
      </c>
      <c r="EA129" s="35" t="n">
        <f aca="false">-In_CIT*(MAX(0,EA124)+EA127)</f>
        <v>-391.591680894017</v>
      </c>
      <c r="EB129" s="35" t="n">
        <f aca="false">-In_CIT*(MAX(0,EB124)+EB127)</f>
        <v>-384.616746143775</v>
      </c>
      <c r="EC129" s="35" t="n">
        <f aca="false">-In_CIT*(MAX(0,EC124)+EC127)</f>
        <v>-388.890265545373</v>
      </c>
      <c r="ED129" s="35" t="n">
        <f aca="false">-In_CIT*(MAX(0,ED124)+ED127)</f>
        <v>-393.16378494697</v>
      </c>
      <c r="EE129" s="35" t="n">
        <f aca="false">-In_CIT*(MAX(0,EE124)+EE127)</f>
        <v>-391.624449480656</v>
      </c>
      <c r="EF129" s="35" t="n">
        <f aca="false">-In_CIT*(MAX(0,EF124)+EF127)</f>
        <v>-384.589860667834</v>
      </c>
      <c r="EG129" s="35" t="n">
        <f aca="false">-In_CIT*(MAX(0,EG124)+EG127)</f>
        <v>-388.86308134192</v>
      </c>
      <c r="EH129" s="35" t="n">
        <f aca="false">-In_CIT*(MAX(0,EH124)+EH127)</f>
        <v>-393.136302016008</v>
      </c>
      <c r="EI129" s="35" t="n">
        <f aca="false">-In_CIT*(MAX(0,EI124)+EI127)</f>
        <v>-391.5880528957</v>
      </c>
      <c r="EJ129" s="35" t="n">
        <f aca="false">-In_CIT*(MAX(0,EJ124)+EJ127)</f>
        <v>-384.493216794942</v>
      </c>
      <c r="EK129" s="35" t="n">
        <f aca="false">-In_CIT*(MAX(0,EK124)+EK127)</f>
        <v>-388.765363648219</v>
      </c>
      <c r="EL129" s="35" t="n">
        <f aca="false">-In_CIT*(MAX(0,EL124)+EL127)</f>
        <v>-393.037510501496</v>
      </c>
      <c r="EM129" s="35" t="n">
        <f aca="false">-In_CIT*(MAX(0,EM124)+EM127)</f>
        <v>-391.480336750375</v>
      </c>
      <c r="EN129" s="35" t="n">
        <f aca="false">-In_CIT*(MAX(0,EN124)+EN127)</f>
        <v>-388.594925328545</v>
      </c>
      <c r="EO129" s="35" t="n">
        <f aca="false">-In_CIT*(MAX(0,EO124)+EO127)</f>
        <v>-388.594925328545</v>
      </c>
      <c r="EP129" s="35" t="n">
        <f aca="false">-In_CIT*(MAX(0,EP124)+EP127)</f>
        <v>-392.865199233254</v>
      </c>
      <c r="EQ129" s="35" t="n">
        <f aca="false">-In_CIT*(MAX(0,EQ124)+EQ127)</f>
        <v>-391.299090885448</v>
      </c>
      <c r="ER129" s="35" t="n">
        <f aca="false">-In_CIT*(MAX(0,ER124)+ER127)</f>
        <v>-384.081945511414</v>
      </c>
      <c r="ES129" s="35" t="n">
        <f aca="false">-In_CIT*(MAX(0,ES124)+ES127)</f>
        <v>-388.349522683763</v>
      </c>
      <c r="ET129" s="35" t="n">
        <f aca="false">-In_CIT*(MAX(0,ET124)+ET127)</f>
        <v>-392.617099856112</v>
      </c>
    </row>
    <row r="131" customFormat="false" ht="15" hidden="false" customHeight="false" outlineLevel="0" collapsed="false">
      <c r="A131" s="9" t="s">
        <v>13</v>
      </c>
      <c r="B131" s="9"/>
      <c r="C131" s="9" t="s">
        <v>487</v>
      </c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  <c r="CJ131" s="9"/>
      <c r="CK131" s="9"/>
      <c r="CL131" s="9"/>
      <c r="CM131" s="9"/>
      <c r="CN131" s="9"/>
      <c r="CO131" s="9"/>
      <c r="CP131" s="9"/>
      <c r="CQ131" s="9"/>
      <c r="CR131" s="9"/>
      <c r="CS131" s="9"/>
      <c r="CT131" s="9"/>
      <c r="CU131" s="9"/>
      <c r="CV131" s="9"/>
      <c r="CW131" s="9"/>
      <c r="CX131" s="9"/>
      <c r="CY131" s="9"/>
      <c r="CZ131" s="9"/>
      <c r="DA131" s="9"/>
      <c r="DB131" s="9"/>
      <c r="DC131" s="9"/>
      <c r="DD131" s="9"/>
      <c r="DE131" s="9"/>
      <c r="DF131" s="9"/>
      <c r="DG131" s="9"/>
      <c r="DH131" s="9"/>
      <c r="DI131" s="9"/>
      <c r="DJ131" s="9"/>
      <c r="DK131" s="9"/>
      <c r="DL131" s="9"/>
      <c r="DM131" s="9"/>
      <c r="DN131" s="9"/>
      <c r="DO131" s="9"/>
      <c r="DP131" s="9"/>
      <c r="DQ131" s="9"/>
      <c r="DR131" s="9"/>
      <c r="DS131" s="9"/>
      <c r="DT131" s="9"/>
      <c r="DU131" s="9"/>
      <c r="DV131" s="9"/>
      <c r="DW131" s="9"/>
      <c r="DX131" s="9"/>
      <c r="DY131" s="9"/>
      <c r="DZ131" s="9"/>
      <c r="EA131" s="9"/>
      <c r="EB131" s="9"/>
      <c r="EC131" s="9"/>
      <c r="ED131" s="9"/>
      <c r="EE131" s="9"/>
      <c r="EF131" s="9"/>
      <c r="EG131" s="9"/>
      <c r="EH131" s="9"/>
      <c r="EI131" s="9"/>
      <c r="EJ131" s="9"/>
      <c r="EK131" s="9"/>
      <c r="EL131" s="9"/>
      <c r="EM131" s="9"/>
      <c r="EN131" s="9"/>
      <c r="EO131" s="9"/>
      <c r="EP131" s="9"/>
      <c r="EQ131" s="9"/>
      <c r="ER131" s="9"/>
      <c r="ES131" s="9"/>
      <c r="ET131" s="9"/>
    </row>
    <row r="132" customFormat="false" ht="15" hidden="false" customHeight="false" outlineLevel="0" collapsed="false">
      <c r="C132" s="30" t="s">
        <v>45</v>
      </c>
      <c r="D132" s="11" t="s">
        <v>253</v>
      </c>
      <c r="E132" s="35" t="n">
        <f aca="false">In_RtB_Premium*In_MVA</f>
        <v>15000</v>
      </c>
    </row>
    <row r="133" customFormat="false" ht="15" hidden="false" customHeight="false" outlineLevel="0" collapsed="false">
      <c r="A133" s="55"/>
      <c r="B133" s="55"/>
      <c r="C133" s="55" t="s">
        <v>579</v>
      </c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55"/>
      <c r="W133" s="55"/>
      <c r="X133" s="55"/>
      <c r="Y133" s="55"/>
      <c r="Z133" s="55"/>
      <c r="AA133" s="55"/>
      <c r="AB133" s="55"/>
      <c r="AC133" s="55"/>
      <c r="AD133" s="55"/>
      <c r="AE133" s="55"/>
      <c r="AF133" s="55"/>
      <c r="AG133" s="55"/>
      <c r="AH133" s="55"/>
      <c r="AI133" s="55"/>
      <c r="AJ133" s="55"/>
      <c r="AK133" s="55"/>
      <c r="AL133" s="55"/>
      <c r="AM133" s="55"/>
      <c r="AN133" s="55"/>
      <c r="AO133" s="55"/>
      <c r="AP133" s="55"/>
      <c r="AQ133" s="55"/>
      <c r="AR133" s="55"/>
      <c r="AS133" s="55"/>
      <c r="AT133" s="55"/>
      <c r="AU133" s="55"/>
      <c r="AV133" s="55"/>
      <c r="AW133" s="55"/>
      <c r="AX133" s="55"/>
      <c r="AY133" s="55"/>
      <c r="AZ133" s="55"/>
      <c r="BA133" s="55"/>
      <c r="BB133" s="55"/>
      <c r="BC133" s="55"/>
      <c r="BD133" s="55"/>
      <c r="BE133" s="55"/>
      <c r="BF133" s="55"/>
      <c r="BG133" s="55"/>
      <c r="BH133" s="55"/>
      <c r="BI133" s="55"/>
      <c r="BJ133" s="55"/>
      <c r="BK133" s="55"/>
      <c r="BL133" s="55"/>
      <c r="BM133" s="55"/>
      <c r="BN133" s="55"/>
      <c r="BO133" s="55"/>
      <c r="BP133" s="55"/>
      <c r="BQ133" s="55"/>
      <c r="BR133" s="55"/>
      <c r="BS133" s="55"/>
      <c r="BT133" s="55"/>
      <c r="BU133" s="55"/>
      <c r="BV133" s="55"/>
      <c r="BW133" s="55"/>
      <c r="BX133" s="55"/>
      <c r="BY133" s="55"/>
      <c r="BZ133" s="55"/>
      <c r="CA133" s="55"/>
      <c r="CB133" s="55"/>
      <c r="CC133" s="55"/>
      <c r="CD133" s="55"/>
      <c r="CE133" s="55"/>
      <c r="CF133" s="55"/>
      <c r="CG133" s="55"/>
      <c r="CH133" s="55"/>
      <c r="CI133" s="55"/>
      <c r="CJ133" s="55"/>
      <c r="CK133" s="55"/>
      <c r="CL133" s="55"/>
      <c r="CM133" s="55"/>
      <c r="CN133" s="55"/>
      <c r="CO133" s="55"/>
      <c r="CP133" s="55"/>
      <c r="CQ133" s="55"/>
      <c r="CR133" s="55"/>
      <c r="CS133" s="55"/>
      <c r="CT133" s="55"/>
      <c r="CU133" s="55"/>
      <c r="CV133" s="55"/>
      <c r="CW133" s="55"/>
      <c r="CX133" s="55"/>
      <c r="CY133" s="55"/>
      <c r="CZ133" s="55"/>
      <c r="DA133" s="55"/>
      <c r="DB133" s="55"/>
      <c r="DC133" s="55"/>
      <c r="DD133" s="55"/>
      <c r="DE133" s="55"/>
      <c r="DF133" s="55"/>
      <c r="DG133" s="55"/>
      <c r="DH133" s="55"/>
      <c r="DI133" s="55"/>
      <c r="DJ133" s="55"/>
      <c r="DK133" s="55"/>
      <c r="DL133" s="55"/>
      <c r="DM133" s="55"/>
      <c r="DN133" s="55"/>
      <c r="DO133" s="55"/>
      <c r="DP133" s="55"/>
      <c r="DQ133" s="55"/>
      <c r="DR133" s="55"/>
      <c r="DS133" s="55"/>
      <c r="DT133" s="55"/>
      <c r="DU133" s="55"/>
      <c r="DV133" s="55"/>
      <c r="DW133" s="55"/>
      <c r="DX133" s="55"/>
      <c r="DY133" s="55"/>
      <c r="DZ133" s="55"/>
      <c r="EA133" s="55"/>
      <c r="EB133" s="55"/>
      <c r="EC133" s="55"/>
      <c r="ED133" s="55"/>
      <c r="EE133" s="55"/>
      <c r="EF133" s="55"/>
      <c r="EG133" s="55"/>
      <c r="EH133" s="55"/>
      <c r="EI133" s="55"/>
      <c r="EJ133" s="55"/>
      <c r="EK133" s="55"/>
      <c r="EL133" s="55"/>
      <c r="EM133" s="55"/>
      <c r="EN133" s="55"/>
      <c r="EO133" s="55"/>
      <c r="EP133" s="55"/>
      <c r="EQ133" s="55"/>
      <c r="ER133" s="55"/>
      <c r="ES133" s="55"/>
      <c r="ET133" s="55"/>
    </row>
    <row r="134" customFormat="false" ht="15" hidden="false" customHeight="false" outlineLevel="0" collapsed="false">
      <c r="C134" s="0" t="s">
        <v>580</v>
      </c>
      <c r="D134" s="11" t="s">
        <v>253</v>
      </c>
      <c r="E134" s="33" t="n">
        <f aca="false">$E65+$E55</f>
        <v>21842.7086410959</v>
      </c>
      <c r="F134" s="33" t="n">
        <f aca="false">MAX(0,$E132+$E134)</f>
        <v>36842.7086410959</v>
      </c>
    </row>
    <row r="135" customFormat="false" ht="15" hidden="false" customHeight="false" outlineLevel="0" collapsed="false">
      <c r="C135" s="0" t="s">
        <v>581</v>
      </c>
      <c r="D135" s="11" t="s">
        <v>253</v>
      </c>
      <c r="E135" s="22" t="n">
        <f aca="false">In_Sale_Costs</f>
        <v>500</v>
      </c>
      <c r="F135" s="33" t="n">
        <f aca="false">MIN($E135,$F134)</f>
        <v>500</v>
      </c>
    </row>
    <row r="136" customFormat="false" ht="15" hidden="false" customHeight="false" outlineLevel="0" collapsed="false">
      <c r="C136" s="0" t="s">
        <v>582</v>
      </c>
      <c r="D136" s="11" t="s">
        <v>253</v>
      </c>
      <c r="E136" s="33" t="n">
        <f aca="false">$E65</f>
        <v>21412.2641205479</v>
      </c>
      <c r="F136" s="33" t="n">
        <f aca="false">MIN($E136,$F134-SUM($F135:$F135))</f>
        <v>21412.2641205479</v>
      </c>
    </row>
    <row r="137" customFormat="false" ht="15" hidden="false" customHeight="false" outlineLevel="0" collapsed="false">
      <c r="C137" s="0" t="s">
        <v>583</v>
      </c>
      <c r="D137" s="11" t="s">
        <v>253</v>
      </c>
      <c r="E137" s="33" t="n">
        <f aca="false">$E68</f>
        <v>1564.53664418093</v>
      </c>
      <c r="F137" s="33" t="n">
        <f aca="false">MIN($E137,$F134-SUM($F135:$F136))</f>
        <v>1564.53664418093</v>
      </c>
    </row>
    <row r="138" customFormat="false" ht="15" hidden="false" customHeight="false" outlineLevel="0" collapsed="false">
      <c r="C138" s="0" t="s">
        <v>584</v>
      </c>
      <c r="D138" s="11" t="s">
        <v>253</v>
      </c>
      <c r="E138" s="33" t="n">
        <f aca="false">$E55</f>
        <v>430.444520547945</v>
      </c>
      <c r="F138" s="33" t="n">
        <f aca="false">MIN($E138,$F134-SUM($F135:$F137))</f>
        <v>430.444520547945</v>
      </c>
    </row>
    <row r="139" customFormat="false" ht="15" hidden="false" customHeight="false" outlineLevel="0" collapsed="false">
      <c r="C139" s="0" t="s">
        <v>585</v>
      </c>
      <c r="D139" s="11" t="s">
        <v>253</v>
      </c>
      <c r="E139" s="33" t="n">
        <f aca="false">$E79</f>
        <v>3119.62451197093</v>
      </c>
      <c r="F139" s="33" t="n">
        <f aca="false">MIN($E139,$F134-SUM($F135:$F138))</f>
        <v>3119.62451197093</v>
      </c>
    </row>
    <row r="140" customFormat="false" ht="15" hidden="false" customHeight="false" outlineLevel="0" collapsed="false">
      <c r="C140" s="0" t="s">
        <v>586</v>
      </c>
      <c r="D140" s="11" t="s">
        <v>253</v>
      </c>
      <c r="E140" s="33" t="n">
        <f aca="false">$E73</f>
        <v>1120.48016110676</v>
      </c>
      <c r="F140" s="33" t="n">
        <f aca="false">MIN($E140,$F134-SUM($F135:$F139))</f>
        <v>1120.48016110676</v>
      </c>
    </row>
    <row r="141" customFormat="false" ht="15" hidden="false" customHeight="false" outlineLevel="0" collapsed="false">
      <c r="C141" s="0" t="s">
        <v>587</v>
      </c>
      <c r="D141" s="11" t="s">
        <v>253</v>
      </c>
      <c r="E141" s="33" t="n">
        <f aca="false">MIN(In_DSA_Cap,In_DSA_Rate*YEARFRAC(In_Signing_Date,$E12,0))*$E24</f>
        <v>1200.65972222222</v>
      </c>
      <c r="F141" s="33" t="n">
        <f aca="false">MIN($E141,$F134-SUM($F135:$F140))</f>
        <v>1200.65972222222</v>
      </c>
    </row>
    <row r="142" customFormat="false" ht="15" hidden="false" customHeight="false" outlineLevel="0" collapsed="false">
      <c r="C142" s="30" t="s">
        <v>162</v>
      </c>
      <c r="D142" s="11" t="s">
        <v>253</v>
      </c>
      <c r="F142" s="35" t="n">
        <f aca="false">MAX(0,$F134-SUM($E135:$E141))</f>
        <v>7494.69896051916</v>
      </c>
    </row>
    <row r="143" customFormat="false" ht="15" hidden="false" customHeight="false" outlineLevel="0" collapsed="false">
      <c r="C143" s="30" t="s">
        <v>588</v>
      </c>
      <c r="D143" s="11" t="s">
        <v>253</v>
      </c>
      <c r="F143" s="35" t="n">
        <f aca="false">SUM($F136:$F140)+In_FEP_Share*$F142</f>
        <v>32893.6392307179</v>
      </c>
    </row>
    <row r="144" customFormat="false" ht="15" hidden="false" customHeight="false" outlineLevel="0" collapsed="false">
      <c r="C144" s="0" t="s">
        <v>589</v>
      </c>
      <c r="D144" s="11" t="s">
        <v>253</v>
      </c>
      <c r="F144" s="33" t="n">
        <f aca="false">$F141+(1-In_FEP_Share)*$F142</f>
        <v>3449.06941037797</v>
      </c>
    </row>
    <row r="145" customFormat="false" ht="15" hidden="false" customHeight="false" outlineLevel="0" collapsed="false">
      <c r="A145" s="55"/>
      <c r="B145" s="55"/>
      <c r="C145" s="55" t="s">
        <v>590</v>
      </c>
      <c r="D145" s="55"/>
      <c r="E145" s="55"/>
      <c r="F145" s="55"/>
      <c r="G145" s="55"/>
      <c r="H145" s="55"/>
      <c r="I145" s="55"/>
      <c r="J145" s="55"/>
      <c r="K145" s="55"/>
      <c r="L145" s="55"/>
      <c r="M145" s="55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55"/>
      <c r="Z145" s="55"/>
      <c r="AA145" s="55"/>
      <c r="AB145" s="55"/>
      <c r="AC145" s="55"/>
      <c r="AD145" s="55"/>
      <c r="AE145" s="55"/>
      <c r="AF145" s="55"/>
      <c r="AG145" s="55"/>
      <c r="AH145" s="55"/>
      <c r="AI145" s="55"/>
      <c r="AJ145" s="55"/>
      <c r="AK145" s="55"/>
      <c r="AL145" s="55"/>
      <c r="AM145" s="55"/>
      <c r="AN145" s="55"/>
      <c r="AO145" s="55"/>
      <c r="AP145" s="55"/>
      <c r="AQ145" s="55"/>
      <c r="AR145" s="55"/>
      <c r="AS145" s="55"/>
      <c r="AT145" s="55"/>
      <c r="AU145" s="55"/>
      <c r="AV145" s="55"/>
      <c r="AW145" s="55"/>
      <c r="AX145" s="55"/>
      <c r="AY145" s="55"/>
      <c r="AZ145" s="55"/>
      <c r="BA145" s="55"/>
      <c r="BB145" s="55"/>
      <c r="BC145" s="55"/>
      <c r="BD145" s="55"/>
      <c r="BE145" s="55"/>
      <c r="BF145" s="55"/>
      <c r="BG145" s="55"/>
      <c r="BH145" s="55"/>
      <c r="BI145" s="55"/>
      <c r="BJ145" s="55"/>
      <c r="BK145" s="55"/>
      <c r="BL145" s="55"/>
      <c r="BM145" s="55"/>
      <c r="BN145" s="55"/>
      <c r="BO145" s="55"/>
      <c r="BP145" s="55"/>
      <c r="BQ145" s="55"/>
      <c r="BR145" s="55"/>
      <c r="BS145" s="55"/>
      <c r="BT145" s="55"/>
      <c r="BU145" s="55"/>
      <c r="BV145" s="55"/>
      <c r="BW145" s="55"/>
      <c r="BX145" s="55"/>
      <c r="BY145" s="55"/>
      <c r="BZ145" s="55"/>
      <c r="CA145" s="55"/>
      <c r="CB145" s="55"/>
      <c r="CC145" s="55"/>
      <c r="CD145" s="55"/>
      <c r="CE145" s="55"/>
      <c r="CF145" s="55"/>
      <c r="CG145" s="55"/>
      <c r="CH145" s="55"/>
      <c r="CI145" s="55"/>
      <c r="CJ145" s="55"/>
      <c r="CK145" s="55"/>
      <c r="CL145" s="55"/>
      <c r="CM145" s="55"/>
      <c r="CN145" s="55"/>
      <c r="CO145" s="55"/>
      <c r="CP145" s="55"/>
      <c r="CQ145" s="55"/>
      <c r="CR145" s="55"/>
      <c r="CS145" s="55"/>
      <c r="CT145" s="55"/>
      <c r="CU145" s="55"/>
      <c r="CV145" s="55"/>
      <c r="CW145" s="55"/>
      <c r="CX145" s="55"/>
      <c r="CY145" s="55"/>
      <c r="CZ145" s="55"/>
      <c r="DA145" s="55"/>
      <c r="DB145" s="55"/>
      <c r="DC145" s="55"/>
      <c r="DD145" s="55"/>
      <c r="DE145" s="55"/>
      <c r="DF145" s="55"/>
      <c r="DG145" s="55"/>
      <c r="DH145" s="55"/>
      <c r="DI145" s="55"/>
      <c r="DJ145" s="55"/>
      <c r="DK145" s="55"/>
      <c r="DL145" s="55"/>
      <c r="DM145" s="55"/>
      <c r="DN145" s="55"/>
      <c r="DO145" s="55"/>
      <c r="DP145" s="55"/>
      <c r="DQ145" s="55"/>
      <c r="DR145" s="55"/>
      <c r="DS145" s="55"/>
      <c r="DT145" s="55"/>
      <c r="DU145" s="55"/>
      <c r="DV145" s="55"/>
      <c r="DW145" s="55"/>
      <c r="DX145" s="55"/>
      <c r="DY145" s="55"/>
      <c r="DZ145" s="55"/>
      <c r="EA145" s="55"/>
      <c r="EB145" s="55"/>
      <c r="EC145" s="55"/>
      <c r="ED145" s="55"/>
      <c r="EE145" s="55"/>
      <c r="EF145" s="55"/>
      <c r="EG145" s="55"/>
      <c r="EH145" s="55"/>
      <c r="EI145" s="55"/>
      <c r="EJ145" s="55"/>
      <c r="EK145" s="55"/>
      <c r="EL145" s="55"/>
      <c r="EM145" s="55"/>
      <c r="EN145" s="55"/>
      <c r="EO145" s="55"/>
      <c r="EP145" s="55"/>
      <c r="EQ145" s="55"/>
      <c r="ER145" s="55"/>
      <c r="ES145" s="55"/>
      <c r="ET145" s="55"/>
    </row>
    <row r="146" customFormat="false" ht="15" hidden="false" customHeight="false" outlineLevel="0" collapsed="false">
      <c r="C146" s="0" t="s">
        <v>591</v>
      </c>
      <c r="D146" s="11" t="s">
        <v>253</v>
      </c>
      <c r="E146" s="33" t="n">
        <f aca="false">$F136+$F138</f>
        <v>21842.7086410959</v>
      </c>
      <c r="F146" s="33" t="n">
        <f aca="false">In_FEP_Share*$F142</f>
        <v>5246.28927236341</v>
      </c>
    </row>
    <row r="147" customFormat="false" ht="15" hidden="false" customHeight="false" outlineLevel="0" collapsed="false">
      <c r="C147" s="0" t="s">
        <v>592</v>
      </c>
      <c r="D147" s="11" t="s">
        <v>253</v>
      </c>
      <c r="E147" s="33" t="n">
        <f aca="false">$E55-$E57-$E47</f>
        <v>-2697.39916950517</v>
      </c>
    </row>
    <row r="148" customFormat="false" ht="15" hidden="false" customHeight="false" outlineLevel="0" collapsed="false">
      <c r="C148" s="30" t="s">
        <v>593</v>
      </c>
      <c r="D148" s="11" t="s">
        <v>253</v>
      </c>
      <c r="E148" s="35" t="n">
        <f aca="false">$F137+$F139+$F140</f>
        <v>5804.64131725861</v>
      </c>
      <c r="F148" s="35" t="n">
        <f aca="false">$E148+$F146+$E147</f>
        <v>8353.53142011685</v>
      </c>
    </row>
    <row r="149" customFormat="false" ht="15" hidden="false" customHeight="false" outlineLevel="0" collapsed="false">
      <c r="C149" s="0" t="s">
        <v>594</v>
      </c>
      <c r="D149" s="11" t="s">
        <v>253</v>
      </c>
      <c r="E149" s="33" t="n">
        <f aca="false">(1-In_FEP_Share)*$F142</f>
        <v>2248.40968815575</v>
      </c>
    </row>
    <row r="150" customFormat="false" ht="15" hidden="false" customHeight="false" outlineLevel="0" collapsed="false">
      <c r="C150" s="0" t="s">
        <v>595</v>
      </c>
      <c r="D150" s="11" t="s">
        <v>27</v>
      </c>
      <c r="E150" s="32" t="n">
        <f aca="false">$F148/$E24</f>
        <v>55.3214001332242</v>
      </c>
      <c r="F150" s="32" t="n">
        <f aca="false">$F144/$E24</f>
        <v>22.8415192740263</v>
      </c>
    </row>
    <row r="151" customFormat="false" ht="15" hidden="false" customHeight="false" outlineLevel="0" collapsed="false">
      <c r="A151" s="55"/>
      <c r="B151" s="55"/>
      <c r="C151" s="55" t="s">
        <v>596</v>
      </c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55"/>
      <c r="Z151" s="55"/>
      <c r="AA151" s="55"/>
      <c r="AB151" s="55"/>
      <c r="AC151" s="55"/>
      <c r="AD151" s="55"/>
      <c r="AE151" s="55"/>
      <c r="AF151" s="55"/>
      <c r="AG151" s="55"/>
      <c r="AH151" s="55"/>
      <c r="AI151" s="55"/>
      <c r="AJ151" s="55"/>
      <c r="AK151" s="55"/>
      <c r="AL151" s="55"/>
      <c r="AM151" s="55"/>
      <c r="AN151" s="55"/>
      <c r="AO151" s="55"/>
      <c r="AP151" s="55"/>
      <c r="AQ151" s="55"/>
      <c r="AR151" s="55"/>
      <c r="AS151" s="55"/>
      <c r="AT151" s="55"/>
      <c r="AU151" s="55"/>
      <c r="AV151" s="55"/>
      <c r="AW151" s="55"/>
      <c r="AX151" s="55"/>
      <c r="AY151" s="55"/>
      <c r="AZ151" s="55"/>
      <c r="BA151" s="55"/>
      <c r="BB151" s="55"/>
      <c r="BC151" s="55"/>
      <c r="BD151" s="55"/>
      <c r="BE151" s="55"/>
      <c r="BF151" s="55"/>
      <c r="BG151" s="55"/>
      <c r="BH151" s="55"/>
      <c r="BI151" s="55"/>
      <c r="BJ151" s="55"/>
      <c r="BK151" s="55"/>
      <c r="BL151" s="55"/>
      <c r="BM151" s="55"/>
      <c r="BN151" s="55"/>
      <c r="BO151" s="55"/>
      <c r="BP151" s="55"/>
      <c r="BQ151" s="55"/>
      <c r="BR151" s="55"/>
      <c r="BS151" s="55"/>
      <c r="BT151" s="55"/>
      <c r="BU151" s="55"/>
      <c r="BV151" s="55"/>
      <c r="BW151" s="55"/>
      <c r="BX151" s="55"/>
      <c r="BY151" s="55"/>
      <c r="BZ151" s="55"/>
      <c r="CA151" s="55"/>
      <c r="CB151" s="55"/>
      <c r="CC151" s="55"/>
      <c r="CD151" s="55"/>
      <c r="CE151" s="55"/>
      <c r="CF151" s="55"/>
      <c r="CG151" s="55"/>
      <c r="CH151" s="55"/>
      <c r="CI151" s="55"/>
      <c r="CJ151" s="55"/>
      <c r="CK151" s="55"/>
      <c r="CL151" s="55"/>
      <c r="CM151" s="55"/>
      <c r="CN151" s="55"/>
      <c r="CO151" s="55"/>
      <c r="CP151" s="55"/>
      <c r="CQ151" s="55"/>
      <c r="CR151" s="55"/>
      <c r="CS151" s="55"/>
      <c r="CT151" s="55"/>
      <c r="CU151" s="55"/>
      <c r="CV151" s="55"/>
      <c r="CW151" s="55"/>
      <c r="CX151" s="55"/>
      <c r="CY151" s="55"/>
      <c r="CZ151" s="55"/>
      <c r="DA151" s="55"/>
      <c r="DB151" s="55"/>
      <c r="DC151" s="55"/>
      <c r="DD151" s="55"/>
      <c r="DE151" s="55"/>
      <c r="DF151" s="55"/>
      <c r="DG151" s="55"/>
      <c r="DH151" s="55"/>
      <c r="DI151" s="55"/>
      <c r="DJ151" s="55"/>
      <c r="DK151" s="55"/>
      <c r="DL151" s="55"/>
      <c r="DM151" s="55"/>
      <c r="DN151" s="55"/>
      <c r="DO151" s="55"/>
      <c r="DP151" s="55"/>
      <c r="DQ151" s="55"/>
      <c r="DR151" s="55"/>
      <c r="DS151" s="55"/>
      <c r="DT151" s="55"/>
      <c r="DU151" s="55"/>
      <c r="DV151" s="55"/>
      <c r="DW151" s="55"/>
      <c r="DX151" s="55"/>
      <c r="DY151" s="55"/>
      <c r="DZ151" s="55"/>
      <c r="EA151" s="55"/>
      <c r="EB151" s="55"/>
      <c r="EC151" s="55"/>
      <c r="ED151" s="55"/>
      <c r="EE151" s="55"/>
      <c r="EF151" s="55"/>
      <c r="EG151" s="55"/>
      <c r="EH151" s="55"/>
      <c r="EI151" s="55"/>
      <c r="EJ151" s="55"/>
      <c r="EK151" s="55"/>
      <c r="EL151" s="55"/>
      <c r="EM151" s="55"/>
      <c r="EN151" s="55"/>
      <c r="EO151" s="55"/>
      <c r="EP151" s="55"/>
      <c r="EQ151" s="55"/>
      <c r="ER151" s="55"/>
      <c r="ES151" s="55"/>
      <c r="ET151" s="55"/>
    </row>
    <row r="152" customFormat="false" ht="15" hidden="false" customHeight="false" outlineLevel="0" collapsed="false">
      <c r="C152" s="0" t="s">
        <v>597</v>
      </c>
      <c r="D152" s="11" t="s">
        <v>253</v>
      </c>
      <c r="E152" s="33" t="n">
        <f aca="false">-In_CIT*MAX(0,$I152-In_FEP_Share*$F142)</f>
        <v>-128.61785929143</v>
      </c>
      <c r="I152" s="33" t="n">
        <f aca="false">SUM(J152:ET152)</f>
        <v>6675.37659782375</v>
      </c>
      <c r="J152" s="33" t="n">
        <f aca="false">(J60+J53)*(J$4&lt;=$E12)+$F143*J12</f>
        <v>-400</v>
      </c>
      <c r="K152" s="33" t="n">
        <f aca="false">(K60+K53)*(K$4&lt;=$E12)+$F143*K12</f>
        <v>-1437.78053818728</v>
      </c>
      <c r="L152" s="33" t="n">
        <f aca="false">(L60+L53)*(L$4&lt;=$E12)+$F143*L12</f>
        <v>-691.910911990993</v>
      </c>
      <c r="M152" s="33" t="n">
        <f aca="false">(M60+M53)*(M$4&lt;=$E12)+$F143*M12</f>
        <v>-148.451634452993</v>
      </c>
      <c r="N152" s="33" t="n">
        <f aca="false">(N60+N53)*(N$4&lt;=$E12)+$F143*N12</f>
        <v>-149.601261024582</v>
      </c>
      <c r="O152" s="33" t="n">
        <f aca="false">(O60+O53)*(O$4&lt;=$E12)+$F143*O12</f>
        <v>-290.127288421843</v>
      </c>
      <c r="P152" s="33" t="n">
        <f aca="false">(P60+P53)*(P$4&lt;=$E12)+$F143*P12</f>
        <v>-1394.65781281475</v>
      </c>
      <c r="Q152" s="33" t="n">
        <f aca="false">(Q60+Q53)*(Q$4&lt;=$E12)+$F143*Q12</f>
        <v>-109.225607055733</v>
      </c>
      <c r="R152" s="33" t="n">
        <f aca="false">(R60+R53)*(R$4&lt;=$E12)+$F143*R12</f>
        <v>-269.857154566657</v>
      </c>
      <c r="S152" s="33" t="n">
        <f aca="false">(S60+S53)*(S$4&lt;=$E12)+$F143*S12</f>
        <v>-422.991783283459</v>
      </c>
      <c r="T152" s="33" t="n">
        <f aca="false">(T60+T53)*(T$4&lt;=$E12)+$F143*T12</f>
        <v>-20587.5113339088</v>
      </c>
      <c r="U152" s="33" t="n">
        <f aca="false">(U60+U53)*(U$4&lt;=$E12)+$F143*U12</f>
        <v>-104.616018014637</v>
      </c>
      <c r="V152" s="33" t="n">
        <f aca="false">(V60+V53)*(V$4&lt;=$E12)+$F143*V12</f>
        <v>-105.765644586226</v>
      </c>
      <c r="W152" s="33" t="n">
        <f aca="false">(W60+W53)*(W$4&lt;=$E12)+$F143*W12</f>
        <v>32787.8735861317</v>
      </c>
      <c r="X152" s="33" t="n">
        <f aca="false">(X60+X53)*(X$4&lt;=$E12)+$F143*X12</f>
        <v>0</v>
      </c>
      <c r="Y152" s="33" t="n">
        <f aca="false">(Y60+Y53)*(Y$4&lt;=$E12)+$F143*Y12</f>
        <v>0</v>
      </c>
      <c r="Z152" s="33" t="n">
        <f aca="false">(Z60+Z53)*(Z$4&lt;=$E12)+$F143*Z12</f>
        <v>0</v>
      </c>
      <c r="AA152" s="33" t="n">
        <f aca="false">(AA60+AA53)*(AA$4&lt;=$E12)+$F143*AA12</f>
        <v>0</v>
      </c>
      <c r="AB152" s="33" t="n">
        <f aca="false">(AB60+AB53)*(AB$4&lt;=$E12)+$F143*AB12</f>
        <v>0</v>
      </c>
      <c r="AC152" s="33" t="n">
        <f aca="false">(AC60+AC53)*(AC$4&lt;=$E12)+$F143*AC12</f>
        <v>0</v>
      </c>
      <c r="AD152" s="33" t="n">
        <f aca="false">(AD60+AD53)*(AD$4&lt;=$E12)+$F143*AD12</f>
        <v>0</v>
      </c>
      <c r="AE152" s="33" t="n">
        <f aca="false">(AE60+AE53)*(AE$4&lt;=$E12)+$F143*AE12</f>
        <v>0</v>
      </c>
      <c r="AF152" s="33" t="n">
        <f aca="false">(AF60+AF53)*(AF$4&lt;=$E12)+$F143*AF12</f>
        <v>0</v>
      </c>
      <c r="AG152" s="33" t="n">
        <f aca="false">(AG60+AG53)*(AG$4&lt;=$E12)+$F143*AG12</f>
        <v>0</v>
      </c>
      <c r="AH152" s="33" t="n">
        <f aca="false">(AH60+AH53)*(AH$4&lt;=$E12)+$F143*AH12</f>
        <v>0</v>
      </c>
      <c r="AI152" s="33" t="n">
        <f aca="false">(AI60+AI53)*(AI$4&lt;=$E12)+$F143*AI12</f>
        <v>0</v>
      </c>
      <c r="AJ152" s="33" t="n">
        <f aca="false">(AJ60+AJ53)*(AJ$4&lt;=$E12)+$F143*AJ12</f>
        <v>0</v>
      </c>
      <c r="AK152" s="33" t="n">
        <f aca="false">(AK60+AK53)*(AK$4&lt;=$E12)+$F143*AK12</f>
        <v>0</v>
      </c>
      <c r="AL152" s="33" t="n">
        <f aca="false">(AL60+AL53)*(AL$4&lt;=$E12)+$F143*AL12</f>
        <v>0</v>
      </c>
      <c r="AM152" s="33" t="n">
        <f aca="false">(AM60+AM53)*(AM$4&lt;=$E12)+$F143*AM12</f>
        <v>0</v>
      </c>
      <c r="AN152" s="33" t="n">
        <f aca="false">(AN60+AN53)*(AN$4&lt;=$E12)+$F143*AN12</f>
        <v>0</v>
      </c>
      <c r="AO152" s="33" t="n">
        <f aca="false">(AO60+AO53)*(AO$4&lt;=$E12)+$F143*AO12</f>
        <v>0</v>
      </c>
      <c r="AP152" s="33" t="n">
        <f aca="false">(AP60+AP53)*(AP$4&lt;=$E12)+$F143*AP12</f>
        <v>0</v>
      </c>
      <c r="AQ152" s="33" t="n">
        <f aca="false">(AQ60+AQ53)*(AQ$4&lt;=$E12)+$F143*AQ12</f>
        <v>0</v>
      </c>
      <c r="AR152" s="33" t="n">
        <f aca="false">(AR60+AR53)*(AR$4&lt;=$E12)+$F143*AR12</f>
        <v>0</v>
      </c>
      <c r="AS152" s="33" t="n">
        <f aca="false">(AS60+AS53)*(AS$4&lt;=$E12)+$F143*AS12</f>
        <v>0</v>
      </c>
      <c r="AT152" s="33" t="n">
        <f aca="false">(AT60+AT53)*(AT$4&lt;=$E12)+$F143*AT12</f>
        <v>0</v>
      </c>
      <c r="AU152" s="33" t="n">
        <f aca="false">(AU60+AU53)*(AU$4&lt;=$E12)+$F143*AU12</f>
        <v>0</v>
      </c>
      <c r="AV152" s="33" t="n">
        <f aca="false">(AV60+AV53)*(AV$4&lt;=$E12)+$F143*AV12</f>
        <v>0</v>
      </c>
      <c r="AW152" s="33" t="n">
        <f aca="false">(AW60+AW53)*(AW$4&lt;=$E12)+$F143*AW12</f>
        <v>0</v>
      </c>
      <c r="AX152" s="33" t="n">
        <f aca="false">(AX60+AX53)*(AX$4&lt;=$E12)+$F143*AX12</f>
        <v>0</v>
      </c>
      <c r="AY152" s="33" t="n">
        <f aca="false">(AY60+AY53)*(AY$4&lt;=$E12)+$F143*AY12</f>
        <v>0</v>
      </c>
      <c r="AZ152" s="33" t="n">
        <f aca="false">(AZ60+AZ53)*(AZ$4&lt;=$E12)+$F143*AZ12</f>
        <v>0</v>
      </c>
      <c r="BA152" s="33" t="n">
        <f aca="false">(BA60+BA53)*(BA$4&lt;=$E12)+$F143*BA12</f>
        <v>0</v>
      </c>
      <c r="BB152" s="33" t="n">
        <f aca="false">(BB60+BB53)*(BB$4&lt;=$E12)+$F143*BB12</f>
        <v>0</v>
      </c>
      <c r="BC152" s="33" t="n">
        <f aca="false">(BC60+BC53)*(BC$4&lt;=$E12)+$F143*BC12</f>
        <v>0</v>
      </c>
      <c r="BD152" s="33" t="n">
        <f aca="false">(BD60+BD53)*(BD$4&lt;=$E12)+$F143*BD12</f>
        <v>0</v>
      </c>
      <c r="BE152" s="33" t="n">
        <f aca="false">(BE60+BE53)*(BE$4&lt;=$E12)+$F143*BE12</f>
        <v>0</v>
      </c>
      <c r="BF152" s="33" t="n">
        <f aca="false">(BF60+BF53)*(BF$4&lt;=$E12)+$F143*BF12</f>
        <v>0</v>
      </c>
      <c r="BG152" s="33" t="n">
        <f aca="false">(BG60+BG53)*(BG$4&lt;=$E12)+$F143*BG12</f>
        <v>0</v>
      </c>
      <c r="BH152" s="33" t="n">
        <f aca="false">(BH60+BH53)*(BH$4&lt;=$E12)+$F143*BH12</f>
        <v>0</v>
      </c>
      <c r="BI152" s="33" t="n">
        <f aca="false">(BI60+BI53)*(BI$4&lt;=$E12)+$F143*BI12</f>
        <v>0</v>
      </c>
      <c r="BJ152" s="33" t="n">
        <f aca="false">(BJ60+BJ53)*(BJ$4&lt;=$E12)+$F143*BJ12</f>
        <v>0</v>
      </c>
      <c r="BK152" s="33" t="n">
        <f aca="false">(BK60+BK53)*(BK$4&lt;=$E12)+$F143*BK12</f>
        <v>0</v>
      </c>
      <c r="BL152" s="33" t="n">
        <f aca="false">(BL60+BL53)*(BL$4&lt;=$E12)+$F143*BL12</f>
        <v>0</v>
      </c>
      <c r="BM152" s="33" t="n">
        <f aca="false">(BM60+BM53)*(BM$4&lt;=$E12)+$F143*BM12</f>
        <v>0</v>
      </c>
      <c r="BN152" s="33" t="n">
        <f aca="false">(BN60+BN53)*(BN$4&lt;=$E12)+$F143*BN12</f>
        <v>0</v>
      </c>
      <c r="BO152" s="33" t="n">
        <f aca="false">(BO60+BO53)*(BO$4&lt;=$E12)+$F143*BO12</f>
        <v>0</v>
      </c>
      <c r="BP152" s="33" t="n">
        <f aca="false">(BP60+BP53)*(BP$4&lt;=$E12)+$F143*BP12</f>
        <v>0</v>
      </c>
      <c r="BQ152" s="33" t="n">
        <f aca="false">(BQ60+BQ53)*(BQ$4&lt;=$E12)+$F143*BQ12</f>
        <v>0</v>
      </c>
      <c r="BR152" s="33" t="n">
        <f aca="false">(BR60+BR53)*(BR$4&lt;=$E12)+$F143*BR12</f>
        <v>0</v>
      </c>
      <c r="BS152" s="33" t="n">
        <f aca="false">(BS60+BS53)*(BS$4&lt;=$E12)+$F143*BS12</f>
        <v>0</v>
      </c>
      <c r="BT152" s="33" t="n">
        <f aca="false">(BT60+BT53)*(BT$4&lt;=$E12)+$F143*BT12</f>
        <v>0</v>
      </c>
      <c r="BU152" s="33" t="n">
        <f aca="false">(BU60+BU53)*(BU$4&lt;=$E12)+$F143*BU12</f>
        <v>0</v>
      </c>
      <c r="BV152" s="33" t="n">
        <f aca="false">(BV60+BV53)*(BV$4&lt;=$E12)+$F143*BV12</f>
        <v>0</v>
      </c>
      <c r="BW152" s="33" t="n">
        <f aca="false">(BW60+BW53)*(BW$4&lt;=$E12)+$F143*BW12</f>
        <v>0</v>
      </c>
      <c r="BX152" s="33" t="n">
        <f aca="false">(BX60+BX53)*(BX$4&lt;=$E12)+$F143*BX12</f>
        <v>0</v>
      </c>
      <c r="BY152" s="33" t="n">
        <f aca="false">(BY60+BY53)*(BY$4&lt;=$E12)+$F143*BY12</f>
        <v>0</v>
      </c>
      <c r="BZ152" s="33" t="n">
        <f aca="false">(BZ60+BZ53)*(BZ$4&lt;=$E12)+$F143*BZ12</f>
        <v>0</v>
      </c>
      <c r="CA152" s="33" t="n">
        <f aca="false">(CA60+CA53)*(CA$4&lt;=$E12)+$F143*CA12</f>
        <v>0</v>
      </c>
      <c r="CB152" s="33" t="n">
        <f aca="false">(CB60+CB53)*(CB$4&lt;=$E12)+$F143*CB12</f>
        <v>0</v>
      </c>
      <c r="CC152" s="33" t="n">
        <f aca="false">(CC60+CC53)*(CC$4&lt;=$E12)+$F143*CC12</f>
        <v>0</v>
      </c>
      <c r="CD152" s="33" t="n">
        <f aca="false">(CD60+CD53)*(CD$4&lt;=$E12)+$F143*CD12</f>
        <v>0</v>
      </c>
      <c r="CE152" s="33" t="n">
        <f aca="false">(CE60+CE53)*(CE$4&lt;=$E12)+$F143*CE12</f>
        <v>0</v>
      </c>
      <c r="CF152" s="33" t="n">
        <f aca="false">(CF60+CF53)*(CF$4&lt;=$E12)+$F143*CF12</f>
        <v>0</v>
      </c>
      <c r="CG152" s="33" t="n">
        <f aca="false">(CG60+CG53)*(CG$4&lt;=$E12)+$F143*CG12</f>
        <v>0</v>
      </c>
      <c r="CH152" s="33" t="n">
        <f aca="false">(CH60+CH53)*(CH$4&lt;=$E12)+$F143*CH12</f>
        <v>0</v>
      </c>
      <c r="CI152" s="33" t="n">
        <f aca="false">(CI60+CI53)*(CI$4&lt;=$E12)+$F143*CI12</f>
        <v>0</v>
      </c>
      <c r="CJ152" s="33" t="n">
        <f aca="false">(CJ60+CJ53)*(CJ$4&lt;=$E12)+$F143*CJ12</f>
        <v>0</v>
      </c>
      <c r="CK152" s="33" t="n">
        <f aca="false">(CK60+CK53)*(CK$4&lt;=$E12)+$F143*CK12</f>
        <v>0</v>
      </c>
      <c r="CL152" s="33" t="n">
        <f aca="false">(CL60+CL53)*(CL$4&lt;=$E12)+$F143*CL12</f>
        <v>0</v>
      </c>
      <c r="CM152" s="33" t="n">
        <f aca="false">(CM60+CM53)*(CM$4&lt;=$E12)+$F143*CM12</f>
        <v>0</v>
      </c>
      <c r="CN152" s="33" t="n">
        <f aca="false">(CN60+CN53)*(CN$4&lt;=$E12)+$F143*CN12</f>
        <v>0</v>
      </c>
      <c r="CO152" s="33" t="n">
        <f aca="false">(CO60+CO53)*(CO$4&lt;=$E12)+$F143*CO12</f>
        <v>0</v>
      </c>
      <c r="CP152" s="33" t="n">
        <f aca="false">(CP60+CP53)*(CP$4&lt;=$E12)+$F143*CP12</f>
        <v>0</v>
      </c>
      <c r="CQ152" s="33" t="n">
        <f aca="false">(CQ60+CQ53)*(CQ$4&lt;=$E12)+$F143*CQ12</f>
        <v>0</v>
      </c>
      <c r="CR152" s="33" t="n">
        <f aca="false">(CR60+CR53)*(CR$4&lt;=$E12)+$F143*CR12</f>
        <v>0</v>
      </c>
      <c r="CS152" s="33" t="n">
        <f aca="false">(CS60+CS53)*(CS$4&lt;=$E12)+$F143*CS12</f>
        <v>0</v>
      </c>
      <c r="CT152" s="33" t="n">
        <f aca="false">(CT60+CT53)*(CT$4&lt;=$E12)+$F143*CT12</f>
        <v>0</v>
      </c>
      <c r="CU152" s="33" t="n">
        <f aca="false">(CU60+CU53)*(CU$4&lt;=$E12)+$F143*CU12</f>
        <v>0</v>
      </c>
      <c r="CV152" s="33" t="n">
        <f aca="false">(CV60+CV53)*(CV$4&lt;=$E12)+$F143*CV12</f>
        <v>0</v>
      </c>
      <c r="CW152" s="33" t="n">
        <f aca="false">(CW60+CW53)*(CW$4&lt;=$E12)+$F143*CW12</f>
        <v>0</v>
      </c>
      <c r="CX152" s="33" t="n">
        <f aca="false">(CX60+CX53)*(CX$4&lt;=$E12)+$F143*CX12</f>
        <v>0</v>
      </c>
      <c r="CY152" s="33" t="n">
        <f aca="false">(CY60+CY53)*(CY$4&lt;=$E12)+$F143*CY12</f>
        <v>0</v>
      </c>
      <c r="CZ152" s="33" t="n">
        <f aca="false">(CZ60+CZ53)*(CZ$4&lt;=$E12)+$F143*CZ12</f>
        <v>0</v>
      </c>
      <c r="DA152" s="33" t="n">
        <f aca="false">(DA60+DA53)*(DA$4&lt;=$E12)+$F143*DA12</f>
        <v>0</v>
      </c>
      <c r="DB152" s="33" t="n">
        <f aca="false">(DB60+DB53)*(DB$4&lt;=$E12)+$F143*DB12</f>
        <v>0</v>
      </c>
      <c r="DC152" s="33" t="n">
        <f aca="false">(DC60+DC53)*(DC$4&lt;=$E12)+$F143*DC12</f>
        <v>0</v>
      </c>
      <c r="DD152" s="33" t="n">
        <f aca="false">(DD60+DD53)*(DD$4&lt;=$E12)+$F143*DD12</f>
        <v>0</v>
      </c>
      <c r="DE152" s="33" t="n">
        <f aca="false">(DE60+DE53)*(DE$4&lt;=$E12)+$F143*DE12</f>
        <v>0</v>
      </c>
      <c r="DF152" s="33" t="n">
        <f aca="false">(DF60+DF53)*(DF$4&lt;=$E12)+$F143*DF12</f>
        <v>0</v>
      </c>
      <c r="DG152" s="33" t="n">
        <f aca="false">(DG60+DG53)*(DG$4&lt;=$E12)+$F143*DG12</f>
        <v>0</v>
      </c>
      <c r="DH152" s="33" t="n">
        <f aca="false">(DH60+DH53)*(DH$4&lt;=$E12)+$F143*DH12</f>
        <v>0</v>
      </c>
      <c r="DI152" s="33" t="n">
        <f aca="false">(DI60+DI53)*(DI$4&lt;=$E12)+$F143*DI12</f>
        <v>0</v>
      </c>
      <c r="DJ152" s="33" t="n">
        <f aca="false">(DJ60+DJ53)*(DJ$4&lt;=$E12)+$F143*DJ12</f>
        <v>0</v>
      </c>
      <c r="DK152" s="33" t="n">
        <f aca="false">(DK60+DK53)*(DK$4&lt;=$E12)+$F143*DK12</f>
        <v>0</v>
      </c>
      <c r="DL152" s="33" t="n">
        <f aca="false">(DL60+DL53)*(DL$4&lt;=$E12)+$F143*DL12</f>
        <v>0</v>
      </c>
      <c r="DM152" s="33" t="n">
        <f aca="false">(DM60+DM53)*(DM$4&lt;=$E12)+$F143*DM12</f>
        <v>0</v>
      </c>
      <c r="DN152" s="33" t="n">
        <f aca="false">(DN60+DN53)*(DN$4&lt;=$E12)+$F143*DN12</f>
        <v>0</v>
      </c>
      <c r="DO152" s="33" t="n">
        <f aca="false">(DO60+DO53)*(DO$4&lt;=$E12)+$F143*DO12</f>
        <v>0</v>
      </c>
      <c r="DP152" s="33" t="n">
        <f aca="false">(DP60+DP53)*(DP$4&lt;=$E12)+$F143*DP12</f>
        <v>0</v>
      </c>
      <c r="DQ152" s="33" t="n">
        <f aca="false">(DQ60+DQ53)*(DQ$4&lt;=$E12)+$F143*DQ12</f>
        <v>0</v>
      </c>
      <c r="DR152" s="33" t="n">
        <f aca="false">(DR60+DR53)*(DR$4&lt;=$E12)+$F143*DR12</f>
        <v>0</v>
      </c>
      <c r="DS152" s="33" t="n">
        <f aca="false">(DS60+DS53)*(DS$4&lt;=$E12)+$F143*DS12</f>
        <v>0</v>
      </c>
      <c r="DT152" s="33" t="n">
        <f aca="false">(DT60+DT53)*(DT$4&lt;=$E12)+$F143*DT12</f>
        <v>0</v>
      </c>
      <c r="DU152" s="33" t="n">
        <f aca="false">(DU60+DU53)*(DU$4&lt;=$E12)+$F143*DU12</f>
        <v>0</v>
      </c>
      <c r="DV152" s="33" t="n">
        <f aca="false">(DV60+DV53)*(DV$4&lt;=$E12)+$F143*DV12</f>
        <v>0</v>
      </c>
      <c r="DW152" s="33" t="n">
        <f aca="false">(DW60+DW53)*(DW$4&lt;=$E12)+$F143*DW12</f>
        <v>0</v>
      </c>
      <c r="DX152" s="33" t="n">
        <f aca="false">(DX60+DX53)*(DX$4&lt;=$E12)+$F143*DX12</f>
        <v>0</v>
      </c>
      <c r="DY152" s="33" t="n">
        <f aca="false">(DY60+DY53)*(DY$4&lt;=$E12)+$F143*DY12</f>
        <v>0</v>
      </c>
      <c r="DZ152" s="33" t="n">
        <f aca="false">(DZ60+DZ53)*(DZ$4&lt;=$E12)+$F143*DZ12</f>
        <v>0</v>
      </c>
      <c r="EA152" s="33" t="n">
        <f aca="false">(EA60+EA53)*(EA$4&lt;=$E12)+$F143*EA12</f>
        <v>0</v>
      </c>
      <c r="EB152" s="33" t="n">
        <f aca="false">(EB60+EB53)*(EB$4&lt;=$E12)+$F143*EB12</f>
        <v>0</v>
      </c>
      <c r="EC152" s="33" t="n">
        <f aca="false">(EC60+EC53)*(EC$4&lt;=$E12)+$F143*EC12</f>
        <v>0</v>
      </c>
      <c r="ED152" s="33" t="n">
        <f aca="false">(ED60+ED53)*(ED$4&lt;=$E12)+$F143*ED12</f>
        <v>0</v>
      </c>
      <c r="EE152" s="33" t="n">
        <f aca="false">(EE60+EE53)*(EE$4&lt;=$E12)+$F143*EE12</f>
        <v>0</v>
      </c>
      <c r="EF152" s="33" t="n">
        <f aca="false">(EF60+EF53)*(EF$4&lt;=$E12)+$F143*EF12</f>
        <v>0</v>
      </c>
      <c r="EG152" s="33" t="n">
        <f aca="false">(EG60+EG53)*(EG$4&lt;=$E12)+$F143*EG12</f>
        <v>0</v>
      </c>
      <c r="EH152" s="33" t="n">
        <f aca="false">(EH60+EH53)*(EH$4&lt;=$E12)+$F143*EH12</f>
        <v>0</v>
      </c>
      <c r="EI152" s="33" t="n">
        <f aca="false">(EI60+EI53)*(EI$4&lt;=$E12)+$F143*EI12</f>
        <v>0</v>
      </c>
      <c r="EJ152" s="33" t="n">
        <f aca="false">(EJ60+EJ53)*(EJ$4&lt;=$E12)+$F143*EJ12</f>
        <v>0</v>
      </c>
      <c r="EK152" s="33" t="n">
        <f aca="false">(EK60+EK53)*(EK$4&lt;=$E12)+$F143*EK12</f>
        <v>0</v>
      </c>
      <c r="EL152" s="33" t="n">
        <f aca="false">(EL60+EL53)*(EL$4&lt;=$E12)+$F143*EL12</f>
        <v>0</v>
      </c>
      <c r="EM152" s="33" t="n">
        <f aca="false">(EM60+EM53)*(EM$4&lt;=$E12)+$F143*EM12</f>
        <v>0</v>
      </c>
      <c r="EN152" s="33" t="n">
        <f aca="false">(EN60+EN53)*(EN$4&lt;=$E12)+$F143*EN12</f>
        <v>0</v>
      </c>
      <c r="EO152" s="33" t="n">
        <f aca="false">(EO60+EO53)*(EO$4&lt;=$E12)+$F143*EO12</f>
        <v>0</v>
      </c>
      <c r="EP152" s="33" t="n">
        <f aca="false">(EP60+EP53)*(EP$4&lt;=$E12)+$F143*EP12</f>
        <v>0</v>
      </c>
      <c r="EQ152" s="33" t="n">
        <f aca="false">(EQ60+EQ53)*(EQ$4&lt;=$E12)+$F143*EQ12</f>
        <v>0</v>
      </c>
      <c r="ER152" s="33" t="n">
        <f aca="false">(ER60+ER53)*(ER$4&lt;=$E12)+$F143*ER12</f>
        <v>0</v>
      </c>
      <c r="ES152" s="33" t="n">
        <f aca="false">(ES60+ES53)*(ES$4&lt;=$E12)+$F143*ES12</f>
        <v>0</v>
      </c>
      <c r="ET152" s="33" t="n">
        <f aca="false">(ET60+ET53)*(ET$4&lt;=$E12)+$F143*ET12</f>
        <v>0</v>
      </c>
    </row>
    <row r="153" customFormat="false" ht="15" hidden="false" customHeight="false" outlineLevel="0" collapsed="false">
      <c r="C153" s="30" t="s">
        <v>598</v>
      </c>
      <c r="D153" s="11" t="s">
        <v>253</v>
      </c>
      <c r="I153" s="35" t="n">
        <f aca="false">SUM(J153:ET153)</f>
        <v>6546.75873853232</v>
      </c>
      <c r="J153" s="35" t="n">
        <f aca="false">J152+$E152*J12</f>
        <v>-400</v>
      </c>
      <c r="K153" s="35" t="n">
        <f aca="false">K152+$E152*K12</f>
        <v>-1437.78053818728</v>
      </c>
      <c r="L153" s="35" t="n">
        <f aca="false">L152+$E152*L12</f>
        <v>-691.910911990993</v>
      </c>
      <c r="M153" s="35" t="n">
        <f aca="false">M152+$E152*M12</f>
        <v>-148.451634452993</v>
      </c>
      <c r="N153" s="35" t="n">
        <f aca="false">N152+$E152*N12</f>
        <v>-149.601261024582</v>
      </c>
      <c r="O153" s="35" t="n">
        <f aca="false">O152+$E152*O12</f>
        <v>-290.127288421843</v>
      </c>
      <c r="P153" s="35" t="n">
        <f aca="false">P152+$E152*P12</f>
        <v>-1394.65781281475</v>
      </c>
      <c r="Q153" s="35" t="n">
        <f aca="false">Q152+$E152*Q12</f>
        <v>-109.225607055733</v>
      </c>
      <c r="R153" s="35" t="n">
        <f aca="false">R152+$E152*R12</f>
        <v>-269.857154566657</v>
      </c>
      <c r="S153" s="35" t="n">
        <f aca="false">S152+$E152*S12</f>
        <v>-422.991783283459</v>
      </c>
      <c r="T153" s="35" t="n">
        <f aca="false">T152+$E152*T12</f>
        <v>-20587.5113339088</v>
      </c>
      <c r="U153" s="35" t="n">
        <f aca="false">U152+$E152*U12</f>
        <v>-104.616018014637</v>
      </c>
      <c r="V153" s="35" t="n">
        <f aca="false">V152+$E152*V12</f>
        <v>-105.765644586226</v>
      </c>
      <c r="W153" s="35" t="n">
        <f aca="false">W152+$E152*W12</f>
        <v>32659.2557268403</v>
      </c>
      <c r="X153" s="35" t="n">
        <f aca="false">X152+$E152*X12</f>
        <v>0</v>
      </c>
      <c r="Y153" s="35" t="n">
        <f aca="false">Y152+$E152*Y12</f>
        <v>0</v>
      </c>
      <c r="Z153" s="35" t="n">
        <f aca="false">Z152+$E152*Z12</f>
        <v>0</v>
      </c>
      <c r="AA153" s="35" t="n">
        <f aca="false">AA152+$E152*AA12</f>
        <v>0</v>
      </c>
      <c r="AB153" s="35" t="n">
        <f aca="false">AB152+$E152*AB12</f>
        <v>0</v>
      </c>
      <c r="AC153" s="35" t="n">
        <f aca="false">AC152+$E152*AC12</f>
        <v>0</v>
      </c>
      <c r="AD153" s="35" t="n">
        <f aca="false">AD152+$E152*AD12</f>
        <v>0</v>
      </c>
      <c r="AE153" s="35" t="n">
        <f aca="false">AE152+$E152*AE12</f>
        <v>0</v>
      </c>
      <c r="AF153" s="35" t="n">
        <f aca="false">AF152+$E152*AF12</f>
        <v>0</v>
      </c>
      <c r="AG153" s="35" t="n">
        <f aca="false">AG152+$E152*AG12</f>
        <v>0</v>
      </c>
      <c r="AH153" s="35" t="n">
        <f aca="false">AH152+$E152*AH12</f>
        <v>0</v>
      </c>
      <c r="AI153" s="35" t="n">
        <f aca="false">AI152+$E152*AI12</f>
        <v>0</v>
      </c>
      <c r="AJ153" s="35" t="n">
        <f aca="false">AJ152+$E152*AJ12</f>
        <v>0</v>
      </c>
      <c r="AK153" s="35" t="n">
        <f aca="false">AK152+$E152*AK12</f>
        <v>0</v>
      </c>
      <c r="AL153" s="35" t="n">
        <f aca="false">AL152+$E152*AL12</f>
        <v>0</v>
      </c>
      <c r="AM153" s="35" t="n">
        <f aca="false">AM152+$E152*AM12</f>
        <v>0</v>
      </c>
      <c r="AN153" s="35" t="n">
        <f aca="false">AN152+$E152*AN12</f>
        <v>0</v>
      </c>
      <c r="AO153" s="35" t="n">
        <f aca="false">AO152+$E152*AO12</f>
        <v>0</v>
      </c>
      <c r="AP153" s="35" t="n">
        <f aca="false">AP152+$E152*AP12</f>
        <v>0</v>
      </c>
      <c r="AQ153" s="35" t="n">
        <f aca="false">AQ152+$E152*AQ12</f>
        <v>0</v>
      </c>
      <c r="AR153" s="35" t="n">
        <f aca="false">AR152+$E152*AR12</f>
        <v>0</v>
      </c>
      <c r="AS153" s="35" t="n">
        <f aca="false">AS152+$E152*AS12</f>
        <v>0</v>
      </c>
      <c r="AT153" s="35" t="n">
        <f aca="false">AT152+$E152*AT12</f>
        <v>0</v>
      </c>
      <c r="AU153" s="35" t="n">
        <f aca="false">AU152+$E152*AU12</f>
        <v>0</v>
      </c>
      <c r="AV153" s="35" t="n">
        <f aca="false">AV152+$E152*AV12</f>
        <v>0</v>
      </c>
      <c r="AW153" s="35" t="n">
        <f aca="false">AW152+$E152*AW12</f>
        <v>0</v>
      </c>
      <c r="AX153" s="35" t="n">
        <f aca="false">AX152+$E152*AX12</f>
        <v>0</v>
      </c>
      <c r="AY153" s="35" t="n">
        <f aca="false">AY152+$E152*AY12</f>
        <v>0</v>
      </c>
      <c r="AZ153" s="35" t="n">
        <f aca="false">AZ152+$E152*AZ12</f>
        <v>0</v>
      </c>
      <c r="BA153" s="35" t="n">
        <f aca="false">BA152+$E152*BA12</f>
        <v>0</v>
      </c>
      <c r="BB153" s="35" t="n">
        <f aca="false">BB152+$E152*BB12</f>
        <v>0</v>
      </c>
      <c r="BC153" s="35" t="n">
        <f aca="false">BC152+$E152*BC12</f>
        <v>0</v>
      </c>
      <c r="BD153" s="35" t="n">
        <f aca="false">BD152+$E152*BD12</f>
        <v>0</v>
      </c>
      <c r="BE153" s="35" t="n">
        <f aca="false">BE152+$E152*BE12</f>
        <v>0</v>
      </c>
      <c r="BF153" s="35" t="n">
        <f aca="false">BF152+$E152*BF12</f>
        <v>0</v>
      </c>
      <c r="BG153" s="35" t="n">
        <f aca="false">BG152+$E152*BG12</f>
        <v>0</v>
      </c>
      <c r="BH153" s="35" t="n">
        <f aca="false">BH152+$E152*BH12</f>
        <v>0</v>
      </c>
      <c r="BI153" s="35" t="n">
        <f aca="false">BI152+$E152*BI12</f>
        <v>0</v>
      </c>
      <c r="BJ153" s="35" t="n">
        <f aca="false">BJ152+$E152*BJ12</f>
        <v>0</v>
      </c>
      <c r="BK153" s="35" t="n">
        <f aca="false">BK152+$E152*BK12</f>
        <v>0</v>
      </c>
      <c r="BL153" s="35" t="n">
        <f aca="false">BL152+$E152*BL12</f>
        <v>0</v>
      </c>
      <c r="BM153" s="35" t="n">
        <f aca="false">BM152+$E152*BM12</f>
        <v>0</v>
      </c>
      <c r="BN153" s="35" t="n">
        <f aca="false">BN152+$E152*BN12</f>
        <v>0</v>
      </c>
      <c r="BO153" s="35" t="n">
        <f aca="false">BO152+$E152*BO12</f>
        <v>0</v>
      </c>
      <c r="BP153" s="35" t="n">
        <f aca="false">BP152+$E152*BP12</f>
        <v>0</v>
      </c>
      <c r="BQ153" s="35" t="n">
        <f aca="false">BQ152+$E152*BQ12</f>
        <v>0</v>
      </c>
      <c r="BR153" s="35" t="n">
        <f aca="false">BR152+$E152*BR12</f>
        <v>0</v>
      </c>
      <c r="BS153" s="35" t="n">
        <f aca="false">BS152+$E152*BS12</f>
        <v>0</v>
      </c>
      <c r="BT153" s="35" t="n">
        <f aca="false">BT152+$E152*BT12</f>
        <v>0</v>
      </c>
      <c r="BU153" s="35" t="n">
        <f aca="false">BU152+$E152*BU12</f>
        <v>0</v>
      </c>
      <c r="BV153" s="35" t="n">
        <f aca="false">BV152+$E152*BV12</f>
        <v>0</v>
      </c>
      <c r="BW153" s="35" t="n">
        <f aca="false">BW152+$E152*BW12</f>
        <v>0</v>
      </c>
      <c r="BX153" s="35" t="n">
        <f aca="false">BX152+$E152*BX12</f>
        <v>0</v>
      </c>
      <c r="BY153" s="35" t="n">
        <f aca="false">BY152+$E152*BY12</f>
        <v>0</v>
      </c>
      <c r="BZ153" s="35" t="n">
        <f aca="false">BZ152+$E152*BZ12</f>
        <v>0</v>
      </c>
      <c r="CA153" s="35" t="n">
        <f aca="false">CA152+$E152*CA12</f>
        <v>0</v>
      </c>
      <c r="CB153" s="35" t="n">
        <f aca="false">CB152+$E152*CB12</f>
        <v>0</v>
      </c>
      <c r="CC153" s="35" t="n">
        <f aca="false">CC152+$E152*CC12</f>
        <v>0</v>
      </c>
      <c r="CD153" s="35" t="n">
        <f aca="false">CD152+$E152*CD12</f>
        <v>0</v>
      </c>
      <c r="CE153" s="35" t="n">
        <f aca="false">CE152+$E152*CE12</f>
        <v>0</v>
      </c>
      <c r="CF153" s="35" t="n">
        <f aca="false">CF152+$E152*CF12</f>
        <v>0</v>
      </c>
      <c r="CG153" s="35" t="n">
        <f aca="false">CG152+$E152*CG12</f>
        <v>0</v>
      </c>
      <c r="CH153" s="35" t="n">
        <f aca="false">CH152+$E152*CH12</f>
        <v>0</v>
      </c>
      <c r="CI153" s="35" t="n">
        <f aca="false">CI152+$E152*CI12</f>
        <v>0</v>
      </c>
      <c r="CJ153" s="35" t="n">
        <f aca="false">CJ152+$E152*CJ12</f>
        <v>0</v>
      </c>
      <c r="CK153" s="35" t="n">
        <f aca="false">CK152+$E152*CK12</f>
        <v>0</v>
      </c>
      <c r="CL153" s="35" t="n">
        <f aca="false">CL152+$E152*CL12</f>
        <v>0</v>
      </c>
      <c r="CM153" s="35" t="n">
        <f aca="false">CM152+$E152*CM12</f>
        <v>0</v>
      </c>
      <c r="CN153" s="35" t="n">
        <f aca="false">CN152+$E152*CN12</f>
        <v>0</v>
      </c>
      <c r="CO153" s="35" t="n">
        <f aca="false">CO152+$E152*CO12</f>
        <v>0</v>
      </c>
      <c r="CP153" s="35" t="n">
        <f aca="false">CP152+$E152*CP12</f>
        <v>0</v>
      </c>
      <c r="CQ153" s="35" t="n">
        <f aca="false">CQ152+$E152*CQ12</f>
        <v>0</v>
      </c>
      <c r="CR153" s="35" t="n">
        <f aca="false">CR152+$E152*CR12</f>
        <v>0</v>
      </c>
      <c r="CS153" s="35" t="n">
        <f aca="false">CS152+$E152*CS12</f>
        <v>0</v>
      </c>
      <c r="CT153" s="35" t="n">
        <f aca="false">CT152+$E152*CT12</f>
        <v>0</v>
      </c>
      <c r="CU153" s="35" t="n">
        <f aca="false">CU152+$E152*CU12</f>
        <v>0</v>
      </c>
      <c r="CV153" s="35" t="n">
        <f aca="false">CV152+$E152*CV12</f>
        <v>0</v>
      </c>
      <c r="CW153" s="35" t="n">
        <f aca="false">CW152+$E152*CW12</f>
        <v>0</v>
      </c>
      <c r="CX153" s="35" t="n">
        <f aca="false">CX152+$E152*CX12</f>
        <v>0</v>
      </c>
      <c r="CY153" s="35" t="n">
        <f aca="false">CY152+$E152*CY12</f>
        <v>0</v>
      </c>
      <c r="CZ153" s="35" t="n">
        <f aca="false">CZ152+$E152*CZ12</f>
        <v>0</v>
      </c>
      <c r="DA153" s="35" t="n">
        <f aca="false">DA152+$E152*DA12</f>
        <v>0</v>
      </c>
      <c r="DB153" s="35" t="n">
        <f aca="false">DB152+$E152*DB12</f>
        <v>0</v>
      </c>
      <c r="DC153" s="35" t="n">
        <f aca="false">DC152+$E152*DC12</f>
        <v>0</v>
      </c>
      <c r="DD153" s="35" t="n">
        <f aca="false">DD152+$E152*DD12</f>
        <v>0</v>
      </c>
      <c r="DE153" s="35" t="n">
        <f aca="false">DE152+$E152*DE12</f>
        <v>0</v>
      </c>
      <c r="DF153" s="35" t="n">
        <f aca="false">DF152+$E152*DF12</f>
        <v>0</v>
      </c>
      <c r="DG153" s="35" t="n">
        <f aca="false">DG152+$E152*DG12</f>
        <v>0</v>
      </c>
      <c r="DH153" s="35" t="n">
        <f aca="false">DH152+$E152*DH12</f>
        <v>0</v>
      </c>
      <c r="DI153" s="35" t="n">
        <f aca="false">DI152+$E152*DI12</f>
        <v>0</v>
      </c>
      <c r="DJ153" s="35" t="n">
        <f aca="false">DJ152+$E152*DJ12</f>
        <v>0</v>
      </c>
      <c r="DK153" s="35" t="n">
        <f aca="false">DK152+$E152*DK12</f>
        <v>0</v>
      </c>
      <c r="DL153" s="35" t="n">
        <f aca="false">DL152+$E152*DL12</f>
        <v>0</v>
      </c>
      <c r="DM153" s="35" t="n">
        <f aca="false">DM152+$E152*DM12</f>
        <v>0</v>
      </c>
      <c r="DN153" s="35" t="n">
        <f aca="false">DN152+$E152*DN12</f>
        <v>0</v>
      </c>
      <c r="DO153" s="35" t="n">
        <f aca="false">DO152+$E152*DO12</f>
        <v>0</v>
      </c>
      <c r="DP153" s="35" t="n">
        <f aca="false">DP152+$E152*DP12</f>
        <v>0</v>
      </c>
      <c r="DQ153" s="35" t="n">
        <f aca="false">DQ152+$E152*DQ12</f>
        <v>0</v>
      </c>
      <c r="DR153" s="35" t="n">
        <f aca="false">DR152+$E152*DR12</f>
        <v>0</v>
      </c>
      <c r="DS153" s="35" t="n">
        <f aca="false">DS152+$E152*DS12</f>
        <v>0</v>
      </c>
      <c r="DT153" s="35" t="n">
        <f aca="false">DT152+$E152*DT12</f>
        <v>0</v>
      </c>
      <c r="DU153" s="35" t="n">
        <f aca="false">DU152+$E152*DU12</f>
        <v>0</v>
      </c>
      <c r="DV153" s="35" t="n">
        <f aca="false">DV152+$E152*DV12</f>
        <v>0</v>
      </c>
      <c r="DW153" s="35" t="n">
        <f aca="false">DW152+$E152*DW12</f>
        <v>0</v>
      </c>
      <c r="DX153" s="35" t="n">
        <f aca="false">DX152+$E152*DX12</f>
        <v>0</v>
      </c>
      <c r="DY153" s="35" t="n">
        <f aca="false">DY152+$E152*DY12</f>
        <v>0</v>
      </c>
      <c r="DZ153" s="35" t="n">
        <f aca="false">DZ152+$E152*DZ12</f>
        <v>0</v>
      </c>
      <c r="EA153" s="35" t="n">
        <f aca="false">EA152+$E152*EA12</f>
        <v>0</v>
      </c>
      <c r="EB153" s="35" t="n">
        <f aca="false">EB152+$E152*EB12</f>
        <v>0</v>
      </c>
      <c r="EC153" s="35" t="n">
        <f aca="false">EC152+$E152*EC12</f>
        <v>0</v>
      </c>
      <c r="ED153" s="35" t="n">
        <f aca="false">ED152+$E152*ED12</f>
        <v>0</v>
      </c>
      <c r="EE153" s="35" t="n">
        <f aca="false">EE152+$E152*EE12</f>
        <v>0</v>
      </c>
      <c r="EF153" s="35" t="n">
        <f aca="false">EF152+$E152*EF12</f>
        <v>0</v>
      </c>
      <c r="EG153" s="35" t="n">
        <f aca="false">EG152+$E152*EG12</f>
        <v>0</v>
      </c>
      <c r="EH153" s="35" t="n">
        <f aca="false">EH152+$E152*EH12</f>
        <v>0</v>
      </c>
      <c r="EI153" s="35" t="n">
        <f aca="false">EI152+$E152*EI12</f>
        <v>0</v>
      </c>
      <c r="EJ153" s="35" t="n">
        <f aca="false">EJ152+$E152*EJ12</f>
        <v>0</v>
      </c>
      <c r="EK153" s="35" t="n">
        <f aca="false">EK152+$E152*EK12</f>
        <v>0</v>
      </c>
      <c r="EL153" s="35" t="n">
        <f aca="false">EL152+$E152*EL12</f>
        <v>0</v>
      </c>
      <c r="EM153" s="35" t="n">
        <f aca="false">EM152+$E152*EM12</f>
        <v>0</v>
      </c>
      <c r="EN153" s="35" t="n">
        <f aca="false">EN152+$E152*EN12</f>
        <v>0</v>
      </c>
      <c r="EO153" s="35" t="n">
        <f aca="false">EO152+$E152*EO12</f>
        <v>0</v>
      </c>
      <c r="EP153" s="35" t="n">
        <f aca="false">EP152+$E152*EP12</f>
        <v>0</v>
      </c>
      <c r="EQ153" s="35" t="n">
        <f aca="false">EQ152+$E152*EQ12</f>
        <v>0</v>
      </c>
      <c r="ER153" s="35" t="n">
        <f aca="false">ER152+$E152*ER12</f>
        <v>0</v>
      </c>
      <c r="ES153" s="35" t="n">
        <f aca="false">ES152+$E152*ES12</f>
        <v>0</v>
      </c>
      <c r="ET153" s="35" t="n">
        <f aca="false">ET152+$E152*ET12</f>
        <v>0</v>
      </c>
    </row>
    <row r="154" customFormat="false" ht="15" hidden="false" customHeight="false" outlineLevel="0" collapsed="false">
      <c r="C154" s="0" t="s">
        <v>168</v>
      </c>
      <c r="D154" s="11" t="s">
        <v>253</v>
      </c>
      <c r="E154" s="33" t="n">
        <f aca="false">$E59+$I46+$E152</f>
        <v>-1806.77268158454</v>
      </c>
    </row>
    <row r="155" customFormat="false" ht="15" hidden="false" customHeight="false" outlineLevel="0" collapsed="false">
      <c r="C155" s="30" t="s">
        <v>75</v>
      </c>
      <c r="D155" s="11" t="s">
        <v>35</v>
      </c>
      <c r="E155" s="57" t="n">
        <f aca="false">IFERROR(XIRR($J153:$ET153,$J$4:$ET$4),"n/a")</f>
        <v>0.221510760619134</v>
      </c>
    </row>
    <row r="156" customFormat="false" ht="15" hidden="false" customHeight="false" outlineLevel="0" collapsed="false">
      <c r="C156" s="30" t="s">
        <v>599</v>
      </c>
      <c r="D156" s="11" t="s">
        <v>13</v>
      </c>
      <c r="E156" s="58" t="n">
        <f aca="false">($F143+$E152)/($F143-$I152)</f>
        <v>1.24970223352323</v>
      </c>
    </row>
    <row r="157" customFormat="false" ht="15" hidden="false" customHeight="false" outlineLevel="0" collapsed="false">
      <c r="C157" s="30" t="s">
        <v>170</v>
      </c>
      <c r="D157" s="11" t="s">
        <v>253</v>
      </c>
      <c r="E157" s="35" t="n">
        <f aca="false">XNPV(In_Discount_Rate,$J153:$ET153,$J$4:$ET$4)</f>
        <v>3328.54248477583</v>
      </c>
    </row>
    <row r="159" customFormat="false" ht="15" hidden="false" customHeight="false" outlineLevel="0" collapsed="false">
      <c r="A159" s="9" t="s">
        <v>13</v>
      </c>
      <c r="B159" s="9"/>
      <c r="C159" s="9" t="s">
        <v>171</v>
      </c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  <c r="BQ159" s="9"/>
      <c r="BR159" s="9"/>
      <c r="BS159" s="9"/>
      <c r="BT159" s="9"/>
      <c r="BU159" s="9"/>
      <c r="BV159" s="9"/>
      <c r="BW159" s="9"/>
      <c r="BX159" s="9"/>
      <c r="BY159" s="9"/>
      <c r="BZ159" s="9"/>
      <c r="CA159" s="9"/>
      <c r="CB159" s="9"/>
      <c r="CC159" s="9"/>
      <c r="CD159" s="9"/>
      <c r="CE159" s="9"/>
      <c r="CF159" s="9"/>
      <c r="CG159" s="9"/>
      <c r="CH159" s="9"/>
      <c r="CI159" s="9"/>
      <c r="CJ159" s="9"/>
      <c r="CK159" s="9"/>
      <c r="CL159" s="9"/>
      <c r="CM159" s="9"/>
      <c r="CN159" s="9"/>
      <c r="CO159" s="9"/>
      <c r="CP159" s="9"/>
      <c r="CQ159" s="9"/>
      <c r="CR159" s="9"/>
      <c r="CS159" s="9"/>
      <c r="CT159" s="9"/>
      <c r="CU159" s="9"/>
      <c r="CV159" s="9"/>
      <c r="CW159" s="9"/>
      <c r="CX159" s="9"/>
      <c r="CY159" s="9"/>
      <c r="CZ159" s="9"/>
      <c r="DA159" s="9"/>
      <c r="DB159" s="9"/>
      <c r="DC159" s="9"/>
      <c r="DD159" s="9"/>
      <c r="DE159" s="9"/>
      <c r="DF159" s="9"/>
      <c r="DG159" s="9"/>
      <c r="DH159" s="9"/>
      <c r="DI159" s="9"/>
      <c r="DJ159" s="9"/>
      <c r="DK159" s="9"/>
      <c r="DL159" s="9"/>
      <c r="DM159" s="9"/>
      <c r="DN159" s="9"/>
      <c r="DO159" s="9"/>
      <c r="DP159" s="9"/>
      <c r="DQ159" s="9"/>
      <c r="DR159" s="9"/>
      <c r="DS159" s="9"/>
      <c r="DT159" s="9"/>
      <c r="DU159" s="9"/>
      <c r="DV159" s="9"/>
      <c r="DW159" s="9"/>
      <c r="DX159" s="9"/>
      <c r="DY159" s="9"/>
      <c r="DZ159" s="9"/>
      <c r="EA159" s="9"/>
      <c r="EB159" s="9"/>
      <c r="EC159" s="9"/>
      <c r="ED159" s="9"/>
      <c r="EE159" s="9"/>
      <c r="EF159" s="9"/>
      <c r="EG159" s="9"/>
      <c r="EH159" s="9"/>
      <c r="EI159" s="9"/>
      <c r="EJ159" s="9"/>
      <c r="EK159" s="9"/>
      <c r="EL159" s="9"/>
      <c r="EM159" s="9"/>
      <c r="EN159" s="9"/>
      <c r="EO159" s="9"/>
      <c r="EP159" s="9"/>
      <c r="EQ159" s="9"/>
      <c r="ER159" s="9"/>
      <c r="ES159" s="9"/>
      <c r="ET159" s="9"/>
    </row>
    <row r="160" customFormat="false" ht="15" hidden="false" customHeight="false" outlineLevel="0" collapsed="false">
      <c r="C160" s="0" t="s">
        <v>600</v>
      </c>
      <c r="D160" s="11" t="s">
        <v>253</v>
      </c>
      <c r="I160" s="33" t="n">
        <f aca="false">SUM(J160:ET160)</f>
        <v>-73398.9735112757</v>
      </c>
      <c r="J160" s="33" t="n">
        <f aca="false">(J60+J106+J99+J120)*(J$4&lt;=In_COD)</f>
        <v>-400</v>
      </c>
      <c r="K160" s="33" t="n">
        <f aca="false">(K60+K106+K99+K120)*(K$4&lt;=In_COD)</f>
        <v>-1437.78053818728</v>
      </c>
      <c r="L160" s="33" t="n">
        <f aca="false">(L60+L106+L99+L120)*(L$4&lt;=In_COD)</f>
        <v>-691.910911990993</v>
      </c>
      <c r="M160" s="33" t="n">
        <f aca="false">(M60+M106+M99+M120)*(M$4&lt;=In_COD)</f>
        <v>-148.451634452993</v>
      </c>
      <c r="N160" s="33" t="n">
        <f aca="false">(N60+N106+N99+N120)*(N$4&lt;=In_COD)</f>
        <v>-149.601261024582</v>
      </c>
      <c r="O160" s="33" t="n">
        <f aca="false">(O60+O106+O99+O120)*(O$4&lt;=In_COD)</f>
        <v>-290.127288421843</v>
      </c>
      <c r="P160" s="33" t="n">
        <f aca="false">(P60+P106+P99+P120)*(P$4&lt;=In_COD)</f>
        <v>-1394.65781281475</v>
      </c>
      <c r="Q160" s="33" t="n">
        <f aca="false">(Q60+Q106+Q99+Q120)*(Q$4&lt;=In_COD)</f>
        <v>-109.225607055733</v>
      </c>
      <c r="R160" s="33" t="n">
        <f aca="false">(R60+R106+R99+R120)*(R$4&lt;=In_COD)</f>
        <v>-269.857154566657</v>
      </c>
      <c r="S160" s="33" t="n">
        <f aca="false">(S60+S106+S99+S120)*(S$4&lt;=In_COD)</f>
        <v>-422.991783283459</v>
      </c>
      <c r="T160" s="33" t="n">
        <f aca="false">(T60+T106+T99+T120)*(T$4&lt;=In_COD)</f>
        <v>-20587.5113339088</v>
      </c>
      <c r="U160" s="33" t="n">
        <f aca="false">(U60+U106+U99+U120)*(U$4&lt;=In_COD)</f>
        <v>-104.616018014637</v>
      </c>
      <c r="V160" s="33" t="n">
        <f aca="false">(V60+V106+V99+V120)*(V$4&lt;=In_COD)</f>
        <v>-105.765644586226</v>
      </c>
      <c r="W160" s="33" t="n">
        <f aca="false">(W60+W106+W99+W120)*(W$4&lt;=In_COD)</f>
        <v>-6875.32473538409</v>
      </c>
      <c r="X160" s="33" t="n">
        <f aca="false">(X60+X106+X99+X120)*(X$4&lt;=In_COD)</f>
        <v>-5073.5175863622</v>
      </c>
      <c r="Y160" s="33" t="n">
        <f aca="false">(Y60+Y106+Y99+Y120)*(Y$4&lt;=In_COD)</f>
        <v>-5103.58937070822</v>
      </c>
      <c r="Z160" s="33" t="n">
        <f aca="false">(Z60+Z106+Z99+Z120)*(Z$4&lt;=In_COD)</f>
        <v>-5132.78767858878</v>
      </c>
      <c r="AA160" s="33" t="n">
        <f aca="false">(AA60+AA106+AA99+AA120)*(AA$4&lt;=In_COD)</f>
        <v>-5105.60714622201</v>
      </c>
      <c r="AB160" s="33" t="n">
        <f aca="false">(AB60+AB106+AB99+AB120)*(AB$4&lt;=In_COD)</f>
        <v>-4969.92045560723</v>
      </c>
      <c r="AC160" s="33" t="n">
        <f aca="false">(AC60+AC106+AC99+AC120)*(AC$4&lt;=In_COD)</f>
        <v>-4998.84116072264</v>
      </c>
      <c r="AD160" s="33" t="n">
        <f aca="false">(AD60+AD106+AD99+AD120)*(AD$4&lt;=In_COD)</f>
        <v>-10026.8883893726</v>
      </c>
      <c r="AE160" s="33" t="n">
        <f aca="false">(AE60+AE106+AE99+AE120)*(AE$4&lt;=In_COD)</f>
        <v>0</v>
      </c>
      <c r="AF160" s="33" t="n">
        <f aca="false">(AF60+AF106+AF99+AF120)*(AF$4&lt;=In_COD)</f>
        <v>0</v>
      </c>
      <c r="AG160" s="33" t="n">
        <f aca="false">(AG60+AG106+AG99+AG120)*(AG$4&lt;=In_COD)</f>
        <v>0</v>
      </c>
      <c r="AH160" s="33" t="n">
        <f aca="false">(AH60+AH106+AH99+AH120)*(AH$4&lt;=In_COD)</f>
        <v>0</v>
      </c>
      <c r="AI160" s="33" t="n">
        <f aca="false">(AI60+AI106+AI99+AI120)*(AI$4&lt;=In_COD)</f>
        <v>0</v>
      </c>
      <c r="AJ160" s="33" t="n">
        <f aca="false">(AJ60+AJ106+AJ99+AJ120)*(AJ$4&lt;=In_COD)</f>
        <v>0</v>
      </c>
      <c r="AK160" s="33" t="n">
        <f aca="false">(AK60+AK106+AK99+AK120)*(AK$4&lt;=In_COD)</f>
        <v>0</v>
      </c>
      <c r="AL160" s="33" t="n">
        <f aca="false">(AL60+AL106+AL99+AL120)*(AL$4&lt;=In_COD)</f>
        <v>0</v>
      </c>
      <c r="AM160" s="33" t="n">
        <f aca="false">(AM60+AM106+AM99+AM120)*(AM$4&lt;=In_COD)</f>
        <v>0</v>
      </c>
      <c r="AN160" s="33" t="n">
        <f aca="false">(AN60+AN106+AN99+AN120)*(AN$4&lt;=In_COD)</f>
        <v>0</v>
      </c>
      <c r="AO160" s="33" t="n">
        <f aca="false">(AO60+AO106+AO99+AO120)*(AO$4&lt;=In_COD)</f>
        <v>0</v>
      </c>
      <c r="AP160" s="33" t="n">
        <f aca="false">(AP60+AP106+AP99+AP120)*(AP$4&lt;=In_COD)</f>
        <v>0</v>
      </c>
      <c r="AQ160" s="33" t="n">
        <f aca="false">(AQ60+AQ106+AQ99+AQ120)*(AQ$4&lt;=In_COD)</f>
        <v>0</v>
      </c>
      <c r="AR160" s="33" t="n">
        <f aca="false">(AR60+AR106+AR99+AR120)*(AR$4&lt;=In_COD)</f>
        <v>0</v>
      </c>
      <c r="AS160" s="33" t="n">
        <f aca="false">(AS60+AS106+AS99+AS120)*(AS$4&lt;=In_COD)</f>
        <v>0</v>
      </c>
      <c r="AT160" s="33" t="n">
        <f aca="false">(AT60+AT106+AT99+AT120)*(AT$4&lt;=In_COD)</f>
        <v>0</v>
      </c>
      <c r="AU160" s="33" t="n">
        <f aca="false">(AU60+AU106+AU99+AU120)*(AU$4&lt;=In_COD)</f>
        <v>0</v>
      </c>
      <c r="AV160" s="33" t="n">
        <f aca="false">(AV60+AV106+AV99+AV120)*(AV$4&lt;=In_COD)</f>
        <v>0</v>
      </c>
      <c r="AW160" s="33" t="n">
        <f aca="false">(AW60+AW106+AW99+AW120)*(AW$4&lt;=In_COD)</f>
        <v>0</v>
      </c>
      <c r="AX160" s="33" t="n">
        <f aca="false">(AX60+AX106+AX99+AX120)*(AX$4&lt;=In_COD)</f>
        <v>0</v>
      </c>
      <c r="AY160" s="33" t="n">
        <f aca="false">(AY60+AY106+AY99+AY120)*(AY$4&lt;=In_COD)</f>
        <v>0</v>
      </c>
      <c r="AZ160" s="33" t="n">
        <f aca="false">(AZ60+AZ106+AZ99+AZ120)*(AZ$4&lt;=In_COD)</f>
        <v>0</v>
      </c>
      <c r="BA160" s="33" t="n">
        <f aca="false">(BA60+BA106+BA99+BA120)*(BA$4&lt;=In_COD)</f>
        <v>0</v>
      </c>
      <c r="BB160" s="33" t="n">
        <f aca="false">(BB60+BB106+BB99+BB120)*(BB$4&lt;=In_COD)</f>
        <v>0</v>
      </c>
      <c r="BC160" s="33" t="n">
        <f aca="false">(BC60+BC106+BC99+BC120)*(BC$4&lt;=In_COD)</f>
        <v>0</v>
      </c>
      <c r="BD160" s="33" t="n">
        <f aca="false">(BD60+BD106+BD99+BD120)*(BD$4&lt;=In_COD)</f>
        <v>0</v>
      </c>
      <c r="BE160" s="33" t="n">
        <f aca="false">(BE60+BE106+BE99+BE120)*(BE$4&lt;=In_COD)</f>
        <v>0</v>
      </c>
      <c r="BF160" s="33" t="n">
        <f aca="false">(BF60+BF106+BF99+BF120)*(BF$4&lt;=In_COD)</f>
        <v>0</v>
      </c>
      <c r="BG160" s="33" t="n">
        <f aca="false">(BG60+BG106+BG99+BG120)*(BG$4&lt;=In_COD)</f>
        <v>0</v>
      </c>
      <c r="BH160" s="33" t="n">
        <f aca="false">(BH60+BH106+BH99+BH120)*(BH$4&lt;=In_COD)</f>
        <v>0</v>
      </c>
      <c r="BI160" s="33" t="n">
        <f aca="false">(BI60+BI106+BI99+BI120)*(BI$4&lt;=In_COD)</f>
        <v>0</v>
      </c>
      <c r="BJ160" s="33" t="n">
        <f aca="false">(BJ60+BJ106+BJ99+BJ120)*(BJ$4&lt;=In_COD)</f>
        <v>0</v>
      </c>
      <c r="BK160" s="33" t="n">
        <f aca="false">(BK60+BK106+BK99+BK120)*(BK$4&lt;=In_COD)</f>
        <v>0</v>
      </c>
      <c r="BL160" s="33" t="n">
        <f aca="false">(BL60+BL106+BL99+BL120)*(BL$4&lt;=In_COD)</f>
        <v>0</v>
      </c>
      <c r="BM160" s="33" t="n">
        <f aca="false">(BM60+BM106+BM99+BM120)*(BM$4&lt;=In_COD)</f>
        <v>0</v>
      </c>
      <c r="BN160" s="33" t="n">
        <f aca="false">(BN60+BN106+BN99+BN120)*(BN$4&lt;=In_COD)</f>
        <v>0</v>
      </c>
      <c r="BO160" s="33" t="n">
        <f aca="false">(BO60+BO106+BO99+BO120)*(BO$4&lt;=In_COD)</f>
        <v>0</v>
      </c>
      <c r="BP160" s="33" t="n">
        <f aca="false">(BP60+BP106+BP99+BP120)*(BP$4&lt;=In_COD)</f>
        <v>0</v>
      </c>
      <c r="BQ160" s="33" t="n">
        <f aca="false">(BQ60+BQ106+BQ99+BQ120)*(BQ$4&lt;=In_COD)</f>
        <v>0</v>
      </c>
      <c r="BR160" s="33" t="n">
        <f aca="false">(BR60+BR106+BR99+BR120)*(BR$4&lt;=In_COD)</f>
        <v>0</v>
      </c>
      <c r="BS160" s="33" t="n">
        <f aca="false">(BS60+BS106+BS99+BS120)*(BS$4&lt;=In_COD)</f>
        <v>0</v>
      </c>
      <c r="BT160" s="33" t="n">
        <f aca="false">(BT60+BT106+BT99+BT120)*(BT$4&lt;=In_COD)</f>
        <v>0</v>
      </c>
      <c r="BU160" s="33" t="n">
        <f aca="false">(BU60+BU106+BU99+BU120)*(BU$4&lt;=In_COD)</f>
        <v>0</v>
      </c>
      <c r="BV160" s="33" t="n">
        <f aca="false">(BV60+BV106+BV99+BV120)*(BV$4&lt;=In_COD)</f>
        <v>0</v>
      </c>
      <c r="BW160" s="33" t="n">
        <f aca="false">(BW60+BW106+BW99+BW120)*(BW$4&lt;=In_COD)</f>
        <v>0</v>
      </c>
      <c r="BX160" s="33" t="n">
        <f aca="false">(BX60+BX106+BX99+BX120)*(BX$4&lt;=In_COD)</f>
        <v>0</v>
      </c>
      <c r="BY160" s="33" t="n">
        <f aca="false">(BY60+BY106+BY99+BY120)*(BY$4&lt;=In_COD)</f>
        <v>0</v>
      </c>
      <c r="BZ160" s="33" t="n">
        <f aca="false">(BZ60+BZ106+BZ99+BZ120)*(BZ$4&lt;=In_COD)</f>
        <v>0</v>
      </c>
      <c r="CA160" s="33" t="n">
        <f aca="false">(CA60+CA106+CA99+CA120)*(CA$4&lt;=In_COD)</f>
        <v>0</v>
      </c>
      <c r="CB160" s="33" t="n">
        <f aca="false">(CB60+CB106+CB99+CB120)*(CB$4&lt;=In_COD)</f>
        <v>0</v>
      </c>
      <c r="CC160" s="33" t="n">
        <f aca="false">(CC60+CC106+CC99+CC120)*(CC$4&lt;=In_COD)</f>
        <v>0</v>
      </c>
      <c r="CD160" s="33" t="n">
        <f aca="false">(CD60+CD106+CD99+CD120)*(CD$4&lt;=In_COD)</f>
        <v>0</v>
      </c>
      <c r="CE160" s="33" t="n">
        <f aca="false">(CE60+CE106+CE99+CE120)*(CE$4&lt;=In_COD)</f>
        <v>0</v>
      </c>
      <c r="CF160" s="33" t="n">
        <f aca="false">(CF60+CF106+CF99+CF120)*(CF$4&lt;=In_COD)</f>
        <v>0</v>
      </c>
      <c r="CG160" s="33" t="n">
        <f aca="false">(CG60+CG106+CG99+CG120)*(CG$4&lt;=In_COD)</f>
        <v>0</v>
      </c>
      <c r="CH160" s="33" t="n">
        <f aca="false">(CH60+CH106+CH99+CH120)*(CH$4&lt;=In_COD)</f>
        <v>0</v>
      </c>
      <c r="CI160" s="33" t="n">
        <f aca="false">(CI60+CI106+CI99+CI120)*(CI$4&lt;=In_COD)</f>
        <v>0</v>
      </c>
      <c r="CJ160" s="33" t="n">
        <f aca="false">(CJ60+CJ106+CJ99+CJ120)*(CJ$4&lt;=In_COD)</f>
        <v>0</v>
      </c>
      <c r="CK160" s="33" t="n">
        <f aca="false">(CK60+CK106+CK99+CK120)*(CK$4&lt;=In_COD)</f>
        <v>0</v>
      </c>
      <c r="CL160" s="33" t="n">
        <f aca="false">(CL60+CL106+CL99+CL120)*(CL$4&lt;=In_COD)</f>
        <v>0</v>
      </c>
      <c r="CM160" s="33" t="n">
        <f aca="false">(CM60+CM106+CM99+CM120)*(CM$4&lt;=In_COD)</f>
        <v>0</v>
      </c>
      <c r="CN160" s="33" t="n">
        <f aca="false">(CN60+CN106+CN99+CN120)*(CN$4&lt;=In_COD)</f>
        <v>0</v>
      </c>
      <c r="CO160" s="33" t="n">
        <f aca="false">(CO60+CO106+CO99+CO120)*(CO$4&lt;=In_COD)</f>
        <v>0</v>
      </c>
      <c r="CP160" s="33" t="n">
        <f aca="false">(CP60+CP106+CP99+CP120)*(CP$4&lt;=In_COD)</f>
        <v>0</v>
      </c>
      <c r="CQ160" s="33" t="n">
        <f aca="false">(CQ60+CQ106+CQ99+CQ120)*(CQ$4&lt;=In_COD)</f>
        <v>0</v>
      </c>
      <c r="CR160" s="33" t="n">
        <f aca="false">(CR60+CR106+CR99+CR120)*(CR$4&lt;=In_COD)</f>
        <v>0</v>
      </c>
      <c r="CS160" s="33" t="n">
        <f aca="false">(CS60+CS106+CS99+CS120)*(CS$4&lt;=In_COD)</f>
        <v>0</v>
      </c>
      <c r="CT160" s="33" t="n">
        <f aca="false">(CT60+CT106+CT99+CT120)*(CT$4&lt;=In_COD)</f>
        <v>0</v>
      </c>
      <c r="CU160" s="33" t="n">
        <f aca="false">(CU60+CU106+CU99+CU120)*(CU$4&lt;=In_COD)</f>
        <v>0</v>
      </c>
      <c r="CV160" s="33" t="n">
        <f aca="false">(CV60+CV106+CV99+CV120)*(CV$4&lt;=In_COD)</f>
        <v>0</v>
      </c>
      <c r="CW160" s="33" t="n">
        <f aca="false">(CW60+CW106+CW99+CW120)*(CW$4&lt;=In_COD)</f>
        <v>0</v>
      </c>
      <c r="CX160" s="33" t="n">
        <f aca="false">(CX60+CX106+CX99+CX120)*(CX$4&lt;=In_COD)</f>
        <v>0</v>
      </c>
      <c r="CY160" s="33" t="n">
        <f aca="false">(CY60+CY106+CY99+CY120)*(CY$4&lt;=In_COD)</f>
        <v>0</v>
      </c>
      <c r="CZ160" s="33" t="n">
        <f aca="false">(CZ60+CZ106+CZ99+CZ120)*(CZ$4&lt;=In_COD)</f>
        <v>0</v>
      </c>
      <c r="DA160" s="33" t="n">
        <f aca="false">(DA60+DA106+DA99+DA120)*(DA$4&lt;=In_COD)</f>
        <v>0</v>
      </c>
      <c r="DB160" s="33" t="n">
        <f aca="false">(DB60+DB106+DB99+DB120)*(DB$4&lt;=In_COD)</f>
        <v>0</v>
      </c>
      <c r="DC160" s="33" t="n">
        <f aca="false">(DC60+DC106+DC99+DC120)*(DC$4&lt;=In_COD)</f>
        <v>0</v>
      </c>
      <c r="DD160" s="33" t="n">
        <f aca="false">(DD60+DD106+DD99+DD120)*(DD$4&lt;=In_COD)</f>
        <v>0</v>
      </c>
      <c r="DE160" s="33" t="n">
        <f aca="false">(DE60+DE106+DE99+DE120)*(DE$4&lt;=In_COD)</f>
        <v>0</v>
      </c>
      <c r="DF160" s="33" t="n">
        <f aca="false">(DF60+DF106+DF99+DF120)*(DF$4&lt;=In_COD)</f>
        <v>0</v>
      </c>
      <c r="DG160" s="33" t="n">
        <f aca="false">(DG60+DG106+DG99+DG120)*(DG$4&lt;=In_COD)</f>
        <v>0</v>
      </c>
      <c r="DH160" s="33" t="n">
        <f aca="false">(DH60+DH106+DH99+DH120)*(DH$4&lt;=In_COD)</f>
        <v>0</v>
      </c>
      <c r="DI160" s="33" t="n">
        <f aca="false">(DI60+DI106+DI99+DI120)*(DI$4&lt;=In_COD)</f>
        <v>0</v>
      </c>
      <c r="DJ160" s="33" t="n">
        <f aca="false">(DJ60+DJ106+DJ99+DJ120)*(DJ$4&lt;=In_COD)</f>
        <v>0</v>
      </c>
      <c r="DK160" s="33" t="n">
        <f aca="false">(DK60+DK106+DK99+DK120)*(DK$4&lt;=In_COD)</f>
        <v>0</v>
      </c>
      <c r="DL160" s="33" t="n">
        <f aca="false">(DL60+DL106+DL99+DL120)*(DL$4&lt;=In_COD)</f>
        <v>0</v>
      </c>
      <c r="DM160" s="33" t="n">
        <f aca="false">(DM60+DM106+DM99+DM120)*(DM$4&lt;=In_COD)</f>
        <v>0</v>
      </c>
      <c r="DN160" s="33" t="n">
        <f aca="false">(DN60+DN106+DN99+DN120)*(DN$4&lt;=In_COD)</f>
        <v>0</v>
      </c>
      <c r="DO160" s="33" t="n">
        <f aca="false">(DO60+DO106+DO99+DO120)*(DO$4&lt;=In_COD)</f>
        <v>0</v>
      </c>
      <c r="DP160" s="33" t="n">
        <f aca="false">(DP60+DP106+DP99+DP120)*(DP$4&lt;=In_COD)</f>
        <v>0</v>
      </c>
      <c r="DQ160" s="33" t="n">
        <f aca="false">(DQ60+DQ106+DQ99+DQ120)*(DQ$4&lt;=In_COD)</f>
        <v>0</v>
      </c>
      <c r="DR160" s="33" t="n">
        <f aca="false">(DR60+DR106+DR99+DR120)*(DR$4&lt;=In_COD)</f>
        <v>0</v>
      </c>
      <c r="DS160" s="33" t="n">
        <f aca="false">(DS60+DS106+DS99+DS120)*(DS$4&lt;=In_COD)</f>
        <v>0</v>
      </c>
      <c r="DT160" s="33" t="n">
        <f aca="false">(DT60+DT106+DT99+DT120)*(DT$4&lt;=In_COD)</f>
        <v>0</v>
      </c>
      <c r="DU160" s="33" t="n">
        <f aca="false">(DU60+DU106+DU99+DU120)*(DU$4&lt;=In_COD)</f>
        <v>0</v>
      </c>
      <c r="DV160" s="33" t="n">
        <f aca="false">(DV60+DV106+DV99+DV120)*(DV$4&lt;=In_COD)</f>
        <v>0</v>
      </c>
      <c r="DW160" s="33" t="n">
        <f aca="false">(DW60+DW106+DW99+DW120)*(DW$4&lt;=In_COD)</f>
        <v>0</v>
      </c>
      <c r="DX160" s="33" t="n">
        <f aca="false">(DX60+DX106+DX99+DX120)*(DX$4&lt;=In_COD)</f>
        <v>0</v>
      </c>
      <c r="DY160" s="33" t="n">
        <f aca="false">(DY60+DY106+DY99+DY120)*(DY$4&lt;=In_COD)</f>
        <v>0</v>
      </c>
      <c r="DZ160" s="33" t="n">
        <f aca="false">(DZ60+DZ106+DZ99+DZ120)*(DZ$4&lt;=In_COD)</f>
        <v>0</v>
      </c>
      <c r="EA160" s="33" t="n">
        <f aca="false">(EA60+EA106+EA99+EA120)*(EA$4&lt;=In_COD)</f>
        <v>0</v>
      </c>
      <c r="EB160" s="33" t="n">
        <f aca="false">(EB60+EB106+EB99+EB120)*(EB$4&lt;=In_COD)</f>
        <v>0</v>
      </c>
      <c r="EC160" s="33" t="n">
        <f aca="false">(EC60+EC106+EC99+EC120)*(EC$4&lt;=In_COD)</f>
        <v>0</v>
      </c>
      <c r="ED160" s="33" t="n">
        <f aca="false">(ED60+ED106+ED99+ED120)*(ED$4&lt;=In_COD)</f>
        <v>0</v>
      </c>
      <c r="EE160" s="33" t="n">
        <f aca="false">(EE60+EE106+EE99+EE120)*(EE$4&lt;=In_COD)</f>
        <v>0</v>
      </c>
      <c r="EF160" s="33" t="n">
        <f aca="false">(EF60+EF106+EF99+EF120)*(EF$4&lt;=In_COD)</f>
        <v>0</v>
      </c>
      <c r="EG160" s="33" t="n">
        <f aca="false">(EG60+EG106+EG99+EG120)*(EG$4&lt;=In_COD)</f>
        <v>0</v>
      </c>
      <c r="EH160" s="33" t="n">
        <f aca="false">(EH60+EH106+EH99+EH120)*(EH$4&lt;=In_COD)</f>
        <v>0</v>
      </c>
      <c r="EI160" s="33" t="n">
        <f aca="false">(EI60+EI106+EI99+EI120)*(EI$4&lt;=In_COD)</f>
        <v>0</v>
      </c>
      <c r="EJ160" s="33" t="n">
        <f aca="false">(EJ60+EJ106+EJ99+EJ120)*(EJ$4&lt;=In_COD)</f>
        <v>0</v>
      </c>
      <c r="EK160" s="33" t="n">
        <f aca="false">(EK60+EK106+EK99+EK120)*(EK$4&lt;=In_COD)</f>
        <v>0</v>
      </c>
      <c r="EL160" s="33" t="n">
        <f aca="false">(EL60+EL106+EL99+EL120)*(EL$4&lt;=In_COD)</f>
        <v>0</v>
      </c>
      <c r="EM160" s="33" t="n">
        <f aca="false">(EM60+EM106+EM99+EM120)*(EM$4&lt;=In_COD)</f>
        <v>0</v>
      </c>
      <c r="EN160" s="33" t="n">
        <f aca="false">(EN60+EN106+EN99+EN120)*(EN$4&lt;=In_COD)</f>
        <v>0</v>
      </c>
      <c r="EO160" s="33" t="n">
        <f aca="false">(EO60+EO106+EO99+EO120)*(EO$4&lt;=In_COD)</f>
        <v>0</v>
      </c>
      <c r="EP160" s="33" t="n">
        <f aca="false">(EP60+EP106+EP99+EP120)*(EP$4&lt;=In_COD)</f>
        <v>0</v>
      </c>
      <c r="EQ160" s="33" t="n">
        <f aca="false">(EQ60+EQ106+EQ99+EQ120)*(EQ$4&lt;=In_COD)</f>
        <v>0</v>
      </c>
      <c r="ER160" s="33" t="n">
        <f aca="false">(ER60+ER106+ER99+ER120)*(ER$4&lt;=In_COD)</f>
        <v>0</v>
      </c>
      <c r="ES160" s="33" t="n">
        <f aca="false">(ES60+ES106+ES99+ES120)*(ES$4&lt;=In_COD)</f>
        <v>0</v>
      </c>
      <c r="ET160" s="33" t="n">
        <f aca="false">(ET60+ET106+ET99+ET120)*(ET$4&lt;=In_COD)</f>
        <v>0</v>
      </c>
    </row>
    <row r="161" customFormat="false" ht="15" hidden="false" customHeight="false" outlineLevel="0" collapsed="false">
      <c r="C161" s="0" t="s">
        <v>601</v>
      </c>
      <c r="D161" s="11" t="s">
        <v>253</v>
      </c>
      <c r="E161" s="33" t="n">
        <f aca="false">SUMPRODUCT($J161:$ET161,$J21:$ET21)</f>
        <v>-2474.54304721128</v>
      </c>
      <c r="I161" s="33" t="n">
        <f aca="false">SUM(J161:ET161)</f>
        <v>-6307.65794259604</v>
      </c>
      <c r="J161" s="33" t="n">
        <f aca="false">-($E31*In_Delivered-In_Ref_Community)*J112*(1-In_CIT)/Thousand</f>
        <v>-0</v>
      </c>
      <c r="K161" s="33" t="n">
        <f aca="false">-($E31*In_Delivered-In_Ref_Community)*K112*(1-In_CIT)/Thousand</f>
        <v>-0</v>
      </c>
      <c r="L161" s="33" t="n">
        <f aca="false">-($E31*In_Delivered-In_Ref_Community)*L112*(1-In_CIT)/Thousand</f>
        <v>-0</v>
      </c>
      <c r="M161" s="33" t="n">
        <f aca="false">-($E31*In_Delivered-In_Ref_Community)*M112*(1-In_CIT)/Thousand</f>
        <v>-0</v>
      </c>
      <c r="N161" s="33" t="n">
        <f aca="false">-($E31*In_Delivered-In_Ref_Community)*N112*(1-In_CIT)/Thousand</f>
        <v>-0</v>
      </c>
      <c r="O161" s="33" t="n">
        <f aca="false">-($E31*In_Delivered-In_Ref_Community)*O112*(1-In_CIT)/Thousand</f>
        <v>-0</v>
      </c>
      <c r="P161" s="33" t="n">
        <f aca="false">-($E31*In_Delivered-In_Ref_Community)*P112*(1-In_CIT)/Thousand</f>
        <v>-0</v>
      </c>
      <c r="Q161" s="33" t="n">
        <f aca="false">-($E31*In_Delivered-In_Ref_Community)*Q112*(1-In_CIT)/Thousand</f>
        <v>-0</v>
      </c>
      <c r="R161" s="33" t="n">
        <f aca="false">-($E31*In_Delivered-In_Ref_Community)*R112*(1-In_CIT)/Thousand</f>
        <v>-0</v>
      </c>
      <c r="S161" s="33" t="n">
        <f aca="false">-($E31*In_Delivered-In_Ref_Community)*S112*(1-In_CIT)/Thousand</f>
        <v>-0</v>
      </c>
      <c r="T161" s="33" t="n">
        <f aca="false">-($E31*In_Delivered-In_Ref_Community)*T112*(1-In_CIT)/Thousand</f>
        <v>-0</v>
      </c>
      <c r="U161" s="33" t="n">
        <f aca="false">-($E31*In_Delivered-In_Ref_Community)*U112*(1-In_CIT)/Thousand</f>
        <v>-0</v>
      </c>
      <c r="V161" s="33" t="n">
        <f aca="false">-($E31*In_Delivered-In_Ref_Community)*V112*(1-In_CIT)/Thousand</f>
        <v>-0</v>
      </c>
      <c r="W161" s="33" t="n">
        <f aca="false">-($E31*In_Delivered-In_Ref_Community)*W112*(1-In_CIT)/Thousand</f>
        <v>-0</v>
      </c>
      <c r="X161" s="33" t="n">
        <f aca="false">-($E31*In_Delivered-In_Ref_Community)*X112*(1-In_CIT)/Thousand</f>
        <v>-0</v>
      </c>
      <c r="Y161" s="33" t="n">
        <f aca="false">-($E31*In_Delivered-In_Ref_Community)*Y112*(1-In_CIT)/Thousand</f>
        <v>-0</v>
      </c>
      <c r="Z161" s="33" t="n">
        <f aca="false">-($E31*In_Delivered-In_Ref_Community)*Z112*(1-In_CIT)/Thousand</f>
        <v>-0</v>
      </c>
      <c r="AA161" s="33" t="n">
        <f aca="false">-($E31*In_Delivered-In_Ref_Community)*AA112*(1-In_CIT)/Thousand</f>
        <v>-0</v>
      </c>
      <c r="AB161" s="33" t="n">
        <f aca="false">-($E31*In_Delivered-In_Ref_Community)*AB112*(1-In_CIT)/Thousand</f>
        <v>-0</v>
      </c>
      <c r="AC161" s="33" t="n">
        <f aca="false">-($E31*In_Delivered-In_Ref_Community)*AC112*(1-In_CIT)/Thousand</f>
        <v>-0</v>
      </c>
      <c r="AD161" s="33" t="n">
        <f aca="false">-($E31*In_Delivered-In_Ref_Community)*AD112*(1-In_CIT)/Thousand</f>
        <v>-0</v>
      </c>
      <c r="AE161" s="33" t="n">
        <f aca="false">-($E31*In_Delivered-In_Ref_Community)*AE112*(1-In_CIT)/Thousand</f>
        <v>-55.2964865753425</v>
      </c>
      <c r="AF161" s="33" t="n">
        <f aca="false">-($E31*In_Delivered-In_Ref_Community)*AF112*(1-In_CIT)/Thousand</f>
        <v>-54.6954378082192</v>
      </c>
      <c r="AG161" s="33" t="n">
        <f aca="false">-($E31*In_Delivered-In_Ref_Community)*AG112*(1-In_CIT)/Thousand</f>
        <v>-54.6954378082192</v>
      </c>
      <c r="AH161" s="33" t="n">
        <f aca="false">-($E31*In_Delivered-In_Ref_Community)*AH112*(1-In_CIT)/Thousand</f>
        <v>-55.2964865753425</v>
      </c>
      <c r="AI161" s="33" t="n">
        <f aca="false">-($E31*In_Delivered-In_Ref_Community)*AI112*(1-In_CIT)/Thousand</f>
        <v>-55.1305971156164</v>
      </c>
      <c r="AJ161" s="33" t="n">
        <f aca="false">-($E31*In_Delivered-In_Ref_Community)*AJ112*(1-In_CIT)/Thousand</f>
        <v>-53.9321058739726</v>
      </c>
      <c r="AK161" s="33" t="n">
        <f aca="false">-($E31*In_Delivered-In_Ref_Community)*AK112*(1-In_CIT)/Thousand</f>
        <v>-54.5313514947945</v>
      </c>
      <c r="AL161" s="33" t="n">
        <f aca="false">-($E31*In_Delivered-In_Ref_Community)*AL112*(1-In_CIT)/Thousand</f>
        <v>-55.1305971156164</v>
      </c>
      <c r="AM161" s="33" t="n">
        <f aca="false">-($E31*In_Delivered-In_Ref_Community)*AM112*(1-In_CIT)/Thousand</f>
        <v>-54.9652053242696</v>
      </c>
      <c r="AN161" s="33" t="n">
        <f aca="false">-($E31*In_Delivered-In_Ref_Community)*AN112*(1-In_CIT)/Thousand</f>
        <v>-53.7703095563507</v>
      </c>
      <c r="AO161" s="33" t="n">
        <f aca="false">-($E31*In_Delivered-In_Ref_Community)*AO112*(1-In_CIT)/Thousand</f>
        <v>-54.3677574403101</v>
      </c>
      <c r="AP161" s="33" t="n">
        <f aca="false">-($E31*In_Delivered-In_Ref_Community)*AP112*(1-In_CIT)/Thousand</f>
        <v>-54.9652053242696</v>
      </c>
      <c r="AQ161" s="33" t="n">
        <f aca="false">-($E31*In_Delivered-In_Ref_Community)*AQ112*(1-In_CIT)/Thousand</f>
        <v>-54.8003097082968</v>
      </c>
      <c r="AR161" s="33" t="n">
        <f aca="false">-($E31*In_Delivered-In_Ref_Community)*AR112*(1-In_CIT)/Thousand</f>
        <v>-53.6089986276816</v>
      </c>
      <c r="AS161" s="33" t="n">
        <f aca="false">-($E31*In_Delivered-In_Ref_Community)*AS112*(1-In_CIT)/Thousand</f>
        <v>-54.2046541679892</v>
      </c>
      <c r="AT161" s="33" t="n">
        <f aca="false">-($E31*In_Delivered-In_Ref_Community)*AT112*(1-In_CIT)/Thousand</f>
        <v>-54.8003097082968</v>
      </c>
      <c r="AU161" s="33" t="n">
        <f aca="false">-($E31*In_Delivered-In_Ref_Community)*AU112*(1-In_CIT)/Thousand</f>
        <v>-54.6359087791719</v>
      </c>
      <c r="AV161" s="33" t="n">
        <f aca="false">-($E31*In_Delivered-In_Ref_Community)*AV112*(1-In_CIT)/Thousand</f>
        <v>-54.0420402054852</v>
      </c>
      <c r="AW161" s="33" t="n">
        <f aca="false">-($E31*In_Delivered-In_Ref_Community)*AW112*(1-In_CIT)/Thousand</f>
        <v>-54.0420402054852</v>
      </c>
      <c r="AX161" s="33" t="n">
        <f aca="false">-($E31*In_Delivered-In_Ref_Community)*AX112*(1-In_CIT)/Thousand</f>
        <v>-54.6359087791719</v>
      </c>
      <c r="AY161" s="33" t="n">
        <f aca="false">-($E31*In_Delivered-In_Ref_Community)*AY112*(1-In_CIT)/Thousand</f>
        <v>-54.4720010528344</v>
      </c>
      <c r="AZ161" s="33" t="n">
        <f aca="false">-($E31*In_Delivered-In_Ref_Community)*AZ112*(1-In_CIT)/Thousand</f>
        <v>-53.2878271169032</v>
      </c>
      <c r="BA161" s="33" t="n">
        <f aca="false">-($E31*In_Delivered-In_Ref_Community)*BA112*(1-In_CIT)/Thousand</f>
        <v>-53.8799140848688</v>
      </c>
      <c r="BB161" s="33" t="n">
        <f aca="false">-($E31*In_Delivered-In_Ref_Community)*BB112*(1-In_CIT)/Thousand</f>
        <v>-54.4720010528344</v>
      </c>
      <c r="BC161" s="33" t="n">
        <f aca="false">-($E31*In_Delivered-In_Ref_Community)*BC112*(1-In_CIT)/Thousand</f>
        <v>-54.3085850496759</v>
      </c>
      <c r="BD161" s="33" t="n">
        <f aca="false">-($E31*In_Delivered-In_Ref_Community)*BD112*(1-In_CIT)/Thousand</f>
        <v>-53.1279636355525</v>
      </c>
      <c r="BE161" s="33" t="n">
        <f aca="false">-($E31*In_Delivered-In_Ref_Community)*BE112*(1-In_CIT)/Thousand</f>
        <v>-53.7182743426142</v>
      </c>
      <c r="BF161" s="33" t="n">
        <f aca="false">-($E31*In_Delivered-In_Ref_Community)*BF112*(1-In_CIT)/Thousand</f>
        <v>-54.3085850496759</v>
      </c>
      <c r="BG161" s="33" t="n">
        <f aca="false">-($E31*In_Delivered-In_Ref_Community)*BG112*(1-In_CIT)/Thousand</f>
        <v>-54.1456592945269</v>
      </c>
      <c r="BH161" s="33" t="n">
        <f aca="false">-($E31*In_Delivered-In_Ref_Community)*BH112*(1-In_CIT)/Thousand</f>
        <v>-52.9685797446458</v>
      </c>
      <c r="BI161" s="33" t="n">
        <f aca="false">-($E31*In_Delivered-In_Ref_Community)*BI112*(1-In_CIT)/Thousand</f>
        <v>-53.5571195195863</v>
      </c>
      <c r="BJ161" s="33" t="n">
        <f aca="false">-($E31*In_Delivered-In_Ref_Community)*BJ112*(1-In_CIT)/Thousand</f>
        <v>-54.1456592945269</v>
      </c>
      <c r="BK161" s="33" t="n">
        <f aca="false">-($E31*In_Delivered-In_Ref_Community)*BK112*(1-In_CIT)/Thousand</f>
        <v>-53.9832223166433</v>
      </c>
      <c r="BL161" s="33" t="n">
        <f aca="false">-($E31*In_Delivered-In_Ref_Community)*BL112*(1-In_CIT)/Thousand</f>
        <v>-53.3964481610276</v>
      </c>
      <c r="BM161" s="33" t="n">
        <f aca="false">-($E31*In_Delivered-In_Ref_Community)*BM112*(1-In_CIT)/Thousand</f>
        <v>-53.3964481610276</v>
      </c>
      <c r="BN161" s="33" t="n">
        <f aca="false">-($E31*In_Delivered-In_Ref_Community)*BN112*(1-In_CIT)/Thousand</f>
        <v>-53.9832223166433</v>
      </c>
      <c r="BO161" s="33" t="n">
        <f aca="false">-($E31*In_Delivered-In_Ref_Community)*BO112*(1-In_CIT)/Thousand</f>
        <v>-53.8212726496933</v>
      </c>
      <c r="BP161" s="33" t="n">
        <f aca="false">-($E31*In_Delivered-In_Ref_Community)*BP112*(1-In_CIT)/Thousand</f>
        <v>-52.6512449833957</v>
      </c>
      <c r="BQ161" s="33" t="n">
        <f aca="false">-($E31*In_Delivered-In_Ref_Community)*BQ112*(1-In_CIT)/Thousand</f>
        <v>-53.2362588165445</v>
      </c>
      <c r="BR161" s="33" t="n">
        <f aca="false">-($E31*In_Delivered-In_Ref_Community)*BR112*(1-In_CIT)/Thousand</f>
        <v>-53.8212726496933</v>
      </c>
      <c r="BS161" s="33" t="n">
        <f aca="false">-($E31*In_Delivered-In_Ref_Community)*BS112*(1-In_CIT)/Thousand</f>
        <v>-53.6598088317443</v>
      </c>
      <c r="BT161" s="33" t="n">
        <f aca="false">-($E31*In_Delivered-In_Ref_Community)*BT112*(1-In_CIT)/Thousand</f>
        <v>-52.4932912484455</v>
      </c>
      <c r="BU161" s="33" t="n">
        <f aca="false">-($E31*In_Delivered-In_Ref_Community)*BU112*(1-In_CIT)/Thousand</f>
        <v>-53.0765500400949</v>
      </c>
      <c r="BV161" s="33" t="n">
        <f aca="false">-($E31*In_Delivered-In_Ref_Community)*BV112*(1-In_CIT)/Thousand</f>
        <v>-53.6598088317443</v>
      </c>
      <c r="BW161" s="33" t="n">
        <f aca="false">-($E31*In_Delivered-In_Ref_Community)*BW112*(1-In_CIT)/Thousand</f>
        <v>-53.498829405249</v>
      </c>
      <c r="BX161" s="33" t="n">
        <f aca="false">-($E31*In_Delivered-In_Ref_Community)*BX112*(1-In_CIT)/Thousand</f>
        <v>-52.3358113747001</v>
      </c>
      <c r="BY161" s="33" t="n">
        <f aca="false">-($E31*In_Delivered-In_Ref_Community)*BY112*(1-In_CIT)/Thousand</f>
        <v>-52.9173203899746</v>
      </c>
      <c r="BZ161" s="33" t="n">
        <f aca="false">-($E31*In_Delivered-In_Ref_Community)*BZ112*(1-In_CIT)/Thousand</f>
        <v>-53.498829405249</v>
      </c>
      <c r="CA161" s="33" t="n">
        <f aca="false">-($E31*In_Delivered-In_Ref_Community)*CA112*(1-In_CIT)/Thousand</f>
        <v>-53.3383329170333</v>
      </c>
      <c r="CB161" s="33" t="n">
        <f aca="false">-($E31*In_Delivered-In_Ref_Community)*CB112*(1-In_CIT)/Thousand</f>
        <v>-52.7585684288047</v>
      </c>
      <c r="CC161" s="33" t="n">
        <f aca="false">-($E31*In_Delivered-In_Ref_Community)*CC112*(1-In_CIT)/Thousand</f>
        <v>-52.7585684288047</v>
      </c>
      <c r="CD161" s="33" t="n">
        <f aca="false">-($E31*In_Delivered-In_Ref_Community)*CD112*(1-In_CIT)/Thousand</f>
        <v>-53.3383329170333</v>
      </c>
      <c r="CE161" s="33" t="n">
        <f aca="false">-($E31*In_Delivered-In_Ref_Community)*CE112*(1-In_CIT)/Thousand</f>
        <v>-53.1783179182822</v>
      </c>
      <c r="CF161" s="33" t="n">
        <f aca="false">-($E31*In_Delivered-In_Ref_Community)*CF112*(1-In_CIT)/Thousand</f>
        <v>-52.0222675287543</v>
      </c>
      <c r="CG161" s="33" t="n">
        <f aca="false">-($E31*In_Delivered-In_Ref_Community)*CG112*(1-In_CIT)/Thousand</f>
        <v>-52.6002927235182</v>
      </c>
      <c r="CH161" s="33" t="n">
        <f aca="false">-($E31*In_Delivered-In_Ref_Community)*CH112*(1-In_CIT)/Thousand</f>
        <v>-53.1783179182822</v>
      </c>
      <c r="CI161" s="33" t="n">
        <f aca="false">-($E31*In_Delivered-In_Ref_Community)*CI112*(1-In_CIT)/Thousand</f>
        <v>-53.0187829645273</v>
      </c>
      <c r="CJ161" s="33" t="n">
        <f aca="false">-($E31*In_Delivered-In_Ref_Community)*CJ112*(1-In_CIT)/Thousand</f>
        <v>-51.866200726168</v>
      </c>
      <c r="CK161" s="33" t="n">
        <f aca="false">-($E31*In_Delivered-In_Ref_Community)*CK112*(1-In_CIT)/Thousand</f>
        <v>-52.4424918453477</v>
      </c>
      <c r="CL161" s="33" t="n">
        <f aca="false">-($E31*In_Delivered-In_Ref_Community)*CL112*(1-In_CIT)/Thousand</f>
        <v>-53.0187829645273</v>
      </c>
      <c r="CM161" s="33" t="n">
        <f aca="false">-($E31*In_Delivered-In_Ref_Community)*CM112*(1-In_CIT)/Thousand</f>
        <v>-52.8597266156338</v>
      </c>
      <c r="CN161" s="33" t="n">
        <f aca="false">-($E31*In_Delivered-In_Ref_Community)*CN112*(1-In_CIT)/Thousand</f>
        <v>-51.7106021239895</v>
      </c>
      <c r="CO161" s="33" t="n">
        <f aca="false">-($E31*In_Delivered-In_Ref_Community)*CO112*(1-In_CIT)/Thousand</f>
        <v>-52.2851643698116</v>
      </c>
      <c r="CP161" s="33" t="n">
        <f aca="false">-($E31*In_Delivered-In_Ref_Community)*CP112*(1-In_CIT)/Thousand</f>
        <v>-52.8597266156338</v>
      </c>
      <c r="CQ161" s="33" t="n">
        <f aca="false">-($E31*In_Delivered-In_Ref_Community)*CQ112*(1-In_CIT)/Thousand</f>
        <v>-52.7011474357869</v>
      </c>
      <c r="CR161" s="33" t="n">
        <f aca="false">-($E31*In_Delivered-In_Ref_Community)*CR112*(1-In_CIT)/Thousand</f>
        <v>-52.1283088767022</v>
      </c>
      <c r="CS161" s="33" t="n">
        <f aca="false">-($E31*In_Delivered-In_Ref_Community)*CS112*(1-In_CIT)/Thousand</f>
        <v>-52.1283088767022</v>
      </c>
      <c r="CT161" s="33" t="n">
        <f aca="false">-($E31*In_Delivered-In_Ref_Community)*CT112*(1-In_CIT)/Thousand</f>
        <v>-52.7011474357869</v>
      </c>
      <c r="CU161" s="33" t="n">
        <f aca="false">-($E31*In_Delivered-In_Ref_Community)*CU112*(1-In_CIT)/Thousand</f>
        <v>-52.5430439934795</v>
      </c>
      <c r="CV161" s="33" t="n">
        <f aca="false">-($E31*In_Delivered-In_Ref_Community)*CV112*(1-In_CIT)/Thousand</f>
        <v>-51.4008039066647</v>
      </c>
      <c r="CW161" s="33" t="n">
        <f aca="false">-($E31*In_Delivered-In_Ref_Community)*CW112*(1-In_CIT)/Thousand</f>
        <v>-51.9719239500721</v>
      </c>
      <c r="CX161" s="33" t="n">
        <f aca="false">-($E31*In_Delivered-In_Ref_Community)*CX112*(1-In_CIT)/Thousand</f>
        <v>-52.5430439934795</v>
      </c>
      <c r="CY161" s="33" t="n">
        <f aca="false">-($E31*In_Delivered-In_Ref_Community)*CY112*(1-In_CIT)/Thousand</f>
        <v>-52.3854148614991</v>
      </c>
      <c r="CZ161" s="33" t="n">
        <f aca="false">-($E31*In_Delivered-In_Ref_Community)*CZ112*(1-In_CIT)/Thousand</f>
        <v>-51.2466014949447</v>
      </c>
      <c r="DA161" s="33" t="n">
        <f aca="false">-($E31*In_Delivered-In_Ref_Community)*DA112*(1-In_CIT)/Thousand</f>
        <v>-51.8160081782219</v>
      </c>
      <c r="DB161" s="33" t="n">
        <f aca="false">-($E31*In_Delivered-In_Ref_Community)*DB112*(1-In_CIT)/Thousand</f>
        <v>-52.3854148614991</v>
      </c>
      <c r="DC161" s="33" t="n">
        <f aca="false">-($E31*In_Delivered-In_Ref_Community)*DC112*(1-In_CIT)/Thousand</f>
        <v>-52.2282586169146</v>
      </c>
      <c r="DD161" s="33" t="n">
        <f aca="false">-($E31*In_Delivered-In_Ref_Community)*DD112*(1-In_CIT)/Thousand</f>
        <v>-51.0928616904599</v>
      </c>
      <c r="DE161" s="33" t="n">
        <f aca="false">-($E31*In_Delivered-In_Ref_Community)*DE112*(1-In_CIT)/Thousand</f>
        <v>-51.6605601536872</v>
      </c>
      <c r="DF161" s="33" t="n">
        <f aca="false">-($E31*In_Delivered-In_Ref_Community)*DF112*(1-In_CIT)/Thousand</f>
        <v>-52.2282586169146</v>
      </c>
      <c r="DG161" s="33" t="n">
        <f aca="false">-($E31*In_Delivered-In_Ref_Community)*DG112*(1-In_CIT)/Thousand</f>
        <v>-52.0715738410638</v>
      </c>
      <c r="DH161" s="33" t="n">
        <f aca="false">-($E31*In_Delivered-In_Ref_Community)*DH112*(1-In_CIT)/Thousand</f>
        <v>-51.5055784732262</v>
      </c>
      <c r="DI161" s="33" t="n">
        <f aca="false">-($E31*In_Delivered-In_Ref_Community)*DI112*(1-In_CIT)/Thousand</f>
        <v>-51.5055784732262</v>
      </c>
      <c r="DJ161" s="33" t="n">
        <f aca="false">-($E31*In_Delivered-In_Ref_Community)*DJ112*(1-In_CIT)/Thousand</f>
        <v>-52.0715738410638</v>
      </c>
      <c r="DK161" s="33" t="n">
        <f aca="false">-($E31*In_Delivered-In_Ref_Community)*DK112*(1-In_CIT)/Thousand</f>
        <v>-51.9153591195406</v>
      </c>
      <c r="DL161" s="33" t="n">
        <f aca="false">-($E31*In_Delivered-In_Ref_Community)*DL112*(1-In_CIT)/Thousand</f>
        <v>-50.7867643560723</v>
      </c>
      <c r="DM161" s="33" t="n">
        <f aca="false">-($E31*In_Delivered-In_Ref_Community)*DM112*(1-In_CIT)/Thousand</f>
        <v>-51.3510617378065</v>
      </c>
      <c r="DN161" s="33" t="n">
        <f aca="false">-($E31*In_Delivered-In_Ref_Community)*DN112*(1-In_CIT)/Thousand</f>
        <v>-51.9153591195406</v>
      </c>
      <c r="DO161" s="33" t="n">
        <f aca="false">-($E31*In_Delivered-In_Ref_Community)*DO112*(1-In_CIT)/Thousand</f>
        <v>-51.759613042182</v>
      </c>
      <c r="DP161" s="33" t="n">
        <f aca="false">-($E31*In_Delivered-In_Ref_Community)*DP112*(1-In_CIT)/Thousand</f>
        <v>-50.6344040630041</v>
      </c>
      <c r="DQ161" s="33" t="n">
        <f aca="false">-($E31*In_Delivered-In_Ref_Community)*DQ112*(1-In_CIT)/Thousand</f>
        <v>-51.1970085525931</v>
      </c>
      <c r="DR161" s="33" t="n">
        <f aca="false">-($E31*In_Delivered-In_Ref_Community)*DR112*(1-In_CIT)/Thousand</f>
        <v>-51.759613042182</v>
      </c>
      <c r="DS161" s="33" t="n">
        <f aca="false">-($E31*In_Delivered-In_Ref_Community)*DS112*(1-In_CIT)/Thousand</f>
        <v>-51.6043342030555</v>
      </c>
      <c r="DT161" s="33" t="n">
        <f aca="false">-($E31*In_Delivered-In_Ref_Community)*DT112*(1-In_CIT)/Thousand</f>
        <v>-50.4825008508151</v>
      </c>
      <c r="DU161" s="33" t="n">
        <f aca="false">-($E31*In_Delivered-In_Ref_Community)*DU112*(1-In_CIT)/Thousand</f>
        <v>-51.0434175269353</v>
      </c>
      <c r="DV161" s="33" t="n">
        <f aca="false">-($E31*In_Delivered-In_Ref_Community)*DV112*(1-In_CIT)/Thousand</f>
        <v>-51.6043342030555</v>
      </c>
      <c r="DW161" s="33" t="n">
        <f aca="false">-($E31*In_Delivered-In_Ref_Community)*DW112*(1-In_CIT)/Thousand</f>
        <v>-51.4495212004463</v>
      </c>
      <c r="DX161" s="33" t="n">
        <f aca="false">-($E31*In_Delivered-In_Ref_Community)*DX112*(1-In_CIT)/Thousand</f>
        <v>-50.8902872743545</v>
      </c>
      <c r="DY161" s="33" t="n">
        <f aca="false">-($E31*In_Delivered-In_Ref_Community)*DY112*(1-In_CIT)/Thousand</f>
        <v>-50.8902872743545</v>
      </c>
      <c r="DZ161" s="33" t="n">
        <f aca="false">-($E31*In_Delivered-In_Ref_Community)*DZ112*(1-In_CIT)/Thousand</f>
        <v>-51.4495212004463</v>
      </c>
      <c r="EA161" s="33" t="n">
        <f aca="false">-($E31*In_Delivered-In_Ref_Community)*EA112*(1-In_CIT)/Thousand</f>
        <v>-51.2951726368449</v>
      </c>
      <c r="EB161" s="33" t="n">
        <f aca="false">-($E31*In_Delivered-In_Ref_Community)*EB112*(1-In_CIT)/Thousand</f>
        <v>-50.1800601882179</v>
      </c>
      <c r="EC161" s="33" t="n">
        <f aca="false">-($E31*In_Delivered-In_Ref_Community)*EC112*(1-In_CIT)/Thousand</f>
        <v>-50.7376164125314</v>
      </c>
      <c r="ED161" s="33" t="n">
        <f aca="false">-($E31*In_Delivered-In_Ref_Community)*ED112*(1-In_CIT)/Thousand</f>
        <v>-51.2951726368449</v>
      </c>
      <c r="EE161" s="33" t="n">
        <f aca="false">-($E31*In_Delivered-In_Ref_Community)*EE112*(1-In_CIT)/Thousand</f>
        <v>-51.1412871189344</v>
      </c>
      <c r="EF161" s="33" t="n">
        <f aca="false">-($E31*In_Delivered-In_Ref_Community)*EF112*(1-In_CIT)/Thousand</f>
        <v>-50.0295200076532</v>
      </c>
      <c r="EG161" s="33" t="n">
        <f aca="false">-($E31*In_Delivered-In_Ref_Community)*EG112*(1-In_CIT)/Thousand</f>
        <v>-50.5854035632938</v>
      </c>
      <c r="EH161" s="33" t="n">
        <f aca="false">-($E31*In_Delivered-In_Ref_Community)*EH112*(1-In_CIT)/Thousand</f>
        <v>-51.1412871189344</v>
      </c>
      <c r="EI161" s="33" t="n">
        <f aca="false">-($E31*In_Delivered-In_Ref_Community)*EI112*(1-In_CIT)/Thousand</f>
        <v>-50.9878632575776</v>
      </c>
      <c r="EJ161" s="33" t="n">
        <f aca="false">-($E31*In_Delivered-In_Ref_Community)*EJ112*(1-In_CIT)/Thousand</f>
        <v>-49.8794314476303</v>
      </c>
      <c r="EK161" s="33" t="n">
        <f aca="false">-($E31*In_Delivered-In_Ref_Community)*EK112*(1-In_CIT)/Thousand</f>
        <v>-50.4336473526039</v>
      </c>
      <c r="EL161" s="33" t="n">
        <f aca="false">-($E31*In_Delivered-In_Ref_Community)*EL112*(1-In_CIT)/Thousand</f>
        <v>-50.9878632575776</v>
      </c>
      <c r="EM161" s="33" t="n">
        <f aca="false">-($E31*In_Delivered-In_Ref_Community)*EM112*(1-In_CIT)/Thousand</f>
        <v>-50.8348996678049</v>
      </c>
      <c r="EN161" s="33" t="n">
        <f aca="false">-($E31*In_Delivered-In_Ref_Community)*EN112*(1-In_CIT)/Thousand</f>
        <v>-50.2823464105461</v>
      </c>
      <c r="EO161" s="33" t="n">
        <f aca="false">-($E31*In_Delivered-In_Ref_Community)*EO112*(1-In_CIT)/Thousand</f>
        <v>-50.2823464105461</v>
      </c>
      <c r="EP161" s="33" t="n">
        <f aca="false">-($E31*In_Delivered-In_Ref_Community)*EP112*(1-In_CIT)/Thousand</f>
        <v>-50.8348996678049</v>
      </c>
      <c r="EQ161" s="33" t="n">
        <f aca="false">-($E31*In_Delivered-In_Ref_Community)*EQ112*(1-In_CIT)/Thousand</f>
        <v>-50.6823949688015</v>
      </c>
      <c r="ER161" s="33" t="n">
        <f aca="false">-($E31*In_Delivered-In_Ref_Community)*ER112*(1-In_CIT)/Thousand</f>
        <v>-49.5806037738275</v>
      </c>
      <c r="ES161" s="33" t="n">
        <f aca="false">-($E31*In_Delivered-In_Ref_Community)*ES112*(1-In_CIT)/Thousand</f>
        <v>-50.1314993713145</v>
      </c>
      <c r="ET161" s="33" t="n">
        <f aca="false">-($E31*In_Delivered-In_Ref_Community)*ET112*(1-In_CIT)/Thousand</f>
        <v>-50.6823949688015</v>
      </c>
    </row>
    <row r="162" customFormat="false" ht="15" hidden="false" customHeight="false" outlineLevel="0" collapsed="false">
      <c r="C162" s="0" t="s">
        <v>602</v>
      </c>
      <c r="D162" s="11" t="s">
        <v>253</v>
      </c>
      <c r="E162" s="33" t="n">
        <f aca="false">IF(In_CN_Turbine=1,In_COD_Price_CN,In_COD_Price)*$F24*(1-$E27)</f>
        <v>245000</v>
      </c>
      <c r="F162" s="33" t="n">
        <f aca="false">In_Pass_Through*($E161+SUMPRODUCT($J87:$ET87,$J21:$ET21))</f>
        <v>-3839.08122210466</v>
      </c>
    </row>
    <row r="163" customFormat="false" ht="15" hidden="false" customHeight="false" outlineLevel="0" collapsed="false">
      <c r="A163" s="55"/>
      <c r="B163" s="55"/>
      <c r="C163" s="55" t="s">
        <v>603</v>
      </c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  <c r="BI163" s="55"/>
      <c r="BJ163" s="55"/>
      <c r="BK163" s="55"/>
      <c r="BL163" s="55"/>
      <c r="BM163" s="55"/>
      <c r="BN163" s="55"/>
      <c r="BO163" s="55"/>
      <c r="BP163" s="55"/>
      <c r="BQ163" s="55"/>
      <c r="BR163" s="55"/>
      <c r="BS163" s="55"/>
      <c r="BT163" s="55"/>
      <c r="BU163" s="55"/>
      <c r="BV163" s="55"/>
      <c r="BW163" s="55"/>
      <c r="BX163" s="55"/>
      <c r="BY163" s="55"/>
      <c r="BZ163" s="55"/>
      <c r="CA163" s="55"/>
      <c r="CB163" s="55"/>
      <c r="CC163" s="55"/>
      <c r="CD163" s="55"/>
      <c r="CE163" s="55"/>
      <c r="CF163" s="55"/>
      <c r="CG163" s="55"/>
      <c r="CH163" s="55"/>
      <c r="CI163" s="55"/>
      <c r="CJ163" s="55"/>
      <c r="CK163" s="55"/>
      <c r="CL163" s="55"/>
      <c r="CM163" s="55"/>
      <c r="CN163" s="55"/>
      <c r="CO163" s="55"/>
      <c r="CP163" s="55"/>
      <c r="CQ163" s="55"/>
      <c r="CR163" s="55"/>
      <c r="CS163" s="55"/>
      <c r="CT163" s="55"/>
      <c r="CU163" s="55"/>
      <c r="CV163" s="55"/>
      <c r="CW163" s="55"/>
      <c r="CX163" s="55"/>
      <c r="CY163" s="55"/>
      <c r="CZ163" s="55"/>
      <c r="DA163" s="55"/>
      <c r="DB163" s="55"/>
      <c r="DC163" s="55"/>
      <c r="DD163" s="55"/>
      <c r="DE163" s="55"/>
      <c r="DF163" s="55"/>
      <c r="DG163" s="55"/>
      <c r="DH163" s="55"/>
      <c r="DI163" s="55"/>
      <c r="DJ163" s="55"/>
      <c r="DK163" s="55"/>
      <c r="DL163" s="55"/>
      <c r="DM163" s="55"/>
      <c r="DN163" s="55"/>
      <c r="DO163" s="55"/>
      <c r="DP163" s="55"/>
      <c r="DQ163" s="55"/>
      <c r="DR163" s="55"/>
      <c r="DS163" s="55"/>
      <c r="DT163" s="55"/>
      <c r="DU163" s="55"/>
      <c r="DV163" s="55"/>
      <c r="DW163" s="55"/>
      <c r="DX163" s="55"/>
      <c r="DY163" s="55"/>
      <c r="DZ163" s="55"/>
      <c r="EA163" s="55"/>
      <c r="EB163" s="55"/>
      <c r="EC163" s="55"/>
      <c r="ED163" s="55"/>
      <c r="EE163" s="55"/>
      <c r="EF163" s="55"/>
      <c r="EG163" s="55"/>
      <c r="EH163" s="55"/>
      <c r="EI163" s="55"/>
      <c r="EJ163" s="55"/>
      <c r="EK163" s="55"/>
      <c r="EL163" s="55"/>
      <c r="EM163" s="55"/>
      <c r="EN163" s="55"/>
      <c r="EO163" s="55"/>
      <c r="EP163" s="55"/>
      <c r="EQ163" s="55"/>
      <c r="ER163" s="55"/>
      <c r="ES163" s="55"/>
      <c r="ET163" s="55"/>
    </row>
    <row r="164" customFormat="false" ht="15" hidden="false" customHeight="false" outlineLevel="0" collapsed="false">
      <c r="C164" s="0" t="s">
        <v>604</v>
      </c>
      <c r="D164" s="11" t="s">
        <v>253</v>
      </c>
      <c r="E164" s="33" t="n">
        <f aca="false">$I99+$I100</f>
        <v>99336.0596347059</v>
      </c>
      <c r="F164" s="33" t="n">
        <f aca="false">MAX(0,$E162+$F162-$E164)</f>
        <v>141824.859143189</v>
      </c>
    </row>
    <row r="165" customFormat="false" ht="15" hidden="false" customHeight="false" outlineLevel="0" collapsed="false">
      <c r="C165" s="0" t="s">
        <v>581</v>
      </c>
      <c r="D165" s="11" t="s">
        <v>253</v>
      </c>
      <c r="E165" s="22" t="n">
        <f aca="false">In_Sale_Costs</f>
        <v>500</v>
      </c>
      <c r="F165" s="33" t="n">
        <f aca="false">MIN($E165,$F164)</f>
        <v>500</v>
      </c>
    </row>
    <row r="166" customFormat="false" ht="15" hidden="false" customHeight="false" outlineLevel="0" collapsed="false">
      <c r="C166" s="0" t="s">
        <v>605</v>
      </c>
      <c r="D166" s="11" t="s">
        <v>253</v>
      </c>
      <c r="E166" s="33" t="n">
        <f aca="false">-$I160+$I46+$I54+$I56+$I47+$F59</f>
        <v>68289.9577668034</v>
      </c>
      <c r="F166" s="33" t="n">
        <f aca="false">MIN($E166,$F164-SUM($F165:$F165))</f>
        <v>68289.9577668034</v>
      </c>
    </row>
    <row r="167" customFormat="false" ht="15" hidden="false" customHeight="false" outlineLevel="0" collapsed="false">
      <c r="C167" s="0" t="s">
        <v>606</v>
      </c>
      <c r="D167" s="11" t="s">
        <v>253</v>
      </c>
      <c r="E167" s="33" t="n">
        <f aca="false">$F68+$F73+$F79</f>
        <v>11746.2079961624</v>
      </c>
      <c r="F167" s="33" t="n">
        <f aca="false">MIN($E167,$F164-SUM($F165:$F166))</f>
        <v>11746.2079961624</v>
      </c>
    </row>
    <row r="168" customFormat="false" ht="15" hidden="false" customHeight="false" outlineLevel="0" collapsed="false">
      <c r="C168" s="0" t="s">
        <v>587</v>
      </c>
      <c r="D168" s="11" t="s">
        <v>253</v>
      </c>
      <c r="E168" s="33" t="n">
        <f aca="false">MIN(In_DSA_Cap,In_DSA_Rate*YEARFRAC(In_Signing_Date,In_COD,0))*$E24</f>
        <v>1510</v>
      </c>
      <c r="F168" s="33" t="n">
        <f aca="false">MIN($E168,$F164-SUM($F165:$F167))</f>
        <v>1510</v>
      </c>
    </row>
    <row r="169" customFormat="false" ht="15" hidden="false" customHeight="false" outlineLevel="0" collapsed="false">
      <c r="C169" s="30" t="s">
        <v>162</v>
      </c>
      <c r="D169" s="11" t="s">
        <v>253</v>
      </c>
      <c r="F169" s="35" t="n">
        <f aca="false">MAX(0,$F164-SUM($E165:$E168))</f>
        <v>59778.6933802236</v>
      </c>
    </row>
    <row r="170" customFormat="false" ht="15" hidden="false" customHeight="false" outlineLevel="0" collapsed="false">
      <c r="C170" s="30" t="s">
        <v>175</v>
      </c>
      <c r="D170" s="11" t="s">
        <v>253</v>
      </c>
      <c r="F170" s="35" t="n">
        <f aca="false">$F166+$F167+In_FEP_Share*$F169</f>
        <v>121881.251129122</v>
      </c>
    </row>
    <row r="171" customFormat="false" ht="15" hidden="false" customHeight="false" outlineLevel="0" collapsed="false">
      <c r="C171" s="30" t="s">
        <v>607</v>
      </c>
      <c r="D171" s="11" t="s">
        <v>253</v>
      </c>
      <c r="I171" s="35" t="n">
        <f aca="false">SUM(J171:ET171)</f>
        <v>48482.2776178466</v>
      </c>
      <c r="J171" s="35" t="n">
        <f aca="false">J160+$F170*J14</f>
        <v>-400</v>
      </c>
      <c r="K171" s="35" t="n">
        <f aca="false">K160+$F170*K14</f>
        <v>-1437.78053818728</v>
      </c>
      <c r="L171" s="35" t="n">
        <f aca="false">L160+$F170*L14</f>
        <v>-691.910911990993</v>
      </c>
      <c r="M171" s="35" t="n">
        <f aca="false">M160+$F170*M14</f>
        <v>-148.451634452993</v>
      </c>
      <c r="N171" s="35" t="n">
        <f aca="false">N160+$F170*N14</f>
        <v>-149.601261024582</v>
      </c>
      <c r="O171" s="35" t="n">
        <f aca="false">O160+$F170*O14</f>
        <v>-290.127288421843</v>
      </c>
      <c r="P171" s="35" t="n">
        <f aca="false">P160+$F170*P14</f>
        <v>-1394.65781281475</v>
      </c>
      <c r="Q171" s="35" t="n">
        <f aca="false">Q160+$F170*Q14</f>
        <v>-109.225607055733</v>
      </c>
      <c r="R171" s="35" t="n">
        <f aca="false">R160+$F170*R14</f>
        <v>-269.857154566657</v>
      </c>
      <c r="S171" s="35" t="n">
        <f aca="false">S160+$F170*S14</f>
        <v>-422.991783283459</v>
      </c>
      <c r="T171" s="35" t="n">
        <f aca="false">T160+$F170*T14</f>
        <v>-20587.5113339088</v>
      </c>
      <c r="U171" s="35" t="n">
        <f aca="false">U160+$F170*U14</f>
        <v>-104.616018014637</v>
      </c>
      <c r="V171" s="35" t="n">
        <f aca="false">V160+$F170*V14</f>
        <v>-105.765644586226</v>
      </c>
      <c r="W171" s="35" t="n">
        <f aca="false">W160+$F170*W14</f>
        <v>-6875.32473538409</v>
      </c>
      <c r="X171" s="35" t="n">
        <f aca="false">X160+$F170*X14</f>
        <v>-5073.5175863622</v>
      </c>
      <c r="Y171" s="35" t="n">
        <f aca="false">Y160+$F170*Y14</f>
        <v>-5103.58937070822</v>
      </c>
      <c r="Z171" s="35" t="n">
        <f aca="false">Z160+$F170*Z14</f>
        <v>-5132.78767858878</v>
      </c>
      <c r="AA171" s="35" t="n">
        <f aca="false">AA160+$F170*AA14</f>
        <v>-5105.60714622201</v>
      </c>
      <c r="AB171" s="35" t="n">
        <f aca="false">AB160+$F170*AB14</f>
        <v>-4969.92045560723</v>
      </c>
      <c r="AC171" s="35" t="n">
        <f aca="false">AC160+$F170*AC14</f>
        <v>-4998.84116072264</v>
      </c>
      <c r="AD171" s="35" t="n">
        <f aca="false">AD160+$F170*AD14</f>
        <v>111854.36273975</v>
      </c>
      <c r="AE171" s="35" t="n">
        <f aca="false">AE160+$F170*AE14</f>
        <v>0</v>
      </c>
      <c r="AF171" s="35" t="n">
        <f aca="false">AF160+$F170*AF14</f>
        <v>0</v>
      </c>
      <c r="AG171" s="35" t="n">
        <f aca="false">AG160+$F170*AG14</f>
        <v>0</v>
      </c>
      <c r="AH171" s="35" t="n">
        <f aca="false">AH160+$F170*AH14</f>
        <v>0</v>
      </c>
      <c r="AI171" s="35" t="n">
        <f aca="false">AI160+$F170*AI14</f>
        <v>0</v>
      </c>
      <c r="AJ171" s="35" t="n">
        <f aca="false">AJ160+$F170*AJ14</f>
        <v>0</v>
      </c>
      <c r="AK171" s="35" t="n">
        <f aca="false">AK160+$F170*AK14</f>
        <v>0</v>
      </c>
      <c r="AL171" s="35" t="n">
        <f aca="false">AL160+$F170*AL14</f>
        <v>0</v>
      </c>
      <c r="AM171" s="35" t="n">
        <f aca="false">AM160+$F170*AM14</f>
        <v>0</v>
      </c>
      <c r="AN171" s="35" t="n">
        <f aca="false">AN160+$F170*AN14</f>
        <v>0</v>
      </c>
      <c r="AO171" s="35" t="n">
        <f aca="false">AO160+$F170*AO14</f>
        <v>0</v>
      </c>
      <c r="AP171" s="35" t="n">
        <f aca="false">AP160+$F170*AP14</f>
        <v>0</v>
      </c>
      <c r="AQ171" s="35" t="n">
        <f aca="false">AQ160+$F170*AQ14</f>
        <v>0</v>
      </c>
      <c r="AR171" s="35" t="n">
        <f aca="false">AR160+$F170*AR14</f>
        <v>0</v>
      </c>
      <c r="AS171" s="35" t="n">
        <f aca="false">AS160+$F170*AS14</f>
        <v>0</v>
      </c>
      <c r="AT171" s="35" t="n">
        <f aca="false">AT160+$F170*AT14</f>
        <v>0</v>
      </c>
      <c r="AU171" s="35" t="n">
        <f aca="false">AU160+$F170*AU14</f>
        <v>0</v>
      </c>
      <c r="AV171" s="35" t="n">
        <f aca="false">AV160+$F170*AV14</f>
        <v>0</v>
      </c>
      <c r="AW171" s="35" t="n">
        <f aca="false">AW160+$F170*AW14</f>
        <v>0</v>
      </c>
      <c r="AX171" s="35" t="n">
        <f aca="false">AX160+$F170*AX14</f>
        <v>0</v>
      </c>
      <c r="AY171" s="35" t="n">
        <f aca="false">AY160+$F170*AY14</f>
        <v>0</v>
      </c>
      <c r="AZ171" s="35" t="n">
        <f aca="false">AZ160+$F170*AZ14</f>
        <v>0</v>
      </c>
      <c r="BA171" s="35" t="n">
        <f aca="false">BA160+$F170*BA14</f>
        <v>0</v>
      </c>
      <c r="BB171" s="35" t="n">
        <f aca="false">BB160+$F170*BB14</f>
        <v>0</v>
      </c>
      <c r="BC171" s="35" t="n">
        <f aca="false">BC160+$F170*BC14</f>
        <v>0</v>
      </c>
      <c r="BD171" s="35" t="n">
        <f aca="false">BD160+$F170*BD14</f>
        <v>0</v>
      </c>
      <c r="BE171" s="35" t="n">
        <f aca="false">BE160+$F170*BE14</f>
        <v>0</v>
      </c>
      <c r="BF171" s="35" t="n">
        <f aca="false">BF160+$F170*BF14</f>
        <v>0</v>
      </c>
      <c r="BG171" s="35" t="n">
        <f aca="false">BG160+$F170*BG14</f>
        <v>0</v>
      </c>
      <c r="BH171" s="35" t="n">
        <f aca="false">BH160+$F170*BH14</f>
        <v>0</v>
      </c>
      <c r="BI171" s="35" t="n">
        <f aca="false">BI160+$F170*BI14</f>
        <v>0</v>
      </c>
      <c r="BJ171" s="35" t="n">
        <f aca="false">BJ160+$F170*BJ14</f>
        <v>0</v>
      </c>
      <c r="BK171" s="35" t="n">
        <f aca="false">BK160+$F170*BK14</f>
        <v>0</v>
      </c>
      <c r="BL171" s="35" t="n">
        <f aca="false">BL160+$F170*BL14</f>
        <v>0</v>
      </c>
      <c r="BM171" s="35" t="n">
        <f aca="false">BM160+$F170*BM14</f>
        <v>0</v>
      </c>
      <c r="BN171" s="35" t="n">
        <f aca="false">BN160+$F170*BN14</f>
        <v>0</v>
      </c>
      <c r="BO171" s="35" t="n">
        <f aca="false">BO160+$F170*BO14</f>
        <v>0</v>
      </c>
      <c r="BP171" s="35" t="n">
        <f aca="false">BP160+$F170*BP14</f>
        <v>0</v>
      </c>
      <c r="BQ171" s="35" t="n">
        <f aca="false">BQ160+$F170*BQ14</f>
        <v>0</v>
      </c>
      <c r="BR171" s="35" t="n">
        <f aca="false">BR160+$F170*BR14</f>
        <v>0</v>
      </c>
      <c r="BS171" s="35" t="n">
        <f aca="false">BS160+$F170*BS14</f>
        <v>0</v>
      </c>
      <c r="BT171" s="35" t="n">
        <f aca="false">BT160+$F170*BT14</f>
        <v>0</v>
      </c>
      <c r="BU171" s="35" t="n">
        <f aca="false">BU160+$F170*BU14</f>
        <v>0</v>
      </c>
      <c r="BV171" s="35" t="n">
        <f aca="false">BV160+$F170*BV14</f>
        <v>0</v>
      </c>
      <c r="BW171" s="35" t="n">
        <f aca="false">BW160+$F170*BW14</f>
        <v>0</v>
      </c>
      <c r="BX171" s="35" t="n">
        <f aca="false">BX160+$F170*BX14</f>
        <v>0</v>
      </c>
      <c r="BY171" s="35" t="n">
        <f aca="false">BY160+$F170*BY14</f>
        <v>0</v>
      </c>
      <c r="BZ171" s="35" t="n">
        <f aca="false">BZ160+$F170*BZ14</f>
        <v>0</v>
      </c>
      <c r="CA171" s="35" t="n">
        <f aca="false">CA160+$F170*CA14</f>
        <v>0</v>
      </c>
      <c r="CB171" s="35" t="n">
        <f aca="false">CB160+$F170*CB14</f>
        <v>0</v>
      </c>
      <c r="CC171" s="35" t="n">
        <f aca="false">CC160+$F170*CC14</f>
        <v>0</v>
      </c>
      <c r="CD171" s="35" t="n">
        <f aca="false">CD160+$F170*CD14</f>
        <v>0</v>
      </c>
      <c r="CE171" s="35" t="n">
        <f aca="false">CE160+$F170*CE14</f>
        <v>0</v>
      </c>
      <c r="CF171" s="35" t="n">
        <f aca="false">CF160+$F170*CF14</f>
        <v>0</v>
      </c>
      <c r="CG171" s="35" t="n">
        <f aca="false">CG160+$F170*CG14</f>
        <v>0</v>
      </c>
      <c r="CH171" s="35" t="n">
        <f aca="false">CH160+$F170*CH14</f>
        <v>0</v>
      </c>
      <c r="CI171" s="35" t="n">
        <f aca="false">CI160+$F170*CI14</f>
        <v>0</v>
      </c>
      <c r="CJ171" s="35" t="n">
        <f aca="false">CJ160+$F170*CJ14</f>
        <v>0</v>
      </c>
      <c r="CK171" s="35" t="n">
        <f aca="false">CK160+$F170*CK14</f>
        <v>0</v>
      </c>
      <c r="CL171" s="35" t="n">
        <f aca="false">CL160+$F170*CL14</f>
        <v>0</v>
      </c>
      <c r="CM171" s="35" t="n">
        <f aca="false">CM160+$F170*CM14</f>
        <v>0</v>
      </c>
      <c r="CN171" s="35" t="n">
        <f aca="false">CN160+$F170*CN14</f>
        <v>0</v>
      </c>
      <c r="CO171" s="35" t="n">
        <f aca="false">CO160+$F170*CO14</f>
        <v>0</v>
      </c>
      <c r="CP171" s="35" t="n">
        <f aca="false">CP160+$F170*CP14</f>
        <v>0</v>
      </c>
      <c r="CQ171" s="35" t="n">
        <f aca="false">CQ160+$F170*CQ14</f>
        <v>0</v>
      </c>
      <c r="CR171" s="35" t="n">
        <f aca="false">CR160+$F170*CR14</f>
        <v>0</v>
      </c>
      <c r="CS171" s="35" t="n">
        <f aca="false">CS160+$F170*CS14</f>
        <v>0</v>
      </c>
      <c r="CT171" s="35" t="n">
        <f aca="false">CT160+$F170*CT14</f>
        <v>0</v>
      </c>
      <c r="CU171" s="35" t="n">
        <f aca="false">CU160+$F170*CU14</f>
        <v>0</v>
      </c>
      <c r="CV171" s="35" t="n">
        <f aca="false">CV160+$F170*CV14</f>
        <v>0</v>
      </c>
      <c r="CW171" s="35" t="n">
        <f aca="false">CW160+$F170*CW14</f>
        <v>0</v>
      </c>
      <c r="CX171" s="35" t="n">
        <f aca="false">CX160+$F170*CX14</f>
        <v>0</v>
      </c>
      <c r="CY171" s="35" t="n">
        <f aca="false">CY160+$F170*CY14</f>
        <v>0</v>
      </c>
      <c r="CZ171" s="35" t="n">
        <f aca="false">CZ160+$F170*CZ14</f>
        <v>0</v>
      </c>
      <c r="DA171" s="35" t="n">
        <f aca="false">DA160+$F170*DA14</f>
        <v>0</v>
      </c>
      <c r="DB171" s="35" t="n">
        <f aca="false">DB160+$F170*DB14</f>
        <v>0</v>
      </c>
      <c r="DC171" s="35" t="n">
        <f aca="false">DC160+$F170*DC14</f>
        <v>0</v>
      </c>
      <c r="DD171" s="35" t="n">
        <f aca="false">DD160+$F170*DD14</f>
        <v>0</v>
      </c>
      <c r="DE171" s="35" t="n">
        <f aca="false">DE160+$F170*DE14</f>
        <v>0</v>
      </c>
      <c r="DF171" s="35" t="n">
        <f aca="false">DF160+$F170*DF14</f>
        <v>0</v>
      </c>
      <c r="DG171" s="35" t="n">
        <f aca="false">DG160+$F170*DG14</f>
        <v>0</v>
      </c>
      <c r="DH171" s="35" t="n">
        <f aca="false">DH160+$F170*DH14</f>
        <v>0</v>
      </c>
      <c r="DI171" s="35" t="n">
        <f aca="false">DI160+$F170*DI14</f>
        <v>0</v>
      </c>
      <c r="DJ171" s="35" t="n">
        <f aca="false">DJ160+$F170*DJ14</f>
        <v>0</v>
      </c>
      <c r="DK171" s="35" t="n">
        <f aca="false">DK160+$F170*DK14</f>
        <v>0</v>
      </c>
      <c r="DL171" s="35" t="n">
        <f aca="false">DL160+$F170*DL14</f>
        <v>0</v>
      </c>
      <c r="DM171" s="35" t="n">
        <f aca="false">DM160+$F170*DM14</f>
        <v>0</v>
      </c>
      <c r="DN171" s="35" t="n">
        <f aca="false">DN160+$F170*DN14</f>
        <v>0</v>
      </c>
      <c r="DO171" s="35" t="n">
        <f aca="false">DO160+$F170*DO14</f>
        <v>0</v>
      </c>
      <c r="DP171" s="35" t="n">
        <f aca="false">DP160+$F170*DP14</f>
        <v>0</v>
      </c>
      <c r="DQ171" s="35" t="n">
        <f aca="false">DQ160+$F170*DQ14</f>
        <v>0</v>
      </c>
      <c r="DR171" s="35" t="n">
        <f aca="false">DR160+$F170*DR14</f>
        <v>0</v>
      </c>
      <c r="DS171" s="35" t="n">
        <f aca="false">DS160+$F170*DS14</f>
        <v>0</v>
      </c>
      <c r="DT171" s="35" t="n">
        <f aca="false">DT160+$F170*DT14</f>
        <v>0</v>
      </c>
      <c r="DU171" s="35" t="n">
        <f aca="false">DU160+$F170*DU14</f>
        <v>0</v>
      </c>
      <c r="DV171" s="35" t="n">
        <f aca="false">DV160+$F170*DV14</f>
        <v>0</v>
      </c>
      <c r="DW171" s="35" t="n">
        <f aca="false">DW160+$F170*DW14</f>
        <v>0</v>
      </c>
      <c r="DX171" s="35" t="n">
        <f aca="false">DX160+$F170*DX14</f>
        <v>0</v>
      </c>
      <c r="DY171" s="35" t="n">
        <f aca="false">DY160+$F170*DY14</f>
        <v>0</v>
      </c>
      <c r="DZ171" s="35" t="n">
        <f aca="false">DZ160+$F170*DZ14</f>
        <v>0</v>
      </c>
      <c r="EA171" s="35" t="n">
        <f aca="false">EA160+$F170*EA14</f>
        <v>0</v>
      </c>
      <c r="EB171" s="35" t="n">
        <f aca="false">EB160+$F170*EB14</f>
        <v>0</v>
      </c>
      <c r="EC171" s="35" t="n">
        <f aca="false">EC160+$F170*EC14</f>
        <v>0</v>
      </c>
      <c r="ED171" s="35" t="n">
        <f aca="false">ED160+$F170*ED14</f>
        <v>0</v>
      </c>
      <c r="EE171" s="35" t="n">
        <f aca="false">EE160+$F170*EE14</f>
        <v>0</v>
      </c>
      <c r="EF171" s="35" t="n">
        <f aca="false">EF160+$F170*EF14</f>
        <v>0</v>
      </c>
      <c r="EG171" s="35" t="n">
        <f aca="false">EG160+$F170*EG14</f>
        <v>0</v>
      </c>
      <c r="EH171" s="35" t="n">
        <f aca="false">EH160+$F170*EH14</f>
        <v>0</v>
      </c>
      <c r="EI171" s="35" t="n">
        <f aca="false">EI160+$F170*EI14</f>
        <v>0</v>
      </c>
      <c r="EJ171" s="35" t="n">
        <f aca="false">EJ160+$F170*EJ14</f>
        <v>0</v>
      </c>
      <c r="EK171" s="35" t="n">
        <f aca="false">EK160+$F170*EK14</f>
        <v>0</v>
      </c>
      <c r="EL171" s="35" t="n">
        <f aca="false">EL160+$F170*EL14</f>
        <v>0</v>
      </c>
      <c r="EM171" s="35" t="n">
        <f aca="false">EM160+$F170*EM14</f>
        <v>0</v>
      </c>
      <c r="EN171" s="35" t="n">
        <f aca="false">EN160+$F170*EN14</f>
        <v>0</v>
      </c>
      <c r="EO171" s="35" t="n">
        <f aca="false">EO160+$F170*EO14</f>
        <v>0</v>
      </c>
      <c r="EP171" s="35" t="n">
        <f aca="false">EP160+$F170*EP14</f>
        <v>0</v>
      </c>
      <c r="EQ171" s="35" t="n">
        <f aca="false">EQ160+$F170*EQ14</f>
        <v>0</v>
      </c>
      <c r="ER171" s="35" t="n">
        <f aca="false">ER160+$F170*ER14</f>
        <v>0</v>
      </c>
      <c r="ES171" s="35" t="n">
        <f aca="false">ES160+$F170*ES14</f>
        <v>0</v>
      </c>
      <c r="ET171" s="35" t="n">
        <f aca="false">ET160+$F170*ET14</f>
        <v>0</v>
      </c>
    </row>
    <row r="172" customFormat="false" ht="15" hidden="false" customHeight="false" outlineLevel="0" collapsed="false">
      <c r="C172" s="30" t="s">
        <v>77</v>
      </c>
      <c r="D172" s="11" t="s">
        <v>35</v>
      </c>
      <c r="E172" s="57" t="n">
        <f aca="false">XIRR($J171:$ET171,$J$4:$ET$4)</f>
        <v>0.339207407992561</v>
      </c>
    </row>
    <row r="173" customFormat="false" ht="15" hidden="false" customHeight="false" outlineLevel="0" collapsed="false">
      <c r="C173" s="30" t="s">
        <v>608</v>
      </c>
      <c r="D173" s="11" t="s">
        <v>13</v>
      </c>
      <c r="E173" s="58" t="n">
        <f aca="false">$F170/-$I160</f>
        <v>1.66053073086095</v>
      </c>
    </row>
    <row r="174" customFormat="false" ht="15" hidden="false" customHeight="false" outlineLevel="0" collapsed="false">
      <c r="C174" s="30" t="s">
        <v>79</v>
      </c>
      <c r="D174" s="11" t="s">
        <v>253</v>
      </c>
      <c r="E174" s="35" t="n">
        <f aca="false">XNPV(In_Discount_Rate,$J171:$ET171,$J$4:$ET$4)</f>
        <v>26530.583975982</v>
      </c>
    </row>
    <row r="175" customFormat="false" ht="15" hidden="false" customHeight="false" outlineLevel="0" collapsed="false">
      <c r="A175" s="55"/>
      <c r="B175" s="55"/>
      <c r="C175" s="55" t="s">
        <v>609</v>
      </c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  <c r="BI175" s="55"/>
      <c r="BJ175" s="55"/>
      <c r="BK175" s="55"/>
      <c r="BL175" s="55"/>
      <c r="BM175" s="55"/>
      <c r="BN175" s="55"/>
      <c r="BO175" s="55"/>
      <c r="BP175" s="55"/>
      <c r="BQ175" s="55"/>
      <c r="BR175" s="55"/>
      <c r="BS175" s="55"/>
      <c r="BT175" s="55"/>
      <c r="BU175" s="55"/>
      <c r="BV175" s="55"/>
      <c r="BW175" s="55"/>
      <c r="BX175" s="55"/>
      <c r="BY175" s="55"/>
      <c r="BZ175" s="55"/>
      <c r="CA175" s="55"/>
      <c r="CB175" s="55"/>
      <c r="CC175" s="55"/>
      <c r="CD175" s="55"/>
      <c r="CE175" s="55"/>
      <c r="CF175" s="55"/>
      <c r="CG175" s="55"/>
      <c r="CH175" s="55"/>
      <c r="CI175" s="55"/>
      <c r="CJ175" s="55"/>
      <c r="CK175" s="55"/>
      <c r="CL175" s="55"/>
      <c r="CM175" s="55"/>
      <c r="CN175" s="55"/>
      <c r="CO175" s="55"/>
      <c r="CP175" s="55"/>
      <c r="CQ175" s="55"/>
      <c r="CR175" s="55"/>
      <c r="CS175" s="55"/>
      <c r="CT175" s="55"/>
      <c r="CU175" s="55"/>
      <c r="CV175" s="55"/>
      <c r="CW175" s="55"/>
      <c r="CX175" s="55"/>
      <c r="CY175" s="55"/>
      <c r="CZ175" s="55"/>
      <c r="DA175" s="55"/>
      <c r="DB175" s="55"/>
      <c r="DC175" s="55"/>
      <c r="DD175" s="55"/>
      <c r="DE175" s="55"/>
      <c r="DF175" s="55"/>
      <c r="DG175" s="55"/>
      <c r="DH175" s="55"/>
      <c r="DI175" s="55"/>
      <c r="DJ175" s="55"/>
      <c r="DK175" s="55"/>
      <c r="DL175" s="55"/>
      <c r="DM175" s="55"/>
      <c r="DN175" s="55"/>
      <c r="DO175" s="55"/>
      <c r="DP175" s="55"/>
      <c r="DQ175" s="55"/>
      <c r="DR175" s="55"/>
      <c r="DS175" s="55"/>
      <c r="DT175" s="55"/>
      <c r="DU175" s="55"/>
      <c r="DV175" s="55"/>
      <c r="DW175" s="55"/>
      <c r="DX175" s="55"/>
      <c r="DY175" s="55"/>
      <c r="DZ175" s="55"/>
      <c r="EA175" s="55"/>
      <c r="EB175" s="55"/>
      <c r="EC175" s="55"/>
      <c r="ED175" s="55"/>
      <c r="EE175" s="55"/>
      <c r="EF175" s="55"/>
      <c r="EG175" s="55"/>
      <c r="EH175" s="55"/>
      <c r="EI175" s="55"/>
      <c r="EJ175" s="55"/>
      <c r="EK175" s="55"/>
      <c r="EL175" s="55"/>
      <c r="EM175" s="55"/>
      <c r="EN175" s="55"/>
      <c r="EO175" s="55"/>
      <c r="EP175" s="55"/>
      <c r="EQ175" s="55"/>
      <c r="ER175" s="55"/>
      <c r="ES175" s="55"/>
      <c r="ET175" s="55"/>
    </row>
    <row r="176" customFormat="false" ht="15" hidden="false" customHeight="false" outlineLevel="0" collapsed="false">
      <c r="C176" s="0" t="s">
        <v>610</v>
      </c>
      <c r="D176" s="11" t="s">
        <v>253</v>
      </c>
      <c r="E176" s="33" t="n">
        <f aca="false">$E93*$F24</f>
        <v>60000</v>
      </c>
      <c r="F176" s="33" t="n">
        <f aca="false">In_Installation*$F24</f>
        <v>8000</v>
      </c>
    </row>
    <row r="177" customFormat="false" ht="15" hidden="false" customHeight="false" outlineLevel="0" collapsed="false">
      <c r="C177" s="0" t="s">
        <v>611</v>
      </c>
      <c r="D177" s="11" t="s">
        <v>253</v>
      </c>
      <c r="E177" s="33" t="n">
        <f aca="false">In_Foundations*$F24</f>
        <v>9000</v>
      </c>
      <c r="F177" s="33" t="n">
        <f aca="false">In_BoP*$F24</f>
        <v>13000</v>
      </c>
    </row>
    <row r="178" customFormat="false" ht="15" hidden="false" customHeight="false" outlineLevel="0" collapsed="false">
      <c r="C178" s="0" t="s">
        <v>612</v>
      </c>
      <c r="D178" s="11" t="s">
        <v>253</v>
      </c>
      <c r="E178" s="33" t="n">
        <f aca="false">In_Owner*$F24</f>
        <v>4000</v>
      </c>
      <c r="F178" s="33" t="n">
        <f aca="false">In_Easements*$F24-SUMIF($J$4:$ET$4,"&lt;="&amp;In_COD,$J120:$ET120)</f>
        <v>2118.49126824379</v>
      </c>
    </row>
    <row r="179" customFormat="false" ht="15" hidden="false" customHeight="false" outlineLevel="0" collapsed="false">
      <c r="C179" s="0" t="s">
        <v>613</v>
      </c>
      <c r="D179" s="11" t="s">
        <v>253</v>
      </c>
      <c r="E179" s="33" t="n">
        <f aca="false">In_Capex_Contingency*(($E93+$F93)*$F24+$E94)</f>
        <v>5375</v>
      </c>
      <c r="F179" s="33" t="n">
        <f aca="false">$E94</f>
        <v>12000</v>
      </c>
    </row>
    <row r="180" customFormat="false" ht="15" hidden="false" customHeight="false" outlineLevel="0" collapsed="false">
      <c r="C180" s="0" t="s">
        <v>614</v>
      </c>
      <c r="D180" s="11" t="s">
        <v>253</v>
      </c>
      <c r="E180" s="33" t="n">
        <f aca="false">In_BESS_Capex*$F26</f>
        <v>20400</v>
      </c>
      <c r="F180" s="33" t="n">
        <f aca="false">-$I53</f>
        <v>20179.3874082192</v>
      </c>
    </row>
    <row r="181" customFormat="false" ht="15" hidden="false" customHeight="false" outlineLevel="0" collapsed="false">
      <c r="C181" s="0" t="s">
        <v>615</v>
      </c>
      <c r="D181" s="11" t="s">
        <v>253</v>
      </c>
      <c r="E181" s="33" t="n">
        <f aca="false">-$I96</f>
        <v>5000</v>
      </c>
      <c r="F181" s="33" t="n">
        <f aca="false">-($I57+$I46+$I47+$I50)</f>
        <v>4760.72040238188</v>
      </c>
    </row>
    <row r="182" customFormat="false" ht="15" hidden="false" customHeight="false" outlineLevel="0" collapsed="false">
      <c r="C182" s="0" t="s">
        <v>119</v>
      </c>
      <c r="D182" s="11" t="s">
        <v>253</v>
      </c>
      <c r="E182" s="33" t="n">
        <f aca="false">$I100-$I104-$I105-$F59</f>
        <v>8901.43406713672</v>
      </c>
    </row>
    <row r="183" customFormat="false" ht="15" hidden="false" customHeight="false" outlineLevel="0" collapsed="false">
      <c r="C183" s="30" t="s">
        <v>616</v>
      </c>
      <c r="D183" s="11" t="s">
        <v>253</v>
      </c>
      <c r="E183" s="35" t="n">
        <f aca="false">SUM($E176:$F182)</f>
        <v>172735.033145982</v>
      </c>
      <c r="F183" s="35" t="n">
        <f aca="false">$I99+$I100-$I160</f>
        <v>172735.033145982</v>
      </c>
    </row>
    <row r="184" customFormat="false" ht="15" hidden="false" customHeight="false" outlineLevel="0" collapsed="false">
      <c r="C184" s="0" t="s">
        <v>617</v>
      </c>
      <c r="D184" s="11" t="s">
        <v>253</v>
      </c>
      <c r="E184" s="33" t="n">
        <f aca="false">-($I95+$I99)-SUMIF($J$4:$ET$4,"&lt;="&amp;In_COD,$J120:$ET120)</f>
        <v>38820.8588233123</v>
      </c>
      <c r="F184" s="33" t="n">
        <f aca="false">-($I104+$I105)</f>
        <v>2626.3903023952</v>
      </c>
    </row>
    <row r="185" customFormat="false" ht="15" hidden="false" customHeight="false" outlineLevel="0" collapsed="false">
      <c r="A185" s="55"/>
      <c r="B185" s="55"/>
      <c r="C185" s="55" t="s">
        <v>618</v>
      </c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55"/>
      <c r="W185" s="55"/>
      <c r="X185" s="55"/>
      <c r="Y185" s="55"/>
      <c r="Z185" s="55"/>
      <c r="AA185" s="55"/>
      <c r="AB185" s="55"/>
      <c r="AC185" s="55"/>
      <c r="AD185" s="55"/>
      <c r="AE185" s="55"/>
      <c r="AF185" s="55"/>
      <c r="AG185" s="55"/>
      <c r="AH185" s="55"/>
      <c r="AI185" s="55"/>
      <c r="AJ185" s="55"/>
      <c r="AK185" s="55"/>
      <c r="AL185" s="55"/>
      <c r="AM185" s="55"/>
      <c r="AN185" s="55"/>
      <c r="AO185" s="55"/>
      <c r="AP185" s="55"/>
      <c r="AQ185" s="55"/>
      <c r="AR185" s="55"/>
      <c r="AS185" s="55"/>
      <c r="AT185" s="55"/>
      <c r="AU185" s="55"/>
      <c r="AV185" s="55"/>
      <c r="AW185" s="55"/>
      <c r="AX185" s="55"/>
      <c r="AY185" s="55"/>
      <c r="AZ185" s="55"/>
      <c r="BA185" s="55"/>
      <c r="BB185" s="55"/>
      <c r="BC185" s="55"/>
      <c r="BD185" s="55"/>
      <c r="BE185" s="55"/>
      <c r="BF185" s="55"/>
      <c r="BG185" s="55"/>
      <c r="BH185" s="55"/>
      <c r="BI185" s="55"/>
      <c r="BJ185" s="55"/>
      <c r="BK185" s="55"/>
      <c r="BL185" s="55"/>
      <c r="BM185" s="55"/>
      <c r="BN185" s="55"/>
      <c r="BO185" s="55"/>
      <c r="BP185" s="55"/>
      <c r="BQ185" s="55"/>
      <c r="BR185" s="55"/>
      <c r="BS185" s="55"/>
      <c r="BT185" s="55"/>
      <c r="BU185" s="55"/>
      <c r="BV185" s="55"/>
      <c r="BW185" s="55"/>
      <c r="BX185" s="55"/>
      <c r="BY185" s="55"/>
      <c r="BZ185" s="55"/>
      <c r="CA185" s="55"/>
      <c r="CB185" s="55"/>
      <c r="CC185" s="55"/>
      <c r="CD185" s="55"/>
      <c r="CE185" s="55"/>
      <c r="CF185" s="55"/>
      <c r="CG185" s="55"/>
      <c r="CH185" s="55"/>
      <c r="CI185" s="55"/>
      <c r="CJ185" s="55"/>
      <c r="CK185" s="55"/>
      <c r="CL185" s="55"/>
      <c r="CM185" s="55"/>
      <c r="CN185" s="55"/>
      <c r="CO185" s="55"/>
      <c r="CP185" s="55"/>
      <c r="CQ185" s="55"/>
      <c r="CR185" s="55"/>
      <c r="CS185" s="55"/>
      <c r="CT185" s="55"/>
      <c r="CU185" s="55"/>
      <c r="CV185" s="55"/>
      <c r="CW185" s="55"/>
      <c r="CX185" s="55"/>
      <c r="CY185" s="55"/>
      <c r="CZ185" s="55"/>
      <c r="DA185" s="55"/>
      <c r="DB185" s="55"/>
      <c r="DC185" s="55"/>
      <c r="DD185" s="55"/>
      <c r="DE185" s="55"/>
      <c r="DF185" s="55"/>
      <c r="DG185" s="55"/>
      <c r="DH185" s="55"/>
      <c r="DI185" s="55"/>
      <c r="DJ185" s="55"/>
      <c r="DK185" s="55"/>
      <c r="DL185" s="55"/>
      <c r="DM185" s="55"/>
      <c r="DN185" s="55"/>
      <c r="DO185" s="55"/>
      <c r="DP185" s="55"/>
      <c r="DQ185" s="55"/>
      <c r="DR185" s="55"/>
      <c r="DS185" s="55"/>
      <c r="DT185" s="55"/>
      <c r="DU185" s="55"/>
      <c r="DV185" s="55"/>
      <c r="DW185" s="55"/>
      <c r="DX185" s="55"/>
      <c r="DY185" s="55"/>
      <c r="DZ185" s="55"/>
      <c r="EA185" s="55"/>
      <c r="EB185" s="55"/>
      <c r="EC185" s="55"/>
      <c r="ED185" s="55"/>
      <c r="EE185" s="55"/>
      <c r="EF185" s="55"/>
      <c r="EG185" s="55"/>
      <c r="EH185" s="55"/>
      <c r="EI185" s="55"/>
      <c r="EJ185" s="55"/>
      <c r="EK185" s="55"/>
      <c r="EL185" s="55"/>
      <c r="EM185" s="55"/>
      <c r="EN185" s="55"/>
      <c r="EO185" s="55"/>
      <c r="EP185" s="55"/>
      <c r="EQ185" s="55"/>
      <c r="ER185" s="55"/>
      <c r="ES185" s="55"/>
      <c r="ET185" s="55"/>
    </row>
    <row r="186" customFormat="false" ht="15" hidden="false" customHeight="false" outlineLevel="0" collapsed="false">
      <c r="C186" s="0" t="s">
        <v>143</v>
      </c>
      <c r="D186" s="11" t="s">
        <v>253</v>
      </c>
      <c r="E186" s="33" t="n">
        <f aca="false">$E49-$I47-$I50</f>
        <v>8234.65753424658</v>
      </c>
    </row>
    <row r="187" customFormat="false" ht="15" hidden="false" customHeight="false" outlineLevel="0" collapsed="false">
      <c r="C187" s="30" t="s">
        <v>619</v>
      </c>
      <c r="D187" s="11" t="s">
        <v>253</v>
      </c>
      <c r="E187" s="35" t="n">
        <f aca="false">$E183+$E49</f>
        <v>179728.594789817</v>
      </c>
    </row>
    <row r="188" customFormat="false" ht="15" hidden="false" customHeight="false" outlineLevel="0" collapsed="false">
      <c r="C188" s="0" t="s">
        <v>620</v>
      </c>
      <c r="D188" s="11" t="s">
        <v>253</v>
      </c>
      <c r="E188" s="33" t="n">
        <f aca="false">-$I87</f>
        <v>1418.21917808219</v>
      </c>
      <c r="F188" s="33" t="n">
        <f aca="false">$F86</f>
        <v>6993.56164383562</v>
      </c>
    </row>
    <row r="190" customFormat="false" ht="15" hidden="false" customHeight="false" outlineLevel="0" collapsed="false">
      <c r="A190" s="9" t="s">
        <v>13</v>
      </c>
      <c r="B190" s="9"/>
      <c r="C190" s="9" t="s">
        <v>178</v>
      </c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  <c r="BP190" s="9"/>
      <c r="BQ190" s="9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9"/>
      <c r="CE190" s="9"/>
      <c r="CF190" s="9"/>
      <c r="CG190" s="9"/>
      <c r="CH190" s="9"/>
      <c r="CI190" s="9"/>
      <c r="CJ190" s="9"/>
      <c r="CK190" s="9"/>
      <c r="CL190" s="9"/>
      <c r="CM190" s="9"/>
      <c r="CN190" s="9"/>
      <c r="CO190" s="9"/>
      <c r="CP190" s="9"/>
      <c r="CQ190" s="9"/>
      <c r="CR190" s="9"/>
      <c r="CS190" s="9"/>
      <c r="CT190" s="9"/>
      <c r="CU190" s="9"/>
      <c r="CV190" s="9"/>
      <c r="CW190" s="9"/>
      <c r="CX190" s="9"/>
      <c r="CY190" s="9"/>
      <c r="CZ190" s="9"/>
      <c r="DA190" s="9"/>
      <c r="DB190" s="9"/>
      <c r="DC190" s="9"/>
      <c r="DD190" s="9"/>
      <c r="DE190" s="9"/>
      <c r="DF190" s="9"/>
      <c r="DG190" s="9"/>
      <c r="DH190" s="9"/>
      <c r="DI190" s="9"/>
      <c r="DJ190" s="9"/>
      <c r="DK190" s="9"/>
      <c r="DL190" s="9"/>
      <c r="DM190" s="9"/>
      <c r="DN190" s="9"/>
      <c r="DO190" s="9"/>
      <c r="DP190" s="9"/>
      <c r="DQ190" s="9"/>
      <c r="DR190" s="9"/>
      <c r="DS190" s="9"/>
      <c r="DT190" s="9"/>
      <c r="DU190" s="9"/>
      <c r="DV190" s="9"/>
      <c r="DW190" s="9"/>
      <c r="DX190" s="9"/>
      <c r="DY190" s="9"/>
      <c r="DZ190" s="9"/>
      <c r="EA190" s="9"/>
      <c r="EB190" s="9"/>
      <c r="EC190" s="9"/>
      <c r="ED190" s="9"/>
      <c r="EE190" s="9"/>
      <c r="EF190" s="9"/>
      <c r="EG190" s="9"/>
      <c r="EH190" s="9"/>
      <c r="EI190" s="9"/>
      <c r="EJ190" s="9"/>
      <c r="EK190" s="9"/>
      <c r="EL190" s="9"/>
      <c r="EM190" s="9"/>
      <c r="EN190" s="9"/>
      <c r="EO190" s="9"/>
      <c r="EP190" s="9"/>
      <c r="EQ190" s="9"/>
      <c r="ER190" s="9"/>
      <c r="ES190" s="9"/>
      <c r="ET190" s="9"/>
    </row>
    <row r="191" customFormat="false" ht="15" hidden="false" customHeight="false" outlineLevel="0" collapsed="false">
      <c r="C191" s="30" t="s">
        <v>621</v>
      </c>
      <c r="D191" s="11" t="s">
        <v>253</v>
      </c>
      <c r="I191" s="35" t="n">
        <f aca="false">SUM(J191:ET191)</f>
        <v>278469.644233254</v>
      </c>
      <c r="J191" s="35" t="n">
        <f aca="false">J60+J106+J99+J120+J103+J101+J129+J87-$F144*J12</f>
        <v>-400</v>
      </c>
      <c r="K191" s="35" t="n">
        <f aca="false">K60+K106+K99+K120+K103+K101+K129+K87-$F144*K12</f>
        <v>-1437.78053818728</v>
      </c>
      <c r="L191" s="35" t="n">
        <f aca="false">L60+L106+L99+L120+L103+L101+L129+L87-$F144*L12</f>
        <v>-691.910911990993</v>
      </c>
      <c r="M191" s="35" t="n">
        <f aca="false">M60+M106+M99+M120+M103+M101+M129+M87-$F144*M12</f>
        <v>-148.451634452993</v>
      </c>
      <c r="N191" s="35" t="n">
        <f aca="false">N60+N106+N99+N120+N103+N101+N129+N87-$F144*N12</f>
        <v>-149.601261024582</v>
      </c>
      <c r="O191" s="35" t="n">
        <f aca="false">O60+O106+O99+O120+O103+O101+O129+O87-$F144*O12</f>
        <v>-290.127288421843</v>
      </c>
      <c r="P191" s="35" t="n">
        <f aca="false">P60+P106+P99+P120+P103+P101+P129+P87-$F144*P12</f>
        <v>-1394.65781281475</v>
      </c>
      <c r="Q191" s="35" t="n">
        <f aca="false">Q60+Q106+Q99+Q120+Q103+Q101+Q129+Q87-$F144*Q12</f>
        <v>-109.225607055733</v>
      </c>
      <c r="R191" s="35" t="n">
        <f aca="false">R60+R106+R99+R120+R103+R101+R129+R87-$F144*R12</f>
        <v>-269.857154566657</v>
      </c>
      <c r="S191" s="35" t="n">
        <f aca="false">S60+S106+S99+S120+S103+S101+S129+S87-$F144*S12</f>
        <v>-422.991783283459</v>
      </c>
      <c r="T191" s="35" t="n">
        <f aca="false">T60+T106+T99+T120+T103+T101+T129+T87-$F144*T12</f>
        <v>-20587.5113339088</v>
      </c>
      <c r="U191" s="35" t="n">
        <f aca="false">U60+U106+U99+U120+U103+U101+U129+U87-$F144*U12</f>
        <v>-104.616018014637</v>
      </c>
      <c r="V191" s="35" t="n">
        <f aca="false">V60+V106+V99+V120+V103+V101+V129+V87-$F144*V12</f>
        <v>-105.765644586226</v>
      </c>
      <c r="W191" s="35" t="n">
        <f aca="false">W60+W106+W99+W120+W103+W101+W129+W87-$F144*W12</f>
        <v>-10324.3941457621</v>
      </c>
      <c r="X191" s="35" t="n">
        <f aca="false">X60+X106+X99+X120+X103+X101+X129+X87-$F144*X12</f>
        <v>-5073.5175863622</v>
      </c>
      <c r="Y191" s="35" t="n">
        <f aca="false">Y60+Y106+Y99+Y120+Y103+Y101+Y129+Y87-$F144*Y12</f>
        <v>-5103.58937070822</v>
      </c>
      <c r="Z191" s="35" t="n">
        <f aca="false">Z60+Z106+Z99+Z120+Z103+Z101+Z129+Z87-$F144*Z12</f>
        <v>-5132.78767858878</v>
      </c>
      <c r="AA191" s="35" t="n">
        <f aca="false">AA60+AA106+AA99+AA120+AA103+AA101+AA129+AA87-$F144*AA12</f>
        <v>-5105.60714622201</v>
      </c>
      <c r="AB191" s="35" t="n">
        <f aca="false">AB60+AB106+AB99+AB120+AB103+AB101+AB129+AB87-$F144*AB12</f>
        <v>-4969.92045560723</v>
      </c>
      <c r="AC191" s="35" t="n">
        <f aca="false">AC60+AC106+AC99+AC120+AC103+AC101+AC129+AC87-$F144*AC12</f>
        <v>-4998.84116072264</v>
      </c>
      <c r="AD191" s="35" t="n">
        <f aca="false">AD60+AD106+AD99+AD120+AD103+AD101+AD129+AD87-$F144*AD12</f>
        <v>-10026.8883893726</v>
      </c>
      <c r="AE191" s="35" t="n">
        <f aca="false">AE60+AE106+AE99+AE120+AE103+AE101+AE129+AE87-$F144*AE12</f>
        <v>874.393407109325</v>
      </c>
      <c r="AF191" s="35" t="n">
        <f aca="false">AF60+AF106+AF99+AF120+AF103+AF101+AF129+AF87-$F144*AF12</f>
        <v>-560.072909893331</v>
      </c>
      <c r="AG191" s="35" t="n">
        <f aca="false">AG60+AG106+AG99+AG120+AG103+AG101+AG129+AG87-$F144*AG12</f>
        <v>858.146268188861</v>
      </c>
      <c r="AH191" s="35" t="n">
        <f aca="false">AH60+AH106+AH99+AH120+AH103+AH101+AH129+AH87-$F144*AH12</f>
        <v>902.422023615627</v>
      </c>
      <c r="AI191" s="35" t="n">
        <f aca="false">AI60+AI106+AI99+AI120+AI103+AI101+AI129+AI87-$F144*AI12</f>
        <v>887.727990101891</v>
      </c>
      <c r="AJ191" s="35" t="n">
        <f aca="false">AJ60+AJ106+AJ99+AJ120+AJ103+AJ101+AJ129+AJ87-$F144*AJ12</f>
        <v>826.680388268668</v>
      </c>
      <c r="AK191" s="35" t="n">
        <f aca="false">AK60+AK106+AK99+AK120+AK103+AK101+AK129+AK87-$F144*AK12</f>
        <v>964.097236992855</v>
      </c>
      <c r="AL191" s="35" t="n">
        <f aca="false">AL60+AL106+AL99+AL120+AL103+AL101+AL129+AL87-$F144*AL12</f>
        <v>925.793262766851</v>
      </c>
      <c r="AM191" s="35" t="n">
        <f aca="false">AM60+AM106+AM99+AM120+AM103+AM101+AM129+AM87-$F144*AM12</f>
        <v>909.969296222041</v>
      </c>
      <c r="AN191" s="35" t="n">
        <f aca="false">AN60+AN106+AN99+AN120+AN103+AN101+AN129+AN87-$F144*AN12</f>
        <v>845.404881547606</v>
      </c>
      <c r="AO191" s="35" t="n">
        <f aca="false">AO60+AO106+AO99+AO120+AO103+AO101+AO129+AO87-$F144*AO12</f>
        <v>886.590388683276</v>
      </c>
      <c r="AP191" s="35" t="n">
        <f aca="false">AP60+AP106+AP99+AP120+AP103+AP101+AP129+AP87-$F144*AP12</f>
        <v>927.745556516224</v>
      </c>
      <c r="AQ191" s="35" t="n">
        <f aca="false">AQ60+AQ106+AQ99+AQ120+AQ103+AQ101+AQ129+AQ87-$F144*AQ12</f>
        <v>911.715877644968</v>
      </c>
      <c r="AR191" s="35" t="n">
        <f aca="false">AR60+AR106+AR99+AR120+AR103+AR101+AR129+AR87-$F144*AR12</f>
        <v>846.543277615423</v>
      </c>
      <c r="AS191" s="35" t="n">
        <f aca="false">AS60+AS106+AS99+AS120+AS103+AS101+AS129+AS87-$F144*AS12</f>
        <v>887.727694520745</v>
      </c>
      <c r="AT191" s="35" t="n">
        <f aca="false">AT60+AT106+AT99+AT120+AT103+AT101+AT129+AT87-$F144*AT12</f>
        <v>928.88022647735</v>
      </c>
      <c r="AU191" s="35" t="n">
        <f aca="false">AU60+AU106+AU99+AU120+AU103+AU101+AU129+AU87-$F144*AU12</f>
        <v>912.638411235669</v>
      </c>
      <c r="AV191" s="35" t="n">
        <f aca="false">AV60+AV106+AV99+AV120+AV103+AV101+AV129+AV87-$F144*AV12</f>
        <v>890.70113207518</v>
      </c>
      <c r="AW191" s="35" t="n">
        <f aca="false">AW60+AW106+AW99+AW120+AW103+AW101+AW129+AW87-$F144*AW12</f>
        <v>888.020385021271</v>
      </c>
      <c r="AX191" s="35" t="n">
        <f aca="false">AX60+AX106+AX99+AX120+AX103+AX101+AX129+AX87-$F144*AX12</f>
        <v>929.16022862069</v>
      </c>
      <c r="AY191" s="35" t="n">
        <f aca="false">AY60+AY106+AY99+AY120+AY103+AY101+AY129+AY87-$F144*AY12</f>
        <v>912.699544478946</v>
      </c>
      <c r="AZ191" s="35" t="n">
        <f aca="false">AZ60+AZ106+AZ99+AZ120+AZ103+AZ101+AZ129+AZ87-$F144*AZ12</f>
        <v>846.278418220016</v>
      </c>
      <c r="BA191" s="35" t="n">
        <f aca="false">BA60+BA106+BA99+BA120+BA103+BA101+BA129+BA87-$F144*BA12</f>
        <v>887.43027860781</v>
      </c>
      <c r="BB191" s="35" t="n">
        <f aca="false">BB60+BB106+BB99+BB120+BB103+BB101+BB129+BB87-$F144*BB12</f>
        <v>928.546922512905</v>
      </c>
      <c r="BC191" s="35" t="n">
        <f aca="false">BC60+BC106+BC99+BC120+BC103+BC101+BC129+BC87-$F144*BC12</f>
        <v>911.86031268293</v>
      </c>
      <c r="BD191" s="35" t="n">
        <f aca="false">BD60+BD106+BD99+BD120+BD103+BD101+BD129+BD87-$F144*BD12</f>
        <v>844.798079926203</v>
      </c>
      <c r="BE191" s="35" t="n">
        <f aca="false">BE60+BE106+BE99+BE120+BE103+BE101+BE129+BE87-$F144*BE12</f>
        <v>885.917544416721</v>
      </c>
      <c r="BF191" s="35" t="n">
        <f aca="false">BF60+BF106+BF99+BF120+BF103+BF101+BF129+BF87-$F144*BF12</f>
        <v>926.999998308965</v>
      </c>
      <c r="BG191" s="35" t="n">
        <f aca="false">BG60+BG106+BG99+BG120+BG103+BG101+BG129+BG87-$F144*BG12</f>
        <v>910.080065163074</v>
      </c>
      <c r="BH191" s="35" t="n">
        <f aca="false">BH60+BH106+BH99+BH120+BH103+BH101+BH129+BH87-$F144*BH12</f>
        <v>842.36495707647</v>
      </c>
      <c r="BI191" s="35" t="n">
        <f aca="false">BI60+BI106+BI99+BI120+BI103+BI101+BI129+BI87-$F144*BI12</f>
        <v>883.440626714007</v>
      </c>
      <c r="BJ191" s="35" t="n">
        <f aca="false">BJ60+BJ106+BJ99+BJ120+BJ103+BJ101+BJ129+BJ87-$F144*BJ12</f>
        <v>924.477400235871</v>
      </c>
      <c r="BK191" s="35" t="n">
        <f aca="false">BK60+BK106+BK99+BK120+BK103+BK101+BK129+BK87-$F144*BK12</f>
        <v>907.316387876432</v>
      </c>
      <c r="BL191" s="35" t="n">
        <f aca="false">BL60+BL106+BL99+BL120+BL103+BL101+BL129+BL87-$F144*BL12</f>
        <v>883.226380985904</v>
      </c>
      <c r="BM191" s="35" t="n">
        <f aca="false">BM60+BM106+BM99+BM120+BM103+BM101+BM129+BM87-$F144*BM12</f>
        <v>879.956165674805</v>
      </c>
      <c r="BN191" s="35" t="n">
        <f aca="false">BN60+BN106+BN99+BN120+BN103+BN101+BN129+BN87-$F144*BN12</f>
        <v>920.935246394432</v>
      </c>
      <c r="BO191" s="35" t="n">
        <f aca="false">BO60+BO106+BO99+BO120+BO103+BO101+BO129+BO87-$F144*BO12</f>
        <v>903.525022330628</v>
      </c>
      <c r="BP191" s="35" t="n">
        <f aca="false">BP60+BP106+BP99+BP120+BP103+BP101+BP129+BP87-$F144*BP12</f>
        <v>834.467123776132</v>
      </c>
      <c r="BQ191" s="35" t="n">
        <f aca="false">BQ60+BQ106+BQ99+BQ120+BQ103+BQ101+BQ129+BQ87-$F144*BQ12</f>
        <v>875.418914346086</v>
      </c>
      <c r="BR191" s="35" t="n">
        <f aca="false">BR60+BR106+BR99+BR120+BR103+BR101+BR129+BR87-$F144*BR12</f>
        <v>916.32774469689</v>
      </c>
      <c r="BS191" s="35" t="n">
        <f aca="false">BS60+BS106+BS99+BS120+BS103+BS101+BS129+BS87-$F144*BS12</f>
        <v>4069.60725622995</v>
      </c>
      <c r="BT191" s="35" t="n">
        <f aca="false">BT60+BT106+BT99+BT120+BT103+BT101+BT129+BT87-$F144*BT12</f>
        <v>4003.42584117317</v>
      </c>
      <c r="BU191" s="35" t="n">
        <f aca="false">BU60+BU106+BU99+BU120+BU103+BU101+BU129+BU87-$F144*BU12</f>
        <v>4047.90835051954</v>
      </c>
      <c r="BV191" s="35" t="n">
        <f aca="false">BV60+BV106+BV99+BV120+BV103+BV101+BV129+BV87-$F144*BV12</f>
        <v>4092.39085986591</v>
      </c>
      <c r="BW191" s="35" t="n">
        <f aca="false">BW60+BW106+BW99+BW120+BW103+BW101+BW129+BW87-$F144*BW12</f>
        <v>4078.15898065686</v>
      </c>
      <c r="BX191" s="35" t="n">
        <f aca="false">BX60+BX106+BX99+BX120+BX103+BX101+BX129+BX87-$F144*BX12</f>
        <v>4011.45486590955</v>
      </c>
      <c r="BY191" s="35" t="n">
        <f aca="false">BY60+BY106+BY99+BY120+BY103+BY101+BY129+BY87-$F144*BY12</f>
        <v>4056.02658664188</v>
      </c>
      <c r="BZ191" s="35" t="n">
        <f aca="false">BZ60+BZ106+BZ99+BZ120+BZ103+BZ101+BZ129+BZ87-$F144*BZ12</f>
        <v>4100.59830737421</v>
      </c>
      <c r="CA191" s="35" t="n">
        <f aca="false">CA60+CA106+CA99+CA120+CA103+CA101+CA129+CA87-$F144*CA12</f>
        <v>4086.27900066486</v>
      </c>
      <c r="CB191" s="35" t="n">
        <f aca="false">CB60+CB106+CB99+CB120+CB103+CB101+CB129+CB87-$F144*CB12</f>
        <v>4063.70340708089</v>
      </c>
      <c r="CC191" s="35" t="n">
        <f aca="false">CC60+CC106+CC99+CC120+CC103+CC101+CC129+CC87-$F144*CC12</f>
        <v>4063.70340708089</v>
      </c>
      <c r="CD191" s="35" t="n">
        <f aca="false">CD60+CD106+CD99+CD120+CD103+CD101+CD129+CD87-$F144*CD12</f>
        <v>4108.35948847738</v>
      </c>
      <c r="CE191" s="35" t="n">
        <f aca="false">CE60+CE106+CE99+CE120+CE103+CE101+CE129+CE87-$F144*CE12</f>
        <v>4093.95252293801</v>
      </c>
      <c r="CF191" s="35" t="n">
        <f aca="false">CF60+CF106+CF99+CF120+CF103+CF101+CF129+CF87-$F144*CF12</f>
        <v>4026.18836092788</v>
      </c>
      <c r="CG191" s="35" t="n">
        <f aca="false">CG60+CG106+CG99+CG120+CG103+CG101+CG129+CG87-$F144*CG12</f>
        <v>4070.92378716041</v>
      </c>
      <c r="CH191" s="35" t="n">
        <f aca="false">CH60+CH106+CH99+CH120+CH103+CH101+CH129+CH87-$F144*CH12</f>
        <v>4115.65921339294</v>
      </c>
      <c r="CI191" s="35" t="n">
        <f aca="false">CI60+CI106+CI99+CI120+CI103+CI101+CI129+CI87-$F144*CI12</f>
        <v>4101.16436400994</v>
      </c>
      <c r="CJ191" s="35" t="n">
        <f aca="false">CJ60+CJ106+CJ99+CJ120+CJ103+CJ101+CJ129+CJ87-$F144*CJ12</f>
        <v>4032.86272067897</v>
      </c>
      <c r="CK191" s="35" t="n">
        <f aca="false">CK60+CK106+CK99+CK120+CK103+CK101+CK129+CK87-$F144*CK12</f>
        <v>4077.6723064643</v>
      </c>
      <c r="CL191" s="35" t="n">
        <f aca="false">CL60+CL106+CL99+CL120+CL103+CL101+CL129+CL87-$F144*CL12</f>
        <v>4122.48189224962</v>
      </c>
      <c r="CM191" s="35" t="n">
        <f aca="false">CM60+CM106+CM99+CM120+CM103+CM101+CM129+CM87-$F144*CM12</f>
        <v>4107.89894054444</v>
      </c>
      <c r="CN191" s="35" t="n">
        <f aca="false">CN60+CN106+CN99+CN120+CN103+CN101+CN129+CN87-$F144*CN12</f>
        <v>4039.05475283845</v>
      </c>
      <c r="CO191" s="35" t="n">
        <f aca="false">CO60+CO106+CO99+CO120+CO103+CO101+CO129+CO87-$F144*CO12</f>
        <v>4083.9331389811</v>
      </c>
      <c r="CP191" s="35" t="n">
        <f aca="false">CP60+CP106+CP99+CP120+CP103+CP101+CP129+CP87-$F144*CP12</f>
        <v>4128.81152512375</v>
      </c>
      <c r="CQ191" s="35" t="n">
        <f aca="false">CQ60+CQ106+CQ99+CQ120+CQ103+CQ101+CQ129+CQ87-$F144*CQ12</f>
        <v>4114.14025937721</v>
      </c>
      <c r="CR191" s="35" t="n">
        <f aca="false">CR60+CR106+CR99+CR120+CR103+CR101+CR129+CR87-$F144*CR12</f>
        <v>4089.69004300646</v>
      </c>
      <c r="CS191" s="35" t="n">
        <f aca="false">CS60+CS106+CS99+CS120+CS103+CS101+CS129+CS87-$F144*CS12</f>
        <v>4089.69004300646</v>
      </c>
      <c r="CT191" s="35" t="n">
        <f aca="false">CT60+CT106+CT99+CT120+CT103+CT101+CT129+CT87-$F144*CT12</f>
        <v>4134.63169183071</v>
      </c>
      <c r="CU191" s="35" t="n">
        <f aca="false">CU60+CU106+CU99+CU120+CU103+CU101+CU129+CU87-$F144*CU12</f>
        <v>4119.87190731273</v>
      </c>
      <c r="CV191" s="35" t="n">
        <f aca="false">CV60+CV106+CV99+CV120+CV103+CV101+CV129+CV87-$F144*CV12</f>
        <v>4049.92716012924</v>
      </c>
      <c r="CW191" s="35" t="n">
        <f aca="false">CW60+CW106+CW99+CW120+CW103+CW101+CW129+CW87-$F144*CW12</f>
        <v>4094.92635079735</v>
      </c>
      <c r="CX191" s="35" t="n">
        <f aca="false">CX60+CX106+CX99+CX120+CX103+CX101+CX129+CX87-$F144*CX12</f>
        <v>4139.92554146545</v>
      </c>
      <c r="CY191" s="35" t="n">
        <f aca="false">CY60+CY106+CY99+CY120+CY103+CY101+CY129+CY87-$F144*CY12</f>
        <v>4125.07704067048</v>
      </c>
      <c r="CZ191" s="35" t="n">
        <f aca="false">CZ60+CZ106+CZ99+CZ120+CZ103+CZ101+CZ129+CZ87-$F144*CZ12</f>
        <v>4054.57413425806</v>
      </c>
      <c r="DA191" s="35" t="n">
        <f aca="false">DA60+DA106+DA99+DA120+DA103+DA101+DA129+DA87-$F144*DA12</f>
        <v>4099.62495797204</v>
      </c>
      <c r="DB191" s="35" t="n">
        <f aca="false">DB60+DB106+DB99+DB120+DB103+DB101+DB129+DB87-$F144*DB12</f>
        <v>4144.67578168601</v>
      </c>
      <c r="DC191" s="35" t="n">
        <f aca="false">DC60+DC106+DC99+DC120+DC103+DC101+DC129+DC87-$F144*DC12</f>
        <v>4129.73837457408</v>
      </c>
      <c r="DD191" s="35" t="n">
        <f aca="false">DD60+DD106+DD99+DD120+DD103+DD101+DD129+DD87-$F144*DD12</f>
        <v>4058.67195756549</v>
      </c>
      <c r="DE191" s="35" t="n">
        <f aca="false">DE60+DE106+DE99+DE120+DE103+DE101+DE129+DE87-$F144*DE12</f>
        <v>4103.76831264955</v>
      </c>
      <c r="DF191" s="35" t="n">
        <f aca="false">DF60+DF106+DF99+DF120+DF103+DF101+DF129+DF87-$F144*DF12</f>
        <v>4148.86466773361</v>
      </c>
      <c r="DG191" s="35" t="n">
        <f aca="false">DG60+DG106+DG99+DG120+DG103+DG101+DG129+DG87-$F144*DG12</f>
        <v>3948.00494486583</v>
      </c>
      <c r="DH191" s="35" t="n">
        <f aca="false">DH60+DH106+DH99+DH120+DH103+DH101+DH129+DH87-$F144*DH12</f>
        <v>3923.5251035924</v>
      </c>
      <c r="DI191" s="35" t="n">
        <f aca="false">DI60+DI106+DI99+DI120+DI103+DI101+DI129+DI87-$F144*DI12</f>
        <v>3923.5251035924</v>
      </c>
      <c r="DJ191" s="35" t="n">
        <f aca="false">DJ60+DJ106+DJ99+DJ120+DJ103+DJ101+DJ129+DJ87-$F144*DJ12</f>
        <v>3966.64076407144</v>
      </c>
      <c r="DK191" s="35" t="n">
        <f aca="false">DK60+DK106+DK99+DK120+DK103+DK101+DK129+DK87-$F144*DK12</f>
        <v>3951.52500530895</v>
      </c>
      <c r="DL191" s="35" t="n">
        <f aca="false">DL60+DL106+DL99+DL120+DL103+DL101+DL129+DL87-$F144*DL12</f>
        <v>3883.35506214572</v>
      </c>
      <c r="DM191" s="35" t="n">
        <f aca="false">DM60+DM106+DM99+DM120+DM103+DM101+DM129+DM87-$F144*DM12</f>
        <v>3926.50345172512</v>
      </c>
      <c r="DN191" s="35" t="n">
        <f aca="false">DN60+DN106+DN99+DN120+DN103+DN101+DN129+DN87-$F144*DN12</f>
        <v>3969.65184130451</v>
      </c>
      <c r="DO191" s="35" t="n">
        <f aca="false">DO60+DO106+DO99+DO120+DO103+DO101+DO129+DO87-$F144*DO12</f>
        <v>3954.44665339857</v>
      </c>
      <c r="DP191" s="35" t="n">
        <f aca="false">DP60+DP106+DP99+DP120+DP103+DP101+DP129+DP87-$F144*DP12</f>
        <v>3885.69668644693</v>
      </c>
      <c r="DQ191" s="35" t="n">
        <f aca="false">DQ60+DQ106+DQ99+DQ120+DQ103+DQ101+DQ129+DQ87-$F144*DQ12</f>
        <v>3928.87109407412</v>
      </c>
      <c r="DR191" s="35" t="n">
        <f aca="false">DR60+DR106+DR99+DR120+DR103+DR101+DR129+DR87-$F144*DR12</f>
        <v>3972.04550170131</v>
      </c>
      <c r="DS191" s="35" t="n">
        <f aca="false">DS60+DS106+DS99+DS120+DS103+DS101+DS129+DS87-$F144*DS12</f>
        <v>3956.75072700462</v>
      </c>
      <c r="DT191" s="35" t="n">
        <f aca="false">DT60+DT106+DT99+DT120+DT103+DT101+DT129+DT87-$F144*DT12</f>
        <v>3887.415073898</v>
      </c>
      <c r="DU191" s="35" t="n">
        <f aca="false">DU60+DU106+DU99+DU120+DU103+DU101+DU129+DU87-$F144*DU12</f>
        <v>3930.60857471908</v>
      </c>
      <c r="DV191" s="35" t="n">
        <f aca="false">DV60+DV106+DV99+DV120+DV103+DV101+DV129+DV87-$F144*DV12</f>
        <v>3973.80207554017</v>
      </c>
      <c r="DW191" s="35" t="n">
        <f aca="false">DW60+DW106+DW99+DW120+DW103+DW101+DW129+DW87-$F144*DW12</f>
        <v>3958.41756516718</v>
      </c>
      <c r="DX191" s="35" t="n">
        <f aca="false">DX60+DX106+DX99+DX120+DX103+DX101+DX129+DX87-$F144*DX12</f>
        <v>3931.695931801</v>
      </c>
      <c r="DY191" s="35" t="n">
        <f aca="false">DY60+DY106+DY99+DY120+DY103+DY101+DY129+DY87-$F144*DY12</f>
        <v>3931.695931801</v>
      </c>
      <c r="DZ191" s="35" t="n">
        <f aca="false">DZ60+DZ106+DZ99+DZ120+DZ103+DZ101+DZ129+DZ87-$F144*DZ12</f>
        <v>3974.90138160101</v>
      </c>
      <c r="EA191" s="35" t="n">
        <f aca="false">EA60+EA106+EA99+EA120+EA103+EA101+EA129+EA87-$F144*EA12</f>
        <v>3959.42699570617</v>
      </c>
      <c r="EB191" s="35" t="n">
        <f aca="false">EB60+EB106+EB99+EB120+EB103+EB101+EB129+EB87-$F144*EB12</f>
        <v>3888.90265545373</v>
      </c>
      <c r="EC191" s="35" t="n">
        <f aca="false">EC60+EC106+EC99+EC120+EC103+EC101+EC129+EC87-$F144*EC12</f>
        <v>3932.11268495877</v>
      </c>
      <c r="ED191" s="35" t="n">
        <f aca="false">ED60+ED106+ED99+ED120+ED103+ED101+ED129+ED87-$F144*ED12</f>
        <v>3975.32271446381</v>
      </c>
      <c r="EE191" s="35" t="n">
        <f aca="false">EE60+EE106+EE99+EE120+EE103+EE101+EE129+EE87-$F144*EE12</f>
        <v>3959.75832252664</v>
      </c>
      <c r="EF191" s="35" t="n">
        <f aca="false">EF60+EF106+EF99+EF120+EF103+EF101+EF129+EF87-$F144*EF12</f>
        <v>3888.63081341921</v>
      </c>
      <c r="EG191" s="35" t="n">
        <f aca="false">EG60+EG106+EG99+EG120+EG103+EG101+EG129+EG87-$F144*EG12</f>
        <v>3931.8378224572</v>
      </c>
      <c r="EH191" s="35" t="n">
        <f aca="false">EH60+EH106+EH99+EH120+EH103+EH101+EH129+EH87-$F144*EH12</f>
        <v>3975.04483149519</v>
      </c>
      <c r="EI191" s="35" t="n">
        <f aca="false">EI60+EI106+EI99+EI120+EI103+EI101+EI129+EI87-$F144*EI12</f>
        <v>3959.39031261208</v>
      </c>
      <c r="EJ191" s="35" t="n">
        <f aca="false">EJ60+EJ106+EJ99+EJ120+EJ103+EJ101+EJ129+EJ87-$F144*EJ12</f>
        <v>3887.65363648219</v>
      </c>
      <c r="EK191" s="35" t="n">
        <f aca="false">EK60+EK106+EK99+EK120+EK103+EK101+EK129+EK87-$F144*EK12</f>
        <v>3930.84978799866</v>
      </c>
      <c r="EL191" s="35" t="n">
        <f aca="false">EL60+EL106+EL99+EL120+EL103+EL101+EL129+EL87-$F144*EL12</f>
        <v>3974.04593951513</v>
      </c>
      <c r="EM191" s="35" t="n">
        <f aca="false">EM60+EM106+EM99+EM120+EM103+EM101+EM129+EM87-$F144*EM12</f>
        <v>3958.30118269824</v>
      </c>
      <c r="EN191" s="35" t="n">
        <f aca="false">EN60+EN106+EN99+EN120+EN103+EN101+EN129+EN87-$F144*EN12</f>
        <v>3929.12646721084</v>
      </c>
      <c r="EO191" s="35" t="n">
        <f aca="false">EO60+EO106+EO99+EO120+EO103+EO101+EO129+EO87-$F144*EO12</f>
        <v>3929.12646721084</v>
      </c>
      <c r="EP191" s="35" t="n">
        <f aca="false">EP60+EP106+EP99+EP120+EP103+EP101+EP129+EP87-$F144*EP12</f>
        <v>3972.30368113624</v>
      </c>
      <c r="EQ191" s="35" t="n">
        <f aca="false">EQ60+EQ106+EQ99+EQ120+EQ103+EQ101+EQ129+EQ87-$F144*EQ12</f>
        <v>3956.46858561953</v>
      </c>
      <c r="ER191" s="35" t="n">
        <f aca="false">ER60+ER106+ER99+ER120+ER103+ER101+ER129+ER87-$F144*ER12</f>
        <v>3883.49522683763</v>
      </c>
      <c r="ES191" s="35" t="n">
        <f aca="false">ES60+ES106+ES99+ES120+ES103+ES101+ES129+ES87-$F144*ES12</f>
        <v>3926.6451738025</v>
      </c>
      <c r="ET191" s="35" t="n">
        <f aca="false">ET60+ET106+ET99+ET120+ET103+ET101+ET129+ET87-$F144*ET12</f>
        <v>3969.79512076736</v>
      </c>
    </row>
    <row r="192" customFormat="false" ht="15" hidden="false" customHeight="false" outlineLevel="0" collapsed="false">
      <c r="C192" s="30" t="s">
        <v>81</v>
      </c>
      <c r="D192" s="11" t="s">
        <v>35</v>
      </c>
      <c r="E192" s="57" t="n">
        <f aca="false">XIRR($J191:$ET191,$J$4:$ET$4)</f>
        <v>0.0887506658196496</v>
      </c>
    </row>
    <row r="193" customFormat="false" ht="15" hidden="false" customHeight="false" outlineLevel="0" collapsed="false">
      <c r="C193" s="30" t="s">
        <v>179</v>
      </c>
      <c r="D193" s="11" t="s">
        <v>13</v>
      </c>
      <c r="E193" s="58" t="n">
        <f aca="false">SUMIF($J191:$ET191,"&gt;0")/-SUMIF($J191:$ET191,"&lt;0")</f>
        <v>4.59742181090224</v>
      </c>
    </row>
    <row r="194" customFormat="false" ht="15" hidden="false" customHeight="false" outlineLevel="0" collapsed="false">
      <c r="C194" s="30" t="s">
        <v>83</v>
      </c>
      <c r="D194" s="11" t="s">
        <v>253</v>
      </c>
      <c r="E194" s="35" t="n">
        <f aca="false">XNPV(In_Discount_Rate,$J191:$ET191,$J$4:$ET$4)</f>
        <v>8141.80305533397</v>
      </c>
    </row>
    <row r="195" customFormat="false" ht="15" hidden="false" customHeight="false" outlineLevel="0" collapsed="false">
      <c r="C195" s="0" t="s">
        <v>622</v>
      </c>
      <c r="D195" s="11" t="s">
        <v>13</v>
      </c>
      <c r="E195" s="50" t="n">
        <f aca="false">MIN($J195:$ET195)</f>
        <v>1.26316018482958</v>
      </c>
      <c r="J195" s="50" t="str">
        <f aca="false">IF(J103+J101&lt;0,(J120+J129)/-(J103+J101),"")</f>
        <v/>
      </c>
      <c r="K195" s="50" t="str">
        <f aca="false">IF(K103+K101&lt;0,(K120+K129)/-(K103+K101),"")</f>
        <v/>
      </c>
      <c r="L195" s="50" t="str">
        <f aca="false">IF(L103+L101&lt;0,(L120+L129)/-(L103+L101),"")</f>
        <v/>
      </c>
      <c r="M195" s="50" t="str">
        <f aca="false">IF(M103+M101&lt;0,(M120+M129)/-(M103+M101),"")</f>
        <v/>
      </c>
      <c r="N195" s="50" t="str">
        <f aca="false">IF(N103+N101&lt;0,(N120+N129)/-(N103+N101),"")</f>
        <v/>
      </c>
      <c r="O195" s="50" t="str">
        <f aca="false">IF(O103+O101&lt;0,(O120+O129)/-(O103+O101),"")</f>
        <v/>
      </c>
      <c r="P195" s="50" t="str">
        <f aca="false">IF(P103+P101&lt;0,(P120+P129)/-(P103+P101),"")</f>
        <v/>
      </c>
      <c r="Q195" s="50" t="str">
        <f aca="false">IF(Q103+Q101&lt;0,(Q120+Q129)/-(Q103+Q101),"")</f>
        <v/>
      </c>
      <c r="R195" s="50" t="str">
        <f aca="false">IF(R103+R101&lt;0,(R120+R129)/-(R103+R101),"")</f>
        <v/>
      </c>
      <c r="S195" s="50" t="str">
        <f aca="false">IF(S103+S101&lt;0,(S120+S129)/-(S103+S101),"")</f>
        <v/>
      </c>
      <c r="T195" s="50" t="str">
        <f aca="false">IF(T103+T101&lt;0,(T120+T129)/-(T103+T101),"")</f>
        <v/>
      </c>
      <c r="U195" s="50" t="str">
        <f aca="false">IF(U103+U101&lt;0,(U120+U129)/-(U103+U101),"")</f>
        <v/>
      </c>
      <c r="V195" s="50" t="str">
        <f aca="false">IF(V103+V101&lt;0,(V120+V129)/-(V103+V101),"")</f>
        <v/>
      </c>
      <c r="W195" s="50" t="str">
        <f aca="false">IF(W103+W101&lt;0,(W120+W129)/-(W103+W101),"")</f>
        <v/>
      </c>
      <c r="X195" s="50" t="str">
        <f aca="false">IF(X103+X101&lt;0,(X120+X129)/-(X103+X101),"")</f>
        <v/>
      </c>
      <c r="Y195" s="50" t="str">
        <f aca="false">IF(Y103+Y101&lt;0,(Y120+Y129)/-(Y103+Y101),"")</f>
        <v/>
      </c>
      <c r="Z195" s="50" t="str">
        <f aca="false">IF(Z103+Z101&lt;0,(Z120+Z129)/-(Z103+Z101),"")</f>
        <v/>
      </c>
      <c r="AA195" s="50" t="str">
        <f aca="false">IF(AA103+AA101&lt;0,(AA120+AA129)/-(AA103+AA101),"")</f>
        <v/>
      </c>
      <c r="AB195" s="50" t="str">
        <f aca="false">IF(AB103+AB101&lt;0,(AB120+AB129)/-(AB103+AB101),"")</f>
        <v/>
      </c>
      <c r="AC195" s="50" t="str">
        <f aca="false">IF(AC103+AC101&lt;0,(AC120+AC129)/-(AC103+AC101),"")</f>
        <v/>
      </c>
      <c r="AD195" s="50" t="str">
        <f aca="false">IF(AD103+AD101&lt;0,(AD120+AD129)/-(AD103+AD101),"")</f>
        <v/>
      </c>
      <c r="AE195" s="50" t="n">
        <f aca="false">IF(AE103+AE101&lt;0,(AE120+AE129)/-(AE103+AE101),"")</f>
        <v>1.30910605086437</v>
      </c>
      <c r="AF195" s="50" t="n">
        <f aca="false">IF(AF103+AF101&lt;0,(AF120+AF129)/-(AF103+AF101),"")</f>
        <v>1.30361975201342</v>
      </c>
      <c r="AG195" s="50" t="n">
        <f aca="false">IF(AG103+AG101&lt;0,(AG120+AG129)/-(AG103+AG101),"")</f>
        <v>1.30361975201342</v>
      </c>
      <c r="AH195" s="50" t="n">
        <f aca="false">IF(AH103+AH101&lt;0,(AH120+AH129)/-(AH103+AH101),"")</f>
        <v>1.31794524379379</v>
      </c>
      <c r="AI195" s="50" t="n">
        <f aca="false">IF(AI103+AI101&lt;0,(AI120+AI129)/-(AI103+AI101),"")</f>
        <v>1.31331128702642</v>
      </c>
      <c r="AJ195" s="50" t="n">
        <f aca="false">IF(AJ103+AJ101&lt;0,(AJ120+AJ129)/-(AJ103+AJ101),"")</f>
        <v>1.29333402298692</v>
      </c>
      <c r="AK195" s="50" t="n">
        <f aca="false">IF(AK103+AK101&lt;0,(AK120+AK129)/-(AK103+AK101),"")</f>
        <v>1.30404074630601</v>
      </c>
      <c r="AL195" s="50" t="n">
        <f aca="false">IF(AL103+AL101&lt;0,(AL120+AL129)/-(AL103+AL101),"")</f>
        <v>1.29196108414819</v>
      </c>
      <c r="AM195" s="50" t="n">
        <f aca="false">IF(AM103+AM101&lt;0,(AM120+AM129)/-(AM103+AM101),"")</f>
        <v>1.2869707881353</v>
      </c>
      <c r="AN195" s="50" t="n">
        <f aca="false">IF(AN103+AN101&lt;0,(AN120+AN129)/-(AN103+AN101),"")</f>
        <v>1.26660955062812</v>
      </c>
      <c r="AO195" s="50" t="n">
        <f aca="false">IF(AO103+AO101&lt;0,(AO120+AO129)/-(AO103+AO101),"")</f>
        <v>1.27959794209534</v>
      </c>
      <c r="AP195" s="50" t="n">
        <f aca="false">IF(AP103+AP101&lt;0,(AP120+AP129)/-(AP103+AP101),"")</f>
        <v>1.29257676566432</v>
      </c>
      <c r="AQ195" s="50" t="n">
        <f aca="false">IF(AQ103+AQ101&lt;0,(AQ120+AQ129)/-(AQ103+AQ101),"")</f>
        <v>1.28752159556316</v>
      </c>
      <c r="AR195" s="50" t="n">
        <f aca="false">IF(AR103+AR101&lt;0,(AR120+AR129)/-(AR103+AR101),"")</f>
        <v>1.26696855880362</v>
      </c>
      <c r="AS195" s="50" t="n">
        <f aca="false">IF(AS103+AS101&lt;0,(AS120+AS129)/-(AS103+AS101),"")</f>
        <v>1.27995660645235</v>
      </c>
      <c r="AT195" s="50" t="n">
        <f aca="false">IF(AT103+AT101&lt;0,(AT120+AT129)/-(AT103+AT101),"")</f>
        <v>1.29293459876306</v>
      </c>
      <c r="AU195" s="50" t="n">
        <f aca="false">IF(AU103+AU101&lt;0,(AU120+AU129)/-(AU103+AU101),"")</f>
        <v>1.28781252866684</v>
      </c>
      <c r="AV195" s="50" t="n">
        <f aca="false">IF(AV103+AV101&lt;0,(AV120+AV129)/-(AV103+AV101),"")</f>
        <v>1.28089431910047</v>
      </c>
      <c r="AW195" s="50" t="n">
        <f aca="false">IF(AW103+AW101&lt;0,(AW120+AW129)/-(AW103+AW101),"")</f>
        <v>1.28004891025201</v>
      </c>
      <c r="AX195" s="50" t="n">
        <f aca="false">IF(AX103+AX101&lt;0,(AX120+AX129)/-(AX103+AX101),"")</f>
        <v>1.29302290112236</v>
      </c>
      <c r="AY195" s="50" t="n">
        <f aca="false">IF(AY103+AY101&lt;0,(AY120+AY129)/-(AY103+AY101),"")</f>
        <v>1.28783180783931</v>
      </c>
      <c r="AZ195" s="50" t="n">
        <f aca="false">IF(AZ103+AZ101&lt;0,(AZ120+AZ129)/-(AZ103+AZ101),"")</f>
        <v>1.26688503190907</v>
      </c>
      <c r="BA195" s="50" t="n">
        <f aca="false">IF(BA103+BA101&lt;0,(BA120+BA129)/-(BA103+BA101),"")</f>
        <v>1.27986281243172</v>
      </c>
      <c r="BB195" s="50" t="n">
        <f aca="false">IF(BB103+BB101&lt;0,(BB120+BB129)/-(BB103+BB101),"")</f>
        <v>1.29282948697328</v>
      </c>
      <c r="BC195" s="50" t="n">
        <f aca="false">IF(BC103+BC101&lt;0,(BC120+BC129)/-(BC103+BC101),"")</f>
        <v>1.28756714505241</v>
      </c>
      <c r="BD195" s="50" t="n">
        <f aca="false">IF(BD103+BD101&lt;0,(BD120+BD129)/-(BD103+BD101),"")</f>
        <v>1.26641818775439</v>
      </c>
      <c r="BE195" s="50" t="n">
        <f aca="false">IF(BE103+BE101&lt;0,(BE120+BE129)/-(BE103+BE101),"")</f>
        <v>1.27938575180467</v>
      </c>
      <c r="BF195" s="50" t="n">
        <f aca="false">IF(BF103+BF101&lt;0,(BF120+BF129)/-(BF103+BF101),"")</f>
        <v>1.29234164407591</v>
      </c>
      <c r="BG195" s="50" t="n">
        <f aca="false">IF(BG103+BG101&lt;0,(BG120+BG129)/-(BG103+BG101),"")</f>
        <v>1.28700572057801</v>
      </c>
      <c r="BH195" s="50" t="n">
        <f aca="false">IF(BH103+BH101&lt;0,(BH120+BH129)/-(BH103+BH101),"")</f>
        <v>1.26565087045619</v>
      </c>
      <c r="BI195" s="50" t="n">
        <f aca="false">IF(BI103+BI101&lt;0,(BI120+BI129)/-(BI103+BI101),"")</f>
        <v>1.27860462322347</v>
      </c>
      <c r="BJ195" s="50" t="n">
        <f aca="false">IF(BJ103+BJ101&lt;0,(BJ120+BJ129)/-(BJ103+BJ101),"")</f>
        <v>1.29154610958899</v>
      </c>
      <c r="BK195" s="50" t="n">
        <f aca="false">IF(BK103+BK101&lt;0,(BK120+BK129)/-(BK103+BK101),"")</f>
        <v>1.28613415858972</v>
      </c>
      <c r="BL195" s="50" t="n">
        <f aca="false">IF(BL103+BL101&lt;0,(BL120+BL129)/-(BL103+BL101),"")</f>
        <v>1.27853705801472</v>
      </c>
      <c r="BM195" s="50" t="n">
        <f aca="false">IF(BM103+BM101&lt;0,(BM120+BM129)/-(BM103+BM101),"")</f>
        <v>1.27750575259695</v>
      </c>
      <c r="BN195" s="50" t="n">
        <f aca="false">IF(BN103+BN101&lt;0,(BN120+BN129)/-(BN103+BN101),"")</f>
        <v>1.29042904477834</v>
      </c>
      <c r="BO195" s="50" t="n">
        <f aca="false">IF(BO103+BO101&lt;0,(BO120+BO129)/-(BO103+BO101),"")</f>
        <v>1.28493850158975</v>
      </c>
      <c r="BP195" s="50" t="n">
        <f aca="false">IF(BP103+BP101&lt;0,(BP120+BP129)/-(BP103+BP101),"")</f>
        <v>1.26316018482958</v>
      </c>
      <c r="BQ195" s="50" t="n">
        <f aca="false">IF(BQ103+BQ101&lt;0,(BQ120+BQ129)/-(BQ103+BQ101),"")</f>
        <v>1.27607487070327</v>
      </c>
      <c r="BR195" s="50" t="n">
        <f aca="false">IF(BR103+BR101&lt;0,(BR120+BR129)/-(BR103+BR101),"")</f>
        <v>1.28897600850672</v>
      </c>
      <c r="BS195" s="50" t="str">
        <f aca="false">IF(BS103+BS101&lt;0,(BS120+BS129)/-(BS103+BS101),"")</f>
        <v/>
      </c>
      <c r="BT195" s="50" t="str">
        <f aca="false">IF(BT103+BT101&lt;0,(BT120+BT129)/-(BT103+BT101),"")</f>
        <v/>
      </c>
      <c r="BU195" s="50" t="str">
        <f aca="false">IF(BU103+BU101&lt;0,(BU120+BU129)/-(BU103+BU101),"")</f>
        <v/>
      </c>
      <c r="BV195" s="50" t="str">
        <f aca="false">IF(BV103+BV101&lt;0,(BV120+BV129)/-(BV103+BV101),"")</f>
        <v/>
      </c>
      <c r="BW195" s="50" t="str">
        <f aca="false">IF(BW103+BW101&lt;0,(BW120+BW129)/-(BW103+BW101),"")</f>
        <v/>
      </c>
      <c r="BX195" s="50" t="str">
        <f aca="false">IF(BX103+BX101&lt;0,(BX120+BX129)/-(BX103+BX101),"")</f>
        <v/>
      </c>
      <c r="BY195" s="50" t="str">
        <f aca="false">IF(BY103+BY101&lt;0,(BY120+BY129)/-(BY103+BY101),"")</f>
        <v/>
      </c>
      <c r="BZ195" s="50" t="str">
        <f aca="false">IF(BZ103+BZ101&lt;0,(BZ120+BZ129)/-(BZ103+BZ101),"")</f>
        <v/>
      </c>
      <c r="CA195" s="50" t="str">
        <f aca="false">IF(CA103+CA101&lt;0,(CA120+CA129)/-(CA103+CA101),"")</f>
        <v/>
      </c>
      <c r="CB195" s="50" t="str">
        <f aca="false">IF(CB103+CB101&lt;0,(CB120+CB129)/-(CB103+CB101),"")</f>
        <v/>
      </c>
      <c r="CC195" s="50" t="str">
        <f aca="false">IF(CC103+CC101&lt;0,(CC120+CC129)/-(CC103+CC101),"")</f>
        <v/>
      </c>
      <c r="CD195" s="50" t="str">
        <f aca="false">IF(CD103+CD101&lt;0,(CD120+CD129)/-(CD103+CD101),"")</f>
        <v/>
      </c>
      <c r="CE195" s="50" t="str">
        <f aca="false">IF(CE103+CE101&lt;0,(CE120+CE129)/-(CE103+CE101),"")</f>
        <v/>
      </c>
      <c r="CF195" s="50" t="str">
        <f aca="false">IF(CF103+CF101&lt;0,(CF120+CF129)/-(CF103+CF101),"")</f>
        <v/>
      </c>
      <c r="CG195" s="50" t="str">
        <f aca="false">IF(CG103+CG101&lt;0,(CG120+CG129)/-(CG103+CG101),"")</f>
        <v/>
      </c>
      <c r="CH195" s="50" t="str">
        <f aca="false">IF(CH103+CH101&lt;0,(CH120+CH129)/-(CH103+CH101),"")</f>
        <v/>
      </c>
      <c r="CI195" s="50" t="str">
        <f aca="false">IF(CI103+CI101&lt;0,(CI120+CI129)/-(CI103+CI101),"")</f>
        <v/>
      </c>
      <c r="CJ195" s="50" t="str">
        <f aca="false">IF(CJ103+CJ101&lt;0,(CJ120+CJ129)/-(CJ103+CJ101),"")</f>
        <v/>
      </c>
      <c r="CK195" s="50" t="str">
        <f aca="false">IF(CK103+CK101&lt;0,(CK120+CK129)/-(CK103+CK101),"")</f>
        <v/>
      </c>
      <c r="CL195" s="50" t="str">
        <f aca="false">IF(CL103+CL101&lt;0,(CL120+CL129)/-(CL103+CL101),"")</f>
        <v/>
      </c>
      <c r="CM195" s="50" t="str">
        <f aca="false">IF(CM103+CM101&lt;0,(CM120+CM129)/-(CM103+CM101),"")</f>
        <v/>
      </c>
      <c r="CN195" s="50" t="str">
        <f aca="false">IF(CN103+CN101&lt;0,(CN120+CN129)/-(CN103+CN101),"")</f>
        <v/>
      </c>
      <c r="CO195" s="50" t="str">
        <f aca="false">IF(CO103+CO101&lt;0,(CO120+CO129)/-(CO103+CO101),"")</f>
        <v/>
      </c>
      <c r="CP195" s="50" t="str">
        <f aca="false">IF(CP103+CP101&lt;0,(CP120+CP129)/-(CP103+CP101),"")</f>
        <v/>
      </c>
      <c r="CQ195" s="50" t="str">
        <f aca="false">IF(CQ103+CQ101&lt;0,(CQ120+CQ129)/-(CQ103+CQ101),"")</f>
        <v/>
      </c>
      <c r="CR195" s="50" t="str">
        <f aca="false">IF(CR103+CR101&lt;0,(CR120+CR129)/-(CR103+CR101),"")</f>
        <v/>
      </c>
      <c r="CS195" s="50" t="str">
        <f aca="false">IF(CS103+CS101&lt;0,(CS120+CS129)/-(CS103+CS101),"")</f>
        <v/>
      </c>
      <c r="CT195" s="50" t="str">
        <f aca="false">IF(CT103+CT101&lt;0,(CT120+CT129)/-(CT103+CT101),"")</f>
        <v/>
      </c>
      <c r="CU195" s="50" t="str">
        <f aca="false">IF(CU103+CU101&lt;0,(CU120+CU129)/-(CU103+CU101),"")</f>
        <v/>
      </c>
      <c r="CV195" s="50" t="str">
        <f aca="false">IF(CV103+CV101&lt;0,(CV120+CV129)/-(CV103+CV101),"")</f>
        <v/>
      </c>
      <c r="CW195" s="50" t="str">
        <f aca="false">IF(CW103+CW101&lt;0,(CW120+CW129)/-(CW103+CW101),"")</f>
        <v/>
      </c>
      <c r="CX195" s="50" t="str">
        <f aca="false">IF(CX103+CX101&lt;0,(CX120+CX129)/-(CX103+CX101),"")</f>
        <v/>
      </c>
      <c r="CY195" s="50" t="str">
        <f aca="false">IF(CY103+CY101&lt;0,(CY120+CY129)/-(CY103+CY101),"")</f>
        <v/>
      </c>
      <c r="CZ195" s="50" t="str">
        <f aca="false">IF(CZ103+CZ101&lt;0,(CZ120+CZ129)/-(CZ103+CZ101),"")</f>
        <v/>
      </c>
      <c r="DA195" s="50" t="str">
        <f aca="false">IF(DA103+DA101&lt;0,(DA120+DA129)/-(DA103+DA101),"")</f>
        <v/>
      </c>
      <c r="DB195" s="50" t="str">
        <f aca="false">IF(DB103+DB101&lt;0,(DB120+DB129)/-(DB103+DB101),"")</f>
        <v/>
      </c>
      <c r="DC195" s="50" t="str">
        <f aca="false">IF(DC103+DC101&lt;0,(DC120+DC129)/-(DC103+DC101),"")</f>
        <v/>
      </c>
      <c r="DD195" s="50" t="str">
        <f aca="false">IF(DD103+DD101&lt;0,(DD120+DD129)/-(DD103+DD101),"")</f>
        <v/>
      </c>
      <c r="DE195" s="50" t="str">
        <f aca="false">IF(DE103+DE101&lt;0,(DE120+DE129)/-(DE103+DE101),"")</f>
        <v/>
      </c>
      <c r="DF195" s="50" t="str">
        <f aca="false">IF(DF103+DF101&lt;0,(DF120+DF129)/-(DF103+DF101),"")</f>
        <v/>
      </c>
      <c r="DG195" s="50" t="str">
        <f aca="false">IF(DG103+DG101&lt;0,(DG120+DG129)/-(DG103+DG101),"")</f>
        <v/>
      </c>
      <c r="DH195" s="50" t="str">
        <f aca="false">IF(DH103+DH101&lt;0,(DH120+DH129)/-(DH103+DH101),"")</f>
        <v/>
      </c>
      <c r="DI195" s="50" t="str">
        <f aca="false">IF(DI103+DI101&lt;0,(DI120+DI129)/-(DI103+DI101),"")</f>
        <v/>
      </c>
      <c r="DJ195" s="50" t="str">
        <f aca="false">IF(DJ103+DJ101&lt;0,(DJ120+DJ129)/-(DJ103+DJ101),"")</f>
        <v/>
      </c>
      <c r="DK195" s="50" t="str">
        <f aca="false">IF(DK103+DK101&lt;0,(DK120+DK129)/-(DK103+DK101),"")</f>
        <v/>
      </c>
      <c r="DL195" s="50" t="str">
        <f aca="false">IF(DL103+DL101&lt;0,(DL120+DL129)/-(DL103+DL101),"")</f>
        <v/>
      </c>
      <c r="DM195" s="50" t="str">
        <f aca="false">IF(DM103+DM101&lt;0,(DM120+DM129)/-(DM103+DM101),"")</f>
        <v/>
      </c>
      <c r="DN195" s="50" t="str">
        <f aca="false">IF(DN103+DN101&lt;0,(DN120+DN129)/-(DN103+DN101),"")</f>
        <v/>
      </c>
      <c r="DO195" s="50" t="str">
        <f aca="false">IF(DO103+DO101&lt;0,(DO120+DO129)/-(DO103+DO101),"")</f>
        <v/>
      </c>
      <c r="DP195" s="50" t="str">
        <f aca="false">IF(DP103+DP101&lt;0,(DP120+DP129)/-(DP103+DP101),"")</f>
        <v/>
      </c>
      <c r="DQ195" s="50" t="str">
        <f aca="false">IF(DQ103+DQ101&lt;0,(DQ120+DQ129)/-(DQ103+DQ101),"")</f>
        <v/>
      </c>
      <c r="DR195" s="50" t="str">
        <f aca="false">IF(DR103+DR101&lt;0,(DR120+DR129)/-(DR103+DR101),"")</f>
        <v/>
      </c>
      <c r="DS195" s="50" t="str">
        <f aca="false">IF(DS103+DS101&lt;0,(DS120+DS129)/-(DS103+DS101),"")</f>
        <v/>
      </c>
      <c r="DT195" s="50" t="str">
        <f aca="false">IF(DT103+DT101&lt;0,(DT120+DT129)/-(DT103+DT101),"")</f>
        <v/>
      </c>
      <c r="DU195" s="50" t="str">
        <f aca="false">IF(DU103+DU101&lt;0,(DU120+DU129)/-(DU103+DU101),"")</f>
        <v/>
      </c>
      <c r="DV195" s="50" t="str">
        <f aca="false">IF(DV103+DV101&lt;0,(DV120+DV129)/-(DV103+DV101),"")</f>
        <v/>
      </c>
      <c r="DW195" s="50" t="str">
        <f aca="false">IF(DW103+DW101&lt;0,(DW120+DW129)/-(DW103+DW101),"")</f>
        <v/>
      </c>
      <c r="DX195" s="50" t="str">
        <f aca="false">IF(DX103+DX101&lt;0,(DX120+DX129)/-(DX103+DX101),"")</f>
        <v/>
      </c>
      <c r="DY195" s="50" t="str">
        <f aca="false">IF(DY103+DY101&lt;0,(DY120+DY129)/-(DY103+DY101),"")</f>
        <v/>
      </c>
      <c r="DZ195" s="50" t="str">
        <f aca="false">IF(DZ103+DZ101&lt;0,(DZ120+DZ129)/-(DZ103+DZ101),"")</f>
        <v/>
      </c>
      <c r="EA195" s="50" t="str">
        <f aca="false">IF(EA103+EA101&lt;0,(EA120+EA129)/-(EA103+EA101),"")</f>
        <v/>
      </c>
      <c r="EB195" s="50" t="str">
        <f aca="false">IF(EB103+EB101&lt;0,(EB120+EB129)/-(EB103+EB101),"")</f>
        <v/>
      </c>
      <c r="EC195" s="50" t="str">
        <f aca="false">IF(EC103+EC101&lt;0,(EC120+EC129)/-(EC103+EC101),"")</f>
        <v/>
      </c>
      <c r="ED195" s="50" t="str">
        <f aca="false">IF(ED103+ED101&lt;0,(ED120+ED129)/-(ED103+ED101),"")</f>
        <v/>
      </c>
      <c r="EE195" s="50" t="str">
        <f aca="false">IF(EE103+EE101&lt;0,(EE120+EE129)/-(EE103+EE101),"")</f>
        <v/>
      </c>
      <c r="EF195" s="50" t="str">
        <f aca="false">IF(EF103+EF101&lt;0,(EF120+EF129)/-(EF103+EF101),"")</f>
        <v/>
      </c>
      <c r="EG195" s="50" t="str">
        <f aca="false">IF(EG103+EG101&lt;0,(EG120+EG129)/-(EG103+EG101),"")</f>
        <v/>
      </c>
      <c r="EH195" s="50" t="str">
        <f aca="false">IF(EH103+EH101&lt;0,(EH120+EH129)/-(EH103+EH101),"")</f>
        <v/>
      </c>
      <c r="EI195" s="50" t="str">
        <f aca="false">IF(EI103+EI101&lt;0,(EI120+EI129)/-(EI103+EI101),"")</f>
        <v/>
      </c>
      <c r="EJ195" s="50" t="str">
        <f aca="false">IF(EJ103+EJ101&lt;0,(EJ120+EJ129)/-(EJ103+EJ101),"")</f>
        <v/>
      </c>
      <c r="EK195" s="50" t="str">
        <f aca="false">IF(EK103+EK101&lt;0,(EK120+EK129)/-(EK103+EK101),"")</f>
        <v/>
      </c>
      <c r="EL195" s="50" t="str">
        <f aca="false">IF(EL103+EL101&lt;0,(EL120+EL129)/-(EL103+EL101),"")</f>
        <v/>
      </c>
      <c r="EM195" s="50" t="str">
        <f aca="false">IF(EM103+EM101&lt;0,(EM120+EM129)/-(EM103+EM101),"")</f>
        <v/>
      </c>
      <c r="EN195" s="50" t="str">
        <f aca="false">IF(EN103+EN101&lt;0,(EN120+EN129)/-(EN103+EN101),"")</f>
        <v/>
      </c>
      <c r="EO195" s="50" t="str">
        <f aca="false">IF(EO103+EO101&lt;0,(EO120+EO129)/-(EO103+EO101),"")</f>
        <v/>
      </c>
      <c r="EP195" s="50" t="str">
        <f aca="false">IF(EP103+EP101&lt;0,(EP120+EP129)/-(EP103+EP101),"")</f>
        <v/>
      </c>
      <c r="EQ195" s="50" t="str">
        <f aca="false">IF(EQ103+EQ101&lt;0,(EQ120+EQ129)/-(EQ103+EQ101),"")</f>
        <v/>
      </c>
      <c r="ER195" s="50" t="str">
        <f aca="false">IF(ER103+ER101&lt;0,(ER120+ER129)/-(ER103+ER101),"")</f>
        <v/>
      </c>
      <c r="ES195" s="50" t="str">
        <f aca="false">IF(ES103+ES101&lt;0,(ES120+ES129)/-(ES103+ES101),"")</f>
        <v/>
      </c>
      <c r="ET195" s="50" t="str">
        <f aca="false">IF(ET103+ET101&lt;0,(ET120+ET129)/-(ET103+ET101),"")</f>
        <v/>
      </c>
    </row>
    <row r="197" customFormat="false" ht="15" hidden="false" customHeight="false" outlineLevel="0" collapsed="false">
      <c r="C197" s="40" t="s">
        <v>198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T19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1" customFormat="false" ht="15" hidden="false" customHeight="false" outlineLevel="0" collapsed="false">
      <c r="A1" s="45" t="n">
        <v>2</v>
      </c>
      <c r="C1" s="13" t="s">
        <v>477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Bora – Calculations – BORA 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>
      <c r="C3" s="0" t="s">
        <v>478</v>
      </c>
      <c r="D3" s="11" t="s">
        <v>62</v>
      </c>
      <c r="J3" s="44" t="n">
        <f aca="false">I$4+1</f>
        <v>46204</v>
      </c>
      <c r="K3" s="44" t="n">
        <f aca="false">J$4+1</f>
        <v>46296</v>
      </c>
      <c r="L3" s="44" t="n">
        <f aca="false">K$4+1</f>
        <v>46388</v>
      </c>
      <c r="M3" s="44" t="n">
        <f aca="false">L$4+1</f>
        <v>46478</v>
      </c>
      <c r="N3" s="44" t="n">
        <f aca="false">M$4+1</f>
        <v>46569</v>
      </c>
      <c r="O3" s="44" t="n">
        <f aca="false">N$4+1</f>
        <v>46661</v>
      </c>
      <c r="P3" s="44" t="n">
        <f aca="false">O$4+1</f>
        <v>46753</v>
      </c>
      <c r="Q3" s="44" t="n">
        <f aca="false">P$4+1</f>
        <v>46844</v>
      </c>
      <c r="R3" s="44" t="n">
        <f aca="false">Q$4+1</f>
        <v>46935</v>
      </c>
      <c r="S3" s="44" t="n">
        <f aca="false">R$4+1</f>
        <v>47027</v>
      </c>
      <c r="T3" s="44" t="n">
        <f aca="false">S$4+1</f>
        <v>47119</v>
      </c>
      <c r="U3" s="44" t="n">
        <f aca="false">T$4+1</f>
        <v>47209</v>
      </c>
      <c r="V3" s="44" t="n">
        <f aca="false">U$4+1</f>
        <v>47300</v>
      </c>
      <c r="W3" s="44" t="n">
        <f aca="false">V$4+1</f>
        <v>47392</v>
      </c>
      <c r="X3" s="44" t="n">
        <f aca="false">W$4+1</f>
        <v>47484</v>
      </c>
      <c r="Y3" s="44" t="n">
        <f aca="false">X$4+1</f>
        <v>47574</v>
      </c>
      <c r="Z3" s="44" t="n">
        <f aca="false">Y$4+1</f>
        <v>47665</v>
      </c>
      <c r="AA3" s="44" t="n">
        <f aca="false">Z$4+1</f>
        <v>47757</v>
      </c>
      <c r="AB3" s="44" t="n">
        <f aca="false">AA$4+1</f>
        <v>47849</v>
      </c>
      <c r="AC3" s="44" t="n">
        <f aca="false">AB$4+1</f>
        <v>47939</v>
      </c>
      <c r="AD3" s="44" t="n">
        <f aca="false">AC$4+1</f>
        <v>48030</v>
      </c>
      <c r="AE3" s="44" t="n">
        <f aca="false">AD$4+1</f>
        <v>48122</v>
      </c>
      <c r="AF3" s="44" t="n">
        <f aca="false">AE$4+1</f>
        <v>48214</v>
      </c>
      <c r="AG3" s="44" t="n">
        <f aca="false">AF$4+1</f>
        <v>48305</v>
      </c>
      <c r="AH3" s="44" t="n">
        <f aca="false">AG$4+1</f>
        <v>48396</v>
      </c>
      <c r="AI3" s="44" t="n">
        <f aca="false">AH$4+1</f>
        <v>48488</v>
      </c>
      <c r="AJ3" s="44" t="n">
        <f aca="false">AI$4+1</f>
        <v>48580</v>
      </c>
      <c r="AK3" s="44" t="n">
        <f aca="false">AJ$4+1</f>
        <v>48670</v>
      </c>
      <c r="AL3" s="44" t="n">
        <f aca="false">AK$4+1</f>
        <v>48761</v>
      </c>
      <c r="AM3" s="44" t="n">
        <f aca="false">AL$4+1</f>
        <v>48853</v>
      </c>
      <c r="AN3" s="44" t="n">
        <f aca="false">AM$4+1</f>
        <v>48945</v>
      </c>
      <c r="AO3" s="44" t="n">
        <f aca="false">AN$4+1</f>
        <v>49035</v>
      </c>
      <c r="AP3" s="44" t="n">
        <f aca="false">AO$4+1</f>
        <v>49126</v>
      </c>
      <c r="AQ3" s="44" t="n">
        <f aca="false">AP$4+1</f>
        <v>49218</v>
      </c>
      <c r="AR3" s="44" t="n">
        <f aca="false">AQ$4+1</f>
        <v>49310</v>
      </c>
      <c r="AS3" s="44" t="n">
        <f aca="false">AR$4+1</f>
        <v>49400</v>
      </c>
      <c r="AT3" s="44" t="n">
        <f aca="false">AS$4+1</f>
        <v>49491</v>
      </c>
      <c r="AU3" s="44" t="n">
        <f aca="false">AT$4+1</f>
        <v>49583</v>
      </c>
      <c r="AV3" s="44" t="n">
        <f aca="false">AU$4+1</f>
        <v>49675</v>
      </c>
      <c r="AW3" s="44" t="n">
        <f aca="false">AV$4+1</f>
        <v>49766</v>
      </c>
      <c r="AX3" s="44" t="n">
        <f aca="false">AW$4+1</f>
        <v>49857</v>
      </c>
      <c r="AY3" s="44" t="n">
        <f aca="false">AX$4+1</f>
        <v>49949</v>
      </c>
      <c r="AZ3" s="44" t="n">
        <f aca="false">AY$4+1</f>
        <v>50041</v>
      </c>
      <c r="BA3" s="44" t="n">
        <f aca="false">AZ$4+1</f>
        <v>50131</v>
      </c>
      <c r="BB3" s="44" t="n">
        <f aca="false">BA$4+1</f>
        <v>50222</v>
      </c>
      <c r="BC3" s="44" t="n">
        <f aca="false">BB$4+1</f>
        <v>50314</v>
      </c>
      <c r="BD3" s="44" t="n">
        <f aca="false">BC$4+1</f>
        <v>50406</v>
      </c>
      <c r="BE3" s="44" t="n">
        <f aca="false">BD$4+1</f>
        <v>50496</v>
      </c>
      <c r="BF3" s="44" t="n">
        <f aca="false">BE$4+1</f>
        <v>50587</v>
      </c>
      <c r="BG3" s="44" t="n">
        <f aca="false">BF$4+1</f>
        <v>50679</v>
      </c>
      <c r="BH3" s="44" t="n">
        <f aca="false">BG$4+1</f>
        <v>50771</v>
      </c>
      <c r="BI3" s="44" t="n">
        <f aca="false">BH$4+1</f>
        <v>50861</v>
      </c>
      <c r="BJ3" s="44" t="n">
        <f aca="false">BI$4+1</f>
        <v>50952</v>
      </c>
      <c r="BK3" s="44" t="n">
        <f aca="false">BJ$4+1</f>
        <v>51044</v>
      </c>
      <c r="BL3" s="44" t="n">
        <f aca="false">BK$4+1</f>
        <v>51136</v>
      </c>
      <c r="BM3" s="44" t="n">
        <f aca="false">BL$4+1</f>
        <v>51227</v>
      </c>
      <c r="BN3" s="44" t="n">
        <f aca="false">BM$4+1</f>
        <v>51318</v>
      </c>
      <c r="BO3" s="44" t="n">
        <f aca="false">BN$4+1</f>
        <v>51410</v>
      </c>
      <c r="BP3" s="44" t="n">
        <f aca="false">BO$4+1</f>
        <v>51502</v>
      </c>
      <c r="BQ3" s="44" t="n">
        <f aca="false">BP$4+1</f>
        <v>51592</v>
      </c>
      <c r="BR3" s="44" t="n">
        <f aca="false">BQ$4+1</f>
        <v>51683</v>
      </c>
      <c r="BS3" s="44" t="n">
        <f aca="false">BR$4+1</f>
        <v>51775</v>
      </c>
      <c r="BT3" s="44" t="n">
        <f aca="false">BS$4+1</f>
        <v>51867</v>
      </c>
      <c r="BU3" s="44" t="n">
        <f aca="false">BT$4+1</f>
        <v>51957</v>
      </c>
      <c r="BV3" s="44" t="n">
        <f aca="false">BU$4+1</f>
        <v>52048</v>
      </c>
      <c r="BW3" s="44" t="n">
        <f aca="false">BV$4+1</f>
        <v>52140</v>
      </c>
      <c r="BX3" s="44" t="n">
        <f aca="false">BW$4+1</f>
        <v>52232</v>
      </c>
      <c r="BY3" s="44" t="n">
        <f aca="false">BX$4+1</f>
        <v>52322</v>
      </c>
      <c r="BZ3" s="44" t="n">
        <f aca="false">BY$4+1</f>
        <v>52413</v>
      </c>
      <c r="CA3" s="44" t="n">
        <f aca="false">BZ$4+1</f>
        <v>52505</v>
      </c>
      <c r="CB3" s="44" t="n">
        <f aca="false">CA$4+1</f>
        <v>52597</v>
      </c>
      <c r="CC3" s="44" t="n">
        <f aca="false">CB$4+1</f>
        <v>52688</v>
      </c>
      <c r="CD3" s="44" t="n">
        <f aca="false">CC$4+1</f>
        <v>52779</v>
      </c>
      <c r="CE3" s="44" t="n">
        <f aca="false">CD$4+1</f>
        <v>52871</v>
      </c>
      <c r="CF3" s="44" t="n">
        <f aca="false">CE$4+1</f>
        <v>52963</v>
      </c>
      <c r="CG3" s="44" t="n">
        <f aca="false">CF$4+1</f>
        <v>53053</v>
      </c>
      <c r="CH3" s="44" t="n">
        <f aca="false">CG$4+1</f>
        <v>53144</v>
      </c>
      <c r="CI3" s="44" t="n">
        <f aca="false">CH$4+1</f>
        <v>53236</v>
      </c>
      <c r="CJ3" s="44" t="n">
        <f aca="false">CI$4+1</f>
        <v>53328</v>
      </c>
      <c r="CK3" s="44" t="n">
        <f aca="false">CJ$4+1</f>
        <v>53418</v>
      </c>
      <c r="CL3" s="44" t="n">
        <f aca="false">CK$4+1</f>
        <v>53509</v>
      </c>
      <c r="CM3" s="44" t="n">
        <f aca="false">CL$4+1</f>
        <v>53601</v>
      </c>
      <c r="CN3" s="44" t="n">
        <f aca="false">CM$4+1</f>
        <v>53693</v>
      </c>
      <c r="CO3" s="44" t="n">
        <f aca="false">CN$4+1</f>
        <v>53783</v>
      </c>
      <c r="CP3" s="44" t="n">
        <f aca="false">CO$4+1</f>
        <v>53874</v>
      </c>
      <c r="CQ3" s="44" t="n">
        <f aca="false">CP$4+1</f>
        <v>53966</v>
      </c>
      <c r="CR3" s="44" t="n">
        <f aca="false">CQ$4+1</f>
        <v>54058</v>
      </c>
      <c r="CS3" s="44" t="n">
        <f aca="false">CR$4+1</f>
        <v>54149</v>
      </c>
      <c r="CT3" s="44" t="n">
        <f aca="false">CS$4+1</f>
        <v>54240</v>
      </c>
      <c r="CU3" s="44" t="n">
        <f aca="false">CT$4+1</f>
        <v>54332</v>
      </c>
      <c r="CV3" s="44" t="n">
        <f aca="false">CU$4+1</f>
        <v>54424</v>
      </c>
      <c r="CW3" s="44" t="n">
        <f aca="false">CV$4+1</f>
        <v>54514</v>
      </c>
      <c r="CX3" s="44" t="n">
        <f aca="false">CW$4+1</f>
        <v>54605</v>
      </c>
      <c r="CY3" s="44" t="n">
        <f aca="false">CX$4+1</f>
        <v>54697</v>
      </c>
      <c r="CZ3" s="44" t="n">
        <f aca="false">CY$4+1</f>
        <v>54789</v>
      </c>
      <c r="DA3" s="44" t="n">
        <f aca="false">CZ$4+1</f>
        <v>54879</v>
      </c>
      <c r="DB3" s="44" t="n">
        <f aca="false">DA$4+1</f>
        <v>54970</v>
      </c>
      <c r="DC3" s="44" t="n">
        <f aca="false">DB$4+1</f>
        <v>55062</v>
      </c>
      <c r="DD3" s="44" t="n">
        <f aca="false">DC$4+1</f>
        <v>55154</v>
      </c>
      <c r="DE3" s="44" t="n">
        <f aca="false">DD$4+1</f>
        <v>55244</v>
      </c>
      <c r="DF3" s="44" t="n">
        <f aca="false">DE$4+1</f>
        <v>55335</v>
      </c>
      <c r="DG3" s="44" t="n">
        <f aca="false">DF$4+1</f>
        <v>55427</v>
      </c>
      <c r="DH3" s="44" t="n">
        <f aca="false">DG$4+1</f>
        <v>55519</v>
      </c>
      <c r="DI3" s="44" t="n">
        <f aca="false">DH$4+1</f>
        <v>55610</v>
      </c>
      <c r="DJ3" s="44" t="n">
        <f aca="false">DI$4+1</f>
        <v>55701</v>
      </c>
      <c r="DK3" s="44" t="n">
        <f aca="false">DJ$4+1</f>
        <v>55793</v>
      </c>
      <c r="DL3" s="44" t="n">
        <f aca="false">DK$4+1</f>
        <v>55885</v>
      </c>
      <c r="DM3" s="44" t="n">
        <f aca="false">DL$4+1</f>
        <v>55975</v>
      </c>
      <c r="DN3" s="44" t="n">
        <f aca="false">DM$4+1</f>
        <v>56066</v>
      </c>
      <c r="DO3" s="44" t="n">
        <f aca="false">DN$4+1</f>
        <v>56158</v>
      </c>
      <c r="DP3" s="44" t="n">
        <f aca="false">DO$4+1</f>
        <v>56250</v>
      </c>
      <c r="DQ3" s="44" t="n">
        <f aca="false">DP$4+1</f>
        <v>56340</v>
      </c>
      <c r="DR3" s="44" t="n">
        <f aca="false">DQ$4+1</f>
        <v>56431</v>
      </c>
      <c r="DS3" s="44" t="n">
        <f aca="false">DR$4+1</f>
        <v>56523</v>
      </c>
      <c r="DT3" s="44" t="n">
        <f aca="false">DS$4+1</f>
        <v>56615</v>
      </c>
      <c r="DU3" s="44" t="n">
        <f aca="false">DT$4+1</f>
        <v>56705</v>
      </c>
      <c r="DV3" s="44" t="n">
        <f aca="false">DU$4+1</f>
        <v>56796</v>
      </c>
      <c r="DW3" s="44" t="n">
        <f aca="false">DV$4+1</f>
        <v>56888</v>
      </c>
      <c r="DX3" s="44" t="n">
        <f aca="false">DW$4+1</f>
        <v>56980</v>
      </c>
      <c r="DY3" s="44" t="n">
        <f aca="false">DX$4+1</f>
        <v>57071</v>
      </c>
      <c r="DZ3" s="44" t="n">
        <f aca="false">DY$4+1</f>
        <v>57162</v>
      </c>
      <c r="EA3" s="44" t="n">
        <f aca="false">DZ$4+1</f>
        <v>57254</v>
      </c>
      <c r="EB3" s="44" t="n">
        <f aca="false">EA$4+1</f>
        <v>57346</v>
      </c>
      <c r="EC3" s="44" t="n">
        <f aca="false">EB$4+1</f>
        <v>57436</v>
      </c>
      <c r="ED3" s="44" t="n">
        <f aca="false">EC$4+1</f>
        <v>57527</v>
      </c>
      <c r="EE3" s="44" t="n">
        <f aca="false">ED$4+1</f>
        <v>57619</v>
      </c>
      <c r="EF3" s="44" t="n">
        <f aca="false">EE$4+1</f>
        <v>57711</v>
      </c>
      <c r="EG3" s="44" t="n">
        <f aca="false">EF$4+1</f>
        <v>57801</v>
      </c>
      <c r="EH3" s="44" t="n">
        <f aca="false">EG$4+1</f>
        <v>57892</v>
      </c>
      <c r="EI3" s="44" t="n">
        <f aca="false">EH$4+1</f>
        <v>57984</v>
      </c>
      <c r="EJ3" s="44" t="n">
        <f aca="false">EI$4+1</f>
        <v>58076</v>
      </c>
      <c r="EK3" s="44" t="n">
        <f aca="false">EJ$4+1</f>
        <v>58166</v>
      </c>
      <c r="EL3" s="44" t="n">
        <f aca="false">EK$4+1</f>
        <v>58257</v>
      </c>
      <c r="EM3" s="44" t="n">
        <f aca="false">EL$4+1</f>
        <v>58349</v>
      </c>
      <c r="EN3" s="44" t="n">
        <f aca="false">EM$4+1</f>
        <v>58441</v>
      </c>
      <c r="EO3" s="44" t="n">
        <f aca="false">EN$4+1</f>
        <v>58532</v>
      </c>
      <c r="EP3" s="44" t="n">
        <f aca="false">EO$4+1</f>
        <v>58623</v>
      </c>
      <c r="EQ3" s="44" t="n">
        <f aca="false">EP$4+1</f>
        <v>58715</v>
      </c>
      <c r="ER3" s="44" t="n">
        <f aca="false">EQ$4+1</f>
        <v>58807</v>
      </c>
      <c r="ES3" s="44" t="n">
        <f aca="false">ER$4+1</f>
        <v>58897</v>
      </c>
      <c r="ET3" s="44" t="n">
        <f aca="false">ES$4+1</f>
        <v>58988</v>
      </c>
    </row>
    <row r="4" customFormat="false" ht="15" hidden="false" customHeight="false" outlineLevel="0" collapsed="false">
      <c r="C4" s="0" t="s">
        <v>479</v>
      </c>
      <c r="D4" s="11" t="s">
        <v>62</v>
      </c>
      <c r="I4" s="44" t="n">
        <f aca="false">In_Model_Start-1</f>
        <v>46203</v>
      </c>
      <c r="J4" s="51" t="n">
        <f aca="false">EOMONTH(J$3,Months_Per_Period-1)</f>
        <v>46295</v>
      </c>
      <c r="K4" s="51" t="n">
        <f aca="false">EOMONTH(K$3,Months_Per_Period-1)</f>
        <v>46387</v>
      </c>
      <c r="L4" s="51" t="n">
        <f aca="false">EOMONTH(L$3,Months_Per_Period-1)</f>
        <v>46477</v>
      </c>
      <c r="M4" s="51" t="n">
        <f aca="false">EOMONTH(M$3,Months_Per_Period-1)</f>
        <v>46568</v>
      </c>
      <c r="N4" s="51" t="n">
        <f aca="false">EOMONTH(N$3,Months_Per_Period-1)</f>
        <v>46660</v>
      </c>
      <c r="O4" s="51" t="n">
        <f aca="false">EOMONTH(O$3,Months_Per_Period-1)</f>
        <v>46752</v>
      </c>
      <c r="P4" s="51" t="n">
        <f aca="false">EOMONTH(P$3,Months_Per_Period-1)</f>
        <v>46843</v>
      </c>
      <c r="Q4" s="51" t="n">
        <f aca="false">EOMONTH(Q$3,Months_Per_Period-1)</f>
        <v>46934</v>
      </c>
      <c r="R4" s="51" t="n">
        <f aca="false">EOMONTH(R$3,Months_Per_Period-1)</f>
        <v>47026</v>
      </c>
      <c r="S4" s="51" t="n">
        <f aca="false">EOMONTH(S$3,Months_Per_Period-1)</f>
        <v>47118</v>
      </c>
      <c r="T4" s="51" t="n">
        <f aca="false">EOMONTH(T$3,Months_Per_Period-1)</f>
        <v>47208</v>
      </c>
      <c r="U4" s="51" t="n">
        <f aca="false">EOMONTH(U$3,Months_Per_Period-1)</f>
        <v>47299</v>
      </c>
      <c r="V4" s="51" t="n">
        <f aca="false">EOMONTH(V$3,Months_Per_Period-1)</f>
        <v>47391</v>
      </c>
      <c r="W4" s="51" t="n">
        <f aca="false">EOMONTH(W$3,Months_Per_Period-1)</f>
        <v>47483</v>
      </c>
      <c r="X4" s="51" t="n">
        <f aca="false">EOMONTH(X$3,Months_Per_Period-1)</f>
        <v>47573</v>
      </c>
      <c r="Y4" s="51" t="n">
        <f aca="false">EOMONTH(Y$3,Months_Per_Period-1)</f>
        <v>47664</v>
      </c>
      <c r="Z4" s="51" t="n">
        <f aca="false">EOMONTH(Z$3,Months_Per_Period-1)</f>
        <v>47756</v>
      </c>
      <c r="AA4" s="51" t="n">
        <f aca="false">EOMONTH(AA$3,Months_Per_Period-1)</f>
        <v>47848</v>
      </c>
      <c r="AB4" s="51" t="n">
        <f aca="false">EOMONTH(AB$3,Months_Per_Period-1)</f>
        <v>47938</v>
      </c>
      <c r="AC4" s="51" t="n">
        <f aca="false">EOMONTH(AC$3,Months_Per_Period-1)</f>
        <v>48029</v>
      </c>
      <c r="AD4" s="51" t="n">
        <f aca="false">EOMONTH(AD$3,Months_Per_Period-1)</f>
        <v>48121</v>
      </c>
      <c r="AE4" s="51" t="n">
        <f aca="false">EOMONTH(AE$3,Months_Per_Period-1)</f>
        <v>48213</v>
      </c>
      <c r="AF4" s="51" t="n">
        <f aca="false">EOMONTH(AF$3,Months_Per_Period-1)</f>
        <v>48304</v>
      </c>
      <c r="AG4" s="51" t="n">
        <f aca="false">EOMONTH(AG$3,Months_Per_Period-1)</f>
        <v>48395</v>
      </c>
      <c r="AH4" s="51" t="n">
        <f aca="false">EOMONTH(AH$3,Months_Per_Period-1)</f>
        <v>48487</v>
      </c>
      <c r="AI4" s="51" t="n">
        <f aca="false">EOMONTH(AI$3,Months_Per_Period-1)</f>
        <v>48579</v>
      </c>
      <c r="AJ4" s="51" t="n">
        <f aca="false">EOMONTH(AJ$3,Months_Per_Period-1)</f>
        <v>48669</v>
      </c>
      <c r="AK4" s="51" t="n">
        <f aca="false">EOMONTH(AK$3,Months_Per_Period-1)</f>
        <v>48760</v>
      </c>
      <c r="AL4" s="51" t="n">
        <f aca="false">EOMONTH(AL$3,Months_Per_Period-1)</f>
        <v>48852</v>
      </c>
      <c r="AM4" s="51" t="n">
        <f aca="false">EOMONTH(AM$3,Months_Per_Period-1)</f>
        <v>48944</v>
      </c>
      <c r="AN4" s="51" t="n">
        <f aca="false">EOMONTH(AN$3,Months_Per_Period-1)</f>
        <v>49034</v>
      </c>
      <c r="AO4" s="51" t="n">
        <f aca="false">EOMONTH(AO$3,Months_Per_Period-1)</f>
        <v>49125</v>
      </c>
      <c r="AP4" s="51" t="n">
        <f aca="false">EOMONTH(AP$3,Months_Per_Period-1)</f>
        <v>49217</v>
      </c>
      <c r="AQ4" s="51" t="n">
        <f aca="false">EOMONTH(AQ$3,Months_Per_Period-1)</f>
        <v>49309</v>
      </c>
      <c r="AR4" s="51" t="n">
        <f aca="false">EOMONTH(AR$3,Months_Per_Period-1)</f>
        <v>49399</v>
      </c>
      <c r="AS4" s="51" t="n">
        <f aca="false">EOMONTH(AS$3,Months_Per_Period-1)</f>
        <v>49490</v>
      </c>
      <c r="AT4" s="51" t="n">
        <f aca="false">EOMONTH(AT$3,Months_Per_Period-1)</f>
        <v>49582</v>
      </c>
      <c r="AU4" s="51" t="n">
        <f aca="false">EOMONTH(AU$3,Months_Per_Period-1)</f>
        <v>49674</v>
      </c>
      <c r="AV4" s="51" t="n">
        <f aca="false">EOMONTH(AV$3,Months_Per_Period-1)</f>
        <v>49765</v>
      </c>
      <c r="AW4" s="51" t="n">
        <f aca="false">EOMONTH(AW$3,Months_Per_Period-1)</f>
        <v>49856</v>
      </c>
      <c r="AX4" s="51" t="n">
        <f aca="false">EOMONTH(AX$3,Months_Per_Period-1)</f>
        <v>49948</v>
      </c>
      <c r="AY4" s="51" t="n">
        <f aca="false">EOMONTH(AY$3,Months_Per_Period-1)</f>
        <v>50040</v>
      </c>
      <c r="AZ4" s="51" t="n">
        <f aca="false">EOMONTH(AZ$3,Months_Per_Period-1)</f>
        <v>50130</v>
      </c>
      <c r="BA4" s="51" t="n">
        <f aca="false">EOMONTH(BA$3,Months_Per_Period-1)</f>
        <v>50221</v>
      </c>
      <c r="BB4" s="51" t="n">
        <f aca="false">EOMONTH(BB$3,Months_Per_Period-1)</f>
        <v>50313</v>
      </c>
      <c r="BC4" s="51" t="n">
        <f aca="false">EOMONTH(BC$3,Months_Per_Period-1)</f>
        <v>50405</v>
      </c>
      <c r="BD4" s="51" t="n">
        <f aca="false">EOMONTH(BD$3,Months_Per_Period-1)</f>
        <v>50495</v>
      </c>
      <c r="BE4" s="51" t="n">
        <f aca="false">EOMONTH(BE$3,Months_Per_Period-1)</f>
        <v>50586</v>
      </c>
      <c r="BF4" s="51" t="n">
        <f aca="false">EOMONTH(BF$3,Months_Per_Period-1)</f>
        <v>50678</v>
      </c>
      <c r="BG4" s="51" t="n">
        <f aca="false">EOMONTH(BG$3,Months_Per_Period-1)</f>
        <v>50770</v>
      </c>
      <c r="BH4" s="51" t="n">
        <f aca="false">EOMONTH(BH$3,Months_Per_Period-1)</f>
        <v>50860</v>
      </c>
      <c r="BI4" s="51" t="n">
        <f aca="false">EOMONTH(BI$3,Months_Per_Period-1)</f>
        <v>50951</v>
      </c>
      <c r="BJ4" s="51" t="n">
        <f aca="false">EOMONTH(BJ$3,Months_Per_Period-1)</f>
        <v>51043</v>
      </c>
      <c r="BK4" s="51" t="n">
        <f aca="false">EOMONTH(BK$3,Months_Per_Period-1)</f>
        <v>51135</v>
      </c>
      <c r="BL4" s="51" t="n">
        <f aca="false">EOMONTH(BL$3,Months_Per_Period-1)</f>
        <v>51226</v>
      </c>
      <c r="BM4" s="51" t="n">
        <f aca="false">EOMONTH(BM$3,Months_Per_Period-1)</f>
        <v>51317</v>
      </c>
      <c r="BN4" s="51" t="n">
        <f aca="false">EOMONTH(BN$3,Months_Per_Period-1)</f>
        <v>51409</v>
      </c>
      <c r="BO4" s="51" t="n">
        <f aca="false">EOMONTH(BO$3,Months_Per_Period-1)</f>
        <v>51501</v>
      </c>
      <c r="BP4" s="51" t="n">
        <f aca="false">EOMONTH(BP$3,Months_Per_Period-1)</f>
        <v>51591</v>
      </c>
      <c r="BQ4" s="51" t="n">
        <f aca="false">EOMONTH(BQ$3,Months_Per_Period-1)</f>
        <v>51682</v>
      </c>
      <c r="BR4" s="51" t="n">
        <f aca="false">EOMONTH(BR$3,Months_Per_Period-1)</f>
        <v>51774</v>
      </c>
      <c r="BS4" s="51" t="n">
        <f aca="false">EOMONTH(BS$3,Months_Per_Period-1)</f>
        <v>51866</v>
      </c>
      <c r="BT4" s="51" t="n">
        <f aca="false">EOMONTH(BT$3,Months_Per_Period-1)</f>
        <v>51956</v>
      </c>
      <c r="BU4" s="51" t="n">
        <f aca="false">EOMONTH(BU$3,Months_Per_Period-1)</f>
        <v>52047</v>
      </c>
      <c r="BV4" s="51" t="n">
        <f aca="false">EOMONTH(BV$3,Months_Per_Period-1)</f>
        <v>52139</v>
      </c>
      <c r="BW4" s="51" t="n">
        <f aca="false">EOMONTH(BW$3,Months_Per_Period-1)</f>
        <v>52231</v>
      </c>
      <c r="BX4" s="51" t="n">
        <f aca="false">EOMONTH(BX$3,Months_Per_Period-1)</f>
        <v>52321</v>
      </c>
      <c r="BY4" s="51" t="n">
        <f aca="false">EOMONTH(BY$3,Months_Per_Period-1)</f>
        <v>52412</v>
      </c>
      <c r="BZ4" s="51" t="n">
        <f aca="false">EOMONTH(BZ$3,Months_Per_Period-1)</f>
        <v>52504</v>
      </c>
      <c r="CA4" s="51" t="n">
        <f aca="false">EOMONTH(CA$3,Months_Per_Period-1)</f>
        <v>52596</v>
      </c>
      <c r="CB4" s="51" t="n">
        <f aca="false">EOMONTH(CB$3,Months_Per_Period-1)</f>
        <v>52687</v>
      </c>
      <c r="CC4" s="51" t="n">
        <f aca="false">EOMONTH(CC$3,Months_Per_Period-1)</f>
        <v>52778</v>
      </c>
      <c r="CD4" s="51" t="n">
        <f aca="false">EOMONTH(CD$3,Months_Per_Period-1)</f>
        <v>52870</v>
      </c>
      <c r="CE4" s="51" t="n">
        <f aca="false">EOMONTH(CE$3,Months_Per_Period-1)</f>
        <v>52962</v>
      </c>
      <c r="CF4" s="51" t="n">
        <f aca="false">EOMONTH(CF$3,Months_Per_Period-1)</f>
        <v>53052</v>
      </c>
      <c r="CG4" s="51" t="n">
        <f aca="false">EOMONTH(CG$3,Months_Per_Period-1)</f>
        <v>53143</v>
      </c>
      <c r="CH4" s="51" t="n">
        <f aca="false">EOMONTH(CH$3,Months_Per_Period-1)</f>
        <v>53235</v>
      </c>
      <c r="CI4" s="51" t="n">
        <f aca="false">EOMONTH(CI$3,Months_Per_Period-1)</f>
        <v>53327</v>
      </c>
      <c r="CJ4" s="51" t="n">
        <f aca="false">EOMONTH(CJ$3,Months_Per_Period-1)</f>
        <v>53417</v>
      </c>
      <c r="CK4" s="51" t="n">
        <f aca="false">EOMONTH(CK$3,Months_Per_Period-1)</f>
        <v>53508</v>
      </c>
      <c r="CL4" s="51" t="n">
        <f aca="false">EOMONTH(CL$3,Months_Per_Period-1)</f>
        <v>53600</v>
      </c>
      <c r="CM4" s="51" t="n">
        <f aca="false">EOMONTH(CM$3,Months_Per_Period-1)</f>
        <v>53692</v>
      </c>
      <c r="CN4" s="51" t="n">
        <f aca="false">EOMONTH(CN$3,Months_Per_Period-1)</f>
        <v>53782</v>
      </c>
      <c r="CO4" s="51" t="n">
        <f aca="false">EOMONTH(CO$3,Months_Per_Period-1)</f>
        <v>53873</v>
      </c>
      <c r="CP4" s="51" t="n">
        <f aca="false">EOMONTH(CP$3,Months_Per_Period-1)</f>
        <v>53965</v>
      </c>
      <c r="CQ4" s="51" t="n">
        <f aca="false">EOMONTH(CQ$3,Months_Per_Period-1)</f>
        <v>54057</v>
      </c>
      <c r="CR4" s="51" t="n">
        <f aca="false">EOMONTH(CR$3,Months_Per_Period-1)</f>
        <v>54148</v>
      </c>
      <c r="CS4" s="51" t="n">
        <f aca="false">EOMONTH(CS$3,Months_Per_Period-1)</f>
        <v>54239</v>
      </c>
      <c r="CT4" s="51" t="n">
        <f aca="false">EOMONTH(CT$3,Months_Per_Period-1)</f>
        <v>54331</v>
      </c>
      <c r="CU4" s="51" t="n">
        <f aca="false">EOMONTH(CU$3,Months_Per_Period-1)</f>
        <v>54423</v>
      </c>
      <c r="CV4" s="51" t="n">
        <f aca="false">EOMONTH(CV$3,Months_Per_Period-1)</f>
        <v>54513</v>
      </c>
      <c r="CW4" s="51" t="n">
        <f aca="false">EOMONTH(CW$3,Months_Per_Period-1)</f>
        <v>54604</v>
      </c>
      <c r="CX4" s="51" t="n">
        <f aca="false">EOMONTH(CX$3,Months_Per_Period-1)</f>
        <v>54696</v>
      </c>
      <c r="CY4" s="51" t="n">
        <f aca="false">EOMONTH(CY$3,Months_Per_Period-1)</f>
        <v>54788</v>
      </c>
      <c r="CZ4" s="51" t="n">
        <f aca="false">EOMONTH(CZ$3,Months_Per_Period-1)</f>
        <v>54878</v>
      </c>
      <c r="DA4" s="51" t="n">
        <f aca="false">EOMONTH(DA$3,Months_Per_Period-1)</f>
        <v>54969</v>
      </c>
      <c r="DB4" s="51" t="n">
        <f aca="false">EOMONTH(DB$3,Months_Per_Period-1)</f>
        <v>55061</v>
      </c>
      <c r="DC4" s="51" t="n">
        <f aca="false">EOMONTH(DC$3,Months_Per_Period-1)</f>
        <v>55153</v>
      </c>
      <c r="DD4" s="51" t="n">
        <f aca="false">EOMONTH(DD$3,Months_Per_Period-1)</f>
        <v>55243</v>
      </c>
      <c r="DE4" s="51" t="n">
        <f aca="false">EOMONTH(DE$3,Months_Per_Period-1)</f>
        <v>55334</v>
      </c>
      <c r="DF4" s="51" t="n">
        <f aca="false">EOMONTH(DF$3,Months_Per_Period-1)</f>
        <v>55426</v>
      </c>
      <c r="DG4" s="51" t="n">
        <f aca="false">EOMONTH(DG$3,Months_Per_Period-1)</f>
        <v>55518</v>
      </c>
      <c r="DH4" s="51" t="n">
        <f aca="false">EOMONTH(DH$3,Months_Per_Period-1)</f>
        <v>55609</v>
      </c>
      <c r="DI4" s="51" t="n">
        <f aca="false">EOMONTH(DI$3,Months_Per_Period-1)</f>
        <v>55700</v>
      </c>
      <c r="DJ4" s="51" t="n">
        <f aca="false">EOMONTH(DJ$3,Months_Per_Period-1)</f>
        <v>55792</v>
      </c>
      <c r="DK4" s="51" t="n">
        <f aca="false">EOMONTH(DK$3,Months_Per_Period-1)</f>
        <v>55884</v>
      </c>
      <c r="DL4" s="51" t="n">
        <f aca="false">EOMONTH(DL$3,Months_Per_Period-1)</f>
        <v>55974</v>
      </c>
      <c r="DM4" s="51" t="n">
        <f aca="false">EOMONTH(DM$3,Months_Per_Period-1)</f>
        <v>56065</v>
      </c>
      <c r="DN4" s="51" t="n">
        <f aca="false">EOMONTH(DN$3,Months_Per_Period-1)</f>
        <v>56157</v>
      </c>
      <c r="DO4" s="51" t="n">
        <f aca="false">EOMONTH(DO$3,Months_Per_Period-1)</f>
        <v>56249</v>
      </c>
      <c r="DP4" s="51" t="n">
        <f aca="false">EOMONTH(DP$3,Months_Per_Period-1)</f>
        <v>56339</v>
      </c>
      <c r="DQ4" s="51" t="n">
        <f aca="false">EOMONTH(DQ$3,Months_Per_Period-1)</f>
        <v>56430</v>
      </c>
      <c r="DR4" s="51" t="n">
        <f aca="false">EOMONTH(DR$3,Months_Per_Period-1)</f>
        <v>56522</v>
      </c>
      <c r="DS4" s="51" t="n">
        <f aca="false">EOMONTH(DS$3,Months_Per_Period-1)</f>
        <v>56614</v>
      </c>
      <c r="DT4" s="51" t="n">
        <f aca="false">EOMONTH(DT$3,Months_Per_Period-1)</f>
        <v>56704</v>
      </c>
      <c r="DU4" s="51" t="n">
        <f aca="false">EOMONTH(DU$3,Months_Per_Period-1)</f>
        <v>56795</v>
      </c>
      <c r="DV4" s="51" t="n">
        <f aca="false">EOMONTH(DV$3,Months_Per_Period-1)</f>
        <v>56887</v>
      </c>
      <c r="DW4" s="51" t="n">
        <f aca="false">EOMONTH(DW$3,Months_Per_Period-1)</f>
        <v>56979</v>
      </c>
      <c r="DX4" s="51" t="n">
        <f aca="false">EOMONTH(DX$3,Months_Per_Period-1)</f>
        <v>57070</v>
      </c>
      <c r="DY4" s="51" t="n">
        <f aca="false">EOMONTH(DY$3,Months_Per_Period-1)</f>
        <v>57161</v>
      </c>
      <c r="DZ4" s="51" t="n">
        <f aca="false">EOMONTH(DZ$3,Months_Per_Period-1)</f>
        <v>57253</v>
      </c>
      <c r="EA4" s="51" t="n">
        <f aca="false">EOMONTH(EA$3,Months_Per_Period-1)</f>
        <v>57345</v>
      </c>
      <c r="EB4" s="51" t="n">
        <f aca="false">EOMONTH(EB$3,Months_Per_Period-1)</f>
        <v>57435</v>
      </c>
      <c r="EC4" s="51" t="n">
        <f aca="false">EOMONTH(EC$3,Months_Per_Period-1)</f>
        <v>57526</v>
      </c>
      <c r="ED4" s="51" t="n">
        <f aca="false">EOMONTH(ED$3,Months_Per_Period-1)</f>
        <v>57618</v>
      </c>
      <c r="EE4" s="51" t="n">
        <f aca="false">EOMONTH(EE$3,Months_Per_Period-1)</f>
        <v>57710</v>
      </c>
      <c r="EF4" s="51" t="n">
        <f aca="false">EOMONTH(EF$3,Months_Per_Period-1)</f>
        <v>57800</v>
      </c>
      <c r="EG4" s="51" t="n">
        <f aca="false">EOMONTH(EG$3,Months_Per_Period-1)</f>
        <v>57891</v>
      </c>
      <c r="EH4" s="51" t="n">
        <f aca="false">EOMONTH(EH$3,Months_Per_Period-1)</f>
        <v>57983</v>
      </c>
      <c r="EI4" s="51" t="n">
        <f aca="false">EOMONTH(EI$3,Months_Per_Period-1)</f>
        <v>58075</v>
      </c>
      <c r="EJ4" s="51" t="n">
        <f aca="false">EOMONTH(EJ$3,Months_Per_Period-1)</f>
        <v>58165</v>
      </c>
      <c r="EK4" s="51" t="n">
        <f aca="false">EOMONTH(EK$3,Months_Per_Period-1)</f>
        <v>58256</v>
      </c>
      <c r="EL4" s="51" t="n">
        <f aca="false">EOMONTH(EL$3,Months_Per_Period-1)</f>
        <v>58348</v>
      </c>
      <c r="EM4" s="51" t="n">
        <f aca="false">EOMONTH(EM$3,Months_Per_Period-1)</f>
        <v>58440</v>
      </c>
      <c r="EN4" s="51" t="n">
        <f aca="false">EOMONTH(EN$3,Months_Per_Period-1)</f>
        <v>58531</v>
      </c>
      <c r="EO4" s="51" t="n">
        <f aca="false">EOMONTH(EO$3,Months_Per_Period-1)</f>
        <v>58622</v>
      </c>
      <c r="EP4" s="51" t="n">
        <f aca="false">EOMONTH(EP$3,Months_Per_Period-1)</f>
        <v>58714</v>
      </c>
      <c r="EQ4" s="51" t="n">
        <f aca="false">EOMONTH(EQ$3,Months_Per_Period-1)</f>
        <v>58806</v>
      </c>
      <c r="ER4" s="51" t="n">
        <f aca="false">EOMONTH(ER$3,Months_Per_Period-1)</f>
        <v>58896</v>
      </c>
      <c r="ES4" s="51" t="n">
        <f aca="false">EOMONTH(ES$3,Months_Per_Period-1)</f>
        <v>58987</v>
      </c>
      <c r="ET4" s="51" t="n">
        <f aca="false">EOMONTH(ET$3,Months_Per_Period-1)</f>
        <v>59079</v>
      </c>
    </row>
    <row r="5" customFormat="false" ht="15" hidden="false" customHeight="false" outlineLevel="0" collapsed="false">
      <c r="C5" s="0" t="s">
        <v>480</v>
      </c>
      <c r="D5" s="11" t="s">
        <v>215</v>
      </c>
      <c r="J5" s="42" t="n">
        <f aca="false">J$4-J$3+1</f>
        <v>92</v>
      </c>
      <c r="K5" s="42" t="n">
        <f aca="false">K$4-K$3+1</f>
        <v>92</v>
      </c>
      <c r="L5" s="42" t="n">
        <f aca="false">L$4-L$3+1</f>
        <v>90</v>
      </c>
      <c r="M5" s="42" t="n">
        <f aca="false">M$4-M$3+1</f>
        <v>91</v>
      </c>
      <c r="N5" s="42" t="n">
        <f aca="false">N$4-N$3+1</f>
        <v>92</v>
      </c>
      <c r="O5" s="42" t="n">
        <f aca="false">O$4-O$3+1</f>
        <v>92</v>
      </c>
      <c r="P5" s="42" t="n">
        <f aca="false">P$4-P$3+1</f>
        <v>91</v>
      </c>
      <c r="Q5" s="42" t="n">
        <f aca="false">Q$4-Q$3+1</f>
        <v>91</v>
      </c>
      <c r="R5" s="42" t="n">
        <f aca="false">R$4-R$3+1</f>
        <v>92</v>
      </c>
      <c r="S5" s="42" t="n">
        <f aca="false">S$4-S$3+1</f>
        <v>92</v>
      </c>
      <c r="T5" s="42" t="n">
        <f aca="false">T$4-T$3+1</f>
        <v>90</v>
      </c>
      <c r="U5" s="42" t="n">
        <f aca="false">U$4-U$3+1</f>
        <v>91</v>
      </c>
      <c r="V5" s="42" t="n">
        <f aca="false">V$4-V$3+1</f>
        <v>92</v>
      </c>
      <c r="W5" s="42" t="n">
        <f aca="false">W$4-W$3+1</f>
        <v>92</v>
      </c>
      <c r="X5" s="42" t="n">
        <f aca="false">X$4-X$3+1</f>
        <v>90</v>
      </c>
      <c r="Y5" s="42" t="n">
        <f aca="false">Y$4-Y$3+1</f>
        <v>91</v>
      </c>
      <c r="Z5" s="42" t="n">
        <f aca="false">Z$4-Z$3+1</f>
        <v>92</v>
      </c>
      <c r="AA5" s="42" t="n">
        <f aca="false">AA$4-AA$3+1</f>
        <v>92</v>
      </c>
      <c r="AB5" s="42" t="n">
        <f aca="false">AB$4-AB$3+1</f>
        <v>90</v>
      </c>
      <c r="AC5" s="42" t="n">
        <f aca="false">AC$4-AC$3+1</f>
        <v>91</v>
      </c>
      <c r="AD5" s="42" t="n">
        <f aca="false">AD$4-AD$3+1</f>
        <v>92</v>
      </c>
      <c r="AE5" s="42" t="n">
        <f aca="false">AE$4-AE$3+1</f>
        <v>92</v>
      </c>
      <c r="AF5" s="42" t="n">
        <f aca="false">AF$4-AF$3+1</f>
        <v>91</v>
      </c>
      <c r="AG5" s="42" t="n">
        <f aca="false">AG$4-AG$3+1</f>
        <v>91</v>
      </c>
      <c r="AH5" s="42" t="n">
        <f aca="false">AH$4-AH$3+1</f>
        <v>92</v>
      </c>
      <c r="AI5" s="42" t="n">
        <f aca="false">AI$4-AI$3+1</f>
        <v>92</v>
      </c>
      <c r="AJ5" s="42" t="n">
        <f aca="false">AJ$4-AJ$3+1</f>
        <v>90</v>
      </c>
      <c r="AK5" s="42" t="n">
        <f aca="false">AK$4-AK$3+1</f>
        <v>91</v>
      </c>
      <c r="AL5" s="42" t="n">
        <f aca="false">AL$4-AL$3+1</f>
        <v>92</v>
      </c>
      <c r="AM5" s="42" t="n">
        <f aca="false">AM$4-AM$3+1</f>
        <v>92</v>
      </c>
      <c r="AN5" s="42" t="n">
        <f aca="false">AN$4-AN$3+1</f>
        <v>90</v>
      </c>
      <c r="AO5" s="42" t="n">
        <f aca="false">AO$4-AO$3+1</f>
        <v>91</v>
      </c>
      <c r="AP5" s="42" t="n">
        <f aca="false">AP$4-AP$3+1</f>
        <v>92</v>
      </c>
      <c r="AQ5" s="42" t="n">
        <f aca="false">AQ$4-AQ$3+1</f>
        <v>92</v>
      </c>
      <c r="AR5" s="42" t="n">
        <f aca="false">AR$4-AR$3+1</f>
        <v>90</v>
      </c>
      <c r="AS5" s="42" t="n">
        <f aca="false">AS$4-AS$3+1</f>
        <v>91</v>
      </c>
      <c r="AT5" s="42" t="n">
        <f aca="false">AT$4-AT$3+1</f>
        <v>92</v>
      </c>
      <c r="AU5" s="42" t="n">
        <f aca="false">AU$4-AU$3+1</f>
        <v>92</v>
      </c>
      <c r="AV5" s="42" t="n">
        <f aca="false">AV$4-AV$3+1</f>
        <v>91</v>
      </c>
      <c r="AW5" s="42" t="n">
        <f aca="false">AW$4-AW$3+1</f>
        <v>91</v>
      </c>
      <c r="AX5" s="42" t="n">
        <f aca="false">AX$4-AX$3+1</f>
        <v>92</v>
      </c>
      <c r="AY5" s="42" t="n">
        <f aca="false">AY$4-AY$3+1</f>
        <v>92</v>
      </c>
      <c r="AZ5" s="42" t="n">
        <f aca="false">AZ$4-AZ$3+1</f>
        <v>90</v>
      </c>
      <c r="BA5" s="42" t="n">
        <f aca="false">BA$4-BA$3+1</f>
        <v>91</v>
      </c>
      <c r="BB5" s="42" t="n">
        <f aca="false">BB$4-BB$3+1</f>
        <v>92</v>
      </c>
      <c r="BC5" s="42" t="n">
        <f aca="false">BC$4-BC$3+1</f>
        <v>92</v>
      </c>
      <c r="BD5" s="42" t="n">
        <f aca="false">BD$4-BD$3+1</f>
        <v>90</v>
      </c>
      <c r="BE5" s="42" t="n">
        <f aca="false">BE$4-BE$3+1</f>
        <v>91</v>
      </c>
      <c r="BF5" s="42" t="n">
        <f aca="false">BF$4-BF$3+1</f>
        <v>92</v>
      </c>
      <c r="BG5" s="42" t="n">
        <f aca="false">BG$4-BG$3+1</f>
        <v>92</v>
      </c>
      <c r="BH5" s="42" t="n">
        <f aca="false">BH$4-BH$3+1</f>
        <v>90</v>
      </c>
      <c r="BI5" s="42" t="n">
        <f aca="false">BI$4-BI$3+1</f>
        <v>91</v>
      </c>
      <c r="BJ5" s="42" t="n">
        <f aca="false">BJ$4-BJ$3+1</f>
        <v>92</v>
      </c>
      <c r="BK5" s="42" t="n">
        <f aca="false">BK$4-BK$3+1</f>
        <v>92</v>
      </c>
      <c r="BL5" s="42" t="n">
        <f aca="false">BL$4-BL$3+1</f>
        <v>91</v>
      </c>
      <c r="BM5" s="42" t="n">
        <f aca="false">BM$4-BM$3+1</f>
        <v>91</v>
      </c>
      <c r="BN5" s="42" t="n">
        <f aca="false">BN$4-BN$3+1</f>
        <v>92</v>
      </c>
      <c r="BO5" s="42" t="n">
        <f aca="false">BO$4-BO$3+1</f>
        <v>92</v>
      </c>
      <c r="BP5" s="42" t="n">
        <f aca="false">BP$4-BP$3+1</f>
        <v>90</v>
      </c>
      <c r="BQ5" s="42" t="n">
        <f aca="false">BQ$4-BQ$3+1</f>
        <v>91</v>
      </c>
      <c r="BR5" s="42" t="n">
        <f aca="false">BR$4-BR$3+1</f>
        <v>92</v>
      </c>
      <c r="BS5" s="42" t="n">
        <f aca="false">BS$4-BS$3+1</f>
        <v>92</v>
      </c>
      <c r="BT5" s="42" t="n">
        <f aca="false">BT$4-BT$3+1</f>
        <v>90</v>
      </c>
      <c r="BU5" s="42" t="n">
        <f aca="false">BU$4-BU$3+1</f>
        <v>91</v>
      </c>
      <c r="BV5" s="42" t="n">
        <f aca="false">BV$4-BV$3+1</f>
        <v>92</v>
      </c>
      <c r="BW5" s="42" t="n">
        <f aca="false">BW$4-BW$3+1</f>
        <v>92</v>
      </c>
      <c r="BX5" s="42" t="n">
        <f aca="false">BX$4-BX$3+1</f>
        <v>90</v>
      </c>
      <c r="BY5" s="42" t="n">
        <f aca="false">BY$4-BY$3+1</f>
        <v>91</v>
      </c>
      <c r="BZ5" s="42" t="n">
        <f aca="false">BZ$4-BZ$3+1</f>
        <v>92</v>
      </c>
      <c r="CA5" s="42" t="n">
        <f aca="false">CA$4-CA$3+1</f>
        <v>92</v>
      </c>
      <c r="CB5" s="42" t="n">
        <f aca="false">CB$4-CB$3+1</f>
        <v>91</v>
      </c>
      <c r="CC5" s="42" t="n">
        <f aca="false">CC$4-CC$3+1</f>
        <v>91</v>
      </c>
      <c r="CD5" s="42" t="n">
        <f aca="false">CD$4-CD$3+1</f>
        <v>92</v>
      </c>
      <c r="CE5" s="42" t="n">
        <f aca="false">CE$4-CE$3+1</f>
        <v>92</v>
      </c>
      <c r="CF5" s="42" t="n">
        <f aca="false">CF$4-CF$3+1</f>
        <v>90</v>
      </c>
      <c r="CG5" s="42" t="n">
        <f aca="false">CG$4-CG$3+1</f>
        <v>91</v>
      </c>
      <c r="CH5" s="42" t="n">
        <f aca="false">CH$4-CH$3+1</f>
        <v>92</v>
      </c>
      <c r="CI5" s="42" t="n">
        <f aca="false">CI$4-CI$3+1</f>
        <v>92</v>
      </c>
      <c r="CJ5" s="42" t="n">
        <f aca="false">CJ$4-CJ$3+1</f>
        <v>90</v>
      </c>
      <c r="CK5" s="42" t="n">
        <f aca="false">CK$4-CK$3+1</f>
        <v>91</v>
      </c>
      <c r="CL5" s="42" t="n">
        <f aca="false">CL$4-CL$3+1</f>
        <v>92</v>
      </c>
      <c r="CM5" s="42" t="n">
        <f aca="false">CM$4-CM$3+1</f>
        <v>92</v>
      </c>
      <c r="CN5" s="42" t="n">
        <f aca="false">CN$4-CN$3+1</f>
        <v>90</v>
      </c>
      <c r="CO5" s="42" t="n">
        <f aca="false">CO$4-CO$3+1</f>
        <v>91</v>
      </c>
      <c r="CP5" s="42" t="n">
        <f aca="false">CP$4-CP$3+1</f>
        <v>92</v>
      </c>
      <c r="CQ5" s="42" t="n">
        <f aca="false">CQ$4-CQ$3+1</f>
        <v>92</v>
      </c>
      <c r="CR5" s="42" t="n">
        <f aca="false">CR$4-CR$3+1</f>
        <v>91</v>
      </c>
      <c r="CS5" s="42" t="n">
        <f aca="false">CS$4-CS$3+1</f>
        <v>91</v>
      </c>
      <c r="CT5" s="42" t="n">
        <f aca="false">CT$4-CT$3+1</f>
        <v>92</v>
      </c>
      <c r="CU5" s="42" t="n">
        <f aca="false">CU$4-CU$3+1</f>
        <v>92</v>
      </c>
      <c r="CV5" s="42" t="n">
        <f aca="false">CV$4-CV$3+1</f>
        <v>90</v>
      </c>
      <c r="CW5" s="42" t="n">
        <f aca="false">CW$4-CW$3+1</f>
        <v>91</v>
      </c>
      <c r="CX5" s="42" t="n">
        <f aca="false">CX$4-CX$3+1</f>
        <v>92</v>
      </c>
      <c r="CY5" s="42" t="n">
        <f aca="false">CY$4-CY$3+1</f>
        <v>92</v>
      </c>
      <c r="CZ5" s="42" t="n">
        <f aca="false">CZ$4-CZ$3+1</f>
        <v>90</v>
      </c>
      <c r="DA5" s="42" t="n">
        <f aca="false">DA$4-DA$3+1</f>
        <v>91</v>
      </c>
      <c r="DB5" s="42" t="n">
        <f aca="false">DB$4-DB$3+1</f>
        <v>92</v>
      </c>
      <c r="DC5" s="42" t="n">
        <f aca="false">DC$4-DC$3+1</f>
        <v>92</v>
      </c>
      <c r="DD5" s="42" t="n">
        <f aca="false">DD$4-DD$3+1</f>
        <v>90</v>
      </c>
      <c r="DE5" s="42" t="n">
        <f aca="false">DE$4-DE$3+1</f>
        <v>91</v>
      </c>
      <c r="DF5" s="42" t="n">
        <f aca="false">DF$4-DF$3+1</f>
        <v>92</v>
      </c>
      <c r="DG5" s="42" t="n">
        <f aca="false">DG$4-DG$3+1</f>
        <v>92</v>
      </c>
      <c r="DH5" s="42" t="n">
        <f aca="false">DH$4-DH$3+1</f>
        <v>91</v>
      </c>
      <c r="DI5" s="42" t="n">
        <f aca="false">DI$4-DI$3+1</f>
        <v>91</v>
      </c>
      <c r="DJ5" s="42" t="n">
        <f aca="false">DJ$4-DJ$3+1</f>
        <v>92</v>
      </c>
      <c r="DK5" s="42" t="n">
        <f aca="false">DK$4-DK$3+1</f>
        <v>92</v>
      </c>
      <c r="DL5" s="42" t="n">
        <f aca="false">DL$4-DL$3+1</f>
        <v>90</v>
      </c>
      <c r="DM5" s="42" t="n">
        <f aca="false">DM$4-DM$3+1</f>
        <v>91</v>
      </c>
      <c r="DN5" s="42" t="n">
        <f aca="false">DN$4-DN$3+1</f>
        <v>92</v>
      </c>
      <c r="DO5" s="42" t="n">
        <f aca="false">DO$4-DO$3+1</f>
        <v>92</v>
      </c>
      <c r="DP5" s="42" t="n">
        <f aca="false">DP$4-DP$3+1</f>
        <v>90</v>
      </c>
      <c r="DQ5" s="42" t="n">
        <f aca="false">DQ$4-DQ$3+1</f>
        <v>91</v>
      </c>
      <c r="DR5" s="42" t="n">
        <f aca="false">DR$4-DR$3+1</f>
        <v>92</v>
      </c>
      <c r="DS5" s="42" t="n">
        <f aca="false">DS$4-DS$3+1</f>
        <v>92</v>
      </c>
      <c r="DT5" s="42" t="n">
        <f aca="false">DT$4-DT$3+1</f>
        <v>90</v>
      </c>
      <c r="DU5" s="42" t="n">
        <f aca="false">DU$4-DU$3+1</f>
        <v>91</v>
      </c>
      <c r="DV5" s="42" t="n">
        <f aca="false">DV$4-DV$3+1</f>
        <v>92</v>
      </c>
      <c r="DW5" s="42" t="n">
        <f aca="false">DW$4-DW$3+1</f>
        <v>92</v>
      </c>
      <c r="DX5" s="42" t="n">
        <f aca="false">DX$4-DX$3+1</f>
        <v>91</v>
      </c>
      <c r="DY5" s="42" t="n">
        <f aca="false">DY$4-DY$3+1</f>
        <v>91</v>
      </c>
      <c r="DZ5" s="42" t="n">
        <f aca="false">DZ$4-DZ$3+1</f>
        <v>92</v>
      </c>
      <c r="EA5" s="42" t="n">
        <f aca="false">EA$4-EA$3+1</f>
        <v>92</v>
      </c>
      <c r="EB5" s="42" t="n">
        <f aca="false">EB$4-EB$3+1</f>
        <v>90</v>
      </c>
      <c r="EC5" s="42" t="n">
        <f aca="false">EC$4-EC$3+1</f>
        <v>91</v>
      </c>
      <c r="ED5" s="42" t="n">
        <f aca="false">ED$4-ED$3+1</f>
        <v>92</v>
      </c>
      <c r="EE5" s="42" t="n">
        <f aca="false">EE$4-EE$3+1</f>
        <v>92</v>
      </c>
      <c r="EF5" s="42" t="n">
        <f aca="false">EF$4-EF$3+1</f>
        <v>90</v>
      </c>
      <c r="EG5" s="42" t="n">
        <f aca="false">EG$4-EG$3+1</f>
        <v>91</v>
      </c>
      <c r="EH5" s="42" t="n">
        <f aca="false">EH$4-EH$3+1</f>
        <v>92</v>
      </c>
      <c r="EI5" s="42" t="n">
        <f aca="false">EI$4-EI$3+1</f>
        <v>92</v>
      </c>
      <c r="EJ5" s="42" t="n">
        <f aca="false">EJ$4-EJ$3+1</f>
        <v>90</v>
      </c>
      <c r="EK5" s="42" t="n">
        <f aca="false">EK$4-EK$3+1</f>
        <v>91</v>
      </c>
      <c r="EL5" s="42" t="n">
        <f aca="false">EL$4-EL$3+1</f>
        <v>92</v>
      </c>
      <c r="EM5" s="42" t="n">
        <f aca="false">EM$4-EM$3+1</f>
        <v>92</v>
      </c>
      <c r="EN5" s="42" t="n">
        <f aca="false">EN$4-EN$3+1</f>
        <v>91</v>
      </c>
      <c r="EO5" s="42" t="n">
        <f aca="false">EO$4-EO$3+1</f>
        <v>91</v>
      </c>
      <c r="EP5" s="42" t="n">
        <f aca="false">EP$4-EP$3+1</f>
        <v>92</v>
      </c>
      <c r="EQ5" s="42" t="n">
        <f aca="false">EQ$4-EQ$3+1</f>
        <v>92</v>
      </c>
      <c r="ER5" s="42" t="n">
        <f aca="false">ER$4-ER$3+1</f>
        <v>90</v>
      </c>
      <c r="ES5" s="42" t="n">
        <f aca="false">ES$4-ES$3+1</f>
        <v>91</v>
      </c>
      <c r="ET5" s="42" t="n">
        <f aca="false">ET$4-ET$3+1</f>
        <v>92</v>
      </c>
    </row>
    <row r="6" customFormat="false" ht="15" hidden="false" customHeight="false" outlineLevel="0" collapsed="false">
      <c r="C6" s="0" t="s">
        <v>481</v>
      </c>
      <c r="D6" s="11" t="s">
        <v>482</v>
      </c>
      <c r="J6" s="52" t="n">
        <f aca="false">J$5/Days_In_Year</f>
        <v>0.252054794520548</v>
      </c>
      <c r="K6" s="52" t="n">
        <f aca="false">K$5/Days_In_Year</f>
        <v>0.252054794520548</v>
      </c>
      <c r="L6" s="52" t="n">
        <f aca="false">L$5/Days_In_Year</f>
        <v>0.246575342465753</v>
      </c>
      <c r="M6" s="52" t="n">
        <f aca="false">M$5/Days_In_Year</f>
        <v>0.249315068493151</v>
      </c>
      <c r="N6" s="52" t="n">
        <f aca="false">N$5/Days_In_Year</f>
        <v>0.252054794520548</v>
      </c>
      <c r="O6" s="52" t="n">
        <f aca="false">O$5/Days_In_Year</f>
        <v>0.252054794520548</v>
      </c>
      <c r="P6" s="52" t="n">
        <f aca="false">P$5/Days_In_Year</f>
        <v>0.249315068493151</v>
      </c>
      <c r="Q6" s="52" t="n">
        <f aca="false">Q$5/Days_In_Year</f>
        <v>0.249315068493151</v>
      </c>
      <c r="R6" s="52" t="n">
        <f aca="false">R$5/Days_In_Year</f>
        <v>0.252054794520548</v>
      </c>
      <c r="S6" s="52" t="n">
        <f aca="false">S$5/Days_In_Year</f>
        <v>0.252054794520548</v>
      </c>
      <c r="T6" s="52" t="n">
        <f aca="false">T$5/Days_In_Year</f>
        <v>0.246575342465753</v>
      </c>
      <c r="U6" s="52" t="n">
        <f aca="false">U$5/Days_In_Year</f>
        <v>0.249315068493151</v>
      </c>
      <c r="V6" s="52" t="n">
        <f aca="false">V$5/Days_In_Year</f>
        <v>0.252054794520548</v>
      </c>
      <c r="W6" s="52" t="n">
        <f aca="false">W$5/Days_In_Year</f>
        <v>0.252054794520548</v>
      </c>
      <c r="X6" s="52" t="n">
        <f aca="false">X$5/Days_In_Year</f>
        <v>0.246575342465753</v>
      </c>
      <c r="Y6" s="52" t="n">
        <f aca="false">Y$5/Days_In_Year</f>
        <v>0.249315068493151</v>
      </c>
      <c r="Z6" s="52" t="n">
        <f aca="false">Z$5/Days_In_Year</f>
        <v>0.252054794520548</v>
      </c>
      <c r="AA6" s="52" t="n">
        <f aca="false">AA$5/Days_In_Year</f>
        <v>0.252054794520548</v>
      </c>
      <c r="AB6" s="52" t="n">
        <f aca="false">AB$5/Days_In_Year</f>
        <v>0.246575342465753</v>
      </c>
      <c r="AC6" s="52" t="n">
        <f aca="false">AC$5/Days_In_Year</f>
        <v>0.249315068493151</v>
      </c>
      <c r="AD6" s="52" t="n">
        <f aca="false">AD$5/Days_In_Year</f>
        <v>0.252054794520548</v>
      </c>
      <c r="AE6" s="52" t="n">
        <f aca="false">AE$5/Days_In_Year</f>
        <v>0.252054794520548</v>
      </c>
      <c r="AF6" s="52" t="n">
        <f aca="false">AF$5/Days_In_Year</f>
        <v>0.249315068493151</v>
      </c>
      <c r="AG6" s="52" t="n">
        <f aca="false">AG$5/Days_In_Year</f>
        <v>0.249315068493151</v>
      </c>
      <c r="AH6" s="52" t="n">
        <f aca="false">AH$5/Days_In_Year</f>
        <v>0.252054794520548</v>
      </c>
      <c r="AI6" s="52" t="n">
        <f aca="false">AI$5/Days_In_Year</f>
        <v>0.252054794520548</v>
      </c>
      <c r="AJ6" s="52" t="n">
        <f aca="false">AJ$5/Days_In_Year</f>
        <v>0.246575342465753</v>
      </c>
      <c r="AK6" s="52" t="n">
        <f aca="false">AK$5/Days_In_Year</f>
        <v>0.249315068493151</v>
      </c>
      <c r="AL6" s="52" t="n">
        <f aca="false">AL$5/Days_In_Year</f>
        <v>0.252054794520548</v>
      </c>
      <c r="AM6" s="52" t="n">
        <f aca="false">AM$5/Days_In_Year</f>
        <v>0.252054794520548</v>
      </c>
      <c r="AN6" s="52" t="n">
        <f aca="false">AN$5/Days_In_Year</f>
        <v>0.246575342465753</v>
      </c>
      <c r="AO6" s="52" t="n">
        <f aca="false">AO$5/Days_In_Year</f>
        <v>0.249315068493151</v>
      </c>
      <c r="AP6" s="52" t="n">
        <f aca="false">AP$5/Days_In_Year</f>
        <v>0.252054794520548</v>
      </c>
      <c r="AQ6" s="52" t="n">
        <f aca="false">AQ$5/Days_In_Year</f>
        <v>0.252054794520548</v>
      </c>
      <c r="AR6" s="52" t="n">
        <f aca="false">AR$5/Days_In_Year</f>
        <v>0.246575342465753</v>
      </c>
      <c r="AS6" s="52" t="n">
        <f aca="false">AS$5/Days_In_Year</f>
        <v>0.249315068493151</v>
      </c>
      <c r="AT6" s="52" t="n">
        <f aca="false">AT$5/Days_In_Year</f>
        <v>0.252054794520548</v>
      </c>
      <c r="AU6" s="52" t="n">
        <f aca="false">AU$5/Days_In_Year</f>
        <v>0.252054794520548</v>
      </c>
      <c r="AV6" s="52" t="n">
        <f aca="false">AV$5/Days_In_Year</f>
        <v>0.249315068493151</v>
      </c>
      <c r="AW6" s="52" t="n">
        <f aca="false">AW$5/Days_In_Year</f>
        <v>0.249315068493151</v>
      </c>
      <c r="AX6" s="52" t="n">
        <f aca="false">AX$5/Days_In_Year</f>
        <v>0.252054794520548</v>
      </c>
      <c r="AY6" s="52" t="n">
        <f aca="false">AY$5/Days_In_Year</f>
        <v>0.252054794520548</v>
      </c>
      <c r="AZ6" s="52" t="n">
        <f aca="false">AZ$5/Days_In_Year</f>
        <v>0.246575342465753</v>
      </c>
      <c r="BA6" s="52" t="n">
        <f aca="false">BA$5/Days_In_Year</f>
        <v>0.249315068493151</v>
      </c>
      <c r="BB6" s="52" t="n">
        <f aca="false">BB$5/Days_In_Year</f>
        <v>0.252054794520548</v>
      </c>
      <c r="BC6" s="52" t="n">
        <f aca="false">BC$5/Days_In_Year</f>
        <v>0.252054794520548</v>
      </c>
      <c r="BD6" s="52" t="n">
        <f aca="false">BD$5/Days_In_Year</f>
        <v>0.246575342465753</v>
      </c>
      <c r="BE6" s="52" t="n">
        <f aca="false">BE$5/Days_In_Year</f>
        <v>0.249315068493151</v>
      </c>
      <c r="BF6" s="52" t="n">
        <f aca="false">BF$5/Days_In_Year</f>
        <v>0.252054794520548</v>
      </c>
      <c r="BG6" s="52" t="n">
        <f aca="false">BG$5/Days_In_Year</f>
        <v>0.252054794520548</v>
      </c>
      <c r="BH6" s="52" t="n">
        <f aca="false">BH$5/Days_In_Year</f>
        <v>0.246575342465753</v>
      </c>
      <c r="BI6" s="52" t="n">
        <f aca="false">BI$5/Days_In_Year</f>
        <v>0.249315068493151</v>
      </c>
      <c r="BJ6" s="52" t="n">
        <f aca="false">BJ$5/Days_In_Year</f>
        <v>0.252054794520548</v>
      </c>
      <c r="BK6" s="52" t="n">
        <f aca="false">BK$5/Days_In_Year</f>
        <v>0.252054794520548</v>
      </c>
      <c r="BL6" s="52" t="n">
        <f aca="false">BL$5/Days_In_Year</f>
        <v>0.249315068493151</v>
      </c>
      <c r="BM6" s="52" t="n">
        <f aca="false">BM$5/Days_In_Year</f>
        <v>0.249315068493151</v>
      </c>
      <c r="BN6" s="52" t="n">
        <f aca="false">BN$5/Days_In_Year</f>
        <v>0.252054794520548</v>
      </c>
      <c r="BO6" s="52" t="n">
        <f aca="false">BO$5/Days_In_Year</f>
        <v>0.252054794520548</v>
      </c>
      <c r="BP6" s="52" t="n">
        <f aca="false">BP$5/Days_In_Year</f>
        <v>0.246575342465753</v>
      </c>
      <c r="BQ6" s="52" t="n">
        <f aca="false">BQ$5/Days_In_Year</f>
        <v>0.249315068493151</v>
      </c>
      <c r="BR6" s="52" t="n">
        <f aca="false">BR$5/Days_In_Year</f>
        <v>0.252054794520548</v>
      </c>
      <c r="BS6" s="52" t="n">
        <f aca="false">BS$5/Days_In_Year</f>
        <v>0.252054794520548</v>
      </c>
      <c r="BT6" s="52" t="n">
        <f aca="false">BT$5/Days_In_Year</f>
        <v>0.246575342465753</v>
      </c>
      <c r="BU6" s="52" t="n">
        <f aca="false">BU$5/Days_In_Year</f>
        <v>0.249315068493151</v>
      </c>
      <c r="BV6" s="52" t="n">
        <f aca="false">BV$5/Days_In_Year</f>
        <v>0.252054794520548</v>
      </c>
      <c r="BW6" s="52" t="n">
        <f aca="false">BW$5/Days_In_Year</f>
        <v>0.252054794520548</v>
      </c>
      <c r="BX6" s="52" t="n">
        <f aca="false">BX$5/Days_In_Year</f>
        <v>0.246575342465753</v>
      </c>
      <c r="BY6" s="52" t="n">
        <f aca="false">BY$5/Days_In_Year</f>
        <v>0.249315068493151</v>
      </c>
      <c r="BZ6" s="52" t="n">
        <f aca="false">BZ$5/Days_In_Year</f>
        <v>0.252054794520548</v>
      </c>
      <c r="CA6" s="52" t="n">
        <f aca="false">CA$5/Days_In_Year</f>
        <v>0.252054794520548</v>
      </c>
      <c r="CB6" s="52" t="n">
        <f aca="false">CB$5/Days_In_Year</f>
        <v>0.249315068493151</v>
      </c>
      <c r="CC6" s="52" t="n">
        <f aca="false">CC$5/Days_In_Year</f>
        <v>0.249315068493151</v>
      </c>
      <c r="CD6" s="52" t="n">
        <f aca="false">CD$5/Days_In_Year</f>
        <v>0.252054794520548</v>
      </c>
      <c r="CE6" s="52" t="n">
        <f aca="false">CE$5/Days_In_Year</f>
        <v>0.252054794520548</v>
      </c>
      <c r="CF6" s="52" t="n">
        <f aca="false">CF$5/Days_In_Year</f>
        <v>0.246575342465753</v>
      </c>
      <c r="CG6" s="52" t="n">
        <f aca="false">CG$5/Days_In_Year</f>
        <v>0.249315068493151</v>
      </c>
      <c r="CH6" s="52" t="n">
        <f aca="false">CH$5/Days_In_Year</f>
        <v>0.252054794520548</v>
      </c>
      <c r="CI6" s="52" t="n">
        <f aca="false">CI$5/Days_In_Year</f>
        <v>0.252054794520548</v>
      </c>
      <c r="CJ6" s="52" t="n">
        <f aca="false">CJ$5/Days_In_Year</f>
        <v>0.246575342465753</v>
      </c>
      <c r="CK6" s="52" t="n">
        <f aca="false">CK$5/Days_In_Year</f>
        <v>0.249315068493151</v>
      </c>
      <c r="CL6" s="52" t="n">
        <f aca="false">CL$5/Days_In_Year</f>
        <v>0.252054794520548</v>
      </c>
      <c r="CM6" s="52" t="n">
        <f aca="false">CM$5/Days_In_Year</f>
        <v>0.252054794520548</v>
      </c>
      <c r="CN6" s="52" t="n">
        <f aca="false">CN$5/Days_In_Year</f>
        <v>0.246575342465753</v>
      </c>
      <c r="CO6" s="52" t="n">
        <f aca="false">CO$5/Days_In_Year</f>
        <v>0.249315068493151</v>
      </c>
      <c r="CP6" s="52" t="n">
        <f aca="false">CP$5/Days_In_Year</f>
        <v>0.252054794520548</v>
      </c>
      <c r="CQ6" s="52" t="n">
        <f aca="false">CQ$5/Days_In_Year</f>
        <v>0.252054794520548</v>
      </c>
      <c r="CR6" s="52" t="n">
        <f aca="false">CR$5/Days_In_Year</f>
        <v>0.249315068493151</v>
      </c>
      <c r="CS6" s="52" t="n">
        <f aca="false">CS$5/Days_In_Year</f>
        <v>0.249315068493151</v>
      </c>
      <c r="CT6" s="52" t="n">
        <f aca="false">CT$5/Days_In_Year</f>
        <v>0.252054794520548</v>
      </c>
      <c r="CU6" s="52" t="n">
        <f aca="false">CU$5/Days_In_Year</f>
        <v>0.252054794520548</v>
      </c>
      <c r="CV6" s="52" t="n">
        <f aca="false">CV$5/Days_In_Year</f>
        <v>0.246575342465753</v>
      </c>
      <c r="CW6" s="52" t="n">
        <f aca="false">CW$5/Days_In_Year</f>
        <v>0.249315068493151</v>
      </c>
      <c r="CX6" s="52" t="n">
        <f aca="false">CX$5/Days_In_Year</f>
        <v>0.252054794520548</v>
      </c>
      <c r="CY6" s="52" t="n">
        <f aca="false">CY$5/Days_In_Year</f>
        <v>0.252054794520548</v>
      </c>
      <c r="CZ6" s="52" t="n">
        <f aca="false">CZ$5/Days_In_Year</f>
        <v>0.246575342465753</v>
      </c>
      <c r="DA6" s="52" t="n">
        <f aca="false">DA$5/Days_In_Year</f>
        <v>0.249315068493151</v>
      </c>
      <c r="DB6" s="52" t="n">
        <f aca="false">DB$5/Days_In_Year</f>
        <v>0.252054794520548</v>
      </c>
      <c r="DC6" s="52" t="n">
        <f aca="false">DC$5/Days_In_Year</f>
        <v>0.252054794520548</v>
      </c>
      <c r="DD6" s="52" t="n">
        <f aca="false">DD$5/Days_In_Year</f>
        <v>0.246575342465753</v>
      </c>
      <c r="DE6" s="52" t="n">
        <f aca="false">DE$5/Days_In_Year</f>
        <v>0.249315068493151</v>
      </c>
      <c r="DF6" s="52" t="n">
        <f aca="false">DF$5/Days_In_Year</f>
        <v>0.252054794520548</v>
      </c>
      <c r="DG6" s="52" t="n">
        <f aca="false">DG$5/Days_In_Year</f>
        <v>0.252054794520548</v>
      </c>
      <c r="DH6" s="52" t="n">
        <f aca="false">DH$5/Days_In_Year</f>
        <v>0.249315068493151</v>
      </c>
      <c r="DI6" s="52" t="n">
        <f aca="false">DI$5/Days_In_Year</f>
        <v>0.249315068493151</v>
      </c>
      <c r="DJ6" s="52" t="n">
        <f aca="false">DJ$5/Days_In_Year</f>
        <v>0.252054794520548</v>
      </c>
      <c r="DK6" s="52" t="n">
        <f aca="false">DK$5/Days_In_Year</f>
        <v>0.252054794520548</v>
      </c>
      <c r="DL6" s="52" t="n">
        <f aca="false">DL$5/Days_In_Year</f>
        <v>0.246575342465753</v>
      </c>
      <c r="DM6" s="52" t="n">
        <f aca="false">DM$5/Days_In_Year</f>
        <v>0.249315068493151</v>
      </c>
      <c r="DN6" s="52" t="n">
        <f aca="false">DN$5/Days_In_Year</f>
        <v>0.252054794520548</v>
      </c>
      <c r="DO6" s="52" t="n">
        <f aca="false">DO$5/Days_In_Year</f>
        <v>0.252054794520548</v>
      </c>
      <c r="DP6" s="52" t="n">
        <f aca="false">DP$5/Days_In_Year</f>
        <v>0.246575342465753</v>
      </c>
      <c r="DQ6" s="52" t="n">
        <f aca="false">DQ$5/Days_In_Year</f>
        <v>0.249315068493151</v>
      </c>
      <c r="DR6" s="52" t="n">
        <f aca="false">DR$5/Days_In_Year</f>
        <v>0.252054794520548</v>
      </c>
      <c r="DS6" s="52" t="n">
        <f aca="false">DS$5/Days_In_Year</f>
        <v>0.252054794520548</v>
      </c>
      <c r="DT6" s="52" t="n">
        <f aca="false">DT$5/Days_In_Year</f>
        <v>0.246575342465753</v>
      </c>
      <c r="DU6" s="52" t="n">
        <f aca="false">DU$5/Days_In_Year</f>
        <v>0.249315068493151</v>
      </c>
      <c r="DV6" s="52" t="n">
        <f aca="false">DV$5/Days_In_Year</f>
        <v>0.252054794520548</v>
      </c>
      <c r="DW6" s="52" t="n">
        <f aca="false">DW$5/Days_In_Year</f>
        <v>0.252054794520548</v>
      </c>
      <c r="DX6" s="52" t="n">
        <f aca="false">DX$5/Days_In_Year</f>
        <v>0.249315068493151</v>
      </c>
      <c r="DY6" s="52" t="n">
        <f aca="false">DY$5/Days_In_Year</f>
        <v>0.249315068493151</v>
      </c>
      <c r="DZ6" s="52" t="n">
        <f aca="false">DZ$5/Days_In_Year</f>
        <v>0.252054794520548</v>
      </c>
      <c r="EA6" s="52" t="n">
        <f aca="false">EA$5/Days_In_Year</f>
        <v>0.252054794520548</v>
      </c>
      <c r="EB6" s="52" t="n">
        <f aca="false">EB$5/Days_In_Year</f>
        <v>0.246575342465753</v>
      </c>
      <c r="EC6" s="52" t="n">
        <f aca="false">EC$5/Days_In_Year</f>
        <v>0.249315068493151</v>
      </c>
      <c r="ED6" s="52" t="n">
        <f aca="false">ED$5/Days_In_Year</f>
        <v>0.252054794520548</v>
      </c>
      <c r="EE6" s="52" t="n">
        <f aca="false">EE$5/Days_In_Year</f>
        <v>0.252054794520548</v>
      </c>
      <c r="EF6" s="52" t="n">
        <f aca="false">EF$5/Days_In_Year</f>
        <v>0.246575342465753</v>
      </c>
      <c r="EG6" s="52" t="n">
        <f aca="false">EG$5/Days_In_Year</f>
        <v>0.249315068493151</v>
      </c>
      <c r="EH6" s="52" t="n">
        <f aca="false">EH$5/Days_In_Year</f>
        <v>0.252054794520548</v>
      </c>
      <c r="EI6" s="52" t="n">
        <f aca="false">EI$5/Days_In_Year</f>
        <v>0.252054794520548</v>
      </c>
      <c r="EJ6" s="52" t="n">
        <f aca="false">EJ$5/Days_In_Year</f>
        <v>0.246575342465753</v>
      </c>
      <c r="EK6" s="52" t="n">
        <f aca="false">EK$5/Days_In_Year</f>
        <v>0.249315068493151</v>
      </c>
      <c r="EL6" s="52" t="n">
        <f aca="false">EL$5/Days_In_Year</f>
        <v>0.252054794520548</v>
      </c>
      <c r="EM6" s="52" t="n">
        <f aca="false">EM$5/Days_In_Year</f>
        <v>0.252054794520548</v>
      </c>
      <c r="EN6" s="52" t="n">
        <f aca="false">EN$5/Days_In_Year</f>
        <v>0.249315068493151</v>
      </c>
      <c r="EO6" s="52" t="n">
        <f aca="false">EO$5/Days_In_Year</f>
        <v>0.249315068493151</v>
      </c>
      <c r="EP6" s="52" t="n">
        <f aca="false">EP$5/Days_In_Year</f>
        <v>0.252054794520548</v>
      </c>
      <c r="EQ6" s="52" t="n">
        <f aca="false">EQ$5/Days_In_Year</f>
        <v>0.252054794520548</v>
      </c>
      <c r="ER6" s="52" t="n">
        <f aca="false">ER$5/Days_In_Year</f>
        <v>0.246575342465753</v>
      </c>
      <c r="ES6" s="52" t="n">
        <f aca="false">ES$5/Days_In_Year</f>
        <v>0.249315068493151</v>
      </c>
      <c r="ET6" s="52" t="n">
        <f aca="false">ET$5/Days_In_Year</f>
        <v>0.252054794520548</v>
      </c>
    </row>
    <row r="7" customFormat="false" ht="15" hidden="false" customHeight="false" outlineLevel="0" collapsed="false">
      <c r="C7" s="0" t="s">
        <v>483</v>
      </c>
      <c r="D7" s="11" t="s">
        <v>484</v>
      </c>
      <c r="J7" s="42" t="n">
        <f aca="false">YEAR(J$4)</f>
        <v>2026</v>
      </c>
      <c r="K7" s="42" t="n">
        <f aca="false">YEAR(K$4)</f>
        <v>2026</v>
      </c>
      <c r="L7" s="42" t="n">
        <f aca="false">YEAR(L$4)</f>
        <v>2027</v>
      </c>
      <c r="M7" s="42" t="n">
        <f aca="false">YEAR(M$4)</f>
        <v>2027</v>
      </c>
      <c r="N7" s="42" t="n">
        <f aca="false">YEAR(N$4)</f>
        <v>2027</v>
      </c>
      <c r="O7" s="42" t="n">
        <f aca="false">YEAR(O$4)</f>
        <v>2027</v>
      </c>
      <c r="P7" s="42" t="n">
        <f aca="false">YEAR(P$4)</f>
        <v>2028</v>
      </c>
      <c r="Q7" s="42" t="n">
        <f aca="false">YEAR(Q$4)</f>
        <v>2028</v>
      </c>
      <c r="R7" s="42" t="n">
        <f aca="false">YEAR(R$4)</f>
        <v>2028</v>
      </c>
      <c r="S7" s="42" t="n">
        <f aca="false">YEAR(S$4)</f>
        <v>2028</v>
      </c>
      <c r="T7" s="42" t="n">
        <f aca="false">YEAR(T$4)</f>
        <v>2029</v>
      </c>
      <c r="U7" s="42" t="n">
        <f aca="false">YEAR(U$4)</f>
        <v>2029</v>
      </c>
      <c r="V7" s="42" t="n">
        <f aca="false">YEAR(V$4)</f>
        <v>2029</v>
      </c>
      <c r="W7" s="42" t="n">
        <f aca="false">YEAR(W$4)</f>
        <v>2029</v>
      </c>
      <c r="X7" s="42" t="n">
        <f aca="false">YEAR(X$4)</f>
        <v>2030</v>
      </c>
      <c r="Y7" s="42" t="n">
        <f aca="false">YEAR(Y$4)</f>
        <v>2030</v>
      </c>
      <c r="Z7" s="42" t="n">
        <f aca="false">YEAR(Z$4)</f>
        <v>2030</v>
      </c>
      <c r="AA7" s="42" t="n">
        <f aca="false">YEAR(AA$4)</f>
        <v>2030</v>
      </c>
      <c r="AB7" s="42" t="n">
        <f aca="false">YEAR(AB$4)</f>
        <v>2031</v>
      </c>
      <c r="AC7" s="42" t="n">
        <f aca="false">YEAR(AC$4)</f>
        <v>2031</v>
      </c>
      <c r="AD7" s="42" t="n">
        <f aca="false">YEAR(AD$4)</f>
        <v>2031</v>
      </c>
      <c r="AE7" s="42" t="n">
        <f aca="false">YEAR(AE$4)</f>
        <v>2031</v>
      </c>
      <c r="AF7" s="42" t="n">
        <f aca="false">YEAR(AF$4)</f>
        <v>2032</v>
      </c>
      <c r="AG7" s="42" t="n">
        <f aca="false">YEAR(AG$4)</f>
        <v>2032</v>
      </c>
      <c r="AH7" s="42" t="n">
        <f aca="false">YEAR(AH$4)</f>
        <v>2032</v>
      </c>
      <c r="AI7" s="42" t="n">
        <f aca="false">YEAR(AI$4)</f>
        <v>2032</v>
      </c>
      <c r="AJ7" s="42" t="n">
        <f aca="false">YEAR(AJ$4)</f>
        <v>2033</v>
      </c>
      <c r="AK7" s="42" t="n">
        <f aca="false">YEAR(AK$4)</f>
        <v>2033</v>
      </c>
      <c r="AL7" s="42" t="n">
        <f aca="false">YEAR(AL$4)</f>
        <v>2033</v>
      </c>
      <c r="AM7" s="42" t="n">
        <f aca="false">YEAR(AM$4)</f>
        <v>2033</v>
      </c>
      <c r="AN7" s="42" t="n">
        <f aca="false">YEAR(AN$4)</f>
        <v>2034</v>
      </c>
      <c r="AO7" s="42" t="n">
        <f aca="false">YEAR(AO$4)</f>
        <v>2034</v>
      </c>
      <c r="AP7" s="42" t="n">
        <f aca="false">YEAR(AP$4)</f>
        <v>2034</v>
      </c>
      <c r="AQ7" s="42" t="n">
        <f aca="false">YEAR(AQ$4)</f>
        <v>2034</v>
      </c>
      <c r="AR7" s="42" t="n">
        <f aca="false">YEAR(AR$4)</f>
        <v>2035</v>
      </c>
      <c r="AS7" s="42" t="n">
        <f aca="false">YEAR(AS$4)</f>
        <v>2035</v>
      </c>
      <c r="AT7" s="42" t="n">
        <f aca="false">YEAR(AT$4)</f>
        <v>2035</v>
      </c>
      <c r="AU7" s="42" t="n">
        <f aca="false">YEAR(AU$4)</f>
        <v>2035</v>
      </c>
      <c r="AV7" s="42" t="n">
        <f aca="false">YEAR(AV$4)</f>
        <v>2036</v>
      </c>
      <c r="AW7" s="42" t="n">
        <f aca="false">YEAR(AW$4)</f>
        <v>2036</v>
      </c>
      <c r="AX7" s="42" t="n">
        <f aca="false">YEAR(AX$4)</f>
        <v>2036</v>
      </c>
      <c r="AY7" s="42" t="n">
        <f aca="false">YEAR(AY$4)</f>
        <v>2036</v>
      </c>
      <c r="AZ7" s="42" t="n">
        <f aca="false">YEAR(AZ$4)</f>
        <v>2037</v>
      </c>
      <c r="BA7" s="42" t="n">
        <f aca="false">YEAR(BA$4)</f>
        <v>2037</v>
      </c>
      <c r="BB7" s="42" t="n">
        <f aca="false">YEAR(BB$4)</f>
        <v>2037</v>
      </c>
      <c r="BC7" s="42" t="n">
        <f aca="false">YEAR(BC$4)</f>
        <v>2037</v>
      </c>
      <c r="BD7" s="42" t="n">
        <f aca="false">YEAR(BD$4)</f>
        <v>2038</v>
      </c>
      <c r="BE7" s="42" t="n">
        <f aca="false">YEAR(BE$4)</f>
        <v>2038</v>
      </c>
      <c r="BF7" s="42" t="n">
        <f aca="false">YEAR(BF$4)</f>
        <v>2038</v>
      </c>
      <c r="BG7" s="42" t="n">
        <f aca="false">YEAR(BG$4)</f>
        <v>2038</v>
      </c>
      <c r="BH7" s="42" t="n">
        <f aca="false">YEAR(BH$4)</f>
        <v>2039</v>
      </c>
      <c r="BI7" s="42" t="n">
        <f aca="false">YEAR(BI$4)</f>
        <v>2039</v>
      </c>
      <c r="BJ7" s="42" t="n">
        <f aca="false">YEAR(BJ$4)</f>
        <v>2039</v>
      </c>
      <c r="BK7" s="42" t="n">
        <f aca="false">YEAR(BK$4)</f>
        <v>2039</v>
      </c>
      <c r="BL7" s="42" t="n">
        <f aca="false">YEAR(BL$4)</f>
        <v>2040</v>
      </c>
      <c r="BM7" s="42" t="n">
        <f aca="false">YEAR(BM$4)</f>
        <v>2040</v>
      </c>
      <c r="BN7" s="42" t="n">
        <f aca="false">YEAR(BN$4)</f>
        <v>2040</v>
      </c>
      <c r="BO7" s="42" t="n">
        <f aca="false">YEAR(BO$4)</f>
        <v>2040</v>
      </c>
      <c r="BP7" s="42" t="n">
        <f aca="false">YEAR(BP$4)</f>
        <v>2041</v>
      </c>
      <c r="BQ7" s="42" t="n">
        <f aca="false">YEAR(BQ$4)</f>
        <v>2041</v>
      </c>
      <c r="BR7" s="42" t="n">
        <f aca="false">YEAR(BR$4)</f>
        <v>2041</v>
      </c>
      <c r="BS7" s="42" t="n">
        <f aca="false">YEAR(BS$4)</f>
        <v>2041</v>
      </c>
      <c r="BT7" s="42" t="n">
        <f aca="false">YEAR(BT$4)</f>
        <v>2042</v>
      </c>
      <c r="BU7" s="42" t="n">
        <f aca="false">YEAR(BU$4)</f>
        <v>2042</v>
      </c>
      <c r="BV7" s="42" t="n">
        <f aca="false">YEAR(BV$4)</f>
        <v>2042</v>
      </c>
      <c r="BW7" s="42" t="n">
        <f aca="false">YEAR(BW$4)</f>
        <v>2042</v>
      </c>
      <c r="BX7" s="42" t="n">
        <f aca="false">YEAR(BX$4)</f>
        <v>2043</v>
      </c>
      <c r="BY7" s="42" t="n">
        <f aca="false">YEAR(BY$4)</f>
        <v>2043</v>
      </c>
      <c r="BZ7" s="42" t="n">
        <f aca="false">YEAR(BZ$4)</f>
        <v>2043</v>
      </c>
      <c r="CA7" s="42" t="n">
        <f aca="false">YEAR(CA$4)</f>
        <v>2043</v>
      </c>
      <c r="CB7" s="42" t="n">
        <f aca="false">YEAR(CB$4)</f>
        <v>2044</v>
      </c>
      <c r="CC7" s="42" t="n">
        <f aca="false">YEAR(CC$4)</f>
        <v>2044</v>
      </c>
      <c r="CD7" s="42" t="n">
        <f aca="false">YEAR(CD$4)</f>
        <v>2044</v>
      </c>
      <c r="CE7" s="42" t="n">
        <f aca="false">YEAR(CE$4)</f>
        <v>2044</v>
      </c>
      <c r="CF7" s="42" t="n">
        <f aca="false">YEAR(CF$4)</f>
        <v>2045</v>
      </c>
      <c r="CG7" s="42" t="n">
        <f aca="false">YEAR(CG$4)</f>
        <v>2045</v>
      </c>
      <c r="CH7" s="42" t="n">
        <f aca="false">YEAR(CH$4)</f>
        <v>2045</v>
      </c>
      <c r="CI7" s="42" t="n">
        <f aca="false">YEAR(CI$4)</f>
        <v>2045</v>
      </c>
      <c r="CJ7" s="42" t="n">
        <f aca="false">YEAR(CJ$4)</f>
        <v>2046</v>
      </c>
      <c r="CK7" s="42" t="n">
        <f aca="false">YEAR(CK$4)</f>
        <v>2046</v>
      </c>
      <c r="CL7" s="42" t="n">
        <f aca="false">YEAR(CL$4)</f>
        <v>2046</v>
      </c>
      <c r="CM7" s="42" t="n">
        <f aca="false">YEAR(CM$4)</f>
        <v>2046</v>
      </c>
      <c r="CN7" s="42" t="n">
        <f aca="false">YEAR(CN$4)</f>
        <v>2047</v>
      </c>
      <c r="CO7" s="42" t="n">
        <f aca="false">YEAR(CO$4)</f>
        <v>2047</v>
      </c>
      <c r="CP7" s="42" t="n">
        <f aca="false">YEAR(CP$4)</f>
        <v>2047</v>
      </c>
      <c r="CQ7" s="42" t="n">
        <f aca="false">YEAR(CQ$4)</f>
        <v>2047</v>
      </c>
      <c r="CR7" s="42" t="n">
        <f aca="false">YEAR(CR$4)</f>
        <v>2048</v>
      </c>
      <c r="CS7" s="42" t="n">
        <f aca="false">YEAR(CS$4)</f>
        <v>2048</v>
      </c>
      <c r="CT7" s="42" t="n">
        <f aca="false">YEAR(CT$4)</f>
        <v>2048</v>
      </c>
      <c r="CU7" s="42" t="n">
        <f aca="false">YEAR(CU$4)</f>
        <v>2048</v>
      </c>
      <c r="CV7" s="42" t="n">
        <f aca="false">YEAR(CV$4)</f>
        <v>2049</v>
      </c>
      <c r="CW7" s="42" t="n">
        <f aca="false">YEAR(CW$4)</f>
        <v>2049</v>
      </c>
      <c r="CX7" s="42" t="n">
        <f aca="false">YEAR(CX$4)</f>
        <v>2049</v>
      </c>
      <c r="CY7" s="42" t="n">
        <f aca="false">YEAR(CY$4)</f>
        <v>2049</v>
      </c>
      <c r="CZ7" s="42" t="n">
        <f aca="false">YEAR(CZ$4)</f>
        <v>2050</v>
      </c>
      <c r="DA7" s="42" t="n">
        <f aca="false">YEAR(DA$4)</f>
        <v>2050</v>
      </c>
      <c r="DB7" s="42" t="n">
        <f aca="false">YEAR(DB$4)</f>
        <v>2050</v>
      </c>
      <c r="DC7" s="42" t="n">
        <f aca="false">YEAR(DC$4)</f>
        <v>2050</v>
      </c>
      <c r="DD7" s="42" t="n">
        <f aca="false">YEAR(DD$4)</f>
        <v>2051</v>
      </c>
      <c r="DE7" s="42" t="n">
        <f aca="false">YEAR(DE$4)</f>
        <v>2051</v>
      </c>
      <c r="DF7" s="42" t="n">
        <f aca="false">YEAR(DF$4)</f>
        <v>2051</v>
      </c>
      <c r="DG7" s="42" t="n">
        <f aca="false">YEAR(DG$4)</f>
        <v>2051</v>
      </c>
      <c r="DH7" s="42" t="n">
        <f aca="false">YEAR(DH$4)</f>
        <v>2052</v>
      </c>
      <c r="DI7" s="42" t="n">
        <f aca="false">YEAR(DI$4)</f>
        <v>2052</v>
      </c>
      <c r="DJ7" s="42" t="n">
        <f aca="false">YEAR(DJ$4)</f>
        <v>2052</v>
      </c>
      <c r="DK7" s="42" t="n">
        <f aca="false">YEAR(DK$4)</f>
        <v>2052</v>
      </c>
      <c r="DL7" s="42" t="n">
        <f aca="false">YEAR(DL$4)</f>
        <v>2053</v>
      </c>
      <c r="DM7" s="42" t="n">
        <f aca="false">YEAR(DM$4)</f>
        <v>2053</v>
      </c>
      <c r="DN7" s="42" t="n">
        <f aca="false">YEAR(DN$4)</f>
        <v>2053</v>
      </c>
      <c r="DO7" s="42" t="n">
        <f aca="false">YEAR(DO$4)</f>
        <v>2053</v>
      </c>
      <c r="DP7" s="42" t="n">
        <f aca="false">YEAR(DP$4)</f>
        <v>2054</v>
      </c>
      <c r="DQ7" s="42" t="n">
        <f aca="false">YEAR(DQ$4)</f>
        <v>2054</v>
      </c>
      <c r="DR7" s="42" t="n">
        <f aca="false">YEAR(DR$4)</f>
        <v>2054</v>
      </c>
      <c r="DS7" s="42" t="n">
        <f aca="false">YEAR(DS$4)</f>
        <v>2054</v>
      </c>
      <c r="DT7" s="42" t="n">
        <f aca="false">YEAR(DT$4)</f>
        <v>2055</v>
      </c>
      <c r="DU7" s="42" t="n">
        <f aca="false">YEAR(DU$4)</f>
        <v>2055</v>
      </c>
      <c r="DV7" s="42" t="n">
        <f aca="false">YEAR(DV$4)</f>
        <v>2055</v>
      </c>
      <c r="DW7" s="42" t="n">
        <f aca="false">YEAR(DW$4)</f>
        <v>2055</v>
      </c>
      <c r="DX7" s="42" t="n">
        <f aca="false">YEAR(DX$4)</f>
        <v>2056</v>
      </c>
      <c r="DY7" s="42" t="n">
        <f aca="false">YEAR(DY$4)</f>
        <v>2056</v>
      </c>
      <c r="DZ7" s="42" t="n">
        <f aca="false">YEAR(DZ$4)</f>
        <v>2056</v>
      </c>
      <c r="EA7" s="42" t="n">
        <f aca="false">YEAR(EA$4)</f>
        <v>2056</v>
      </c>
      <c r="EB7" s="42" t="n">
        <f aca="false">YEAR(EB$4)</f>
        <v>2057</v>
      </c>
      <c r="EC7" s="42" t="n">
        <f aca="false">YEAR(EC$4)</f>
        <v>2057</v>
      </c>
      <c r="ED7" s="42" t="n">
        <f aca="false">YEAR(ED$4)</f>
        <v>2057</v>
      </c>
      <c r="EE7" s="42" t="n">
        <f aca="false">YEAR(EE$4)</f>
        <v>2057</v>
      </c>
      <c r="EF7" s="42" t="n">
        <f aca="false">YEAR(EF$4)</f>
        <v>2058</v>
      </c>
      <c r="EG7" s="42" t="n">
        <f aca="false">YEAR(EG$4)</f>
        <v>2058</v>
      </c>
      <c r="EH7" s="42" t="n">
        <f aca="false">YEAR(EH$4)</f>
        <v>2058</v>
      </c>
      <c r="EI7" s="42" t="n">
        <f aca="false">YEAR(EI$4)</f>
        <v>2058</v>
      </c>
      <c r="EJ7" s="42" t="n">
        <f aca="false">YEAR(EJ$4)</f>
        <v>2059</v>
      </c>
      <c r="EK7" s="42" t="n">
        <f aca="false">YEAR(EK$4)</f>
        <v>2059</v>
      </c>
      <c r="EL7" s="42" t="n">
        <f aca="false">YEAR(EL$4)</f>
        <v>2059</v>
      </c>
      <c r="EM7" s="42" t="n">
        <f aca="false">YEAR(EM$4)</f>
        <v>2059</v>
      </c>
      <c r="EN7" s="42" t="n">
        <f aca="false">YEAR(EN$4)</f>
        <v>2060</v>
      </c>
      <c r="EO7" s="42" t="n">
        <f aca="false">YEAR(EO$4)</f>
        <v>2060</v>
      </c>
      <c r="EP7" s="42" t="n">
        <f aca="false">YEAR(EP$4)</f>
        <v>2060</v>
      </c>
      <c r="EQ7" s="42" t="n">
        <f aca="false">YEAR(EQ$4)</f>
        <v>2060</v>
      </c>
      <c r="ER7" s="42" t="n">
        <f aca="false">YEAR(ER$4)</f>
        <v>2061</v>
      </c>
      <c r="ES7" s="42" t="n">
        <f aca="false">YEAR(ES$4)</f>
        <v>2061</v>
      </c>
      <c r="ET7" s="42" t="n">
        <f aca="false">YEAR(ET$4)</f>
        <v>2061</v>
      </c>
    </row>
    <row r="8" customFormat="false" ht="15" hidden="false" customHeight="false" outlineLevel="0" collapsed="false">
      <c r="C8" s="0" t="s">
        <v>485</v>
      </c>
      <c r="D8" s="11" t="s">
        <v>211</v>
      </c>
      <c r="J8" s="42" t="n">
        <f aca="false">I$8+1</f>
        <v>1</v>
      </c>
      <c r="K8" s="42" t="n">
        <f aca="false">J$8+1</f>
        <v>2</v>
      </c>
      <c r="L8" s="42" t="n">
        <f aca="false">K$8+1</f>
        <v>3</v>
      </c>
      <c r="M8" s="42" t="n">
        <f aca="false">L$8+1</f>
        <v>4</v>
      </c>
      <c r="N8" s="42" t="n">
        <f aca="false">M$8+1</f>
        <v>5</v>
      </c>
      <c r="O8" s="42" t="n">
        <f aca="false">N$8+1</f>
        <v>6</v>
      </c>
      <c r="P8" s="42" t="n">
        <f aca="false">O$8+1</f>
        <v>7</v>
      </c>
      <c r="Q8" s="42" t="n">
        <f aca="false">P$8+1</f>
        <v>8</v>
      </c>
      <c r="R8" s="42" t="n">
        <f aca="false">Q$8+1</f>
        <v>9</v>
      </c>
      <c r="S8" s="42" t="n">
        <f aca="false">R$8+1</f>
        <v>10</v>
      </c>
      <c r="T8" s="42" t="n">
        <f aca="false">S$8+1</f>
        <v>11</v>
      </c>
      <c r="U8" s="42" t="n">
        <f aca="false">T$8+1</f>
        <v>12</v>
      </c>
      <c r="V8" s="42" t="n">
        <f aca="false">U$8+1</f>
        <v>13</v>
      </c>
      <c r="W8" s="42" t="n">
        <f aca="false">V$8+1</f>
        <v>14</v>
      </c>
      <c r="X8" s="42" t="n">
        <f aca="false">W$8+1</f>
        <v>15</v>
      </c>
      <c r="Y8" s="42" t="n">
        <f aca="false">X$8+1</f>
        <v>16</v>
      </c>
      <c r="Z8" s="42" t="n">
        <f aca="false">Y$8+1</f>
        <v>17</v>
      </c>
      <c r="AA8" s="42" t="n">
        <f aca="false">Z$8+1</f>
        <v>18</v>
      </c>
      <c r="AB8" s="42" t="n">
        <f aca="false">AA$8+1</f>
        <v>19</v>
      </c>
      <c r="AC8" s="42" t="n">
        <f aca="false">AB$8+1</f>
        <v>20</v>
      </c>
      <c r="AD8" s="42" t="n">
        <f aca="false">AC$8+1</f>
        <v>21</v>
      </c>
      <c r="AE8" s="42" t="n">
        <f aca="false">AD$8+1</f>
        <v>22</v>
      </c>
      <c r="AF8" s="42" t="n">
        <f aca="false">AE$8+1</f>
        <v>23</v>
      </c>
      <c r="AG8" s="42" t="n">
        <f aca="false">AF$8+1</f>
        <v>24</v>
      </c>
      <c r="AH8" s="42" t="n">
        <f aca="false">AG$8+1</f>
        <v>25</v>
      </c>
      <c r="AI8" s="42" t="n">
        <f aca="false">AH$8+1</f>
        <v>26</v>
      </c>
      <c r="AJ8" s="42" t="n">
        <f aca="false">AI$8+1</f>
        <v>27</v>
      </c>
      <c r="AK8" s="42" t="n">
        <f aca="false">AJ$8+1</f>
        <v>28</v>
      </c>
      <c r="AL8" s="42" t="n">
        <f aca="false">AK$8+1</f>
        <v>29</v>
      </c>
      <c r="AM8" s="42" t="n">
        <f aca="false">AL$8+1</f>
        <v>30</v>
      </c>
      <c r="AN8" s="42" t="n">
        <f aca="false">AM$8+1</f>
        <v>31</v>
      </c>
      <c r="AO8" s="42" t="n">
        <f aca="false">AN$8+1</f>
        <v>32</v>
      </c>
      <c r="AP8" s="42" t="n">
        <f aca="false">AO$8+1</f>
        <v>33</v>
      </c>
      <c r="AQ8" s="42" t="n">
        <f aca="false">AP$8+1</f>
        <v>34</v>
      </c>
      <c r="AR8" s="42" t="n">
        <f aca="false">AQ$8+1</f>
        <v>35</v>
      </c>
      <c r="AS8" s="42" t="n">
        <f aca="false">AR$8+1</f>
        <v>36</v>
      </c>
      <c r="AT8" s="42" t="n">
        <f aca="false">AS$8+1</f>
        <v>37</v>
      </c>
      <c r="AU8" s="42" t="n">
        <f aca="false">AT$8+1</f>
        <v>38</v>
      </c>
      <c r="AV8" s="42" t="n">
        <f aca="false">AU$8+1</f>
        <v>39</v>
      </c>
      <c r="AW8" s="42" t="n">
        <f aca="false">AV$8+1</f>
        <v>40</v>
      </c>
      <c r="AX8" s="42" t="n">
        <f aca="false">AW$8+1</f>
        <v>41</v>
      </c>
      <c r="AY8" s="42" t="n">
        <f aca="false">AX$8+1</f>
        <v>42</v>
      </c>
      <c r="AZ8" s="42" t="n">
        <f aca="false">AY$8+1</f>
        <v>43</v>
      </c>
      <c r="BA8" s="42" t="n">
        <f aca="false">AZ$8+1</f>
        <v>44</v>
      </c>
      <c r="BB8" s="42" t="n">
        <f aca="false">BA$8+1</f>
        <v>45</v>
      </c>
      <c r="BC8" s="42" t="n">
        <f aca="false">BB$8+1</f>
        <v>46</v>
      </c>
      <c r="BD8" s="42" t="n">
        <f aca="false">BC$8+1</f>
        <v>47</v>
      </c>
      <c r="BE8" s="42" t="n">
        <f aca="false">BD$8+1</f>
        <v>48</v>
      </c>
      <c r="BF8" s="42" t="n">
        <f aca="false">BE$8+1</f>
        <v>49</v>
      </c>
      <c r="BG8" s="42" t="n">
        <f aca="false">BF$8+1</f>
        <v>50</v>
      </c>
      <c r="BH8" s="42" t="n">
        <f aca="false">BG$8+1</f>
        <v>51</v>
      </c>
      <c r="BI8" s="42" t="n">
        <f aca="false">BH$8+1</f>
        <v>52</v>
      </c>
      <c r="BJ8" s="42" t="n">
        <f aca="false">BI$8+1</f>
        <v>53</v>
      </c>
      <c r="BK8" s="42" t="n">
        <f aca="false">BJ$8+1</f>
        <v>54</v>
      </c>
      <c r="BL8" s="42" t="n">
        <f aca="false">BK$8+1</f>
        <v>55</v>
      </c>
      <c r="BM8" s="42" t="n">
        <f aca="false">BL$8+1</f>
        <v>56</v>
      </c>
      <c r="BN8" s="42" t="n">
        <f aca="false">BM$8+1</f>
        <v>57</v>
      </c>
      <c r="BO8" s="42" t="n">
        <f aca="false">BN$8+1</f>
        <v>58</v>
      </c>
      <c r="BP8" s="42" t="n">
        <f aca="false">BO$8+1</f>
        <v>59</v>
      </c>
      <c r="BQ8" s="42" t="n">
        <f aca="false">BP$8+1</f>
        <v>60</v>
      </c>
      <c r="BR8" s="42" t="n">
        <f aca="false">BQ$8+1</f>
        <v>61</v>
      </c>
      <c r="BS8" s="42" t="n">
        <f aca="false">BR$8+1</f>
        <v>62</v>
      </c>
      <c r="BT8" s="42" t="n">
        <f aca="false">BS$8+1</f>
        <v>63</v>
      </c>
      <c r="BU8" s="42" t="n">
        <f aca="false">BT$8+1</f>
        <v>64</v>
      </c>
      <c r="BV8" s="42" t="n">
        <f aca="false">BU$8+1</f>
        <v>65</v>
      </c>
      <c r="BW8" s="42" t="n">
        <f aca="false">BV$8+1</f>
        <v>66</v>
      </c>
      <c r="BX8" s="42" t="n">
        <f aca="false">BW$8+1</f>
        <v>67</v>
      </c>
      <c r="BY8" s="42" t="n">
        <f aca="false">BX$8+1</f>
        <v>68</v>
      </c>
      <c r="BZ8" s="42" t="n">
        <f aca="false">BY$8+1</f>
        <v>69</v>
      </c>
      <c r="CA8" s="42" t="n">
        <f aca="false">BZ$8+1</f>
        <v>70</v>
      </c>
      <c r="CB8" s="42" t="n">
        <f aca="false">CA$8+1</f>
        <v>71</v>
      </c>
      <c r="CC8" s="42" t="n">
        <f aca="false">CB$8+1</f>
        <v>72</v>
      </c>
      <c r="CD8" s="42" t="n">
        <f aca="false">CC$8+1</f>
        <v>73</v>
      </c>
      <c r="CE8" s="42" t="n">
        <f aca="false">CD$8+1</f>
        <v>74</v>
      </c>
      <c r="CF8" s="42" t="n">
        <f aca="false">CE$8+1</f>
        <v>75</v>
      </c>
      <c r="CG8" s="42" t="n">
        <f aca="false">CF$8+1</f>
        <v>76</v>
      </c>
      <c r="CH8" s="42" t="n">
        <f aca="false">CG$8+1</f>
        <v>77</v>
      </c>
      <c r="CI8" s="42" t="n">
        <f aca="false">CH$8+1</f>
        <v>78</v>
      </c>
      <c r="CJ8" s="42" t="n">
        <f aca="false">CI$8+1</f>
        <v>79</v>
      </c>
      <c r="CK8" s="42" t="n">
        <f aca="false">CJ$8+1</f>
        <v>80</v>
      </c>
      <c r="CL8" s="42" t="n">
        <f aca="false">CK$8+1</f>
        <v>81</v>
      </c>
      <c r="CM8" s="42" t="n">
        <f aca="false">CL$8+1</f>
        <v>82</v>
      </c>
      <c r="CN8" s="42" t="n">
        <f aca="false">CM$8+1</f>
        <v>83</v>
      </c>
      <c r="CO8" s="42" t="n">
        <f aca="false">CN$8+1</f>
        <v>84</v>
      </c>
      <c r="CP8" s="42" t="n">
        <f aca="false">CO$8+1</f>
        <v>85</v>
      </c>
      <c r="CQ8" s="42" t="n">
        <f aca="false">CP$8+1</f>
        <v>86</v>
      </c>
      <c r="CR8" s="42" t="n">
        <f aca="false">CQ$8+1</f>
        <v>87</v>
      </c>
      <c r="CS8" s="42" t="n">
        <f aca="false">CR$8+1</f>
        <v>88</v>
      </c>
      <c r="CT8" s="42" t="n">
        <f aca="false">CS$8+1</f>
        <v>89</v>
      </c>
      <c r="CU8" s="42" t="n">
        <f aca="false">CT$8+1</f>
        <v>90</v>
      </c>
      <c r="CV8" s="42" t="n">
        <f aca="false">CU$8+1</f>
        <v>91</v>
      </c>
      <c r="CW8" s="42" t="n">
        <f aca="false">CV$8+1</f>
        <v>92</v>
      </c>
      <c r="CX8" s="42" t="n">
        <f aca="false">CW$8+1</f>
        <v>93</v>
      </c>
      <c r="CY8" s="42" t="n">
        <f aca="false">CX$8+1</f>
        <v>94</v>
      </c>
      <c r="CZ8" s="42" t="n">
        <f aca="false">CY$8+1</f>
        <v>95</v>
      </c>
      <c r="DA8" s="42" t="n">
        <f aca="false">CZ$8+1</f>
        <v>96</v>
      </c>
      <c r="DB8" s="42" t="n">
        <f aca="false">DA$8+1</f>
        <v>97</v>
      </c>
      <c r="DC8" s="42" t="n">
        <f aca="false">DB$8+1</f>
        <v>98</v>
      </c>
      <c r="DD8" s="42" t="n">
        <f aca="false">DC$8+1</f>
        <v>99</v>
      </c>
      <c r="DE8" s="42" t="n">
        <f aca="false">DD$8+1</f>
        <v>100</v>
      </c>
      <c r="DF8" s="42" t="n">
        <f aca="false">DE$8+1</f>
        <v>101</v>
      </c>
      <c r="DG8" s="42" t="n">
        <f aca="false">DF$8+1</f>
        <v>102</v>
      </c>
      <c r="DH8" s="42" t="n">
        <f aca="false">DG$8+1</f>
        <v>103</v>
      </c>
      <c r="DI8" s="42" t="n">
        <f aca="false">DH$8+1</f>
        <v>104</v>
      </c>
      <c r="DJ8" s="42" t="n">
        <f aca="false">DI$8+1</f>
        <v>105</v>
      </c>
      <c r="DK8" s="42" t="n">
        <f aca="false">DJ$8+1</f>
        <v>106</v>
      </c>
      <c r="DL8" s="42" t="n">
        <f aca="false">DK$8+1</f>
        <v>107</v>
      </c>
      <c r="DM8" s="42" t="n">
        <f aca="false">DL$8+1</f>
        <v>108</v>
      </c>
      <c r="DN8" s="42" t="n">
        <f aca="false">DM$8+1</f>
        <v>109</v>
      </c>
      <c r="DO8" s="42" t="n">
        <f aca="false">DN$8+1</f>
        <v>110</v>
      </c>
      <c r="DP8" s="42" t="n">
        <f aca="false">DO$8+1</f>
        <v>111</v>
      </c>
      <c r="DQ8" s="42" t="n">
        <f aca="false">DP$8+1</f>
        <v>112</v>
      </c>
      <c r="DR8" s="42" t="n">
        <f aca="false">DQ$8+1</f>
        <v>113</v>
      </c>
      <c r="DS8" s="42" t="n">
        <f aca="false">DR$8+1</f>
        <v>114</v>
      </c>
      <c r="DT8" s="42" t="n">
        <f aca="false">DS$8+1</f>
        <v>115</v>
      </c>
      <c r="DU8" s="42" t="n">
        <f aca="false">DT$8+1</f>
        <v>116</v>
      </c>
      <c r="DV8" s="42" t="n">
        <f aca="false">DU$8+1</f>
        <v>117</v>
      </c>
      <c r="DW8" s="42" t="n">
        <f aca="false">DV$8+1</f>
        <v>118</v>
      </c>
      <c r="DX8" s="42" t="n">
        <f aca="false">DW$8+1</f>
        <v>119</v>
      </c>
      <c r="DY8" s="42" t="n">
        <f aca="false">DX$8+1</f>
        <v>120</v>
      </c>
      <c r="DZ8" s="42" t="n">
        <f aca="false">DY$8+1</f>
        <v>121</v>
      </c>
      <c r="EA8" s="42" t="n">
        <f aca="false">DZ$8+1</f>
        <v>122</v>
      </c>
      <c r="EB8" s="42" t="n">
        <f aca="false">EA$8+1</f>
        <v>123</v>
      </c>
      <c r="EC8" s="42" t="n">
        <f aca="false">EB$8+1</f>
        <v>124</v>
      </c>
      <c r="ED8" s="42" t="n">
        <f aca="false">EC$8+1</f>
        <v>125</v>
      </c>
      <c r="EE8" s="42" t="n">
        <f aca="false">ED$8+1</f>
        <v>126</v>
      </c>
      <c r="EF8" s="42" t="n">
        <f aca="false">EE$8+1</f>
        <v>127</v>
      </c>
      <c r="EG8" s="42" t="n">
        <f aca="false">EF$8+1</f>
        <v>128</v>
      </c>
      <c r="EH8" s="42" t="n">
        <f aca="false">EG$8+1</f>
        <v>129</v>
      </c>
      <c r="EI8" s="42" t="n">
        <f aca="false">EH$8+1</f>
        <v>130</v>
      </c>
      <c r="EJ8" s="42" t="n">
        <f aca="false">EI$8+1</f>
        <v>131</v>
      </c>
      <c r="EK8" s="42" t="n">
        <f aca="false">EJ$8+1</f>
        <v>132</v>
      </c>
      <c r="EL8" s="42" t="n">
        <f aca="false">EK$8+1</f>
        <v>133</v>
      </c>
      <c r="EM8" s="42" t="n">
        <f aca="false">EL$8+1</f>
        <v>134</v>
      </c>
      <c r="EN8" s="42" t="n">
        <f aca="false">EM$8+1</f>
        <v>135</v>
      </c>
      <c r="EO8" s="42" t="n">
        <f aca="false">EN$8+1</f>
        <v>136</v>
      </c>
      <c r="EP8" s="42" t="n">
        <f aca="false">EO$8+1</f>
        <v>137</v>
      </c>
      <c r="EQ8" s="42" t="n">
        <f aca="false">EP$8+1</f>
        <v>138</v>
      </c>
      <c r="ER8" s="42" t="n">
        <f aca="false">EQ$8+1</f>
        <v>139</v>
      </c>
      <c r="ES8" s="42" t="n">
        <f aca="false">ER$8+1</f>
        <v>140</v>
      </c>
      <c r="ET8" s="42" t="n">
        <f aca="false">ES$8+1</f>
        <v>141</v>
      </c>
    </row>
    <row r="11" customFormat="false" ht="15" hidden="false" customHeight="false" outlineLevel="0" collapsed="false">
      <c r="A11" s="9" t="s">
        <v>13</v>
      </c>
      <c r="B11" s="9"/>
      <c r="C11" s="9" t="s">
        <v>486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487</v>
      </c>
      <c r="D12" s="11" t="s">
        <v>41</v>
      </c>
      <c r="E12" s="44" t="n">
        <f aca="false">INDEX(Dash_Exit_Date,1,$A$1)</f>
        <v>47483</v>
      </c>
      <c r="I12" s="46" t="n">
        <f aca="false">SUM(J12:ET12)</f>
        <v>1</v>
      </c>
      <c r="J12" s="46" t="n">
        <f aca="false">N(AND(J$3&lt;=$E12,J$4&gt;=$E12))</f>
        <v>0</v>
      </c>
      <c r="K12" s="46" t="n">
        <f aca="false">N(AND(K$3&lt;=$E12,K$4&gt;=$E12))</f>
        <v>0</v>
      </c>
      <c r="L12" s="46" t="n">
        <f aca="false">N(AND(L$3&lt;=$E12,L$4&gt;=$E12))</f>
        <v>0</v>
      </c>
      <c r="M12" s="46" t="n">
        <f aca="false">N(AND(M$3&lt;=$E12,M$4&gt;=$E12))</f>
        <v>0</v>
      </c>
      <c r="N12" s="46" t="n">
        <f aca="false">N(AND(N$3&lt;=$E12,N$4&gt;=$E12))</f>
        <v>0</v>
      </c>
      <c r="O12" s="46" t="n">
        <f aca="false">N(AND(O$3&lt;=$E12,O$4&gt;=$E12))</f>
        <v>0</v>
      </c>
      <c r="P12" s="46" t="n">
        <f aca="false">N(AND(P$3&lt;=$E12,P$4&gt;=$E12))</f>
        <v>0</v>
      </c>
      <c r="Q12" s="46" t="n">
        <f aca="false">N(AND(Q$3&lt;=$E12,Q$4&gt;=$E12))</f>
        <v>0</v>
      </c>
      <c r="R12" s="46" t="n">
        <f aca="false">N(AND(R$3&lt;=$E12,R$4&gt;=$E12))</f>
        <v>0</v>
      </c>
      <c r="S12" s="46" t="n">
        <f aca="false">N(AND(S$3&lt;=$E12,S$4&gt;=$E12))</f>
        <v>0</v>
      </c>
      <c r="T12" s="46" t="n">
        <f aca="false">N(AND(T$3&lt;=$E12,T$4&gt;=$E12))</f>
        <v>0</v>
      </c>
      <c r="U12" s="46" t="n">
        <f aca="false">N(AND(U$3&lt;=$E12,U$4&gt;=$E12))</f>
        <v>0</v>
      </c>
      <c r="V12" s="46" t="n">
        <f aca="false">N(AND(V$3&lt;=$E12,V$4&gt;=$E12))</f>
        <v>0</v>
      </c>
      <c r="W12" s="46" t="n">
        <f aca="false">N(AND(W$3&lt;=$E12,W$4&gt;=$E12))</f>
        <v>1</v>
      </c>
      <c r="X12" s="46" t="n">
        <f aca="false">N(AND(X$3&lt;=$E12,X$4&gt;=$E12))</f>
        <v>0</v>
      </c>
      <c r="Y12" s="46" t="n">
        <f aca="false">N(AND(Y$3&lt;=$E12,Y$4&gt;=$E12))</f>
        <v>0</v>
      </c>
      <c r="Z12" s="46" t="n">
        <f aca="false">N(AND(Z$3&lt;=$E12,Z$4&gt;=$E12))</f>
        <v>0</v>
      </c>
      <c r="AA12" s="46" t="n">
        <f aca="false">N(AND(AA$3&lt;=$E12,AA$4&gt;=$E12))</f>
        <v>0</v>
      </c>
      <c r="AB12" s="46" t="n">
        <f aca="false">N(AND(AB$3&lt;=$E12,AB$4&gt;=$E12))</f>
        <v>0</v>
      </c>
      <c r="AC12" s="46" t="n">
        <f aca="false">N(AND(AC$3&lt;=$E12,AC$4&gt;=$E12))</f>
        <v>0</v>
      </c>
      <c r="AD12" s="46" t="n">
        <f aca="false">N(AND(AD$3&lt;=$E12,AD$4&gt;=$E12))</f>
        <v>0</v>
      </c>
      <c r="AE12" s="46" t="n">
        <f aca="false">N(AND(AE$3&lt;=$E12,AE$4&gt;=$E12))</f>
        <v>0</v>
      </c>
      <c r="AF12" s="46" t="n">
        <f aca="false">N(AND(AF$3&lt;=$E12,AF$4&gt;=$E12))</f>
        <v>0</v>
      </c>
      <c r="AG12" s="46" t="n">
        <f aca="false">N(AND(AG$3&lt;=$E12,AG$4&gt;=$E12))</f>
        <v>0</v>
      </c>
      <c r="AH12" s="46" t="n">
        <f aca="false">N(AND(AH$3&lt;=$E12,AH$4&gt;=$E12))</f>
        <v>0</v>
      </c>
      <c r="AI12" s="46" t="n">
        <f aca="false">N(AND(AI$3&lt;=$E12,AI$4&gt;=$E12))</f>
        <v>0</v>
      </c>
      <c r="AJ12" s="46" t="n">
        <f aca="false">N(AND(AJ$3&lt;=$E12,AJ$4&gt;=$E12))</f>
        <v>0</v>
      </c>
      <c r="AK12" s="46" t="n">
        <f aca="false">N(AND(AK$3&lt;=$E12,AK$4&gt;=$E12))</f>
        <v>0</v>
      </c>
      <c r="AL12" s="46" t="n">
        <f aca="false">N(AND(AL$3&lt;=$E12,AL$4&gt;=$E12))</f>
        <v>0</v>
      </c>
      <c r="AM12" s="46" t="n">
        <f aca="false">N(AND(AM$3&lt;=$E12,AM$4&gt;=$E12))</f>
        <v>0</v>
      </c>
      <c r="AN12" s="46" t="n">
        <f aca="false">N(AND(AN$3&lt;=$E12,AN$4&gt;=$E12))</f>
        <v>0</v>
      </c>
      <c r="AO12" s="46" t="n">
        <f aca="false">N(AND(AO$3&lt;=$E12,AO$4&gt;=$E12))</f>
        <v>0</v>
      </c>
      <c r="AP12" s="46" t="n">
        <f aca="false">N(AND(AP$3&lt;=$E12,AP$4&gt;=$E12))</f>
        <v>0</v>
      </c>
      <c r="AQ12" s="46" t="n">
        <f aca="false">N(AND(AQ$3&lt;=$E12,AQ$4&gt;=$E12))</f>
        <v>0</v>
      </c>
      <c r="AR12" s="46" t="n">
        <f aca="false">N(AND(AR$3&lt;=$E12,AR$4&gt;=$E12))</f>
        <v>0</v>
      </c>
      <c r="AS12" s="46" t="n">
        <f aca="false">N(AND(AS$3&lt;=$E12,AS$4&gt;=$E12))</f>
        <v>0</v>
      </c>
      <c r="AT12" s="46" t="n">
        <f aca="false">N(AND(AT$3&lt;=$E12,AT$4&gt;=$E12))</f>
        <v>0</v>
      </c>
      <c r="AU12" s="46" t="n">
        <f aca="false">N(AND(AU$3&lt;=$E12,AU$4&gt;=$E12))</f>
        <v>0</v>
      </c>
      <c r="AV12" s="46" t="n">
        <f aca="false">N(AND(AV$3&lt;=$E12,AV$4&gt;=$E12))</f>
        <v>0</v>
      </c>
      <c r="AW12" s="46" t="n">
        <f aca="false">N(AND(AW$3&lt;=$E12,AW$4&gt;=$E12))</f>
        <v>0</v>
      </c>
      <c r="AX12" s="46" t="n">
        <f aca="false">N(AND(AX$3&lt;=$E12,AX$4&gt;=$E12))</f>
        <v>0</v>
      </c>
      <c r="AY12" s="46" t="n">
        <f aca="false">N(AND(AY$3&lt;=$E12,AY$4&gt;=$E12))</f>
        <v>0</v>
      </c>
      <c r="AZ12" s="46" t="n">
        <f aca="false">N(AND(AZ$3&lt;=$E12,AZ$4&gt;=$E12))</f>
        <v>0</v>
      </c>
      <c r="BA12" s="46" t="n">
        <f aca="false">N(AND(BA$3&lt;=$E12,BA$4&gt;=$E12))</f>
        <v>0</v>
      </c>
      <c r="BB12" s="46" t="n">
        <f aca="false">N(AND(BB$3&lt;=$E12,BB$4&gt;=$E12))</f>
        <v>0</v>
      </c>
      <c r="BC12" s="46" t="n">
        <f aca="false">N(AND(BC$3&lt;=$E12,BC$4&gt;=$E12))</f>
        <v>0</v>
      </c>
      <c r="BD12" s="46" t="n">
        <f aca="false">N(AND(BD$3&lt;=$E12,BD$4&gt;=$E12))</f>
        <v>0</v>
      </c>
      <c r="BE12" s="46" t="n">
        <f aca="false">N(AND(BE$3&lt;=$E12,BE$4&gt;=$E12))</f>
        <v>0</v>
      </c>
      <c r="BF12" s="46" t="n">
        <f aca="false">N(AND(BF$3&lt;=$E12,BF$4&gt;=$E12))</f>
        <v>0</v>
      </c>
      <c r="BG12" s="46" t="n">
        <f aca="false">N(AND(BG$3&lt;=$E12,BG$4&gt;=$E12))</f>
        <v>0</v>
      </c>
      <c r="BH12" s="46" t="n">
        <f aca="false">N(AND(BH$3&lt;=$E12,BH$4&gt;=$E12))</f>
        <v>0</v>
      </c>
      <c r="BI12" s="46" t="n">
        <f aca="false">N(AND(BI$3&lt;=$E12,BI$4&gt;=$E12))</f>
        <v>0</v>
      </c>
      <c r="BJ12" s="46" t="n">
        <f aca="false">N(AND(BJ$3&lt;=$E12,BJ$4&gt;=$E12))</f>
        <v>0</v>
      </c>
      <c r="BK12" s="46" t="n">
        <f aca="false">N(AND(BK$3&lt;=$E12,BK$4&gt;=$E12))</f>
        <v>0</v>
      </c>
      <c r="BL12" s="46" t="n">
        <f aca="false">N(AND(BL$3&lt;=$E12,BL$4&gt;=$E12))</f>
        <v>0</v>
      </c>
      <c r="BM12" s="46" t="n">
        <f aca="false">N(AND(BM$3&lt;=$E12,BM$4&gt;=$E12))</f>
        <v>0</v>
      </c>
      <c r="BN12" s="46" t="n">
        <f aca="false">N(AND(BN$3&lt;=$E12,BN$4&gt;=$E12))</f>
        <v>0</v>
      </c>
      <c r="BO12" s="46" t="n">
        <f aca="false">N(AND(BO$3&lt;=$E12,BO$4&gt;=$E12))</f>
        <v>0</v>
      </c>
      <c r="BP12" s="46" t="n">
        <f aca="false">N(AND(BP$3&lt;=$E12,BP$4&gt;=$E12))</f>
        <v>0</v>
      </c>
      <c r="BQ12" s="46" t="n">
        <f aca="false">N(AND(BQ$3&lt;=$E12,BQ$4&gt;=$E12))</f>
        <v>0</v>
      </c>
      <c r="BR12" s="46" t="n">
        <f aca="false">N(AND(BR$3&lt;=$E12,BR$4&gt;=$E12))</f>
        <v>0</v>
      </c>
      <c r="BS12" s="46" t="n">
        <f aca="false">N(AND(BS$3&lt;=$E12,BS$4&gt;=$E12))</f>
        <v>0</v>
      </c>
      <c r="BT12" s="46" t="n">
        <f aca="false">N(AND(BT$3&lt;=$E12,BT$4&gt;=$E12))</f>
        <v>0</v>
      </c>
      <c r="BU12" s="46" t="n">
        <f aca="false">N(AND(BU$3&lt;=$E12,BU$4&gt;=$E12))</f>
        <v>0</v>
      </c>
      <c r="BV12" s="46" t="n">
        <f aca="false">N(AND(BV$3&lt;=$E12,BV$4&gt;=$E12))</f>
        <v>0</v>
      </c>
      <c r="BW12" s="46" t="n">
        <f aca="false">N(AND(BW$3&lt;=$E12,BW$4&gt;=$E12))</f>
        <v>0</v>
      </c>
      <c r="BX12" s="46" t="n">
        <f aca="false">N(AND(BX$3&lt;=$E12,BX$4&gt;=$E12))</f>
        <v>0</v>
      </c>
      <c r="BY12" s="46" t="n">
        <f aca="false">N(AND(BY$3&lt;=$E12,BY$4&gt;=$E12))</f>
        <v>0</v>
      </c>
      <c r="BZ12" s="46" t="n">
        <f aca="false">N(AND(BZ$3&lt;=$E12,BZ$4&gt;=$E12))</f>
        <v>0</v>
      </c>
      <c r="CA12" s="46" t="n">
        <f aca="false">N(AND(CA$3&lt;=$E12,CA$4&gt;=$E12))</f>
        <v>0</v>
      </c>
      <c r="CB12" s="46" t="n">
        <f aca="false">N(AND(CB$3&lt;=$E12,CB$4&gt;=$E12))</f>
        <v>0</v>
      </c>
      <c r="CC12" s="46" t="n">
        <f aca="false">N(AND(CC$3&lt;=$E12,CC$4&gt;=$E12))</f>
        <v>0</v>
      </c>
      <c r="CD12" s="46" t="n">
        <f aca="false">N(AND(CD$3&lt;=$E12,CD$4&gt;=$E12))</f>
        <v>0</v>
      </c>
      <c r="CE12" s="46" t="n">
        <f aca="false">N(AND(CE$3&lt;=$E12,CE$4&gt;=$E12))</f>
        <v>0</v>
      </c>
      <c r="CF12" s="46" t="n">
        <f aca="false">N(AND(CF$3&lt;=$E12,CF$4&gt;=$E12))</f>
        <v>0</v>
      </c>
      <c r="CG12" s="46" t="n">
        <f aca="false">N(AND(CG$3&lt;=$E12,CG$4&gt;=$E12))</f>
        <v>0</v>
      </c>
      <c r="CH12" s="46" t="n">
        <f aca="false">N(AND(CH$3&lt;=$E12,CH$4&gt;=$E12))</f>
        <v>0</v>
      </c>
      <c r="CI12" s="46" t="n">
        <f aca="false">N(AND(CI$3&lt;=$E12,CI$4&gt;=$E12))</f>
        <v>0</v>
      </c>
      <c r="CJ12" s="46" t="n">
        <f aca="false">N(AND(CJ$3&lt;=$E12,CJ$4&gt;=$E12))</f>
        <v>0</v>
      </c>
      <c r="CK12" s="46" t="n">
        <f aca="false">N(AND(CK$3&lt;=$E12,CK$4&gt;=$E12))</f>
        <v>0</v>
      </c>
      <c r="CL12" s="46" t="n">
        <f aca="false">N(AND(CL$3&lt;=$E12,CL$4&gt;=$E12))</f>
        <v>0</v>
      </c>
      <c r="CM12" s="46" t="n">
        <f aca="false">N(AND(CM$3&lt;=$E12,CM$4&gt;=$E12))</f>
        <v>0</v>
      </c>
      <c r="CN12" s="46" t="n">
        <f aca="false">N(AND(CN$3&lt;=$E12,CN$4&gt;=$E12))</f>
        <v>0</v>
      </c>
      <c r="CO12" s="46" t="n">
        <f aca="false">N(AND(CO$3&lt;=$E12,CO$4&gt;=$E12))</f>
        <v>0</v>
      </c>
      <c r="CP12" s="46" t="n">
        <f aca="false">N(AND(CP$3&lt;=$E12,CP$4&gt;=$E12))</f>
        <v>0</v>
      </c>
      <c r="CQ12" s="46" t="n">
        <f aca="false">N(AND(CQ$3&lt;=$E12,CQ$4&gt;=$E12))</f>
        <v>0</v>
      </c>
      <c r="CR12" s="46" t="n">
        <f aca="false">N(AND(CR$3&lt;=$E12,CR$4&gt;=$E12))</f>
        <v>0</v>
      </c>
      <c r="CS12" s="46" t="n">
        <f aca="false">N(AND(CS$3&lt;=$E12,CS$4&gt;=$E12))</f>
        <v>0</v>
      </c>
      <c r="CT12" s="46" t="n">
        <f aca="false">N(AND(CT$3&lt;=$E12,CT$4&gt;=$E12))</f>
        <v>0</v>
      </c>
      <c r="CU12" s="46" t="n">
        <f aca="false">N(AND(CU$3&lt;=$E12,CU$4&gt;=$E12))</f>
        <v>0</v>
      </c>
      <c r="CV12" s="46" t="n">
        <f aca="false">N(AND(CV$3&lt;=$E12,CV$4&gt;=$E12))</f>
        <v>0</v>
      </c>
      <c r="CW12" s="46" t="n">
        <f aca="false">N(AND(CW$3&lt;=$E12,CW$4&gt;=$E12))</f>
        <v>0</v>
      </c>
      <c r="CX12" s="46" t="n">
        <f aca="false">N(AND(CX$3&lt;=$E12,CX$4&gt;=$E12))</f>
        <v>0</v>
      </c>
      <c r="CY12" s="46" t="n">
        <f aca="false">N(AND(CY$3&lt;=$E12,CY$4&gt;=$E12))</f>
        <v>0</v>
      </c>
      <c r="CZ12" s="46" t="n">
        <f aca="false">N(AND(CZ$3&lt;=$E12,CZ$4&gt;=$E12))</f>
        <v>0</v>
      </c>
      <c r="DA12" s="46" t="n">
        <f aca="false">N(AND(DA$3&lt;=$E12,DA$4&gt;=$E12))</f>
        <v>0</v>
      </c>
      <c r="DB12" s="46" t="n">
        <f aca="false">N(AND(DB$3&lt;=$E12,DB$4&gt;=$E12))</f>
        <v>0</v>
      </c>
      <c r="DC12" s="46" t="n">
        <f aca="false">N(AND(DC$3&lt;=$E12,DC$4&gt;=$E12))</f>
        <v>0</v>
      </c>
      <c r="DD12" s="46" t="n">
        <f aca="false">N(AND(DD$3&lt;=$E12,DD$4&gt;=$E12))</f>
        <v>0</v>
      </c>
      <c r="DE12" s="46" t="n">
        <f aca="false">N(AND(DE$3&lt;=$E12,DE$4&gt;=$E12))</f>
        <v>0</v>
      </c>
      <c r="DF12" s="46" t="n">
        <f aca="false">N(AND(DF$3&lt;=$E12,DF$4&gt;=$E12))</f>
        <v>0</v>
      </c>
      <c r="DG12" s="46" t="n">
        <f aca="false">N(AND(DG$3&lt;=$E12,DG$4&gt;=$E12))</f>
        <v>0</v>
      </c>
      <c r="DH12" s="46" t="n">
        <f aca="false">N(AND(DH$3&lt;=$E12,DH$4&gt;=$E12))</f>
        <v>0</v>
      </c>
      <c r="DI12" s="46" t="n">
        <f aca="false">N(AND(DI$3&lt;=$E12,DI$4&gt;=$E12))</f>
        <v>0</v>
      </c>
      <c r="DJ12" s="46" t="n">
        <f aca="false">N(AND(DJ$3&lt;=$E12,DJ$4&gt;=$E12))</f>
        <v>0</v>
      </c>
      <c r="DK12" s="46" t="n">
        <f aca="false">N(AND(DK$3&lt;=$E12,DK$4&gt;=$E12))</f>
        <v>0</v>
      </c>
      <c r="DL12" s="46" t="n">
        <f aca="false">N(AND(DL$3&lt;=$E12,DL$4&gt;=$E12))</f>
        <v>0</v>
      </c>
      <c r="DM12" s="46" t="n">
        <f aca="false">N(AND(DM$3&lt;=$E12,DM$4&gt;=$E12))</f>
        <v>0</v>
      </c>
      <c r="DN12" s="46" t="n">
        <f aca="false">N(AND(DN$3&lt;=$E12,DN$4&gt;=$E12))</f>
        <v>0</v>
      </c>
      <c r="DO12" s="46" t="n">
        <f aca="false">N(AND(DO$3&lt;=$E12,DO$4&gt;=$E12))</f>
        <v>0</v>
      </c>
      <c r="DP12" s="46" t="n">
        <f aca="false">N(AND(DP$3&lt;=$E12,DP$4&gt;=$E12))</f>
        <v>0</v>
      </c>
      <c r="DQ12" s="46" t="n">
        <f aca="false">N(AND(DQ$3&lt;=$E12,DQ$4&gt;=$E12))</f>
        <v>0</v>
      </c>
      <c r="DR12" s="46" t="n">
        <f aca="false">N(AND(DR$3&lt;=$E12,DR$4&gt;=$E12))</f>
        <v>0</v>
      </c>
      <c r="DS12" s="46" t="n">
        <f aca="false">N(AND(DS$3&lt;=$E12,DS$4&gt;=$E12))</f>
        <v>0</v>
      </c>
      <c r="DT12" s="46" t="n">
        <f aca="false">N(AND(DT$3&lt;=$E12,DT$4&gt;=$E12))</f>
        <v>0</v>
      </c>
      <c r="DU12" s="46" t="n">
        <f aca="false">N(AND(DU$3&lt;=$E12,DU$4&gt;=$E12))</f>
        <v>0</v>
      </c>
      <c r="DV12" s="46" t="n">
        <f aca="false">N(AND(DV$3&lt;=$E12,DV$4&gt;=$E12))</f>
        <v>0</v>
      </c>
      <c r="DW12" s="46" t="n">
        <f aca="false">N(AND(DW$3&lt;=$E12,DW$4&gt;=$E12))</f>
        <v>0</v>
      </c>
      <c r="DX12" s="46" t="n">
        <f aca="false">N(AND(DX$3&lt;=$E12,DX$4&gt;=$E12))</f>
        <v>0</v>
      </c>
      <c r="DY12" s="46" t="n">
        <f aca="false">N(AND(DY$3&lt;=$E12,DY$4&gt;=$E12))</f>
        <v>0</v>
      </c>
      <c r="DZ12" s="46" t="n">
        <f aca="false">N(AND(DZ$3&lt;=$E12,DZ$4&gt;=$E12))</f>
        <v>0</v>
      </c>
      <c r="EA12" s="46" t="n">
        <f aca="false">N(AND(EA$3&lt;=$E12,EA$4&gt;=$E12))</f>
        <v>0</v>
      </c>
      <c r="EB12" s="46" t="n">
        <f aca="false">N(AND(EB$3&lt;=$E12,EB$4&gt;=$E12))</f>
        <v>0</v>
      </c>
      <c r="EC12" s="46" t="n">
        <f aca="false">N(AND(EC$3&lt;=$E12,EC$4&gt;=$E12))</f>
        <v>0</v>
      </c>
      <c r="ED12" s="46" t="n">
        <f aca="false">N(AND(ED$3&lt;=$E12,ED$4&gt;=$E12))</f>
        <v>0</v>
      </c>
      <c r="EE12" s="46" t="n">
        <f aca="false">N(AND(EE$3&lt;=$E12,EE$4&gt;=$E12))</f>
        <v>0</v>
      </c>
      <c r="EF12" s="46" t="n">
        <f aca="false">N(AND(EF$3&lt;=$E12,EF$4&gt;=$E12))</f>
        <v>0</v>
      </c>
      <c r="EG12" s="46" t="n">
        <f aca="false">N(AND(EG$3&lt;=$E12,EG$4&gt;=$E12))</f>
        <v>0</v>
      </c>
      <c r="EH12" s="46" t="n">
        <f aca="false">N(AND(EH$3&lt;=$E12,EH$4&gt;=$E12))</f>
        <v>0</v>
      </c>
      <c r="EI12" s="46" t="n">
        <f aca="false">N(AND(EI$3&lt;=$E12,EI$4&gt;=$E12))</f>
        <v>0</v>
      </c>
      <c r="EJ12" s="46" t="n">
        <f aca="false">N(AND(EJ$3&lt;=$E12,EJ$4&gt;=$E12))</f>
        <v>0</v>
      </c>
      <c r="EK12" s="46" t="n">
        <f aca="false">N(AND(EK$3&lt;=$E12,EK$4&gt;=$E12))</f>
        <v>0</v>
      </c>
      <c r="EL12" s="46" t="n">
        <f aca="false">N(AND(EL$3&lt;=$E12,EL$4&gt;=$E12))</f>
        <v>0</v>
      </c>
      <c r="EM12" s="46" t="n">
        <f aca="false">N(AND(EM$3&lt;=$E12,EM$4&gt;=$E12))</f>
        <v>0</v>
      </c>
      <c r="EN12" s="46" t="n">
        <f aca="false">N(AND(EN$3&lt;=$E12,EN$4&gt;=$E12))</f>
        <v>0</v>
      </c>
      <c r="EO12" s="46" t="n">
        <f aca="false">N(AND(EO$3&lt;=$E12,EO$4&gt;=$E12))</f>
        <v>0</v>
      </c>
      <c r="EP12" s="46" t="n">
        <f aca="false">N(AND(EP$3&lt;=$E12,EP$4&gt;=$E12))</f>
        <v>0</v>
      </c>
      <c r="EQ12" s="46" t="n">
        <f aca="false">N(AND(EQ$3&lt;=$E12,EQ$4&gt;=$E12))</f>
        <v>0</v>
      </c>
      <c r="ER12" s="46" t="n">
        <f aca="false">N(AND(ER$3&lt;=$E12,ER$4&gt;=$E12))</f>
        <v>0</v>
      </c>
      <c r="ES12" s="46" t="n">
        <f aca="false">N(AND(ES$3&lt;=$E12,ES$4&gt;=$E12))</f>
        <v>0</v>
      </c>
      <c r="ET12" s="46" t="n">
        <f aca="false">N(AND(ET$3&lt;=$E12,ET$4&gt;=$E12))</f>
        <v>0</v>
      </c>
    </row>
    <row r="13" customFormat="false" ht="15" hidden="false" customHeight="false" outlineLevel="0" collapsed="false">
      <c r="C13" s="0" t="s">
        <v>488</v>
      </c>
      <c r="D13" s="11" t="s">
        <v>482</v>
      </c>
      <c r="E13" s="44" t="n">
        <f aca="false">In_NTP+1</f>
        <v>47392</v>
      </c>
      <c r="F13" s="27" t="n">
        <f aca="false">In_COD</f>
        <v>48121</v>
      </c>
      <c r="I13" s="52" t="n">
        <f aca="false">SUM(J13:ET13)</f>
        <v>1</v>
      </c>
      <c r="J13" s="52" t="n">
        <f aca="false">MAX(0,MIN($F13,J$4)-MAX($E13,J$3)+1)/($F13-$E13+1)</f>
        <v>0</v>
      </c>
      <c r="K13" s="52" t="n">
        <f aca="false">MAX(0,MIN($F13,K$4)-MAX($E13,K$3)+1)/($F13-$E13+1)</f>
        <v>0</v>
      </c>
      <c r="L13" s="52" t="n">
        <f aca="false">MAX(0,MIN($F13,L$4)-MAX($E13,L$3)+1)/($F13-$E13+1)</f>
        <v>0</v>
      </c>
      <c r="M13" s="52" t="n">
        <f aca="false">MAX(0,MIN($F13,M$4)-MAX($E13,M$3)+1)/($F13-$E13+1)</f>
        <v>0</v>
      </c>
      <c r="N13" s="52" t="n">
        <f aca="false">MAX(0,MIN($F13,N$4)-MAX($E13,N$3)+1)/($F13-$E13+1)</f>
        <v>0</v>
      </c>
      <c r="O13" s="52" t="n">
        <f aca="false">MAX(0,MIN($F13,O$4)-MAX($E13,O$3)+1)/($F13-$E13+1)</f>
        <v>0</v>
      </c>
      <c r="P13" s="52" t="n">
        <f aca="false">MAX(0,MIN($F13,P$4)-MAX($E13,P$3)+1)/($F13-$E13+1)</f>
        <v>0</v>
      </c>
      <c r="Q13" s="52" t="n">
        <f aca="false">MAX(0,MIN($F13,Q$4)-MAX($E13,Q$3)+1)/($F13-$E13+1)</f>
        <v>0</v>
      </c>
      <c r="R13" s="52" t="n">
        <f aca="false">MAX(0,MIN($F13,R$4)-MAX($E13,R$3)+1)/($F13-$E13+1)</f>
        <v>0</v>
      </c>
      <c r="S13" s="52" t="n">
        <f aca="false">MAX(0,MIN($F13,S$4)-MAX($E13,S$3)+1)/($F13-$E13+1)</f>
        <v>0</v>
      </c>
      <c r="T13" s="52" t="n">
        <f aca="false">MAX(0,MIN($F13,T$4)-MAX($E13,T$3)+1)/($F13-$E13+1)</f>
        <v>0</v>
      </c>
      <c r="U13" s="52" t="n">
        <f aca="false">MAX(0,MIN($F13,U$4)-MAX($E13,U$3)+1)/($F13-$E13+1)</f>
        <v>0</v>
      </c>
      <c r="V13" s="52" t="n">
        <f aca="false">MAX(0,MIN($F13,V$4)-MAX($E13,V$3)+1)/($F13-$E13+1)</f>
        <v>0</v>
      </c>
      <c r="W13" s="52" t="n">
        <f aca="false">MAX(0,MIN($F13,W$4)-MAX($E13,W$3)+1)/($F13-$E13+1)</f>
        <v>0.126027397260274</v>
      </c>
      <c r="X13" s="52" t="n">
        <f aca="false">MAX(0,MIN($F13,X$4)-MAX($E13,X$3)+1)/($F13-$E13+1)</f>
        <v>0.123287671232877</v>
      </c>
      <c r="Y13" s="52" t="n">
        <f aca="false">MAX(0,MIN($F13,Y$4)-MAX($E13,Y$3)+1)/($F13-$E13+1)</f>
        <v>0.124657534246575</v>
      </c>
      <c r="Z13" s="52" t="n">
        <f aca="false">MAX(0,MIN($F13,Z$4)-MAX($E13,Z$3)+1)/($F13-$E13+1)</f>
        <v>0.126027397260274</v>
      </c>
      <c r="AA13" s="52" t="n">
        <f aca="false">MAX(0,MIN($F13,AA$4)-MAX($E13,AA$3)+1)/($F13-$E13+1)</f>
        <v>0.126027397260274</v>
      </c>
      <c r="AB13" s="52" t="n">
        <f aca="false">MAX(0,MIN($F13,AB$4)-MAX($E13,AB$3)+1)/($F13-$E13+1)</f>
        <v>0.123287671232877</v>
      </c>
      <c r="AC13" s="52" t="n">
        <f aca="false">MAX(0,MIN($F13,AC$4)-MAX($E13,AC$3)+1)/($F13-$E13+1)</f>
        <v>0.124657534246575</v>
      </c>
      <c r="AD13" s="52" t="n">
        <f aca="false">MAX(0,MIN($F13,AD$4)-MAX($E13,AD$3)+1)/($F13-$E13+1)</f>
        <v>0.126027397260274</v>
      </c>
      <c r="AE13" s="52" t="n">
        <f aca="false">MAX(0,MIN($F13,AE$4)-MAX($E13,AE$3)+1)/($F13-$E13+1)</f>
        <v>0</v>
      </c>
      <c r="AF13" s="52" t="n">
        <f aca="false">MAX(0,MIN($F13,AF$4)-MAX($E13,AF$3)+1)/($F13-$E13+1)</f>
        <v>0</v>
      </c>
      <c r="AG13" s="52" t="n">
        <f aca="false">MAX(0,MIN($F13,AG$4)-MAX($E13,AG$3)+1)/($F13-$E13+1)</f>
        <v>0</v>
      </c>
      <c r="AH13" s="52" t="n">
        <f aca="false">MAX(0,MIN($F13,AH$4)-MAX($E13,AH$3)+1)/($F13-$E13+1)</f>
        <v>0</v>
      </c>
      <c r="AI13" s="52" t="n">
        <f aca="false">MAX(0,MIN($F13,AI$4)-MAX($E13,AI$3)+1)/($F13-$E13+1)</f>
        <v>0</v>
      </c>
      <c r="AJ13" s="52" t="n">
        <f aca="false">MAX(0,MIN($F13,AJ$4)-MAX($E13,AJ$3)+1)/($F13-$E13+1)</f>
        <v>0</v>
      </c>
      <c r="AK13" s="52" t="n">
        <f aca="false">MAX(0,MIN($F13,AK$4)-MAX($E13,AK$3)+1)/($F13-$E13+1)</f>
        <v>0</v>
      </c>
      <c r="AL13" s="52" t="n">
        <f aca="false">MAX(0,MIN($F13,AL$4)-MAX($E13,AL$3)+1)/($F13-$E13+1)</f>
        <v>0</v>
      </c>
      <c r="AM13" s="52" t="n">
        <f aca="false">MAX(0,MIN($F13,AM$4)-MAX($E13,AM$3)+1)/($F13-$E13+1)</f>
        <v>0</v>
      </c>
      <c r="AN13" s="52" t="n">
        <f aca="false">MAX(0,MIN($F13,AN$4)-MAX($E13,AN$3)+1)/($F13-$E13+1)</f>
        <v>0</v>
      </c>
      <c r="AO13" s="52" t="n">
        <f aca="false">MAX(0,MIN($F13,AO$4)-MAX($E13,AO$3)+1)/($F13-$E13+1)</f>
        <v>0</v>
      </c>
      <c r="AP13" s="52" t="n">
        <f aca="false">MAX(0,MIN($F13,AP$4)-MAX($E13,AP$3)+1)/($F13-$E13+1)</f>
        <v>0</v>
      </c>
      <c r="AQ13" s="52" t="n">
        <f aca="false">MAX(0,MIN($F13,AQ$4)-MAX($E13,AQ$3)+1)/($F13-$E13+1)</f>
        <v>0</v>
      </c>
      <c r="AR13" s="52" t="n">
        <f aca="false">MAX(0,MIN($F13,AR$4)-MAX($E13,AR$3)+1)/($F13-$E13+1)</f>
        <v>0</v>
      </c>
      <c r="AS13" s="52" t="n">
        <f aca="false">MAX(0,MIN($F13,AS$4)-MAX($E13,AS$3)+1)/($F13-$E13+1)</f>
        <v>0</v>
      </c>
      <c r="AT13" s="52" t="n">
        <f aca="false">MAX(0,MIN($F13,AT$4)-MAX($E13,AT$3)+1)/($F13-$E13+1)</f>
        <v>0</v>
      </c>
      <c r="AU13" s="52" t="n">
        <f aca="false">MAX(0,MIN($F13,AU$4)-MAX($E13,AU$3)+1)/($F13-$E13+1)</f>
        <v>0</v>
      </c>
      <c r="AV13" s="52" t="n">
        <f aca="false">MAX(0,MIN($F13,AV$4)-MAX($E13,AV$3)+1)/($F13-$E13+1)</f>
        <v>0</v>
      </c>
      <c r="AW13" s="52" t="n">
        <f aca="false">MAX(0,MIN($F13,AW$4)-MAX($E13,AW$3)+1)/($F13-$E13+1)</f>
        <v>0</v>
      </c>
      <c r="AX13" s="52" t="n">
        <f aca="false">MAX(0,MIN($F13,AX$4)-MAX($E13,AX$3)+1)/($F13-$E13+1)</f>
        <v>0</v>
      </c>
      <c r="AY13" s="52" t="n">
        <f aca="false">MAX(0,MIN($F13,AY$4)-MAX($E13,AY$3)+1)/($F13-$E13+1)</f>
        <v>0</v>
      </c>
      <c r="AZ13" s="52" t="n">
        <f aca="false">MAX(0,MIN($F13,AZ$4)-MAX($E13,AZ$3)+1)/($F13-$E13+1)</f>
        <v>0</v>
      </c>
      <c r="BA13" s="52" t="n">
        <f aca="false">MAX(0,MIN($F13,BA$4)-MAX($E13,BA$3)+1)/($F13-$E13+1)</f>
        <v>0</v>
      </c>
      <c r="BB13" s="52" t="n">
        <f aca="false">MAX(0,MIN($F13,BB$4)-MAX($E13,BB$3)+1)/($F13-$E13+1)</f>
        <v>0</v>
      </c>
      <c r="BC13" s="52" t="n">
        <f aca="false">MAX(0,MIN($F13,BC$4)-MAX($E13,BC$3)+1)/($F13-$E13+1)</f>
        <v>0</v>
      </c>
      <c r="BD13" s="52" t="n">
        <f aca="false">MAX(0,MIN($F13,BD$4)-MAX($E13,BD$3)+1)/($F13-$E13+1)</f>
        <v>0</v>
      </c>
      <c r="BE13" s="52" t="n">
        <f aca="false">MAX(0,MIN($F13,BE$4)-MAX($E13,BE$3)+1)/($F13-$E13+1)</f>
        <v>0</v>
      </c>
      <c r="BF13" s="52" t="n">
        <f aca="false">MAX(0,MIN($F13,BF$4)-MAX($E13,BF$3)+1)/($F13-$E13+1)</f>
        <v>0</v>
      </c>
      <c r="BG13" s="52" t="n">
        <f aca="false">MAX(0,MIN($F13,BG$4)-MAX($E13,BG$3)+1)/($F13-$E13+1)</f>
        <v>0</v>
      </c>
      <c r="BH13" s="52" t="n">
        <f aca="false">MAX(0,MIN($F13,BH$4)-MAX($E13,BH$3)+1)/($F13-$E13+1)</f>
        <v>0</v>
      </c>
      <c r="BI13" s="52" t="n">
        <f aca="false">MAX(0,MIN($F13,BI$4)-MAX($E13,BI$3)+1)/($F13-$E13+1)</f>
        <v>0</v>
      </c>
      <c r="BJ13" s="52" t="n">
        <f aca="false">MAX(0,MIN($F13,BJ$4)-MAX($E13,BJ$3)+1)/($F13-$E13+1)</f>
        <v>0</v>
      </c>
      <c r="BK13" s="52" t="n">
        <f aca="false">MAX(0,MIN($F13,BK$4)-MAX($E13,BK$3)+1)/($F13-$E13+1)</f>
        <v>0</v>
      </c>
      <c r="BL13" s="52" t="n">
        <f aca="false">MAX(0,MIN($F13,BL$4)-MAX($E13,BL$3)+1)/($F13-$E13+1)</f>
        <v>0</v>
      </c>
      <c r="BM13" s="52" t="n">
        <f aca="false">MAX(0,MIN($F13,BM$4)-MAX($E13,BM$3)+1)/($F13-$E13+1)</f>
        <v>0</v>
      </c>
      <c r="BN13" s="52" t="n">
        <f aca="false">MAX(0,MIN($F13,BN$4)-MAX($E13,BN$3)+1)/($F13-$E13+1)</f>
        <v>0</v>
      </c>
      <c r="BO13" s="52" t="n">
        <f aca="false">MAX(0,MIN($F13,BO$4)-MAX($E13,BO$3)+1)/($F13-$E13+1)</f>
        <v>0</v>
      </c>
      <c r="BP13" s="52" t="n">
        <f aca="false">MAX(0,MIN($F13,BP$4)-MAX($E13,BP$3)+1)/($F13-$E13+1)</f>
        <v>0</v>
      </c>
      <c r="BQ13" s="52" t="n">
        <f aca="false">MAX(0,MIN($F13,BQ$4)-MAX($E13,BQ$3)+1)/($F13-$E13+1)</f>
        <v>0</v>
      </c>
      <c r="BR13" s="52" t="n">
        <f aca="false">MAX(0,MIN($F13,BR$4)-MAX($E13,BR$3)+1)/($F13-$E13+1)</f>
        <v>0</v>
      </c>
      <c r="BS13" s="52" t="n">
        <f aca="false">MAX(0,MIN($F13,BS$4)-MAX($E13,BS$3)+1)/($F13-$E13+1)</f>
        <v>0</v>
      </c>
      <c r="BT13" s="52" t="n">
        <f aca="false">MAX(0,MIN($F13,BT$4)-MAX($E13,BT$3)+1)/($F13-$E13+1)</f>
        <v>0</v>
      </c>
      <c r="BU13" s="52" t="n">
        <f aca="false">MAX(0,MIN($F13,BU$4)-MAX($E13,BU$3)+1)/($F13-$E13+1)</f>
        <v>0</v>
      </c>
      <c r="BV13" s="52" t="n">
        <f aca="false">MAX(0,MIN($F13,BV$4)-MAX($E13,BV$3)+1)/($F13-$E13+1)</f>
        <v>0</v>
      </c>
      <c r="BW13" s="52" t="n">
        <f aca="false">MAX(0,MIN($F13,BW$4)-MAX($E13,BW$3)+1)/($F13-$E13+1)</f>
        <v>0</v>
      </c>
      <c r="BX13" s="52" t="n">
        <f aca="false">MAX(0,MIN($F13,BX$4)-MAX($E13,BX$3)+1)/($F13-$E13+1)</f>
        <v>0</v>
      </c>
      <c r="BY13" s="52" t="n">
        <f aca="false">MAX(0,MIN($F13,BY$4)-MAX($E13,BY$3)+1)/($F13-$E13+1)</f>
        <v>0</v>
      </c>
      <c r="BZ13" s="52" t="n">
        <f aca="false">MAX(0,MIN($F13,BZ$4)-MAX($E13,BZ$3)+1)/($F13-$E13+1)</f>
        <v>0</v>
      </c>
      <c r="CA13" s="52" t="n">
        <f aca="false">MAX(0,MIN($F13,CA$4)-MAX($E13,CA$3)+1)/($F13-$E13+1)</f>
        <v>0</v>
      </c>
      <c r="CB13" s="52" t="n">
        <f aca="false">MAX(0,MIN($F13,CB$4)-MAX($E13,CB$3)+1)/($F13-$E13+1)</f>
        <v>0</v>
      </c>
      <c r="CC13" s="52" t="n">
        <f aca="false">MAX(0,MIN($F13,CC$4)-MAX($E13,CC$3)+1)/($F13-$E13+1)</f>
        <v>0</v>
      </c>
      <c r="CD13" s="52" t="n">
        <f aca="false">MAX(0,MIN($F13,CD$4)-MAX($E13,CD$3)+1)/($F13-$E13+1)</f>
        <v>0</v>
      </c>
      <c r="CE13" s="52" t="n">
        <f aca="false">MAX(0,MIN($F13,CE$4)-MAX($E13,CE$3)+1)/($F13-$E13+1)</f>
        <v>0</v>
      </c>
      <c r="CF13" s="52" t="n">
        <f aca="false">MAX(0,MIN($F13,CF$4)-MAX($E13,CF$3)+1)/($F13-$E13+1)</f>
        <v>0</v>
      </c>
      <c r="CG13" s="52" t="n">
        <f aca="false">MAX(0,MIN($F13,CG$4)-MAX($E13,CG$3)+1)/($F13-$E13+1)</f>
        <v>0</v>
      </c>
      <c r="CH13" s="52" t="n">
        <f aca="false">MAX(0,MIN($F13,CH$4)-MAX($E13,CH$3)+1)/($F13-$E13+1)</f>
        <v>0</v>
      </c>
      <c r="CI13" s="52" t="n">
        <f aca="false">MAX(0,MIN($F13,CI$4)-MAX($E13,CI$3)+1)/($F13-$E13+1)</f>
        <v>0</v>
      </c>
      <c r="CJ13" s="52" t="n">
        <f aca="false">MAX(0,MIN($F13,CJ$4)-MAX($E13,CJ$3)+1)/($F13-$E13+1)</f>
        <v>0</v>
      </c>
      <c r="CK13" s="52" t="n">
        <f aca="false">MAX(0,MIN($F13,CK$4)-MAX($E13,CK$3)+1)/($F13-$E13+1)</f>
        <v>0</v>
      </c>
      <c r="CL13" s="52" t="n">
        <f aca="false">MAX(0,MIN($F13,CL$4)-MAX($E13,CL$3)+1)/($F13-$E13+1)</f>
        <v>0</v>
      </c>
      <c r="CM13" s="52" t="n">
        <f aca="false">MAX(0,MIN($F13,CM$4)-MAX($E13,CM$3)+1)/($F13-$E13+1)</f>
        <v>0</v>
      </c>
      <c r="CN13" s="52" t="n">
        <f aca="false">MAX(0,MIN($F13,CN$4)-MAX($E13,CN$3)+1)/($F13-$E13+1)</f>
        <v>0</v>
      </c>
      <c r="CO13" s="52" t="n">
        <f aca="false">MAX(0,MIN($F13,CO$4)-MAX($E13,CO$3)+1)/($F13-$E13+1)</f>
        <v>0</v>
      </c>
      <c r="CP13" s="52" t="n">
        <f aca="false">MAX(0,MIN($F13,CP$4)-MAX($E13,CP$3)+1)/($F13-$E13+1)</f>
        <v>0</v>
      </c>
      <c r="CQ13" s="52" t="n">
        <f aca="false">MAX(0,MIN($F13,CQ$4)-MAX($E13,CQ$3)+1)/($F13-$E13+1)</f>
        <v>0</v>
      </c>
      <c r="CR13" s="52" t="n">
        <f aca="false">MAX(0,MIN($F13,CR$4)-MAX($E13,CR$3)+1)/($F13-$E13+1)</f>
        <v>0</v>
      </c>
      <c r="CS13" s="52" t="n">
        <f aca="false">MAX(0,MIN($F13,CS$4)-MAX($E13,CS$3)+1)/($F13-$E13+1)</f>
        <v>0</v>
      </c>
      <c r="CT13" s="52" t="n">
        <f aca="false">MAX(0,MIN($F13,CT$4)-MAX($E13,CT$3)+1)/($F13-$E13+1)</f>
        <v>0</v>
      </c>
      <c r="CU13" s="52" t="n">
        <f aca="false">MAX(0,MIN($F13,CU$4)-MAX($E13,CU$3)+1)/($F13-$E13+1)</f>
        <v>0</v>
      </c>
      <c r="CV13" s="52" t="n">
        <f aca="false">MAX(0,MIN($F13,CV$4)-MAX($E13,CV$3)+1)/($F13-$E13+1)</f>
        <v>0</v>
      </c>
      <c r="CW13" s="52" t="n">
        <f aca="false">MAX(0,MIN($F13,CW$4)-MAX($E13,CW$3)+1)/($F13-$E13+1)</f>
        <v>0</v>
      </c>
      <c r="CX13" s="52" t="n">
        <f aca="false">MAX(0,MIN($F13,CX$4)-MAX($E13,CX$3)+1)/($F13-$E13+1)</f>
        <v>0</v>
      </c>
      <c r="CY13" s="52" t="n">
        <f aca="false">MAX(0,MIN($F13,CY$4)-MAX($E13,CY$3)+1)/($F13-$E13+1)</f>
        <v>0</v>
      </c>
      <c r="CZ13" s="52" t="n">
        <f aca="false">MAX(0,MIN($F13,CZ$4)-MAX($E13,CZ$3)+1)/($F13-$E13+1)</f>
        <v>0</v>
      </c>
      <c r="DA13" s="52" t="n">
        <f aca="false">MAX(0,MIN($F13,DA$4)-MAX($E13,DA$3)+1)/($F13-$E13+1)</f>
        <v>0</v>
      </c>
      <c r="DB13" s="52" t="n">
        <f aca="false">MAX(0,MIN($F13,DB$4)-MAX($E13,DB$3)+1)/($F13-$E13+1)</f>
        <v>0</v>
      </c>
      <c r="DC13" s="52" t="n">
        <f aca="false">MAX(0,MIN($F13,DC$4)-MAX($E13,DC$3)+1)/($F13-$E13+1)</f>
        <v>0</v>
      </c>
      <c r="DD13" s="52" t="n">
        <f aca="false">MAX(0,MIN($F13,DD$4)-MAX($E13,DD$3)+1)/($F13-$E13+1)</f>
        <v>0</v>
      </c>
      <c r="DE13" s="52" t="n">
        <f aca="false">MAX(0,MIN($F13,DE$4)-MAX($E13,DE$3)+1)/($F13-$E13+1)</f>
        <v>0</v>
      </c>
      <c r="DF13" s="52" t="n">
        <f aca="false">MAX(0,MIN($F13,DF$4)-MAX($E13,DF$3)+1)/($F13-$E13+1)</f>
        <v>0</v>
      </c>
      <c r="DG13" s="52" t="n">
        <f aca="false">MAX(0,MIN($F13,DG$4)-MAX($E13,DG$3)+1)/($F13-$E13+1)</f>
        <v>0</v>
      </c>
      <c r="DH13" s="52" t="n">
        <f aca="false">MAX(0,MIN($F13,DH$4)-MAX($E13,DH$3)+1)/($F13-$E13+1)</f>
        <v>0</v>
      </c>
      <c r="DI13" s="52" t="n">
        <f aca="false">MAX(0,MIN($F13,DI$4)-MAX($E13,DI$3)+1)/($F13-$E13+1)</f>
        <v>0</v>
      </c>
      <c r="DJ13" s="52" t="n">
        <f aca="false">MAX(0,MIN($F13,DJ$4)-MAX($E13,DJ$3)+1)/($F13-$E13+1)</f>
        <v>0</v>
      </c>
      <c r="DK13" s="52" t="n">
        <f aca="false">MAX(0,MIN($F13,DK$4)-MAX($E13,DK$3)+1)/($F13-$E13+1)</f>
        <v>0</v>
      </c>
      <c r="DL13" s="52" t="n">
        <f aca="false">MAX(0,MIN($F13,DL$4)-MAX($E13,DL$3)+1)/($F13-$E13+1)</f>
        <v>0</v>
      </c>
      <c r="DM13" s="52" t="n">
        <f aca="false">MAX(0,MIN($F13,DM$4)-MAX($E13,DM$3)+1)/($F13-$E13+1)</f>
        <v>0</v>
      </c>
      <c r="DN13" s="52" t="n">
        <f aca="false">MAX(0,MIN($F13,DN$4)-MAX($E13,DN$3)+1)/($F13-$E13+1)</f>
        <v>0</v>
      </c>
      <c r="DO13" s="52" t="n">
        <f aca="false">MAX(0,MIN($F13,DO$4)-MAX($E13,DO$3)+1)/($F13-$E13+1)</f>
        <v>0</v>
      </c>
      <c r="DP13" s="52" t="n">
        <f aca="false">MAX(0,MIN($F13,DP$4)-MAX($E13,DP$3)+1)/($F13-$E13+1)</f>
        <v>0</v>
      </c>
      <c r="DQ13" s="52" t="n">
        <f aca="false">MAX(0,MIN($F13,DQ$4)-MAX($E13,DQ$3)+1)/($F13-$E13+1)</f>
        <v>0</v>
      </c>
      <c r="DR13" s="52" t="n">
        <f aca="false">MAX(0,MIN($F13,DR$4)-MAX($E13,DR$3)+1)/($F13-$E13+1)</f>
        <v>0</v>
      </c>
      <c r="DS13" s="52" t="n">
        <f aca="false">MAX(0,MIN($F13,DS$4)-MAX($E13,DS$3)+1)/($F13-$E13+1)</f>
        <v>0</v>
      </c>
      <c r="DT13" s="52" t="n">
        <f aca="false">MAX(0,MIN($F13,DT$4)-MAX($E13,DT$3)+1)/($F13-$E13+1)</f>
        <v>0</v>
      </c>
      <c r="DU13" s="52" t="n">
        <f aca="false">MAX(0,MIN($F13,DU$4)-MAX($E13,DU$3)+1)/($F13-$E13+1)</f>
        <v>0</v>
      </c>
      <c r="DV13" s="52" t="n">
        <f aca="false">MAX(0,MIN($F13,DV$4)-MAX($E13,DV$3)+1)/($F13-$E13+1)</f>
        <v>0</v>
      </c>
      <c r="DW13" s="52" t="n">
        <f aca="false">MAX(0,MIN($F13,DW$4)-MAX($E13,DW$3)+1)/($F13-$E13+1)</f>
        <v>0</v>
      </c>
      <c r="DX13" s="52" t="n">
        <f aca="false">MAX(0,MIN($F13,DX$4)-MAX($E13,DX$3)+1)/($F13-$E13+1)</f>
        <v>0</v>
      </c>
      <c r="DY13" s="52" t="n">
        <f aca="false">MAX(0,MIN($F13,DY$4)-MAX($E13,DY$3)+1)/($F13-$E13+1)</f>
        <v>0</v>
      </c>
      <c r="DZ13" s="52" t="n">
        <f aca="false">MAX(0,MIN($F13,DZ$4)-MAX($E13,DZ$3)+1)/($F13-$E13+1)</f>
        <v>0</v>
      </c>
      <c r="EA13" s="52" t="n">
        <f aca="false">MAX(0,MIN($F13,EA$4)-MAX($E13,EA$3)+1)/($F13-$E13+1)</f>
        <v>0</v>
      </c>
      <c r="EB13" s="52" t="n">
        <f aca="false">MAX(0,MIN($F13,EB$4)-MAX($E13,EB$3)+1)/($F13-$E13+1)</f>
        <v>0</v>
      </c>
      <c r="EC13" s="52" t="n">
        <f aca="false">MAX(0,MIN($F13,EC$4)-MAX($E13,EC$3)+1)/($F13-$E13+1)</f>
        <v>0</v>
      </c>
      <c r="ED13" s="52" t="n">
        <f aca="false">MAX(0,MIN($F13,ED$4)-MAX($E13,ED$3)+1)/($F13-$E13+1)</f>
        <v>0</v>
      </c>
      <c r="EE13" s="52" t="n">
        <f aca="false">MAX(0,MIN($F13,EE$4)-MAX($E13,EE$3)+1)/($F13-$E13+1)</f>
        <v>0</v>
      </c>
      <c r="EF13" s="52" t="n">
        <f aca="false">MAX(0,MIN($F13,EF$4)-MAX($E13,EF$3)+1)/($F13-$E13+1)</f>
        <v>0</v>
      </c>
      <c r="EG13" s="52" t="n">
        <f aca="false">MAX(0,MIN($F13,EG$4)-MAX($E13,EG$3)+1)/($F13-$E13+1)</f>
        <v>0</v>
      </c>
      <c r="EH13" s="52" t="n">
        <f aca="false">MAX(0,MIN($F13,EH$4)-MAX($E13,EH$3)+1)/($F13-$E13+1)</f>
        <v>0</v>
      </c>
      <c r="EI13" s="52" t="n">
        <f aca="false">MAX(0,MIN($F13,EI$4)-MAX($E13,EI$3)+1)/($F13-$E13+1)</f>
        <v>0</v>
      </c>
      <c r="EJ13" s="52" t="n">
        <f aca="false">MAX(0,MIN($F13,EJ$4)-MAX($E13,EJ$3)+1)/($F13-$E13+1)</f>
        <v>0</v>
      </c>
      <c r="EK13" s="52" t="n">
        <f aca="false">MAX(0,MIN($F13,EK$4)-MAX($E13,EK$3)+1)/($F13-$E13+1)</f>
        <v>0</v>
      </c>
      <c r="EL13" s="52" t="n">
        <f aca="false">MAX(0,MIN($F13,EL$4)-MAX($E13,EL$3)+1)/($F13-$E13+1)</f>
        <v>0</v>
      </c>
      <c r="EM13" s="52" t="n">
        <f aca="false">MAX(0,MIN($F13,EM$4)-MAX($E13,EM$3)+1)/($F13-$E13+1)</f>
        <v>0</v>
      </c>
      <c r="EN13" s="52" t="n">
        <f aca="false">MAX(0,MIN($F13,EN$4)-MAX($E13,EN$3)+1)/($F13-$E13+1)</f>
        <v>0</v>
      </c>
      <c r="EO13" s="52" t="n">
        <f aca="false">MAX(0,MIN($F13,EO$4)-MAX($E13,EO$3)+1)/($F13-$E13+1)</f>
        <v>0</v>
      </c>
      <c r="EP13" s="52" t="n">
        <f aca="false">MAX(0,MIN($F13,EP$4)-MAX($E13,EP$3)+1)/($F13-$E13+1)</f>
        <v>0</v>
      </c>
      <c r="EQ13" s="52" t="n">
        <f aca="false">MAX(0,MIN($F13,EQ$4)-MAX($E13,EQ$3)+1)/($F13-$E13+1)</f>
        <v>0</v>
      </c>
      <c r="ER13" s="52" t="n">
        <f aca="false">MAX(0,MIN($F13,ER$4)-MAX($E13,ER$3)+1)/($F13-$E13+1)</f>
        <v>0</v>
      </c>
      <c r="ES13" s="52" t="n">
        <f aca="false">MAX(0,MIN($F13,ES$4)-MAX($E13,ES$3)+1)/($F13-$E13+1)</f>
        <v>0</v>
      </c>
      <c r="ET13" s="52" t="n">
        <f aca="false">MAX(0,MIN($F13,ET$4)-MAX($E13,ET$3)+1)/($F13-$E13+1)</f>
        <v>0</v>
      </c>
    </row>
    <row r="14" customFormat="false" ht="15" hidden="false" customHeight="false" outlineLevel="0" collapsed="false">
      <c r="C14" s="0" t="s">
        <v>61</v>
      </c>
      <c r="D14" s="11" t="s">
        <v>41</v>
      </c>
      <c r="E14" s="27" t="n">
        <f aca="false">In_COD</f>
        <v>48121</v>
      </c>
      <c r="I14" s="46" t="n">
        <f aca="false">SUM(J14:ET14)</f>
        <v>1</v>
      </c>
      <c r="J14" s="46" t="n">
        <f aca="false">N(AND(J$3&lt;=$E14,J$4&gt;=$E14))</f>
        <v>0</v>
      </c>
      <c r="K14" s="46" t="n">
        <f aca="false">N(AND(K$3&lt;=$E14,K$4&gt;=$E14))</f>
        <v>0</v>
      </c>
      <c r="L14" s="46" t="n">
        <f aca="false">N(AND(L$3&lt;=$E14,L$4&gt;=$E14))</f>
        <v>0</v>
      </c>
      <c r="M14" s="46" t="n">
        <f aca="false">N(AND(M$3&lt;=$E14,M$4&gt;=$E14))</f>
        <v>0</v>
      </c>
      <c r="N14" s="46" t="n">
        <f aca="false">N(AND(N$3&lt;=$E14,N$4&gt;=$E14))</f>
        <v>0</v>
      </c>
      <c r="O14" s="46" t="n">
        <f aca="false">N(AND(O$3&lt;=$E14,O$4&gt;=$E14))</f>
        <v>0</v>
      </c>
      <c r="P14" s="46" t="n">
        <f aca="false">N(AND(P$3&lt;=$E14,P$4&gt;=$E14))</f>
        <v>0</v>
      </c>
      <c r="Q14" s="46" t="n">
        <f aca="false">N(AND(Q$3&lt;=$E14,Q$4&gt;=$E14))</f>
        <v>0</v>
      </c>
      <c r="R14" s="46" t="n">
        <f aca="false">N(AND(R$3&lt;=$E14,R$4&gt;=$E14))</f>
        <v>0</v>
      </c>
      <c r="S14" s="46" t="n">
        <f aca="false">N(AND(S$3&lt;=$E14,S$4&gt;=$E14))</f>
        <v>0</v>
      </c>
      <c r="T14" s="46" t="n">
        <f aca="false">N(AND(T$3&lt;=$E14,T$4&gt;=$E14))</f>
        <v>0</v>
      </c>
      <c r="U14" s="46" t="n">
        <f aca="false">N(AND(U$3&lt;=$E14,U$4&gt;=$E14))</f>
        <v>0</v>
      </c>
      <c r="V14" s="46" t="n">
        <f aca="false">N(AND(V$3&lt;=$E14,V$4&gt;=$E14))</f>
        <v>0</v>
      </c>
      <c r="W14" s="46" t="n">
        <f aca="false">N(AND(W$3&lt;=$E14,W$4&gt;=$E14))</f>
        <v>0</v>
      </c>
      <c r="X14" s="46" t="n">
        <f aca="false">N(AND(X$3&lt;=$E14,X$4&gt;=$E14))</f>
        <v>0</v>
      </c>
      <c r="Y14" s="46" t="n">
        <f aca="false">N(AND(Y$3&lt;=$E14,Y$4&gt;=$E14))</f>
        <v>0</v>
      </c>
      <c r="Z14" s="46" t="n">
        <f aca="false">N(AND(Z$3&lt;=$E14,Z$4&gt;=$E14))</f>
        <v>0</v>
      </c>
      <c r="AA14" s="46" t="n">
        <f aca="false">N(AND(AA$3&lt;=$E14,AA$4&gt;=$E14))</f>
        <v>0</v>
      </c>
      <c r="AB14" s="46" t="n">
        <f aca="false">N(AND(AB$3&lt;=$E14,AB$4&gt;=$E14))</f>
        <v>0</v>
      </c>
      <c r="AC14" s="46" t="n">
        <f aca="false">N(AND(AC$3&lt;=$E14,AC$4&gt;=$E14))</f>
        <v>0</v>
      </c>
      <c r="AD14" s="46" t="n">
        <f aca="false">N(AND(AD$3&lt;=$E14,AD$4&gt;=$E14))</f>
        <v>1</v>
      </c>
      <c r="AE14" s="46" t="n">
        <f aca="false">N(AND(AE$3&lt;=$E14,AE$4&gt;=$E14))</f>
        <v>0</v>
      </c>
      <c r="AF14" s="46" t="n">
        <f aca="false">N(AND(AF$3&lt;=$E14,AF$4&gt;=$E14))</f>
        <v>0</v>
      </c>
      <c r="AG14" s="46" t="n">
        <f aca="false">N(AND(AG$3&lt;=$E14,AG$4&gt;=$E14))</f>
        <v>0</v>
      </c>
      <c r="AH14" s="46" t="n">
        <f aca="false">N(AND(AH$3&lt;=$E14,AH$4&gt;=$E14))</f>
        <v>0</v>
      </c>
      <c r="AI14" s="46" t="n">
        <f aca="false">N(AND(AI$3&lt;=$E14,AI$4&gt;=$E14))</f>
        <v>0</v>
      </c>
      <c r="AJ14" s="46" t="n">
        <f aca="false">N(AND(AJ$3&lt;=$E14,AJ$4&gt;=$E14))</f>
        <v>0</v>
      </c>
      <c r="AK14" s="46" t="n">
        <f aca="false">N(AND(AK$3&lt;=$E14,AK$4&gt;=$E14))</f>
        <v>0</v>
      </c>
      <c r="AL14" s="46" t="n">
        <f aca="false">N(AND(AL$3&lt;=$E14,AL$4&gt;=$E14))</f>
        <v>0</v>
      </c>
      <c r="AM14" s="46" t="n">
        <f aca="false">N(AND(AM$3&lt;=$E14,AM$4&gt;=$E14))</f>
        <v>0</v>
      </c>
      <c r="AN14" s="46" t="n">
        <f aca="false">N(AND(AN$3&lt;=$E14,AN$4&gt;=$E14))</f>
        <v>0</v>
      </c>
      <c r="AO14" s="46" t="n">
        <f aca="false">N(AND(AO$3&lt;=$E14,AO$4&gt;=$E14))</f>
        <v>0</v>
      </c>
      <c r="AP14" s="46" t="n">
        <f aca="false">N(AND(AP$3&lt;=$E14,AP$4&gt;=$E14))</f>
        <v>0</v>
      </c>
      <c r="AQ14" s="46" t="n">
        <f aca="false">N(AND(AQ$3&lt;=$E14,AQ$4&gt;=$E14))</f>
        <v>0</v>
      </c>
      <c r="AR14" s="46" t="n">
        <f aca="false">N(AND(AR$3&lt;=$E14,AR$4&gt;=$E14))</f>
        <v>0</v>
      </c>
      <c r="AS14" s="46" t="n">
        <f aca="false">N(AND(AS$3&lt;=$E14,AS$4&gt;=$E14))</f>
        <v>0</v>
      </c>
      <c r="AT14" s="46" t="n">
        <f aca="false">N(AND(AT$3&lt;=$E14,AT$4&gt;=$E14))</f>
        <v>0</v>
      </c>
      <c r="AU14" s="46" t="n">
        <f aca="false">N(AND(AU$3&lt;=$E14,AU$4&gt;=$E14))</f>
        <v>0</v>
      </c>
      <c r="AV14" s="46" t="n">
        <f aca="false">N(AND(AV$3&lt;=$E14,AV$4&gt;=$E14))</f>
        <v>0</v>
      </c>
      <c r="AW14" s="46" t="n">
        <f aca="false">N(AND(AW$3&lt;=$E14,AW$4&gt;=$E14))</f>
        <v>0</v>
      </c>
      <c r="AX14" s="46" t="n">
        <f aca="false">N(AND(AX$3&lt;=$E14,AX$4&gt;=$E14))</f>
        <v>0</v>
      </c>
      <c r="AY14" s="46" t="n">
        <f aca="false">N(AND(AY$3&lt;=$E14,AY$4&gt;=$E14))</f>
        <v>0</v>
      </c>
      <c r="AZ14" s="46" t="n">
        <f aca="false">N(AND(AZ$3&lt;=$E14,AZ$4&gt;=$E14))</f>
        <v>0</v>
      </c>
      <c r="BA14" s="46" t="n">
        <f aca="false">N(AND(BA$3&lt;=$E14,BA$4&gt;=$E14))</f>
        <v>0</v>
      </c>
      <c r="BB14" s="46" t="n">
        <f aca="false">N(AND(BB$3&lt;=$E14,BB$4&gt;=$E14))</f>
        <v>0</v>
      </c>
      <c r="BC14" s="46" t="n">
        <f aca="false">N(AND(BC$3&lt;=$E14,BC$4&gt;=$E14))</f>
        <v>0</v>
      </c>
      <c r="BD14" s="46" t="n">
        <f aca="false">N(AND(BD$3&lt;=$E14,BD$4&gt;=$E14))</f>
        <v>0</v>
      </c>
      <c r="BE14" s="46" t="n">
        <f aca="false">N(AND(BE$3&lt;=$E14,BE$4&gt;=$E14))</f>
        <v>0</v>
      </c>
      <c r="BF14" s="46" t="n">
        <f aca="false">N(AND(BF$3&lt;=$E14,BF$4&gt;=$E14))</f>
        <v>0</v>
      </c>
      <c r="BG14" s="46" t="n">
        <f aca="false">N(AND(BG$3&lt;=$E14,BG$4&gt;=$E14))</f>
        <v>0</v>
      </c>
      <c r="BH14" s="46" t="n">
        <f aca="false">N(AND(BH$3&lt;=$E14,BH$4&gt;=$E14))</f>
        <v>0</v>
      </c>
      <c r="BI14" s="46" t="n">
        <f aca="false">N(AND(BI$3&lt;=$E14,BI$4&gt;=$E14))</f>
        <v>0</v>
      </c>
      <c r="BJ14" s="46" t="n">
        <f aca="false">N(AND(BJ$3&lt;=$E14,BJ$4&gt;=$E14))</f>
        <v>0</v>
      </c>
      <c r="BK14" s="46" t="n">
        <f aca="false">N(AND(BK$3&lt;=$E14,BK$4&gt;=$E14))</f>
        <v>0</v>
      </c>
      <c r="BL14" s="46" t="n">
        <f aca="false">N(AND(BL$3&lt;=$E14,BL$4&gt;=$E14))</f>
        <v>0</v>
      </c>
      <c r="BM14" s="46" t="n">
        <f aca="false">N(AND(BM$3&lt;=$E14,BM$4&gt;=$E14))</f>
        <v>0</v>
      </c>
      <c r="BN14" s="46" t="n">
        <f aca="false">N(AND(BN$3&lt;=$E14,BN$4&gt;=$E14))</f>
        <v>0</v>
      </c>
      <c r="BO14" s="46" t="n">
        <f aca="false">N(AND(BO$3&lt;=$E14,BO$4&gt;=$E14))</f>
        <v>0</v>
      </c>
      <c r="BP14" s="46" t="n">
        <f aca="false">N(AND(BP$3&lt;=$E14,BP$4&gt;=$E14))</f>
        <v>0</v>
      </c>
      <c r="BQ14" s="46" t="n">
        <f aca="false">N(AND(BQ$3&lt;=$E14,BQ$4&gt;=$E14))</f>
        <v>0</v>
      </c>
      <c r="BR14" s="46" t="n">
        <f aca="false">N(AND(BR$3&lt;=$E14,BR$4&gt;=$E14))</f>
        <v>0</v>
      </c>
      <c r="BS14" s="46" t="n">
        <f aca="false">N(AND(BS$3&lt;=$E14,BS$4&gt;=$E14))</f>
        <v>0</v>
      </c>
      <c r="BT14" s="46" t="n">
        <f aca="false">N(AND(BT$3&lt;=$E14,BT$4&gt;=$E14))</f>
        <v>0</v>
      </c>
      <c r="BU14" s="46" t="n">
        <f aca="false">N(AND(BU$3&lt;=$E14,BU$4&gt;=$E14))</f>
        <v>0</v>
      </c>
      <c r="BV14" s="46" t="n">
        <f aca="false">N(AND(BV$3&lt;=$E14,BV$4&gt;=$E14))</f>
        <v>0</v>
      </c>
      <c r="BW14" s="46" t="n">
        <f aca="false">N(AND(BW$3&lt;=$E14,BW$4&gt;=$E14))</f>
        <v>0</v>
      </c>
      <c r="BX14" s="46" t="n">
        <f aca="false">N(AND(BX$3&lt;=$E14,BX$4&gt;=$E14))</f>
        <v>0</v>
      </c>
      <c r="BY14" s="46" t="n">
        <f aca="false">N(AND(BY$3&lt;=$E14,BY$4&gt;=$E14))</f>
        <v>0</v>
      </c>
      <c r="BZ14" s="46" t="n">
        <f aca="false">N(AND(BZ$3&lt;=$E14,BZ$4&gt;=$E14))</f>
        <v>0</v>
      </c>
      <c r="CA14" s="46" t="n">
        <f aca="false">N(AND(CA$3&lt;=$E14,CA$4&gt;=$E14))</f>
        <v>0</v>
      </c>
      <c r="CB14" s="46" t="n">
        <f aca="false">N(AND(CB$3&lt;=$E14,CB$4&gt;=$E14))</f>
        <v>0</v>
      </c>
      <c r="CC14" s="46" t="n">
        <f aca="false">N(AND(CC$3&lt;=$E14,CC$4&gt;=$E14))</f>
        <v>0</v>
      </c>
      <c r="CD14" s="46" t="n">
        <f aca="false">N(AND(CD$3&lt;=$E14,CD$4&gt;=$E14))</f>
        <v>0</v>
      </c>
      <c r="CE14" s="46" t="n">
        <f aca="false">N(AND(CE$3&lt;=$E14,CE$4&gt;=$E14))</f>
        <v>0</v>
      </c>
      <c r="CF14" s="46" t="n">
        <f aca="false">N(AND(CF$3&lt;=$E14,CF$4&gt;=$E14))</f>
        <v>0</v>
      </c>
      <c r="CG14" s="46" t="n">
        <f aca="false">N(AND(CG$3&lt;=$E14,CG$4&gt;=$E14))</f>
        <v>0</v>
      </c>
      <c r="CH14" s="46" t="n">
        <f aca="false">N(AND(CH$3&lt;=$E14,CH$4&gt;=$E14))</f>
        <v>0</v>
      </c>
      <c r="CI14" s="46" t="n">
        <f aca="false">N(AND(CI$3&lt;=$E14,CI$4&gt;=$E14))</f>
        <v>0</v>
      </c>
      <c r="CJ14" s="46" t="n">
        <f aca="false">N(AND(CJ$3&lt;=$E14,CJ$4&gt;=$E14))</f>
        <v>0</v>
      </c>
      <c r="CK14" s="46" t="n">
        <f aca="false">N(AND(CK$3&lt;=$E14,CK$4&gt;=$E14))</f>
        <v>0</v>
      </c>
      <c r="CL14" s="46" t="n">
        <f aca="false">N(AND(CL$3&lt;=$E14,CL$4&gt;=$E14))</f>
        <v>0</v>
      </c>
      <c r="CM14" s="46" t="n">
        <f aca="false">N(AND(CM$3&lt;=$E14,CM$4&gt;=$E14))</f>
        <v>0</v>
      </c>
      <c r="CN14" s="46" t="n">
        <f aca="false">N(AND(CN$3&lt;=$E14,CN$4&gt;=$E14))</f>
        <v>0</v>
      </c>
      <c r="CO14" s="46" t="n">
        <f aca="false">N(AND(CO$3&lt;=$E14,CO$4&gt;=$E14))</f>
        <v>0</v>
      </c>
      <c r="CP14" s="46" t="n">
        <f aca="false">N(AND(CP$3&lt;=$E14,CP$4&gt;=$E14))</f>
        <v>0</v>
      </c>
      <c r="CQ14" s="46" t="n">
        <f aca="false">N(AND(CQ$3&lt;=$E14,CQ$4&gt;=$E14))</f>
        <v>0</v>
      </c>
      <c r="CR14" s="46" t="n">
        <f aca="false">N(AND(CR$3&lt;=$E14,CR$4&gt;=$E14))</f>
        <v>0</v>
      </c>
      <c r="CS14" s="46" t="n">
        <f aca="false">N(AND(CS$3&lt;=$E14,CS$4&gt;=$E14))</f>
        <v>0</v>
      </c>
      <c r="CT14" s="46" t="n">
        <f aca="false">N(AND(CT$3&lt;=$E14,CT$4&gt;=$E14))</f>
        <v>0</v>
      </c>
      <c r="CU14" s="46" t="n">
        <f aca="false">N(AND(CU$3&lt;=$E14,CU$4&gt;=$E14))</f>
        <v>0</v>
      </c>
      <c r="CV14" s="46" t="n">
        <f aca="false">N(AND(CV$3&lt;=$E14,CV$4&gt;=$E14))</f>
        <v>0</v>
      </c>
      <c r="CW14" s="46" t="n">
        <f aca="false">N(AND(CW$3&lt;=$E14,CW$4&gt;=$E14))</f>
        <v>0</v>
      </c>
      <c r="CX14" s="46" t="n">
        <f aca="false">N(AND(CX$3&lt;=$E14,CX$4&gt;=$E14))</f>
        <v>0</v>
      </c>
      <c r="CY14" s="46" t="n">
        <f aca="false">N(AND(CY$3&lt;=$E14,CY$4&gt;=$E14))</f>
        <v>0</v>
      </c>
      <c r="CZ14" s="46" t="n">
        <f aca="false">N(AND(CZ$3&lt;=$E14,CZ$4&gt;=$E14))</f>
        <v>0</v>
      </c>
      <c r="DA14" s="46" t="n">
        <f aca="false">N(AND(DA$3&lt;=$E14,DA$4&gt;=$E14))</f>
        <v>0</v>
      </c>
      <c r="DB14" s="46" t="n">
        <f aca="false">N(AND(DB$3&lt;=$E14,DB$4&gt;=$E14))</f>
        <v>0</v>
      </c>
      <c r="DC14" s="46" t="n">
        <f aca="false">N(AND(DC$3&lt;=$E14,DC$4&gt;=$E14))</f>
        <v>0</v>
      </c>
      <c r="DD14" s="46" t="n">
        <f aca="false">N(AND(DD$3&lt;=$E14,DD$4&gt;=$E14))</f>
        <v>0</v>
      </c>
      <c r="DE14" s="46" t="n">
        <f aca="false">N(AND(DE$3&lt;=$E14,DE$4&gt;=$E14))</f>
        <v>0</v>
      </c>
      <c r="DF14" s="46" t="n">
        <f aca="false">N(AND(DF$3&lt;=$E14,DF$4&gt;=$E14))</f>
        <v>0</v>
      </c>
      <c r="DG14" s="46" t="n">
        <f aca="false">N(AND(DG$3&lt;=$E14,DG$4&gt;=$E14))</f>
        <v>0</v>
      </c>
      <c r="DH14" s="46" t="n">
        <f aca="false">N(AND(DH$3&lt;=$E14,DH$4&gt;=$E14))</f>
        <v>0</v>
      </c>
      <c r="DI14" s="46" t="n">
        <f aca="false">N(AND(DI$3&lt;=$E14,DI$4&gt;=$E14))</f>
        <v>0</v>
      </c>
      <c r="DJ14" s="46" t="n">
        <f aca="false">N(AND(DJ$3&lt;=$E14,DJ$4&gt;=$E14))</f>
        <v>0</v>
      </c>
      <c r="DK14" s="46" t="n">
        <f aca="false">N(AND(DK$3&lt;=$E14,DK$4&gt;=$E14))</f>
        <v>0</v>
      </c>
      <c r="DL14" s="46" t="n">
        <f aca="false">N(AND(DL$3&lt;=$E14,DL$4&gt;=$E14))</f>
        <v>0</v>
      </c>
      <c r="DM14" s="46" t="n">
        <f aca="false">N(AND(DM$3&lt;=$E14,DM$4&gt;=$E14))</f>
        <v>0</v>
      </c>
      <c r="DN14" s="46" t="n">
        <f aca="false">N(AND(DN$3&lt;=$E14,DN$4&gt;=$E14))</f>
        <v>0</v>
      </c>
      <c r="DO14" s="46" t="n">
        <f aca="false">N(AND(DO$3&lt;=$E14,DO$4&gt;=$E14))</f>
        <v>0</v>
      </c>
      <c r="DP14" s="46" t="n">
        <f aca="false">N(AND(DP$3&lt;=$E14,DP$4&gt;=$E14))</f>
        <v>0</v>
      </c>
      <c r="DQ14" s="46" t="n">
        <f aca="false">N(AND(DQ$3&lt;=$E14,DQ$4&gt;=$E14))</f>
        <v>0</v>
      </c>
      <c r="DR14" s="46" t="n">
        <f aca="false">N(AND(DR$3&lt;=$E14,DR$4&gt;=$E14))</f>
        <v>0</v>
      </c>
      <c r="DS14" s="46" t="n">
        <f aca="false">N(AND(DS$3&lt;=$E14,DS$4&gt;=$E14))</f>
        <v>0</v>
      </c>
      <c r="DT14" s="46" t="n">
        <f aca="false">N(AND(DT$3&lt;=$E14,DT$4&gt;=$E14))</f>
        <v>0</v>
      </c>
      <c r="DU14" s="46" t="n">
        <f aca="false">N(AND(DU$3&lt;=$E14,DU$4&gt;=$E14))</f>
        <v>0</v>
      </c>
      <c r="DV14" s="46" t="n">
        <f aca="false">N(AND(DV$3&lt;=$E14,DV$4&gt;=$E14))</f>
        <v>0</v>
      </c>
      <c r="DW14" s="46" t="n">
        <f aca="false">N(AND(DW$3&lt;=$E14,DW$4&gt;=$E14))</f>
        <v>0</v>
      </c>
      <c r="DX14" s="46" t="n">
        <f aca="false">N(AND(DX$3&lt;=$E14,DX$4&gt;=$E14))</f>
        <v>0</v>
      </c>
      <c r="DY14" s="46" t="n">
        <f aca="false">N(AND(DY$3&lt;=$E14,DY$4&gt;=$E14))</f>
        <v>0</v>
      </c>
      <c r="DZ14" s="46" t="n">
        <f aca="false">N(AND(DZ$3&lt;=$E14,DZ$4&gt;=$E14))</f>
        <v>0</v>
      </c>
      <c r="EA14" s="46" t="n">
        <f aca="false">N(AND(EA$3&lt;=$E14,EA$4&gt;=$E14))</f>
        <v>0</v>
      </c>
      <c r="EB14" s="46" t="n">
        <f aca="false">N(AND(EB$3&lt;=$E14,EB$4&gt;=$E14))</f>
        <v>0</v>
      </c>
      <c r="EC14" s="46" t="n">
        <f aca="false">N(AND(EC$3&lt;=$E14,EC$4&gt;=$E14))</f>
        <v>0</v>
      </c>
      <c r="ED14" s="46" t="n">
        <f aca="false">N(AND(ED$3&lt;=$E14,ED$4&gt;=$E14))</f>
        <v>0</v>
      </c>
      <c r="EE14" s="46" t="n">
        <f aca="false">N(AND(EE$3&lt;=$E14,EE$4&gt;=$E14))</f>
        <v>0</v>
      </c>
      <c r="EF14" s="46" t="n">
        <f aca="false">N(AND(EF$3&lt;=$E14,EF$4&gt;=$E14))</f>
        <v>0</v>
      </c>
      <c r="EG14" s="46" t="n">
        <f aca="false">N(AND(EG$3&lt;=$E14,EG$4&gt;=$E14))</f>
        <v>0</v>
      </c>
      <c r="EH14" s="46" t="n">
        <f aca="false">N(AND(EH$3&lt;=$E14,EH$4&gt;=$E14))</f>
        <v>0</v>
      </c>
      <c r="EI14" s="46" t="n">
        <f aca="false">N(AND(EI$3&lt;=$E14,EI$4&gt;=$E14))</f>
        <v>0</v>
      </c>
      <c r="EJ14" s="46" t="n">
        <f aca="false">N(AND(EJ$3&lt;=$E14,EJ$4&gt;=$E14))</f>
        <v>0</v>
      </c>
      <c r="EK14" s="46" t="n">
        <f aca="false">N(AND(EK$3&lt;=$E14,EK$4&gt;=$E14))</f>
        <v>0</v>
      </c>
      <c r="EL14" s="46" t="n">
        <f aca="false">N(AND(EL$3&lt;=$E14,EL$4&gt;=$E14))</f>
        <v>0</v>
      </c>
      <c r="EM14" s="46" t="n">
        <f aca="false">N(AND(EM$3&lt;=$E14,EM$4&gt;=$E14))</f>
        <v>0</v>
      </c>
      <c r="EN14" s="46" t="n">
        <f aca="false">N(AND(EN$3&lt;=$E14,EN$4&gt;=$E14))</f>
        <v>0</v>
      </c>
      <c r="EO14" s="46" t="n">
        <f aca="false">N(AND(EO$3&lt;=$E14,EO$4&gt;=$E14))</f>
        <v>0</v>
      </c>
      <c r="EP14" s="46" t="n">
        <f aca="false">N(AND(EP$3&lt;=$E14,EP$4&gt;=$E14))</f>
        <v>0</v>
      </c>
      <c r="EQ14" s="46" t="n">
        <f aca="false">N(AND(EQ$3&lt;=$E14,EQ$4&gt;=$E14))</f>
        <v>0</v>
      </c>
      <c r="ER14" s="46" t="n">
        <f aca="false">N(AND(ER$3&lt;=$E14,ER$4&gt;=$E14))</f>
        <v>0</v>
      </c>
      <c r="ES14" s="46" t="n">
        <f aca="false">N(AND(ES$3&lt;=$E14,ES$4&gt;=$E14))</f>
        <v>0</v>
      </c>
      <c r="ET14" s="46" t="n">
        <f aca="false">N(AND(ET$3&lt;=$E14,ET$4&gt;=$E14))</f>
        <v>0</v>
      </c>
    </row>
    <row r="15" customFormat="false" ht="15" hidden="false" customHeight="false" outlineLevel="0" collapsed="false">
      <c r="C15" s="0" t="s">
        <v>371</v>
      </c>
      <c r="D15" s="11" t="s">
        <v>41</v>
      </c>
      <c r="E15" s="44" t="n">
        <f aca="false">In_COD+1</f>
        <v>48122</v>
      </c>
      <c r="F15" s="44" t="n">
        <f aca="false">EDATE(In_COD,In_Life*Months_In_Year)</f>
        <v>59079</v>
      </c>
      <c r="J15" s="52" t="n">
        <f aca="false">MAX(0,(MIN($F15,J$4)-MAX($E15,J$3)+1)/J$5)</f>
        <v>0</v>
      </c>
      <c r="K15" s="52" t="n">
        <f aca="false">MAX(0,(MIN($F15,K$4)-MAX($E15,K$3)+1)/K$5)</f>
        <v>0</v>
      </c>
      <c r="L15" s="52" t="n">
        <f aca="false">MAX(0,(MIN($F15,L$4)-MAX($E15,L$3)+1)/L$5)</f>
        <v>0</v>
      </c>
      <c r="M15" s="52" t="n">
        <f aca="false">MAX(0,(MIN($F15,M$4)-MAX($E15,M$3)+1)/M$5)</f>
        <v>0</v>
      </c>
      <c r="N15" s="52" t="n">
        <f aca="false">MAX(0,(MIN($F15,N$4)-MAX($E15,N$3)+1)/N$5)</f>
        <v>0</v>
      </c>
      <c r="O15" s="52" t="n">
        <f aca="false">MAX(0,(MIN($F15,O$4)-MAX($E15,O$3)+1)/O$5)</f>
        <v>0</v>
      </c>
      <c r="P15" s="52" t="n">
        <f aca="false">MAX(0,(MIN($F15,P$4)-MAX($E15,P$3)+1)/P$5)</f>
        <v>0</v>
      </c>
      <c r="Q15" s="52" t="n">
        <f aca="false">MAX(0,(MIN($F15,Q$4)-MAX($E15,Q$3)+1)/Q$5)</f>
        <v>0</v>
      </c>
      <c r="R15" s="52" t="n">
        <f aca="false">MAX(0,(MIN($F15,R$4)-MAX($E15,R$3)+1)/R$5)</f>
        <v>0</v>
      </c>
      <c r="S15" s="52" t="n">
        <f aca="false">MAX(0,(MIN($F15,S$4)-MAX($E15,S$3)+1)/S$5)</f>
        <v>0</v>
      </c>
      <c r="T15" s="52" t="n">
        <f aca="false">MAX(0,(MIN($F15,T$4)-MAX($E15,T$3)+1)/T$5)</f>
        <v>0</v>
      </c>
      <c r="U15" s="52" t="n">
        <f aca="false">MAX(0,(MIN($F15,U$4)-MAX($E15,U$3)+1)/U$5)</f>
        <v>0</v>
      </c>
      <c r="V15" s="52" t="n">
        <f aca="false">MAX(0,(MIN($F15,V$4)-MAX($E15,V$3)+1)/V$5)</f>
        <v>0</v>
      </c>
      <c r="W15" s="52" t="n">
        <f aca="false">MAX(0,(MIN($F15,W$4)-MAX($E15,W$3)+1)/W$5)</f>
        <v>0</v>
      </c>
      <c r="X15" s="52" t="n">
        <f aca="false">MAX(0,(MIN($F15,X$4)-MAX($E15,X$3)+1)/X$5)</f>
        <v>0</v>
      </c>
      <c r="Y15" s="52" t="n">
        <f aca="false">MAX(0,(MIN($F15,Y$4)-MAX($E15,Y$3)+1)/Y$5)</f>
        <v>0</v>
      </c>
      <c r="Z15" s="52" t="n">
        <f aca="false">MAX(0,(MIN($F15,Z$4)-MAX($E15,Z$3)+1)/Z$5)</f>
        <v>0</v>
      </c>
      <c r="AA15" s="52" t="n">
        <f aca="false">MAX(0,(MIN($F15,AA$4)-MAX($E15,AA$3)+1)/AA$5)</f>
        <v>0</v>
      </c>
      <c r="AB15" s="52" t="n">
        <f aca="false">MAX(0,(MIN($F15,AB$4)-MAX($E15,AB$3)+1)/AB$5)</f>
        <v>0</v>
      </c>
      <c r="AC15" s="52" t="n">
        <f aca="false">MAX(0,(MIN($F15,AC$4)-MAX($E15,AC$3)+1)/AC$5)</f>
        <v>0</v>
      </c>
      <c r="AD15" s="52" t="n">
        <f aca="false">MAX(0,(MIN($F15,AD$4)-MAX($E15,AD$3)+1)/AD$5)</f>
        <v>0</v>
      </c>
      <c r="AE15" s="52" t="n">
        <f aca="false">MAX(0,(MIN($F15,AE$4)-MAX($E15,AE$3)+1)/AE$5)</f>
        <v>1</v>
      </c>
      <c r="AF15" s="52" t="n">
        <f aca="false">MAX(0,(MIN($F15,AF$4)-MAX($E15,AF$3)+1)/AF$5)</f>
        <v>1</v>
      </c>
      <c r="AG15" s="52" t="n">
        <f aca="false">MAX(0,(MIN($F15,AG$4)-MAX($E15,AG$3)+1)/AG$5)</f>
        <v>1</v>
      </c>
      <c r="AH15" s="52" t="n">
        <f aca="false">MAX(0,(MIN($F15,AH$4)-MAX($E15,AH$3)+1)/AH$5)</f>
        <v>1</v>
      </c>
      <c r="AI15" s="52" t="n">
        <f aca="false">MAX(0,(MIN($F15,AI$4)-MAX($E15,AI$3)+1)/AI$5)</f>
        <v>1</v>
      </c>
      <c r="AJ15" s="52" t="n">
        <f aca="false">MAX(0,(MIN($F15,AJ$4)-MAX($E15,AJ$3)+1)/AJ$5)</f>
        <v>1</v>
      </c>
      <c r="AK15" s="52" t="n">
        <f aca="false">MAX(0,(MIN($F15,AK$4)-MAX($E15,AK$3)+1)/AK$5)</f>
        <v>1</v>
      </c>
      <c r="AL15" s="52" t="n">
        <f aca="false">MAX(0,(MIN($F15,AL$4)-MAX($E15,AL$3)+1)/AL$5)</f>
        <v>1</v>
      </c>
      <c r="AM15" s="52" t="n">
        <f aca="false">MAX(0,(MIN($F15,AM$4)-MAX($E15,AM$3)+1)/AM$5)</f>
        <v>1</v>
      </c>
      <c r="AN15" s="52" t="n">
        <f aca="false">MAX(0,(MIN($F15,AN$4)-MAX($E15,AN$3)+1)/AN$5)</f>
        <v>1</v>
      </c>
      <c r="AO15" s="52" t="n">
        <f aca="false">MAX(0,(MIN($F15,AO$4)-MAX($E15,AO$3)+1)/AO$5)</f>
        <v>1</v>
      </c>
      <c r="AP15" s="52" t="n">
        <f aca="false">MAX(0,(MIN($F15,AP$4)-MAX($E15,AP$3)+1)/AP$5)</f>
        <v>1</v>
      </c>
      <c r="AQ15" s="52" t="n">
        <f aca="false">MAX(0,(MIN($F15,AQ$4)-MAX($E15,AQ$3)+1)/AQ$5)</f>
        <v>1</v>
      </c>
      <c r="AR15" s="52" t="n">
        <f aca="false">MAX(0,(MIN($F15,AR$4)-MAX($E15,AR$3)+1)/AR$5)</f>
        <v>1</v>
      </c>
      <c r="AS15" s="52" t="n">
        <f aca="false">MAX(0,(MIN($F15,AS$4)-MAX($E15,AS$3)+1)/AS$5)</f>
        <v>1</v>
      </c>
      <c r="AT15" s="52" t="n">
        <f aca="false">MAX(0,(MIN($F15,AT$4)-MAX($E15,AT$3)+1)/AT$5)</f>
        <v>1</v>
      </c>
      <c r="AU15" s="52" t="n">
        <f aca="false">MAX(0,(MIN($F15,AU$4)-MAX($E15,AU$3)+1)/AU$5)</f>
        <v>1</v>
      </c>
      <c r="AV15" s="52" t="n">
        <f aca="false">MAX(0,(MIN($F15,AV$4)-MAX($E15,AV$3)+1)/AV$5)</f>
        <v>1</v>
      </c>
      <c r="AW15" s="52" t="n">
        <f aca="false">MAX(0,(MIN($F15,AW$4)-MAX($E15,AW$3)+1)/AW$5)</f>
        <v>1</v>
      </c>
      <c r="AX15" s="52" t="n">
        <f aca="false">MAX(0,(MIN($F15,AX$4)-MAX($E15,AX$3)+1)/AX$5)</f>
        <v>1</v>
      </c>
      <c r="AY15" s="52" t="n">
        <f aca="false">MAX(0,(MIN($F15,AY$4)-MAX($E15,AY$3)+1)/AY$5)</f>
        <v>1</v>
      </c>
      <c r="AZ15" s="52" t="n">
        <f aca="false">MAX(0,(MIN($F15,AZ$4)-MAX($E15,AZ$3)+1)/AZ$5)</f>
        <v>1</v>
      </c>
      <c r="BA15" s="52" t="n">
        <f aca="false">MAX(0,(MIN($F15,BA$4)-MAX($E15,BA$3)+1)/BA$5)</f>
        <v>1</v>
      </c>
      <c r="BB15" s="52" t="n">
        <f aca="false">MAX(0,(MIN($F15,BB$4)-MAX($E15,BB$3)+1)/BB$5)</f>
        <v>1</v>
      </c>
      <c r="BC15" s="52" t="n">
        <f aca="false">MAX(0,(MIN($F15,BC$4)-MAX($E15,BC$3)+1)/BC$5)</f>
        <v>1</v>
      </c>
      <c r="BD15" s="52" t="n">
        <f aca="false">MAX(0,(MIN($F15,BD$4)-MAX($E15,BD$3)+1)/BD$5)</f>
        <v>1</v>
      </c>
      <c r="BE15" s="52" t="n">
        <f aca="false">MAX(0,(MIN($F15,BE$4)-MAX($E15,BE$3)+1)/BE$5)</f>
        <v>1</v>
      </c>
      <c r="BF15" s="52" t="n">
        <f aca="false">MAX(0,(MIN($F15,BF$4)-MAX($E15,BF$3)+1)/BF$5)</f>
        <v>1</v>
      </c>
      <c r="BG15" s="52" t="n">
        <f aca="false">MAX(0,(MIN($F15,BG$4)-MAX($E15,BG$3)+1)/BG$5)</f>
        <v>1</v>
      </c>
      <c r="BH15" s="52" t="n">
        <f aca="false">MAX(0,(MIN($F15,BH$4)-MAX($E15,BH$3)+1)/BH$5)</f>
        <v>1</v>
      </c>
      <c r="BI15" s="52" t="n">
        <f aca="false">MAX(0,(MIN($F15,BI$4)-MAX($E15,BI$3)+1)/BI$5)</f>
        <v>1</v>
      </c>
      <c r="BJ15" s="52" t="n">
        <f aca="false">MAX(0,(MIN($F15,BJ$4)-MAX($E15,BJ$3)+1)/BJ$5)</f>
        <v>1</v>
      </c>
      <c r="BK15" s="52" t="n">
        <f aca="false">MAX(0,(MIN($F15,BK$4)-MAX($E15,BK$3)+1)/BK$5)</f>
        <v>1</v>
      </c>
      <c r="BL15" s="52" t="n">
        <f aca="false">MAX(0,(MIN($F15,BL$4)-MAX($E15,BL$3)+1)/BL$5)</f>
        <v>1</v>
      </c>
      <c r="BM15" s="52" t="n">
        <f aca="false">MAX(0,(MIN($F15,BM$4)-MAX($E15,BM$3)+1)/BM$5)</f>
        <v>1</v>
      </c>
      <c r="BN15" s="52" t="n">
        <f aca="false">MAX(0,(MIN($F15,BN$4)-MAX($E15,BN$3)+1)/BN$5)</f>
        <v>1</v>
      </c>
      <c r="BO15" s="52" t="n">
        <f aca="false">MAX(0,(MIN($F15,BO$4)-MAX($E15,BO$3)+1)/BO$5)</f>
        <v>1</v>
      </c>
      <c r="BP15" s="52" t="n">
        <f aca="false">MAX(0,(MIN($F15,BP$4)-MAX($E15,BP$3)+1)/BP$5)</f>
        <v>1</v>
      </c>
      <c r="BQ15" s="52" t="n">
        <f aca="false">MAX(0,(MIN($F15,BQ$4)-MAX($E15,BQ$3)+1)/BQ$5)</f>
        <v>1</v>
      </c>
      <c r="BR15" s="52" t="n">
        <f aca="false">MAX(0,(MIN($F15,BR$4)-MAX($E15,BR$3)+1)/BR$5)</f>
        <v>1</v>
      </c>
      <c r="BS15" s="52" t="n">
        <f aca="false">MAX(0,(MIN($F15,BS$4)-MAX($E15,BS$3)+1)/BS$5)</f>
        <v>1</v>
      </c>
      <c r="BT15" s="52" t="n">
        <f aca="false">MAX(0,(MIN($F15,BT$4)-MAX($E15,BT$3)+1)/BT$5)</f>
        <v>1</v>
      </c>
      <c r="BU15" s="52" t="n">
        <f aca="false">MAX(0,(MIN($F15,BU$4)-MAX($E15,BU$3)+1)/BU$5)</f>
        <v>1</v>
      </c>
      <c r="BV15" s="52" t="n">
        <f aca="false">MAX(0,(MIN($F15,BV$4)-MAX($E15,BV$3)+1)/BV$5)</f>
        <v>1</v>
      </c>
      <c r="BW15" s="52" t="n">
        <f aca="false">MAX(0,(MIN($F15,BW$4)-MAX($E15,BW$3)+1)/BW$5)</f>
        <v>1</v>
      </c>
      <c r="BX15" s="52" t="n">
        <f aca="false">MAX(0,(MIN($F15,BX$4)-MAX($E15,BX$3)+1)/BX$5)</f>
        <v>1</v>
      </c>
      <c r="BY15" s="52" t="n">
        <f aca="false">MAX(0,(MIN($F15,BY$4)-MAX($E15,BY$3)+1)/BY$5)</f>
        <v>1</v>
      </c>
      <c r="BZ15" s="52" t="n">
        <f aca="false">MAX(0,(MIN($F15,BZ$4)-MAX($E15,BZ$3)+1)/BZ$5)</f>
        <v>1</v>
      </c>
      <c r="CA15" s="52" t="n">
        <f aca="false">MAX(0,(MIN($F15,CA$4)-MAX($E15,CA$3)+1)/CA$5)</f>
        <v>1</v>
      </c>
      <c r="CB15" s="52" t="n">
        <f aca="false">MAX(0,(MIN($F15,CB$4)-MAX($E15,CB$3)+1)/CB$5)</f>
        <v>1</v>
      </c>
      <c r="CC15" s="52" t="n">
        <f aca="false">MAX(0,(MIN($F15,CC$4)-MAX($E15,CC$3)+1)/CC$5)</f>
        <v>1</v>
      </c>
      <c r="CD15" s="52" t="n">
        <f aca="false">MAX(0,(MIN($F15,CD$4)-MAX($E15,CD$3)+1)/CD$5)</f>
        <v>1</v>
      </c>
      <c r="CE15" s="52" t="n">
        <f aca="false">MAX(0,(MIN($F15,CE$4)-MAX($E15,CE$3)+1)/CE$5)</f>
        <v>1</v>
      </c>
      <c r="CF15" s="52" t="n">
        <f aca="false">MAX(0,(MIN($F15,CF$4)-MAX($E15,CF$3)+1)/CF$5)</f>
        <v>1</v>
      </c>
      <c r="CG15" s="52" t="n">
        <f aca="false">MAX(0,(MIN($F15,CG$4)-MAX($E15,CG$3)+1)/CG$5)</f>
        <v>1</v>
      </c>
      <c r="CH15" s="52" t="n">
        <f aca="false">MAX(0,(MIN($F15,CH$4)-MAX($E15,CH$3)+1)/CH$5)</f>
        <v>1</v>
      </c>
      <c r="CI15" s="52" t="n">
        <f aca="false">MAX(0,(MIN($F15,CI$4)-MAX($E15,CI$3)+1)/CI$5)</f>
        <v>1</v>
      </c>
      <c r="CJ15" s="52" t="n">
        <f aca="false">MAX(0,(MIN($F15,CJ$4)-MAX($E15,CJ$3)+1)/CJ$5)</f>
        <v>1</v>
      </c>
      <c r="CK15" s="52" t="n">
        <f aca="false">MAX(0,(MIN($F15,CK$4)-MAX($E15,CK$3)+1)/CK$5)</f>
        <v>1</v>
      </c>
      <c r="CL15" s="52" t="n">
        <f aca="false">MAX(0,(MIN($F15,CL$4)-MAX($E15,CL$3)+1)/CL$5)</f>
        <v>1</v>
      </c>
      <c r="CM15" s="52" t="n">
        <f aca="false">MAX(0,(MIN($F15,CM$4)-MAX($E15,CM$3)+1)/CM$5)</f>
        <v>1</v>
      </c>
      <c r="CN15" s="52" t="n">
        <f aca="false">MAX(0,(MIN($F15,CN$4)-MAX($E15,CN$3)+1)/CN$5)</f>
        <v>1</v>
      </c>
      <c r="CO15" s="52" t="n">
        <f aca="false">MAX(0,(MIN($F15,CO$4)-MAX($E15,CO$3)+1)/CO$5)</f>
        <v>1</v>
      </c>
      <c r="CP15" s="52" t="n">
        <f aca="false">MAX(0,(MIN($F15,CP$4)-MAX($E15,CP$3)+1)/CP$5)</f>
        <v>1</v>
      </c>
      <c r="CQ15" s="52" t="n">
        <f aca="false">MAX(0,(MIN($F15,CQ$4)-MAX($E15,CQ$3)+1)/CQ$5)</f>
        <v>1</v>
      </c>
      <c r="CR15" s="52" t="n">
        <f aca="false">MAX(0,(MIN($F15,CR$4)-MAX($E15,CR$3)+1)/CR$5)</f>
        <v>1</v>
      </c>
      <c r="CS15" s="52" t="n">
        <f aca="false">MAX(0,(MIN($F15,CS$4)-MAX($E15,CS$3)+1)/CS$5)</f>
        <v>1</v>
      </c>
      <c r="CT15" s="52" t="n">
        <f aca="false">MAX(0,(MIN($F15,CT$4)-MAX($E15,CT$3)+1)/CT$5)</f>
        <v>1</v>
      </c>
      <c r="CU15" s="52" t="n">
        <f aca="false">MAX(0,(MIN($F15,CU$4)-MAX($E15,CU$3)+1)/CU$5)</f>
        <v>1</v>
      </c>
      <c r="CV15" s="52" t="n">
        <f aca="false">MAX(0,(MIN($F15,CV$4)-MAX($E15,CV$3)+1)/CV$5)</f>
        <v>1</v>
      </c>
      <c r="CW15" s="52" t="n">
        <f aca="false">MAX(0,(MIN($F15,CW$4)-MAX($E15,CW$3)+1)/CW$5)</f>
        <v>1</v>
      </c>
      <c r="CX15" s="52" t="n">
        <f aca="false">MAX(0,(MIN($F15,CX$4)-MAX($E15,CX$3)+1)/CX$5)</f>
        <v>1</v>
      </c>
      <c r="CY15" s="52" t="n">
        <f aca="false">MAX(0,(MIN($F15,CY$4)-MAX($E15,CY$3)+1)/CY$5)</f>
        <v>1</v>
      </c>
      <c r="CZ15" s="52" t="n">
        <f aca="false">MAX(0,(MIN($F15,CZ$4)-MAX($E15,CZ$3)+1)/CZ$5)</f>
        <v>1</v>
      </c>
      <c r="DA15" s="52" t="n">
        <f aca="false">MAX(0,(MIN($F15,DA$4)-MAX($E15,DA$3)+1)/DA$5)</f>
        <v>1</v>
      </c>
      <c r="DB15" s="52" t="n">
        <f aca="false">MAX(0,(MIN($F15,DB$4)-MAX($E15,DB$3)+1)/DB$5)</f>
        <v>1</v>
      </c>
      <c r="DC15" s="52" t="n">
        <f aca="false">MAX(0,(MIN($F15,DC$4)-MAX($E15,DC$3)+1)/DC$5)</f>
        <v>1</v>
      </c>
      <c r="DD15" s="52" t="n">
        <f aca="false">MAX(0,(MIN($F15,DD$4)-MAX($E15,DD$3)+1)/DD$5)</f>
        <v>1</v>
      </c>
      <c r="DE15" s="52" t="n">
        <f aca="false">MAX(0,(MIN($F15,DE$4)-MAX($E15,DE$3)+1)/DE$5)</f>
        <v>1</v>
      </c>
      <c r="DF15" s="52" t="n">
        <f aca="false">MAX(0,(MIN($F15,DF$4)-MAX($E15,DF$3)+1)/DF$5)</f>
        <v>1</v>
      </c>
      <c r="DG15" s="52" t="n">
        <f aca="false">MAX(0,(MIN($F15,DG$4)-MAX($E15,DG$3)+1)/DG$5)</f>
        <v>1</v>
      </c>
      <c r="DH15" s="52" t="n">
        <f aca="false">MAX(0,(MIN($F15,DH$4)-MAX($E15,DH$3)+1)/DH$5)</f>
        <v>1</v>
      </c>
      <c r="DI15" s="52" t="n">
        <f aca="false">MAX(0,(MIN($F15,DI$4)-MAX($E15,DI$3)+1)/DI$5)</f>
        <v>1</v>
      </c>
      <c r="DJ15" s="52" t="n">
        <f aca="false">MAX(0,(MIN($F15,DJ$4)-MAX($E15,DJ$3)+1)/DJ$5)</f>
        <v>1</v>
      </c>
      <c r="DK15" s="52" t="n">
        <f aca="false">MAX(0,(MIN($F15,DK$4)-MAX($E15,DK$3)+1)/DK$5)</f>
        <v>1</v>
      </c>
      <c r="DL15" s="52" t="n">
        <f aca="false">MAX(0,(MIN($F15,DL$4)-MAX($E15,DL$3)+1)/DL$5)</f>
        <v>1</v>
      </c>
      <c r="DM15" s="52" t="n">
        <f aca="false">MAX(0,(MIN($F15,DM$4)-MAX($E15,DM$3)+1)/DM$5)</f>
        <v>1</v>
      </c>
      <c r="DN15" s="52" t="n">
        <f aca="false">MAX(0,(MIN($F15,DN$4)-MAX($E15,DN$3)+1)/DN$5)</f>
        <v>1</v>
      </c>
      <c r="DO15" s="52" t="n">
        <f aca="false">MAX(0,(MIN($F15,DO$4)-MAX($E15,DO$3)+1)/DO$5)</f>
        <v>1</v>
      </c>
      <c r="DP15" s="52" t="n">
        <f aca="false">MAX(0,(MIN($F15,DP$4)-MAX($E15,DP$3)+1)/DP$5)</f>
        <v>1</v>
      </c>
      <c r="DQ15" s="52" t="n">
        <f aca="false">MAX(0,(MIN($F15,DQ$4)-MAX($E15,DQ$3)+1)/DQ$5)</f>
        <v>1</v>
      </c>
      <c r="DR15" s="52" t="n">
        <f aca="false">MAX(0,(MIN($F15,DR$4)-MAX($E15,DR$3)+1)/DR$5)</f>
        <v>1</v>
      </c>
      <c r="DS15" s="52" t="n">
        <f aca="false">MAX(0,(MIN($F15,DS$4)-MAX($E15,DS$3)+1)/DS$5)</f>
        <v>1</v>
      </c>
      <c r="DT15" s="52" t="n">
        <f aca="false">MAX(0,(MIN($F15,DT$4)-MAX($E15,DT$3)+1)/DT$5)</f>
        <v>1</v>
      </c>
      <c r="DU15" s="52" t="n">
        <f aca="false">MAX(0,(MIN($F15,DU$4)-MAX($E15,DU$3)+1)/DU$5)</f>
        <v>1</v>
      </c>
      <c r="DV15" s="52" t="n">
        <f aca="false">MAX(0,(MIN($F15,DV$4)-MAX($E15,DV$3)+1)/DV$5)</f>
        <v>1</v>
      </c>
      <c r="DW15" s="52" t="n">
        <f aca="false">MAX(0,(MIN($F15,DW$4)-MAX($E15,DW$3)+1)/DW$5)</f>
        <v>1</v>
      </c>
      <c r="DX15" s="52" t="n">
        <f aca="false">MAX(0,(MIN($F15,DX$4)-MAX($E15,DX$3)+1)/DX$5)</f>
        <v>1</v>
      </c>
      <c r="DY15" s="52" t="n">
        <f aca="false">MAX(0,(MIN($F15,DY$4)-MAX($E15,DY$3)+1)/DY$5)</f>
        <v>1</v>
      </c>
      <c r="DZ15" s="52" t="n">
        <f aca="false">MAX(0,(MIN($F15,DZ$4)-MAX($E15,DZ$3)+1)/DZ$5)</f>
        <v>1</v>
      </c>
      <c r="EA15" s="52" t="n">
        <f aca="false">MAX(0,(MIN($F15,EA$4)-MAX($E15,EA$3)+1)/EA$5)</f>
        <v>1</v>
      </c>
      <c r="EB15" s="52" t="n">
        <f aca="false">MAX(0,(MIN($F15,EB$4)-MAX($E15,EB$3)+1)/EB$5)</f>
        <v>1</v>
      </c>
      <c r="EC15" s="52" t="n">
        <f aca="false">MAX(0,(MIN($F15,EC$4)-MAX($E15,EC$3)+1)/EC$5)</f>
        <v>1</v>
      </c>
      <c r="ED15" s="52" t="n">
        <f aca="false">MAX(0,(MIN($F15,ED$4)-MAX($E15,ED$3)+1)/ED$5)</f>
        <v>1</v>
      </c>
      <c r="EE15" s="52" t="n">
        <f aca="false">MAX(0,(MIN($F15,EE$4)-MAX($E15,EE$3)+1)/EE$5)</f>
        <v>1</v>
      </c>
      <c r="EF15" s="52" t="n">
        <f aca="false">MAX(0,(MIN($F15,EF$4)-MAX($E15,EF$3)+1)/EF$5)</f>
        <v>1</v>
      </c>
      <c r="EG15" s="52" t="n">
        <f aca="false">MAX(0,(MIN($F15,EG$4)-MAX($E15,EG$3)+1)/EG$5)</f>
        <v>1</v>
      </c>
      <c r="EH15" s="52" t="n">
        <f aca="false">MAX(0,(MIN($F15,EH$4)-MAX($E15,EH$3)+1)/EH$5)</f>
        <v>1</v>
      </c>
      <c r="EI15" s="52" t="n">
        <f aca="false">MAX(0,(MIN($F15,EI$4)-MAX($E15,EI$3)+1)/EI$5)</f>
        <v>1</v>
      </c>
      <c r="EJ15" s="52" t="n">
        <f aca="false">MAX(0,(MIN($F15,EJ$4)-MAX($E15,EJ$3)+1)/EJ$5)</f>
        <v>1</v>
      </c>
      <c r="EK15" s="52" t="n">
        <f aca="false">MAX(0,(MIN($F15,EK$4)-MAX($E15,EK$3)+1)/EK$5)</f>
        <v>1</v>
      </c>
      <c r="EL15" s="52" t="n">
        <f aca="false">MAX(0,(MIN($F15,EL$4)-MAX($E15,EL$3)+1)/EL$5)</f>
        <v>1</v>
      </c>
      <c r="EM15" s="52" t="n">
        <f aca="false">MAX(0,(MIN($F15,EM$4)-MAX($E15,EM$3)+1)/EM$5)</f>
        <v>1</v>
      </c>
      <c r="EN15" s="52" t="n">
        <f aca="false">MAX(0,(MIN($F15,EN$4)-MAX($E15,EN$3)+1)/EN$5)</f>
        <v>1</v>
      </c>
      <c r="EO15" s="52" t="n">
        <f aca="false">MAX(0,(MIN($F15,EO$4)-MAX($E15,EO$3)+1)/EO$5)</f>
        <v>1</v>
      </c>
      <c r="EP15" s="52" t="n">
        <f aca="false">MAX(0,(MIN($F15,EP$4)-MAX($E15,EP$3)+1)/EP$5)</f>
        <v>1</v>
      </c>
      <c r="EQ15" s="52" t="n">
        <f aca="false">MAX(0,(MIN($F15,EQ$4)-MAX($E15,EQ$3)+1)/EQ$5)</f>
        <v>1</v>
      </c>
      <c r="ER15" s="52" t="n">
        <f aca="false">MAX(0,(MIN($F15,ER$4)-MAX($E15,ER$3)+1)/ER$5)</f>
        <v>1</v>
      </c>
      <c r="ES15" s="52" t="n">
        <f aca="false">MAX(0,(MIN($F15,ES$4)-MAX($E15,ES$3)+1)/ES$5)</f>
        <v>1</v>
      </c>
      <c r="ET15" s="52" t="n">
        <f aca="false">MAX(0,(MIN($F15,ET$4)-MAX($E15,ET$3)+1)/ET$5)</f>
        <v>1</v>
      </c>
    </row>
    <row r="16" customFormat="false" ht="15" hidden="false" customHeight="false" outlineLevel="0" collapsed="false">
      <c r="C16" s="0" t="s">
        <v>489</v>
      </c>
      <c r="D16" s="11" t="s">
        <v>41</v>
      </c>
      <c r="E16" s="44" t="n">
        <f aca="false">In_NTP+1</f>
        <v>47392</v>
      </c>
      <c r="F16" s="44" t="n">
        <f aca="false">EDATE(In_COD,In_Life*Months_In_Year)</f>
        <v>59079</v>
      </c>
      <c r="J16" s="52" t="n">
        <f aca="false">MAX(0,(MIN($F16,J$4)-MAX($E16,J$3)+1)/J$5)</f>
        <v>0</v>
      </c>
      <c r="K16" s="52" t="n">
        <f aca="false">MAX(0,(MIN($F16,K$4)-MAX($E16,K$3)+1)/K$5)</f>
        <v>0</v>
      </c>
      <c r="L16" s="52" t="n">
        <f aca="false">MAX(0,(MIN($F16,L$4)-MAX($E16,L$3)+1)/L$5)</f>
        <v>0</v>
      </c>
      <c r="M16" s="52" t="n">
        <f aca="false">MAX(0,(MIN($F16,M$4)-MAX($E16,M$3)+1)/M$5)</f>
        <v>0</v>
      </c>
      <c r="N16" s="52" t="n">
        <f aca="false">MAX(0,(MIN($F16,N$4)-MAX($E16,N$3)+1)/N$5)</f>
        <v>0</v>
      </c>
      <c r="O16" s="52" t="n">
        <f aca="false">MAX(0,(MIN($F16,O$4)-MAX($E16,O$3)+1)/O$5)</f>
        <v>0</v>
      </c>
      <c r="P16" s="52" t="n">
        <f aca="false">MAX(0,(MIN($F16,P$4)-MAX($E16,P$3)+1)/P$5)</f>
        <v>0</v>
      </c>
      <c r="Q16" s="52" t="n">
        <f aca="false">MAX(0,(MIN($F16,Q$4)-MAX($E16,Q$3)+1)/Q$5)</f>
        <v>0</v>
      </c>
      <c r="R16" s="52" t="n">
        <f aca="false">MAX(0,(MIN($F16,R$4)-MAX($E16,R$3)+1)/R$5)</f>
        <v>0</v>
      </c>
      <c r="S16" s="52" t="n">
        <f aca="false">MAX(0,(MIN($F16,S$4)-MAX($E16,S$3)+1)/S$5)</f>
        <v>0</v>
      </c>
      <c r="T16" s="52" t="n">
        <f aca="false">MAX(0,(MIN($F16,T$4)-MAX($E16,T$3)+1)/T$5)</f>
        <v>0</v>
      </c>
      <c r="U16" s="52" t="n">
        <f aca="false">MAX(0,(MIN($F16,U$4)-MAX($E16,U$3)+1)/U$5)</f>
        <v>0</v>
      </c>
      <c r="V16" s="52" t="n">
        <f aca="false">MAX(0,(MIN($F16,V$4)-MAX($E16,V$3)+1)/V$5)</f>
        <v>0</v>
      </c>
      <c r="W16" s="52" t="n">
        <f aca="false">MAX(0,(MIN($F16,W$4)-MAX($E16,W$3)+1)/W$5)</f>
        <v>1</v>
      </c>
      <c r="X16" s="52" t="n">
        <f aca="false">MAX(0,(MIN($F16,X$4)-MAX($E16,X$3)+1)/X$5)</f>
        <v>1</v>
      </c>
      <c r="Y16" s="52" t="n">
        <f aca="false">MAX(0,(MIN($F16,Y$4)-MAX($E16,Y$3)+1)/Y$5)</f>
        <v>1</v>
      </c>
      <c r="Z16" s="52" t="n">
        <f aca="false">MAX(0,(MIN($F16,Z$4)-MAX($E16,Z$3)+1)/Z$5)</f>
        <v>1</v>
      </c>
      <c r="AA16" s="52" t="n">
        <f aca="false">MAX(0,(MIN($F16,AA$4)-MAX($E16,AA$3)+1)/AA$5)</f>
        <v>1</v>
      </c>
      <c r="AB16" s="52" t="n">
        <f aca="false">MAX(0,(MIN($F16,AB$4)-MAX($E16,AB$3)+1)/AB$5)</f>
        <v>1</v>
      </c>
      <c r="AC16" s="52" t="n">
        <f aca="false">MAX(0,(MIN($F16,AC$4)-MAX($E16,AC$3)+1)/AC$5)</f>
        <v>1</v>
      </c>
      <c r="AD16" s="52" t="n">
        <f aca="false">MAX(0,(MIN($F16,AD$4)-MAX($E16,AD$3)+1)/AD$5)</f>
        <v>1</v>
      </c>
      <c r="AE16" s="52" t="n">
        <f aca="false">MAX(0,(MIN($F16,AE$4)-MAX($E16,AE$3)+1)/AE$5)</f>
        <v>1</v>
      </c>
      <c r="AF16" s="52" t="n">
        <f aca="false">MAX(0,(MIN($F16,AF$4)-MAX($E16,AF$3)+1)/AF$5)</f>
        <v>1</v>
      </c>
      <c r="AG16" s="52" t="n">
        <f aca="false">MAX(0,(MIN($F16,AG$4)-MAX($E16,AG$3)+1)/AG$5)</f>
        <v>1</v>
      </c>
      <c r="AH16" s="52" t="n">
        <f aca="false">MAX(0,(MIN($F16,AH$4)-MAX($E16,AH$3)+1)/AH$5)</f>
        <v>1</v>
      </c>
      <c r="AI16" s="52" t="n">
        <f aca="false">MAX(0,(MIN($F16,AI$4)-MAX($E16,AI$3)+1)/AI$5)</f>
        <v>1</v>
      </c>
      <c r="AJ16" s="52" t="n">
        <f aca="false">MAX(0,(MIN($F16,AJ$4)-MAX($E16,AJ$3)+1)/AJ$5)</f>
        <v>1</v>
      </c>
      <c r="AK16" s="52" t="n">
        <f aca="false">MAX(0,(MIN($F16,AK$4)-MAX($E16,AK$3)+1)/AK$5)</f>
        <v>1</v>
      </c>
      <c r="AL16" s="52" t="n">
        <f aca="false">MAX(0,(MIN($F16,AL$4)-MAX($E16,AL$3)+1)/AL$5)</f>
        <v>1</v>
      </c>
      <c r="AM16" s="52" t="n">
        <f aca="false">MAX(0,(MIN($F16,AM$4)-MAX($E16,AM$3)+1)/AM$5)</f>
        <v>1</v>
      </c>
      <c r="AN16" s="52" t="n">
        <f aca="false">MAX(0,(MIN($F16,AN$4)-MAX($E16,AN$3)+1)/AN$5)</f>
        <v>1</v>
      </c>
      <c r="AO16" s="52" t="n">
        <f aca="false">MAX(0,(MIN($F16,AO$4)-MAX($E16,AO$3)+1)/AO$5)</f>
        <v>1</v>
      </c>
      <c r="AP16" s="52" t="n">
        <f aca="false">MAX(0,(MIN($F16,AP$4)-MAX($E16,AP$3)+1)/AP$5)</f>
        <v>1</v>
      </c>
      <c r="AQ16" s="52" t="n">
        <f aca="false">MAX(0,(MIN($F16,AQ$4)-MAX($E16,AQ$3)+1)/AQ$5)</f>
        <v>1</v>
      </c>
      <c r="AR16" s="52" t="n">
        <f aca="false">MAX(0,(MIN($F16,AR$4)-MAX($E16,AR$3)+1)/AR$5)</f>
        <v>1</v>
      </c>
      <c r="AS16" s="52" t="n">
        <f aca="false">MAX(0,(MIN($F16,AS$4)-MAX($E16,AS$3)+1)/AS$5)</f>
        <v>1</v>
      </c>
      <c r="AT16" s="52" t="n">
        <f aca="false">MAX(0,(MIN($F16,AT$4)-MAX($E16,AT$3)+1)/AT$5)</f>
        <v>1</v>
      </c>
      <c r="AU16" s="52" t="n">
        <f aca="false">MAX(0,(MIN($F16,AU$4)-MAX($E16,AU$3)+1)/AU$5)</f>
        <v>1</v>
      </c>
      <c r="AV16" s="52" t="n">
        <f aca="false">MAX(0,(MIN($F16,AV$4)-MAX($E16,AV$3)+1)/AV$5)</f>
        <v>1</v>
      </c>
      <c r="AW16" s="52" t="n">
        <f aca="false">MAX(0,(MIN($F16,AW$4)-MAX($E16,AW$3)+1)/AW$5)</f>
        <v>1</v>
      </c>
      <c r="AX16" s="52" t="n">
        <f aca="false">MAX(0,(MIN($F16,AX$4)-MAX($E16,AX$3)+1)/AX$5)</f>
        <v>1</v>
      </c>
      <c r="AY16" s="52" t="n">
        <f aca="false">MAX(0,(MIN($F16,AY$4)-MAX($E16,AY$3)+1)/AY$5)</f>
        <v>1</v>
      </c>
      <c r="AZ16" s="52" t="n">
        <f aca="false">MAX(0,(MIN($F16,AZ$4)-MAX($E16,AZ$3)+1)/AZ$5)</f>
        <v>1</v>
      </c>
      <c r="BA16" s="52" t="n">
        <f aca="false">MAX(0,(MIN($F16,BA$4)-MAX($E16,BA$3)+1)/BA$5)</f>
        <v>1</v>
      </c>
      <c r="BB16" s="52" t="n">
        <f aca="false">MAX(0,(MIN($F16,BB$4)-MAX($E16,BB$3)+1)/BB$5)</f>
        <v>1</v>
      </c>
      <c r="BC16" s="52" t="n">
        <f aca="false">MAX(0,(MIN($F16,BC$4)-MAX($E16,BC$3)+1)/BC$5)</f>
        <v>1</v>
      </c>
      <c r="BD16" s="52" t="n">
        <f aca="false">MAX(0,(MIN($F16,BD$4)-MAX($E16,BD$3)+1)/BD$5)</f>
        <v>1</v>
      </c>
      <c r="BE16" s="52" t="n">
        <f aca="false">MAX(0,(MIN($F16,BE$4)-MAX($E16,BE$3)+1)/BE$5)</f>
        <v>1</v>
      </c>
      <c r="BF16" s="52" t="n">
        <f aca="false">MAX(0,(MIN($F16,BF$4)-MAX($E16,BF$3)+1)/BF$5)</f>
        <v>1</v>
      </c>
      <c r="BG16" s="52" t="n">
        <f aca="false">MAX(0,(MIN($F16,BG$4)-MAX($E16,BG$3)+1)/BG$5)</f>
        <v>1</v>
      </c>
      <c r="BH16" s="52" t="n">
        <f aca="false">MAX(0,(MIN($F16,BH$4)-MAX($E16,BH$3)+1)/BH$5)</f>
        <v>1</v>
      </c>
      <c r="BI16" s="52" t="n">
        <f aca="false">MAX(0,(MIN($F16,BI$4)-MAX($E16,BI$3)+1)/BI$5)</f>
        <v>1</v>
      </c>
      <c r="BJ16" s="52" t="n">
        <f aca="false">MAX(0,(MIN($F16,BJ$4)-MAX($E16,BJ$3)+1)/BJ$5)</f>
        <v>1</v>
      </c>
      <c r="BK16" s="52" t="n">
        <f aca="false">MAX(0,(MIN($F16,BK$4)-MAX($E16,BK$3)+1)/BK$5)</f>
        <v>1</v>
      </c>
      <c r="BL16" s="52" t="n">
        <f aca="false">MAX(0,(MIN($F16,BL$4)-MAX($E16,BL$3)+1)/BL$5)</f>
        <v>1</v>
      </c>
      <c r="BM16" s="52" t="n">
        <f aca="false">MAX(0,(MIN($F16,BM$4)-MAX($E16,BM$3)+1)/BM$5)</f>
        <v>1</v>
      </c>
      <c r="BN16" s="52" t="n">
        <f aca="false">MAX(0,(MIN($F16,BN$4)-MAX($E16,BN$3)+1)/BN$5)</f>
        <v>1</v>
      </c>
      <c r="BO16" s="52" t="n">
        <f aca="false">MAX(0,(MIN($F16,BO$4)-MAX($E16,BO$3)+1)/BO$5)</f>
        <v>1</v>
      </c>
      <c r="BP16" s="52" t="n">
        <f aca="false">MAX(0,(MIN($F16,BP$4)-MAX($E16,BP$3)+1)/BP$5)</f>
        <v>1</v>
      </c>
      <c r="BQ16" s="52" t="n">
        <f aca="false">MAX(0,(MIN($F16,BQ$4)-MAX($E16,BQ$3)+1)/BQ$5)</f>
        <v>1</v>
      </c>
      <c r="BR16" s="52" t="n">
        <f aca="false">MAX(0,(MIN($F16,BR$4)-MAX($E16,BR$3)+1)/BR$5)</f>
        <v>1</v>
      </c>
      <c r="BS16" s="52" t="n">
        <f aca="false">MAX(0,(MIN($F16,BS$4)-MAX($E16,BS$3)+1)/BS$5)</f>
        <v>1</v>
      </c>
      <c r="BT16" s="52" t="n">
        <f aca="false">MAX(0,(MIN($F16,BT$4)-MAX($E16,BT$3)+1)/BT$5)</f>
        <v>1</v>
      </c>
      <c r="BU16" s="52" t="n">
        <f aca="false">MAX(0,(MIN($F16,BU$4)-MAX($E16,BU$3)+1)/BU$5)</f>
        <v>1</v>
      </c>
      <c r="BV16" s="52" t="n">
        <f aca="false">MAX(0,(MIN($F16,BV$4)-MAX($E16,BV$3)+1)/BV$5)</f>
        <v>1</v>
      </c>
      <c r="BW16" s="52" t="n">
        <f aca="false">MAX(0,(MIN($F16,BW$4)-MAX($E16,BW$3)+1)/BW$5)</f>
        <v>1</v>
      </c>
      <c r="BX16" s="52" t="n">
        <f aca="false">MAX(0,(MIN($F16,BX$4)-MAX($E16,BX$3)+1)/BX$5)</f>
        <v>1</v>
      </c>
      <c r="BY16" s="52" t="n">
        <f aca="false">MAX(0,(MIN($F16,BY$4)-MAX($E16,BY$3)+1)/BY$5)</f>
        <v>1</v>
      </c>
      <c r="BZ16" s="52" t="n">
        <f aca="false">MAX(0,(MIN($F16,BZ$4)-MAX($E16,BZ$3)+1)/BZ$5)</f>
        <v>1</v>
      </c>
      <c r="CA16" s="52" t="n">
        <f aca="false">MAX(0,(MIN($F16,CA$4)-MAX($E16,CA$3)+1)/CA$5)</f>
        <v>1</v>
      </c>
      <c r="CB16" s="52" t="n">
        <f aca="false">MAX(0,(MIN($F16,CB$4)-MAX($E16,CB$3)+1)/CB$5)</f>
        <v>1</v>
      </c>
      <c r="CC16" s="52" t="n">
        <f aca="false">MAX(0,(MIN($F16,CC$4)-MAX($E16,CC$3)+1)/CC$5)</f>
        <v>1</v>
      </c>
      <c r="CD16" s="52" t="n">
        <f aca="false">MAX(0,(MIN($F16,CD$4)-MAX($E16,CD$3)+1)/CD$5)</f>
        <v>1</v>
      </c>
      <c r="CE16" s="52" t="n">
        <f aca="false">MAX(0,(MIN($F16,CE$4)-MAX($E16,CE$3)+1)/CE$5)</f>
        <v>1</v>
      </c>
      <c r="CF16" s="52" t="n">
        <f aca="false">MAX(0,(MIN($F16,CF$4)-MAX($E16,CF$3)+1)/CF$5)</f>
        <v>1</v>
      </c>
      <c r="CG16" s="52" t="n">
        <f aca="false">MAX(0,(MIN($F16,CG$4)-MAX($E16,CG$3)+1)/CG$5)</f>
        <v>1</v>
      </c>
      <c r="CH16" s="52" t="n">
        <f aca="false">MAX(0,(MIN($F16,CH$4)-MAX($E16,CH$3)+1)/CH$5)</f>
        <v>1</v>
      </c>
      <c r="CI16" s="52" t="n">
        <f aca="false">MAX(0,(MIN($F16,CI$4)-MAX($E16,CI$3)+1)/CI$5)</f>
        <v>1</v>
      </c>
      <c r="CJ16" s="52" t="n">
        <f aca="false">MAX(0,(MIN($F16,CJ$4)-MAX($E16,CJ$3)+1)/CJ$5)</f>
        <v>1</v>
      </c>
      <c r="CK16" s="52" t="n">
        <f aca="false">MAX(0,(MIN($F16,CK$4)-MAX($E16,CK$3)+1)/CK$5)</f>
        <v>1</v>
      </c>
      <c r="CL16" s="52" t="n">
        <f aca="false">MAX(0,(MIN($F16,CL$4)-MAX($E16,CL$3)+1)/CL$5)</f>
        <v>1</v>
      </c>
      <c r="CM16" s="52" t="n">
        <f aca="false">MAX(0,(MIN($F16,CM$4)-MAX($E16,CM$3)+1)/CM$5)</f>
        <v>1</v>
      </c>
      <c r="CN16" s="52" t="n">
        <f aca="false">MAX(0,(MIN($F16,CN$4)-MAX($E16,CN$3)+1)/CN$5)</f>
        <v>1</v>
      </c>
      <c r="CO16" s="52" t="n">
        <f aca="false">MAX(0,(MIN($F16,CO$4)-MAX($E16,CO$3)+1)/CO$5)</f>
        <v>1</v>
      </c>
      <c r="CP16" s="52" t="n">
        <f aca="false">MAX(0,(MIN($F16,CP$4)-MAX($E16,CP$3)+1)/CP$5)</f>
        <v>1</v>
      </c>
      <c r="CQ16" s="52" t="n">
        <f aca="false">MAX(0,(MIN($F16,CQ$4)-MAX($E16,CQ$3)+1)/CQ$5)</f>
        <v>1</v>
      </c>
      <c r="CR16" s="52" t="n">
        <f aca="false">MAX(0,(MIN($F16,CR$4)-MAX($E16,CR$3)+1)/CR$5)</f>
        <v>1</v>
      </c>
      <c r="CS16" s="52" t="n">
        <f aca="false">MAX(0,(MIN($F16,CS$4)-MAX($E16,CS$3)+1)/CS$5)</f>
        <v>1</v>
      </c>
      <c r="CT16" s="52" t="n">
        <f aca="false">MAX(0,(MIN($F16,CT$4)-MAX($E16,CT$3)+1)/CT$5)</f>
        <v>1</v>
      </c>
      <c r="CU16" s="52" t="n">
        <f aca="false">MAX(0,(MIN($F16,CU$4)-MAX($E16,CU$3)+1)/CU$5)</f>
        <v>1</v>
      </c>
      <c r="CV16" s="52" t="n">
        <f aca="false">MAX(0,(MIN($F16,CV$4)-MAX($E16,CV$3)+1)/CV$5)</f>
        <v>1</v>
      </c>
      <c r="CW16" s="52" t="n">
        <f aca="false">MAX(0,(MIN($F16,CW$4)-MAX($E16,CW$3)+1)/CW$5)</f>
        <v>1</v>
      </c>
      <c r="CX16" s="52" t="n">
        <f aca="false">MAX(0,(MIN($F16,CX$4)-MAX($E16,CX$3)+1)/CX$5)</f>
        <v>1</v>
      </c>
      <c r="CY16" s="52" t="n">
        <f aca="false">MAX(0,(MIN($F16,CY$4)-MAX($E16,CY$3)+1)/CY$5)</f>
        <v>1</v>
      </c>
      <c r="CZ16" s="52" t="n">
        <f aca="false">MAX(0,(MIN($F16,CZ$4)-MAX($E16,CZ$3)+1)/CZ$5)</f>
        <v>1</v>
      </c>
      <c r="DA16" s="52" t="n">
        <f aca="false">MAX(0,(MIN($F16,DA$4)-MAX($E16,DA$3)+1)/DA$5)</f>
        <v>1</v>
      </c>
      <c r="DB16" s="52" t="n">
        <f aca="false">MAX(0,(MIN($F16,DB$4)-MAX($E16,DB$3)+1)/DB$5)</f>
        <v>1</v>
      </c>
      <c r="DC16" s="52" t="n">
        <f aca="false">MAX(0,(MIN($F16,DC$4)-MAX($E16,DC$3)+1)/DC$5)</f>
        <v>1</v>
      </c>
      <c r="DD16" s="52" t="n">
        <f aca="false">MAX(0,(MIN($F16,DD$4)-MAX($E16,DD$3)+1)/DD$5)</f>
        <v>1</v>
      </c>
      <c r="DE16" s="52" t="n">
        <f aca="false">MAX(0,(MIN($F16,DE$4)-MAX($E16,DE$3)+1)/DE$5)</f>
        <v>1</v>
      </c>
      <c r="DF16" s="52" t="n">
        <f aca="false">MAX(0,(MIN($F16,DF$4)-MAX($E16,DF$3)+1)/DF$5)</f>
        <v>1</v>
      </c>
      <c r="DG16" s="52" t="n">
        <f aca="false">MAX(0,(MIN($F16,DG$4)-MAX($E16,DG$3)+1)/DG$5)</f>
        <v>1</v>
      </c>
      <c r="DH16" s="52" t="n">
        <f aca="false">MAX(0,(MIN($F16,DH$4)-MAX($E16,DH$3)+1)/DH$5)</f>
        <v>1</v>
      </c>
      <c r="DI16" s="52" t="n">
        <f aca="false">MAX(0,(MIN($F16,DI$4)-MAX($E16,DI$3)+1)/DI$5)</f>
        <v>1</v>
      </c>
      <c r="DJ16" s="52" t="n">
        <f aca="false">MAX(0,(MIN($F16,DJ$4)-MAX($E16,DJ$3)+1)/DJ$5)</f>
        <v>1</v>
      </c>
      <c r="DK16" s="52" t="n">
        <f aca="false">MAX(0,(MIN($F16,DK$4)-MAX($E16,DK$3)+1)/DK$5)</f>
        <v>1</v>
      </c>
      <c r="DL16" s="52" t="n">
        <f aca="false">MAX(0,(MIN($F16,DL$4)-MAX($E16,DL$3)+1)/DL$5)</f>
        <v>1</v>
      </c>
      <c r="DM16" s="52" t="n">
        <f aca="false">MAX(0,(MIN($F16,DM$4)-MAX($E16,DM$3)+1)/DM$5)</f>
        <v>1</v>
      </c>
      <c r="DN16" s="52" t="n">
        <f aca="false">MAX(0,(MIN($F16,DN$4)-MAX($E16,DN$3)+1)/DN$5)</f>
        <v>1</v>
      </c>
      <c r="DO16" s="52" t="n">
        <f aca="false">MAX(0,(MIN($F16,DO$4)-MAX($E16,DO$3)+1)/DO$5)</f>
        <v>1</v>
      </c>
      <c r="DP16" s="52" t="n">
        <f aca="false">MAX(0,(MIN($F16,DP$4)-MAX($E16,DP$3)+1)/DP$5)</f>
        <v>1</v>
      </c>
      <c r="DQ16" s="52" t="n">
        <f aca="false">MAX(0,(MIN($F16,DQ$4)-MAX($E16,DQ$3)+1)/DQ$5)</f>
        <v>1</v>
      </c>
      <c r="DR16" s="52" t="n">
        <f aca="false">MAX(0,(MIN($F16,DR$4)-MAX($E16,DR$3)+1)/DR$5)</f>
        <v>1</v>
      </c>
      <c r="DS16" s="52" t="n">
        <f aca="false">MAX(0,(MIN($F16,DS$4)-MAX($E16,DS$3)+1)/DS$5)</f>
        <v>1</v>
      </c>
      <c r="DT16" s="52" t="n">
        <f aca="false">MAX(0,(MIN($F16,DT$4)-MAX($E16,DT$3)+1)/DT$5)</f>
        <v>1</v>
      </c>
      <c r="DU16" s="52" t="n">
        <f aca="false">MAX(0,(MIN($F16,DU$4)-MAX($E16,DU$3)+1)/DU$5)</f>
        <v>1</v>
      </c>
      <c r="DV16" s="52" t="n">
        <f aca="false">MAX(0,(MIN($F16,DV$4)-MAX($E16,DV$3)+1)/DV$5)</f>
        <v>1</v>
      </c>
      <c r="DW16" s="52" t="n">
        <f aca="false">MAX(0,(MIN($F16,DW$4)-MAX($E16,DW$3)+1)/DW$5)</f>
        <v>1</v>
      </c>
      <c r="DX16" s="52" t="n">
        <f aca="false">MAX(0,(MIN($F16,DX$4)-MAX($E16,DX$3)+1)/DX$5)</f>
        <v>1</v>
      </c>
      <c r="DY16" s="52" t="n">
        <f aca="false">MAX(0,(MIN($F16,DY$4)-MAX($E16,DY$3)+1)/DY$5)</f>
        <v>1</v>
      </c>
      <c r="DZ16" s="52" t="n">
        <f aca="false">MAX(0,(MIN($F16,DZ$4)-MAX($E16,DZ$3)+1)/DZ$5)</f>
        <v>1</v>
      </c>
      <c r="EA16" s="52" t="n">
        <f aca="false">MAX(0,(MIN($F16,EA$4)-MAX($E16,EA$3)+1)/EA$5)</f>
        <v>1</v>
      </c>
      <c r="EB16" s="52" t="n">
        <f aca="false">MAX(0,(MIN($F16,EB$4)-MAX($E16,EB$3)+1)/EB$5)</f>
        <v>1</v>
      </c>
      <c r="EC16" s="52" t="n">
        <f aca="false">MAX(0,(MIN($F16,EC$4)-MAX($E16,EC$3)+1)/EC$5)</f>
        <v>1</v>
      </c>
      <c r="ED16" s="52" t="n">
        <f aca="false">MAX(0,(MIN($F16,ED$4)-MAX($E16,ED$3)+1)/ED$5)</f>
        <v>1</v>
      </c>
      <c r="EE16" s="52" t="n">
        <f aca="false">MAX(0,(MIN($F16,EE$4)-MAX($E16,EE$3)+1)/EE$5)</f>
        <v>1</v>
      </c>
      <c r="EF16" s="52" t="n">
        <f aca="false">MAX(0,(MIN($F16,EF$4)-MAX($E16,EF$3)+1)/EF$5)</f>
        <v>1</v>
      </c>
      <c r="EG16" s="52" t="n">
        <f aca="false">MAX(0,(MIN($F16,EG$4)-MAX($E16,EG$3)+1)/EG$5)</f>
        <v>1</v>
      </c>
      <c r="EH16" s="52" t="n">
        <f aca="false">MAX(0,(MIN($F16,EH$4)-MAX($E16,EH$3)+1)/EH$5)</f>
        <v>1</v>
      </c>
      <c r="EI16" s="52" t="n">
        <f aca="false">MAX(0,(MIN($F16,EI$4)-MAX($E16,EI$3)+1)/EI$5)</f>
        <v>1</v>
      </c>
      <c r="EJ16" s="52" t="n">
        <f aca="false">MAX(0,(MIN($F16,EJ$4)-MAX($E16,EJ$3)+1)/EJ$5)</f>
        <v>1</v>
      </c>
      <c r="EK16" s="52" t="n">
        <f aca="false">MAX(0,(MIN($F16,EK$4)-MAX($E16,EK$3)+1)/EK$5)</f>
        <v>1</v>
      </c>
      <c r="EL16" s="52" t="n">
        <f aca="false">MAX(0,(MIN($F16,EL$4)-MAX($E16,EL$3)+1)/EL$5)</f>
        <v>1</v>
      </c>
      <c r="EM16" s="52" t="n">
        <f aca="false">MAX(0,(MIN($F16,EM$4)-MAX($E16,EM$3)+1)/EM$5)</f>
        <v>1</v>
      </c>
      <c r="EN16" s="52" t="n">
        <f aca="false">MAX(0,(MIN($F16,EN$4)-MAX($E16,EN$3)+1)/EN$5)</f>
        <v>1</v>
      </c>
      <c r="EO16" s="52" t="n">
        <f aca="false">MAX(0,(MIN($F16,EO$4)-MAX($E16,EO$3)+1)/EO$5)</f>
        <v>1</v>
      </c>
      <c r="EP16" s="52" t="n">
        <f aca="false">MAX(0,(MIN($F16,EP$4)-MAX($E16,EP$3)+1)/EP$5)</f>
        <v>1</v>
      </c>
      <c r="EQ16" s="52" t="n">
        <f aca="false">MAX(0,(MIN($F16,EQ$4)-MAX($E16,EQ$3)+1)/EQ$5)</f>
        <v>1</v>
      </c>
      <c r="ER16" s="52" t="n">
        <f aca="false">MAX(0,(MIN($F16,ER$4)-MAX($E16,ER$3)+1)/ER$5)</f>
        <v>1</v>
      </c>
      <c r="ES16" s="52" t="n">
        <f aca="false">MAX(0,(MIN($F16,ES$4)-MAX($E16,ES$3)+1)/ES$5)</f>
        <v>1</v>
      </c>
      <c r="ET16" s="52" t="n">
        <f aca="false">MAX(0,(MIN($F16,ET$4)-MAX($E16,ET$3)+1)/ET$5)</f>
        <v>1</v>
      </c>
    </row>
    <row r="17" customFormat="false" ht="15" hidden="false" customHeight="false" outlineLevel="0" collapsed="false">
      <c r="C17" s="0" t="s">
        <v>490</v>
      </c>
      <c r="D17" s="11" t="s">
        <v>41</v>
      </c>
      <c r="E17" s="44" t="n">
        <f aca="false">In_COD+1</f>
        <v>48122</v>
      </c>
      <c r="F17" s="44" t="n">
        <f aca="false">EDATE(In_COD,In_Debt_Tenor*Months_In_Year)</f>
        <v>51774</v>
      </c>
      <c r="J17" s="52" t="n">
        <f aca="false">MAX(0,(MIN($F17,J$4)-MAX($E17,J$3)+1)/J$5)</f>
        <v>0</v>
      </c>
      <c r="K17" s="52" t="n">
        <f aca="false">MAX(0,(MIN($F17,K$4)-MAX($E17,K$3)+1)/K$5)</f>
        <v>0</v>
      </c>
      <c r="L17" s="52" t="n">
        <f aca="false">MAX(0,(MIN($F17,L$4)-MAX($E17,L$3)+1)/L$5)</f>
        <v>0</v>
      </c>
      <c r="M17" s="52" t="n">
        <f aca="false">MAX(0,(MIN($F17,M$4)-MAX($E17,M$3)+1)/M$5)</f>
        <v>0</v>
      </c>
      <c r="N17" s="52" t="n">
        <f aca="false">MAX(0,(MIN($F17,N$4)-MAX($E17,N$3)+1)/N$5)</f>
        <v>0</v>
      </c>
      <c r="O17" s="52" t="n">
        <f aca="false">MAX(0,(MIN($F17,O$4)-MAX($E17,O$3)+1)/O$5)</f>
        <v>0</v>
      </c>
      <c r="P17" s="52" t="n">
        <f aca="false">MAX(0,(MIN($F17,P$4)-MAX($E17,P$3)+1)/P$5)</f>
        <v>0</v>
      </c>
      <c r="Q17" s="52" t="n">
        <f aca="false">MAX(0,(MIN($F17,Q$4)-MAX($E17,Q$3)+1)/Q$5)</f>
        <v>0</v>
      </c>
      <c r="R17" s="52" t="n">
        <f aca="false">MAX(0,(MIN($F17,R$4)-MAX($E17,R$3)+1)/R$5)</f>
        <v>0</v>
      </c>
      <c r="S17" s="52" t="n">
        <f aca="false">MAX(0,(MIN($F17,S$4)-MAX($E17,S$3)+1)/S$5)</f>
        <v>0</v>
      </c>
      <c r="T17" s="52" t="n">
        <f aca="false">MAX(0,(MIN($F17,T$4)-MAX($E17,T$3)+1)/T$5)</f>
        <v>0</v>
      </c>
      <c r="U17" s="52" t="n">
        <f aca="false">MAX(0,(MIN($F17,U$4)-MAX($E17,U$3)+1)/U$5)</f>
        <v>0</v>
      </c>
      <c r="V17" s="52" t="n">
        <f aca="false">MAX(0,(MIN($F17,V$4)-MAX($E17,V$3)+1)/V$5)</f>
        <v>0</v>
      </c>
      <c r="W17" s="52" t="n">
        <f aca="false">MAX(0,(MIN($F17,W$4)-MAX($E17,W$3)+1)/W$5)</f>
        <v>0</v>
      </c>
      <c r="X17" s="52" t="n">
        <f aca="false">MAX(0,(MIN($F17,X$4)-MAX($E17,X$3)+1)/X$5)</f>
        <v>0</v>
      </c>
      <c r="Y17" s="52" t="n">
        <f aca="false">MAX(0,(MIN($F17,Y$4)-MAX($E17,Y$3)+1)/Y$5)</f>
        <v>0</v>
      </c>
      <c r="Z17" s="52" t="n">
        <f aca="false">MAX(0,(MIN($F17,Z$4)-MAX($E17,Z$3)+1)/Z$5)</f>
        <v>0</v>
      </c>
      <c r="AA17" s="52" t="n">
        <f aca="false">MAX(0,(MIN($F17,AA$4)-MAX($E17,AA$3)+1)/AA$5)</f>
        <v>0</v>
      </c>
      <c r="AB17" s="52" t="n">
        <f aca="false">MAX(0,(MIN($F17,AB$4)-MAX($E17,AB$3)+1)/AB$5)</f>
        <v>0</v>
      </c>
      <c r="AC17" s="52" t="n">
        <f aca="false">MAX(0,(MIN($F17,AC$4)-MAX($E17,AC$3)+1)/AC$5)</f>
        <v>0</v>
      </c>
      <c r="AD17" s="52" t="n">
        <f aca="false">MAX(0,(MIN($F17,AD$4)-MAX($E17,AD$3)+1)/AD$5)</f>
        <v>0</v>
      </c>
      <c r="AE17" s="52" t="n">
        <f aca="false">MAX(0,(MIN($F17,AE$4)-MAX($E17,AE$3)+1)/AE$5)</f>
        <v>1</v>
      </c>
      <c r="AF17" s="52" t="n">
        <f aca="false">MAX(0,(MIN($F17,AF$4)-MAX($E17,AF$3)+1)/AF$5)</f>
        <v>1</v>
      </c>
      <c r="AG17" s="52" t="n">
        <f aca="false">MAX(0,(MIN($F17,AG$4)-MAX($E17,AG$3)+1)/AG$5)</f>
        <v>1</v>
      </c>
      <c r="AH17" s="52" t="n">
        <f aca="false">MAX(0,(MIN($F17,AH$4)-MAX($E17,AH$3)+1)/AH$5)</f>
        <v>1</v>
      </c>
      <c r="AI17" s="52" t="n">
        <f aca="false">MAX(0,(MIN($F17,AI$4)-MAX($E17,AI$3)+1)/AI$5)</f>
        <v>1</v>
      </c>
      <c r="AJ17" s="52" t="n">
        <f aca="false">MAX(0,(MIN($F17,AJ$4)-MAX($E17,AJ$3)+1)/AJ$5)</f>
        <v>1</v>
      </c>
      <c r="AK17" s="52" t="n">
        <f aca="false">MAX(0,(MIN($F17,AK$4)-MAX($E17,AK$3)+1)/AK$5)</f>
        <v>1</v>
      </c>
      <c r="AL17" s="52" t="n">
        <f aca="false">MAX(0,(MIN($F17,AL$4)-MAX($E17,AL$3)+1)/AL$5)</f>
        <v>1</v>
      </c>
      <c r="AM17" s="52" t="n">
        <f aca="false">MAX(0,(MIN($F17,AM$4)-MAX($E17,AM$3)+1)/AM$5)</f>
        <v>1</v>
      </c>
      <c r="AN17" s="52" t="n">
        <f aca="false">MAX(0,(MIN($F17,AN$4)-MAX($E17,AN$3)+1)/AN$5)</f>
        <v>1</v>
      </c>
      <c r="AO17" s="52" t="n">
        <f aca="false">MAX(0,(MIN($F17,AO$4)-MAX($E17,AO$3)+1)/AO$5)</f>
        <v>1</v>
      </c>
      <c r="AP17" s="52" t="n">
        <f aca="false">MAX(0,(MIN($F17,AP$4)-MAX($E17,AP$3)+1)/AP$5)</f>
        <v>1</v>
      </c>
      <c r="AQ17" s="52" t="n">
        <f aca="false">MAX(0,(MIN($F17,AQ$4)-MAX($E17,AQ$3)+1)/AQ$5)</f>
        <v>1</v>
      </c>
      <c r="AR17" s="52" t="n">
        <f aca="false">MAX(0,(MIN($F17,AR$4)-MAX($E17,AR$3)+1)/AR$5)</f>
        <v>1</v>
      </c>
      <c r="AS17" s="52" t="n">
        <f aca="false">MAX(0,(MIN($F17,AS$4)-MAX($E17,AS$3)+1)/AS$5)</f>
        <v>1</v>
      </c>
      <c r="AT17" s="52" t="n">
        <f aca="false">MAX(0,(MIN($F17,AT$4)-MAX($E17,AT$3)+1)/AT$5)</f>
        <v>1</v>
      </c>
      <c r="AU17" s="52" t="n">
        <f aca="false">MAX(0,(MIN($F17,AU$4)-MAX($E17,AU$3)+1)/AU$5)</f>
        <v>1</v>
      </c>
      <c r="AV17" s="52" t="n">
        <f aca="false">MAX(0,(MIN($F17,AV$4)-MAX($E17,AV$3)+1)/AV$5)</f>
        <v>1</v>
      </c>
      <c r="AW17" s="52" t="n">
        <f aca="false">MAX(0,(MIN($F17,AW$4)-MAX($E17,AW$3)+1)/AW$5)</f>
        <v>1</v>
      </c>
      <c r="AX17" s="52" t="n">
        <f aca="false">MAX(0,(MIN($F17,AX$4)-MAX($E17,AX$3)+1)/AX$5)</f>
        <v>1</v>
      </c>
      <c r="AY17" s="52" t="n">
        <f aca="false">MAX(0,(MIN($F17,AY$4)-MAX($E17,AY$3)+1)/AY$5)</f>
        <v>1</v>
      </c>
      <c r="AZ17" s="52" t="n">
        <f aca="false">MAX(0,(MIN($F17,AZ$4)-MAX($E17,AZ$3)+1)/AZ$5)</f>
        <v>1</v>
      </c>
      <c r="BA17" s="52" t="n">
        <f aca="false">MAX(0,(MIN($F17,BA$4)-MAX($E17,BA$3)+1)/BA$5)</f>
        <v>1</v>
      </c>
      <c r="BB17" s="52" t="n">
        <f aca="false">MAX(0,(MIN($F17,BB$4)-MAX($E17,BB$3)+1)/BB$5)</f>
        <v>1</v>
      </c>
      <c r="BC17" s="52" t="n">
        <f aca="false">MAX(0,(MIN($F17,BC$4)-MAX($E17,BC$3)+1)/BC$5)</f>
        <v>1</v>
      </c>
      <c r="BD17" s="52" t="n">
        <f aca="false">MAX(0,(MIN($F17,BD$4)-MAX($E17,BD$3)+1)/BD$5)</f>
        <v>1</v>
      </c>
      <c r="BE17" s="52" t="n">
        <f aca="false">MAX(0,(MIN($F17,BE$4)-MAX($E17,BE$3)+1)/BE$5)</f>
        <v>1</v>
      </c>
      <c r="BF17" s="52" t="n">
        <f aca="false">MAX(0,(MIN($F17,BF$4)-MAX($E17,BF$3)+1)/BF$5)</f>
        <v>1</v>
      </c>
      <c r="BG17" s="52" t="n">
        <f aca="false">MAX(0,(MIN($F17,BG$4)-MAX($E17,BG$3)+1)/BG$5)</f>
        <v>1</v>
      </c>
      <c r="BH17" s="52" t="n">
        <f aca="false">MAX(0,(MIN($F17,BH$4)-MAX($E17,BH$3)+1)/BH$5)</f>
        <v>1</v>
      </c>
      <c r="BI17" s="52" t="n">
        <f aca="false">MAX(0,(MIN($F17,BI$4)-MAX($E17,BI$3)+1)/BI$5)</f>
        <v>1</v>
      </c>
      <c r="BJ17" s="52" t="n">
        <f aca="false">MAX(0,(MIN($F17,BJ$4)-MAX($E17,BJ$3)+1)/BJ$5)</f>
        <v>1</v>
      </c>
      <c r="BK17" s="52" t="n">
        <f aca="false">MAX(0,(MIN($F17,BK$4)-MAX($E17,BK$3)+1)/BK$5)</f>
        <v>1</v>
      </c>
      <c r="BL17" s="52" t="n">
        <f aca="false">MAX(0,(MIN($F17,BL$4)-MAX($E17,BL$3)+1)/BL$5)</f>
        <v>1</v>
      </c>
      <c r="BM17" s="52" t="n">
        <f aca="false">MAX(0,(MIN($F17,BM$4)-MAX($E17,BM$3)+1)/BM$5)</f>
        <v>1</v>
      </c>
      <c r="BN17" s="52" t="n">
        <f aca="false">MAX(0,(MIN($F17,BN$4)-MAX($E17,BN$3)+1)/BN$5)</f>
        <v>1</v>
      </c>
      <c r="BO17" s="52" t="n">
        <f aca="false">MAX(0,(MIN($F17,BO$4)-MAX($E17,BO$3)+1)/BO$5)</f>
        <v>1</v>
      </c>
      <c r="BP17" s="52" t="n">
        <f aca="false">MAX(0,(MIN($F17,BP$4)-MAX($E17,BP$3)+1)/BP$5)</f>
        <v>1</v>
      </c>
      <c r="BQ17" s="52" t="n">
        <f aca="false">MAX(0,(MIN($F17,BQ$4)-MAX($E17,BQ$3)+1)/BQ$5)</f>
        <v>1</v>
      </c>
      <c r="BR17" s="52" t="n">
        <f aca="false">MAX(0,(MIN($F17,BR$4)-MAX($E17,BR$3)+1)/BR$5)</f>
        <v>1</v>
      </c>
      <c r="BS17" s="52" t="n">
        <f aca="false">MAX(0,(MIN($F17,BS$4)-MAX($E17,BS$3)+1)/BS$5)</f>
        <v>0</v>
      </c>
      <c r="BT17" s="52" t="n">
        <f aca="false">MAX(0,(MIN($F17,BT$4)-MAX($E17,BT$3)+1)/BT$5)</f>
        <v>0</v>
      </c>
      <c r="BU17" s="52" t="n">
        <f aca="false">MAX(0,(MIN($F17,BU$4)-MAX($E17,BU$3)+1)/BU$5)</f>
        <v>0</v>
      </c>
      <c r="BV17" s="52" t="n">
        <f aca="false">MAX(0,(MIN($F17,BV$4)-MAX($E17,BV$3)+1)/BV$5)</f>
        <v>0</v>
      </c>
      <c r="BW17" s="52" t="n">
        <f aca="false">MAX(0,(MIN($F17,BW$4)-MAX($E17,BW$3)+1)/BW$5)</f>
        <v>0</v>
      </c>
      <c r="BX17" s="52" t="n">
        <f aca="false">MAX(0,(MIN($F17,BX$4)-MAX($E17,BX$3)+1)/BX$5)</f>
        <v>0</v>
      </c>
      <c r="BY17" s="52" t="n">
        <f aca="false">MAX(0,(MIN($F17,BY$4)-MAX($E17,BY$3)+1)/BY$5)</f>
        <v>0</v>
      </c>
      <c r="BZ17" s="52" t="n">
        <f aca="false">MAX(0,(MIN($F17,BZ$4)-MAX($E17,BZ$3)+1)/BZ$5)</f>
        <v>0</v>
      </c>
      <c r="CA17" s="52" t="n">
        <f aca="false">MAX(0,(MIN($F17,CA$4)-MAX($E17,CA$3)+1)/CA$5)</f>
        <v>0</v>
      </c>
      <c r="CB17" s="52" t="n">
        <f aca="false">MAX(0,(MIN($F17,CB$4)-MAX($E17,CB$3)+1)/CB$5)</f>
        <v>0</v>
      </c>
      <c r="CC17" s="52" t="n">
        <f aca="false">MAX(0,(MIN($F17,CC$4)-MAX($E17,CC$3)+1)/CC$5)</f>
        <v>0</v>
      </c>
      <c r="CD17" s="52" t="n">
        <f aca="false">MAX(0,(MIN($F17,CD$4)-MAX($E17,CD$3)+1)/CD$5)</f>
        <v>0</v>
      </c>
      <c r="CE17" s="52" t="n">
        <f aca="false">MAX(0,(MIN($F17,CE$4)-MAX($E17,CE$3)+1)/CE$5)</f>
        <v>0</v>
      </c>
      <c r="CF17" s="52" t="n">
        <f aca="false">MAX(0,(MIN($F17,CF$4)-MAX($E17,CF$3)+1)/CF$5)</f>
        <v>0</v>
      </c>
      <c r="CG17" s="52" t="n">
        <f aca="false">MAX(0,(MIN($F17,CG$4)-MAX($E17,CG$3)+1)/CG$5)</f>
        <v>0</v>
      </c>
      <c r="CH17" s="52" t="n">
        <f aca="false">MAX(0,(MIN($F17,CH$4)-MAX($E17,CH$3)+1)/CH$5)</f>
        <v>0</v>
      </c>
      <c r="CI17" s="52" t="n">
        <f aca="false">MAX(0,(MIN($F17,CI$4)-MAX($E17,CI$3)+1)/CI$5)</f>
        <v>0</v>
      </c>
      <c r="CJ17" s="52" t="n">
        <f aca="false">MAX(0,(MIN($F17,CJ$4)-MAX($E17,CJ$3)+1)/CJ$5)</f>
        <v>0</v>
      </c>
      <c r="CK17" s="52" t="n">
        <f aca="false">MAX(0,(MIN($F17,CK$4)-MAX($E17,CK$3)+1)/CK$5)</f>
        <v>0</v>
      </c>
      <c r="CL17" s="52" t="n">
        <f aca="false">MAX(0,(MIN($F17,CL$4)-MAX($E17,CL$3)+1)/CL$5)</f>
        <v>0</v>
      </c>
      <c r="CM17" s="52" t="n">
        <f aca="false">MAX(0,(MIN($F17,CM$4)-MAX($E17,CM$3)+1)/CM$5)</f>
        <v>0</v>
      </c>
      <c r="CN17" s="52" t="n">
        <f aca="false">MAX(0,(MIN($F17,CN$4)-MAX($E17,CN$3)+1)/CN$5)</f>
        <v>0</v>
      </c>
      <c r="CO17" s="52" t="n">
        <f aca="false">MAX(0,(MIN($F17,CO$4)-MAX($E17,CO$3)+1)/CO$5)</f>
        <v>0</v>
      </c>
      <c r="CP17" s="52" t="n">
        <f aca="false">MAX(0,(MIN($F17,CP$4)-MAX($E17,CP$3)+1)/CP$5)</f>
        <v>0</v>
      </c>
      <c r="CQ17" s="52" t="n">
        <f aca="false">MAX(0,(MIN($F17,CQ$4)-MAX($E17,CQ$3)+1)/CQ$5)</f>
        <v>0</v>
      </c>
      <c r="CR17" s="52" t="n">
        <f aca="false">MAX(0,(MIN($F17,CR$4)-MAX($E17,CR$3)+1)/CR$5)</f>
        <v>0</v>
      </c>
      <c r="CS17" s="52" t="n">
        <f aca="false">MAX(0,(MIN($F17,CS$4)-MAX($E17,CS$3)+1)/CS$5)</f>
        <v>0</v>
      </c>
      <c r="CT17" s="52" t="n">
        <f aca="false">MAX(0,(MIN($F17,CT$4)-MAX($E17,CT$3)+1)/CT$5)</f>
        <v>0</v>
      </c>
      <c r="CU17" s="52" t="n">
        <f aca="false">MAX(0,(MIN($F17,CU$4)-MAX($E17,CU$3)+1)/CU$5)</f>
        <v>0</v>
      </c>
      <c r="CV17" s="52" t="n">
        <f aca="false">MAX(0,(MIN($F17,CV$4)-MAX($E17,CV$3)+1)/CV$5)</f>
        <v>0</v>
      </c>
      <c r="CW17" s="52" t="n">
        <f aca="false">MAX(0,(MIN($F17,CW$4)-MAX($E17,CW$3)+1)/CW$5)</f>
        <v>0</v>
      </c>
      <c r="CX17" s="52" t="n">
        <f aca="false">MAX(0,(MIN($F17,CX$4)-MAX($E17,CX$3)+1)/CX$5)</f>
        <v>0</v>
      </c>
      <c r="CY17" s="52" t="n">
        <f aca="false">MAX(0,(MIN($F17,CY$4)-MAX($E17,CY$3)+1)/CY$5)</f>
        <v>0</v>
      </c>
      <c r="CZ17" s="52" t="n">
        <f aca="false">MAX(0,(MIN($F17,CZ$4)-MAX($E17,CZ$3)+1)/CZ$5)</f>
        <v>0</v>
      </c>
      <c r="DA17" s="52" t="n">
        <f aca="false">MAX(0,(MIN($F17,DA$4)-MAX($E17,DA$3)+1)/DA$5)</f>
        <v>0</v>
      </c>
      <c r="DB17" s="52" t="n">
        <f aca="false">MAX(0,(MIN($F17,DB$4)-MAX($E17,DB$3)+1)/DB$5)</f>
        <v>0</v>
      </c>
      <c r="DC17" s="52" t="n">
        <f aca="false">MAX(0,(MIN($F17,DC$4)-MAX($E17,DC$3)+1)/DC$5)</f>
        <v>0</v>
      </c>
      <c r="DD17" s="52" t="n">
        <f aca="false">MAX(0,(MIN($F17,DD$4)-MAX($E17,DD$3)+1)/DD$5)</f>
        <v>0</v>
      </c>
      <c r="DE17" s="52" t="n">
        <f aca="false">MAX(0,(MIN($F17,DE$4)-MAX($E17,DE$3)+1)/DE$5)</f>
        <v>0</v>
      </c>
      <c r="DF17" s="52" t="n">
        <f aca="false">MAX(0,(MIN($F17,DF$4)-MAX($E17,DF$3)+1)/DF$5)</f>
        <v>0</v>
      </c>
      <c r="DG17" s="52" t="n">
        <f aca="false">MAX(0,(MIN($F17,DG$4)-MAX($E17,DG$3)+1)/DG$5)</f>
        <v>0</v>
      </c>
      <c r="DH17" s="52" t="n">
        <f aca="false">MAX(0,(MIN($F17,DH$4)-MAX($E17,DH$3)+1)/DH$5)</f>
        <v>0</v>
      </c>
      <c r="DI17" s="52" t="n">
        <f aca="false">MAX(0,(MIN($F17,DI$4)-MAX($E17,DI$3)+1)/DI$5)</f>
        <v>0</v>
      </c>
      <c r="DJ17" s="52" t="n">
        <f aca="false">MAX(0,(MIN($F17,DJ$4)-MAX($E17,DJ$3)+1)/DJ$5)</f>
        <v>0</v>
      </c>
      <c r="DK17" s="52" t="n">
        <f aca="false">MAX(0,(MIN($F17,DK$4)-MAX($E17,DK$3)+1)/DK$5)</f>
        <v>0</v>
      </c>
      <c r="DL17" s="52" t="n">
        <f aca="false">MAX(0,(MIN($F17,DL$4)-MAX($E17,DL$3)+1)/DL$5)</f>
        <v>0</v>
      </c>
      <c r="DM17" s="52" t="n">
        <f aca="false">MAX(0,(MIN($F17,DM$4)-MAX($E17,DM$3)+1)/DM$5)</f>
        <v>0</v>
      </c>
      <c r="DN17" s="52" t="n">
        <f aca="false">MAX(0,(MIN($F17,DN$4)-MAX($E17,DN$3)+1)/DN$5)</f>
        <v>0</v>
      </c>
      <c r="DO17" s="52" t="n">
        <f aca="false">MAX(0,(MIN($F17,DO$4)-MAX($E17,DO$3)+1)/DO$5)</f>
        <v>0</v>
      </c>
      <c r="DP17" s="52" t="n">
        <f aca="false">MAX(0,(MIN($F17,DP$4)-MAX($E17,DP$3)+1)/DP$5)</f>
        <v>0</v>
      </c>
      <c r="DQ17" s="52" t="n">
        <f aca="false">MAX(0,(MIN($F17,DQ$4)-MAX($E17,DQ$3)+1)/DQ$5)</f>
        <v>0</v>
      </c>
      <c r="DR17" s="52" t="n">
        <f aca="false">MAX(0,(MIN($F17,DR$4)-MAX($E17,DR$3)+1)/DR$5)</f>
        <v>0</v>
      </c>
      <c r="DS17" s="52" t="n">
        <f aca="false">MAX(0,(MIN($F17,DS$4)-MAX($E17,DS$3)+1)/DS$5)</f>
        <v>0</v>
      </c>
      <c r="DT17" s="52" t="n">
        <f aca="false">MAX(0,(MIN($F17,DT$4)-MAX($E17,DT$3)+1)/DT$5)</f>
        <v>0</v>
      </c>
      <c r="DU17" s="52" t="n">
        <f aca="false">MAX(0,(MIN($F17,DU$4)-MAX($E17,DU$3)+1)/DU$5)</f>
        <v>0</v>
      </c>
      <c r="DV17" s="52" t="n">
        <f aca="false">MAX(0,(MIN($F17,DV$4)-MAX($E17,DV$3)+1)/DV$5)</f>
        <v>0</v>
      </c>
      <c r="DW17" s="52" t="n">
        <f aca="false">MAX(0,(MIN($F17,DW$4)-MAX($E17,DW$3)+1)/DW$5)</f>
        <v>0</v>
      </c>
      <c r="DX17" s="52" t="n">
        <f aca="false">MAX(0,(MIN($F17,DX$4)-MAX($E17,DX$3)+1)/DX$5)</f>
        <v>0</v>
      </c>
      <c r="DY17" s="52" t="n">
        <f aca="false">MAX(0,(MIN($F17,DY$4)-MAX($E17,DY$3)+1)/DY$5)</f>
        <v>0</v>
      </c>
      <c r="DZ17" s="52" t="n">
        <f aca="false">MAX(0,(MIN($F17,DZ$4)-MAX($E17,DZ$3)+1)/DZ$5)</f>
        <v>0</v>
      </c>
      <c r="EA17" s="52" t="n">
        <f aca="false">MAX(0,(MIN($F17,EA$4)-MAX($E17,EA$3)+1)/EA$5)</f>
        <v>0</v>
      </c>
      <c r="EB17" s="52" t="n">
        <f aca="false">MAX(0,(MIN($F17,EB$4)-MAX($E17,EB$3)+1)/EB$5)</f>
        <v>0</v>
      </c>
      <c r="EC17" s="52" t="n">
        <f aca="false">MAX(0,(MIN($F17,EC$4)-MAX($E17,EC$3)+1)/EC$5)</f>
        <v>0</v>
      </c>
      <c r="ED17" s="52" t="n">
        <f aca="false">MAX(0,(MIN($F17,ED$4)-MAX($E17,ED$3)+1)/ED$5)</f>
        <v>0</v>
      </c>
      <c r="EE17" s="52" t="n">
        <f aca="false">MAX(0,(MIN($F17,EE$4)-MAX($E17,EE$3)+1)/EE$5)</f>
        <v>0</v>
      </c>
      <c r="EF17" s="52" t="n">
        <f aca="false">MAX(0,(MIN($F17,EF$4)-MAX($E17,EF$3)+1)/EF$5)</f>
        <v>0</v>
      </c>
      <c r="EG17" s="52" t="n">
        <f aca="false">MAX(0,(MIN($F17,EG$4)-MAX($E17,EG$3)+1)/EG$5)</f>
        <v>0</v>
      </c>
      <c r="EH17" s="52" t="n">
        <f aca="false">MAX(0,(MIN($F17,EH$4)-MAX($E17,EH$3)+1)/EH$5)</f>
        <v>0</v>
      </c>
      <c r="EI17" s="52" t="n">
        <f aca="false">MAX(0,(MIN($F17,EI$4)-MAX($E17,EI$3)+1)/EI$5)</f>
        <v>0</v>
      </c>
      <c r="EJ17" s="52" t="n">
        <f aca="false">MAX(0,(MIN($F17,EJ$4)-MAX($E17,EJ$3)+1)/EJ$5)</f>
        <v>0</v>
      </c>
      <c r="EK17" s="52" t="n">
        <f aca="false">MAX(0,(MIN($F17,EK$4)-MAX($E17,EK$3)+1)/EK$5)</f>
        <v>0</v>
      </c>
      <c r="EL17" s="52" t="n">
        <f aca="false">MAX(0,(MIN($F17,EL$4)-MAX($E17,EL$3)+1)/EL$5)</f>
        <v>0</v>
      </c>
      <c r="EM17" s="52" t="n">
        <f aca="false">MAX(0,(MIN($F17,EM$4)-MAX($E17,EM$3)+1)/EM$5)</f>
        <v>0</v>
      </c>
      <c r="EN17" s="52" t="n">
        <f aca="false">MAX(0,(MIN($F17,EN$4)-MAX($E17,EN$3)+1)/EN$5)</f>
        <v>0</v>
      </c>
      <c r="EO17" s="52" t="n">
        <f aca="false">MAX(0,(MIN($F17,EO$4)-MAX($E17,EO$3)+1)/EO$5)</f>
        <v>0</v>
      </c>
      <c r="EP17" s="52" t="n">
        <f aca="false">MAX(0,(MIN($F17,EP$4)-MAX($E17,EP$3)+1)/EP$5)</f>
        <v>0</v>
      </c>
      <c r="EQ17" s="52" t="n">
        <f aca="false">MAX(0,(MIN($F17,EQ$4)-MAX($E17,EQ$3)+1)/EQ$5)</f>
        <v>0</v>
      </c>
      <c r="ER17" s="52" t="n">
        <f aca="false">MAX(0,(MIN($F17,ER$4)-MAX($E17,ER$3)+1)/ER$5)</f>
        <v>0</v>
      </c>
      <c r="ES17" s="52" t="n">
        <f aca="false">MAX(0,(MIN($F17,ES$4)-MAX($E17,ES$3)+1)/ES$5)</f>
        <v>0</v>
      </c>
      <c r="ET17" s="52" t="n">
        <f aca="false">MAX(0,(MIN($F17,ET$4)-MAX($E17,ET$3)+1)/ET$5)</f>
        <v>0</v>
      </c>
    </row>
    <row r="18" customFormat="false" ht="15" hidden="false" customHeight="false" outlineLevel="0" collapsed="false">
      <c r="C18" s="0" t="s">
        <v>491</v>
      </c>
      <c r="D18" s="11" t="s">
        <v>482</v>
      </c>
      <c r="E18" s="44" t="n">
        <f aca="false">In_COD+1</f>
        <v>48122</v>
      </c>
      <c r="F18" s="44" t="n">
        <f aca="false">EDATE(In_COD,In_Dep_Years*Months_In_Year)</f>
        <v>55426</v>
      </c>
      <c r="I18" s="52" t="n">
        <f aca="false">SUM(J18:ET18)</f>
        <v>1</v>
      </c>
      <c r="J18" s="52" t="n">
        <f aca="false">MAX(0,MIN($F18,J$4)-MAX($E18,J$3)+1)/($F18-$E18+1)</f>
        <v>0</v>
      </c>
      <c r="K18" s="52" t="n">
        <f aca="false">MAX(0,MIN($F18,K$4)-MAX($E18,K$3)+1)/($F18-$E18+1)</f>
        <v>0</v>
      </c>
      <c r="L18" s="52" t="n">
        <f aca="false">MAX(0,MIN($F18,L$4)-MAX($E18,L$3)+1)/($F18-$E18+1)</f>
        <v>0</v>
      </c>
      <c r="M18" s="52" t="n">
        <f aca="false">MAX(0,MIN($F18,M$4)-MAX($E18,M$3)+1)/($F18-$E18+1)</f>
        <v>0</v>
      </c>
      <c r="N18" s="52" t="n">
        <f aca="false">MAX(0,MIN($F18,N$4)-MAX($E18,N$3)+1)/($F18-$E18+1)</f>
        <v>0</v>
      </c>
      <c r="O18" s="52" t="n">
        <f aca="false">MAX(0,MIN($F18,O$4)-MAX($E18,O$3)+1)/($F18-$E18+1)</f>
        <v>0</v>
      </c>
      <c r="P18" s="52" t="n">
        <f aca="false">MAX(0,MIN($F18,P$4)-MAX($E18,P$3)+1)/($F18-$E18+1)</f>
        <v>0</v>
      </c>
      <c r="Q18" s="52" t="n">
        <f aca="false">MAX(0,MIN($F18,Q$4)-MAX($E18,Q$3)+1)/($F18-$E18+1)</f>
        <v>0</v>
      </c>
      <c r="R18" s="52" t="n">
        <f aca="false">MAX(0,MIN($F18,R$4)-MAX($E18,R$3)+1)/($F18-$E18+1)</f>
        <v>0</v>
      </c>
      <c r="S18" s="52" t="n">
        <f aca="false">MAX(0,MIN($F18,S$4)-MAX($E18,S$3)+1)/($F18-$E18+1)</f>
        <v>0</v>
      </c>
      <c r="T18" s="52" t="n">
        <f aca="false">MAX(0,MIN($F18,T$4)-MAX($E18,T$3)+1)/($F18-$E18+1)</f>
        <v>0</v>
      </c>
      <c r="U18" s="52" t="n">
        <f aca="false">MAX(0,MIN($F18,U$4)-MAX($E18,U$3)+1)/($F18-$E18+1)</f>
        <v>0</v>
      </c>
      <c r="V18" s="52" t="n">
        <f aca="false">MAX(0,MIN($F18,V$4)-MAX($E18,V$3)+1)/($F18-$E18+1)</f>
        <v>0</v>
      </c>
      <c r="W18" s="52" t="n">
        <f aca="false">MAX(0,MIN($F18,W$4)-MAX($E18,W$3)+1)/($F18-$E18+1)</f>
        <v>0</v>
      </c>
      <c r="X18" s="52" t="n">
        <f aca="false">MAX(0,MIN($F18,X$4)-MAX($E18,X$3)+1)/($F18-$E18+1)</f>
        <v>0</v>
      </c>
      <c r="Y18" s="52" t="n">
        <f aca="false">MAX(0,MIN($F18,Y$4)-MAX($E18,Y$3)+1)/($F18-$E18+1)</f>
        <v>0</v>
      </c>
      <c r="Z18" s="52" t="n">
        <f aca="false">MAX(0,MIN($F18,Z$4)-MAX($E18,Z$3)+1)/($F18-$E18+1)</f>
        <v>0</v>
      </c>
      <c r="AA18" s="52" t="n">
        <f aca="false">MAX(0,MIN($F18,AA$4)-MAX($E18,AA$3)+1)/($F18-$E18+1)</f>
        <v>0</v>
      </c>
      <c r="AB18" s="52" t="n">
        <f aca="false">MAX(0,MIN($F18,AB$4)-MAX($E18,AB$3)+1)/($F18-$E18+1)</f>
        <v>0</v>
      </c>
      <c r="AC18" s="52" t="n">
        <f aca="false">MAX(0,MIN($F18,AC$4)-MAX($E18,AC$3)+1)/($F18-$E18+1)</f>
        <v>0</v>
      </c>
      <c r="AD18" s="52" t="n">
        <f aca="false">MAX(0,MIN($F18,AD$4)-MAX($E18,AD$3)+1)/($F18-$E18+1)</f>
        <v>0</v>
      </c>
      <c r="AE18" s="52" t="n">
        <f aca="false">MAX(0,MIN($F18,AE$4)-MAX($E18,AE$3)+1)/($F18-$E18+1)</f>
        <v>0.0125941136208077</v>
      </c>
      <c r="AF18" s="52" t="n">
        <f aca="false">MAX(0,MIN($F18,AF$4)-MAX($E18,AF$3)+1)/($F18-$E18+1)</f>
        <v>0.0124572210814511</v>
      </c>
      <c r="AG18" s="52" t="n">
        <f aca="false">MAX(0,MIN($F18,AG$4)-MAX($E18,AG$3)+1)/($F18-$E18+1)</f>
        <v>0.0124572210814511</v>
      </c>
      <c r="AH18" s="52" t="n">
        <f aca="false">MAX(0,MIN($F18,AH$4)-MAX($E18,AH$3)+1)/($F18-$E18+1)</f>
        <v>0.0125941136208077</v>
      </c>
      <c r="AI18" s="52" t="n">
        <f aca="false">MAX(0,MIN($F18,AI$4)-MAX($E18,AI$3)+1)/($F18-$E18+1)</f>
        <v>0.0125941136208077</v>
      </c>
      <c r="AJ18" s="52" t="n">
        <f aca="false">MAX(0,MIN($F18,AJ$4)-MAX($E18,AJ$3)+1)/($F18-$E18+1)</f>
        <v>0.0123203285420945</v>
      </c>
      <c r="AK18" s="52" t="n">
        <f aca="false">MAX(0,MIN($F18,AK$4)-MAX($E18,AK$3)+1)/($F18-$E18+1)</f>
        <v>0.0124572210814511</v>
      </c>
      <c r="AL18" s="52" t="n">
        <f aca="false">MAX(0,MIN($F18,AL$4)-MAX($E18,AL$3)+1)/($F18-$E18+1)</f>
        <v>0.0125941136208077</v>
      </c>
      <c r="AM18" s="52" t="n">
        <f aca="false">MAX(0,MIN($F18,AM$4)-MAX($E18,AM$3)+1)/($F18-$E18+1)</f>
        <v>0.0125941136208077</v>
      </c>
      <c r="AN18" s="52" t="n">
        <f aca="false">MAX(0,MIN($F18,AN$4)-MAX($E18,AN$3)+1)/($F18-$E18+1)</f>
        <v>0.0123203285420945</v>
      </c>
      <c r="AO18" s="52" t="n">
        <f aca="false">MAX(0,MIN($F18,AO$4)-MAX($E18,AO$3)+1)/($F18-$E18+1)</f>
        <v>0.0124572210814511</v>
      </c>
      <c r="AP18" s="52" t="n">
        <f aca="false">MAX(0,MIN($F18,AP$4)-MAX($E18,AP$3)+1)/($F18-$E18+1)</f>
        <v>0.0125941136208077</v>
      </c>
      <c r="AQ18" s="52" t="n">
        <f aca="false">MAX(0,MIN($F18,AQ$4)-MAX($E18,AQ$3)+1)/($F18-$E18+1)</f>
        <v>0.0125941136208077</v>
      </c>
      <c r="AR18" s="52" t="n">
        <f aca="false">MAX(0,MIN($F18,AR$4)-MAX($E18,AR$3)+1)/($F18-$E18+1)</f>
        <v>0.0123203285420945</v>
      </c>
      <c r="AS18" s="52" t="n">
        <f aca="false">MAX(0,MIN($F18,AS$4)-MAX($E18,AS$3)+1)/($F18-$E18+1)</f>
        <v>0.0124572210814511</v>
      </c>
      <c r="AT18" s="52" t="n">
        <f aca="false">MAX(0,MIN($F18,AT$4)-MAX($E18,AT$3)+1)/($F18-$E18+1)</f>
        <v>0.0125941136208077</v>
      </c>
      <c r="AU18" s="52" t="n">
        <f aca="false">MAX(0,MIN($F18,AU$4)-MAX($E18,AU$3)+1)/($F18-$E18+1)</f>
        <v>0.0125941136208077</v>
      </c>
      <c r="AV18" s="52" t="n">
        <f aca="false">MAX(0,MIN($F18,AV$4)-MAX($E18,AV$3)+1)/($F18-$E18+1)</f>
        <v>0.0124572210814511</v>
      </c>
      <c r="AW18" s="52" t="n">
        <f aca="false">MAX(0,MIN($F18,AW$4)-MAX($E18,AW$3)+1)/($F18-$E18+1)</f>
        <v>0.0124572210814511</v>
      </c>
      <c r="AX18" s="52" t="n">
        <f aca="false">MAX(0,MIN($F18,AX$4)-MAX($E18,AX$3)+1)/($F18-$E18+1)</f>
        <v>0.0125941136208077</v>
      </c>
      <c r="AY18" s="52" t="n">
        <f aca="false">MAX(0,MIN($F18,AY$4)-MAX($E18,AY$3)+1)/($F18-$E18+1)</f>
        <v>0.0125941136208077</v>
      </c>
      <c r="AZ18" s="52" t="n">
        <f aca="false">MAX(0,MIN($F18,AZ$4)-MAX($E18,AZ$3)+1)/($F18-$E18+1)</f>
        <v>0.0123203285420945</v>
      </c>
      <c r="BA18" s="52" t="n">
        <f aca="false">MAX(0,MIN($F18,BA$4)-MAX($E18,BA$3)+1)/($F18-$E18+1)</f>
        <v>0.0124572210814511</v>
      </c>
      <c r="BB18" s="52" t="n">
        <f aca="false">MAX(0,MIN($F18,BB$4)-MAX($E18,BB$3)+1)/($F18-$E18+1)</f>
        <v>0.0125941136208077</v>
      </c>
      <c r="BC18" s="52" t="n">
        <f aca="false">MAX(0,MIN($F18,BC$4)-MAX($E18,BC$3)+1)/($F18-$E18+1)</f>
        <v>0.0125941136208077</v>
      </c>
      <c r="BD18" s="52" t="n">
        <f aca="false">MAX(0,MIN($F18,BD$4)-MAX($E18,BD$3)+1)/($F18-$E18+1)</f>
        <v>0.0123203285420945</v>
      </c>
      <c r="BE18" s="52" t="n">
        <f aca="false">MAX(0,MIN($F18,BE$4)-MAX($E18,BE$3)+1)/($F18-$E18+1)</f>
        <v>0.0124572210814511</v>
      </c>
      <c r="BF18" s="52" t="n">
        <f aca="false">MAX(0,MIN($F18,BF$4)-MAX($E18,BF$3)+1)/($F18-$E18+1)</f>
        <v>0.0125941136208077</v>
      </c>
      <c r="BG18" s="52" t="n">
        <f aca="false">MAX(0,MIN($F18,BG$4)-MAX($E18,BG$3)+1)/($F18-$E18+1)</f>
        <v>0.0125941136208077</v>
      </c>
      <c r="BH18" s="52" t="n">
        <f aca="false">MAX(0,MIN($F18,BH$4)-MAX($E18,BH$3)+1)/($F18-$E18+1)</f>
        <v>0.0123203285420945</v>
      </c>
      <c r="BI18" s="52" t="n">
        <f aca="false">MAX(0,MIN($F18,BI$4)-MAX($E18,BI$3)+1)/($F18-$E18+1)</f>
        <v>0.0124572210814511</v>
      </c>
      <c r="BJ18" s="52" t="n">
        <f aca="false">MAX(0,MIN($F18,BJ$4)-MAX($E18,BJ$3)+1)/($F18-$E18+1)</f>
        <v>0.0125941136208077</v>
      </c>
      <c r="BK18" s="52" t="n">
        <f aca="false">MAX(0,MIN($F18,BK$4)-MAX($E18,BK$3)+1)/($F18-$E18+1)</f>
        <v>0.0125941136208077</v>
      </c>
      <c r="BL18" s="52" t="n">
        <f aca="false">MAX(0,MIN($F18,BL$4)-MAX($E18,BL$3)+1)/($F18-$E18+1)</f>
        <v>0.0124572210814511</v>
      </c>
      <c r="BM18" s="52" t="n">
        <f aca="false">MAX(0,MIN($F18,BM$4)-MAX($E18,BM$3)+1)/($F18-$E18+1)</f>
        <v>0.0124572210814511</v>
      </c>
      <c r="BN18" s="52" t="n">
        <f aca="false">MAX(0,MIN($F18,BN$4)-MAX($E18,BN$3)+1)/($F18-$E18+1)</f>
        <v>0.0125941136208077</v>
      </c>
      <c r="BO18" s="52" t="n">
        <f aca="false">MAX(0,MIN($F18,BO$4)-MAX($E18,BO$3)+1)/($F18-$E18+1)</f>
        <v>0.0125941136208077</v>
      </c>
      <c r="BP18" s="52" t="n">
        <f aca="false">MAX(0,MIN($F18,BP$4)-MAX($E18,BP$3)+1)/($F18-$E18+1)</f>
        <v>0.0123203285420945</v>
      </c>
      <c r="BQ18" s="52" t="n">
        <f aca="false">MAX(0,MIN($F18,BQ$4)-MAX($E18,BQ$3)+1)/($F18-$E18+1)</f>
        <v>0.0124572210814511</v>
      </c>
      <c r="BR18" s="52" t="n">
        <f aca="false">MAX(0,MIN($F18,BR$4)-MAX($E18,BR$3)+1)/($F18-$E18+1)</f>
        <v>0.0125941136208077</v>
      </c>
      <c r="BS18" s="52" t="n">
        <f aca="false">MAX(0,MIN($F18,BS$4)-MAX($E18,BS$3)+1)/($F18-$E18+1)</f>
        <v>0.0125941136208077</v>
      </c>
      <c r="BT18" s="52" t="n">
        <f aca="false">MAX(0,MIN($F18,BT$4)-MAX($E18,BT$3)+1)/($F18-$E18+1)</f>
        <v>0.0123203285420945</v>
      </c>
      <c r="BU18" s="52" t="n">
        <f aca="false">MAX(0,MIN($F18,BU$4)-MAX($E18,BU$3)+1)/($F18-$E18+1)</f>
        <v>0.0124572210814511</v>
      </c>
      <c r="BV18" s="52" t="n">
        <f aca="false">MAX(0,MIN($F18,BV$4)-MAX($E18,BV$3)+1)/($F18-$E18+1)</f>
        <v>0.0125941136208077</v>
      </c>
      <c r="BW18" s="52" t="n">
        <f aca="false">MAX(0,MIN($F18,BW$4)-MAX($E18,BW$3)+1)/($F18-$E18+1)</f>
        <v>0.0125941136208077</v>
      </c>
      <c r="BX18" s="52" t="n">
        <f aca="false">MAX(0,MIN($F18,BX$4)-MAX($E18,BX$3)+1)/($F18-$E18+1)</f>
        <v>0.0123203285420945</v>
      </c>
      <c r="BY18" s="52" t="n">
        <f aca="false">MAX(0,MIN($F18,BY$4)-MAX($E18,BY$3)+1)/($F18-$E18+1)</f>
        <v>0.0124572210814511</v>
      </c>
      <c r="BZ18" s="52" t="n">
        <f aca="false">MAX(0,MIN($F18,BZ$4)-MAX($E18,BZ$3)+1)/($F18-$E18+1)</f>
        <v>0.0125941136208077</v>
      </c>
      <c r="CA18" s="52" t="n">
        <f aca="false">MAX(0,MIN($F18,CA$4)-MAX($E18,CA$3)+1)/($F18-$E18+1)</f>
        <v>0.0125941136208077</v>
      </c>
      <c r="CB18" s="52" t="n">
        <f aca="false">MAX(0,MIN($F18,CB$4)-MAX($E18,CB$3)+1)/($F18-$E18+1)</f>
        <v>0.0124572210814511</v>
      </c>
      <c r="CC18" s="52" t="n">
        <f aca="false">MAX(0,MIN($F18,CC$4)-MAX($E18,CC$3)+1)/($F18-$E18+1)</f>
        <v>0.0124572210814511</v>
      </c>
      <c r="CD18" s="52" t="n">
        <f aca="false">MAX(0,MIN($F18,CD$4)-MAX($E18,CD$3)+1)/($F18-$E18+1)</f>
        <v>0.0125941136208077</v>
      </c>
      <c r="CE18" s="52" t="n">
        <f aca="false">MAX(0,MIN($F18,CE$4)-MAX($E18,CE$3)+1)/($F18-$E18+1)</f>
        <v>0.0125941136208077</v>
      </c>
      <c r="CF18" s="52" t="n">
        <f aca="false">MAX(0,MIN($F18,CF$4)-MAX($E18,CF$3)+1)/($F18-$E18+1)</f>
        <v>0.0123203285420945</v>
      </c>
      <c r="CG18" s="52" t="n">
        <f aca="false">MAX(0,MIN($F18,CG$4)-MAX($E18,CG$3)+1)/($F18-$E18+1)</f>
        <v>0.0124572210814511</v>
      </c>
      <c r="CH18" s="52" t="n">
        <f aca="false">MAX(0,MIN($F18,CH$4)-MAX($E18,CH$3)+1)/($F18-$E18+1)</f>
        <v>0.0125941136208077</v>
      </c>
      <c r="CI18" s="52" t="n">
        <f aca="false">MAX(0,MIN($F18,CI$4)-MAX($E18,CI$3)+1)/($F18-$E18+1)</f>
        <v>0.0125941136208077</v>
      </c>
      <c r="CJ18" s="52" t="n">
        <f aca="false">MAX(0,MIN($F18,CJ$4)-MAX($E18,CJ$3)+1)/($F18-$E18+1)</f>
        <v>0.0123203285420945</v>
      </c>
      <c r="CK18" s="52" t="n">
        <f aca="false">MAX(0,MIN($F18,CK$4)-MAX($E18,CK$3)+1)/($F18-$E18+1)</f>
        <v>0.0124572210814511</v>
      </c>
      <c r="CL18" s="52" t="n">
        <f aca="false">MAX(0,MIN($F18,CL$4)-MAX($E18,CL$3)+1)/($F18-$E18+1)</f>
        <v>0.0125941136208077</v>
      </c>
      <c r="CM18" s="52" t="n">
        <f aca="false">MAX(0,MIN($F18,CM$4)-MAX($E18,CM$3)+1)/($F18-$E18+1)</f>
        <v>0.0125941136208077</v>
      </c>
      <c r="CN18" s="52" t="n">
        <f aca="false">MAX(0,MIN($F18,CN$4)-MAX($E18,CN$3)+1)/($F18-$E18+1)</f>
        <v>0.0123203285420945</v>
      </c>
      <c r="CO18" s="52" t="n">
        <f aca="false">MAX(0,MIN($F18,CO$4)-MAX($E18,CO$3)+1)/($F18-$E18+1)</f>
        <v>0.0124572210814511</v>
      </c>
      <c r="CP18" s="52" t="n">
        <f aca="false">MAX(0,MIN($F18,CP$4)-MAX($E18,CP$3)+1)/($F18-$E18+1)</f>
        <v>0.0125941136208077</v>
      </c>
      <c r="CQ18" s="52" t="n">
        <f aca="false">MAX(0,MIN($F18,CQ$4)-MAX($E18,CQ$3)+1)/($F18-$E18+1)</f>
        <v>0.0125941136208077</v>
      </c>
      <c r="CR18" s="52" t="n">
        <f aca="false">MAX(0,MIN($F18,CR$4)-MAX($E18,CR$3)+1)/($F18-$E18+1)</f>
        <v>0.0124572210814511</v>
      </c>
      <c r="CS18" s="52" t="n">
        <f aca="false">MAX(0,MIN($F18,CS$4)-MAX($E18,CS$3)+1)/($F18-$E18+1)</f>
        <v>0.0124572210814511</v>
      </c>
      <c r="CT18" s="52" t="n">
        <f aca="false">MAX(0,MIN($F18,CT$4)-MAX($E18,CT$3)+1)/($F18-$E18+1)</f>
        <v>0.0125941136208077</v>
      </c>
      <c r="CU18" s="52" t="n">
        <f aca="false">MAX(0,MIN($F18,CU$4)-MAX($E18,CU$3)+1)/($F18-$E18+1)</f>
        <v>0.0125941136208077</v>
      </c>
      <c r="CV18" s="52" t="n">
        <f aca="false">MAX(0,MIN($F18,CV$4)-MAX($E18,CV$3)+1)/($F18-$E18+1)</f>
        <v>0.0123203285420945</v>
      </c>
      <c r="CW18" s="52" t="n">
        <f aca="false">MAX(0,MIN($F18,CW$4)-MAX($E18,CW$3)+1)/($F18-$E18+1)</f>
        <v>0.0124572210814511</v>
      </c>
      <c r="CX18" s="52" t="n">
        <f aca="false">MAX(0,MIN($F18,CX$4)-MAX($E18,CX$3)+1)/($F18-$E18+1)</f>
        <v>0.0125941136208077</v>
      </c>
      <c r="CY18" s="52" t="n">
        <f aca="false">MAX(0,MIN($F18,CY$4)-MAX($E18,CY$3)+1)/($F18-$E18+1)</f>
        <v>0.0125941136208077</v>
      </c>
      <c r="CZ18" s="52" t="n">
        <f aca="false">MAX(0,MIN($F18,CZ$4)-MAX($E18,CZ$3)+1)/($F18-$E18+1)</f>
        <v>0.0123203285420945</v>
      </c>
      <c r="DA18" s="52" t="n">
        <f aca="false">MAX(0,MIN($F18,DA$4)-MAX($E18,DA$3)+1)/($F18-$E18+1)</f>
        <v>0.0124572210814511</v>
      </c>
      <c r="DB18" s="52" t="n">
        <f aca="false">MAX(0,MIN($F18,DB$4)-MAX($E18,DB$3)+1)/($F18-$E18+1)</f>
        <v>0.0125941136208077</v>
      </c>
      <c r="DC18" s="52" t="n">
        <f aca="false">MAX(0,MIN($F18,DC$4)-MAX($E18,DC$3)+1)/($F18-$E18+1)</f>
        <v>0.0125941136208077</v>
      </c>
      <c r="DD18" s="52" t="n">
        <f aca="false">MAX(0,MIN($F18,DD$4)-MAX($E18,DD$3)+1)/($F18-$E18+1)</f>
        <v>0.0123203285420945</v>
      </c>
      <c r="DE18" s="52" t="n">
        <f aca="false">MAX(0,MIN($F18,DE$4)-MAX($E18,DE$3)+1)/($F18-$E18+1)</f>
        <v>0.0124572210814511</v>
      </c>
      <c r="DF18" s="52" t="n">
        <f aca="false">MAX(0,MIN($F18,DF$4)-MAX($E18,DF$3)+1)/($F18-$E18+1)</f>
        <v>0.0125941136208077</v>
      </c>
      <c r="DG18" s="52" t="n">
        <f aca="false">MAX(0,MIN($F18,DG$4)-MAX($E18,DG$3)+1)/($F18-$E18+1)</f>
        <v>0</v>
      </c>
      <c r="DH18" s="52" t="n">
        <f aca="false">MAX(0,MIN($F18,DH$4)-MAX($E18,DH$3)+1)/($F18-$E18+1)</f>
        <v>0</v>
      </c>
      <c r="DI18" s="52" t="n">
        <f aca="false">MAX(0,MIN($F18,DI$4)-MAX($E18,DI$3)+1)/($F18-$E18+1)</f>
        <v>0</v>
      </c>
      <c r="DJ18" s="52" t="n">
        <f aca="false">MAX(0,MIN($F18,DJ$4)-MAX($E18,DJ$3)+1)/($F18-$E18+1)</f>
        <v>0</v>
      </c>
      <c r="DK18" s="52" t="n">
        <f aca="false">MAX(0,MIN($F18,DK$4)-MAX($E18,DK$3)+1)/($F18-$E18+1)</f>
        <v>0</v>
      </c>
      <c r="DL18" s="52" t="n">
        <f aca="false">MAX(0,MIN($F18,DL$4)-MAX($E18,DL$3)+1)/($F18-$E18+1)</f>
        <v>0</v>
      </c>
      <c r="DM18" s="52" t="n">
        <f aca="false">MAX(0,MIN($F18,DM$4)-MAX($E18,DM$3)+1)/($F18-$E18+1)</f>
        <v>0</v>
      </c>
      <c r="DN18" s="52" t="n">
        <f aca="false">MAX(0,MIN($F18,DN$4)-MAX($E18,DN$3)+1)/($F18-$E18+1)</f>
        <v>0</v>
      </c>
      <c r="DO18" s="52" t="n">
        <f aca="false">MAX(0,MIN($F18,DO$4)-MAX($E18,DO$3)+1)/($F18-$E18+1)</f>
        <v>0</v>
      </c>
      <c r="DP18" s="52" t="n">
        <f aca="false">MAX(0,MIN($F18,DP$4)-MAX($E18,DP$3)+1)/($F18-$E18+1)</f>
        <v>0</v>
      </c>
      <c r="DQ18" s="52" t="n">
        <f aca="false">MAX(0,MIN($F18,DQ$4)-MAX($E18,DQ$3)+1)/($F18-$E18+1)</f>
        <v>0</v>
      </c>
      <c r="DR18" s="52" t="n">
        <f aca="false">MAX(0,MIN($F18,DR$4)-MAX($E18,DR$3)+1)/($F18-$E18+1)</f>
        <v>0</v>
      </c>
      <c r="DS18" s="52" t="n">
        <f aca="false">MAX(0,MIN($F18,DS$4)-MAX($E18,DS$3)+1)/($F18-$E18+1)</f>
        <v>0</v>
      </c>
      <c r="DT18" s="52" t="n">
        <f aca="false">MAX(0,MIN($F18,DT$4)-MAX($E18,DT$3)+1)/($F18-$E18+1)</f>
        <v>0</v>
      </c>
      <c r="DU18" s="52" t="n">
        <f aca="false">MAX(0,MIN($F18,DU$4)-MAX($E18,DU$3)+1)/($F18-$E18+1)</f>
        <v>0</v>
      </c>
      <c r="DV18" s="52" t="n">
        <f aca="false">MAX(0,MIN($F18,DV$4)-MAX($E18,DV$3)+1)/($F18-$E18+1)</f>
        <v>0</v>
      </c>
      <c r="DW18" s="52" t="n">
        <f aca="false">MAX(0,MIN($F18,DW$4)-MAX($E18,DW$3)+1)/($F18-$E18+1)</f>
        <v>0</v>
      </c>
      <c r="DX18" s="52" t="n">
        <f aca="false">MAX(0,MIN($F18,DX$4)-MAX($E18,DX$3)+1)/($F18-$E18+1)</f>
        <v>0</v>
      </c>
      <c r="DY18" s="52" t="n">
        <f aca="false">MAX(0,MIN($F18,DY$4)-MAX($E18,DY$3)+1)/($F18-$E18+1)</f>
        <v>0</v>
      </c>
      <c r="DZ18" s="52" t="n">
        <f aca="false">MAX(0,MIN($F18,DZ$4)-MAX($E18,DZ$3)+1)/($F18-$E18+1)</f>
        <v>0</v>
      </c>
      <c r="EA18" s="52" t="n">
        <f aca="false">MAX(0,MIN($F18,EA$4)-MAX($E18,EA$3)+1)/($F18-$E18+1)</f>
        <v>0</v>
      </c>
      <c r="EB18" s="52" t="n">
        <f aca="false">MAX(0,MIN($F18,EB$4)-MAX($E18,EB$3)+1)/($F18-$E18+1)</f>
        <v>0</v>
      </c>
      <c r="EC18" s="52" t="n">
        <f aca="false">MAX(0,MIN($F18,EC$4)-MAX($E18,EC$3)+1)/($F18-$E18+1)</f>
        <v>0</v>
      </c>
      <c r="ED18" s="52" t="n">
        <f aca="false">MAX(0,MIN($F18,ED$4)-MAX($E18,ED$3)+1)/($F18-$E18+1)</f>
        <v>0</v>
      </c>
      <c r="EE18" s="52" t="n">
        <f aca="false">MAX(0,MIN($F18,EE$4)-MAX($E18,EE$3)+1)/($F18-$E18+1)</f>
        <v>0</v>
      </c>
      <c r="EF18" s="52" t="n">
        <f aca="false">MAX(0,MIN($F18,EF$4)-MAX($E18,EF$3)+1)/($F18-$E18+1)</f>
        <v>0</v>
      </c>
      <c r="EG18" s="52" t="n">
        <f aca="false">MAX(0,MIN($F18,EG$4)-MAX($E18,EG$3)+1)/($F18-$E18+1)</f>
        <v>0</v>
      </c>
      <c r="EH18" s="52" t="n">
        <f aca="false">MAX(0,MIN($F18,EH$4)-MAX($E18,EH$3)+1)/($F18-$E18+1)</f>
        <v>0</v>
      </c>
      <c r="EI18" s="52" t="n">
        <f aca="false">MAX(0,MIN($F18,EI$4)-MAX($E18,EI$3)+1)/($F18-$E18+1)</f>
        <v>0</v>
      </c>
      <c r="EJ18" s="52" t="n">
        <f aca="false">MAX(0,MIN($F18,EJ$4)-MAX($E18,EJ$3)+1)/($F18-$E18+1)</f>
        <v>0</v>
      </c>
      <c r="EK18" s="52" t="n">
        <f aca="false">MAX(0,MIN($F18,EK$4)-MAX($E18,EK$3)+1)/($F18-$E18+1)</f>
        <v>0</v>
      </c>
      <c r="EL18" s="52" t="n">
        <f aca="false">MAX(0,MIN($F18,EL$4)-MAX($E18,EL$3)+1)/($F18-$E18+1)</f>
        <v>0</v>
      </c>
      <c r="EM18" s="52" t="n">
        <f aca="false">MAX(0,MIN($F18,EM$4)-MAX($E18,EM$3)+1)/($F18-$E18+1)</f>
        <v>0</v>
      </c>
      <c r="EN18" s="52" t="n">
        <f aca="false">MAX(0,MIN($F18,EN$4)-MAX($E18,EN$3)+1)/($F18-$E18+1)</f>
        <v>0</v>
      </c>
      <c r="EO18" s="52" t="n">
        <f aca="false">MAX(0,MIN($F18,EO$4)-MAX($E18,EO$3)+1)/($F18-$E18+1)</f>
        <v>0</v>
      </c>
      <c r="EP18" s="52" t="n">
        <f aca="false">MAX(0,MIN($F18,EP$4)-MAX($E18,EP$3)+1)/($F18-$E18+1)</f>
        <v>0</v>
      </c>
      <c r="EQ18" s="52" t="n">
        <f aca="false">MAX(0,MIN($F18,EQ$4)-MAX($E18,EQ$3)+1)/($F18-$E18+1)</f>
        <v>0</v>
      </c>
      <c r="ER18" s="52" t="n">
        <f aca="false">MAX(0,MIN($F18,ER$4)-MAX($E18,ER$3)+1)/($F18-$E18+1)</f>
        <v>0</v>
      </c>
      <c r="ES18" s="52" t="n">
        <f aca="false">MAX(0,MIN($F18,ES$4)-MAX($E18,ES$3)+1)/($F18-$E18+1)</f>
        <v>0</v>
      </c>
      <c r="ET18" s="52" t="n">
        <f aca="false">MAX(0,MIN($F18,ET$4)-MAX($E18,ET$3)+1)/($F18-$E18+1)</f>
        <v>0</v>
      </c>
    </row>
    <row r="19" customFormat="false" ht="15" hidden="false" customHeight="false" outlineLevel="0" collapsed="false">
      <c r="C19" s="0" t="s">
        <v>492</v>
      </c>
      <c r="D19" s="11" t="s">
        <v>41</v>
      </c>
      <c r="E19" s="44" t="n">
        <f aca="false">In_Freeze_Start+1</f>
        <v>47300</v>
      </c>
      <c r="F19" s="44" t="n">
        <f aca="false">In_Freeze_Start+In_Freeze_On*(In_Freeze_End-In_Freeze_Start)-1</f>
        <v>47483</v>
      </c>
      <c r="J19" s="52" t="n">
        <f aca="false">MAX(0,(MIN($F19,J$4)-MAX($E19,J$3)+1)/J$5)</f>
        <v>0</v>
      </c>
      <c r="K19" s="52" t="n">
        <f aca="false">MAX(0,(MIN($F19,K$4)-MAX($E19,K$3)+1)/K$5)</f>
        <v>0</v>
      </c>
      <c r="L19" s="52" t="n">
        <f aca="false">MAX(0,(MIN($F19,L$4)-MAX($E19,L$3)+1)/L$5)</f>
        <v>0</v>
      </c>
      <c r="M19" s="52" t="n">
        <f aca="false">MAX(0,(MIN($F19,M$4)-MAX($E19,M$3)+1)/M$5)</f>
        <v>0</v>
      </c>
      <c r="N19" s="52" t="n">
        <f aca="false">MAX(0,(MIN($F19,N$4)-MAX($E19,N$3)+1)/N$5)</f>
        <v>0</v>
      </c>
      <c r="O19" s="52" t="n">
        <f aca="false">MAX(0,(MIN($F19,O$4)-MAX($E19,O$3)+1)/O$5)</f>
        <v>0</v>
      </c>
      <c r="P19" s="52" t="n">
        <f aca="false">MAX(0,(MIN($F19,P$4)-MAX($E19,P$3)+1)/P$5)</f>
        <v>0</v>
      </c>
      <c r="Q19" s="52" t="n">
        <f aca="false">MAX(0,(MIN($F19,Q$4)-MAX($E19,Q$3)+1)/Q$5)</f>
        <v>0</v>
      </c>
      <c r="R19" s="52" t="n">
        <f aca="false">MAX(0,(MIN($F19,R$4)-MAX($E19,R$3)+1)/R$5)</f>
        <v>0</v>
      </c>
      <c r="S19" s="52" t="n">
        <f aca="false">MAX(0,(MIN($F19,S$4)-MAX($E19,S$3)+1)/S$5)</f>
        <v>0</v>
      </c>
      <c r="T19" s="52" t="n">
        <f aca="false">MAX(0,(MIN($F19,T$4)-MAX($E19,T$3)+1)/T$5)</f>
        <v>0</v>
      </c>
      <c r="U19" s="52" t="n">
        <f aca="false">MAX(0,(MIN($F19,U$4)-MAX($E19,U$3)+1)/U$5)</f>
        <v>0</v>
      </c>
      <c r="V19" s="52" t="n">
        <f aca="false">MAX(0,(MIN($F19,V$4)-MAX($E19,V$3)+1)/V$5)</f>
        <v>1</v>
      </c>
      <c r="W19" s="52" t="n">
        <f aca="false">MAX(0,(MIN($F19,W$4)-MAX($E19,W$3)+1)/W$5)</f>
        <v>1</v>
      </c>
      <c r="X19" s="52" t="n">
        <f aca="false">MAX(0,(MIN($F19,X$4)-MAX($E19,X$3)+1)/X$5)</f>
        <v>0</v>
      </c>
      <c r="Y19" s="52" t="n">
        <f aca="false">MAX(0,(MIN($F19,Y$4)-MAX($E19,Y$3)+1)/Y$5)</f>
        <v>0</v>
      </c>
      <c r="Z19" s="52" t="n">
        <f aca="false">MAX(0,(MIN($F19,Z$4)-MAX($E19,Z$3)+1)/Z$5)</f>
        <v>0</v>
      </c>
      <c r="AA19" s="52" t="n">
        <f aca="false">MAX(0,(MIN($F19,AA$4)-MAX($E19,AA$3)+1)/AA$5)</f>
        <v>0</v>
      </c>
      <c r="AB19" s="52" t="n">
        <f aca="false">MAX(0,(MIN($F19,AB$4)-MAX($E19,AB$3)+1)/AB$5)</f>
        <v>0</v>
      </c>
      <c r="AC19" s="52" t="n">
        <f aca="false">MAX(0,(MIN($F19,AC$4)-MAX($E19,AC$3)+1)/AC$5)</f>
        <v>0</v>
      </c>
      <c r="AD19" s="52" t="n">
        <f aca="false">MAX(0,(MIN($F19,AD$4)-MAX($E19,AD$3)+1)/AD$5)</f>
        <v>0</v>
      </c>
      <c r="AE19" s="52" t="n">
        <f aca="false">MAX(0,(MIN($F19,AE$4)-MAX($E19,AE$3)+1)/AE$5)</f>
        <v>0</v>
      </c>
      <c r="AF19" s="52" t="n">
        <f aca="false">MAX(0,(MIN($F19,AF$4)-MAX($E19,AF$3)+1)/AF$5)</f>
        <v>0</v>
      </c>
      <c r="AG19" s="52" t="n">
        <f aca="false">MAX(0,(MIN($F19,AG$4)-MAX($E19,AG$3)+1)/AG$5)</f>
        <v>0</v>
      </c>
      <c r="AH19" s="52" t="n">
        <f aca="false">MAX(0,(MIN($F19,AH$4)-MAX($E19,AH$3)+1)/AH$5)</f>
        <v>0</v>
      </c>
      <c r="AI19" s="52" t="n">
        <f aca="false">MAX(0,(MIN($F19,AI$4)-MAX($E19,AI$3)+1)/AI$5)</f>
        <v>0</v>
      </c>
      <c r="AJ19" s="52" t="n">
        <f aca="false">MAX(0,(MIN($F19,AJ$4)-MAX($E19,AJ$3)+1)/AJ$5)</f>
        <v>0</v>
      </c>
      <c r="AK19" s="52" t="n">
        <f aca="false">MAX(0,(MIN($F19,AK$4)-MAX($E19,AK$3)+1)/AK$5)</f>
        <v>0</v>
      </c>
      <c r="AL19" s="52" t="n">
        <f aca="false">MAX(0,(MIN($F19,AL$4)-MAX($E19,AL$3)+1)/AL$5)</f>
        <v>0</v>
      </c>
      <c r="AM19" s="52" t="n">
        <f aca="false">MAX(0,(MIN($F19,AM$4)-MAX($E19,AM$3)+1)/AM$5)</f>
        <v>0</v>
      </c>
      <c r="AN19" s="52" t="n">
        <f aca="false">MAX(0,(MIN($F19,AN$4)-MAX($E19,AN$3)+1)/AN$5)</f>
        <v>0</v>
      </c>
      <c r="AO19" s="52" t="n">
        <f aca="false">MAX(0,(MIN($F19,AO$4)-MAX($E19,AO$3)+1)/AO$5)</f>
        <v>0</v>
      </c>
      <c r="AP19" s="52" t="n">
        <f aca="false">MAX(0,(MIN($F19,AP$4)-MAX($E19,AP$3)+1)/AP$5)</f>
        <v>0</v>
      </c>
      <c r="AQ19" s="52" t="n">
        <f aca="false">MAX(0,(MIN($F19,AQ$4)-MAX($E19,AQ$3)+1)/AQ$5)</f>
        <v>0</v>
      </c>
      <c r="AR19" s="52" t="n">
        <f aca="false">MAX(0,(MIN($F19,AR$4)-MAX($E19,AR$3)+1)/AR$5)</f>
        <v>0</v>
      </c>
      <c r="AS19" s="52" t="n">
        <f aca="false">MAX(0,(MIN($F19,AS$4)-MAX($E19,AS$3)+1)/AS$5)</f>
        <v>0</v>
      </c>
      <c r="AT19" s="52" t="n">
        <f aca="false">MAX(0,(MIN($F19,AT$4)-MAX($E19,AT$3)+1)/AT$5)</f>
        <v>0</v>
      </c>
      <c r="AU19" s="52" t="n">
        <f aca="false">MAX(0,(MIN($F19,AU$4)-MAX($E19,AU$3)+1)/AU$5)</f>
        <v>0</v>
      </c>
      <c r="AV19" s="52" t="n">
        <f aca="false">MAX(0,(MIN($F19,AV$4)-MAX($E19,AV$3)+1)/AV$5)</f>
        <v>0</v>
      </c>
      <c r="AW19" s="52" t="n">
        <f aca="false">MAX(0,(MIN($F19,AW$4)-MAX($E19,AW$3)+1)/AW$5)</f>
        <v>0</v>
      </c>
      <c r="AX19" s="52" t="n">
        <f aca="false">MAX(0,(MIN($F19,AX$4)-MAX($E19,AX$3)+1)/AX$5)</f>
        <v>0</v>
      </c>
      <c r="AY19" s="52" t="n">
        <f aca="false">MAX(0,(MIN($F19,AY$4)-MAX($E19,AY$3)+1)/AY$5)</f>
        <v>0</v>
      </c>
      <c r="AZ19" s="52" t="n">
        <f aca="false">MAX(0,(MIN($F19,AZ$4)-MAX($E19,AZ$3)+1)/AZ$5)</f>
        <v>0</v>
      </c>
      <c r="BA19" s="52" t="n">
        <f aca="false">MAX(0,(MIN($F19,BA$4)-MAX($E19,BA$3)+1)/BA$5)</f>
        <v>0</v>
      </c>
      <c r="BB19" s="52" t="n">
        <f aca="false">MAX(0,(MIN($F19,BB$4)-MAX($E19,BB$3)+1)/BB$5)</f>
        <v>0</v>
      </c>
      <c r="BC19" s="52" t="n">
        <f aca="false">MAX(0,(MIN($F19,BC$4)-MAX($E19,BC$3)+1)/BC$5)</f>
        <v>0</v>
      </c>
      <c r="BD19" s="52" t="n">
        <f aca="false">MAX(0,(MIN($F19,BD$4)-MAX($E19,BD$3)+1)/BD$5)</f>
        <v>0</v>
      </c>
      <c r="BE19" s="52" t="n">
        <f aca="false">MAX(0,(MIN($F19,BE$4)-MAX($E19,BE$3)+1)/BE$5)</f>
        <v>0</v>
      </c>
      <c r="BF19" s="52" t="n">
        <f aca="false">MAX(0,(MIN($F19,BF$4)-MAX($E19,BF$3)+1)/BF$5)</f>
        <v>0</v>
      </c>
      <c r="BG19" s="52" t="n">
        <f aca="false">MAX(0,(MIN($F19,BG$4)-MAX($E19,BG$3)+1)/BG$5)</f>
        <v>0</v>
      </c>
      <c r="BH19" s="52" t="n">
        <f aca="false">MAX(0,(MIN($F19,BH$4)-MAX($E19,BH$3)+1)/BH$5)</f>
        <v>0</v>
      </c>
      <c r="BI19" s="52" t="n">
        <f aca="false">MAX(0,(MIN($F19,BI$4)-MAX($E19,BI$3)+1)/BI$5)</f>
        <v>0</v>
      </c>
      <c r="BJ19" s="52" t="n">
        <f aca="false">MAX(0,(MIN($F19,BJ$4)-MAX($E19,BJ$3)+1)/BJ$5)</f>
        <v>0</v>
      </c>
      <c r="BK19" s="52" t="n">
        <f aca="false">MAX(0,(MIN($F19,BK$4)-MAX($E19,BK$3)+1)/BK$5)</f>
        <v>0</v>
      </c>
      <c r="BL19" s="52" t="n">
        <f aca="false">MAX(0,(MIN($F19,BL$4)-MAX($E19,BL$3)+1)/BL$5)</f>
        <v>0</v>
      </c>
      <c r="BM19" s="52" t="n">
        <f aca="false">MAX(0,(MIN($F19,BM$4)-MAX($E19,BM$3)+1)/BM$5)</f>
        <v>0</v>
      </c>
      <c r="BN19" s="52" t="n">
        <f aca="false">MAX(0,(MIN($F19,BN$4)-MAX($E19,BN$3)+1)/BN$5)</f>
        <v>0</v>
      </c>
      <c r="BO19" s="52" t="n">
        <f aca="false">MAX(0,(MIN($F19,BO$4)-MAX($E19,BO$3)+1)/BO$5)</f>
        <v>0</v>
      </c>
      <c r="BP19" s="52" t="n">
        <f aca="false">MAX(0,(MIN($F19,BP$4)-MAX($E19,BP$3)+1)/BP$5)</f>
        <v>0</v>
      </c>
      <c r="BQ19" s="52" t="n">
        <f aca="false">MAX(0,(MIN($F19,BQ$4)-MAX($E19,BQ$3)+1)/BQ$5)</f>
        <v>0</v>
      </c>
      <c r="BR19" s="52" t="n">
        <f aca="false">MAX(0,(MIN($F19,BR$4)-MAX($E19,BR$3)+1)/BR$5)</f>
        <v>0</v>
      </c>
      <c r="BS19" s="52" t="n">
        <f aca="false">MAX(0,(MIN($F19,BS$4)-MAX($E19,BS$3)+1)/BS$5)</f>
        <v>0</v>
      </c>
      <c r="BT19" s="52" t="n">
        <f aca="false">MAX(0,(MIN($F19,BT$4)-MAX($E19,BT$3)+1)/BT$5)</f>
        <v>0</v>
      </c>
      <c r="BU19" s="52" t="n">
        <f aca="false">MAX(0,(MIN($F19,BU$4)-MAX($E19,BU$3)+1)/BU$5)</f>
        <v>0</v>
      </c>
      <c r="BV19" s="52" t="n">
        <f aca="false">MAX(0,(MIN($F19,BV$4)-MAX($E19,BV$3)+1)/BV$5)</f>
        <v>0</v>
      </c>
      <c r="BW19" s="52" t="n">
        <f aca="false">MAX(0,(MIN($F19,BW$4)-MAX($E19,BW$3)+1)/BW$5)</f>
        <v>0</v>
      </c>
      <c r="BX19" s="52" t="n">
        <f aca="false">MAX(0,(MIN($F19,BX$4)-MAX($E19,BX$3)+1)/BX$5)</f>
        <v>0</v>
      </c>
      <c r="BY19" s="52" t="n">
        <f aca="false">MAX(0,(MIN($F19,BY$4)-MAX($E19,BY$3)+1)/BY$5)</f>
        <v>0</v>
      </c>
      <c r="BZ19" s="52" t="n">
        <f aca="false">MAX(0,(MIN($F19,BZ$4)-MAX($E19,BZ$3)+1)/BZ$5)</f>
        <v>0</v>
      </c>
      <c r="CA19" s="52" t="n">
        <f aca="false">MAX(0,(MIN($F19,CA$4)-MAX($E19,CA$3)+1)/CA$5)</f>
        <v>0</v>
      </c>
      <c r="CB19" s="52" t="n">
        <f aca="false">MAX(0,(MIN($F19,CB$4)-MAX($E19,CB$3)+1)/CB$5)</f>
        <v>0</v>
      </c>
      <c r="CC19" s="52" t="n">
        <f aca="false">MAX(0,(MIN($F19,CC$4)-MAX($E19,CC$3)+1)/CC$5)</f>
        <v>0</v>
      </c>
      <c r="CD19" s="52" t="n">
        <f aca="false">MAX(0,(MIN($F19,CD$4)-MAX($E19,CD$3)+1)/CD$5)</f>
        <v>0</v>
      </c>
      <c r="CE19" s="52" t="n">
        <f aca="false">MAX(0,(MIN($F19,CE$4)-MAX($E19,CE$3)+1)/CE$5)</f>
        <v>0</v>
      </c>
      <c r="CF19" s="52" t="n">
        <f aca="false">MAX(0,(MIN($F19,CF$4)-MAX($E19,CF$3)+1)/CF$5)</f>
        <v>0</v>
      </c>
      <c r="CG19" s="52" t="n">
        <f aca="false">MAX(0,(MIN($F19,CG$4)-MAX($E19,CG$3)+1)/CG$5)</f>
        <v>0</v>
      </c>
      <c r="CH19" s="52" t="n">
        <f aca="false">MAX(0,(MIN($F19,CH$4)-MAX($E19,CH$3)+1)/CH$5)</f>
        <v>0</v>
      </c>
      <c r="CI19" s="52" t="n">
        <f aca="false">MAX(0,(MIN($F19,CI$4)-MAX($E19,CI$3)+1)/CI$5)</f>
        <v>0</v>
      </c>
      <c r="CJ19" s="52" t="n">
        <f aca="false">MAX(0,(MIN($F19,CJ$4)-MAX($E19,CJ$3)+1)/CJ$5)</f>
        <v>0</v>
      </c>
      <c r="CK19" s="52" t="n">
        <f aca="false">MAX(0,(MIN($F19,CK$4)-MAX($E19,CK$3)+1)/CK$5)</f>
        <v>0</v>
      </c>
      <c r="CL19" s="52" t="n">
        <f aca="false">MAX(0,(MIN($F19,CL$4)-MAX($E19,CL$3)+1)/CL$5)</f>
        <v>0</v>
      </c>
      <c r="CM19" s="52" t="n">
        <f aca="false">MAX(0,(MIN($F19,CM$4)-MAX($E19,CM$3)+1)/CM$5)</f>
        <v>0</v>
      </c>
      <c r="CN19" s="52" t="n">
        <f aca="false">MAX(0,(MIN($F19,CN$4)-MAX($E19,CN$3)+1)/CN$5)</f>
        <v>0</v>
      </c>
      <c r="CO19" s="52" t="n">
        <f aca="false">MAX(0,(MIN($F19,CO$4)-MAX($E19,CO$3)+1)/CO$5)</f>
        <v>0</v>
      </c>
      <c r="CP19" s="52" t="n">
        <f aca="false">MAX(0,(MIN($F19,CP$4)-MAX($E19,CP$3)+1)/CP$5)</f>
        <v>0</v>
      </c>
      <c r="CQ19" s="52" t="n">
        <f aca="false">MAX(0,(MIN($F19,CQ$4)-MAX($E19,CQ$3)+1)/CQ$5)</f>
        <v>0</v>
      </c>
      <c r="CR19" s="52" t="n">
        <f aca="false">MAX(0,(MIN($F19,CR$4)-MAX($E19,CR$3)+1)/CR$5)</f>
        <v>0</v>
      </c>
      <c r="CS19" s="52" t="n">
        <f aca="false">MAX(0,(MIN($F19,CS$4)-MAX($E19,CS$3)+1)/CS$5)</f>
        <v>0</v>
      </c>
      <c r="CT19" s="52" t="n">
        <f aca="false">MAX(0,(MIN($F19,CT$4)-MAX($E19,CT$3)+1)/CT$5)</f>
        <v>0</v>
      </c>
      <c r="CU19" s="52" t="n">
        <f aca="false">MAX(0,(MIN($F19,CU$4)-MAX($E19,CU$3)+1)/CU$5)</f>
        <v>0</v>
      </c>
      <c r="CV19" s="52" t="n">
        <f aca="false">MAX(0,(MIN($F19,CV$4)-MAX($E19,CV$3)+1)/CV$5)</f>
        <v>0</v>
      </c>
      <c r="CW19" s="52" t="n">
        <f aca="false">MAX(0,(MIN($F19,CW$4)-MAX($E19,CW$3)+1)/CW$5)</f>
        <v>0</v>
      </c>
      <c r="CX19" s="52" t="n">
        <f aca="false">MAX(0,(MIN($F19,CX$4)-MAX($E19,CX$3)+1)/CX$5)</f>
        <v>0</v>
      </c>
      <c r="CY19" s="52" t="n">
        <f aca="false">MAX(0,(MIN($F19,CY$4)-MAX($E19,CY$3)+1)/CY$5)</f>
        <v>0</v>
      </c>
      <c r="CZ19" s="52" t="n">
        <f aca="false">MAX(0,(MIN($F19,CZ$4)-MAX($E19,CZ$3)+1)/CZ$5)</f>
        <v>0</v>
      </c>
      <c r="DA19" s="52" t="n">
        <f aca="false">MAX(0,(MIN($F19,DA$4)-MAX($E19,DA$3)+1)/DA$5)</f>
        <v>0</v>
      </c>
      <c r="DB19" s="52" t="n">
        <f aca="false">MAX(0,(MIN($F19,DB$4)-MAX($E19,DB$3)+1)/DB$5)</f>
        <v>0</v>
      </c>
      <c r="DC19" s="52" t="n">
        <f aca="false">MAX(0,(MIN($F19,DC$4)-MAX($E19,DC$3)+1)/DC$5)</f>
        <v>0</v>
      </c>
      <c r="DD19" s="52" t="n">
        <f aca="false">MAX(0,(MIN($F19,DD$4)-MAX($E19,DD$3)+1)/DD$5)</f>
        <v>0</v>
      </c>
      <c r="DE19" s="52" t="n">
        <f aca="false">MAX(0,(MIN($F19,DE$4)-MAX($E19,DE$3)+1)/DE$5)</f>
        <v>0</v>
      </c>
      <c r="DF19" s="52" t="n">
        <f aca="false">MAX(0,(MIN($F19,DF$4)-MAX($E19,DF$3)+1)/DF$5)</f>
        <v>0</v>
      </c>
      <c r="DG19" s="52" t="n">
        <f aca="false">MAX(0,(MIN($F19,DG$4)-MAX($E19,DG$3)+1)/DG$5)</f>
        <v>0</v>
      </c>
      <c r="DH19" s="52" t="n">
        <f aca="false">MAX(0,(MIN($F19,DH$4)-MAX($E19,DH$3)+1)/DH$5)</f>
        <v>0</v>
      </c>
      <c r="DI19" s="52" t="n">
        <f aca="false">MAX(0,(MIN($F19,DI$4)-MAX($E19,DI$3)+1)/DI$5)</f>
        <v>0</v>
      </c>
      <c r="DJ19" s="52" t="n">
        <f aca="false">MAX(0,(MIN($F19,DJ$4)-MAX($E19,DJ$3)+1)/DJ$5)</f>
        <v>0</v>
      </c>
      <c r="DK19" s="52" t="n">
        <f aca="false">MAX(0,(MIN($F19,DK$4)-MAX($E19,DK$3)+1)/DK$5)</f>
        <v>0</v>
      </c>
      <c r="DL19" s="52" t="n">
        <f aca="false">MAX(0,(MIN($F19,DL$4)-MAX($E19,DL$3)+1)/DL$5)</f>
        <v>0</v>
      </c>
      <c r="DM19" s="52" t="n">
        <f aca="false">MAX(0,(MIN($F19,DM$4)-MAX($E19,DM$3)+1)/DM$5)</f>
        <v>0</v>
      </c>
      <c r="DN19" s="52" t="n">
        <f aca="false">MAX(0,(MIN($F19,DN$4)-MAX($E19,DN$3)+1)/DN$5)</f>
        <v>0</v>
      </c>
      <c r="DO19" s="52" t="n">
        <f aca="false">MAX(0,(MIN($F19,DO$4)-MAX($E19,DO$3)+1)/DO$5)</f>
        <v>0</v>
      </c>
      <c r="DP19" s="52" t="n">
        <f aca="false">MAX(0,(MIN($F19,DP$4)-MAX($E19,DP$3)+1)/DP$5)</f>
        <v>0</v>
      </c>
      <c r="DQ19" s="52" t="n">
        <f aca="false">MAX(0,(MIN($F19,DQ$4)-MAX($E19,DQ$3)+1)/DQ$5)</f>
        <v>0</v>
      </c>
      <c r="DR19" s="52" t="n">
        <f aca="false">MAX(0,(MIN($F19,DR$4)-MAX($E19,DR$3)+1)/DR$5)</f>
        <v>0</v>
      </c>
      <c r="DS19" s="52" t="n">
        <f aca="false">MAX(0,(MIN($F19,DS$4)-MAX($E19,DS$3)+1)/DS$5)</f>
        <v>0</v>
      </c>
      <c r="DT19" s="52" t="n">
        <f aca="false">MAX(0,(MIN($F19,DT$4)-MAX($E19,DT$3)+1)/DT$5)</f>
        <v>0</v>
      </c>
      <c r="DU19" s="52" t="n">
        <f aca="false">MAX(0,(MIN($F19,DU$4)-MAX($E19,DU$3)+1)/DU$5)</f>
        <v>0</v>
      </c>
      <c r="DV19" s="52" t="n">
        <f aca="false">MAX(0,(MIN($F19,DV$4)-MAX($E19,DV$3)+1)/DV$5)</f>
        <v>0</v>
      </c>
      <c r="DW19" s="52" t="n">
        <f aca="false">MAX(0,(MIN($F19,DW$4)-MAX($E19,DW$3)+1)/DW$5)</f>
        <v>0</v>
      </c>
      <c r="DX19" s="52" t="n">
        <f aca="false">MAX(0,(MIN($F19,DX$4)-MAX($E19,DX$3)+1)/DX$5)</f>
        <v>0</v>
      </c>
      <c r="DY19" s="52" t="n">
        <f aca="false">MAX(0,(MIN($F19,DY$4)-MAX($E19,DY$3)+1)/DY$5)</f>
        <v>0</v>
      </c>
      <c r="DZ19" s="52" t="n">
        <f aca="false">MAX(0,(MIN($F19,DZ$4)-MAX($E19,DZ$3)+1)/DZ$5)</f>
        <v>0</v>
      </c>
      <c r="EA19" s="52" t="n">
        <f aca="false">MAX(0,(MIN($F19,EA$4)-MAX($E19,EA$3)+1)/EA$5)</f>
        <v>0</v>
      </c>
      <c r="EB19" s="52" t="n">
        <f aca="false">MAX(0,(MIN($F19,EB$4)-MAX($E19,EB$3)+1)/EB$5)</f>
        <v>0</v>
      </c>
      <c r="EC19" s="52" t="n">
        <f aca="false">MAX(0,(MIN($F19,EC$4)-MAX($E19,EC$3)+1)/EC$5)</f>
        <v>0</v>
      </c>
      <c r="ED19" s="52" t="n">
        <f aca="false">MAX(0,(MIN($F19,ED$4)-MAX($E19,ED$3)+1)/ED$5)</f>
        <v>0</v>
      </c>
      <c r="EE19" s="52" t="n">
        <f aca="false">MAX(0,(MIN($F19,EE$4)-MAX($E19,EE$3)+1)/EE$5)</f>
        <v>0</v>
      </c>
      <c r="EF19" s="52" t="n">
        <f aca="false">MAX(0,(MIN($F19,EF$4)-MAX($E19,EF$3)+1)/EF$5)</f>
        <v>0</v>
      </c>
      <c r="EG19" s="52" t="n">
        <f aca="false">MAX(0,(MIN($F19,EG$4)-MAX($E19,EG$3)+1)/EG$5)</f>
        <v>0</v>
      </c>
      <c r="EH19" s="52" t="n">
        <f aca="false">MAX(0,(MIN($F19,EH$4)-MAX($E19,EH$3)+1)/EH$5)</f>
        <v>0</v>
      </c>
      <c r="EI19" s="52" t="n">
        <f aca="false">MAX(0,(MIN($F19,EI$4)-MAX($E19,EI$3)+1)/EI$5)</f>
        <v>0</v>
      </c>
      <c r="EJ19" s="52" t="n">
        <f aca="false">MAX(0,(MIN($F19,EJ$4)-MAX($E19,EJ$3)+1)/EJ$5)</f>
        <v>0</v>
      </c>
      <c r="EK19" s="52" t="n">
        <f aca="false">MAX(0,(MIN($F19,EK$4)-MAX($E19,EK$3)+1)/EK$5)</f>
        <v>0</v>
      </c>
      <c r="EL19" s="52" t="n">
        <f aca="false">MAX(0,(MIN($F19,EL$4)-MAX($E19,EL$3)+1)/EL$5)</f>
        <v>0</v>
      </c>
      <c r="EM19" s="52" t="n">
        <f aca="false">MAX(0,(MIN($F19,EM$4)-MAX($E19,EM$3)+1)/EM$5)</f>
        <v>0</v>
      </c>
      <c r="EN19" s="52" t="n">
        <f aca="false">MAX(0,(MIN($F19,EN$4)-MAX($E19,EN$3)+1)/EN$5)</f>
        <v>0</v>
      </c>
      <c r="EO19" s="52" t="n">
        <f aca="false">MAX(0,(MIN($F19,EO$4)-MAX($E19,EO$3)+1)/EO$5)</f>
        <v>0</v>
      </c>
      <c r="EP19" s="52" t="n">
        <f aca="false">MAX(0,(MIN($F19,EP$4)-MAX($E19,EP$3)+1)/EP$5)</f>
        <v>0</v>
      </c>
      <c r="EQ19" s="52" t="n">
        <f aca="false">MAX(0,(MIN($F19,EQ$4)-MAX($E19,EQ$3)+1)/EQ$5)</f>
        <v>0</v>
      </c>
      <c r="ER19" s="52" t="n">
        <f aca="false">MAX(0,(MIN($F19,ER$4)-MAX($E19,ER$3)+1)/ER$5)</f>
        <v>0</v>
      </c>
      <c r="ES19" s="52" t="n">
        <f aca="false">MAX(0,(MIN($F19,ES$4)-MAX($E19,ES$3)+1)/ES$5)</f>
        <v>0</v>
      </c>
      <c r="ET19" s="52" t="n">
        <f aca="false">MAX(0,(MIN($F19,ET$4)-MAX($E19,ET$3)+1)/ET$5)</f>
        <v>0</v>
      </c>
    </row>
    <row r="20" customFormat="false" ht="15" hidden="false" customHeight="false" outlineLevel="0" collapsed="false">
      <c r="C20" s="0" t="s">
        <v>493</v>
      </c>
      <c r="D20" s="11" t="s">
        <v>41</v>
      </c>
      <c r="J20" s="46" t="n">
        <f aca="false">N(MONTH(J$4)=Months_In_Year)</f>
        <v>0</v>
      </c>
      <c r="K20" s="46" t="n">
        <f aca="false">N(MONTH(K$4)=Months_In_Year)</f>
        <v>1</v>
      </c>
      <c r="L20" s="46" t="n">
        <f aca="false">N(MONTH(L$4)=Months_In_Year)</f>
        <v>0</v>
      </c>
      <c r="M20" s="46" t="n">
        <f aca="false">N(MONTH(M$4)=Months_In_Year)</f>
        <v>0</v>
      </c>
      <c r="N20" s="46" t="n">
        <f aca="false">N(MONTH(N$4)=Months_In_Year)</f>
        <v>0</v>
      </c>
      <c r="O20" s="46" t="n">
        <f aca="false">N(MONTH(O$4)=Months_In_Year)</f>
        <v>1</v>
      </c>
      <c r="P20" s="46" t="n">
        <f aca="false">N(MONTH(P$4)=Months_In_Year)</f>
        <v>0</v>
      </c>
      <c r="Q20" s="46" t="n">
        <f aca="false">N(MONTH(Q$4)=Months_In_Year)</f>
        <v>0</v>
      </c>
      <c r="R20" s="46" t="n">
        <f aca="false">N(MONTH(R$4)=Months_In_Year)</f>
        <v>0</v>
      </c>
      <c r="S20" s="46" t="n">
        <f aca="false">N(MONTH(S$4)=Months_In_Year)</f>
        <v>1</v>
      </c>
      <c r="T20" s="46" t="n">
        <f aca="false">N(MONTH(T$4)=Months_In_Year)</f>
        <v>0</v>
      </c>
      <c r="U20" s="46" t="n">
        <f aca="false">N(MONTH(U$4)=Months_In_Year)</f>
        <v>0</v>
      </c>
      <c r="V20" s="46" t="n">
        <f aca="false">N(MONTH(V$4)=Months_In_Year)</f>
        <v>0</v>
      </c>
      <c r="W20" s="46" t="n">
        <f aca="false">N(MONTH(W$4)=Months_In_Year)</f>
        <v>1</v>
      </c>
      <c r="X20" s="46" t="n">
        <f aca="false">N(MONTH(X$4)=Months_In_Year)</f>
        <v>0</v>
      </c>
      <c r="Y20" s="46" t="n">
        <f aca="false">N(MONTH(Y$4)=Months_In_Year)</f>
        <v>0</v>
      </c>
      <c r="Z20" s="46" t="n">
        <f aca="false">N(MONTH(Z$4)=Months_In_Year)</f>
        <v>0</v>
      </c>
      <c r="AA20" s="46" t="n">
        <f aca="false">N(MONTH(AA$4)=Months_In_Year)</f>
        <v>1</v>
      </c>
      <c r="AB20" s="46" t="n">
        <f aca="false">N(MONTH(AB$4)=Months_In_Year)</f>
        <v>0</v>
      </c>
      <c r="AC20" s="46" t="n">
        <f aca="false">N(MONTH(AC$4)=Months_In_Year)</f>
        <v>0</v>
      </c>
      <c r="AD20" s="46" t="n">
        <f aca="false">N(MONTH(AD$4)=Months_In_Year)</f>
        <v>0</v>
      </c>
      <c r="AE20" s="46" t="n">
        <f aca="false">N(MONTH(AE$4)=Months_In_Year)</f>
        <v>1</v>
      </c>
      <c r="AF20" s="46" t="n">
        <f aca="false">N(MONTH(AF$4)=Months_In_Year)</f>
        <v>0</v>
      </c>
      <c r="AG20" s="46" t="n">
        <f aca="false">N(MONTH(AG$4)=Months_In_Year)</f>
        <v>0</v>
      </c>
      <c r="AH20" s="46" t="n">
        <f aca="false">N(MONTH(AH$4)=Months_In_Year)</f>
        <v>0</v>
      </c>
      <c r="AI20" s="46" t="n">
        <f aca="false">N(MONTH(AI$4)=Months_In_Year)</f>
        <v>1</v>
      </c>
      <c r="AJ20" s="46" t="n">
        <f aca="false">N(MONTH(AJ$4)=Months_In_Year)</f>
        <v>0</v>
      </c>
      <c r="AK20" s="46" t="n">
        <f aca="false">N(MONTH(AK$4)=Months_In_Year)</f>
        <v>0</v>
      </c>
      <c r="AL20" s="46" t="n">
        <f aca="false">N(MONTH(AL$4)=Months_In_Year)</f>
        <v>0</v>
      </c>
      <c r="AM20" s="46" t="n">
        <f aca="false">N(MONTH(AM$4)=Months_In_Year)</f>
        <v>1</v>
      </c>
      <c r="AN20" s="46" t="n">
        <f aca="false">N(MONTH(AN$4)=Months_In_Year)</f>
        <v>0</v>
      </c>
      <c r="AO20" s="46" t="n">
        <f aca="false">N(MONTH(AO$4)=Months_In_Year)</f>
        <v>0</v>
      </c>
      <c r="AP20" s="46" t="n">
        <f aca="false">N(MONTH(AP$4)=Months_In_Year)</f>
        <v>0</v>
      </c>
      <c r="AQ20" s="46" t="n">
        <f aca="false">N(MONTH(AQ$4)=Months_In_Year)</f>
        <v>1</v>
      </c>
      <c r="AR20" s="46" t="n">
        <f aca="false">N(MONTH(AR$4)=Months_In_Year)</f>
        <v>0</v>
      </c>
      <c r="AS20" s="46" t="n">
        <f aca="false">N(MONTH(AS$4)=Months_In_Year)</f>
        <v>0</v>
      </c>
      <c r="AT20" s="46" t="n">
        <f aca="false">N(MONTH(AT$4)=Months_In_Year)</f>
        <v>0</v>
      </c>
      <c r="AU20" s="46" t="n">
        <f aca="false">N(MONTH(AU$4)=Months_In_Year)</f>
        <v>1</v>
      </c>
      <c r="AV20" s="46" t="n">
        <f aca="false">N(MONTH(AV$4)=Months_In_Year)</f>
        <v>0</v>
      </c>
      <c r="AW20" s="46" t="n">
        <f aca="false">N(MONTH(AW$4)=Months_In_Year)</f>
        <v>0</v>
      </c>
      <c r="AX20" s="46" t="n">
        <f aca="false">N(MONTH(AX$4)=Months_In_Year)</f>
        <v>0</v>
      </c>
      <c r="AY20" s="46" t="n">
        <f aca="false">N(MONTH(AY$4)=Months_In_Year)</f>
        <v>1</v>
      </c>
      <c r="AZ20" s="46" t="n">
        <f aca="false">N(MONTH(AZ$4)=Months_In_Year)</f>
        <v>0</v>
      </c>
      <c r="BA20" s="46" t="n">
        <f aca="false">N(MONTH(BA$4)=Months_In_Year)</f>
        <v>0</v>
      </c>
      <c r="BB20" s="46" t="n">
        <f aca="false">N(MONTH(BB$4)=Months_In_Year)</f>
        <v>0</v>
      </c>
      <c r="BC20" s="46" t="n">
        <f aca="false">N(MONTH(BC$4)=Months_In_Year)</f>
        <v>1</v>
      </c>
      <c r="BD20" s="46" t="n">
        <f aca="false">N(MONTH(BD$4)=Months_In_Year)</f>
        <v>0</v>
      </c>
      <c r="BE20" s="46" t="n">
        <f aca="false">N(MONTH(BE$4)=Months_In_Year)</f>
        <v>0</v>
      </c>
      <c r="BF20" s="46" t="n">
        <f aca="false">N(MONTH(BF$4)=Months_In_Year)</f>
        <v>0</v>
      </c>
      <c r="BG20" s="46" t="n">
        <f aca="false">N(MONTH(BG$4)=Months_In_Year)</f>
        <v>1</v>
      </c>
      <c r="BH20" s="46" t="n">
        <f aca="false">N(MONTH(BH$4)=Months_In_Year)</f>
        <v>0</v>
      </c>
      <c r="BI20" s="46" t="n">
        <f aca="false">N(MONTH(BI$4)=Months_In_Year)</f>
        <v>0</v>
      </c>
      <c r="BJ20" s="46" t="n">
        <f aca="false">N(MONTH(BJ$4)=Months_In_Year)</f>
        <v>0</v>
      </c>
      <c r="BK20" s="46" t="n">
        <f aca="false">N(MONTH(BK$4)=Months_In_Year)</f>
        <v>1</v>
      </c>
      <c r="BL20" s="46" t="n">
        <f aca="false">N(MONTH(BL$4)=Months_In_Year)</f>
        <v>0</v>
      </c>
      <c r="BM20" s="46" t="n">
        <f aca="false">N(MONTH(BM$4)=Months_In_Year)</f>
        <v>0</v>
      </c>
      <c r="BN20" s="46" t="n">
        <f aca="false">N(MONTH(BN$4)=Months_In_Year)</f>
        <v>0</v>
      </c>
      <c r="BO20" s="46" t="n">
        <f aca="false">N(MONTH(BO$4)=Months_In_Year)</f>
        <v>1</v>
      </c>
      <c r="BP20" s="46" t="n">
        <f aca="false">N(MONTH(BP$4)=Months_In_Year)</f>
        <v>0</v>
      </c>
      <c r="BQ20" s="46" t="n">
        <f aca="false">N(MONTH(BQ$4)=Months_In_Year)</f>
        <v>0</v>
      </c>
      <c r="BR20" s="46" t="n">
        <f aca="false">N(MONTH(BR$4)=Months_In_Year)</f>
        <v>0</v>
      </c>
      <c r="BS20" s="46" t="n">
        <f aca="false">N(MONTH(BS$4)=Months_In_Year)</f>
        <v>1</v>
      </c>
      <c r="BT20" s="46" t="n">
        <f aca="false">N(MONTH(BT$4)=Months_In_Year)</f>
        <v>0</v>
      </c>
      <c r="BU20" s="46" t="n">
        <f aca="false">N(MONTH(BU$4)=Months_In_Year)</f>
        <v>0</v>
      </c>
      <c r="BV20" s="46" t="n">
        <f aca="false">N(MONTH(BV$4)=Months_In_Year)</f>
        <v>0</v>
      </c>
      <c r="BW20" s="46" t="n">
        <f aca="false">N(MONTH(BW$4)=Months_In_Year)</f>
        <v>1</v>
      </c>
      <c r="BX20" s="46" t="n">
        <f aca="false">N(MONTH(BX$4)=Months_In_Year)</f>
        <v>0</v>
      </c>
      <c r="BY20" s="46" t="n">
        <f aca="false">N(MONTH(BY$4)=Months_In_Year)</f>
        <v>0</v>
      </c>
      <c r="BZ20" s="46" t="n">
        <f aca="false">N(MONTH(BZ$4)=Months_In_Year)</f>
        <v>0</v>
      </c>
      <c r="CA20" s="46" t="n">
        <f aca="false">N(MONTH(CA$4)=Months_In_Year)</f>
        <v>1</v>
      </c>
      <c r="CB20" s="46" t="n">
        <f aca="false">N(MONTH(CB$4)=Months_In_Year)</f>
        <v>0</v>
      </c>
      <c r="CC20" s="46" t="n">
        <f aca="false">N(MONTH(CC$4)=Months_In_Year)</f>
        <v>0</v>
      </c>
      <c r="CD20" s="46" t="n">
        <f aca="false">N(MONTH(CD$4)=Months_In_Year)</f>
        <v>0</v>
      </c>
      <c r="CE20" s="46" t="n">
        <f aca="false">N(MONTH(CE$4)=Months_In_Year)</f>
        <v>1</v>
      </c>
      <c r="CF20" s="46" t="n">
        <f aca="false">N(MONTH(CF$4)=Months_In_Year)</f>
        <v>0</v>
      </c>
      <c r="CG20" s="46" t="n">
        <f aca="false">N(MONTH(CG$4)=Months_In_Year)</f>
        <v>0</v>
      </c>
      <c r="CH20" s="46" t="n">
        <f aca="false">N(MONTH(CH$4)=Months_In_Year)</f>
        <v>0</v>
      </c>
      <c r="CI20" s="46" t="n">
        <f aca="false">N(MONTH(CI$4)=Months_In_Year)</f>
        <v>1</v>
      </c>
      <c r="CJ20" s="46" t="n">
        <f aca="false">N(MONTH(CJ$4)=Months_In_Year)</f>
        <v>0</v>
      </c>
      <c r="CK20" s="46" t="n">
        <f aca="false">N(MONTH(CK$4)=Months_In_Year)</f>
        <v>0</v>
      </c>
      <c r="CL20" s="46" t="n">
        <f aca="false">N(MONTH(CL$4)=Months_In_Year)</f>
        <v>0</v>
      </c>
      <c r="CM20" s="46" t="n">
        <f aca="false">N(MONTH(CM$4)=Months_In_Year)</f>
        <v>1</v>
      </c>
      <c r="CN20" s="46" t="n">
        <f aca="false">N(MONTH(CN$4)=Months_In_Year)</f>
        <v>0</v>
      </c>
      <c r="CO20" s="46" t="n">
        <f aca="false">N(MONTH(CO$4)=Months_In_Year)</f>
        <v>0</v>
      </c>
      <c r="CP20" s="46" t="n">
        <f aca="false">N(MONTH(CP$4)=Months_In_Year)</f>
        <v>0</v>
      </c>
      <c r="CQ20" s="46" t="n">
        <f aca="false">N(MONTH(CQ$4)=Months_In_Year)</f>
        <v>1</v>
      </c>
      <c r="CR20" s="46" t="n">
        <f aca="false">N(MONTH(CR$4)=Months_In_Year)</f>
        <v>0</v>
      </c>
      <c r="CS20" s="46" t="n">
        <f aca="false">N(MONTH(CS$4)=Months_In_Year)</f>
        <v>0</v>
      </c>
      <c r="CT20" s="46" t="n">
        <f aca="false">N(MONTH(CT$4)=Months_In_Year)</f>
        <v>0</v>
      </c>
      <c r="CU20" s="46" t="n">
        <f aca="false">N(MONTH(CU$4)=Months_In_Year)</f>
        <v>1</v>
      </c>
      <c r="CV20" s="46" t="n">
        <f aca="false">N(MONTH(CV$4)=Months_In_Year)</f>
        <v>0</v>
      </c>
      <c r="CW20" s="46" t="n">
        <f aca="false">N(MONTH(CW$4)=Months_In_Year)</f>
        <v>0</v>
      </c>
      <c r="CX20" s="46" t="n">
        <f aca="false">N(MONTH(CX$4)=Months_In_Year)</f>
        <v>0</v>
      </c>
      <c r="CY20" s="46" t="n">
        <f aca="false">N(MONTH(CY$4)=Months_In_Year)</f>
        <v>1</v>
      </c>
      <c r="CZ20" s="46" t="n">
        <f aca="false">N(MONTH(CZ$4)=Months_In_Year)</f>
        <v>0</v>
      </c>
      <c r="DA20" s="46" t="n">
        <f aca="false">N(MONTH(DA$4)=Months_In_Year)</f>
        <v>0</v>
      </c>
      <c r="DB20" s="46" t="n">
        <f aca="false">N(MONTH(DB$4)=Months_In_Year)</f>
        <v>0</v>
      </c>
      <c r="DC20" s="46" t="n">
        <f aca="false">N(MONTH(DC$4)=Months_In_Year)</f>
        <v>1</v>
      </c>
      <c r="DD20" s="46" t="n">
        <f aca="false">N(MONTH(DD$4)=Months_In_Year)</f>
        <v>0</v>
      </c>
      <c r="DE20" s="46" t="n">
        <f aca="false">N(MONTH(DE$4)=Months_In_Year)</f>
        <v>0</v>
      </c>
      <c r="DF20" s="46" t="n">
        <f aca="false">N(MONTH(DF$4)=Months_In_Year)</f>
        <v>0</v>
      </c>
      <c r="DG20" s="46" t="n">
        <f aca="false">N(MONTH(DG$4)=Months_In_Year)</f>
        <v>1</v>
      </c>
      <c r="DH20" s="46" t="n">
        <f aca="false">N(MONTH(DH$4)=Months_In_Year)</f>
        <v>0</v>
      </c>
      <c r="DI20" s="46" t="n">
        <f aca="false">N(MONTH(DI$4)=Months_In_Year)</f>
        <v>0</v>
      </c>
      <c r="DJ20" s="46" t="n">
        <f aca="false">N(MONTH(DJ$4)=Months_In_Year)</f>
        <v>0</v>
      </c>
      <c r="DK20" s="46" t="n">
        <f aca="false">N(MONTH(DK$4)=Months_In_Year)</f>
        <v>1</v>
      </c>
      <c r="DL20" s="46" t="n">
        <f aca="false">N(MONTH(DL$4)=Months_In_Year)</f>
        <v>0</v>
      </c>
      <c r="DM20" s="46" t="n">
        <f aca="false">N(MONTH(DM$4)=Months_In_Year)</f>
        <v>0</v>
      </c>
      <c r="DN20" s="46" t="n">
        <f aca="false">N(MONTH(DN$4)=Months_In_Year)</f>
        <v>0</v>
      </c>
      <c r="DO20" s="46" t="n">
        <f aca="false">N(MONTH(DO$4)=Months_In_Year)</f>
        <v>1</v>
      </c>
      <c r="DP20" s="46" t="n">
        <f aca="false">N(MONTH(DP$4)=Months_In_Year)</f>
        <v>0</v>
      </c>
      <c r="DQ20" s="46" t="n">
        <f aca="false">N(MONTH(DQ$4)=Months_In_Year)</f>
        <v>0</v>
      </c>
      <c r="DR20" s="46" t="n">
        <f aca="false">N(MONTH(DR$4)=Months_In_Year)</f>
        <v>0</v>
      </c>
      <c r="DS20" s="46" t="n">
        <f aca="false">N(MONTH(DS$4)=Months_In_Year)</f>
        <v>1</v>
      </c>
      <c r="DT20" s="46" t="n">
        <f aca="false">N(MONTH(DT$4)=Months_In_Year)</f>
        <v>0</v>
      </c>
      <c r="DU20" s="46" t="n">
        <f aca="false">N(MONTH(DU$4)=Months_In_Year)</f>
        <v>0</v>
      </c>
      <c r="DV20" s="46" t="n">
        <f aca="false">N(MONTH(DV$4)=Months_In_Year)</f>
        <v>0</v>
      </c>
      <c r="DW20" s="46" t="n">
        <f aca="false">N(MONTH(DW$4)=Months_In_Year)</f>
        <v>1</v>
      </c>
      <c r="DX20" s="46" t="n">
        <f aca="false">N(MONTH(DX$4)=Months_In_Year)</f>
        <v>0</v>
      </c>
      <c r="DY20" s="46" t="n">
        <f aca="false">N(MONTH(DY$4)=Months_In_Year)</f>
        <v>0</v>
      </c>
      <c r="DZ20" s="46" t="n">
        <f aca="false">N(MONTH(DZ$4)=Months_In_Year)</f>
        <v>0</v>
      </c>
      <c r="EA20" s="46" t="n">
        <f aca="false">N(MONTH(EA$4)=Months_In_Year)</f>
        <v>1</v>
      </c>
      <c r="EB20" s="46" t="n">
        <f aca="false">N(MONTH(EB$4)=Months_In_Year)</f>
        <v>0</v>
      </c>
      <c r="EC20" s="46" t="n">
        <f aca="false">N(MONTH(EC$4)=Months_In_Year)</f>
        <v>0</v>
      </c>
      <c r="ED20" s="46" t="n">
        <f aca="false">N(MONTH(ED$4)=Months_In_Year)</f>
        <v>0</v>
      </c>
      <c r="EE20" s="46" t="n">
        <f aca="false">N(MONTH(EE$4)=Months_In_Year)</f>
        <v>1</v>
      </c>
      <c r="EF20" s="46" t="n">
        <f aca="false">N(MONTH(EF$4)=Months_In_Year)</f>
        <v>0</v>
      </c>
      <c r="EG20" s="46" t="n">
        <f aca="false">N(MONTH(EG$4)=Months_In_Year)</f>
        <v>0</v>
      </c>
      <c r="EH20" s="46" t="n">
        <f aca="false">N(MONTH(EH$4)=Months_In_Year)</f>
        <v>0</v>
      </c>
      <c r="EI20" s="46" t="n">
        <f aca="false">N(MONTH(EI$4)=Months_In_Year)</f>
        <v>1</v>
      </c>
      <c r="EJ20" s="46" t="n">
        <f aca="false">N(MONTH(EJ$4)=Months_In_Year)</f>
        <v>0</v>
      </c>
      <c r="EK20" s="46" t="n">
        <f aca="false">N(MONTH(EK$4)=Months_In_Year)</f>
        <v>0</v>
      </c>
      <c r="EL20" s="46" t="n">
        <f aca="false">N(MONTH(EL$4)=Months_In_Year)</f>
        <v>0</v>
      </c>
      <c r="EM20" s="46" t="n">
        <f aca="false">N(MONTH(EM$4)=Months_In_Year)</f>
        <v>1</v>
      </c>
      <c r="EN20" s="46" t="n">
        <f aca="false">N(MONTH(EN$4)=Months_In_Year)</f>
        <v>0</v>
      </c>
      <c r="EO20" s="46" t="n">
        <f aca="false">N(MONTH(EO$4)=Months_In_Year)</f>
        <v>0</v>
      </c>
      <c r="EP20" s="46" t="n">
        <f aca="false">N(MONTH(EP$4)=Months_In_Year)</f>
        <v>0</v>
      </c>
      <c r="EQ20" s="46" t="n">
        <f aca="false">N(MONTH(EQ$4)=Months_In_Year)</f>
        <v>1</v>
      </c>
      <c r="ER20" s="46" t="n">
        <f aca="false">N(MONTH(ER$4)=Months_In_Year)</f>
        <v>0</v>
      </c>
      <c r="ES20" s="46" t="n">
        <f aca="false">N(MONTH(ES$4)=Months_In_Year)</f>
        <v>0</v>
      </c>
      <c r="ET20" s="46" t="n">
        <f aca="false">N(MONTH(ET$4)=Months_In_Year)</f>
        <v>0</v>
      </c>
    </row>
    <row r="21" customFormat="false" ht="15" hidden="false" customHeight="false" outlineLevel="0" collapsed="false">
      <c r="C21" s="0" t="s">
        <v>494</v>
      </c>
      <c r="D21" s="11" t="s">
        <v>482</v>
      </c>
      <c r="J21" s="52" t="n">
        <f aca="false">1/(1+In_Buyer_Rate)^(MAX(0,J$4-In_COD)/Days_In_Year)</f>
        <v>1</v>
      </c>
      <c r="K21" s="52" t="n">
        <f aca="false">1/(1+In_Buyer_Rate)^(MAX(0,K$4-In_COD)/Days_In_Year)</f>
        <v>1</v>
      </c>
      <c r="L21" s="52" t="n">
        <f aca="false">1/(1+In_Buyer_Rate)^(MAX(0,L$4-In_COD)/Days_In_Year)</f>
        <v>1</v>
      </c>
      <c r="M21" s="52" t="n">
        <f aca="false">1/(1+In_Buyer_Rate)^(MAX(0,M$4-In_COD)/Days_In_Year)</f>
        <v>1</v>
      </c>
      <c r="N21" s="52" t="n">
        <f aca="false">1/(1+In_Buyer_Rate)^(MAX(0,N$4-In_COD)/Days_In_Year)</f>
        <v>1</v>
      </c>
      <c r="O21" s="52" t="n">
        <f aca="false">1/(1+In_Buyer_Rate)^(MAX(0,O$4-In_COD)/Days_In_Year)</f>
        <v>1</v>
      </c>
      <c r="P21" s="52" t="n">
        <f aca="false">1/(1+In_Buyer_Rate)^(MAX(0,P$4-In_COD)/Days_In_Year)</f>
        <v>1</v>
      </c>
      <c r="Q21" s="52" t="n">
        <f aca="false">1/(1+In_Buyer_Rate)^(MAX(0,Q$4-In_COD)/Days_In_Year)</f>
        <v>1</v>
      </c>
      <c r="R21" s="52" t="n">
        <f aca="false">1/(1+In_Buyer_Rate)^(MAX(0,R$4-In_COD)/Days_In_Year)</f>
        <v>1</v>
      </c>
      <c r="S21" s="52" t="n">
        <f aca="false">1/(1+In_Buyer_Rate)^(MAX(0,S$4-In_COD)/Days_In_Year)</f>
        <v>1</v>
      </c>
      <c r="T21" s="52" t="n">
        <f aca="false">1/(1+In_Buyer_Rate)^(MAX(0,T$4-In_COD)/Days_In_Year)</f>
        <v>1</v>
      </c>
      <c r="U21" s="52" t="n">
        <f aca="false">1/(1+In_Buyer_Rate)^(MAX(0,U$4-In_COD)/Days_In_Year)</f>
        <v>1</v>
      </c>
      <c r="V21" s="52" t="n">
        <f aca="false">1/(1+In_Buyer_Rate)^(MAX(0,V$4-In_COD)/Days_In_Year)</f>
        <v>1</v>
      </c>
      <c r="W21" s="52" t="n">
        <f aca="false">1/(1+In_Buyer_Rate)^(MAX(0,W$4-In_COD)/Days_In_Year)</f>
        <v>1</v>
      </c>
      <c r="X21" s="52" t="n">
        <f aca="false">1/(1+In_Buyer_Rate)^(MAX(0,X$4-In_COD)/Days_In_Year)</f>
        <v>1</v>
      </c>
      <c r="Y21" s="52" t="n">
        <f aca="false">1/(1+In_Buyer_Rate)^(MAX(0,Y$4-In_COD)/Days_In_Year)</f>
        <v>1</v>
      </c>
      <c r="Z21" s="52" t="n">
        <f aca="false">1/(1+In_Buyer_Rate)^(MAX(0,Z$4-In_COD)/Days_In_Year)</f>
        <v>1</v>
      </c>
      <c r="AA21" s="52" t="n">
        <f aca="false">1/(1+In_Buyer_Rate)^(MAX(0,AA$4-In_COD)/Days_In_Year)</f>
        <v>1</v>
      </c>
      <c r="AB21" s="52" t="n">
        <f aca="false">1/(1+In_Buyer_Rate)^(MAX(0,AB$4-In_COD)/Days_In_Year)</f>
        <v>1</v>
      </c>
      <c r="AC21" s="52" t="n">
        <f aca="false">1/(1+In_Buyer_Rate)^(MAX(0,AC$4-In_COD)/Days_In_Year)</f>
        <v>1</v>
      </c>
      <c r="AD21" s="52" t="n">
        <f aca="false">1/(1+In_Buyer_Rate)^(MAX(0,AD$4-In_COD)/Days_In_Year)</f>
        <v>1</v>
      </c>
      <c r="AE21" s="52" t="n">
        <f aca="false">1/(1+In_Buyer_Rate)^(MAX(0,AE$4-In_COD)/Days_In_Year)</f>
        <v>0.980788538821203</v>
      </c>
      <c r="AF21" s="52" t="n">
        <f aca="false">1/(1+In_Buyer_Rate)^(MAX(0,AF$4-In_COD)/Days_In_Year)</f>
        <v>0.962149007700345</v>
      </c>
      <c r="AG21" s="52" t="n">
        <f aca="false">1/(1+In_Buyer_Rate)^(MAX(0,AG$4-In_COD)/Days_In_Year)</f>
        <v>0.943863714120663</v>
      </c>
      <c r="AH21" s="52" t="n">
        <f aca="false">1/(1+In_Buyer_Rate)^(MAX(0,AH$4-In_COD)/Days_In_Year)</f>
        <v>0.925730713018759</v>
      </c>
      <c r="AI21" s="52" t="n">
        <f aca="false">1/(1+In_Buyer_Rate)^(MAX(0,AI$4-In_COD)/Days_In_Year)</f>
        <v>0.907946073363579</v>
      </c>
      <c r="AJ21" s="52" t="n">
        <f aca="false">1/(1+In_Buyer_Rate)^(MAX(0,AJ$4-In_COD)/Days_In_Year)</f>
        <v>0.890878710833653</v>
      </c>
      <c r="AK21" s="52" t="n">
        <f aca="false">1/(1+In_Buyer_Rate)^(MAX(0,AK$4-In_COD)/Days_In_Year)</f>
        <v>0.873947883445058</v>
      </c>
      <c r="AL21" s="52" t="n">
        <f aca="false">1/(1+In_Buyer_Rate)^(MAX(0,AL$4-In_COD)/Days_In_Year)</f>
        <v>0.857158067609962</v>
      </c>
      <c r="AM21" s="52" t="n">
        <f aca="false">1/(1+In_Buyer_Rate)^(MAX(0,AM$4-In_COD)/Days_In_Year)</f>
        <v>0.840690808669981</v>
      </c>
      <c r="AN21" s="52" t="n">
        <f aca="false">1/(1+In_Buyer_Rate)^(MAX(0,AN$4-In_COD)/Days_In_Year)</f>
        <v>0.824887695216345</v>
      </c>
      <c r="AO21" s="52" t="n">
        <f aca="false">1/(1+In_Buyer_Rate)^(MAX(0,AO$4-In_COD)/Days_In_Year)</f>
        <v>0.809211003189869</v>
      </c>
      <c r="AP21" s="52" t="n">
        <f aca="false">1/(1+In_Buyer_Rate)^(MAX(0,AP$4-In_COD)/Days_In_Year)</f>
        <v>0.793664877416631</v>
      </c>
      <c r="AQ21" s="52" t="n">
        <f aca="false">1/(1+In_Buyer_Rate)^(MAX(0,AQ$4-In_COD)/Days_In_Year)</f>
        <v>0.778417415435167</v>
      </c>
      <c r="AR21" s="52" t="n">
        <f aca="false">1/(1+In_Buyer_Rate)^(MAX(0,AR$4-In_COD)/Days_In_Year)</f>
        <v>0.763784902978097</v>
      </c>
      <c r="AS21" s="52" t="n">
        <f aca="false">1/(1+In_Buyer_Rate)^(MAX(0,AS$4-In_COD)/Days_In_Year)</f>
        <v>0.749269447398027</v>
      </c>
      <c r="AT21" s="52" t="n">
        <f aca="false">1/(1+In_Buyer_Rate)^(MAX(0,AT$4-In_COD)/Days_In_Year)</f>
        <v>0.734874886496881</v>
      </c>
      <c r="AU21" s="52" t="n">
        <f aca="false">1/(1+In_Buyer_Rate)^(MAX(0,AU$4-In_COD)/Days_In_Year)</f>
        <v>0.720756866143673</v>
      </c>
      <c r="AV21" s="52" t="n">
        <f aca="false">1/(1+In_Buyer_Rate)^(MAX(0,AV$4-In_COD)/Days_In_Year)</f>
        <v>0.707059142826878</v>
      </c>
      <c r="AW21" s="52" t="n">
        <f aca="false">1/(1+In_Buyer_Rate)^(MAX(0,AW$4-In_COD)/Days_In_Year)</f>
        <v>0.693621739782947</v>
      </c>
      <c r="AX21" s="52" t="n">
        <f aca="false">1/(1+In_Buyer_Rate)^(MAX(0,AX$4-In_COD)/Days_In_Year)</f>
        <v>0.680296252656337</v>
      </c>
      <c r="AY21" s="52" t="n">
        <f aca="false">1/(1+In_Buyer_Rate)^(MAX(0,AY$4-In_COD)/Days_In_Year)</f>
        <v>0.667226767608349</v>
      </c>
      <c r="AZ21" s="52" t="n">
        <f aca="false">1/(1+In_Buyer_Rate)^(MAX(0,AZ$4-In_COD)/Days_In_Year)</f>
        <v>0.654684391506368</v>
      </c>
      <c r="BA21" s="52" t="n">
        <f aca="false">1/(1+In_Buyer_Rate)^(MAX(0,BA$4-In_COD)/Days_In_Year)</f>
        <v>0.642242351650877</v>
      </c>
      <c r="BB21" s="52" t="n">
        <f aca="false">1/(1+In_Buyer_Rate)^(MAX(0,BB$4-In_COD)/Days_In_Year)</f>
        <v>0.629903937644757</v>
      </c>
      <c r="BC21" s="52" t="n">
        <f aca="false">1/(1+In_Buyer_Rate)^(MAX(0,BC$4-In_COD)/Days_In_Year)</f>
        <v>0.617802562600323</v>
      </c>
      <c r="BD21" s="52" t="n">
        <f aca="false">1/(1+In_Buyer_Rate)^(MAX(0,BD$4-In_COD)/Days_In_Year)</f>
        <v>0.606189251394785</v>
      </c>
      <c r="BE21" s="52" t="n">
        <f aca="false">1/(1+In_Buyer_Rate)^(MAX(0,BE$4-In_COD)/Days_In_Year)</f>
        <v>0.594668844121182</v>
      </c>
      <c r="BF21" s="52" t="n">
        <f aca="false">1/(1+In_Buyer_Rate)^(MAX(0,BF$4-In_COD)/Days_In_Year)</f>
        <v>0.583244386708108</v>
      </c>
      <c r="BG21" s="52" t="n">
        <f aca="false">1/(1+In_Buyer_Rate)^(MAX(0,BG$4-In_COD)/Days_In_Year)</f>
        <v>0.572039409815114</v>
      </c>
      <c r="BH21" s="52" t="n">
        <f aca="false">1/(1+In_Buyer_Rate)^(MAX(0,BH$4-In_COD)/Days_In_Year)</f>
        <v>0.561286343884061</v>
      </c>
      <c r="BI21" s="52" t="n">
        <f aca="false">1/(1+In_Buyer_Rate)^(MAX(0,BI$4-In_COD)/Days_In_Year)</f>
        <v>0.550619300112206</v>
      </c>
      <c r="BJ21" s="52" t="n">
        <f aca="false">1/(1+In_Buyer_Rate)^(MAX(0,BJ$4-In_COD)/Days_In_Year)</f>
        <v>0.540041098803804</v>
      </c>
      <c r="BK21" s="52" t="n">
        <f aca="false">1/(1+In_Buyer_Rate)^(MAX(0,BK$4-In_COD)/Days_In_Year)</f>
        <v>0.529666120199179</v>
      </c>
      <c r="BL21" s="52" t="n">
        <f aca="false">1/(1+In_Buyer_Rate)^(MAX(0,BL$4-In_COD)/Days_In_Year)</f>
        <v>0.519600007331484</v>
      </c>
      <c r="BM21" s="52" t="n">
        <f aca="false">1/(1+In_Buyer_Rate)^(MAX(0,BM$4-In_COD)/Days_In_Year)</f>
        <v>0.509725197294762</v>
      </c>
      <c r="BN21" s="52" t="n">
        <f aca="false">1/(1+In_Buyer_Rate)^(MAX(0,BN$4-In_COD)/Days_In_Year)</f>
        <v>0.499932631455079</v>
      </c>
      <c r="BO21" s="52" t="n">
        <f aca="false">1/(1+In_Buyer_Rate)^(MAX(0,BO$4-In_COD)/Days_In_Year)</f>
        <v>0.490328195113866</v>
      </c>
      <c r="BP21" s="52" t="n">
        <f aca="false">1/(1+In_Buyer_Rate)^(MAX(0,BP$4-In_COD)/Days_In_Year)</f>
        <v>0.481111117899522</v>
      </c>
      <c r="BQ21" s="52" t="n">
        <f aca="false">1/(1+In_Buyer_Rate)^(MAX(0,BQ$4-In_COD)/Days_In_Year)</f>
        <v>0.471967775272928</v>
      </c>
      <c r="BR21" s="52" t="n">
        <f aca="false">1/(1+In_Buyer_Rate)^(MAX(0,BR$4-In_COD)/Days_In_Year)</f>
        <v>0.462900584680629</v>
      </c>
      <c r="BS21" s="52" t="n">
        <f aca="false">1/(1+In_Buyer_Rate)^(MAX(0,BS$4-In_COD)/Days_In_Year)</f>
        <v>0.454007588068395</v>
      </c>
      <c r="BT21" s="52" t="n">
        <f aca="false">1/(1+In_Buyer_Rate)^(MAX(0,BT$4-In_COD)/Days_In_Year)</f>
        <v>0.445473257314372</v>
      </c>
      <c r="BU21" s="52" t="n">
        <f aca="false">1/(1+In_Buyer_Rate)^(MAX(0,BU$4-In_COD)/Days_In_Year)</f>
        <v>0.437007199326785</v>
      </c>
      <c r="BV21" s="52" t="n">
        <f aca="false">1/(1+In_Buyer_Rate)^(MAX(0,BV$4-In_COD)/Days_In_Year)</f>
        <v>0.428611652482064</v>
      </c>
      <c r="BW21" s="52" t="n">
        <f aca="false">1/(1+In_Buyer_Rate)^(MAX(0,BW$4-In_COD)/Days_In_Year)</f>
        <v>0.420377396359624</v>
      </c>
      <c r="BX21" s="52" t="n">
        <f aca="false">1/(1+In_Buyer_Rate)^(MAX(0,BX$4-In_COD)/Days_In_Year)</f>
        <v>0.412475238254048</v>
      </c>
      <c r="BY21" s="52" t="n">
        <f aca="false">1/(1+In_Buyer_Rate)^(MAX(0,BY$4-In_COD)/Days_In_Year)</f>
        <v>0.404636295672949</v>
      </c>
      <c r="BZ21" s="52" t="n">
        <f aca="false">1/(1+In_Buyer_Rate)^(MAX(0,BZ$4-In_COD)/Days_In_Year)</f>
        <v>0.396862641187096</v>
      </c>
      <c r="CA21" s="52" t="n">
        <f aca="false">1/(1+In_Buyer_Rate)^(MAX(0,CA$4-In_COD)/Days_In_Year)</f>
        <v>0.389238329962615</v>
      </c>
      <c r="CB21" s="52" t="n">
        <f aca="false">1/(1+In_Buyer_Rate)^(MAX(0,CB$4-In_COD)/Days_In_Year)</f>
        <v>0.381840996411503</v>
      </c>
      <c r="CC21" s="52" t="n">
        <f aca="false">1/(1+In_Buyer_Rate)^(MAX(0,CC$4-In_COD)/Days_In_Year)</f>
        <v>0.374584246506588</v>
      </c>
      <c r="CD21" s="52" t="n">
        <f aca="false">1/(1+In_Buyer_Rate)^(MAX(0,CD$4-In_COD)/Days_In_Year)</f>
        <v>0.367387935796638</v>
      </c>
      <c r="CE21" s="52" t="n">
        <f aca="false">1/(1+In_Buyer_Rate)^(MAX(0,CE$4-In_COD)/Days_In_Year)</f>
        <v>0.360329876730523</v>
      </c>
      <c r="CF21" s="52" t="n">
        <f aca="false">1/(1+In_Buyer_Rate)^(MAX(0,CF$4-In_COD)/Days_In_Year)</f>
        <v>0.353556478158799</v>
      </c>
      <c r="CG21" s="52" t="n">
        <f aca="false">1/(1+In_Buyer_Rate)^(MAX(0,CG$4-In_COD)/Days_In_Year)</f>
        <v>0.346837265283878</v>
      </c>
      <c r="CH21" s="52" t="n">
        <f aca="false">1/(1+In_Buyer_Rate)^(MAX(0,CH$4-In_COD)/Days_In_Year)</f>
        <v>0.340174014626517</v>
      </c>
      <c r="CI21" s="52" t="n">
        <f aca="false">1/(1+In_Buyer_Rate)^(MAX(0,CI$4-In_COD)/Days_In_Year)</f>
        <v>0.333638774750484</v>
      </c>
      <c r="CJ21" s="52" t="n">
        <f aca="false">1/(1+In_Buyer_Rate)^(MAX(0,CJ$4-In_COD)/Days_In_Year)</f>
        <v>0.327367109406295</v>
      </c>
      <c r="CK21" s="52" t="n">
        <f aca="false">1/(1+In_Buyer_Rate)^(MAX(0,CK$4-In_COD)/Days_In_Year)</f>
        <v>0.321145616003591</v>
      </c>
      <c r="CL21" s="52" t="n">
        <f aca="false">1/(1+In_Buyer_Rate)^(MAX(0,CL$4-In_COD)/Days_In_Year)</f>
        <v>0.314975939468997</v>
      </c>
      <c r="CM21" s="52" t="n">
        <f aca="false">1/(1+In_Buyer_Rate)^(MAX(0,CM$4-In_COD)/Days_In_Year)</f>
        <v>0.308924791435633</v>
      </c>
      <c r="CN21" s="52" t="n">
        <f aca="false">1/(1+In_Buyer_Rate)^(MAX(0,CN$4-In_COD)/Days_In_Year)</f>
        <v>0.303117693894718</v>
      </c>
      <c r="CO21" s="52" t="n">
        <f aca="false">1/(1+In_Buyer_Rate)^(MAX(0,CO$4-In_COD)/Days_In_Year)</f>
        <v>0.297357051855177</v>
      </c>
      <c r="CP21" s="52" t="n">
        <f aca="false">1/(1+In_Buyer_Rate)^(MAX(0,CP$4-In_COD)/Days_In_Year)</f>
        <v>0.291644388397219</v>
      </c>
      <c r="CQ21" s="52" t="n">
        <f aca="false">1/(1+In_Buyer_Rate)^(MAX(0,CQ$4-In_COD)/Days_In_Year)</f>
        <v>0.286041473551512</v>
      </c>
      <c r="CR21" s="52" t="n">
        <f aca="false">1/(1+In_Buyer_Rate)^(MAX(0,CR$4-In_COD)/Days_In_Year)</f>
        <v>0.280605358897759</v>
      </c>
      <c r="CS21" s="52" t="n">
        <f aca="false">1/(1+In_Buyer_Rate)^(MAX(0,CS$4-In_COD)/Days_In_Year)</f>
        <v>0.275272555635049</v>
      </c>
      <c r="CT21" s="52" t="n">
        <f aca="false">1/(1+In_Buyer_Rate)^(MAX(0,CT$4-In_COD)/Days_In_Year)</f>
        <v>0.269984167618878</v>
      </c>
      <c r="CU21" s="52" t="n">
        <f aca="false">1/(1+In_Buyer_Rate)^(MAX(0,CU$4-In_COD)/Days_In_Year)</f>
        <v>0.264797377263778</v>
      </c>
      <c r="CV21" s="52" t="n">
        <f aca="false">1/(1+In_Buyer_Rate)^(MAX(0,CV$4-In_COD)/Days_In_Year)</f>
        <v>0.259819776757184</v>
      </c>
      <c r="CW21" s="52" t="n">
        <f aca="false">1/(1+In_Buyer_Rate)^(MAX(0,CW$4-In_COD)/Days_In_Year)</f>
        <v>0.254881995958379</v>
      </c>
      <c r="CX21" s="52" t="n">
        <f aca="false">1/(1+In_Buyer_Rate)^(MAX(0,CX$4-In_COD)/Days_In_Year)</f>
        <v>0.24998534038785</v>
      </c>
      <c r="CY21" s="52" t="n">
        <f aca="false">1/(1+In_Buyer_Rate)^(MAX(0,CY$4-In_COD)/Days_In_Year)</f>
        <v>0.24518275672572</v>
      </c>
      <c r="CZ21" s="52" t="n">
        <f aca="false">1/(1+In_Buyer_Rate)^(MAX(0,CZ$4-In_COD)/Days_In_Year)</f>
        <v>0.240573867367763</v>
      </c>
      <c r="DA21" s="52" t="n">
        <f aca="false">1/(1+In_Buyer_Rate)^(MAX(0,DA$4-In_COD)/Days_In_Year)</f>
        <v>0.23600184810961</v>
      </c>
      <c r="DB21" s="52" t="n">
        <f aca="false">1/(1+In_Buyer_Rate)^(MAX(0,DB$4-In_COD)/Days_In_Year)</f>
        <v>0.231467907766528</v>
      </c>
      <c r="DC21" s="52" t="n">
        <f aca="false">1/(1+In_Buyer_Rate)^(MAX(0,DC$4-In_COD)/Days_In_Year)</f>
        <v>0.227021071042334</v>
      </c>
      <c r="DD21" s="52" t="n">
        <f aca="false">1/(1+In_Buyer_Rate)^(MAX(0,DD$4-In_COD)/Days_In_Year)</f>
        <v>0.222753580896077</v>
      </c>
      <c r="DE21" s="52" t="n">
        <f aca="false">1/(1+In_Buyer_Rate)^(MAX(0,DE$4-In_COD)/Days_In_Year)</f>
        <v>0.21852022973112</v>
      </c>
      <c r="DF21" s="52" t="n">
        <f aca="false">1/(1+In_Buyer_Rate)^(MAX(0,DF$4-In_COD)/Days_In_Year)</f>
        <v>0.214322136820859</v>
      </c>
      <c r="DG21" s="52" t="n">
        <f aca="false">1/(1+In_Buyer_Rate)^(MAX(0,DG$4-In_COD)/Days_In_Year)</f>
        <v>0.210204695409568</v>
      </c>
      <c r="DH21" s="52" t="n">
        <f aca="false">1/(1+In_Buyer_Rate)^(MAX(0,DH$4-In_COD)/Days_In_Year)</f>
        <v>0.206209831270407</v>
      </c>
      <c r="DI21" s="52" t="n">
        <f aca="false">1/(1+In_Buyer_Rate)^(MAX(0,DI$4-In_COD)/Days_In_Year)</f>
        <v>0.202290888078013</v>
      </c>
      <c r="DJ21" s="52" t="n">
        <f aca="false">1/(1+In_Buyer_Rate)^(MAX(0,DJ$4-In_COD)/Days_In_Year)</f>
        <v>0.198404584534878</v>
      </c>
      <c r="DK21" s="52" t="n">
        <f aca="false">1/(1+In_Buyer_Rate)^(MAX(0,DK$4-In_COD)/Days_In_Year)</f>
        <v>0.194592942561391</v>
      </c>
      <c r="DL21" s="52" t="n">
        <f aca="false">1/(1+In_Buyer_Rate)^(MAX(0,DL$4-In_COD)/Days_In_Year)</f>
        <v>0.190935028954081</v>
      </c>
      <c r="DM21" s="52" t="n">
        <f aca="false">1/(1+In_Buyer_Rate)^(MAX(0,DM$4-In_COD)/Days_In_Year)</f>
        <v>0.187306377850012</v>
      </c>
      <c r="DN21" s="52" t="n">
        <f aca="false">1/(1+In_Buyer_Rate)^(MAX(0,DN$4-In_COD)/Days_In_Year)</f>
        <v>0.183707948643405</v>
      </c>
      <c r="DO21" s="52" t="n">
        <f aca="false">1/(1+In_Buyer_Rate)^(MAX(0,DO$4-In_COD)/Days_In_Year)</f>
        <v>0.180178650519806</v>
      </c>
      <c r="DP21" s="52" t="n">
        <f aca="false">1/(1+In_Buyer_Rate)^(MAX(0,DP$4-In_COD)/Days_In_Year)</f>
        <v>0.176791693476001</v>
      </c>
      <c r="DQ21" s="52" t="n">
        <f aca="false">1/(1+In_Buyer_Rate)^(MAX(0,DQ$4-In_COD)/Days_In_Year)</f>
        <v>0.173431831342604</v>
      </c>
      <c r="DR21" s="52" t="n">
        <f aca="false">1/(1+In_Buyer_Rate)^(MAX(0,DR$4-In_COD)/Days_In_Year)</f>
        <v>0.170099952447597</v>
      </c>
      <c r="DS21" s="52" t="n">
        <f aca="false">1/(1+In_Buyer_Rate)^(MAX(0,DS$4-In_COD)/Days_In_Year)</f>
        <v>0.166832083814635</v>
      </c>
      <c r="DT21" s="52" t="n">
        <f aca="false">1/(1+In_Buyer_Rate)^(MAX(0,DT$4-In_COD)/Days_In_Year)</f>
        <v>0.163696012477778</v>
      </c>
      <c r="DU21" s="52" t="n">
        <f aca="false">1/(1+In_Buyer_Rate)^(MAX(0,DU$4-In_COD)/Days_In_Year)</f>
        <v>0.160585029020929</v>
      </c>
      <c r="DV21" s="52" t="n">
        <f aca="false">1/(1+In_Buyer_Rate)^(MAX(0,DV$4-In_COD)/Days_In_Year)</f>
        <v>0.157499955969998</v>
      </c>
      <c r="DW21" s="52" t="n">
        <f aca="false">1/(1+In_Buyer_Rate)^(MAX(0,DW$4-In_COD)/Days_In_Year)</f>
        <v>0.154474151680218</v>
      </c>
      <c r="DX21" s="52" t="n">
        <f aca="false">1/(1+In_Buyer_Rate)^(MAX(0,DX$4-In_COD)/Days_In_Year)</f>
        <v>0.151538426349381</v>
      </c>
      <c r="DY21" s="52" t="n">
        <f aca="false">1/(1+In_Buyer_Rate)^(MAX(0,DY$4-In_COD)/Days_In_Year)</f>
        <v>0.148658493415683</v>
      </c>
      <c r="DZ21" s="52" t="n">
        <f aca="false">1/(1+In_Buyer_Rate)^(MAX(0,DZ$4-In_COD)/Days_In_Year)</f>
        <v>0.145802546540529</v>
      </c>
      <c r="EA21" s="52" t="n">
        <f aca="false">1/(1+In_Buyer_Rate)^(MAX(0,EA$4-In_COD)/Days_In_Year)</f>
        <v>0.143001466577896</v>
      </c>
      <c r="EB21" s="52" t="n">
        <f aca="false">1/(1+In_Buyer_Rate)^(MAX(0,EB$4-In_COD)/Days_In_Year)</f>
        <v>0.140313357730909</v>
      </c>
      <c r="EC21" s="52" t="n">
        <f aca="false">1/(1+In_Buyer_Rate)^(MAX(0,EC$4-In_COD)/Days_In_Year)</f>
        <v>0.137646753162669</v>
      </c>
      <c r="ED21" s="52" t="n">
        <f aca="false">1/(1+In_Buyer_Rate)^(MAX(0,ED$4-In_COD)/Days_In_Year)</f>
        <v>0.135002357907897</v>
      </c>
      <c r="EE21" s="52" t="n">
        <f aca="false">1/(1+In_Buyer_Rate)^(MAX(0,EE$4-In_COD)/Days_In_Year)</f>
        <v>0.132408765349904</v>
      </c>
      <c r="EF21" s="52" t="n">
        <f aca="false">1/(1+In_Buyer_Rate)^(MAX(0,EF$4-In_COD)/Days_In_Year)</f>
        <v>0.129919775676767</v>
      </c>
      <c r="EG21" s="52" t="n">
        <f aca="false">1/(1+In_Buyer_Rate)^(MAX(0,EG$4-In_COD)/Days_In_Year)</f>
        <v>0.127450697372842</v>
      </c>
      <c r="EH21" s="52" t="n">
        <f aca="false">1/(1+In_Buyer_Rate)^(MAX(0,EH$4-In_COD)/Days_In_Year)</f>
        <v>0.125002183248053</v>
      </c>
      <c r="EI21" s="52" t="n">
        <f aca="false">1/(1+In_Buyer_Rate)^(MAX(0,EI$4-In_COD)/Days_In_Year)</f>
        <v>0.122600708657318</v>
      </c>
      <c r="EJ21" s="52" t="n">
        <f aca="false">1/(1+In_Buyer_Rate)^(MAX(0,EJ$4-In_COD)/Days_In_Year)</f>
        <v>0.120296088589599</v>
      </c>
      <c r="EK21" s="52" t="n">
        <f aca="false">1/(1+In_Buyer_Rate)^(MAX(0,EK$4-In_COD)/Days_In_Year)</f>
        <v>0.118009904974854</v>
      </c>
      <c r="EL21" s="52" t="n">
        <f aca="false">1/(1+In_Buyer_Rate)^(MAX(0,EL$4-In_COD)/Days_In_Year)</f>
        <v>0.115742762266716</v>
      </c>
      <c r="EM21" s="52" t="n">
        <f aca="false">1/(1+In_Buyer_Rate)^(MAX(0,EM$4-In_COD)/Days_In_Year)</f>
        <v>0.113519174682702</v>
      </c>
      <c r="EN21" s="52" t="n">
        <f aca="false">1/(1+In_Buyer_Rate)^(MAX(0,EN$4-In_COD)/Days_In_Year)</f>
        <v>0.111361783863418</v>
      </c>
      <c r="EO21" s="52" t="n">
        <f aca="false">1/(1+In_Buyer_Rate)^(MAX(0,EO$4-In_COD)/Days_In_Year)</f>
        <v>0.109245393475647</v>
      </c>
      <c r="EP21" s="52" t="n">
        <f aca="false">1/(1+In_Buyer_Rate)^(MAX(0,EP$4-In_COD)/Days_In_Year)</f>
        <v>0.107146629839927</v>
      </c>
      <c r="EQ21" s="52" t="n">
        <f aca="false">1/(1+In_Buyer_Rate)^(MAX(0,EQ$4-In_COD)/Days_In_Year)</f>
        <v>0.105088186520319</v>
      </c>
      <c r="ER21" s="52" t="n">
        <f aca="false">1/(1+In_Buyer_Rate)^(MAX(0,ER$4-In_COD)/Days_In_Year)</f>
        <v>0.103112762836498</v>
      </c>
      <c r="ES21" s="52" t="n">
        <f aca="false">1/(1+In_Buyer_Rate)^(MAX(0,ES$4-In_COD)/Days_In_Year)</f>
        <v>0.101153142107081</v>
      </c>
      <c r="ET21" s="52" t="n">
        <f aca="false">1/(1+In_Buyer_Rate)^(MAX(0,ET$4-In_COD)/Days_In_Year)</f>
        <v>0.0992098424443773</v>
      </c>
    </row>
    <row r="23" customFormat="false" ht="15" hidden="false" customHeight="false" outlineLevel="0" collapsed="false">
      <c r="A23" s="9" t="s">
        <v>13</v>
      </c>
      <c r="B23" s="9"/>
      <c r="C23" s="9" t="s">
        <v>495</v>
      </c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</row>
    <row r="24" customFormat="false" ht="15" hidden="false" customHeight="false" outlineLevel="0" collapsed="false">
      <c r="C24" s="0" t="s">
        <v>496</v>
      </c>
      <c r="D24" s="11" t="s">
        <v>123</v>
      </c>
      <c r="E24" s="32" t="n">
        <f aca="false">In_MVA*(1+INDEX(Dash_Overbuild,1,$A$1))</f>
        <v>151</v>
      </c>
      <c r="F24" s="32" t="n">
        <f aca="false">In_MVA+($E24-In_MVA)*In_Overbuild_Built</f>
        <v>100</v>
      </c>
    </row>
    <row r="25" customFormat="false" ht="15" hidden="false" customHeight="false" outlineLevel="0" collapsed="false">
      <c r="C25" s="0" t="s">
        <v>497</v>
      </c>
      <c r="D25" s="11" t="s">
        <v>123</v>
      </c>
      <c r="E25" s="32" t="n">
        <f aca="false">INDEX(Dash_BESS,1,$A$1)*In_MVA</f>
        <v>51</v>
      </c>
      <c r="F25" s="32" t="n">
        <f aca="false">$E25*In_BESS_Built</f>
        <v>51</v>
      </c>
    </row>
    <row r="26" customFormat="false" ht="15" hidden="false" customHeight="false" outlineLevel="0" collapsed="false">
      <c r="C26" s="0" t="s">
        <v>498</v>
      </c>
      <c r="D26" s="11" t="s">
        <v>499</v>
      </c>
      <c r="E26" s="32" t="n">
        <f aca="false">$E25*INDEX(Dash_BESS_Hours,1,$A$1)</f>
        <v>204</v>
      </c>
      <c r="F26" s="32" t="n">
        <f aca="false">$E26*In_BESS_Built</f>
        <v>204</v>
      </c>
    </row>
    <row r="27" customFormat="false" ht="15" hidden="false" customHeight="false" outlineLevel="0" collapsed="false">
      <c r="C27" s="0" t="s">
        <v>500</v>
      </c>
      <c r="D27" s="11" t="s">
        <v>35</v>
      </c>
      <c r="E27" s="53" t="n">
        <f aca="false">($F24-In_MVA)/$F24*In_Bottleneck_Loss</f>
        <v>0</v>
      </c>
    </row>
    <row r="29" customFormat="false" ht="15" hidden="false" customHeight="false" outlineLevel="0" collapsed="false">
      <c r="A29" s="9" t="s">
        <v>13</v>
      </c>
      <c r="B29" s="9"/>
      <c r="C29" s="9" t="s">
        <v>501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</row>
    <row r="30" customFormat="false" ht="15" hidden="false" customHeight="false" outlineLevel="0" collapsed="false">
      <c r="C30" s="0" t="s">
        <v>502</v>
      </c>
      <c r="D30" s="11" t="s">
        <v>27</v>
      </c>
      <c r="E30" s="28" t="n">
        <f aca="false">INDEX(Dash_Municipal,1,$A$1)</f>
        <v>50</v>
      </c>
      <c r="F30" s="28" t="n">
        <f aca="false">INDEX(Osz1_Pts,1+SUMPRODUCT((Osz1_LB&lt;$E30)+(Osz1_LB=$E30)*Osz1_Incl))*Osz1_W</f>
        <v>20</v>
      </c>
    </row>
    <row r="31" customFormat="false" ht="15" hidden="false" customHeight="false" outlineLevel="0" collapsed="false">
      <c r="C31" s="0" t="s">
        <v>503</v>
      </c>
      <c r="D31" s="11" t="s">
        <v>32</v>
      </c>
      <c r="E31" s="28" t="n">
        <f aca="false">INDEX(Dash_Community,1,$A$1)</f>
        <v>3</v>
      </c>
      <c r="F31" s="28" t="n">
        <f aca="false">INDEX(Osz2_Pts,1+SUMPRODUCT((Osz2_LB&lt;$E31)+(Osz2_LB=$E31)*Osz2_Incl))*Osz2_W</f>
        <v>15</v>
      </c>
    </row>
    <row r="32" customFormat="false" ht="15" hidden="false" customHeight="false" outlineLevel="0" collapsed="false">
      <c r="C32" s="0" t="s">
        <v>504</v>
      </c>
      <c r="D32" s="11" t="s">
        <v>35</v>
      </c>
      <c r="E32" s="47" t="n">
        <f aca="false">INDEX(Dash_Overbuild,1,$A$1)</f>
        <v>0.51</v>
      </c>
      <c r="F32" s="28" t="n">
        <f aca="false">INDEX(Osz3_Pts,1+SUMPRODUCT((Osz3_LB&lt;$E32)+(Osz3_LB=$E32)*Osz3_Incl))*Osz3_W</f>
        <v>10</v>
      </c>
    </row>
    <row r="33" customFormat="false" ht="15" hidden="false" customHeight="false" outlineLevel="0" collapsed="false">
      <c r="C33" s="0" t="s">
        <v>505</v>
      </c>
      <c r="D33" s="11" t="s">
        <v>35</v>
      </c>
      <c r="E33" s="47" t="n">
        <f aca="false">INDEX(Dash_BESS,1,$A$1)/IF(In_OSZ4_Basis=1,$E24/In_MVA,1)</f>
        <v>0.51</v>
      </c>
      <c r="F33" s="28" t="n">
        <f aca="false">INDEX(Osz4_Pts,1+SUMPRODUCT((Osz4_LB&lt;$E33)+(Osz4_LB=$E33)*Osz4_Incl))*Osz4_W*($E33&gt;=Osz4_Min)</f>
        <v>15</v>
      </c>
    </row>
    <row r="34" customFormat="false" ht="15" hidden="false" customHeight="false" outlineLevel="0" collapsed="false">
      <c r="C34" s="0" t="s">
        <v>506</v>
      </c>
      <c r="D34" s="11" t="s">
        <v>41</v>
      </c>
      <c r="E34" s="46" t="n">
        <f aca="false">INDEX(Dash_Partial,1,$A$1)</f>
        <v>1</v>
      </c>
      <c r="F34" s="28" t="n">
        <f aca="false">$E34*Osz5_Pts*Osz5_W</f>
        <v>5</v>
      </c>
    </row>
    <row r="35" customFormat="false" ht="15" hidden="false" customHeight="false" outlineLevel="0" collapsed="false">
      <c r="C35" s="0" t="s">
        <v>507</v>
      </c>
      <c r="D35" s="11" t="s">
        <v>13</v>
      </c>
      <c r="E35" s="50" t="n">
        <f aca="false">INDEX(Dash_PB_Mult,1,$A$1)</f>
        <v>1</v>
      </c>
      <c r="F35" s="28" t="n">
        <f aca="false">INDEX(Osz6_Pts,1+SUMPRODUCT((Osz6_LB&lt;$E35)+(Osz6_LB=$E35)*Osz6_Incl))*Osz6_W</f>
        <v>0</v>
      </c>
    </row>
    <row r="36" customFormat="false" ht="15" hidden="false" customHeight="false" outlineLevel="0" collapsed="false">
      <c r="C36" s="0" t="s">
        <v>508</v>
      </c>
      <c r="D36" s="11" t="s">
        <v>41</v>
      </c>
      <c r="E36" s="46" t="n">
        <f aca="false">INDEX(Dash_Brownfield,1,$A$1)</f>
        <v>0</v>
      </c>
      <c r="F36" s="28" t="n">
        <f aca="false">$E36*Osz7_Pts*Osz7_W</f>
        <v>0</v>
      </c>
    </row>
    <row r="37" customFormat="false" ht="15" hidden="false" customHeight="false" outlineLevel="0" collapsed="false">
      <c r="C37" s="0" t="s">
        <v>509</v>
      </c>
      <c r="D37" s="11" t="s">
        <v>41</v>
      </c>
      <c r="E37" s="46" t="n">
        <f aca="false">INDEX(Dash_Shared,1,$A$1)</f>
        <v>1</v>
      </c>
      <c r="F37" s="28" t="n">
        <f aca="false">$E37*Osz8_Pts*Osz8_W</f>
        <v>5</v>
      </c>
    </row>
    <row r="38" customFormat="false" ht="15" hidden="false" customHeight="false" outlineLevel="0" collapsed="false">
      <c r="C38" s="0" t="s">
        <v>510</v>
      </c>
      <c r="D38" s="11" t="s">
        <v>41</v>
      </c>
      <c r="E38" s="46" t="n">
        <f aca="false">INDEX(Dash_EU_Turbine,1,$A$1)</f>
        <v>1</v>
      </c>
      <c r="F38" s="28" t="n">
        <f aca="false">$E38*Osz9a_Pts*Osz9_W</f>
        <v>12</v>
      </c>
    </row>
    <row r="39" customFormat="false" ht="15" hidden="false" customHeight="false" outlineLevel="0" collapsed="false">
      <c r="C39" s="0" t="s">
        <v>511</v>
      </c>
      <c r="D39" s="11" t="s">
        <v>41</v>
      </c>
      <c r="E39" s="46" t="n">
        <f aca="false">INDEX(Dash_EU_Transformer,1,$A$1)</f>
        <v>1</v>
      </c>
      <c r="F39" s="28" t="n">
        <f aca="false">$E39*Osz9b_Pts*Osz9_W</f>
        <v>3</v>
      </c>
    </row>
    <row r="40" customFormat="false" ht="15" hidden="false" customHeight="false" outlineLevel="0" collapsed="false">
      <c r="C40" s="30" t="s">
        <v>512</v>
      </c>
      <c r="D40" s="11" t="s">
        <v>70</v>
      </c>
      <c r="E40" s="31" t="n">
        <f aca="false">ROUND(SUM($F30:$F39),Points_Decimals)</f>
        <v>85</v>
      </c>
      <c r="F40" s="31" t="n">
        <f aca="false">ROUND(SUM($F30:$F37),Points_Decimals)</f>
        <v>70</v>
      </c>
    </row>
    <row r="41" customFormat="false" ht="15" hidden="false" customHeight="false" outlineLevel="0" collapsed="false">
      <c r="C41" s="0" t="s">
        <v>69</v>
      </c>
      <c r="D41" s="11" t="s">
        <v>70</v>
      </c>
      <c r="E41" s="28" t="n">
        <f aca="false">IF(In_CN_Turbine=1,$F40,$E40)</f>
        <v>85</v>
      </c>
    </row>
    <row r="42" customFormat="false" ht="15" hidden="false" customHeight="false" outlineLevel="0" collapsed="false">
      <c r="C42" s="0" t="s">
        <v>513</v>
      </c>
      <c r="D42" s="11" t="s">
        <v>211</v>
      </c>
      <c r="E42" s="42" t="n">
        <f aca="false">N(In_MVA&gt;In_Group_Cap)+N($E24&lt;In_MVA)+N($E25&gt;$E24)+N($E26&lt;$E25*In_Min_Hours)</f>
        <v>0</v>
      </c>
      <c r="F42" s="42" t="n">
        <f aca="false">($E30&lt;&gt;0)*($E30&lt;Osz1_Min)+($E30&gt;Osz1_Max)+($E31&lt;&gt;0)*($E31&lt;Osz2_Min)+($E31&gt;Osz2_Max)</f>
        <v>0</v>
      </c>
    </row>
    <row r="44" customFormat="false" ht="15" hidden="false" customHeight="false" outlineLevel="0" collapsed="false">
      <c r="A44" s="9" t="s">
        <v>13</v>
      </c>
      <c r="B44" s="9"/>
      <c r="C44" s="9" t="s">
        <v>514</v>
      </c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</row>
    <row r="45" customFormat="false" ht="15" hidden="false" customHeight="false" outlineLevel="0" collapsed="false">
      <c r="C45" s="0" t="s">
        <v>515</v>
      </c>
      <c r="D45" s="11" t="s">
        <v>287</v>
      </c>
      <c r="E45" s="33" t="n">
        <f aca="false">$E24*In_Bench_Wind+$E26*In_Bench_BESS</f>
        <v>102106</v>
      </c>
    </row>
    <row r="46" customFormat="false" ht="15" hidden="false" customHeight="false" outlineLevel="0" collapsed="false">
      <c r="C46" s="0" t="s">
        <v>90</v>
      </c>
      <c r="D46" s="11" t="s">
        <v>253</v>
      </c>
      <c r="E46" s="33" t="n">
        <f aca="false">In_Signing_Fee+In_DD</f>
        <v>400</v>
      </c>
      <c r="F46" s="27" t="n">
        <f aca="false">In_Invest_Date</f>
        <v>46234</v>
      </c>
      <c r="I46" s="33" t="n">
        <f aca="false">SUM(J46:ET46)</f>
        <v>-400</v>
      </c>
      <c r="J46" s="33" t="n">
        <f aca="false">-$E46*N(AND(J$3&lt;=$F46,J$4&gt;=$F46))</f>
        <v>-400</v>
      </c>
      <c r="K46" s="33" t="n">
        <f aca="false">-$E46*N(AND(K$3&lt;=$F46,K$4&gt;=$F46))</f>
        <v>-0</v>
      </c>
      <c r="L46" s="33" t="n">
        <f aca="false">-$E46*N(AND(L$3&lt;=$F46,L$4&gt;=$F46))</f>
        <v>-0</v>
      </c>
      <c r="M46" s="33" t="n">
        <f aca="false">-$E46*N(AND(M$3&lt;=$F46,M$4&gt;=$F46))</f>
        <v>-0</v>
      </c>
      <c r="N46" s="33" t="n">
        <f aca="false">-$E46*N(AND(N$3&lt;=$F46,N$4&gt;=$F46))</f>
        <v>-0</v>
      </c>
      <c r="O46" s="33" t="n">
        <f aca="false">-$E46*N(AND(O$3&lt;=$F46,O$4&gt;=$F46))</f>
        <v>-0</v>
      </c>
      <c r="P46" s="33" t="n">
        <f aca="false">-$E46*N(AND(P$3&lt;=$F46,P$4&gt;=$F46))</f>
        <v>-0</v>
      </c>
      <c r="Q46" s="33" t="n">
        <f aca="false">-$E46*N(AND(Q$3&lt;=$F46,Q$4&gt;=$F46))</f>
        <v>-0</v>
      </c>
      <c r="R46" s="33" t="n">
        <f aca="false">-$E46*N(AND(R$3&lt;=$F46,R$4&gt;=$F46))</f>
        <v>-0</v>
      </c>
      <c r="S46" s="33" t="n">
        <f aca="false">-$E46*N(AND(S$3&lt;=$F46,S$4&gt;=$F46))</f>
        <v>-0</v>
      </c>
      <c r="T46" s="33" t="n">
        <f aca="false">-$E46*N(AND(T$3&lt;=$F46,T$4&gt;=$F46))</f>
        <v>-0</v>
      </c>
      <c r="U46" s="33" t="n">
        <f aca="false">-$E46*N(AND(U$3&lt;=$F46,U$4&gt;=$F46))</f>
        <v>-0</v>
      </c>
      <c r="V46" s="33" t="n">
        <f aca="false">-$E46*N(AND(V$3&lt;=$F46,V$4&gt;=$F46))</f>
        <v>-0</v>
      </c>
      <c r="W46" s="33" t="n">
        <f aca="false">-$E46*N(AND(W$3&lt;=$F46,W$4&gt;=$F46))</f>
        <v>-0</v>
      </c>
      <c r="X46" s="33" t="n">
        <f aca="false">-$E46*N(AND(X$3&lt;=$F46,X$4&gt;=$F46))</f>
        <v>-0</v>
      </c>
      <c r="Y46" s="33" t="n">
        <f aca="false">-$E46*N(AND(Y$3&lt;=$F46,Y$4&gt;=$F46))</f>
        <v>-0</v>
      </c>
      <c r="Z46" s="33" t="n">
        <f aca="false">-$E46*N(AND(Z$3&lt;=$F46,Z$4&gt;=$F46))</f>
        <v>-0</v>
      </c>
      <c r="AA46" s="33" t="n">
        <f aca="false">-$E46*N(AND(AA$3&lt;=$F46,AA$4&gt;=$F46))</f>
        <v>-0</v>
      </c>
      <c r="AB46" s="33" t="n">
        <f aca="false">-$E46*N(AND(AB$3&lt;=$F46,AB$4&gt;=$F46))</f>
        <v>-0</v>
      </c>
      <c r="AC46" s="33" t="n">
        <f aca="false">-$E46*N(AND(AC$3&lt;=$F46,AC$4&gt;=$F46))</f>
        <v>-0</v>
      </c>
      <c r="AD46" s="33" t="n">
        <f aca="false">-$E46*N(AND(AD$3&lt;=$F46,AD$4&gt;=$F46))</f>
        <v>-0</v>
      </c>
      <c r="AE46" s="33" t="n">
        <f aca="false">-$E46*N(AND(AE$3&lt;=$F46,AE$4&gt;=$F46))</f>
        <v>-0</v>
      </c>
      <c r="AF46" s="33" t="n">
        <f aca="false">-$E46*N(AND(AF$3&lt;=$F46,AF$4&gt;=$F46))</f>
        <v>-0</v>
      </c>
      <c r="AG46" s="33" t="n">
        <f aca="false">-$E46*N(AND(AG$3&lt;=$F46,AG$4&gt;=$F46))</f>
        <v>-0</v>
      </c>
      <c r="AH46" s="33" t="n">
        <f aca="false">-$E46*N(AND(AH$3&lt;=$F46,AH$4&gt;=$F46))</f>
        <v>-0</v>
      </c>
      <c r="AI46" s="33" t="n">
        <f aca="false">-$E46*N(AND(AI$3&lt;=$F46,AI$4&gt;=$F46))</f>
        <v>-0</v>
      </c>
      <c r="AJ46" s="33" t="n">
        <f aca="false">-$E46*N(AND(AJ$3&lt;=$F46,AJ$4&gt;=$F46))</f>
        <v>-0</v>
      </c>
      <c r="AK46" s="33" t="n">
        <f aca="false">-$E46*N(AND(AK$3&lt;=$F46,AK$4&gt;=$F46))</f>
        <v>-0</v>
      </c>
      <c r="AL46" s="33" t="n">
        <f aca="false">-$E46*N(AND(AL$3&lt;=$F46,AL$4&gt;=$F46))</f>
        <v>-0</v>
      </c>
      <c r="AM46" s="33" t="n">
        <f aca="false">-$E46*N(AND(AM$3&lt;=$F46,AM$4&gt;=$F46))</f>
        <v>-0</v>
      </c>
      <c r="AN46" s="33" t="n">
        <f aca="false">-$E46*N(AND(AN$3&lt;=$F46,AN$4&gt;=$F46))</f>
        <v>-0</v>
      </c>
      <c r="AO46" s="33" t="n">
        <f aca="false">-$E46*N(AND(AO$3&lt;=$F46,AO$4&gt;=$F46))</f>
        <v>-0</v>
      </c>
      <c r="AP46" s="33" t="n">
        <f aca="false">-$E46*N(AND(AP$3&lt;=$F46,AP$4&gt;=$F46))</f>
        <v>-0</v>
      </c>
      <c r="AQ46" s="33" t="n">
        <f aca="false">-$E46*N(AND(AQ$3&lt;=$F46,AQ$4&gt;=$F46))</f>
        <v>-0</v>
      </c>
      <c r="AR46" s="33" t="n">
        <f aca="false">-$E46*N(AND(AR$3&lt;=$F46,AR$4&gt;=$F46))</f>
        <v>-0</v>
      </c>
      <c r="AS46" s="33" t="n">
        <f aca="false">-$E46*N(AND(AS$3&lt;=$F46,AS$4&gt;=$F46))</f>
        <v>-0</v>
      </c>
      <c r="AT46" s="33" t="n">
        <f aca="false">-$E46*N(AND(AT$3&lt;=$F46,AT$4&gt;=$F46))</f>
        <v>-0</v>
      </c>
      <c r="AU46" s="33" t="n">
        <f aca="false">-$E46*N(AND(AU$3&lt;=$F46,AU$4&gt;=$F46))</f>
        <v>-0</v>
      </c>
      <c r="AV46" s="33" t="n">
        <f aca="false">-$E46*N(AND(AV$3&lt;=$F46,AV$4&gt;=$F46))</f>
        <v>-0</v>
      </c>
      <c r="AW46" s="33" t="n">
        <f aca="false">-$E46*N(AND(AW$3&lt;=$F46,AW$4&gt;=$F46))</f>
        <v>-0</v>
      </c>
      <c r="AX46" s="33" t="n">
        <f aca="false">-$E46*N(AND(AX$3&lt;=$F46,AX$4&gt;=$F46))</f>
        <v>-0</v>
      </c>
      <c r="AY46" s="33" t="n">
        <f aca="false">-$E46*N(AND(AY$3&lt;=$F46,AY$4&gt;=$F46))</f>
        <v>-0</v>
      </c>
      <c r="AZ46" s="33" t="n">
        <f aca="false">-$E46*N(AND(AZ$3&lt;=$F46,AZ$4&gt;=$F46))</f>
        <v>-0</v>
      </c>
      <c r="BA46" s="33" t="n">
        <f aca="false">-$E46*N(AND(BA$3&lt;=$F46,BA$4&gt;=$F46))</f>
        <v>-0</v>
      </c>
      <c r="BB46" s="33" t="n">
        <f aca="false">-$E46*N(AND(BB$3&lt;=$F46,BB$4&gt;=$F46))</f>
        <v>-0</v>
      </c>
      <c r="BC46" s="33" t="n">
        <f aca="false">-$E46*N(AND(BC$3&lt;=$F46,BC$4&gt;=$F46))</f>
        <v>-0</v>
      </c>
      <c r="BD46" s="33" t="n">
        <f aca="false">-$E46*N(AND(BD$3&lt;=$F46,BD$4&gt;=$F46))</f>
        <v>-0</v>
      </c>
      <c r="BE46" s="33" t="n">
        <f aca="false">-$E46*N(AND(BE$3&lt;=$F46,BE$4&gt;=$F46))</f>
        <v>-0</v>
      </c>
      <c r="BF46" s="33" t="n">
        <f aca="false">-$E46*N(AND(BF$3&lt;=$F46,BF$4&gt;=$F46))</f>
        <v>-0</v>
      </c>
      <c r="BG46" s="33" t="n">
        <f aca="false">-$E46*N(AND(BG$3&lt;=$F46,BG$4&gt;=$F46))</f>
        <v>-0</v>
      </c>
      <c r="BH46" s="33" t="n">
        <f aca="false">-$E46*N(AND(BH$3&lt;=$F46,BH$4&gt;=$F46))</f>
        <v>-0</v>
      </c>
      <c r="BI46" s="33" t="n">
        <f aca="false">-$E46*N(AND(BI$3&lt;=$F46,BI$4&gt;=$F46))</f>
        <v>-0</v>
      </c>
      <c r="BJ46" s="33" t="n">
        <f aca="false">-$E46*N(AND(BJ$3&lt;=$F46,BJ$4&gt;=$F46))</f>
        <v>-0</v>
      </c>
      <c r="BK46" s="33" t="n">
        <f aca="false">-$E46*N(AND(BK$3&lt;=$F46,BK$4&gt;=$F46))</f>
        <v>-0</v>
      </c>
      <c r="BL46" s="33" t="n">
        <f aca="false">-$E46*N(AND(BL$3&lt;=$F46,BL$4&gt;=$F46))</f>
        <v>-0</v>
      </c>
      <c r="BM46" s="33" t="n">
        <f aca="false">-$E46*N(AND(BM$3&lt;=$F46,BM$4&gt;=$F46))</f>
        <v>-0</v>
      </c>
      <c r="BN46" s="33" t="n">
        <f aca="false">-$E46*N(AND(BN$3&lt;=$F46,BN$4&gt;=$F46))</f>
        <v>-0</v>
      </c>
      <c r="BO46" s="33" t="n">
        <f aca="false">-$E46*N(AND(BO$3&lt;=$F46,BO$4&gt;=$F46))</f>
        <v>-0</v>
      </c>
      <c r="BP46" s="33" t="n">
        <f aca="false">-$E46*N(AND(BP$3&lt;=$F46,BP$4&gt;=$F46))</f>
        <v>-0</v>
      </c>
      <c r="BQ46" s="33" t="n">
        <f aca="false">-$E46*N(AND(BQ$3&lt;=$F46,BQ$4&gt;=$F46))</f>
        <v>-0</v>
      </c>
      <c r="BR46" s="33" t="n">
        <f aca="false">-$E46*N(AND(BR$3&lt;=$F46,BR$4&gt;=$F46))</f>
        <v>-0</v>
      </c>
      <c r="BS46" s="33" t="n">
        <f aca="false">-$E46*N(AND(BS$3&lt;=$F46,BS$4&gt;=$F46))</f>
        <v>-0</v>
      </c>
      <c r="BT46" s="33" t="n">
        <f aca="false">-$E46*N(AND(BT$3&lt;=$F46,BT$4&gt;=$F46))</f>
        <v>-0</v>
      </c>
      <c r="BU46" s="33" t="n">
        <f aca="false">-$E46*N(AND(BU$3&lt;=$F46,BU$4&gt;=$F46))</f>
        <v>-0</v>
      </c>
      <c r="BV46" s="33" t="n">
        <f aca="false">-$E46*N(AND(BV$3&lt;=$F46,BV$4&gt;=$F46))</f>
        <v>-0</v>
      </c>
      <c r="BW46" s="33" t="n">
        <f aca="false">-$E46*N(AND(BW$3&lt;=$F46,BW$4&gt;=$F46))</f>
        <v>-0</v>
      </c>
      <c r="BX46" s="33" t="n">
        <f aca="false">-$E46*N(AND(BX$3&lt;=$F46,BX$4&gt;=$F46))</f>
        <v>-0</v>
      </c>
      <c r="BY46" s="33" t="n">
        <f aca="false">-$E46*N(AND(BY$3&lt;=$F46,BY$4&gt;=$F46))</f>
        <v>-0</v>
      </c>
      <c r="BZ46" s="33" t="n">
        <f aca="false">-$E46*N(AND(BZ$3&lt;=$F46,BZ$4&gt;=$F46))</f>
        <v>-0</v>
      </c>
      <c r="CA46" s="33" t="n">
        <f aca="false">-$E46*N(AND(CA$3&lt;=$F46,CA$4&gt;=$F46))</f>
        <v>-0</v>
      </c>
      <c r="CB46" s="33" t="n">
        <f aca="false">-$E46*N(AND(CB$3&lt;=$F46,CB$4&gt;=$F46))</f>
        <v>-0</v>
      </c>
      <c r="CC46" s="33" t="n">
        <f aca="false">-$E46*N(AND(CC$3&lt;=$F46,CC$4&gt;=$F46))</f>
        <v>-0</v>
      </c>
      <c r="CD46" s="33" t="n">
        <f aca="false">-$E46*N(AND(CD$3&lt;=$F46,CD$4&gt;=$F46))</f>
        <v>-0</v>
      </c>
      <c r="CE46" s="33" t="n">
        <f aca="false">-$E46*N(AND(CE$3&lt;=$F46,CE$4&gt;=$F46))</f>
        <v>-0</v>
      </c>
      <c r="CF46" s="33" t="n">
        <f aca="false">-$E46*N(AND(CF$3&lt;=$F46,CF$4&gt;=$F46))</f>
        <v>-0</v>
      </c>
      <c r="CG46" s="33" t="n">
        <f aca="false">-$E46*N(AND(CG$3&lt;=$F46,CG$4&gt;=$F46))</f>
        <v>-0</v>
      </c>
      <c r="CH46" s="33" t="n">
        <f aca="false">-$E46*N(AND(CH$3&lt;=$F46,CH$4&gt;=$F46))</f>
        <v>-0</v>
      </c>
      <c r="CI46" s="33" t="n">
        <f aca="false">-$E46*N(AND(CI$3&lt;=$F46,CI$4&gt;=$F46))</f>
        <v>-0</v>
      </c>
      <c r="CJ46" s="33" t="n">
        <f aca="false">-$E46*N(AND(CJ$3&lt;=$F46,CJ$4&gt;=$F46))</f>
        <v>-0</v>
      </c>
      <c r="CK46" s="33" t="n">
        <f aca="false">-$E46*N(AND(CK$3&lt;=$F46,CK$4&gt;=$F46))</f>
        <v>-0</v>
      </c>
      <c r="CL46" s="33" t="n">
        <f aca="false">-$E46*N(AND(CL$3&lt;=$F46,CL$4&gt;=$F46))</f>
        <v>-0</v>
      </c>
      <c r="CM46" s="33" t="n">
        <f aca="false">-$E46*N(AND(CM$3&lt;=$F46,CM$4&gt;=$F46))</f>
        <v>-0</v>
      </c>
      <c r="CN46" s="33" t="n">
        <f aca="false">-$E46*N(AND(CN$3&lt;=$F46,CN$4&gt;=$F46))</f>
        <v>-0</v>
      </c>
      <c r="CO46" s="33" t="n">
        <f aca="false">-$E46*N(AND(CO$3&lt;=$F46,CO$4&gt;=$F46))</f>
        <v>-0</v>
      </c>
      <c r="CP46" s="33" t="n">
        <f aca="false">-$E46*N(AND(CP$3&lt;=$F46,CP$4&gt;=$F46))</f>
        <v>-0</v>
      </c>
      <c r="CQ46" s="33" t="n">
        <f aca="false">-$E46*N(AND(CQ$3&lt;=$F46,CQ$4&gt;=$F46))</f>
        <v>-0</v>
      </c>
      <c r="CR46" s="33" t="n">
        <f aca="false">-$E46*N(AND(CR$3&lt;=$F46,CR$4&gt;=$F46))</f>
        <v>-0</v>
      </c>
      <c r="CS46" s="33" t="n">
        <f aca="false">-$E46*N(AND(CS$3&lt;=$F46,CS$4&gt;=$F46))</f>
        <v>-0</v>
      </c>
      <c r="CT46" s="33" t="n">
        <f aca="false">-$E46*N(AND(CT$3&lt;=$F46,CT$4&gt;=$F46))</f>
        <v>-0</v>
      </c>
      <c r="CU46" s="33" t="n">
        <f aca="false">-$E46*N(AND(CU$3&lt;=$F46,CU$4&gt;=$F46))</f>
        <v>-0</v>
      </c>
      <c r="CV46" s="33" t="n">
        <f aca="false">-$E46*N(AND(CV$3&lt;=$F46,CV$4&gt;=$F46))</f>
        <v>-0</v>
      </c>
      <c r="CW46" s="33" t="n">
        <f aca="false">-$E46*N(AND(CW$3&lt;=$F46,CW$4&gt;=$F46))</f>
        <v>-0</v>
      </c>
      <c r="CX46" s="33" t="n">
        <f aca="false">-$E46*N(AND(CX$3&lt;=$F46,CX$4&gt;=$F46))</f>
        <v>-0</v>
      </c>
      <c r="CY46" s="33" t="n">
        <f aca="false">-$E46*N(AND(CY$3&lt;=$F46,CY$4&gt;=$F46))</f>
        <v>-0</v>
      </c>
      <c r="CZ46" s="33" t="n">
        <f aca="false">-$E46*N(AND(CZ$3&lt;=$F46,CZ$4&gt;=$F46))</f>
        <v>-0</v>
      </c>
      <c r="DA46" s="33" t="n">
        <f aca="false">-$E46*N(AND(DA$3&lt;=$F46,DA$4&gt;=$F46))</f>
        <v>-0</v>
      </c>
      <c r="DB46" s="33" t="n">
        <f aca="false">-$E46*N(AND(DB$3&lt;=$F46,DB$4&gt;=$F46))</f>
        <v>-0</v>
      </c>
      <c r="DC46" s="33" t="n">
        <f aca="false">-$E46*N(AND(DC$3&lt;=$F46,DC$4&gt;=$F46))</f>
        <v>-0</v>
      </c>
      <c r="DD46" s="33" t="n">
        <f aca="false">-$E46*N(AND(DD$3&lt;=$F46,DD$4&gt;=$F46))</f>
        <v>-0</v>
      </c>
      <c r="DE46" s="33" t="n">
        <f aca="false">-$E46*N(AND(DE$3&lt;=$F46,DE$4&gt;=$F46))</f>
        <v>-0</v>
      </c>
      <c r="DF46" s="33" t="n">
        <f aca="false">-$E46*N(AND(DF$3&lt;=$F46,DF$4&gt;=$F46))</f>
        <v>-0</v>
      </c>
      <c r="DG46" s="33" t="n">
        <f aca="false">-$E46*N(AND(DG$3&lt;=$F46,DG$4&gt;=$F46))</f>
        <v>-0</v>
      </c>
      <c r="DH46" s="33" t="n">
        <f aca="false">-$E46*N(AND(DH$3&lt;=$F46,DH$4&gt;=$F46))</f>
        <v>-0</v>
      </c>
      <c r="DI46" s="33" t="n">
        <f aca="false">-$E46*N(AND(DI$3&lt;=$F46,DI$4&gt;=$F46))</f>
        <v>-0</v>
      </c>
      <c r="DJ46" s="33" t="n">
        <f aca="false">-$E46*N(AND(DJ$3&lt;=$F46,DJ$4&gt;=$F46))</f>
        <v>-0</v>
      </c>
      <c r="DK46" s="33" t="n">
        <f aca="false">-$E46*N(AND(DK$3&lt;=$F46,DK$4&gt;=$F46))</f>
        <v>-0</v>
      </c>
      <c r="DL46" s="33" t="n">
        <f aca="false">-$E46*N(AND(DL$3&lt;=$F46,DL$4&gt;=$F46))</f>
        <v>-0</v>
      </c>
      <c r="DM46" s="33" t="n">
        <f aca="false">-$E46*N(AND(DM$3&lt;=$F46,DM$4&gt;=$F46))</f>
        <v>-0</v>
      </c>
      <c r="DN46" s="33" t="n">
        <f aca="false">-$E46*N(AND(DN$3&lt;=$F46,DN$4&gt;=$F46))</f>
        <v>-0</v>
      </c>
      <c r="DO46" s="33" t="n">
        <f aca="false">-$E46*N(AND(DO$3&lt;=$F46,DO$4&gt;=$F46))</f>
        <v>-0</v>
      </c>
      <c r="DP46" s="33" t="n">
        <f aca="false">-$E46*N(AND(DP$3&lt;=$F46,DP$4&gt;=$F46))</f>
        <v>-0</v>
      </c>
      <c r="DQ46" s="33" t="n">
        <f aca="false">-$E46*N(AND(DQ$3&lt;=$F46,DQ$4&gt;=$F46))</f>
        <v>-0</v>
      </c>
      <c r="DR46" s="33" t="n">
        <f aca="false">-$E46*N(AND(DR$3&lt;=$F46,DR$4&gt;=$F46))</f>
        <v>-0</v>
      </c>
      <c r="DS46" s="33" t="n">
        <f aca="false">-$E46*N(AND(DS$3&lt;=$F46,DS$4&gt;=$F46))</f>
        <v>-0</v>
      </c>
      <c r="DT46" s="33" t="n">
        <f aca="false">-$E46*N(AND(DT$3&lt;=$F46,DT$4&gt;=$F46))</f>
        <v>-0</v>
      </c>
      <c r="DU46" s="33" t="n">
        <f aca="false">-$E46*N(AND(DU$3&lt;=$F46,DU$4&gt;=$F46))</f>
        <v>-0</v>
      </c>
      <c r="DV46" s="33" t="n">
        <f aca="false">-$E46*N(AND(DV$3&lt;=$F46,DV$4&gt;=$F46))</f>
        <v>-0</v>
      </c>
      <c r="DW46" s="33" t="n">
        <f aca="false">-$E46*N(AND(DW$3&lt;=$F46,DW$4&gt;=$F46))</f>
        <v>-0</v>
      </c>
      <c r="DX46" s="33" t="n">
        <f aca="false">-$E46*N(AND(DX$3&lt;=$F46,DX$4&gt;=$F46))</f>
        <v>-0</v>
      </c>
      <c r="DY46" s="33" t="n">
        <f aca="false">-$E46*N(AND(DY$3&lt;=$F46,DY$4&gt;=$F46))</f>
        <v>-0</v>
      </c>
      <c r="DZ46" s="33" t="n">
        <f aca="false">-$E46*N(AND(DZ$3&lt;=$F46,DZ$4&gt;=$F46))</f>
        <v>-0</v>
      </c>
      <c r="EA46" s="33" t="n">
        <f aca="false">-$E46*N(AND(EA$3&lt;=$F46,EA$4&gt;=$F46))</f>
        <v>-0</v>
      </c>
      <c r="EB46" s="33" t="n">
        <f aca="false">-$E46*N(AND(EB$3&lt;=$F46,EB$4&gt;=$F46))</f>
        <v>-0</v>
      </c>
      <c r="EC46" s="33" t="n">
        <f aca="false">-$E46*N(AND(EC$3&lt;=$F46,EC$4&gt;=$F46))</f>
        <v>-0</v>
      </c>
      <c r="ED46" s="33" t="n">
        <f aca="false">-$E46*N(AND(ED$3&lt;=$F46,ED$4&gt;=$F46))</f>
        <v>-0</v>
      </c>
      <c r="EE46" s="33" t="n">
        <f aca="false">-$E46*N(AND(EE$3&lt;=$F46,EE$4&gt;=$F46))</f>
        <v>-0</v>
      </c>
      <c r="EF46" s="33" t="n">
        <f aca="false">-$E46*N(AND(EF$3&lt;=$F46,EF$4&gt;=$F46))</f>
        <v>-0</v>
      </c>
      <c r="EG46" s="33" t="n">
        <f aca="false">-$E46*N(AND(EG$3&lt;=$F46,EG$4&gt;=$F46))</f>
        <v>-0</v>
      </c>
      <c r="EH46" s="33" t="n">
        <f aca="false">-$E46*N(AND(EH$3&lt;=$F46,EH$4&gt;=$F46))</f>
        <v>-0</v>
      </c>
      <c r="EI46" s="33" t="n">
        <f aca="false">-$E46*N(AND(EI$3&lt;=$F46,EI$4&gt;=$F46))</f>
        <v>-0</v>
      </c>
      <c r="EJ46" s="33" t="n">
        <f aca="false">-$E46*N(AND(EJ$3&lt;=$F46,EJ$4&gt;=$F46))</f>
        <v>-0</v>
      </c>
      <c r="EK46" s="33" t="n">
        <f aca="false">-$E46*N(AND(EK$3&lt;=$F46,EK$4&gt;=$F46))</f>
        <v>-0</v>
      </c>
      <c r="EL46" s="33" t="n">
        <f aca="false">-$E46*N(AND(EL$3&lt;=$F46,EL$4&gt;=$F46))</f>
        <v>-0</v>
      </c>
      <c r="EM46" s="33" t="n">
        <f aca="false">-$E46*N(AND(EM$3&lt;=$F46,EM$4&gt;=$F46))</f>
        <v>-0</v>
      </c>
      <c r="EN46" s="33" t="n">
        <f aca="false">-$E46*N(AND(EN$3&lt;=$F46,EN$4&gt;=$F46))</f>
        <v>-0</v>
      </c>
      <c r="EO46" s="33" t="n">
        <f aca="false">-$E46*N(AND(EO$3&lt;=$F46,EO$4&gt;=$F46))</f>
        <v>-0</v>
      </c>
      <c r="EP46" s="33" t="n">
        <f aca="false">-$E46*N(AND(EP$3&lt;=$F46,EP$4&gt;=$F46))</f>
        <v>-0</v>
      </c>
      <c r="EQ46" s="33" t="n">
        <f aca="false">-$E46*N(AND(EQ$3&lt;=$F46,EQ$4&gt;=$F46))</f>
        <v>-0</v>
      </c>
      <c r="ER46" s="33" t="n">
        <f aca="false">-$E46*N(AND(ER$3&lt;=$F46,ER$4&gt;=$F46))</f>
        <v>-0</v>
      </c>
      <c r="ES46" s="33" t="n">
        <f aca="false">-$E46*N(AND(ES$3&lt;=$F46,ES$4&gt;=$F46))</f>
        <v>-0</v>
      </c>
      <c r="ET46" s="33" t="n">
        <f aca="false">-$E46*N(AND(ET$3&lt;=$F46,ET$4&gt;=$F46))</f>
        <v>-0</v>
      </c>
    </row>
    <row r="47" customFormat="false" ht="15" hidden="false" customHeight="false" outlineLevel="0" collapsed="false">
      <c r="C47" s="0" t="s">
        <v>516</v>
      </c>
      <c r="D47" s="11" t="s">
        <v>253</v>
      </c>
      <c r="E47" s="33" t="n">
        <f aca="false">In_Part_Fee*Thousand/In_FX</f>
        <v>8.21917808219178</v>
      </c>
      <c r="F47" s="27" t="n">
        <f aca="false">In_Bid_Date</f>
        <v>46325</v>
      </c>
      <c r="I47" s="33" t="n">
        <f aca="false">SUM(J47:ET47)</f>
        <v>-8.21917808219178</v>
      </c>
      <c r="J47" s="33" t="n">
        <f aca="false">-$E47*N(AND(J$3&lt;=$F47,J$4&gt;=$F47))</f>
        <v>-0</v>
      </c>
      <c r="K47" s="33" t="n">
        <f aca="false">-$E47*N(AND(K$3&lt;=$F47,K$4&gt;=$F47))</f>
        <v>-8.21917808219178</v>
      </c>
      <c r="L47" s="33" t="n">
        <f aca="false">-$E47*N(AND(L$3&lt;=$F47,L$4&gt;=$F47))</f>
        <v>-0</v>
      </c>
      <c r="M47" s="33" t="n">
        <f aca="false">-$E47*N(AND(M$3&lt;=$F47,M$4&gt;=$F47))</f>
        <v>-0</v>
      </c>
      <c r="N47" s="33" t="n">
        <f aca="false">-$E47*N(AND(N$3&lt;=$F47,N$4&gt;=$F47))</f>
        <v>-0</v>
      </c>
      <c r="O47" s="33" t="n">
        <f aca="false">-$E47*N(AND(O$3&lt;=$F47,O$4&gt;=$F47))</f>
        <v>-0</v>
      </c>
      <c r="P47" s="33" t="n">
        <f aca="false">-$E47*N(AND(P$3&lt;=$F47,P$4&gt;=$F47))</f>
        <v>-0</v>
      </c>
      <c r="Q47" s="33" t="n">
        <f aca="false">-$E47*N(AND(Q$3&lt;=$F47,Q$4&gt;=$F47))</f>
        <v>-0</v>
      </c>
      <c r="R47" s="33" t="n">
        <f aca="false">-$E47*N(AND(R$3&lt;=$F47,R$4&gt;=$F47))</f>
        <v>-0</v>
      </c>
      <c r="S47" s="33" t="n">
        <f aca="false">-$E47*N(AND(S$3&lt;=$F47,S$4&gt;=$F47))</f>
        <v>-0</v>
      </c>
      <c r="T47" s="33" t="n">
        <f aca="false">-$E47*N(AND(T$3&lt;=$F47,T$4&gt;=$F47))</f>
        <v>-0</v>
      </c>
      <c r="U47" s="33" t="n">
        <f aca="false">-$E47*N(AND(U$3&lt;=$F47,U$4&gt;=$F47))</f>
        <v>-0</v>
      </c>
      <c r="V47" s="33" t="n">
        <f aca="false">-$E47*N(AND(V$3&lt;=$F47,V$4&gt;=$F47))</f>
        <v>-0</v>
      </c>
      <c r="W47" s="33" t="n">
        <f aca="false">-$E47*N(AND(W$3&lt;=$F47,W$4&gt;=$F47))</f>
        <v>-0</v>
      </c>
      <c r="X47" s="33" t="n">
        <f aca="false">-$E47*N(AND(X$3&lt;=$F47,X$4&gt;=$F47))</f>
        <v>-0</v>
      </c>
      <c r="Y47" s="33" t="n">
        <f aca="false">-$E47*N(AND(Y$3&lt;=$F47,Y$4&gt;=$F47))</f>
        <v>-0</v>
      </c>
      <c r="Z47" s="33" t="n">
        <f aca="false">-$E47*N(AND(Z$3&lt;=$F47,Z$4&gt;=$F47))</f>
        <v>-0</v>
      </c>
      <c r="AA47" s="33" t="n">
        <f aca="false">-$E47*N(AND(AA$3&lt;=$F47,AA$4&gt;=$F47))</f>
        <v>-0</v>
      </c>
      <c r="AB47" s="33" t="n">
        <f aca="false">-$E47*N(AND(AB$3&lt;=$F47,AB$4&gt;=$F47))</f>
        <v>-0</v>
      </c>
      <c r="AC47" s="33" t="n">
        <f aca="false">-$E47*N(AND(AC$3&lt;=$F47,AC$4&gt;=$F47))</f>
        <v>-0</v>
      </c>
      <c r="AD47" s="33" t="n">
        <f aca="false">-$E47*N(AND(AD$3&lt;=$F47,AD$4&gt;=$F47))</f>
        <v>-0</v>
      </c>
      <c r="AE47" s="33" t="n">
        <f aca="false">-$E47*N(AND(AE$3&lt;=$F47,AE$4&gt;=$F47))</f>
        <v>-0</v>
      </c>
      <c r="AF47" s="33" t="n">
        <f aca="false">-$E47*N(AND(AF$3&lt;=$F47,AF$4&gt;=$F47))</f>
        <v>-0</v>
      </c>
      <c r="AG47" s="33" t="n">
        <f aca="false">-$E47*N(AND(AG$3&lt;=$F47,AG$4&gt;=$F47))</f>
        <v>-0</v>
      </c>
      <c r="AH47" s="33" t="n">
        <f aca="false">-$E47*N(AND(AH$3&lt;=$F47,AH$4&gt;=$F47))</f>
        <v>-0</v>
      </c>
      <c r="AI47" s="33" t="n">
        <f aca="false">-$E47*N(AND(AI$3&lt;=$F47,AI$4&gt;=$F47))</f>
        <v>-0</v>
      </c>
      <c r="AJ47" s="33" t="n">
        <f aca="false">-$E47*N(AND(AJ$3&lt;=$F47,AJ$4&gt;=$F47))</f>
        <v>-0</v>
      </c>
      <c r="AK47" s="33" t="n">
        <f aca="false">-$E47*N(AND(AK$3&lt;=$F47,AK$4&gt;=$F47))</f>
        <v>-0</v>
      </c>
      <c r="AL47" s="33" t="n">
        <f aca="false">-$E47*N(AND(AL$3&lt;=$F47,AL$4&gt;=$F47))</f>
        <v>-0</v>
      </c>
      <c r="AM47" s="33" t="n">
        <f aca="false">-$E47*N(AND(AM$3&lt;=$F47,AM$4&gt;=$F47))</f>
        <v>-0</v>
      </c>
      <c r="AN47" s="33" t="n">
        <f aca="false">-$E47*N(AND(AN$3&lt;=$F47,AN$4&gt;=$F47))</f>
        <v>-0</v>
      </c>
      <c r="AO47" s="33" t="n">
        <f aca="false">-$E47*N(AND(AO$3&lt;=$F47,AO$4&gt;=$F47))</f>
        <v>-0</v>
      </c>
      <c r="AP47" s="33" t="n">
        <f aca="false">-$E47*N(AND(AP$3&lt;=$F47,AP$4&gt;=$F47))</f>
        <v>-0</v>
      </c>
      <c r="AQ47" s="33" t="n">
        <f aca="false">-$E47*N(AND(AQ$3&lt;=$F47,AQ$4&gt;=$F47))</f>
        <v>-0</v>
      </c>
      <c r="AR47" s="33" t="n">
        <f aca="false">-$E47*N(AND(AR$3&lt;=$F47,AR$4&gt;=$F47))</f>
        <v>-0</v>
      </c>
      <c r="AS47" s="33" t="n">
        <f aca="false">-$E47*N(AND(AS$3&lt;=$F47,AS$4&gt;=$F47))</f>
        <v>-0</v>
      </c>
      <c r="AT47" s="33" t="n">
        <f aca="false">-$E47*N(AND(AT$3&lt;=$F47,AT$4&gt;=$F47))</f>
        <v>-0</v>
      </c>
      <c r="AU47" s="33" t="n">
        <f aca="false">-$E47*N(AND(AU$3&lt;=$F47,AU$4&gt;=$F47))</f>
        <v>-0</v>
      </c>
      <c r="AV47" s="33" t="n">
        <f aca="false">-$E47*N(AND(AV$3&lt;=$F47,AV$4&gt;=$F47))</f>
        <v>-0</v>
      </c>
      <c r="AW47" s="33" t="n">
        <f aca="false">-$E47*N(AND(AW$3&lt;=$F47,AW$4&gt;=$F47))</f>
        <v>-0</v>
      </c>
      <c r="AX47" s="33" t="n">
        <f aca="false">-$E47*N(AND(AX$3&lt;=$F47,AX$4&gt;=$F47))</f>
        <v>-0</v>
      </c>
      <c r="AY47" s="33" t="n">
        <f aca="false">-$E47*N(AND(AY$3&lt;=$F47,AY$4&gt;=$F47))</f>
        <v>-0</v>
      </c>
      <c r="AZ47" s="33" t="n">
        <f aca="false">-$E47*N(AND(AZ$3&lt;=$F47,AZ$4&gt;=$F47))</f>
        <v>-0</v>
      </c>
      <c r="BA47" s="33" t="n">
        <f aca="false">-$E47*N(AND(BA$3&lt;=$F47,BA$4&gt;=$F47))</f>
        <v>-0</v>
      </c>
      <c r="BB47" s="33" t="n">
        <f aca="false">-$E47*N(AND(BB$3&lt;=$F47,BB$4&gt;=$F47))</f>
        <v>-0</v>
      </c>
      <c r="BC47" s="33" t="n">
        <f aca="false">-$E47*N(AND(BC$3&lt;=$F47,BC$4&gt;=$F47))</f>
        <v>-0</v>
      </c>
      <c r="BD47" s="33" t="n">
        <f aca="false">-$E47*N(AND(BD$3&lt;=$F47,BD$4&gt;=$F47))</f>
        <v>-0</v>
      </c>
      <c r="BE47" s="33" t="n">
        <f aca="false">-$E47*N(AND(BE$3&lt;=$F47,BE$4&gt;=$F47))</f>
        <v>-0</v>
      </c>
      <c r="BF47" s="33" t="n">
        <f aca="false">-$E47*N(AND(BF$3&lt;=$F47,BF$4&gt;=$F47))</f>
        <v>-0</v>
      </c>
      <c r="BG47" s="33" t="n">
        <f aca="false">-$E47*N(AND(BG$3&lt;=$F47,BG$4&gt;=$F47))</f>
        <v>-0</v>
      </c>
      <c r="BH47" s="33" t="n">
        <f aca="false">-$E47*N(AND(BH$3&lt;=$F47,BH$4&gt;=$F47))</f>
        <v>-0</v>
      </c>
      <c r="BI47" s="33" t="n">
        <f aca="false">-$E47*N(AND(BI$3&lt;=$F47,BI$4&gt;=$F47))</f>
        <v>-0</v>
      </c>
      <c r="BJ47" s="33" t="n">
        <f aca="false">-$E47*N(AND(BJ$3&lt;=$F47,BJ$4&gt;=$F47))</f>
        <v>-0</v>
      </c>
      <c r="BK47" s="33" t="n">
        <f aca="false">-$E47*N(AND(BK$3&lt;=$F47,BK$4&gt;=$F47))</f>
        <v>-0</v>
      </c>
      <c r="BL47" s="33" t="n">
        <f aca="false">-$E47*N(AND(BL$3&lt;=$F47,BL$4&gt;=$F47))</f>
        <v>-0</v>
      </c>
      <c r="BM47" s="33" t="n">
        <f aca="false">-$E47*N(AND(BM$3&lt;=$F47,BM$4&gt;=$F47))</f>
        <v>-0</v>
      </c>
      <c r="BN47" s="33" t="n">
        <f aca="false">-$E47*N(AND(BN$3&lt;=$F47,BN$4&gt;=$F47))</f>
        <v>-0</v>
      </c>
      <c r="BO47" s="33" t="n">
        <f aca="false">-$E47*N(AND(BO$3&lt;=$F47,BO$4&gt;=$F47))</f>
        <v>-0</v>
      </c>
      <c r="BP47" s="33" t="n">
        <f aca="false">-$E47*N(AND(BP$3&lt;=$F47,BP$4&gt;=$F47))</f>
        <v>-0</v>
      </c>
      <c r="BQ47" s="33" t="n">
        <f aca="false">-$E47*N(AND(BQ$3&lt;=$F47,BQ$4&gt;=$F47))</f>
        <v>-0</v>
      </c>
      <c r="BR47" s="33" t="n">
        <f aca="false">-$E47*N(AND(BR$3&lt;=$F47,BR$4&gt;=$F47))</f>
        <v>-0</v>
      </c>
      <c r="BS47" s="33" t="n">
        <f aca="false">-$E47*N(AND(BS$3&lt;=$F47,BS$4&gt;=$F47))</f>
        <v>-0</v>
      </c>
      <c r="BT47" s="33" t="n">
        <f aca="false">-$E47*N(AND(BT$3&lt;=$F47,BT$4&gt;=$F47))</f>
        <v>-0</v>
      </c>
      <c r="BU47" s="33" t="n">
        <f aca="false">-$E47*N(AND(BU$3&lt;=$F47,BU$4&gt;=$F47))</f>
        <v>-0</v>
      </c>
      <c r="BV47" s="33" t="n">
        <f aca="false">-$E47*N(AND(BV$3&lt;=$F47,BV$4&gt;=$F47))</f>
        <v>-0</v>
      </c>
      <c r="BW47" s="33" t="n">
        <f aca="false">-$E47*N(AND(BW$3&lt;=$F47,BW$4&gt;=$F47))</f>
        <v>-0</v>
      </c>
      <c r="BX47" s="33" t="n">
        <f aca="false">-$E47*N(AND(BX$3&lt;=$F47,BX$4&gt;=$F47))</f>
        <v>-0</v>
      </c>
      <c r="BY47" s="33" t="n">
        <f aca="false">-$E47*N(AND(BY$3&lt;=$F47,BY$4&gt;=$F47))</f>
        <v>-0</v>
      </c>
      <c r="BZ47" s="33" t="n">
        <f aca="false">-$E47*N(AND(BZ$3&lt;=$F47,BZ$4&gt;=$F47))</f>
        <v>-0</v>
      </c>
      <c r="CA47" s="33" t="n">
        <f aca="false">-$E47*N(AND(CA$3&lt;=$F47,CA$4&gt;=$F47))</f>
        <v>-0</v>
      </c>
      <c r="CB47" s="33" t="n">
        <f aca="false">-$E47*N(AND(CB$3&lt;=$F47,CB$4&gt;=$F47))</f>
        <v>-0</v>
      </c>
      <c r="CC47" s="33" t="n">
        <f aca="false">-$E47*N(AND(CC$3&lt;=$F47,CC$4&gt;=$F47))</f>
        <v>-0</v>
      </c>
      <c r="CD47" s="33" t="n">
        <f aca="false">-$E47*N(AND(CD$3&lt;=$F47,CD$4&gt;=$F47))</f>
        <v>-0</v>
      </c>
      <c r="CE47" s="33" t="n">
        <f aca="false">-$E47*N(AND(CE$3&lt;=$F47,CE$4&gt;=$F47))</f>
        <v>-0</v>
      </c>
      <c r="CF47" s="33" t="n">
        <f aca="false">-$E47*N(AND(CF$3&lt;=$F47,CF$4&gt;=$F47))</f>
        <v>-0</v>
      </c>
      <c r="CG47" s="33" t="n">
        <f aca="false">-$E47*N(AND(CG$3&lt;=$F47,CG$4&gt;=$F47))</f>
        <v>-0</v>
      </c>
      <c r="CH47" s="33" t="n">
        <f aca="false">-$E47*N(AND(CH$3&lt;=$F47,CH$4&gt;=$F47))</f>
        <v>-0</v>
      </c>
      <c r="CI47" s="33" t="n">
        <f aca="false">-$E47*N(AND(CI$3&lt;=$F47,CI$4&gt;=$F47))</f>
        <v>-0</v>
      </c>
      <c r="CJ47" s="33" t="n">
        <f aca="false">-$E47*N(AND(CJ$3&lt;=$F47,CJ$4&gt;=$F47))</f>
        <v>-0</v>
      </c>
      <c r="CK47" s="33" t="n">
        <f aca="false">-$E47*N(AND(CK$3&lt;=$F47,CK$4&gt;=$F47))</f>
        <v>-0</v>
      </c>
      <c r="CL47" s="33" t="n">
        <f aca="false">-$E47*N(AND(CL$3&lt;=$F47,CL$4&gt;=$F47))</f>
        <v>-0</v>
      </c>
      <c r="CM47" s="33" t="n">
        <f aca="false">-$E47*N(AND(CM$3&lt;=$F47,CM$4&gt;=$F47))</f>
        <v>-0</v>
      </c>
      <c r="CN47" s="33" t="n">
        <f aca="false">-$E47*N(AND(CN$3&lt;=$F47,CN$4&gt;=$F47))</f>
        <v>-0</v>
      </c>
      <c r="CO47" s="33" t="n">
        <f aca="false">-$E47*N(AND(CO$3&lt;=$F47,CO$4&gt;=$F47))</f>
        <v>-0</v>
      </c>
      <c r="CP47" s="33" t="n">
        <f aca="false">-$E47*N(AND(CP$3&lt;=$F47,CP$4&gt;=$F47))</f>
        <v>-0</v>
      </c>
      <c r="CQ47" s="33" t="n">
        <f aca="false">-$E47*N(AND(CQ$3&lt;=$F47,CQ$4&gt;=$F47))</f>
        <v>-0</v>
      </c>
      <c r="CR47" s="33" t="n">
        <f aca="false">-$E47*N(AND(CR$3&lt;=$F47,CR$4&gt;=$F47))</f>
        <v>-0</v>
      </c>
      <c r="CS47" s="33" t="n">
        <f aca="false">-$E47*N(AND(CS$3&lt;=$F47,CS$4&gt;=$F47))</f>
        <v>-0</v>
      </c>
      <c r="CT47" s="33" t="n">
        <f aca="false">-$E47*N(AND(CT$3&lt;=$F47,CT$4&gt;=$F47))</f>
        <v>-0</v>
      </c>
      <c r="CU47" s="33" t="n">
        <f aca="false">-$E47*N(AND(CU$3&lt;=$F47,CU$4&gt;=$F47))</f>
        <v>-0</v>
      </c>
      <c r="CV47" s="33" t="n">
        <f aca="false">-$E47*N(AND(CV$3&lt;=$F47,CV$4&gt;=$F47))</f>
        <v>-0</v>
      </c>
      <c r="CW47" s="33" t="n">
        <f aca="false">-$E47*N(AND(CW$3&lt;=$F47,CW$4&gt;=$F47))</f>
        <v>-0</v>
      </c>
      <c r="CX47" s="33" t="n">
        <f aca="false">-$E47*N(AND(CX$3&lt;=$F47,CX$4&gt;=$F47))</f>
        <v>-0</v>
      </c>
      <c r="CY47" s="33" t="n">
        <f aca="false">-$E47*N(AND(CY$3&lt;=$F47,CY$4&gt;=$F47))</f>
        <v>-0</v>
      </c>
      <c r="CZ47" s="33" t="n">
        <f aca="false">-$E47*N(AND(CZ$3&lt;=$F47,CZ$4&gt;=$F47))</f>
        <v>-0</v>
      </c>
      <c r="DA47" s="33" t="n">
        <f aca="false">-$E47*N(AND(DA$3&lt;=$F47,DA$4&gt;=$F47))</f>
        <v>-0</v>
      </c>
      <c r="DB47" s="33" t="n">
        <f aca="false">-$E47*N(AND(DB$3&lt;=$F47,DB$4&gt;=$F47))</f>
        <v>-0</v>
      </c>
      <c r="DC47" s="33" t="n">
        <f aca="false">-$E47*N(AND(DC$3&lt;=$F47,DC$4&gt;=$F47))</f>
        <v>-0</v>
      </c>
      <c r="DD47" s="33" t="n">
        <f aca="false">-$E47*N(AND(DD$3&lt;=$F47,DD$4&gt;=$F47))</f>
        <v>-0</v>
      </c>
      <c r="DE47" s="33" t="n">
        <f aca="false">-$E47*N(AND(DE$3&lt;=$F47,DE$4&gt;=$F47))</f>
        <v>-0</v>
      </c>
      <c r="DF47" s="33" t="n">
        <f aca="false">-$E47*N(AND(DF$3&lt;=$F47,DF$4&gt;=$F47))</f>
        <v>-0</v>
      </c>
      <c r="DG47" s="33" t="n">
        <f aca="false">-$E47*N(AND(DG$3&lt;=$F47,DG$4&gt;=$F47))</f>
        <v>-0</v>
      </c>
      <c r="DH47" s="33" t="n">
        <f aca="false">-$E47*N(AND(DH$3&lt;=$F47,DH$4&gt;=$F47))</f>
        <v>-0</v>
      </c>
      <c r="DI47" s="33" t="n">
        <f aca="false">-$E47*N(AND(DI$3&lt;=$F47,DI$4&gt;=$F47))</f>
        <v>-0</v>
      </c>
      <c r="DJ47" s="33" t="n">
        <f aca="false">-$E47*N(AND(DJ$3&lt;=$F47,DJ$4&gt;=$F47))</f>
        <v>-0</v>
      </c>
      <c r="DK47" s="33" t="n">
        <f aca="false">-$E47*N(AND(DK$3&lt;=$F47,DK$4&gt;=$F47))</f>
        <v>-0</v>
      </c>
      <c r="DL47" s="33" t="n">
        <f aca="false">-$E47*N(AND(DL$3&lt;=$F47,DL$4&gt;=$F47))</f>
        <v>-0</v>
      </c>
      <c r="DM47" s="33" t="n">
        <f aca="false">-$E47*N(AND(DM$3&lt;=$F47,DM$4&gt;=$F47))</f>
        <v>-0</v>
      </c>
      <c r="DN47" s="33" t="n">
        <f aca="false">-$E47*N(AND(DN$3&lt;=$F47,DN$4&gt;=$F47))</f>
        <v>-0</v>
      </c>
      <c r="DO47" s="33" t="n">
        <f aca="false">-$E47*N(AND(DO$3&lt;=$F47,DO$4&gt;=$F47))</f>
        <v>-0</v>
      </c>
      <c r="DP47" s="33" t="n">
        <f aca="false">-$E47*N(AND(DP$3&lt;=$F47,DP$4&gt;=$F47))</f>
        <v>-0</v>
      </c>
      <c r="DQ47" s="33" t="n">
        <f aca="false">-$E47*N(AND(DQ$3&lt;=$F47,DQ$4&gt;=$F47))</f>
        <v>-0</v>
      </c>
      <c r="DR47" s="33" t="n">
        <f aca="false">-$E47*N(AND(DR$3&lt;=$F47,DR$4&gt;=$F47))</f>
        <v>-0</v>
      </c>
      <c r="DS47" s="33" t="n">
        <f aca="false">-$E47*N(AND(DS$3&lt;=$F47,DS$4&gt;=$F47))</f>
        <v>-0</v>
      </c>
      <c r="DT47" s="33" t="n">
        <f aca="false">-$E47*N(AND(DT$3&lt;=$F47,DT$4&gt;=$F47))</f>
        <v>-0</v>
      </c>
      <c r="DU47" s="33" t="n">
        <f aca="false">-$E47*N(AND(DU$3&lt;=$F47,DU$4&gt;=$F47))</f>
        <v>-0</v>
      </c>
      <c r="DV47" s="33" t="n">
        <f aca="false">-$E47*N(AND(DV$3&lt;=$F47,DV$4&gt;=$F47))</f>
        <v>-0</v>
      </c>
      <c r="DW47" s="33" t="n">
        <f aca="false">-$E47*N(AND(DW$3&lt;=$F47,DW$4&gt;=$F47))</f>
        <v>-0</v>
      </c>
      <c r="DX47" s="33" t="n">
        <f aca="false">-$E47*N(AND(DX$3&lt;=$F47,DX$4&gt;=$F47))</f>
        <v>-0</v>
      </c>
      <c r="DY47" s="33" t="n">
        <f aca="false">-$E47*N(AND(DY$3&lt;=$F47,DY$4&gt;=$F47))</f>
        <v>-0</v>
      </c>
      <c r="DZ47" s="33" t="n">
        <f aca="false">-$E47*N(AND(DZ$3&lt;=$F47,DZ$4&gt;=$F47))</f>
        <v>-0</v>
      </c>
      <c r="EA47" s="33" t="n">
        <f aca="false">-$E47*N(AND(EA$3&lt;=$F47,EA$4&gt;=$F47))</f>
        <v>-0</v>
      </c>
      <c r="EB47" s="33" t="n">
        <f aca="false">-$E47*N(AND(EB$3&lt;=$F47,EB$4&gt;=$F47))</f>
        <v>-0</v>
      </c>
      <c r="EC47" s="33" t="n">
        <f aca="false">-$E47*N(AND(EC$3&lt;=$F47,EC$4&gt;=$F47))</f>
        <v>-0</v>
      </c>
      <c r="ED47" s="33" t="n">
        <f aca="false">-$E47*N(AND(ED$3&lt;=$F47,ED$4&gt;=$F47))</f>
        <v>-0</v>
      </c>
      <c r="EE47" s="33" t="n">
        <f aca="false">-$E47*N(AND(EE$3&lt;=$F47,EE$4&gt;=$F47))</f>
        <v>-0</v>
      </c>
      <c r="EF47" s="33" t="n">
        <f aca="false">-$E47*N(AND(EF$3&lt;=$F47,EF$4&gt;=$F47))</f>
        <v>-0</v>
      </c>
      <c r="EG47" s="33" t="n">
        <f aca="false">-$E47*N(AND(EG$3&lt;=$F47,EG$4&gt;=$F47))</f>
        <v>-0</v>
      </c>
      <c r="EH47" s="33" t="n">
        <f aca="false">-$E47*N(AND(EH$3&lt;=$F47,EH$4&gt;=$F47))</f>
        <v>-0</v>
      </c>
      <c r="EI47" s="33" t="n">
        <f aca="false">-$E47*N(AND(EI$3&lt;=$F47,EI$4&gt;=$F47))</f>
        <v>-0</v>
      </c>
      <c r="EJ47" s="33" t="n">
        <f aca="false">-$E47*N(AND(EJ$3&lt;=$F47,EJ$4&gt;=$F47))</f>
        <v>-0</v>
      </c>
      <c r="EK47" s="33" t="n">
        <f aca="false">-$E47*N(AND(EK$3&lt;=$F47,EK$4&gt;=$F47))</f>
        <v>-0</v>
      </c>
      <c r="EL47" s="33" t="n">
        <f aca="false">-$E47*N(AND(EL$3&lt;=$F47,EL$4&gt;=$F47))</f>
        <v>-0</v>
      </c>
      <c r="EM47" s="33" t="n">
        <f aca="false">-$E47*N(AND(EM$3&lt;=$F47,EM$4&gt;=$F47))</f>
        <v>-0</v>
      </c>
      <c r="EN47" s="33" t="n">
        <f aca="false">-$E47*N(AND(EN$3&lt;=$F47,EN$4&gt;=$F47))</f>
        <v>-0</v>
      </c>
      <c r="EO47" s="33" t="n">
        <f aca="false">-$E47*N(AND(EO$3&lt;=$F47,EO$4&gt;=$F47))</f>
        <v>-0</v>
      </c>
      <c r="EP47" s="33" t="n">
        <f aca="false">-$E47*N(AND(EP$3&lt;=$F47,EP$4&gt;=$F47))</f>
        <v>-0</v>
      </c>
      <c r="EQ47" s="33" t="n">
        <f aca="false">-$E47*N(AND(EQ$3&lt;=$F47,EQ$4&gt;=$F47))</f>
        <v>-0</v>
      </c>
      <c r="ER47" s="33" t="n">
        <f aca="false">-$E47*N(AND(ER$3&lt;=$F47,ER$4&gt;=$F47))</f>
        <v>-0</v>
      </c>
      <c r="ES47" s="33" t="n">
        <f aca="false">-$E47*N(AND(ES$3&lt;=$F47,ES$4&gt;=$F47))</f>
        <v>-0</v>
      </c>
      <c r="ET47" s="33" t="n">
        <f aca="false">-$E47*N(AND(ET$3&lt;=$F47,ET$4&gt;=$F47))</f>
        <v>-0</v>
      </c>
    </row>
    <row r="48" customFormat="false" ht="15" hidden="false" customHeight="false" outlineLevel="0" collapsed="false">
      <c r="C48" s="0" t="s">
        <v>517</v>
      </c>
      <c r="D48" s="11" t="s">
        <v>253</v>
      </c>
      <c r="E48" s="33" t="n">
        <f aca="false">In_Bid_Rate*$E45*Thousand/In_FX</f>
        <v>1398.71232876712</v>
      </c>
      <c r="F48" s="27" t="n">
        <f aca="false">In_Bid_Date</f>
        <v>46325</v>
      </c>
      <c r="J48" s="33" t="n">
        <f aca="false">$E48*MAX(0,(MIN(In_Award_Date+In_PB_Days-1,J$4)-MAX($F48,J$3)+1)/J$5)</f>
        <v>0</v>
      </c>
      <c r="K48" s="33" t="n">
        <f aca="false">$E48*MAX(0,(MIN(In_Award_Date+In_PB_Days-1,K$4)-MAX($F48,K$3)+1)/K$5)</f>
        <v>897.000297796307</v>
      </c>
      <c r="L48" s="33" t="n">
        <f aca="false">$E48*MAX(0,(MIN(In_Award_Date+In_PB_Days-1,L$4)-MAX($F48,L$3)+1)/L$5)</f>
        <v>0</v>
      </c>
      <c r="M48" s="33" t="n">
        <f aca="false">$E48*MAX(0,(MIN(In_Award_Date+In_PB_Days-1,M$4)-MAX($F48,M$3)+1)/M$5)</f>
        <v>0</v>
      </c>
      <c r="N48" s="33" t="n">
        <f aca="false">$E48*MAX(0,(MIN(In_Award_Date+In_PB_Days-1,N$4)-MAX($F48,N$3)+1)/N$5)</f>
        <v>0</v>
      </c>
      <c r="O48" s="33" t="n">
        <f aca="false">$E48*MAX(0,(MIN(In_Award_Date+In_PB_Days-1,O$4)-MAX($F48,O$3)+1)/O$5)</f>
        <v>0</v>
      </c>
      <c r="P48" s="33" t="n">
        <f aca="false">$E48*MAX(0,(MIN(In_Award_Date+In_PB_Days-1,P$4)-MAX($F48,P$3)+1)/P$5)</f>
        <v>0</v>
      </c>
      <c r="Q48" s="33" t="n">
        <f aca="false">$E48*MAX(0,(MIN(In_Award_Date+In_PB_Days-1,Q$4)-MAX($F48,Q$3)+1)/Q$5)</f>
        <v>0</v>
      </c>
      <c r="R48" s="33" t="n">
        <f aca="false">$E48*MAX(0,(MIN(In_Award_Date+In_PB_Days-1,R$4)-MAX($F48,R$3)+1)/R$5)</f>
        <v>0</v>
      </c>
      <c r="S48" s="33" t="n">
        <f aca="false">$E48*MAX(0,(MIN(In_Award_Date+In_PB_Days-1,S$4)-MAX($F48,S$3)+1)/S$5)</f>
        <v>0</v>
      </c>
      <c r="T48" s="33" t="n">
        <f aca="false">$E48*MAX(0,(MIN(In_Award_Date+In_PB_Days-1,T$4)-MAX($F48,T$3)+1)/T$5)</f>
        <v>0</v>
      </c>
      <c r="U48" s="33" t="n">
        <f aca="false">$E48*MAX(0,(MIN(In_Award_Date+In_PB_Days-1,U$4)-MAX($F48,U$3)+1)/U$5)</f>
        <v>0</v>
      </c>
      <c r="V48" s="33" t="n">
        <f aca="false">$E48*MAX(0,(MIN(In_Award_Date+In_PB_Days-1,V$4)-MAX($F48,V$3)+1)/V$5)</f>
        <v>0</v>
      </c>
      <c r="W48" s="33" t="n">
        <f aca="false">$E48*MAX(0,(MIN(In_Award_Date+In_PB_Days-1,W$4)-MAX($F48,W$3)+1)/W$5)</f>
        <v>0</v>
      </c>
      <c r="X48" s="33" t="n">
        <f aca="false">$E48*MAX(0,(MIN(In_Award_Date+In_PB_Days-1,X$4)-MAX($F48,X$3)+1)/X$5)</f>
        <v>0</v>
      </c>
      <c r="Y48" s="33" t="n">
        <f aca="false">$E48*MAX(0,(MIN(In_Award_Date+In_PB_Days-1,Y$4)-MAX($F48,Y$3)+1)/Y$5)</f>
        <v>0</v>
      </c>
      <c r="Z48" s="33" t="n">
        <f aca="false">$E48*MAX(0,(MIN(In_Award_Date+In_PB_Days-1,Z$4)-MAX($F48,Z$3)+1)/Z$5)</f>
        <v>0</v>
      </c>
      <c r="AA48" s="33" t="n">
        <f aca="false">$E48*MAX(0,(MIN(In_Award_Date+In_PB_Days-1,AA$4)-MAX($F48,AA$3)+1)/AA$5)</f>
        <v>0</v>
      </c>
      <c r="AB48" s="33" t="n">
        <f aca="false">$E48*MAX(0,(MIN(In_Award_Date+In_PB_Days-1,AB$4)-MAX($F48,AB$3)+1)/AB$5)</f>
        <v>0</v>
      </c>
      <c r="AC48" s="33" t="n">
        <f aca="false">$E48*MAX(0,(MIN(In_Award_Date+In_PB_Days-1,AC$4)-MAX($F48,AC$3)+1)/AC$5)</f>
        <v>0</v>
      </c>
      <c r="AD48" s="33" t="n">
        <f aca="false">$E48*MAX(0,(MIN(In_Award_Date+In_PB_Days-1,AD$4)-MAX($F48,AD$3)+1)/AD$5)</f>
        <v>0</v>
      </c>
      <c r="AE48" s="33" t="n">
        <f aca="false">$E48*MAX(0,(MIN(In_Award_Date+In_PB_Days-1,AE$4)-MAX($F48,AE$3)+1)/AE$5)</f>
        <v>0</v>
      </c>
      <c r="AF48" s="33" t="n">
        <f aca="false">$E48*MAX(0,(MIN(In_Award_Date+In_PB_Days-1,AF$4)-MAX($F48,AF$3)+1)/AF$5)</f>
        <v>0</v>
      </c>
      <c r="AG48" s="33" t="n">
        <f aca="false">$E48*MAX(0,(MIN(In_Award_Date+In_PB_Days-1,AG$4)-MAX($F48,AG$3)+1)/AG$5)</f>
        <v>0</v>
      </c>
      <c r="AH48" s="33" t="n">
        <f aca="false">$E48*MAX(0,(MIN(In_Award_Date+In_PB_Days-1,AH$4)-MAX($F48,AH$3)+1)/AH$5)</f>
        <v>0</v>
      </c>
      <c r="AI48" s="33" t="n">
        <f aca="false">$E48*MAX(0,(MIN(In_Award_Date+In_PB_Days-1,AI$4)-MAX($F48,AI$3)+1)/AI$5)</f>
        <v>0</v>
      </c>
      <c r="AJ48" s="33" t="n">
        <f aca="false">$E48*MAX(0,(MIN(In_Award_Date+In_PB_Days-1,AJ$4)-MAX($F48,AJ$3)+1)/AJ$5)</f>
        <v>0</v>
      </c>
      <c r="AK48" s="33" t="n">
        <f aca="false">$E48*MAX(0,(MIN(In_Award_Date+In_PB_Days-1,AK$4)-MAX($F48,AK$3)+1)/AK$5)</f>
        <v>0</v>
      </c>
      <c r="AL48" s="33" t="n">
        <f aca="false">$E48*MAX(0,(MIN(In_Award_Date+In_PB_Days-1,AL$4)-MAX($F48,AL$3)+1)/AL$5)</f>
        <v>0</v>
      </c>
      <c r="AM48" s="33" t="n">
        <f aca="false">$E48*MAX(0,(MIN(In_Award_Date+In_PB_Days-1,AM$4)-MAX($F48,AM$3)+1)/AM$5)</f>
        <v>0</v>
      </c>
      <c r="AN48" s="33" t="n">
        <f aca="false">$E48*MAX(0,(MIN(In_Award_Date+In_PB_Days-1,AN$4)-MAX($F48,AN$3)+1)/AN$5)</f>
        <v>0</v>
      </c>
      <c r="AO48" s="33" t="n">
        <f aca="false">$E48*MAX(0,(MIN(In_Award_Date+In_PB_Days-1,AO$4)-MAX($F48,AO$3)+1)/AO$5)</f>
        <v>0</v>
      </c>
      <c r="AP48" s="33" t="n">
        <f aca="false">$E48*MAX(0,(MIN(In_Award_Date+In_PB_Days-1,AP$4)-MAX($F48,AP$3)+1)/AP$5)</f>
        <v>0</v>
      </c>
      <c r="AQ48" s="33" t="n">
        <f aca="false">$E48*MAX(0,(MIN(In_Award_Date+In_PB_Days-1,AQ$4)-MAX($F48,AQ$3)+1)/AQ$5)</f>
        <v>0</v>
      </c>
      <c r="AR48" s="33" t="n">
        <f aca="false">$E48*MAX(0,(MIN(In_Award_Date+In_PB_Days-1,AR$4)-MAX($F48,AR$3)+1)/AR$5)</f>
        <v>0</v>
      </c>
      <c r="AS48" s="33" t="n">
        <f aca="false">$E48*MAX(0,(MIN(In_Award_Date+In_PB_Days-1,AS$4)-MAX($F48,AS$3)+1)/AS$5)</f>
        <v>0</v>
      </c>
      <c r="AT48" s="33" t="n">
        <f aca="false">$E48*MAX(0,(MIN(In_Award_Date+In_PB_Days-1,AT$4)-MAX($F48,AT$3)+1)/AT$5)</f>
        <v>0</v>
      </c>
      <c r="AU48" s="33" t="n">
        <f aca="false">$E48*MAX(0,(MIN(In_Award_Date+In_PB_Days-1,AU$4)-MAX($F48,AU$3)+1)/AU$5)</f>
        <v>0</v>
      </c>
      <c r="AV48" s="33" t="n">
        <f aca="false">$E48*MAX(0,(MIN(In_Award_Date+In_PB_Days-1,AV$4)-MAX($F48,AV$3)+1)/AV$5)</f>
        <v>0</v>
      </c>
      <c r="AW48" s="33" t="n">
        <f aca="false">$E48*MAX(0,(MIN(In_Award_Date+In_PB_Days-1,AW$4)-MAX($F48,AW$3)+1)/AW$5)</f>
        <v>0</v>
      </c>
      <c r="AX48" s="33" t="n">
        <f aca="false">$E48*MAX(0,(MIN(In_Award_Date+In_PB_Days-1,AX$4)-MAX($F48,AX$3)+1)/AX$5)</f>
        <v>0</v>
      </c>
      <c r="AY48" s="33" t="n">
        <f aca="false">$E48*MAX(0,(MIN(In_Award_Date+In_PB_Days-1,AY$4)-MAX($F48,AY$3)+1)/AY$5)</f>
        <v>0</v>
      </c>
      <c r="AZ48" s="33" t="n">
        <f aca="false">$E48*MAX(0,(MIN(In_Award_Date+In_PB_Days-1,AZ$4)-MAX($F48,AZ$3)+1)/AZ$5)</f>
        <v>0</v>
      </c>
      <c r="BA48" s="33" t="n">
        <f aca="false">$E48*MAX(0,(MIN(In_Award_Date+In_PB_Days-1,BA$4)-MAX($F48,BA$3)+1)/BA$5)</f>
        <v>0</v>
      </c>
      <c r="BB48" s="33" t="n">
        <f aca="false">$E48*MAX(0,(MIN(In_Award_Date+In_PB_Days-1,BB$4)-MAX($F48,BB$3)+1)/BB$5)</f>
        <v>0</v>
      </c>
      <c r="BC48" s="33" t="n">
        <f aca="false">$E48*MAX(0,(MIN(In_Award_Date+In_PB_Days-1,BC$4)-MAX($F48,BC$3)+1)/BC$5)</f>
        <v>0</v>
      </c>
      <c r="BD48" s="33" t="n">
        <f aca="false">$E48*MAX(0,(MIN(In_Award_Date+In_PB_Days-1,BD$4)-MAX($F48,BD$3)+1)/BD$5)</f>
        <v>0</v>
      </c>
      <c r="BE48" s="33" t="n">
        <f aca="false">$E48*MAX(0,(MIN(In_Award_Date+In_PB_Days-1,BE$4)-MAX($F48,BE$3)+1)/BE$5)</f>
        <v>0</v>
      </c>
      <c r="BF48" s="33" t="n">
        <f aca="false">$E48*MAX(0,(MIN(In_Award_Date+In_PB_Days-1,BF$4)-MAX($F48,BF$3)+1)/BF$5)</f>
        <v>0</v>
      </c>
      <c r="BG48" s="33" t="n">
        <f aca="false">$E48*MAX(0,(MIN(In_Award_Date+In_PB_Days-1,BG$4)-MAX($F48,BG$3)+1)/BG$5)</f>
        <v>0</v>
      </c>
      <c r="BH48" s="33" t="n">
        <f aca="false">$E48*MAX(0,(MIN(In_Award_Date+In_PB_Days-1,BH$4)-MAX($F48,BH$3)+1)/BH$5)</f>
        <v>0</v>
      </c>
      <c r="BI48" s="33" t="n">
        <f aca="false">$E48*MAX(0,(MIN(In_Award_Date+In_PB_Days-1,BI$4)-MAX($F48,BI$3)+1)/BI$5)</f>
        <v>0</v>
      </c>
      <c r="BJ48" s="33" t="n">
        <f aca="false">$E48*MAX(0,(MIN(In_Award_Date+In_PB_Days-1,BJ$4)-MAX($F48,BJ$3)+1)/BJ$5)</f>
        <v>0</v>
      </c>
      <c r="BK48" s="33" t="n">
        <f aca="false">$E48*MAX(0,(MIN(In_Award_Date+In_PB_Days-1,BK$4)-MAX($F48,BK$3)+1)/BK$5)</f>
        <v>0</v>
      </c>
      <c r="BL48" s="33" t="n">
        <f aca="false">$E48*MAX(0,(MIN(In_Award_Date+In_PB_Days-1,BL$4)-MAX($F48,BL$3)+1)/BL$5)</f>
        <v>0</v>
      </c>
      <c r="BM48" s="33" t="n">
        <f aca="false">$E48*MAX(0,(MIN(In_Award_Date+In_PB_Days-1,BM$4)-MAX($F48,BM$3)+1)/BM$5)</f>
        <v>0</v>
      </c>
      <c r="BN48" s="33" t="n">
        <f aca="false">$E48*MAX(0,(MIN(In_Award_Date+In_PB_Days-1,BN$4)-MAX($F48,BN$3)+1)/BN$5)</f>
        <v>0</v>
      </c>
      <c r="BO48" s="33" t="n">
        <f aca="false">$E48*MAX(0,(MIN(In_Award_Date+In_PB_Days-1,BO$4)-MAX($F48,BO$3)+1)/BO$5)</f>
        <v>0</v>
      </c>
      <c r="BP48" s="33" t="n">
        <f aca="false">$E48*MAX(0,(MIN(In_Award_Date+In_PB_Days-1,BP$4)-MAX($F48,BP$3)+1)/BP$5)</f>
        <v>0</v>
      </c>
      <c r="BQ48" s="33" t="n">
        <f aca="false">$E48*MAX(0,(MIN(In_Award_Date+In_PB_Days-1,BQ$4)-MAX($F48,BQ$3)+1)/BQ$5)</f>
        <v>0</v>
      </c>
      <c r="BR48" s="33" t="n">
        <f aca="false">$E48*MAX(0,(MIN(In_Award_Date+In_PB_Days-1,BR$4)-MAX($F48,BR$3)+1)/BR$5)</f>
        <v>0</v>
      </c>
      <c r="BS48" s="33" t="n">
        <f aca="false">$E48*MAX(0,(MIN(In_Award_Date+In_PB_Days-1,BS$4)-MAX($F48,BS$3)+1)/BS$5)</f>
        <v>0</v>
      </c>
      <c r="BT48" s="33" t="n">
        <f aca="false">$E48*MAX(0,(MIN(In_Award_Date+In_PB_Days-1,BT$4)-MAX($F48,BT$3)+1)/BT$5)</f>
        <v>0</v>
      </c>
      <c r="BU48" s="33" t="n">
        <f aca="false">$E48*MAX(0,(MIN(In_Award_Date+In_PB_Days-1,BU$4)-MAX($F48,BU$3)+1)/BU$5)</f>
        <v>0</v>
      </c>
      <c r="BV48" s="33" t="n">
        <f aca="false">$E48*MAX(0,(MIN(In_Award_Date+In_PB_Days-1,BV$4)-MAX($F48,BV$3)+1)/BV$5)</f>
        <v>0</v>
      </c>
      <c r="BW48" s="33" t="n">
        <f aca="false">$E48*MAX(0,(MIN(In_Award_Date+In_PB_Days-1,BW$4)-MAX($F48,BW$3)+1)/BW$5)</f>
        <v>0</v>
      </c>
      <c r="BX48" s="33" t="n">
        <f aca="false">$E48*MAX(0,(MIN(In_Award_Date+In_PB_Days-1,BX$4)-MAX($F48,BX$3)+1)/BX$5)</f>
        <v>0</v>
      </c>
      <c r="BY48" s="33" t="n">
        <f aca="false">$E48*MAX(0,(MIN(In_Award_Date+In_PB_Days-1,BY$4)-MAX($F48,BY$3)+1)/BY$5)</f>
        <v>0</v>
      </c>
      <c r="BZ48" s="33" t="n">
        <f aca="false">$E48*MAX(0,(MIN(In_Award_Date+In_PB_Days-1,BZ$4)-MAX($F48,BZ$3)+1)/BZ$5)</f>
        <v>0</v>
      </c>
      <c r="CA48" s="33" t="n">
        <f aca="false">$E48*MAX(0,(MIN(In_Award_Date+In_PB_Days-1,CA$4)-MAX($F48,CA$3)+1)/CA$5)</f>
        <v>0</v>
      </c>
      <c r="CB48" s="33" t="n">
        <f aca="false">$E48*MAX(0,(MIN(In_Award_Date+In_PB_Days-1,CB$4)-MAX($F48,CB$3)+1)/CB$5)</f>
        <v>0</v>
      </c>
      <c r="CC48" s="33" t="n">
        <f aca="false">$E48*MAX(0,(MIN(In_Award_Date+In_PB_Days-1,CC$4)-MAX($F48,CC$3)+1)/CC$5)</f>
        <v>0</v>
      </c>
      <c r="CD48" s="33" t="n">
        <f aca="false">$E48*MAX(0,(MIN(In_Award_Date+In_PB_Days-1,CD$4)-MAX($F48,CD$3)+1)/CD$5)</f>
        <v>0</v>
      </c>
      <c r="CE48" s="33" t="n">
        <f aca="false">$E48*MAX(0,(MIN(In_Award_Date+In_PB_Days-1,CE$4)-MAX($F48,CE$3)+1)/CE$5)</f>
        <v>0</v>
      </c>
      <c r="CF48" s="33" t="n">
        <f aca="false">$E48*MAX(0,(MIN(In_Award_Date+In_PB_Days-1,CF$4)-MAX($F48,CF$3)+1)/CF$5)</f>
        <v>0</v>
      </c>
      <c r="CG48" s="33" t="n">
        <f aca="false">$E48*MAX(0,(MIN(In_Award_Date+In_PB_Days-1,CG$4)-MAX($F48,CG$3)+1)/CG$5)</f>
        <v>0</v>
      </c>
      <c r="CH48" s="33" t="n">
        <f aca="false">$E48*MAX(0,(MIN(In_Award_Date+In_PB_Days-1,CH$4)-MAX($F48,CH$3)+1)/CH$5)</f>
        <v>0</v>
      </c>
      <c r="CI48" s="33" t="n">
        <f aca="false">$E48*MAX(0,(MIN(In_Award_Date+In_PB_Days-1,CI$4)-MAX($F48,CI$3)+1)/CI$5)</f>
        <v>0</v>
      </c>
      <c r="CJ48" s="33" t="n">
        <f aca="false">$E48*MAX(0,(MIN(In_Award_Date+In_PB_Days-1,CJ$4)-MAX($F48,CJ$3)+1)/CJ$5)</f>
        <v>0</v>
      </c>
      <c r="CK48" s="33" t="n">
        <f aca="false">$E48*MAX(0,(MIN(In_Award_Date+In_PB_Days-1,CK$4)-MAX($F48,CK$3)+1)/CK$5)</f>
        <v>0</v>
      </c>
      <c r="CL48" s="33" t="n">
        <f aca="false">$E48*MAX(0,(MIN(In_Award_Date+In_PB_Days-1,CL$4)-MAX($F48,CL$3)+1)/CL$5)</f>
        <v>0</v>
      </c>
      <c r="CM48" s="33" t="n">
        <f aca="false">$E48*MAX(0,(MIN(In_Award_Date+In_PB_Days-1,CM$4)-MAX($F48,CM$3)+1)/CM$5)</f>
        <v>0</v>
      </c>
      <c r="CN48" s="33" t="n">
        <f aca="false">$E48*MAX(0,(MIN(In_Award_Date+In_PB_Days-1,CN$4)-MAX($F48,CN$3)+1)/CN$5)</f>
        <v>0</v>
      </c>
      <c r="CO48" s="33" t="n">
        <f aca="false">$E48*MAX(0,(MIN(In_Award_Date+In_PB_Days-1,CO$4)-MAX($F48,CO$3)+1)/CO$5)</f>
        <v>0</v>
      </c>
      <c r="CP48" s="33" t="n">
        <f aca="false">$E48*MAX(0,(MIN(In_Award_Date+In_PB_Days-1,CP$4)-MAX($F48,CP$3)+1)/CP$5)</f>
        <v>0</v>
      </c>
      <c r="CQ48" s="33" t="n">
        <f aca="false">$E48*MAX(0,(MIN(In_Award_Date+In_PB_Days-1,CQ$4)-MAX($F48,CQ$3)+1)/CQ$5)</f>
        <v>0</v>
      </c>
      <c r="CR48" s="33" t="n">
        <f aca="false">$E48*MAX(0,(MIN(In_Award_Date+In_PB_Days-1,CR$4)-MAX($F48,CR$3)+1)/CR$5)</f>
        <v>0</v>
      </c>
      <c r="CS48" s="33" t="n">
        <f aca="false">$E48*MAX(0,(MIN(In_Award_Date+In_PB_Days-1,CS$4)-MAX($F48,CS$3)+1)/CS$5)</f>
        <v>0</v>
      </c>
      <c r="CT48" s="33" t="n">
        <f aca="false">$E48*MAX(0,(MIN(In_Award_Date+In_PB_Days-1,CT$4)-MAX($F48,CT$3)+1)/CT$5)</f>
        <v>0</v>
      </c>
      <c r="CU48" s="33" t="n">
        <f aca="false">$E48*MAX(0,(MIN(In_Award_Date+In_PB_Days-1,CU$4)-MAX($F48,CU$3)+1)/CU$5)</f>
        <v>0</v>
      </c>
      <c r="CV48" s="33" t="n">
        <f aca="false">$E48*MAX(0,(MIN(In_Award_Date+In_PB_Days-1,CV$4)-MAX($F48,CV$3)+1)/CV$5)</f>
        <v>0</v>
      </c>
      <c r="CW48" s="33" t="n">
        <f aca="false">$E48*MAX(0,(MIN(In_Award_Date+In_PB_Days-1,CW$4)-MAX($F48,CW$3)+1)/CW$5)</f>
        <v>0</v>
      </c>
      <c r="CX48" s="33" t="n">
        <f aca="false">$E48*MAX(0,(MIN(In_Award_Date+In_PB_Days-1,CX$4)-MAX($F48,CX$3)+1)/CX$5)</f>
        <v>0</v>
      </c>
      <c r="CY48" s="33" t="n">
        <f aca="false">$E48*MAX(0,(MIN(In_Award_Date+In_PB_Days-1,CY$4)-MAX($F48,CY$3)+1)/CY$5)</f>
        <v>0</v>
      </c>
      <c r="CZ48" s="33" t="n">
        <f aca="false">$E48*MAX(0,(MIN(In_Award_Date+In_PB_Days-1,CZ$4)-MAX($F48,CZ$3)+1)/CZ$5)</f>
        <v>0</v>
      </c>
      <c r="DA48" s="33" t="n">
        <f aca="false">$E48*MAX(0,(MIN(In_Award_Date+In_PB_Days-1,DA$4)-MAX($F48,DA$3)+1)/DA$5)</f>
        <v>0</v>
      </c>
      <c r="DB48" s="33" t="n">
        <f aca="false">$E48*MAX(0,(MIN(In_Award_Date+In_PB_Days-1,DB$4)-MAX($F48,DB$3)+1)/DB$5)</f>
        <v>0</v>
      </c>
      <c r="DC48" s="33" t="n">
        <f aca="false">$E48*MAX(0,(MIN(In_Award_Date+In_PB_Days-1,DC$4)-MAX($F48,DC$3)+1)/DC$5)</f>
        <v>0</v>
      </c>
      <c r="DD48" s="33" t="n">
        <f aca="false">$E48*MAX(0,(MIN(In_Award_Date+In_PB_Days-1,DD$4)-MAX($F48,DD$3)+1)/DD$5)</f>
        <v>0</v>
      </c>
      <c r="DE48" s="33" t="n">
        <f aca="false">$E48*MAX(0,(MIN(In_Award_Date+In_PB_Days-1,DE$4)-MAX($F48,DE$3)+1)/DE$5)</f>
        <v>0</v>
      </c>
      <c r="DF48" s="33" t="n">
        <f aca="false">$E48*MAX(0,(MIN(In_Award_Date+In_PB_Days-1,DF$4)-MAX($F48,DF$3)+1)/DF$5)</f>
        <v>0</v>
      </c>
      <c r="DG48" s="33" t="n">
        <f aca="false">$E48*MAX(0,(MIN(In_Award_Date+In_PB_Days-1,DG$4)-MAX($F48,DG$3)+1)/DG$5)</f>
        <v>0</v>
      </c>
      <c r="DH48" s="33" t="n">
        <f aca="false">$E48*MAX(0,(MIN(In_Award_Date+In_PB_Days-1,DH$4)-MAX($F48,DH$3)+1)/DH$5)</f>
        <v>0</v>
      </c>
      <c r="DI48" s="33" t="n">
        <f aca="false">$E48*MAX(0,(MIN(In_Award_Date+In_PB_Days-1,DI$4)-MAX($F48,DI$3)+1)/DI$5)</f>
        <v>0</v>
      </c>
      <c r="DJ48" s="33" t="n">
        <f aca="false">$E48*MAX(0,(MIN(In_Award_Date+In_PB_Days-1,DJ$4)-MAX($F48,DJ$3)+1)/DJ$5)</f>
        <v>0</v>
      </c>
      <c r="DK48" s="33" t="n">
        <f aca="false">$E48*MAX(0,(MIN(In_Award_Date+In_PB_Days-1,DK$4)-MAX($F48,DK$3)+1)/DK$5)</f>
        <v>0</v>
      </c>
      <c r="DL48" s="33" t="n">
        <f aca="false">$E48*MAX(0,(MIN(In_Award_Date+In_PB_Days-1,DL$4)-MAX($F48,DL$3)+1)/DL$5)</f>
        <v>0</v>
      </c>
      <c r="DM48" s="33" t="n">
        <f aca="false">$E48*MAX(0,(MIN(In_Award_Date+In_PB_Days-1,DM$4)-MAX($F48,DM$3)+1)/DM$5)</f>
        <v>0</v>
      </c>
      <c r="DN48" s="33" t="n">
        <f aca="false">$E48*MAX(0,(MIN(In_Award_Date+In_PB_Days-1,DN$4)-MAX($F48,DN$3)+1)/DN$5)</f>
        <v>0</v>
      </c>
      <c r="DO48" s="33" t="n">
        <f aca="false">$E48*MAX(0,(MIN(In_Award_Date+In_PB_Days-1,DO$4)-MAX($F48,DO$3)+1)/DO$5)</f>
        <v>0</v>
      </c>
      <c r="DP48" s="33" t="n">
        <f aca="false">$E48*MAX(0,(MIN(In_Award_Date+In_PB_Days-1,DP$4)-MAX($F48,DP$3)+1)/DP$5)</f>
        <v>0</v>
      </c>
      <c r="DQ48" s="33" t="n">
        <f aca="false">$E48*MAX(0,(MIN(In_Award_Date+In_PB_Days-1,DQ$4)-MAX($F48,DQ$3)+1)/DQ$5)</f>
        <v>0</v>
      </c>
      <c r="DR48" s="33" t="n">
        <f aca="false">$E48*MAX(0,(MIN(In_Award_Date+In_PB_Days-1,DR$4)-MAX($F48,DR$3)+1)/DR$5)</f>
        <v>0</v>
      </c>
      <c r="DS48" s="33" t="n">
        <f aca="false">$E48*MAX(0,(MIN(In_Award_Date+In_PB_Days-1,DS$4)-MAX($F48,DS$3)+1)/DS$5)</f>
        <v>0</v>
      </c>
      <c r="DT48" s="33" t="n">
        <f aca="false">$E48*MAX(0,(MIN(In_Award_Date+In_PB_Days-1,DT$4)-MAX($F48,DT$3)+1)/DT$5)</f>
        <v>0</v>
      </c>
      <c r="DU48" s="33" t="n">
        <f aca="false">$E48*MAX(0,(MIN(In_Award_Date+In_PB_Days-1,DU$4)-MAX($F48,DU$3)+1)/DU$5)</f>
        <v>0</v>
      </c>
      <c r="DV48" s="33" t="n">
        <f aca="false">$E48*MAX(0,(MIN(In_Award_Date+In_PB_Days-1,DV$4)-MAX($F48,DV$3)+1)/DV$5)</f>
        <v>0</v>
      </c>
      <c r="DW48" s="33" t="n">
        <f aca="false">$E48*MAX(0,(MIN(In_Award_Date+In_PB_Days-1,DW$4)-MAX($F48,DW$3)+1)/DW$5)</f>
        <v>0</v>
      </c>
      <c r="DX48" s="33" t="n">
        <f aca="false">$E48*MAX(0,(MIN(In_Award_Date+In_PB_Days-1,DX$4)-MAX($F48,DX$3)+1)/DX$5)</f>
        <v>0</v>
      </c>
      <c r="DY48" s="33" t="n">
        <f aca="false">$E48*MAX(0,(MIN(In_Award_Date+In_PB_Days-1,DY$4)-MAX($F48,DY$3)+1)/DY$5)</f>
        <v>0</v>
      </c>
      <c r="DZ48" s="33" t="n">
        <f aca="false">$E48*MAX(0,(MIN(In_Award_Date+In_PB_Days-1,DZ$4)-MAX($F48,DZ$3)+1)/DZ$5)</f>
        <v>0</v>
      </c>
      <c r="EA48" s="33" t="n">
        <f aca="false">$E48*MAX(0,(MIN(In_Award_Date+In_PB_Days-1,EA$4)-MAX($F48,EA$3)+1)/EA$5)</f>
        <v>0</v>
      </c>
      <c r="EB48" s="33" t="n">
        <f aca="false">$E48*MAX(0,(MIN(In_Award_Date+In_PB_Days-1,EB$4)-MAX($F48,EB$3)+1)/EB$5)</f>
        <v>0</v>
      </c>
      <c r="EC48" s="33" t="n">
        <f aca="false">$E48*MAX(0,(MIN(In_Award_Date+In_PB_Days-1,EC$4)-MAX($F48,EC$3)+1)/EC$5)</f>
        <v>0</v>
      </c>
      <c r="ED48" s="33" t="n">
        <f aca="false">$E48*MAX(0,(MIN(In_Award_Date+In_PB_Days-1,ED$4)-MAX($F48,ED$3)+1)/ED$5)</f>
        <v>0</v>
      </c>
      <c r="EE48" s="33" t="n">
        <f aca="false">$E48*MAX(0,(MIN(In_Award_Date+In_PB_Days-1,EE$4)-MAX($F48,EE$3)+1)/EE$5)</f>
        <v>0</v>
      </c>
      <c r="EF48" s="33" t="n">
        <f aca="false">$E48*MAX(0,(MIN(In_Award_Date+In_PB_Days-1,EF$4)-MAX($F48,EF$3)+1)/EF$5)</f>
        <v>0</v>
      </c>
      <c r="EG48" s="33" t="n">
        <f aca="false">$E48*MAX(0,(MIN(In_Award_Date+In_PB_Days-1,EG$4)-MAX($F48,EG$3)+1)/EG$5)</f>
        <v>0</v>
      </c>
      <c r="EH48" s="33" t="n">
        <f aca="false">$E48*MAX(0,(MIN(In_Award_Date+In_PB_Days-1,EH$4)-MAX($F48,EH$3)+1)/EH$5)</f>
        <v>0</v>
      </c>
      <c r="EI48" s="33" t="n">
        <f aca="false">$E48*MAX(0,(MIN(In_Award_Date+In_PB_Days-1,EI$4)-MAX($F48,EI$3)+1)/EI$5)</f>
        <v>0</v>
      </c>
      <c r="EJ48" s="33" t="n">
        <f aca="false">$E48*MAX(0,(MIN(In_Award_Date+In_PB_Days-1,EJ$4)-MAX($F48,EJ$3)+1)/EJ$5)</f>
        <v>0</v>
      </c>
      <c r="EK48" s="33" t="n">
        <f aca="false">$E48*MAX(0,(MIN(In_Award_Date+In_PB_Days-1,EK$4)-MAX($F48,EK$3)+1)/EK$5)</f>
        <v>0</v>
      </c>
      <c r="EL48" s="33" t="n">
        <f aca="false">$E48*MAX(0,(MIN(In_Award_Date+In_PB_Days-1,EL$4)-MAX($F48,EL$3)+1)/EL$5)</f>
        <v>0</v>
      </c>
      <c r="EM48" s="33" t="n">
        <f aca="false">$E48*MAX(0,(MIN(In_Award_Date+In_PB_Days-1,EM$4)-MAX($F48,EM$3)+1)/EM$5)</f>
        <v>0</v>
      </c>
      <c r="EN48" s="33" t="n">
        <f aca="false">$E48*MAX(0,(MIN(In_Award_Date+In_PB_Days-1,EN$4)-MAX($F48,EN$3)+1)/EN$5)</f>
        <v>0</v>
      </c>
      <c r="EO48" s="33" t="n">
        <f aca="false">$E48*MAX(0,(MIN(In_Award_Date+In_PB_Days-1,EO$4)-MAX($F48,EO$3)+1)/EO$5)</f>
        <v>0</v>
      </c>
      <c r="EP48" s="33" t="n">
        <f aca="false">$E48*MAX(0,(MIN(In_Award_Date+In_PB_Days-1,EP$4)-MAX($F48,EP$3)+1)/EP$5)</f>
        <v>0</v>
      </c>
      <c r="EQ48" s="33" t="n">
        <f aca="false">$E48*MAX(0,(MIN(In_Award_Date+In_PB_Days-1,EQ$4)-MAX($F48,EQ$3)+1)/EQ$5)</f>
        <v>0</v>
      </c>
      <c r="ER48" s="33" t="n">
        <f aca="false">$E48*MAX(0,(MIN(In_Award_Date+In_PB_Days-1,ER$4)-MAX($F48,ER$3)+1)/ER$5)</f>
        <v>0</v>
      </c>
      <c r="ES48" s="33" t="n">
        <f aca="false">$E48*MAX(0,(MIN(In_Award_Date+In_PB_Days-1,ES$4)-MAX($F48,ES$3)+1)/ES$5)</f>
        <v>0</v>
      </c>
      <c r="ET48" s="33" t="n">
        <f aca="false">$E48*MAX(0,(MIN(In_Award_Date+In_PB_Days-1,ET$4)-MAX($F48,ET$3)+1)/ET$5)</f>
        <v>0</v>
      </c>
    </row>
    <row r="49" customFormat="false" ht="15" hidden="false" customHeight="false" outlineLevel="0" collapsed="false">
      <c r="C49" s="0" t="s">
        <v>518</v>
      </c>
      <c r="D49" s="11" t="s">
        <v>253</v>
      </c>
      <c r="E49" s="33" t="n">
        <f aca="false">In_PB_Rate*$E35*$E45*Thousand/In_FX</f>
        <v>6993.56164383562</v>
      </c>
      <c r="F49" s="44" t="n">
        <f aca="false">In_Award_Date+In_PB_Days</f>
        <v>46384</v>
      </c>
      <c r="J49" s="33" t="n">
        <f aca="false">$E49*MAX(0,(MIN(In_PB_Release,J$4)-MAX($F49,J$3)+1)/J$5)</f>
        <v>0</v>
      </c>
      <c r="K49" s="33" t="n">
        <f aca="false">$E49*MAX(0,(MIN(In_PB_Release,K$4)-MAX($F49,K$3)+1)/K$5)</f>
        <v>304.06789755807</v>
      </c>
      <c r="L49" s="33" t="n">
        <f aca="false">$E49*MAX(0,(MIN(In_PB_Release,L$4)-MAX($F49,L$3)+1)/L$5)</f>
        <v>6993.56164383562</v>
      </c>
      <c r="M49" s="33" t="n">
        <f aca="false">$E49*MAX(0,(MIN(In_PB_Release,M$4)-MAX($F49,M$3)+1)/M$5)</f>
        <v>6993.56164383562</v>
      </c>
      <c r="N49" s="33" t="n">
        <f aca="false">$E49*MAX(0,(MIN(In_PB_Release,N$4)-MAX($F49,N$3)+1)/N$5)</f>
        <v>6993.56164383562</v>
      </c>
      <c r="O49" s="33" t="n">
        <f aca="false">$E49*MAX(0,(MIN(In_PB_Release,O$4)-MAX($F49,O$3)+1)/O$5)</f>
        <v>6993.56164383562</v>
      </c>
      <c r="P49" s="33" t="n">
        <f aca="false">$E49*MAX(0,(MIN(In_PB_Release,P$4)-MAX($F49,P$3)+1)/P$5)</f>
        <v>6993.56164383562</v>
      </c>
      <c r="Q49" s="33" t="n">
        <f aca="false">$E49*MAX(0,(MIN(In_PB_Release,Q$4)-MAX($F49,Q$3)+1)/Q$5)</f>
        <v>6993.56164383562</v>
      </c>
      <c r="R49" s="33" t="n">
        <f aca="false">$E49*MAX(0,(MIN(In_PB_Release,R$4)-MAX($F49,R$3)+1)/R$5)</f>
        <v>6993.56164383562</v>
      </c>
      <c r="S49" s="33" t="n">
        <f aca="false">$E49*MAX(0,(MIN(In_PB_Release,S$4)-MAX($F49,S$3)+1)/S$5)</f>
        <v>6993.56164383562</v>
      </c>
      <c r="T49" s="33" t="n">
        <f aca="false">$E49*MAX(0,(MIN(In_PB_Release,T$4)-MAX($F49,T$3)+1)/T$5)</f>
        <v>6993.56164383562</v>
      </c>
      <c r="U49" s="33" t="n">
        <f aca="false">$E49*MAX(0,(MIN(In_PB_Release,U$4)-MAX($F49,U$3)+1)/U$5)</f>
        <v>6993.56164383562</v>
      </c>
      <c r="V49" s="33" t="n">
        <f aca="false">$E49*MAX(0,(MIN(In_PB_Release,V$4)-MAX($F49,V$3)+1)/V$5)</f>
        <v>6993.56164383562</v>
      </c>
      <c r="W49" s="33" t="n">
        <f aca="false">$E49*MAX(0,(MIN(In_PB_Release,W$4)-MAX($F49,W$3)+1)/W$5)</f>
        <v>6993.56164383562</v>
      </c>
      <c r="X49" s="33" t="n">
        <f aca="false">$E49*MAX(0,(MIN(In_PB_Release,X$4)-MAX($F49,X$3)+1)/X$5)</f>
        <v>6993.56164383562</v>
      </c>
      <c r="Y49" s="33" t="n">
        <f aca="false">$E49*MAX(0,(MIN(In_PB_Release,Y$4)-MAX($F49,Y$3)+1)/Y$5)</f>
        <v>6993.56164383562</v>
      </c>
      <c r="Z49" s="33" t="n">
        <f aca="false">$E49*MAX(0,(MIN(In_PB_Release,Z$4)-MAX($F49,Z$3)+1)/Z$5)</f>
        <v>6993.56164383562</v>
      </c>
      <c r="AA49" s="33" t="n">
        <f aca="false">$E49*MAX(0,(MIN(In_PB_Release,AA$4)-MAX($F49,AA$3)+1)/AA$5)</f>
        <v>6993.56164383562</v>
      </c>
      <c r="AB49" s="33" t="n">
        <f aca="false">$E49*MAX(0,(MIN(In_PB_Release,AB$4)-MAX($F49,AB$3)+1)/AB$5)</f>
        <v>6993.56164383562</v>
      </c>
      <c r="AC49" s="33" t="n">
        <f aca="false">$E49*MAX(0,(MIN(In_PB_Release,AC$4)-MAX($F49,AC$3)+1)/AC$5)</f>
        <v>6993.56164383562</v>
      </c>
      <c r="AD49" s="33" t="n">
        <f aca="false">$E49*MAX(0,(MIN(In_PB_Release,AD$4)-MAX($F49,AD$3)+1)/AD$5)</f>
        <v>6993.56164383562</v>
      </c>
      <c r="AE49" s="33" t="n">
        <f aca="false">$E49*MAX(0,(MIN(In_PB_Release,AE$4)-MAX($F49,AE$3)+1)/AE$5)</f>
        <v>6993.56164383562</v>
      </c>
      <c r="AF49" s="33" t="n">
        <f aca="false">$E49*MAX(0,(MIN(In_PB_Release,AF$4)-MAX($F49,AF$3)+1)/AF$5)</f>
        <v>6993.56164383562</v>
      </c>
      <c r="AG49" s="33" t="n">
        <f aca="false">$E49*MAX(0,(MIN(In_PB_Release,AG$4)-MAX($F49,AG$3)+1)/AG$5)</f>
        <v>6993.56164383562</v>
      </c>
      <c r="AH49" s="33" t="n">
        <f aca="false">$E49*MAX(0,(MIN(In_PB_Release,AH$4)-MAX($F49,AH$3)+1)/AH$5)</f>
        <v>6993.56164383562</v>
      </c>
      <c r="AI49" s="33" t="n">
        <f aca="false">$E49*MAX(0,(MIN(In_PB_Release,AI$4)-MAX($F49,AI$3)+1)/AI$5)</f>
        <v>6993.56164383562</v>
      </c>
      <c r="AJ49" s="33" t="n">
        <f aca="false">$E49*MAX(0,(MIN(In_PB_Release,AJ$4)-MAX($F49,AJ$3)+1)/AJ$5)</f>
        <v>6993.56164383562</v>
      </c>
      <c r="AK49" s="33" t="n">
        <f aca="false">$E49*MAX(0,(MIN(In_PB_Release,AK$4)-MAX($F49,AK$3)+1)/AK$5)</f>
        <v>0</v>
      </c>
      <c r="AL49" s="33" t="n">
        <f aca="false">$E49*MAX(0,(MIN(In_PB_Release,AL$4)-MAX($F49,AL$3)+1)/AL$5)</f>
        <v>0</v>
      </c>
      <c r="AM49" s="33" t="n">
        <f aca="false">$E49*MAX(0,(MIN(In_PB_Release,AM$4)-MAX($F49,AM$3)+1)/AM$5)</f>
        <v>0</v>
      </c>
      <c r="AN49" s="33" t="n">
        <f aca="false">$E49*MAX(0,(MIN(In_PB_Release,AN$4)-MAX($F49,AN$3)+1)/AN$5)</f>
        <v>0</v>
      </c>
      <c r="AO49" s="33" t="n">
        <f aca="false">$E49*MAX(0,(MIN(In_PB_Release,AO$4)-MAX($F49,AO$3)+1)/AO$5)</f>
        <v>0</v>
      </c>
      <c r="AP49" s="33" t="n">
        <f aca="false">$E49*MAX(0,(MIN(In_PB_Release,AP$4)-MAX($F49,AP$3)+1)/AP$5)</f>
        <v>0</v>
      </c>
      <c r="AQ49" s="33" t="n">
        <f aca="false">$E49*MAX(0,(MIN(In_PB_Release,AQ$4)-MAX($F49,AQ$3)+1)/AQ$5)</f>
        <v>0</v>
      </c>
      <c r="AR49" s="33" t="n">
        <f aca="false">$E49*MAX(0,(MIN(In_PB_Release,AR$4)-MAX($F49,AR$3)+1)/AR$5)</f>
        <v>0</v>
      </c>
      <c r="AS49" s="33" t="n">
        <f aca="false">$E49*MAX(0,(MIN(In_PB_Release,AS$4)-MAX($F49,AS$3)+1)/AS$5)</f>
        <v>0</v>
      </c>
      <c r="AT49" s="33" t="n">
        <f aca="false">$E49*MAX(0,(MIN(In_PB_Release,AT$4)-MAX($F49,AT$3)+1)/AT$5)</f>
        <v>0</v>
      </c>
      <c r="AU49" s="33" t="n">
        <f aca="false">$E49*MAX(0,(MIN(In_PB_Release,AU$4)-MAX($F49,AU$3)+1)/AU$5)</f>
        <v>0</v>
      </c>
      <c r="AV49" s="33" t="n">
        <f aca="false">$E49*MAX(0,(MIN(In_PB_Release,AV$4)-MAX($F49,AV$3)+1)/AV$5)</f>
        <v>0</v>
      </c>
      <c r="AW49" s="33" t="n">
        <f aca="false">$E49*MAX(0,(MIN(In_PB_Release,AW$4)-MAX($F49,AW$3)+1)/AW$5)</f>
        <v>0</v>
      </c>
      <c r="AX49" s="33" t="n">
        <f aca="false">$E49*MAX(0,(MIN(In_PB_Release,AX$4)-MAX($F49,AX$3)+1)/AX$5)</f>
        <v>0</v>
      </c>
      <c r="AY49" s="33" t="n">
        <f aca="false">$E49*MAX(0,(MIN(In_PB_Release,AY$4)-MAX($F49,AY$3)+1)/AY$5)</f>
        <v>0</v>
      </c>
      <c r="AZ49" s="33" t="n">
        <f aca="false">$E49*MAX(0,(MIN(In_PB_Release,AZ$4)-MAX($F49,AZ$3)+1)/AZ$5)</f>
        <v>0</v>
      </c>
      <c r="BA49" s="33" t="n">
        <f aca="false">$E49*MAX(0,(MIN(In_PB_Release,BA$4)-MAX($F49,BA$3)+1)/BA$5)</f>
        <v>0</v>
      </c>
      <c r="BB49" s="33" t="n">
        <f aca="false">$E49*MAX(0,(MIN(In_PB_Release,BB$4)-MAX($F49,BB$3)+1)/BB$5)</f>
        <v>0</v>
      </c>
      <c r="BC49" s="33" t="n">
        <f aca="false">$E49*MAX(0,(MIN(In_PB_Release,BC$4)-MAX($F49,BC$3)+1)/BC$5)</f>
        <v>0</v>
      </c>
      <c r="BD49" s="33" t="n">
        <f aca="false">$E49*MAX(0,(MIN(In_PB_Release,BD$4)-MAX($F49,BD$3)+1)/BD$5)</f>
        <v>0</v>
      </c>
      <c r="BE49" s="33" t="n">
        <f aca="false">$E49*MAX(0,(MIN(In_PB_Release,BE$4)-MAX($F49,BE$3)+1)/BE$5)</f>
        <v>0</v>
      </c>
      <c r="BF49" s="33" t="n">
        <f aca="false">$E49*MAX(0,(MIN(In_PB_Release,BF$4)-MAX($F49,BF$3)+1)/BF$5)</f>
        <v>0</v>
      </c>
      <c r="BG49" s="33" t="n">
        <f aca="false">$E49*MAX(0,(MIN(In_PB_Release,BG$4)-MAX($F49,BG$3)+1)/BG$5)</f>
        <v>0</v>
      </c>
      <c r="BH49" s="33" t="n">
        <f aca="false">$E49*MAX(0,(MIN(In_PB_Release,BH$4)-MAX($F49,BH$3)+1)/BH$5)</f>
        <v>0</v>
      </c>
      <c r="BI49" s="33" t="n">
        <f aca="false">$E49*MAX(0,(MIN(In_PB_Release,BI$4)-MAX($F49,BI$3)+1)/BI$5)</f>
        <v>0</v>
      </c>
      <c r="BJ49" s="33" t="n">
        <f aca="false">$E49*MAX(0,(MIN(In_PB_Release,BJ$4)-MAX($F49,BJ$3)+1)/BJ$5)</f>
        <v>0</v>
      </c>
      <c r="BK49" s="33" t="n">
        <f aca="false">$E49*MAX(0,(MIN(In_PB_Release,BK$4)-MAX($F49,BK$3)+1)/BK$5)</f>
        <v>0</v>
      </c>
      <c r="BL49" s="33" t="n">
        <f aca="false">$E49*MAX(0,(MIN(In_PB_Release,BL$4)-MAX($F49,BL$3)+1)/BL$5)</f>
        <v>0</v>
      </c>
      <c r="BM49" s="33" t="n">
        <f aca="false">$E49*MAX(0,(MIN(In_PB_Release,BM$4)-MAX($F49,BM$3)+1)/BM$5)</f>
        <v>0</v>
      </c>
      <c r="BN49" s="33" t="n">
        <f aca="false">$E49*MAX(0,(MIN(In_PB_Release,BN$4)-MAX($F49,BN$3)+1)/BN$5)</f>
        <v>0</v>
      </c>
      <c r="BO49" s="33" t="n">
        <f aca="false">$E49*MAX(0,(MIN(In_PB_Release,BO$4)-MAX($F49,BO$3)+1)/BO$5)</f>
        <v>0</v>
      </c>
      <c r="BP49" s="33" t="n">
        <f aca="false">$E49*MAX(0,(MIN(In_PB_Release,BP$4)-MAX($F49,BP$3)+1)/BP$5)</f>
        <v>0</v>
      </c>
      <c r="BQ49" s="33" t="n">
        <f aca="false">$E49*MAX(0,(MIN(In_PB_Release,BQ$4)-MAX($F49,BQ$3)+1)/BQ$5)</f>
        <v>0</v>
      </c>
      <c r="BR49" s="33" t="n">
        <f aca="false">$E49*MAX(0,(MIN(In_PB_Release,BR$4)-MAX($F49,BR$3)+1)/BR$5)</f>
        <v>0</v>
      </c>
      <c r="BS49" s="33" t="n">
        <f aca="false">$E49*MAX(0,(MIN(In_PB_Release,BS$4)-MAX($F49,BS$3)+1)/BS$5)</f>
        <v>0</v>
      </c>
      <c r="BT49" s="33" t="n">
        <f aca="false">$E49*MAX(0,(MIN(In_PB_Release,BT$4)-MAX($F49,BT$3)+1)/BT$5)</f>
        <v>0</v>
      </c>
      <c r="BU49" s="33" t="n">
        <f aca="false">$E49*MAX(0,(MIN(In_PB_Release,BU$4)-MAX($F49,BU$3)+1)/BU$5)</f>
        <v>0</v>
      </c>
      <c r="BV49" s="33" t="n">
        <f aca="false">$E49*MAX(0,(MIN(In_PB_Release,BV$4)-MAX($F49,BV$3)+1)/BV$5)</f>
        <v>0</v>
      </c>
      <c r="BW49" s="33" t="n">
        <f aca="false">$E49*MAX(0,(MIN(In_PB_Release,BW$4)-MAX($F49,BW$3)+1)/BW$5)</f>
        <v>0</v>
      </c>
      <c r="BX49" s="33" t="n">
        <f aca="false">$E49*MAX(0,(MIN(In_PB_Release,BX$4)-MAX($F49,BX$3)+1)/BX$5)</f>
        <v>0</v>
      </c>
      <c r="BY49" s="33" t="n">
        <f aca="false">$E49*MAX(0,(MIN(In_PB_Release,BY$4)-MAX($F49,BY$3)+1)/BY$5)</f>
        <v>0</v>
      </c>
      <c r="BZ49" s="33" t="n">
        <f aca="false">$E49*MAX(0,(MIN(In_PB_Release,BZ$4)-MAX($F49,BZ$3)+1)/BZ$5)</f>
        <v>0</v>
      </c>
      <c r="CA49" s="33" t="n">
        <f aca="false">$E49*MAX(0,(MIN(In_PB_Release,CA$4)-MAX($F49,CA$3)+1)/CA$5)</f>
        <v>0</v>
      </c>
      <c r="CB49" s="33" t="n">
        <f aca="false">$E49*MAX(0,(MIN(In_PB_Release,CB$4)-MAX($F49,CB$3)+1)/CB$5)</f>
        <v>0</v>
      </c>
      <c r="CC49" s="33" t="n">
        <f aca="false">$E49*MAX(0,(MIN(In_PB_Release,CC$4)-MAX($F49,CC$3)+1)/CC$5)</f>
        <v>0</v>
      </c>
      <c r="CD49" s="33" t="n">
        <f aca="false">$E49*MAX(0,(MIN(In_PB_Release,CD$4)-MAX($F49,CD$3)+1)/CD$5)</f>
        <v>0</v>
      </c>
      <c r="CE49" s="33" t="n">
        <f aca="false">$E49*MAX(0,(MIN(In_PB_Release,CE$4)-MAX($F49,CE$3)+1)/CE$5)</f>
        <v>0</v>
      </c>
      <c r="CF49" s="33" t="n">
        <f aca="false">$E49*MAX(0,(MIN(In_PB_Release,CF$4)-MAX($F49,CF$3)+1)/CF$5)</f>
        <v>0</v>
      </c>
      <c r="CG49" s="33" t="n">
        <f aca="false">$E49*MAX(0,(MIN(In_PB_Release,CG$4)-MAX($F49,CG$3)+1)/CG$5)</f>
        <v>0</v>
      </c>
      <c r="CH49" s="33" t="n">
        <f aca="false">$E49*MAX(0,(MIN(In_PB_Release,CH$4)-MAX($F49,CH$3)+1)/CH$5)</f>
        <v>0</v>
      </c>
      <c r="CI49" s="33" t="n">
        <f aca="false">$E49*MAX(0,(MIN(In_PB_Release,CI$4)-MAX($F49,CI$3)+1)/CI$5)</f>
        <v>0</v>
      </c>
      <c r="CJ49" s="33" t="n">
        <f aca="false">$E49*MAX(0,(MIN(In_PB_Release,CJ$4)-MAX($F49,CJ$3)+1)/CJ$5)</f>
        <v>0</v>
      </c>
      <c r="CK49" s="33" t="n">
        <f aca="false">$E49*MAX(0,(MIN(In_PB_Release,CK$4)-MAX($F49,CK$3)+1)/CK$5)</f>
        <v>0</v>
      </c>
      <c r="CL49" s="33" t="n">
        <f aca="false">$E49*MAX(0,(MIN(In_PB_Release,CL$4)-MAX($F49,CL$3)+1)/CL$5)</f>
        <v>0</v>
      </c>
      <c r="CM49" s="33" t="n">
        <f aca="false">$E49*MAX(0,(MIN(In_PB_Release,CM$4)-MAX($F49,CM$3)+1)/CM$5)</f>
        <v>0</v>
      </c>
      <c r="CN49" s="33" t="n">
        <f aca="false">$E49*MAX(0,(MIN(In_PB_Release,CN$4)-MAX($F49,CN$3)+1)/CN$5)</f>
        <v>0</v>
      </c>
      <c r="CO49" s="33" t="n">
        <f aca="false">$E49*MAX(0,(MIN(In_PB_Release,CO$4)-MAX($F49,CO$3)+1)/CO$5)</f>
        <v>0</v>
      </c>
      <c r="CP49" s="33" t="n">
        <f aca="false">$E49*MAX(0,(MIN(In_PB_Release,CP$4)-MAX($F49,CP$3)+1)/CP$5)</f>
        <v>0</v>
      </c>
      <c r="CQ49" s="33" t="n">
        <f aca="false">$E49*MAX(0,(MIN(In_PB_Release,CQ$4)-MAX($F49,CQ$3)+1)/CQ$5)</f>
        <v>0</v>
      </c>
      <c r="CR49" s="33" t="n">
        <f aca="false">$E49*MAX(0,(MIN(In_PB_Release,CR$4)-MAX($F49,CR$3)+1)/CR$5)</f>
        <v>0</v>
      </c>
      <c r="CS49" s="33" t="n">
        <f aca="false">$E49*MAX(0,(MIN(In_PB_Release,CS$4)-MAX($F49,CS$3)+1)/CS$5)</f>
        <v>0</v>
      </c>
      <c r="CT49" s="33" t="n">
        <f aca="false">$E49*MAX(0,(MIN(In_PB_Release,CT$4)-MAX($F49,CT$3)+1)/CT$5)</f>
        <v>0</v>
      </c>
      <c r="CU49" s="33" t="n">
        <f aca="false">$E49*MAX(0,(MIN(In_PB_Release,CU$4)-MAX($F49,CU$3)+1)/CU$5)</f>
        <v>0</v>
      </c>
      <c r="CV49" s="33" t="n">
        <f aca="false">$E49*MAX(0,(MIN(In_PB_Release,CV$4)-MAX($F49,CV$3)+1)/CV$5)</f>
        <v>0</v>
      </c>
      <c r="CW49" s="33" t="n">
        <f aca="false">$E49*MAX(0,(MIN(In_PB_Release,CW$4)-MAX($F49,CW$3)+1)/CW$5)</f>
        <v>0</v>
      </c>
      <c r="CX49" s="33" t="n">
        <f aca="false">$E49*MAX(0,(MIN(In_PB_Release,CX$4)-MAX($F49,CX$3)+1)/CX$5)</f>
        <v>0</v>
      </c>
      <c r="CY49" s="33" t="n">
        <f aca="false">$E49*MAX(0,(MIN(In_PB_Release,CY$4)-MAX($F49,CY$3)+1)/CY$5)</f>
        <v>0</v>
      </c>
      <c r="CZ49" s="33" t="n">
        <f aca="false">$E49*MAX(0,(MIN(In_PB_Release,CZ$4)-MAX($F49,CZ$3)+1)/CZ$5)</f>
        <v>0</v>
      </c>
      <c r="DA49" s="33" t="n">
        <f aca="false">$E49*MAX(0,(MIN(In_PB_Release,DA$4)-MAX($F49,DA$3)+1)/DA$5)</f>
        <v>0</v>
      </c>
      <c r="DB49" s="33" t="n">
        <f aca="false">$E49*MAX(0,(MIN(In_PB_Release,DB$4)-MAX($F49,DB$3)+1)/DB$5)</f>
        <v>0</v>
      </c>
      <c r="DC49" s="33" t="n">
        <f aca="false">$E49*MAX(0,(MIN(In_PB_Release,DC$4)-MAX($F49,DC$3)+1)/DC$5)</f>
        <v>0</v>
      </c>
      <c r="DD49" s="33" t="n">
        <f aca="false">$E49*MAX(0,(MIN(In_PB_Release,DD$4)-MAX($F49,DD$3)+1)/DD$5)</f>
        <v>0</v>
      </c>
      <c r="DE49" s="33" t="n">
        <f aca="false">$E49*MAX(0,(MIN(In_PB_Release,DE$4)-MAX($F49,DE$3)+1)/DE$5)</f>
        <v>0</v>
      </c>
      <c r="DF49" s="33" t="n">
        <f aca="false">$E49*MAX(0,(MIN(In_PB_Release,DF$4)-MAX($F49,DF$3)+1)/DF$5)</f>
        <v>0</v>
      </c>
      <c r="DG49" s="33" t="n">
        <f aca="false">$E49*MAX(0,(MIN(In_PB_Release,DG$4)-MAX($F49,DG$3)+1)/DG$5)</f>
        <v>0</v>
      </c>
      <c r="DH49" s="33" t="n">
        <f aca="false">$E49*MAX(0,(MIN(In_PB_Release,DH$4)-MAX($F49,DH$3)+1)/DH$5)</f>
        <v>0</v>
      </c>
      <c r="DI49" s="33" t="n">
        <f aca="false">$E49*MAX(0,(MIN(In_PB_Release,DI$4)-MAX($F49,DI$3)+1)/DI$5)</f>
        <v>0</v>
      </c>
      <c r="DJ49" s="33" t="n">
        <f aca="false">$E49*MAX(0,(MIN(In_PB_Release,DJ$4)-MAX($F49,DJ$3)+1)/DJ$5)</f>
        <v>0</v>
      </c>
      <c r="DK49" s="33" t="n">
        <f aca="false">$E49*MAX(0,(MIN(In_PB_Release,DK$4)-MAX($F49,DK$3)+1)/DK$5)</f>
        <v>0</v>
      </c>
      <c r="DL49" s="33" t="n">
        <f aca="false">$E49*MAX(0,(MIN(In_PB_Release,DL$4)-MAX($F49,DL$3)+1)/DL$5)</f>
        <v>0</v>
      </c>
      <c r="DM49" s="33" t="n">
        <f aca="false">$E49*MAX(0,(MIN(In_PB_Release,DM$4)-MAX($F49,DM$3)+1)/DM$5)</f>
        <v>0</v>
      </c>
      <c r="DN49" s="33" t="n">
        <f aca="false">$E49*MAX(0,(MIN(In_PB_Release,DN$4)-MAX($F49,DN$3)+1)/DN$5)</f>
        <v>0</v>
      </c>
      <c r="DO49" s="33" t="n">
        <f aca="false">$E49*MAX(0,(MIN(In_PB_Release,DO$4)-MAX($F49,DO$3)+1)/DO$5)</f>
        <v>0</v>
      </c>
      <c r="DP49" s="33" t="n">
        <f aca="false">$E49*MAX(0,(MIN(In_PB_Release,DP$4)-MAX($F49,DP$3)+1)/DP$5)</f>
        <v>0</v>
      </c>
      <c r="DQ49" s="33" t="n">
        <f aca="false">$E49*MAX(0,(MIN(In_PB_Release,DQ$4)-MAX($F49,DQ$3)+1)/DQ$5)</f>
        <v>0</v>
      </c>
      <c r="DR49" s="33" t="n">
        <f aca="false">$E49*MAX(0,(MIN(In_PB_Release,DR$4)-MAX($F49,DR$3)+1)/DR$5)</f>
        <v>0</v>
      </c>
      <c r="DS49" s="33" t="n">
        <f aca="false">$E49*MAX(0,(MIN(In_PB_Release,DS$4)-MAX($F49,DS$3)+1)/DS$5)</f>
        <v>0</v>
      </c>
      <c r="DT49" s="33" t="n">
        <f aca="false">$E49*MAX(0,(MIN(In_PB_Release,DT$4)-MAX($F49,DT$3)+1)/DT$5)</f>
        <v>0</v>
      </c>
      <c r="DU49" s="33" t="n">
        <f aca="false">$E49*MAX(0,(MIN(In_PB_Release,DU$4)-MAX($F49,DU$3)+1)/DU$5)</f>
        <v>0</v>
      </c>
      <c r="DV49" s="33" t="n">
        <f aca="false">$E49*MAX(0,(MIN(In_PB_Release,DV$4)-MAX($F49,DV$3)+1)/DV$5)</f>
        <v>0</v>
      </c>
      <c r="DW49" s="33" t="n">
        <f aca="false">$E49*MAX(0,(MIN(In_PB_Release,DW$4)-MAX($F49,DW$3)+1)/DW$5)</f>
        <v>0</v>
      </c>
      <c r="DX49" s="33" t="n">
        <f aca="false">$E49*MAX(0,(MIN(In_PB_Release,DX$4)-MAX($F49,DX$3)+1)/DX$5)</f>
        <v>0</v>
      </c>
      <c r="DY49" s="33" t="n">
        <f aca="false">$E49*MAX(0,(MIN(In_PB_Release,DY$4)-MAX($F49,DY$3)+1)/DY$5)</f>
        <v>0</v>
      </c>
      <c r="DZ49" s="33" t="n">
        <f aca="false">$E49*MAX(0,(MIN(In_PB_Release,DZ$4)-MAX($F49,DZ$3)+1)/DZ$5)</f>
        <v>0</v>
      </c>
      <c r="EA49" s="33" t="n">
        <f aca="false">$E49*MAX(0,(MIN(In_PB_Release,EA$4)-MAX($F49,EA$3)+1)/EA$5)</f>
        <v>0</v>
      </c>
      <c r="EB49" s="33" t="n">
        <f aca="false">$E49*MAX(0,(MIN(In_PB_Release,EB$4)-MAX($F49,EB$3)+1)/EB$5)</f>
        <v>0</v>
      </c>
      <c r="EC49" s="33" t="n">
        <f aca="false">$E49*MAX(0,(MIN(In_PB_Release,EC$4)-MAX($F49,EC$3)+1)/EC$5)</f>
        <v>0</v>
      </c>
      <c r="ED49" s="33" t="n">
        <f aca="false">$E49*MAX(0,(MIN(In_PB_Release,ED$4)-MAX($F49,ED$3)+1)/ED$5)</f>
        <v>0</v>
      </c>
      <c r="EE49" s="33" t="n">
        <f aca="false">$E49*MAX(0,(MIN(In_PB_Release,EE$4)-MAX($F49,EE$3)+1)/EE$5)</f>
        <v>0</v>
      </c>
      <c r="EF49" s="33" t="n">
        <f aca="false">$E49*MAX(0,(MIN(In_PB_Release,EF$4)-MAX($F49,EF$3)+1)/EF$5)</f>
        <v>0</v>
      </c>
      <c r="EG49" s="33" t="n">
        <f aca="false">$E49*MAX(0,(MIN(In_PB_Release,EG$4)-MAX($F49,EG$3)+1)/EG$5)</f>
        <v>0</v>
      </c>
      <c r="EH49" s="33" t="n">
        <f aca="false">$E49*MAX(0,(MIN(In_PB_Release,EH$4)-MAX($F49,EH$3)+1)/EH$5)</f>
        <v>0</v>
      </c>
      <c r="EI49" s="33" t="n">
        <f aca="false">$E49*MAX(0,(MIN(In_PB_Release,EI$4)-MAX($F49,EI$3)+1)/EI$5)</f>
        <v>0</v>
      </c>
      <c r="EJ49" s="33" t="n">
        <f aca="false">$E49*MAX(0,(MIN(In_PB_Release,EJ$4)-MAX($F49,EJ$3)+1)/EJ$5)</f>
        <v>0</v>
      </c>
      <c r="EK49" s="33" t="n">
        <f aca="false">$E49*MAX(0,(MIN(In_PB_Release,EK$4)-MAX($F49,EK$3)+1)/EK$5)</f>
        <v>0</v>
      </c>
      <c r="EL49" s="33" t="n">
        <f aca="false">$E49*MAX(0,(MIN(In_PB_Release,EL$4)-MAX($F49,EL$3)+1)/EL$5)</f>
        <v>0</v>
      </c>
      <c r="EM49" s="33" t="n">
        <f aca="false">$E49*MAX(0,(MIN(In_PB_Release,EM$4)-MAX($F49,EM$3)+1)/EM$5)</f>
        <v>0</v>
      </c>
      <c r="EN49" s="33" t="n">
        <f aca="false">$E49*MAX(0,(MIN(In_PB_Release,EN$4)-MAX($F49,EN$3)+1)/EN$5)</f>
        <v>0</v>
      </c>
      <c r="EO49" s="33" t="n">
        <f aca="false">$E49*MAX(0,(MIN(In_PB_Release,EO$4)-MAX($F49,EO$3)+1)/EO$5)</f>
        <v>0</v>
      </c>
      <c r="EP49" s="33" t="n">
        <f aca="false">$E49*MAX(0,(MIN(In_PB_Release,EP$4)-MAX($F49,EP$3)+1)/EP$5)</f>
        <v>0</v>
      </c>
      <c r="EQ49" s="33" t="n">
        <f aca="false">$E49*MAX(0,(MIN(In_PB_Release,EQ$4)-MAX($F49,EQ$3)+1)/EQ$5)</f>
        <v>0</v>
      </c>
      <c r="ER49" s="33" t="n">
        <f aca="false">$E49*MAX(0,(MIN(In_PB_Release,ER$4)-MAX($F49,ER$3)+1)/ER$5)</f>
        <v>0</v>
      </c>
      <c r="ES49" s="33" t="n">
        <f aca="false">$E49*MAX(0,(MIN(In_PB_Release,ES$4)-MAX($F49,ES$3)+1)/ES$5)</f>
        <v>0</v>
      </c>
      <c r="ET49" s="33" t="n">
        <f aca="false">$E49*MAX(0,(MIN(In_PB_Release,ET$4)-MAX($F49,ET$3)+1)/ET$5)</f>
        <v>0</v>
      </c>
    </row>
    <row r="50" customFormat="false" ht="15" hidden="false" customHeight="false" outlineLevel="0" collapsed="false">
      <c r="C50" s="0" t="s">
        <v>519</v>
      </c>
      <c r="D50" s="11" t="s">
        <v>253</v>
      </c>
      <c r="E50" s="33" t="n">
        <f aca="false">In_TSO_Security*In_MVA*Thousand/In_FX</f>
        <v>1232.87671232877</v>
      </c>
      <c r="F50" s="27" t="n">
        <f aca="false">In_TSO_Date</f>
        <v>46386</v>
      </c>
      <c r="I50" s="33" t="n">
        <f aca="false">SUM(J50:ET50)</f>
        <v>-1232.87671232877</v>
      </c>
      <c r="J50" s="33" t="n">
        <f aca="false">-$E50*N(AND(J$3&lt;=$F50,J$4&gt;=$F50))</f>
        <v>-0</v>
      </c>
      <c r="K50" s="33" t="n">
        <f aca="false">-$E50*N(AND(K$3&lt;=$F50,K$4&gt;=$F50))</f>
        <v>-1232.87671232877</v>
      </c>
      <c r="L50" s="33" t="n">
        <f aca="false">-$E50*N(AND(L$3&lt;=$F50,L$4&gt;=$F50))</f>
        <v>-0</v>
      </c>
      <c r="M50" s="33" t="n">
        <f aca="false">-$E50*N(AND(M$3&lt;=$F50,M$4&gt;=$F50))</f>
        <v>-0</v>
      </c>
      <c r="N50" s="33" t="n">
        <f aca="false">-$E50*N(AND(N$3&lt;=$F50,N$4&gt;=$F50))</f>
        <v>-0</v>
      </c>
      <c r="O50" s="33" t="n">
        <f aca="false">-$E50*N(AND(O$3&lt;=$F50,O$4&gt;=$F50))</f>
        <v>-0</v>
      </c>
      <c r="P50" s="33" t="n">
        <f aca="false">-$E50*N(AND(P$3&lt;=$F50,P$4&gt;=$F50))</f>
        <v>-0</v>
      </c>
      <c r="Q50" s="33" t="n">
        <f aca="false">-$E50*N(AND(Q$3&lt;=$F50,Q$4&gt;=$F50))</f>
        <v>-0</v>
      </c>
      <c r="R50" s="33" t="n">
        <f aca="false">-$E50*N(AND(R$3&lt;=$F50,R$4&gt;=$F50))</f>
        <v>-0</v>
      </c>
      <c r="S50" s="33" t="n">
        <f aca="false">-$E50*N(AND(S$3&lt;=$F50,S$4&gt;=$F50))</f>
        <v>-0</v>
      </c>
      <c r="T50" s="33" t="n">
        <f aca="false">-$E50*N(AND(T$3&lt;=$F50,T$4&gt;=$F50))</f>
        <v>-0</v>
      </c>
      <c r="U50" s="33" t="n">
        <f aca="false">-$E50*N(AND(U$3&lt;=$F50,U$4&gt;=$F50))</f>
        <v>-0</v>
      </c>
      <c r="V50" s="33" t="n">
        <f aca="false">-$E50*N(AND(V$3&lt;=$F50,V$4&gt;=$F50))</f>
        <v>-0</v>
      </c>
      <c r="W50" s="33" t="n">
        <f aca="false">-$E50*N(AND(W$3&lt;=$F50,W$4&gt;=$F50))</f>
        <v>-0</v>
      </c>
      <c r="X50" s="33" t="n">
        <f aca="false">-$E50*N(AND(X$3&lt;=$F50,X$4&gt;=$F50))</f>
        <v>-0</v>
      </c>
      <c r="Y50" s="33" t="n">
        <f aca="false">-$E50*N(AND(Y$3&lt;=$F50,Y$4&gt;=$F50))</f>
        <v>-0</v>
      </c>
      <c r="Z50" s="33" t="n">
        <f aca="false">-$E50*N(AND(Z$3&lt;=$F50,Z$4&gt;=$F50))</f>
        <v>-0</v>
      </c>
      <c r="AA50" s="33" t="n">
        <f aca="false">-$E50*N(AND(AA$3&lt;=$F50,AA$4&gt;=$F50))</f>
        <v>-0</v>
      </c>
      <c r="AB50" s="33" t="n">
        <f aca="false">-$E50*N(AND(AB$3&lt;=$F50,AB$4&gt;=$F50))</f>
        <v>-0</v>
      </c>
      <c r="AC50" s="33" t="n">
        <f aca="false">-$E50*N(AND(AC$3&lt;=$F50,AC$4&gt;=$F50))</f>
        <v>-0</v>
      </c>
      <c r="AD50" s="33" t="n">
        <f aca="false">-$E50*N(AND(AD$3&lt;=$F50,AD$4&gt;=$F50))</f>
        <v>-0</v>
      </c>
      <c r="AE50" s="33" t="n">
        <f aca="false">-$E50*N(AND(AE$3&lt;=$F50,AE$4&gt;=$F50))</f>
        <v>-0</v>
      </c>
      <c r="AF50" s="33" t="n">
        <f aca="false">-$E50*N(AND(AF$3&lt;=$F50,AF$4&gt;=$F50))</f>
        <v>-0</v>
      </c>
      <c r="AG50" s="33" t="n">
        <f aca="false">-$E50*N(AND(AG$3&lt;=$F50,AG$4&gt;=$F50))</f>
        <v>-0</v>
      </c>
      <c r="AH50" s="33" t="n">
        <f aca="false">-$E50*N(AND(AH$3&lt;=$F50,AH$4&gt;=$F50))</f>
        <v>-0</v>
      </c>
      <c r="AI50" s="33" t="n">
        <f aca="false">-$E50*N(AND(AI$3&lt;=$F50,AI$4&gt;=$F50))</f>
        <v>-0</v>
      </c>
      <c r="AJ50" s="33" t="n">
        <f aca="false">-$E50*N(AND(AJ$3&lt;=$F50,AJ$4&gt;=$F50))</f>
        <v>-0</v>
      </c>
      <c r="AK50" s="33" t="n">
        <f aca="false">-$E50*N(AND(AK$3&lt;=$F50,AK$4&gt;=$F50))</f>
        <v>-0</v>
      </c>
      <c r="AL50" s="33" t="n">
        <f aca="false">-$E50*N(AND(AL$3&lt;=$F50,AL$4&gt;=$F50))</f>
        <v>-0</v>
      </c>
      <c r="AM50" s="33" t="n">
        <f aca="false">-$E50*N(AND(AM$3&lt;=$F50,AM$4&gt;=$F50))</f>
        <v>-0</v>
      </c>
      <c r="AN50" s="33" t="n">
        <f aca="false">-$E50*N(AND(AN$3&lt;=$F50,AN$4&gt;=$F50))</f>
        <v>-0</v>
      </c>
      <c r="AO50" s="33" t="n">
        <f aca="false">-$E50*N(AND(AO$3&lt;=$F50,AO$4&gt;=$F50))</f>
        <v>-0</v>
      </c>
      <c r="AP50" s="33" t="n">
        <f aca="false">-$E50*N(AND(AP$3&lt;=$F50,AP$4&gt;=$F50))</f>
        <v>-0</v>
      </c>
      <c r="AQ50" s="33" t="n">
        <f aca="false">-$E50*N(AND(AQ$3&lt;=$F50,AQ$4&gt;=$F50))</f>
        <v>-0</v>
      </c>
      <c r="AR50" s="33" t="n">
        <f aca="false">-$E50*N(AND(AR$3&lt;=$F50,AR$4&gt;=$F50))</f>
        <v>-0</v>
      </c>
      <c r="AS50" s="33" t="n">
        <f aca="false">-$E50*N(AND(AS$3&lt;=$F50,AS$4&gt;=$F50))</f>
        <v>-0</v>
      </c>
      <c r="AT50" s="33" t="n">
        <f aca="false">-$E50*N(AND(AT$3&lt;=$F50,AT$4&gt;=$F50))</f>
        <v>-0</v>
      </c>
      <c r="AU50" s="33" t="n">
        <f aca="false">-$E50*N(AND(AU$3&lt;=$F50,AU$4&gt;=$F50))</f>
        <v>-0</v>
      </c>
      <c r="AV50" s="33" t="n">
        <f aca="false">-$E50*N(AND(AV$3&lt;=$F50,AV$4&gt;=$F50))</f>
        <v>-0</v>
      </c>
      <c r="AW50" s="33" t="n">
        <f aca="false">-$E50*N(AND(AW$3&lt;=$F50,AW$4&gt;=$F50))</f>
        <v>-0</v>
      </c>
      <c r="AX50" s="33" t="n">
        <f aca="false">-$E50*N(AND(AX$3&lt;=$F50,AX$4&gt;=$F50))</f>
        <v>-0</v>
      </c>
      <c r="AY50" s="33" t="n">
        <f aca="false">-$E50*N(AND(AY$3&lt;=$F50,AY$4&gt;=$F50))</f>
        <v>-0</v>
      </c>
      <c r="AZ50" s="33" t="n">
        <f aca="false">-$E50*N(AND(AZ$3&lt;=$F50,AZ$4&gt;=$F50))</f>
        <v>-0</v>
      </c>
      <c r="BA50" s="33" t="n">
        <f aca="false">-$E50*N(AND(BA$3&lt;=$F50,BA$4&gt;=$F50))</f>
        <v>-0</v>
      </c>
      <c r="BB50" s="33" t="n">
        <f aca="false">-$E50*N(AND(BB$3&lt;=$F50,BB$4&gt;=$F50))</f>
        <v>-0</v>
      </c>
      <c r="BC50" s="33" t="n">
        <f aca="false">-$E50*N(AND(BC$3&lt;=$F50,BC$4&gt;=$F50))</f>
        <v>-0</v>
      </c>
      <c r="BD50" s="33" t="n">
        <f aca="false">-$E50*N(AND(BD$3&lt;=$F50,BD$4&gt;=$F50))</f>
        <v>-0</v>
      </c>
      <c r="BE50" s="33" t="n">
        <f aca="false">-$E50*N(AND(BE$3&lt;=$F50,BE$4&gt;=$F50))</f>
        <v>-0</v>
      </c>
      <c r="BF50" s="33" t="n">
        <f aca="false">-$E50*N(AND(BF$3&lt;=$F50,BF$4&gt;=$F50))</f>
        <v>-0</v>
      </c>
      <c r="BG50" s="33" t="n">
        <f aca="false">-$E50*N(AND(BG$3&lt;=$F50,BG$4&gt;=$F50))</f>
        <v>-0</v>
      </c>
      <c r="BH50" s="33" t="n">
        <f aca="false">-$E50*N(AND(BH$3&lt;=$F50,BH$4&gt;=$F50))</f>
        <v>-0</v>
      </c>
      <c r="BI50" s="33" t="n">
        <f aca="false">-$E50*N(AND(BI$3&lt;=$F50,BI$4&gt;=$F50))</f>
        <v>-0</v>
      </c>
      <c r="BJ50" s="33" t="n">
        <f aca="false">-$E50*N(AND(BJ$3&lt;=$F50,BJ$4&gt;=$F50))</f>
        <v>-0</v>
      </c>
      <c r="BK50" s="33" t="n">
        <f aca="false">-$E50*N(AND(BK$3&lt;=$F50,BK$4&gt;=$F50))</f>
        <v>-0</v>
      </c>
      <c r="BL50" s="33" t="n">
        <f aca="false">-$E50*N(AND(BL$3&lt;=$F50,BL$4&gt;=$F50))</f>
        <v>-0</v>
      </c>
      <c r="BM50" s="33" t="n">
        <f aca="false">-$E50*N(AND(BM$3&lt;=$F50,BM$4&gt;=$F50))</f>
        <v>-0</v>
      </c>
      <c r="BN50" s="33" t="n">
        <f aca="false">-$E50*N(AND(BN$3&lt;=$F50,BN$4&gt;=$F50))</f>
        <v>-0</v>
      </c>
      <c r="BO50" s="33" t="n">
        <f aca="false">-$E50*N(AND(BO$3&lt;=$F50,BO$4&gt;=$F50))</f>
        <v>-0</v>
      </c>
      <c r="BP50" s="33" t="n">
        <f aca="false">-$E50*N(AND(BP$3&lt;=$F50,BP$4&gt;=$F50))</f>
        <v>-0</v>
      </c>
      <c r="BQ50" s="33" t="n">
        <f aca="false">-$E50*N(AND(BQ$3&lt;=$F50,BQ$4&gt;=$F50))</f>
        <v>-0</v>
      </c>
      <c r="BR50" s="33" t="n">
        <f aca="false">-$E50*N(AND(BR$3&lt;=$F50,BR$4&gt;=$F50))</f>
        <v>-0</v>
      </c>
      <c r="BS50" s="33" t="n">
        <f aca="false">-$E50*N(AND(BS$3&lt;=$F50,BS$4&gt;=$F50))</f>
        <v>-0</v>
      </c>
      <c r="BT50" s="33" t="n">
        <f aca="false">-$E50*N(AND(BT$3&lt;=$F50,BT$4&gt;=$F50))</f>
        <v>-0</v>
      </c>
      <c r="BU50" s="33" t="n">
        <f aca="false">-$E50*N(AND(BU$3&lt;=$F50,BU$4&gt;=$F50))</f>
        <v>-0</v>
      </c>
      <c r="BV50" s="33" t="n">
        <f aca="false">-$E50*N(AND(BV$3&lt;=$F50,BV$4&gt;=$F50))</f>
        <v>-0</v>
      </c>
      <c r="BW50" s="33" t="n">
        <f aca="false">-$E50*N(AND(BW$3&lt;=$F50,BW$4&gt;=$F50))</f>
        <v>-0</v>
      </c>
      <c r="BX50" s="33" t="n">
        <f aca="false">-$E50*N(AND(BX$3&lt;=$F50,BX$4&gt;=$F50))</f>
        <v>-0</v>
      </c>
      <c r="BY50" s="33" t="n">
        <f aca="false">-$E50*N(AND(BY$3&lt;=$F50,BY$4&gt;=$F50))</f>
        <v>-0</v>
      </c>
      <c r="BZ50" s="33" t="n">
        <f aca="false">-$E50*N(AND(BZ$3&lt;=$F50,BZ$4&gt;=$F50))</f>
        <v>-0</v>
      </c>
      <c r="CA50" s="33" t="n">
        <f aca="false">-$E50*N(AND(CA$3&lt;=$F50,CA$4&gt;=$F50))</f>
        <v>-0</v>
      </c>
      <c r="CB50" s="33" t="n">
        <f aca="false">-$E50*N(AND(CB$3&lt;=$F50,CB$4&gt;=$F50))</f>
        <v>-0</v>
      </c>
      <c r="CC50" s="33" t="n">
        <f aca="false">-$E50*N(AND(CC$3&lt;=$F50,CC$4&gt;=$F50))</f>
        <v>-0</v>
      </c>
      <c r="CD50" s="33" t="n">
        <f aca="false">-$E50*N(AND(CD$3&lt;=$F50,CD$4&gt;=$F50))</f>
        <v>-0</v>
      </c>
      <c r="CE50" s="33" t="n">
        <f aca="false">-$E50*N(AND(CE$3&lt;=$F50,CE$4&gt;=$F50))</f>
        <v>-0</v>
      </c>
      <c r="CF50" s="33" t="n">
        <f aca="false">-$E50*N(AND(CF$3&lt;=$F50,CF$4&gt;=$F50))</f>
        <v>-0</v>
      </c>
      <c r="CG50" s="33" t="n">
        <f aca="false">-$E50*N(AND(CG$3&lt;=$F50,CG$4&gt;=$F50))</f>
        <v>-0</v>
      </c>
      <c r="CH50" s="33" t="n">
        <f aca="false">-$E50*N(AND(CH$3&lt;=$F50,CH$4&gt;=$F50))</f>
        <v>-0</v>
      </c>
      <c r="CI50" s="33" t="n">
        <f aca="false">-$E50*N(AND(CI$3&lt;=$F50,CI$4&gt;=$F50))</f>
        <v>-0</v>
      </c>
      <c r="CJ50" s="33" t="n">
        <f aca="false">-$E50*N(AND(CJ$3&lt;=$F50,CJ$4&gt;=$F50))</f>
        <v>-0</v>
      </c>
      <c r="CK50" s="33" t="n">
        <f aca="false">-$E50*N(AND(CK$3&lt;=$F50,CK$4&gt;=$F50))</f>
        <v>-0</v>
      </c>
      <c r="CL50" s="33" t="n">
        <f aca="false">-$E50*N(AND(CL$3&lt;=$F50,CL$4&gt;=$F50))</f>
        <v>-0</v>
      </c>
      <c r="CM50" s="33" t="n">
        <f aca="false">-$E50*N(AND(CM$3&lt;=$F50,CM$4&gt;=$F50))</f>
        <v>-0</v>
      </c>
      <c r="CN50" s="33" t="n">
        <f aca="false">-$E50*N(AND(CN$3&lt;=$F50,CN$4&gt;=$F50))</f>
        <v>-0</v>
      </c>
      <c r="CO50" s="33" t="n">
        <f aca="false">-$E50*N(AND(CO$3&lt;=$F50,CO$4&gt;=$F50))</f>
        <v>-0</v>
      </c>
      <c r="CP50" s="33" t="n">
        <f aca="false">-$E50*N(AND(CP$3&lt;=$F50,CP$4&gt;=$F50))</f>
        <v>-0</v>
      </c>
      <c r="CQ50" s="33" t="n">
        <f aca="false">-$E50*N(AND(CQ$3&lt;=$F50,CQ$4&gt;=$F50))</f>
        <v>-0</v>
      </c>
      <c r="CR50" s="33" t="n">
        <f aca="false">-$E50*N(AND(CR$3&lt;=$F50,CR$4&gt;=$F50))</f>
        <v>-0</v>
      </c>
      <c r="CS50" s="33" t="n">
        <f aca="false">-$E50*N(AND(CS$3&lt;=$F50,CS$4&gt;=$F50))</f>
        <v>-0</v>
      </c>
      <c r="CT50" s="33" t="n">
        <f aca="false">-$E50*N(AND(CT$3&lt;=$F50,CT$4&gt;=$F50))</f>
        <v>-0</v>
      </c>
      <c r="CU50" s="33" t="n">
        <f aca="false">-$E50*N(AND(CU$3&lt;=$F50,CU$4&gt;=$F50))</f>
        <v>-0</v>
      </c>
      <c r="CV50" s="33" t="n">
        <f aca="false">-$E50*N(AND(CV$3&lt;=$F50,CV$4&gt;=$F50))</f>
        <v>-0</v>
      </c>
      <c r="CW50" s="33" t="n">
        <f aca="false">-$E50*N(AND(CW$3&lt;=$F50,CW$4&gt;=$F50))</f>
        <v>-0</v>
      </c>
      <c r="CX50" s="33" t="n">
        <f aca="false">-$E50*N(AND(CX$3&lt;=$F50,CX$4&gt;=$F50))</f>
        <v>-0</v>
      </c>
      <c r="CY50" s="33" t="n">
        <f aca="false">-$E50*N(AND(CY$3&lt;=$F50,CY$4&gt;=$F50))</f>
        <v>-0</v>
      </c>
      <c r="CZ50" s="33" t="n">
        <f aca="false">-$E50*N(AND(CZ$3&lt;=$F50,CZ$4&gt;=$F50))</f>
        <v>-0</v>
      </c>
      <c r="DA50" s="33" t="n">
        <f aca="false">-$E50*N(AND(DA$3&lt;=$F50,DA$4&gt;=$F50))</f>
        <v>-0</v>
      </c>
      <c r="DB50" s="33" t="n">
        <f aca="false">-$E50*N(AND(DB$3&lt;=$F50,DB$4&gt;=$F50))</f>
        <v>-0</v>
      </c>
      <c r="DC50" s="33" t="n">
        <f aca="false">-$E50*N(AND(DC$3&lt;=$F50,DC$4&gt;=$F50))</f>
        <v>-0</v>
      </c>
      <c r="DD50" s="33" t="n">
        <f aca="false">-$E50*N(AND(DD$3&lt;=$F50,DD$4&gt;=$F50))</f>
        <v>-0</v>
      </c>
      <c r="DE50" s="33" t="n">
        <f aca="false">-$E50*N(AND(DE$3&lt;=$F50,DE$4&gt;=$F50))</f>
        <v>-0</v>
      </c>
      <c r="DF50" s="33" t="n">
        <f aca="false">-$E50*N(AND(DF$3&lt;=$F50,DF$4&gt;=$F50))</f>
        <v>-0</v>
      </c>
      <c r="DG50" s="33" t="n">
        <f aca="false">-$E50*N(AND(DG$3&lt;=$F50,DG$4&gt;=$F50))</f>
        <v>-0</v>
      </c>
      <c r="DH50" s="33" t="n">
        <f aca="false">-$E50*N(AND(DH$3&lt;=$F50,DH$4&gt;=$F50))</f>
        <v>-0</v>
      </c>
      <c r="DI50" s="33" t="n">
        <f aca="false">-$E50*N(AND(DI$3&lt;=$F50,DI$4&gt;=$F50))</f>
        <v>-0</v>
      </c>
      <c r="DJ50" s="33" t="n">
        <f aca="false">-$E50*N(AND(DJ$3&lt;=$F50,DJ$4&gt;=$F50))</f>
        <v>-0</v>
      </c>
      <c r="DK50" s="33" t="n">
        <f aca="false">-$E50*N(AND(DK$3&lt;=$F50,DK$4&gt;=$F50))</f>
        <v>-0</v>
      </c>
      <c r="DL50" s="33" t="n">
        <f aca="false">-$E50*N(AND(DL$3&lt;=$F50,DL$4&gt;=$F50))</f>
        <v>-0</v>
      </c>
      <c r="DM50" s="33" t="n">
        <f aca="false">-$E50*N(AND(DM$3&lt;=$F50,DM$4&gt;=$F50))</f>
        <v>-0</v>
      </c>
      <c r="DN50" s="33" t="n">
        <f aca="false">-$E50*N(AND(DN$3&lt;=$F50,DN$4&gt;=$F50))</f>
        <v>-0</v>
      </c>
      <c r="DO50" s="33" t="n">
        <f aca="false">-$E50*N(AND(DO$3&lt;=$F50,DO$4&gt;=$F50))</f>
        <v>-0</v>
      </c>
      <c r="DP50" s="33" t="n">
        <f aca="false">-$E50*N(AND(DP$3&lt;=$F50,DP$4&gt;=$F50))</f>
        <v>-0</v>
      </c>
      <c r="DQ50" s="33" t="n">
        <f aca="false">-$E50*N(AND(DQ$3&lt;=$F50,DQ$4&gt;=$F50))</f>
        <v>-0</v>
      </c>
      <c r="DR50" s="33" t="n">
        <f aca="false">-$E50*N(AND(DR$3&lt;=$F50,DR$4&gt;=$F50))</f>
        <v>-0</v>
      </c>
      <c r="DS50" s="33" t="n">
        <f aca="false">-$E50*N(AND(DS$3&lt;=$F50,DS$4&gt;=$F50))</f>
        <v>-0</v>
      </c>
      <c r="DT50" s="33" t="n">
        <f aca="false">-$E50*N(AND(DT$3&lt;=$F50,DT$4&gt;=$F50))</f>
        <v>-0</v>
      </c>
      <c r="DU50" s="33" t="n">
        <f aca="false">-$E50*N(AND(DU$3&lt;=$F50,DU$4&gt;=$F50))</f>
        <v>-0</v>
      </c>
      <c r="DV50" s="33" t="n">
        <f aca="false">-$E50*N(AND(DV$3&lt;=$F50,DV$4&gt;=$F50))</f>
        <v>-0</v>
      </c>
      <c r="DW50" s="33" t="n">
        <f aca="false">-$E50*N(AND(DW$3&lt;=$F50,DW$4&gt;=$F50))</f>
        <v>-0</v>
      </c>
      <c r="DX50" s="33" t="n">
        <f aca="false">-$E50*N(AND(DX$3&lt;=$F50,DX$4&gt;=$F50))</f>
        <v>-0</v>
      </c>
      <c r="DY50" s="33" t="n">
        <f aca="false">-$E50*N(AND(DY$3&lt;=$F50,DY$4&gt;=$F50))</f>
        <v>-0</v>
      </c>
      <c r="DZ50" s="33" t="n">
        <f aca="false">-$E50*N(AND(DZ$3&lt;=$F50,DZ$4&gt;=$F50))</f>
        <v>-0</v>
      </c>
      <c r="EA50" s="33" t="n">
        <f aca="false">-$E50*N(AND(EA$3&lt;=$F50,EA$4&gt;=$F50))</f>
        <v>-0</v>
      </c>
      <c r="EB50" s="33" t="n">
        <f aca="false">-$E50*N(AND(EB$3&lt;=$F50,EB$4&gt;=$F50))</f>
        <v>-0</v>
      </c>
      <c r="EC50" s="33" t="n">
        <f aca="false">-$E50*N(AND(EC$3&lt;=$F50,EC$4&gt;=$F50))</f>
        <v>-0</v>
      </c>
      <c r="ED50" s="33" t="n">
        <f aca="false">-$E50*N(AND(ED$3&lt;=$F50,ED$4&gt;=$F50))</f>
        <v>-0</v>
      </c>
      <c r="EE50" s="33" t="n">
        <f aca="false">-$E50*N(AND(EE$3&lt;=$F50,EE$4&gt;=$F50))</f>
        <v>-0</v>
      </c>
      <c r="EF50" s="33" t="n">
        <f aca="false">-$E50*N(AND(EF$3&lt;=$F50,EF$4&gt;=$F50))</f>
        <v>-0</v>
      </c>
      <c r="EG50" s="33" t="n">
        <f aca="false">-$E50*N(AND(EG$3&lt;=$F50,EG$4&gt;=$F50))</f>
        <v>-0</v>
      </c>
      <c r="EH50" s="33" t="n">
        <f aca="false">-$E50*N(AND(EH$3&lt;=$F50,EH$4&gt;=$F50))</f>
        <v>-0</v>
      </c>
      <c r="EI50" s="33" t="n">
        <f aca="false">-$E50*N(AND(EI$3&lt;=$F50,EI$4&gt;=$F50))</f>
        <v>-0</v>
      </c>
      <c r="EJ50" s="33" t="n">
        <f aca="false">-$E50*N(AND(EJ$3&lt;=$F50,EJ$4&gt;=$F50))</f>
        <v>-0</v>
      </c>
      <c r="EK50" s="33" t="n">
        <f aca="false">-$E50*N(AND(EK$3&lt;=$F50,EK$4&gt;=$F50))</f>
        <v>-0</v>
      </c>
      <c r="EL50" s="33" t="n">
        <f aca="false">-$E50*N(AND(EL$3&lt;=$F50,EL$4&gt;=$F50))</f>
        <v>-0</v>
      </c>
      <c r="EM50" s="33" t="n">
        <f aca="false">-$E50*N(AND(EM$3&lt;=$F50,EM$4&gt;=$F50))</f>
        <v>-0</v>
      </c>
      <c r="EN50" s="33" t="n">
        <f aca="false">-$E50*N(AND(EN$3&lt;=$F50,EN$4&gt;=$F50))</f>
        <v>-0</v>
      </c>
      <c r="EO50" s="33" t="n">
        <f aca="false">-$E50*N(AND(EO$3&lt;=$F50,EO$4&gt;=$F50))</f>
        <v>-0</v>
      </c>
      <c r="EP50" s="33" t="n">
        <f aca="false">-$E50*N(AND(EP$3&lt;=$F50,EP$4&gt;=$F50))</f>
        <v>-0</v>
      </c>
      <c r="EQ50" s="33" t="n">
        <f aca="false">-$E50*N(AND(EQ$3&lt;=$F50,EQ$4&gt;=$F50))</f>
        <v>-0</v>
      </c>
      <c r="ER50" s="33" t="n">
        <f aca="false">-$E50*N(AND(ER$3&lt;=$F50,ER$4&gt;=$F50))</f>
        <v>-0</v>
      </c>
      <c r="ES50" s="33" t="n">
        <f aca="false">-$E50*N(AND(ES$3&lt;=$F50,ES$4&gt;=$F50))</f>
        <v>-0</v>
      </c>
      <c r="ET50" s="33" t="n">
        <f aca="false">-$E50*N(AND(ET$3&lt;=$F50,ET$4&gt;=$F50))</f>
        <v>-0</v>
      </c>
    </row>
    <row r="51" customFormat="false" ht="15" hidden="false" customHeight="false" outlineLevel="0" collapsed="false">
      <c r="C51" s="0" t="s">
        <v>520</v>
      </c>
      <c r="D51" s="11" t="s">
        <v>253</v>
      </c>
      <c r="E51" s="33" t="n">
        <f aca="false">In_Direct_Fee*Thousand/In_FX</f>
        <v>1392.72823013699</v>
      </c>
      <c r="F51" s="27" t="n">
        <f aca="false">In_HCSSZ_Date</f>
        <v>47126</v>
      </c>
      <c r="I51" s="33" t="n">
        <f aca="false">SUM(J51:ET51)</f>
        <v>-1392.72823013699</v>
      </c>
      <c r="J51" s="33" t="n">
        <f aca="false">-$E51*N(AND(J$3&lt;=$F51,J$4&gt;=$F51))</f>
        <v>-0</v>
      </c>
      <c r="K51" s="33" t="n">
        <f aca="false">-$E51*N(AND(K$3&lt;=$F51,K$4&gt;=$F51))</f>
        <v>-0</v>
      </c>
      <c r="L51" s="33" t="n">
        <f aca="false">-$E51*N(AND(L$3&lt;=$F51,L$4&gt;=$F51))</f>
        <v>-0</v>
      </c>
      <c r="M51" s="33" t="n">
        <f aca="false">-$E51*N(AND(M$3&lt;=$F51,M$4&gt;=$F51))</f>
        <v>-0</v>
      </c>
      <c r="N51" s="33" t="n">
        <f aca="false">-$E51*N(AND(N$3&lt;=$F51,N$4&gt;=$F51))</f>
        <v>-0</v>
      </c>
      <c r="O51" s="33" t="n">
        <f aca="false">-$E51*N(AND(O$3&lt;=$F51,O$4&gt;=$F51))</f>
        <v>-0</v>
      </c>
      <c r="P51" s="33" t="n">
        <f aca="false">-$E51*N(AND(P$3&lt;=$F51,P$4&gt;=$F51))</f>
        <v>-0</v>
      </c>
      <c r="Q51" s="33" t="n">
        <f aca="false">-$E51*N(AND(Q$3&lt;=$F51,Q$4&gt;=$F51))</f>
        <v>-0</v>
      </c>
      <c r="R51" s="33" t="n">
        <f aca="false">-$E51*N(AND(R$3&lt;=$F51,R$4&gt;=$F51))</f>
        <v>-0</v>
      </c>
      <c r="S51" s="33" t="n">
        <f aca="false">-$E51*N(AND(S$3&lt;=$F51,S$4&gt;=$F51))</f>
        <v>-0</v>
      </c>
      <c r="T51" s="33" t="n">
        <f aca="false">-$E51*N(AND(T$3&lt;=$F51,T$4&gt;=$F51))</f>
        <v>-1392.72823013699</v>
      </c>
      <c r="U51" s="33" t="n">
        <f aca="false">-$E51*N(AND(U$3&lt;=$F51,U$4&gt;=$F51))</f>
        <v>-0</v>
      </c>
      <c r="V51" s="33" t="n">
        <f aca="false">-$E51*N(AND(V$3&lt;=$F51,V$4&gt;=$F51))</f>
        <v>-0</v>
      </c>
      <c r="W51" s="33" t="n">
        <f aca="false">-$E51*N(AND(W$3&lt;=$F51,W$4&gt;=$F51))</f>
        <v>-0</v>
      </c>
      <c r="X51" s="33" t="n">
        <f aca="false">-$E51*N(AND(X$3&lt;=$F51,X$4&gt;=$F51))</f>
        <v>-0</v>
      </c>
      <c r="Y51" s="33" t="n">
        <f aca="false">-$E51*N(AND(Y$3&lt;=$F51,Y$4&gt;=$F51))</f>
        <v>-0</v>
      </c>
      <c r="Z51" s="33" t="n">
        <f aca="false">-$E51*N(AND(Z$3&lt;=$F51,Z$4&gt;=$F51))</f>
        <v>-0</v>
      </c>
      <c r="AA51" s="33" t="n">
        <f aca="false">-$E51*N(AND(AA$3&lt;=$F51,AA$4&gt;=$F51))</f>
        <v>-0</v>
      </c>
      <c r="AB51" s="33" t="n">
        <f aca="false">-$E51*N(AND(AB$3&lt;=$F51,AB$4&gt;=$F51))</f>
        <v>-0</v>
      </c>
      <c r="AC51" s="33" t="n">
        <f aca="false">-$E51*N(AND(AC$3&lt;=$F51,AC$4&gt;=$F51))</f>
        <v>-0</v>
      </c>
      <c r="AD51" s="33" t="n">
        <f aca="false">-$E51*N(AND(AD$3&lt;=$F51,AD$4&gt;=$F51))</f>
        <v>-0</v>
      </c>
      <c r="AE51" s="33" t="n">
        <f aca="false">-$E51*N(AND(AE$3&lt;=$F51,AE$4&gt;=$F51))</f>
        <v>-0</v>
      </c>
      <c r="AF51" s="33" t="n">
        <f aca="false">-$E51*N(AND(AF$3&lt;=$F51,AF$4&gt;=$F51))</f>
        <v>-0</v>
      </c>
      <c r="AG51" s="33" t="n">
        <f aca="false">-$E51*N(AND(AG$3&lt;=$F51,AG$4&gt;=$F51))</f>
        <v>-0</v>
      </c>
      <c r="AH51" s="33" t="n">
        <f aca="false">-$E51*N(AND(AH$3&lt;=$F51,AH$4&gt;=$F51))</f>
        <v>-0</v>
      </c>
      <c r="AI51" s="33" t="n">
        <f aca="false">-$E51*N(AND(AI$3&lt;=$F51,AI$4&gt;=$F51))</f>
        <v>-0</v>
      </c>
      <c r="AJ51" s="33" t="n">
        <f aca="false">-$E51*N(AND(AJ$3&lt;=$F51,AJ$4&gt;=$F51))</f>
        <v>-0</v>
      </c>
      <c r="AK51" s="33" t="n">
        <f aca="false">-$E51*N(AND(AK$3&lt;=$F51,AK$4&gt;=$F51))</f>
        <v>-0</v>
      </c>
      <c r="AL51" s="33" t="n">
        <f aca="false">-$E51*N(AND(AL$3&lt;=$F51,AL$4&gt;=$F51))</f>
        <v>-0</v>
      </c>
      <c r="AM51" s="33" t="n">
        <f aca="false">-$E51*N(AND(AM$3&lt;=$F51,AM$4&gt;=$F51))</f>
        <v>-0</v>
      </c>
      <c r="AN51" s="33" t="n">
        <f aca="false">-$E51*N(AND(AN$3&lt;=$F51,AN$4&gt;=$F51))</f>
        <v>-0</v>
      </c>
      <c r="AO51" s="33" t="n">
        <f aca="false">-$E51*N(AND(AO$3&lt;=$F51,AO$4&gt;=$F51))</f>
        <v>-0</v>
      </c>
      <c r="AP51" s="33" t="n">
        <f aca="false">-$E51*N(AND(AP$3&lt;=$F51,AP$4&gt;=$F51))</f>
        <v>-0</v>
      </c>
      <c r="AQ51" s="33" t="n">
        <f aca="false">-$E51*N(AND(AQ$3&lt;=$F51,AQ$4&gt;=$F51))</f>
        <v>-0</v>
      </c>
      <c r="AR51" s="33" t="n">
        <f aca="false">-$E51*N(AND(AR$3&lt;=$F51,AR$4&gt;=$F51))</f>
        <v>-0</v>
      </c>
      <c r="AS51" s="33" t="n">
        <f aca="false">-$E51*N(AND(AS$3&lt;=$F51,AS$4&gt;=$F51))</f>
        <v>-0</v>
      </c>
      <c r="AT51" s="33" t="n">
        <f aca="false">-$E51*N(AND(AT$3&lt;=$F51,AT$4&gt;=$F51))</f>
        <v>-0</v>
      </c>
      <c r="AU51" s="33" t="n">
        <f aca="false">-$E51*N(AND(AU$3&lt;=$F51,AU$4&gt;=$F51))</f>
        <v>-0</v>
      </c>
      <c r="AV51" s="33" t="n">
        <f aca="false">-$E51*N(AND(AV$3&lt;=$F51,AV$4&gt;=$F51))</f>
        <v>-0</v>
      </c>
      <c r="AW51" s="33" t="n">
        <f aca="false">-$E51*N(AND(AW$3&lt;=$F51,AW$4&gt;=$F51))</f>
        <v>-0</v>
      </c>
      <c r="AX51" s="33" t="n">
        <f aca="false">-$E51*N(AND(AX$3&lt;=$F51,AX$4&gt;=$F51))</f>
        <v>-0</v>
      </c>
      <c r="AY51" s="33" t="n">
        <f aca="false">-$E51*N(AND(AY$3&lt;=$F51,AY$4&gt;=$F51))</f>
        <v>-0</v>
      </c>
      <c r="AZ51" s="33" t="n">
        <f aca="false">-$E51*N(AND(AZ$3&lt;=$F51,AZ$4&gt;=$F51))</f>
        <v>-0</v>
      </c>
      <c r="BA51" s="33" t="n">
        <f aca="false">-$E51*N(AND(BA$3&lt;=$F51,BA$4&gt;=$F51))</f>
        <v>-0</v>
      </c>
      <c r="BB51" s="33" t="n">
        <f aca="false">-$E51*N(AND(BB$3&lt;=$F51,BB$4&gt;=$F51))</f>
        <v>-0</v>
      </c>
      <c r="BC51" s="33" t="n">
        <f aca="false">-$E51*N(AND(BC$3&lt;=$F51,BC$4&gt;=$F51))</f>
        <v>-0</v>
      </c>
      <c r="BD51" s="33" t="n">
        <f aca="false">-$E51*N(AND(BD$3&lt;=$F51,BD$4&gt;=$F51))</f>
        <v>-0</v>
      </c>
      <c r="BE51" s="33" t="n">
        <f aca="false">-$E51*N(AND(BE$3&lt;=$F51,BE$4&gt;=$F51))</f>
        <v>-0</v>
      </c>
      <c r="BF51" s="33" t="n">
        <f aca="false">-$E51*N(AND(BF$3&lt;=$F51,BF$4&gt;=$F51))</f>
        <v>-0</v>
      </c>
      <c r="BG51" s="33" t="n">
        <f aca="false">-$E51*N(AND(BG$3&lt;=$F51,BG$4&gt;=$F51))</f>
        <v>-0</v>
      </c>
      <c r="BH51" s="33" t="n">
        <f aca="false">-$E51*N(AND(BH$3&lt;=$F51,BH$4&gt;=$F51))</f>
        <v>-0</v>
      </c>
      <c r="BI51" s="33" t="n">
        <f aca="false">-$E51*N(AND(BI$3&lt;=$F51,BI$4&gt;=$F51))</f>
        <v>-0</v>
      </c>
      <c r="BJ51" s="33" t="n">
        <f aca="false">-$E51*N(AND(BJ$3&lt;=$F51,BJ$4&gt;=$F51))</f>
        <v>-0</v>
      </c>
      <c r="BK51" s="33" t="n">
        <f aca="false">-$E51*N(AND(BK$3&lt;=$F51,BK$4&gt;=$F51))</f>
        <v>-0</v>
      </c>
      <c r="BL51" s="33" t="n">
        <f aca="false">-$E51*N(AND(BL$3&lt;=$F51,BL$4&gt;=$F51))</f>
        <v>-0</v>
      </c>
      <c r="BM51" s="33" t="n">
        <f aca="false">-$E51*N(AND(BM$3&lt;=$F51,BM$4&gt;=$F51))</f>
        <v>-0</v>
      </c>
      <c r="BN51" s="33" t="n">
        <f aca="false">-$E51*N(AND(BN$3&lt;=$F51,BN$4&gt;=$F51))</f>
        <v>-0</v>
      </c>
      <c r="BO51" s="33" t="n">
        <f aca="false">-$E51*N(AND(BO$3&lt;=$F51,BO$4&gt;=$F51))</f>
        <v>-0</v>
      </c>
      <c r="BP51" s="33" t="n">
        <f aca="false">-$E51*N(AND(BP$3&lt;=$F51,BP$4&gt;=$F51))</f>
        <v>-0</v>
      </c>
      <c r="BQ51" s="33" t="n">
        <f aca="false">-$E51*N(AND(BQ$3&lt;=$F51,BQ$4&gt;=$F51))</f>
        <v>-0</v>
      </c>
      <c r="BR51" s="33" t="n">
        <f aca="false">-$E51*N(AND(BR$3&lt;=$F51,BR$4&gt;=$F51))</f>
        <v>-0</v>
      </c>
      <c r="BS51" s="33" t="n">
        <f aca="false">-$E51*N(AND(BS$3&lt;=$F51,BS$4&gt;=$F51))</f>
        <v>-0</v>
      </c>
      <c r="BT51" s="33" t="n">
        <f aca="false">-$E51*N(AND(BT$3&lt;=$F51,BT$4&gt;=$F51))</f>
        <v>-0</v>
      </c>
      <c r="BU51" s="33" t="n">
        <f aca="false">-$E51*N(AND(BU$3&lt;=$F51,BU$4&gt;=$F51))</f>
        <v>-0</v>
      </c>
      <c r="BV51" s="33" t="n">
        <f aca="false">-$E51*N(AND(BV$3&lt;=$F51,BV$4&gt;=$F51))</f>
        <v>-0</v>
      </c>
      <c r="BW51" s="33" t="n">
        <f aca="false">-$E51*N(AND(BW$3&lt;=$F51,BW$4&gt;=$F51))</f>
        <v>-0</v>
      </c>
      <c r="BX51" s="33" t="n">
        <f aca="false">-$E51*N(AND(BX$3&lt;=$F51,BX$4&gt;=$F51))</f>
        <v>-0</v>
      </c>
      <c r="BY51" s="33" t="n">
        <f aca="false">-$E51*N(AND(BY$3&lt;=$F51,BY$4&gt;=$F51))</f>
        <v>-0</v>
      </c>
      <c r="BZ51" s="33" t="n">
        <f aca="false">-$E51*N(AND(BZ$3&lt;=$F51,BZ$4&gt;=$F51))</f>
        <v>-0</v>
      </c>
      <c r="CA51" s="33" t="n">
        <f aca="false">-$E51*N(AND(CA$3&lt;=$F51,CA$4&gt;=$F51))</f>
        <v>-0</v>
      </c>
      <c r="CB51" s="33" t="n">
        <f aca="false">-$E51*N(AND(CB$3&lt;=$F51,CB$4&gt;=$F51))</f>
        <v>-0</v>
      </c>
      <c r="CC51" s="33" t="n">
        <f aca="false">-$E51*N(AND(CC$3&lt;=$F51,CC$4&gt;=$F51))</f>
        <v>-0</v>
      </c>
      <c r="CD51" s="33" t="n">
        <f aca="false">-$E51*N(AND(CD$3&lt;=$F51,CD$4&gt;=$F51))</f>
        <v>-0</v>
      </c>
      <c r="CE51" s="33" t="n">
        <f aca="false">-$E51*N(AND(CE$3&lt;=$F51,CE$4&gt;=$F51))</f>
        <v>-0</v>
      </c>
      <c r="CF51" s="33" t="n">
        <f aca="false">-$E51*N(AND(CF$3&lt;=$F51,CF$4&gt;=$F51))</f>
        <v>-0</v>
      </c>
      <c r="CG51" s="33" t="n">
        <f aca="false">-$E51*N(AND(CG$3&lt;=$F51,CG$4&gt;=$F51))</f>
        <v>-0</v>
      </c>
      <c r="CH51" s="33" t="n">
        <f aca="false">-$E51*N(AND(CH$3&lt;=$F51,CH$4&gt;=$F51))</f>
        <v>-0</v>
      </c>
      <c r="CI51" s="33" t="n">
        <f aca="false">-$E51*N(AND(CI$3&lt;=$F51,CI$4&gt;=$F51))</f>
        <v>-0</v>
      </c>
      <c r="CJ51" s="33" t="n">
        <f aca="false">-$E51*N(AND(CJ$3&lt;=$F51,CJ$4&gt;=$F51))</f>
        <v>-0</v>
      </c>
      <c r="CK51" s="33" t="n">
        <f aca="false">-$E51*N(AND(CK$3&lt;=$F51,CK$4&gt;=$F51))</f>
        <v>-0</v>
      </c>
      <c r="CL51" s="33" t="n">
        <f aca="false">-$E51*N(AND(CL$3&lt;=$F51,CL$4&gt;=$F51))</f>
        <v>-0</v>
      </c>
      <c r="CM51" s="33" t="n">
        <f aca="false">-$E51*N(AND(CM$3&lt;=$F51,CM$4&gt;=$F51))</f>
        <v>-0</v>
      </c>
      <c r="CN51" s="33" t="n">
        <f aca="false">-$E51*N(AND(CN$3&lt;=$F51,CN$4&gt;=$F51))</f>
        <v>-0</v>
      </c>
      <c r="CO51" s="33" t="n">
        <f aca="false">-$E51*N(AND(CO$3&lt;=$F51,CO$4&gt;=$F51))</f>
        <v>-0</v>
      </c>
      <c r="CP51" s="33" t="n">
        <f aca="false">-$E51*N(AND(CP$3&lt;=$F51,CP$4&gt;=$F51))</f>
        <v>-0</v>
      </c>
      <c r="CQ51" s="33" t="n">
        <f aca="false">-$E51*N(AND(CQ$3&lt;=$F51,CQ$4&gt;=$F51))</f>
        <v>-0</v>
      </c>
      <c r="CR51" s="33" t="n">
        <f aca="false">-$E51*N(AND(CR$3&lt;=$F51,CR$4&gt;=$F51))</f>
        <v>-0</v>
      </c>
      <c r="CS51" s="33" t="n">
        <f aca="false">-$E51*N(AND(CS$3&lt;=$F51,CS$4&gt;=$F51))</f>
        <v>-0</v>
      </c>
      <c r="CT51" s="33" t="n">
        <f aca="false">-$E51*N(AND(CT$3&lt;=$F51,CT$4&gt;=$F51))</f>
        <v>-0</v>
      </c>
      <c r="CU51" s="33" t="n">
        <f aca="false">-$E51*N(AND(CU$3&lt;=$F51,CU$4&gt;=$F51))</f>
        <v>-0</v>
      </c>
      <c r="CV51" s="33" t="n">
        <f aca="false">-$E51*N(AND(CV$3&lt;=$F51,CV$4&gt;=$F51))</f>
        <v>-0</v>
      </c>
      <c r="CW51" s="33" t="n">
        <f aca="false">-$E51*N(AND(CW$3&lt;=$F51,CW$4&gt;=$F51))</f>
        <v>-0</v>
      </c>
      <c r="CX51" s="33" t="n">
        <f aca="false">-$E51*N(AND(CX$3&lt;=$F51,CX$4&gt;=$F51))</f>
        <v>-0</v>
      </c>
      <c r="CY51" s="33" t="n">
        <f aca="false">-$E51*N(AND(CY$3&lt;=$F51,CY$4&gt;=$F51))</f>
        <v>-0</v>
      </c>
      <c r="CZ51" s="33" t="n">
        <f aca="false">-$E51*N(AND(CZ$3&lt;=$F51,CZ$4&gt;=$F51))</f>
        <v>-0</v>
      </c>
      <c r="DA51" s="33" t="n">
        <f aca="false">-$E51*N(AND(DA$3&lt;=$F51,DA$4&gt;=$F51))</f>
        <v>-0</v>
      </c>
      <c r="DB51" s="33" t="n">
        <f aca="false">-$E51*N(AND(DB$3&lt;=$F51,DB$4&gt;=$F51))</f>
        <v>-0</v>
      </c>
      <c r="DC51" s="33" t="n">
        <f aca="false">-$E51*N(AND(DC$3&lt;=$F51,DC$4&gt;=$F51))</f>
        <v>-0</v>
      </c>
      <c r="DD51" s="33" t="n">
        <f aca="false">-$E51*N(AND(DD$3&lt;=$F51,DD$4&gt;=$F51))</f>
        <v>-0</v>
      </c>
      <c r="DE51" s="33" t="n">
        <f aca="false">-$E51*N(AND(DE$3&lt;=$F51,DE$4&gt;=$F51))</f>
        <v>-0</v>
      </c>
      <c r="DF51" s="33" t="n">
        <f aca="false">-$E51*N(AND(DF$3&lt;=$F51,DF$4&gt;=$F51))</f>
        <v>-0</v>
      </c>
      <c r="DG51" s="33" t="n">
        <f aca="false">-$E51*N(AND(DG$3&lt;=$F51,DG$4&gt;=$F51))</f>
        <v>-0</v>
      </c>
      <c r="DH51" s="33" t="n">
        <f aca="false">-$E51*N(AND(DH$3&lt;=$F51,DH$4&gt;=$F51))</f>
        <v>-0</v>
      </c>
      <c r="DI51" s="33" t="n">
        <f aca="false">-$E51*N(AND(DI$3&lt;=$F51,DI$4&gt;=$F51))</f>
        <v>-0</v>
      </c>
      <c r="DJ51" s="33" t="n">
        <f aca="false">-$E51*N(AND(DJ$3&lt;=$F51,DJ$4&gt;=$F51))</f>
        <v>-0</v>
      </c>
      <c r="DK51" s="33" t="n">
        <f aca="false">-$E51*N(AND(DK$3&lt;=$F51,DK$4&gt;=$F51))</f>
        <v>-0</v>
      </c>
      <c r="DL51" s="33" t="n">
        <f aca="false">-$E51*N(AND(DL$3&lt;=$F51,DL$4&gt;=$F51))</f>
        <v>-0</v>
      </c>
      <c r="DM51" s="33" t="n">
        <f aca="false">-$E51*N(AND(DM$3&lt;=$F51,DM$4&gt;=$F51))</f>
        <v>-0</v>
      </c>
      <c r="DN51" s="33" t="n">
        <f aca="false">-$E51*N(AND(DN$3&lt;=$F51,DN$4&gt;=$F51))</f>
        <v>-0</v>
      </c>
      <c r="DO51" s="33" t="n">
        <f aca="false">-$E51*N(AND(DO$3&lt;=$F51,DO$4&gt;=$F51))</f>
        <v>-0</v>
      </c>
      <c r="DP51" s="33" t="n">
        <f aca="false">-$E51*N(AND(DP$3&lt;=$F51,DP$4&gt;=$F51))</f>
        <v>-0</v>
      </c>
      <c r="DQ51" s="33" t="n">
        <f aca="false">-$E51*N(AND(DQ$3&lt;=$F51,DQ$4&gt;=$F51))</f>
        <v>-0</v>
      </c>
      <c r="DR51" s="33" t="n">
        <f aca="false">-$E51*N(AND(DR$3&lt;=$F51,DR$4&gt;=$F51))</f>
        <v>-0</v>
      </c>
      <c r="DS51" s="33" t="n">
        <f aca="false">-$E51*N(AND(DS$3&lt;=$F51,DS$4&gt;=$F51))</f>
        <v>-0</v>
      </c>
      <c r="DT51" s="33" t="n">
        <f aca="false">-$E51*N(AND(DT$3&lt;=$F51,DT$4&gt;=$F51))</f>
        <v>-0</v>
      </c>
      <c r="DU51" s="33" t="n">
        <f aca="false">-$E51*N(AND(DU$3&lt;=$F51,DU$4&gt;=$F51))</f>
        <v>-0</v>
      </c>
      <c r="DV51" s="33" t="n">
        <f aca="false">-$E51*N(AND(DV$3&lt;=$F51,DV$4&gt;=$F51))</f>
        <v>-0</v>
      </c>
      <c r="DW51" s="33" t="n">
        <f aca="false">-$E51*N(AND(DW$3&lt;=$F51,DW$4&gt;=$F51))</f>
        <v>-0</v>
      </c>
      <c r="DX51" s="33" t="n">
        <f aca="false">-$E51*N(AND(DX$3&lt;=$F51,DX$4&gt;=$F51))</f>
        <v>-0</v>
      </c>
      <c r="DY51" s="33" t="n">
        <f aca="false">-$E51*N(AND(DY$3&lt;=$F51,DY$4&gt;=$F51))</f>
        <v>-0</v>
      </c>
      <c r="DZ51" s="33" t="n">
        <f aca="false">-$E51*N(AND(DZ$3&lt;=$F51,DZ$4&gt;=$F51))</f>
        <v>-0</v>
      </c>
      <c r="EA51" s="33" t="n">
        <f aca="false">-$E51*N(AND(EA$3&lt;=$F51,EA$4&gt;=$F51))</f>
        <v>-0</v>
      </c>
      <c r="EB51" s="33" t="n">
        <f aca="false">-$E51*N(AND(EB$3&lt;=$F51,EB$4&gt;=$F51))</f>
        <v>-0</v>
      </c>
      <c r="EC51" s="33" t="n">
        <f aca="false">-$E51*N(AND(EC$3&lt;=$F51,EC$4&gt;=$F51))</f>
        <v>-0</v>
      </c>
      <c r="ED51" s="33" t="n">
        <f aca="false">-$E51*N(AND(ED$3&lt;=$F51,ED$4&gt;=$F51))</f>
        <v>-0</v>
      </c>
      <c r="EE51" s="33" t="n">
        <f aca="false">-$E51*N(AND(EE$3&lt;=$F51,EE$4&gt;=$F51))</f>
        <v>-0</v>
      </c>
      <c r="EF51" s="33" t="n">
        <f aca="false">-$E51*N(AND(EF$3&lt;=$F51,EF$4&gt;=$F51))</f>
        <v>-0</v>
      </c>
      <c r="EG51" s="33" t="n">
        <f aca="false">-$E51*N(AND(EG$3&lt;=$F51,EG$4&gt;=$F51))</f>
        <v>-0</v>
      </c>
      <c r="EH51" s="33" t="n">
        <f aca="false">-$E51*N(AND(EH$3&lt;=$F51,EH$4&gt;=$F51))</f>
        <v>-0</v>
      </c>
      <c r="EI51" s="33" t="n">
        <f aca="false">-$E51*N(AND(EI$3&lt;=$F51,EI$4&gt;=$F51))</f>
        <v>-0</v>
      </c>
      <c r="EJ51" s="33" t="n">
        <f aca="false">-$E51*N(AND(EJ$3&lt;=$F51,EJ$4&gt;=$F51))</f>
        <v>-0</v>
      </c>
      <c r="EK51" s="33" t="n">
        <f aca="false">-$E51*N(AND(EK$3&lt;=$F51,EK$4&gt;=$F51))</f>
        <v>-0</v>
      </c>
      <c r="EL51" s="33" t="n">
        <f aca="false">-$E51*N(AND(EL$3&lt;=$F51,EL$4&gt;=$F51))</f>
        <v>-0</v>
      </c>
      <c r="EM51" s="33" t="n">
        <f aca="false">-$E51*N(AND(EM$3&lt;=$F51,EM$4&gt;=$F51))</f>
        <v>-0</v>
      </c>
      <c r="EN51" s="33" t="n">
        <f aca="false">-$E51*N(AND(EN$3&lt;=$F51,EN$4&gt;=$F51))</f>
        <v>-0</v>
      </c>
      <c r="EO51" s="33" t="n">
        <f aca="false">-$E51*N(AND(EO$3&lt;=$F51,EO$4&gt;=$F51))</f>
        <v>-0</v>
      </c>
      <c r="EP51" s="33" t="n">
        <f aca="false">-$E51*N(AND(EP$3&lt;=$F51,EP$4&gt;=$F51))</f>
        <v>-0</v>
      </c>
      <c r="EQ51" s="33" t="n">
        <f aca="false">-$E51*N(AND(EQ$3&lt;=$F51,EQ$4&gt;=$F51))</f>
        <v>-0</v>
      </c>
      <c r="ER51" s="33" t="n">
        <f aca="false">-$E51*N(AND(ER$3&lt;=$F51,ER$4&gt;=$F51))</f>
        <v>-0</v>
      </c>
      <c r="ES51" s="33" t="n">
        <f aca="false">-$E51*N(AND(ES$3&lt;=$F51,ES$4&gt;=$F51))</f>
        <v>-0</v>
      </c>
      <c r="ET51" s="33" t="n">
        <f aca="false">-$E51*N(AND(ET$3&lt;=$F51,ET$4&gt;=$F51))</f>
        <v>-0</v>
      </c>
    </row>
    <row r="52" customFormat="false" ht="15" hidden="false" customHeight="false" outlineLevel="0" collapsed="false">
      <c r="C52" s="0" t="s">
        <v>521</v>
      </c>
      <c r="D52" s="11" t="s">
        <v>253</v>
      </c>
      <c r="E52" s="33" t="n">
        <f aca="false">(In_Indirect_Fee-In_TSO_Security)*In_MVA*Thousand/In_FX</f>
        <v>18786.6591780822</v>
      </c>
      <c r="F52" s="27" t="n">
        <f aca="false">In_HCSSZ_Date</f>
        <v>47126</v>
      </c>
      <c r="I52" s="33" t="n">
        <f aca="false">SUM(J52:ET52)</f>
        <v>-18786.6591780822</v>
      </c>
      <c r="J52" s="33" t="n">
        <f aca="false">-$E52*N(AND(J$3&lt;=$F52,J$4&gt;=$F52))</f>
        <v>-0</v>
      </c>
      <c r="K52" s="33" t="n">
        <f aca="false">-$E52*N(AND(K$3&lt;=$F52,K$4&gt;=$F52))</f>
        <v>-0</v>
      </c>
      <c r="L52" s="33" t="n">
        <f aca="false">-$E52*N(AND(L$3&lt;=$F52,L$4&gt;=$F52))</f>
        <v>-0</v>
      </c>
      <c r="M52" s="33" t="n">
        <f aca="false">-$E52*N(AND(M$3&lt;=$F52,M$4&gt;=$F52))</f>
        <v>-0</v>
      </c>
      <c r="N52" s="33" t="n">
        <f aca="false">-$E52*N(AND(N$3&lt;=$F52,N$4&gt;=$F52))</f>
        <v>-0</v>
      </c>
      <c r="O52" s="33" t="n">
        <f aca="false">-$E52*N(AND(O$3&lt;=$F52,O$4&gt;=$F52))</f>
        <v>-0</v>
      </c>
      <c r="P52" s="33" t="n">
        <f aca="false">-$E52*N(AND(P$3&lt;=$F52,P$4&gt;=$F52))</f>
        <v>-0</v>
      </c>
      <c r="Q52" s="33" t="n">
        <f aca="false">-$E52*N(AND(Q$3&lt;=$F52,Q$4&gt;=$F52))</f>
        <v>-0</v>
      </c>
      <c r="R52" s="33" t="n">
        <f aca="false">-$E52*N(AND(R$3&lt;=$F52,R$4&gt;=$F52))</f>
        <v>-0</v>
      </c>
      <c r="S52" s="33" t="n">
        <f aca="false">-$E52*N(AND(S$3&lt;=$F52,S$4&gt;=$F52))</f>
        <v>-0</v>
      </c>
      <c r="T52" s="33" t="n">
        <f aca="false">-$E52*N(AND(T$3&lt;=$F52,T$4&gt;=$F52))</f>
        <v>-18786.6591780822</v>
      </c>
      <c r="U52" s="33" t="n">
        <f aca="false">-$E52*N(AND(U$3&lt;=$F52,U$4&gt;=$F52))</f>
        <v>-0</v>
      </c>
      <c r="V52" s="33" t="n">
        <f aca="false">-$E52*N(AND(V$3&lt;=$F52,V$4&gt;=$F52))</f>
        <v>-0</v>
      </c>
      <c r="W52" s="33" t="n">
        <f aca="false">-$E52*N(AND(W$3&lt;=$F52,W$4&gt;=$F52))</f>
        <v>-0</v>
      </c>
      <c r="X52" s="33" t="n">
        <f aca="false">-$E52*N(AND(X$3&lt;=$F52,X$4&gt;=$F52))</f>
        <v>-0</v>
      </c>
      <c r="Y52" s="33" t="n">
        <f aca="false">-$E52*N(AND(Y$3&lt;=$F52,Y$4&gt;=$F52))</f>
        <v>-0</v>
      </c>
      <c r="Z52" s="33" t="n">
        <f aca="false">-$E52*N(AND(Z$3&lt;=$F52,Z$4&gt;=$F52))</f>
        <v>-0</v>
      </c>
      <c r="AA52" s="33" t="n">
        <f aca="false">-$E52*N(AND(AA$3&lt;=$F52,AA$4&gt;=$F52))</f>
        <v>-0</v>
      </c>
      <c r="AB52" s="33" t="n">
        <f aca="false">-$E52*N(AND(AB$3&lt;=$F52,AB$4&gt;=$F52))</f>
        <v>-0</v>
      </c>
      <c r="AC52" s="33" t="n">
        <f aca="false">-$E52*N(AND(AC$3&lt;=$F52,AC$4&gt;=$F52))</f>
        <v>-0</v>
      </c>
      <c r="AD52" s="33" t="n">
        <f aca="false">-$E52*N(AND(AD$3&lt;=$F52,AD$4&gt;=$F52))</f>
        <v>-0</v>
      </c>
      <c r="AE52" s="33" t="n">
        <f aca="false">-$E52*N(AND(AE$3&lt;=$F52,AE$4&gt;=$F52))</f>
        <v>-0</v>
      </c>
      <c r="AF52" s="33" t="n">
        <f aca="false">-$E52*N(AND(AF$3&lt;=$F52,AF$4&gt;=$F52))</f>
        <v>-0</v>
      </c>
      <c r="AG52" s="33" t="n">
        <f aca="false">-$E52*N(AND(AG$3&lt;=$F52,AG$4&gt;=$F52))</f>
        <v>-0</v>
      </c>
      <c r="AH52" s="33" t="n">
        <f aca="false">-$E52*N(AND(AH$3&lt;=$F52,AH$4&gt;=$F52))</f>
        <v>-0</v>
      </c>
      <c r="AI52" s="33" t="n">
        <f aca="false">-$E52*N(AND(AI$3&lt;=$F52,AI$4&gt;=$F52))</f>
        <v>-0</v>
      </c>
      <c r="AJ52" s="33" t="n">
        <f aca="false">-$E52*N(AND(AJ$3&lt;=$F52,AJ$4&gt;=$F52))</f>
        <v>-0</v>
      </c>
      <c r="AK52" s="33" t="n">
        <f aca="false">-$E52*N(AND(AK$3&lt;=$F52,AK$4&gt;=$F52))</f>
        <v>-0</v>
      </c>
      <c r="AL52" s="33" t="n">
        <f aca="false">-$E52*N(AND(AL$3&lt;=$F52,AL$4&gt;=$F52))</f>
        <v>-0</v>
      </c>
      <c r="AM52" s="33" t="n">
        <f aca="false">-$E52*N(AND(AM$3&lt;=$F52,AM$4&gt;=$F52))</f>
        <v>-0</v>
      </c>
      <c r="AN52" s="33" t="n">
        <f aca="false">-$E52*N(AND(AN$3&lt;=$F52,AN$4&gt;=$F52))</f>
        <v>-0</v>
      </c>
      <c r="AO52" s="33" t="n">
        <f aca="false">-$E52*N(AND(AO$3&lt;=$F52,AO$4&gt;=$F52))</f>
        <v>-0</v>
      </c>
      <c r="AP52" s="33" t="n">
        <f aca="false">-$E52*N(AND(AP$3&lt;=$F52,AP$4&gt;=$F52))</f>
        <v>-0</v>
      </c>
      <c r="AQ52" s="33" t="n">
        <f aca="false">-$E52*N(AND(AQ$3&lt;=$F52,AQ$4&gt;=$F52))</f>
        <v>-0</v>
      </c>
      <c r="AR52" s="33" t="n">
        <f aca="false">-$E52*N(AND(AR$3&lt;=$F52,AR$4&gt;=$F52))</f>
        <v>-0</v>
      </c>
      <c r="AS52" s="33" t="n">
        <f aca="false">-$E52*N(AND(AS$3&lt;=$F52,AS$4&gt;=$F52))</f>
        <v>-0</v>
      </c>
      <c r="AT52" s="33" t="n">
        <f aca="false">-$E52*N(AND(AT$3&lt;=$F52,AT$4&gt;=$F52))</f>
        <v>-0</v>
      </c>
      <c r="AU52" s="33" t="n">
        <f aca="false">-$E52*N(AND(AU$3&lt;=$F52,AU$4&gt;=$F52))</f>
        <v>-0</v>
      </c>
      <c r="AV52" s="33" t="n">
        <f aca="false">-$E52*N(AND(AV$3&lt;=$F52,AV$4&gt;=$F52))</f>
        <v>-0</v>
      </c>
      <c r="AW52" s="33" t="n">
        <f aca="false">-$E52*N(AND(AW$3&lt;=$F52,AW$4&gt;=$F52))</f>
        <v>-0</v>
      </c>
      <c r="AX52" s="33" t="n">
        <f aca="false">-$E52*N(AND(AX$3&lt;=$F52,AX$4&gt;=$F52))</f>
        <v>-0</v>
      </c>
      <c r="AY52" s="33" t="n">
        <f aca="false">-$E52*N(AND(AY$3&lt;=$F52,AY$4&gt;=$F52))</f>
        <v>-0</v>
      </c>
      <c r="AZ52" s="33" t="n">
        <f aca="false">-$E52*N(AND(AZ$3&lt;=$F52,AZ$4&gt;=$F52))</f>
        <v>-0</v>
      </c>
      <c r="BA52" s="33" t="n">
        <f aca="false">-$E52*N(AND(BA$3&lt;=$F52,BA$4&gt;=$F52))</f>
        <v>-0</v>
      </c>
      <c r="BB52" s="33" t="n">
        <f aca="false">-$E52*N(AND(BB$3&lt;=$F52,BB$4&gt;=$F52))</f>
        <v>-0</v>
      </c>
      <c r="BC52" s="33" t="n">
        <f aca="false">-$E52*N(AND(BC$3&lt;=$F52,BC$4&gt;=$F52))</f>
        <v>-0</v>
      </c>
      <c r="BD52" s="33" t="n">
        <f aca="false">-$E52*N(AND(BD$3&lt;=$F52,BD$4&gt;=$F52))</f>
        <v>-0</v>
      </c>
      <c r="BE52" s="33" t="n">
        <f aca="false">-$E52*N(AND(BE$3&lt;=$F52,BE$4&gt;=$F52))</f>
        <v>-0</v>
      </c>
      <c r="BF52" s="33" t="n">
        <f aca="false">-$E52*N(AND(BF$3&lt;=$F52,BF$4&gt;=$F52))</f>
        <v>-0</v>
      </c>
      <c r="BG52" s="33" t="n">
        <f aca="false">-$E52*N(AND(BG$3&lt;=$F52,BG$4&gt;=$F52))</f>
        <v>-0</v>
      </c>
      <c r="BH52" s="33" t="n">
        <f aca="false">-$E52*N(AND(BH$3&lt;=$F52,BH$4&gt;=$F52))</f>
        <v>-0</v>
      </c>
      <c r="BI52" s="33" t="n">
        <f aca="false">-$E52*N(AND(BI$3&lt;=$F52,BI$4&gt;=$F52))</f>
        <v>-0</v>
      </c>
      <c r="BJ52" s="33" t="n">
        <f aca="false">-$E52*N(AND(BJ$3&lt;=$F52,BJ$4&gt;=$F52))</f>
        <v>-0</v>
      </c>
      <c r="BK52" s="33" t="n">
        <f aca="false">-$E52*N(AND(BK$3&lt;=$F52,BK$4&gt;=$F52))</f>
        <v>-0</v>
      </c>
      <c r="BL52" s="33" t="n">
        <f aca="false">-$E52*N(AND(BL$3&lt;=$F52,BL$4&gt;=$F52))</f>
        <v>-0</v>
      </c>
      <c r="BM52" s="33" t="n">
        <f aca="false">-$E52*N(AND(BM$3&lt;=$F52,BM$4&gt;=$F52))</f>
        <v>-0</v>
      </c>
      <c r="BN52" s="33" t="n">
        <f aca="false">-$E52*N(AND(BN$3&lt;=$F52,BN$4&gt;=$F52))</f>
        <v>-0</v>
      </c>
      <c r="BO52" s="33" t="n">
        <f aca="false">-$E52*N(AND(BO$3&lt;=$F52,BO$4&gt;=$F52))</f>
        <v>-0</v>
      </c>
      <c r="BP52" s="33" t="n">
        <f aca="false">-$E52*N(AND(BP$3&lt;=$F52,BP$4&gt;=$F52))</f>
        <v>-0</v>
      </c>
      <c r="BQ52" s="33" t="n">
        <f aca="false">-$E52*N(AND(BQ$3&lt;=$F52,BQ$4&gt;=$F52))</f>
        <v>-0</v>
      </c>
      <c r="BR52" s="33" t="n">
        <f aca="false">-$E52*N(AND(BR$3&lt;=$F52,BR$4&gt;=$F52))</f>
        <v>-0</v>
      </c>
      <c r="BS52" s="33" t="n">
        <f aca="false">-$E52*N(AND(BS$3&lt;=$F52,BS$4&gt;=$F52))</f>
        <v>-0</v>
      </c>
      <c r="BT52" s="33" t="n">
        <f aca="false">-$E52*N(AND(BT$3&lt;=$F52,BT$4&gt;=$F52))</f>
        <v>-0</v>
      </c>
      <c r="BU52" s="33" t="n">
        <f aca="false">-$E52*N(AND(BU$3&lt;=$F52,BU$4&gt;=$F52))</f>
        <v>-0</v>
      </c>
      <c r="BV52" s="33" t="n">
        <f aca="false">-$E52*N(AND(BV$3&lt;=$F52,BV$4&gt;=$F52))</f>
        <v>-0</v>
      </c>
      <c r="BW52" s="33" t="n">
        <f aca="false">-$E52*N(AND(BW$3&lt;=$F52,BW$4&gt;=$F52))</f>
        <v>-0</v>
      </c>
      <c r="BX52" s="33" t="n">
        <f aca="false">-$E52*N(AND(BX$3&lt;=$F52,BX$4&gt;=$F52))</f>
        <v>-0</v>
      </c>
      <c r="BY52" s="33" t="n">
        <f aca="false">-$E52*N(AND(BY$3&lt;=$F52,BY$4&gt;=$F52))</f>
        <v>-0</v>
      </c>
      <c r="BZ52" s="33" t="n">
        <f aca="false">-$E52*N(AND(BZ$3&lt;=$F52,BZ$4&gt;=$F52))</f>
        <v>-0</v>
      </c>
      <c r="CA52" s="33" t="n">
        <f aca="false">-$E52*N(AND(CA$3&lt;=$F52,CA$4&gt;=$F52))</f>
        <v>-0</v>
      </c>
      <c r="CB52" s="33" t="n">
        <f aca="false">-$E52*N(AND(CB$3&lt;=$F52,CB$4&gt;=$F52))</f>
        <v>-0</v>
      </c>
      <c r="CC52" s="33" t="n">
        <f aca="false">-$E52*N(AND(CC$3&lt;=$F52,CC$4&gt;=$F52))</f>
        <v>-0</v>
      </c>
      <c r="CD52" s="33" t="n">
        <f aca="false">-$E52*N(AND(CD$3&lt;=$F52,CD$4&gt;=$F52))</f>
        <v>-0</v>
      </c>
      <c r="CE52" s="33" t="n">
        <f aca="false">-$E52*N(AND(CE$3&lt;=$F52,CE$4&gt;=$F52))</f>
        <v>-0</v>
      </c>
      <c r="CF52" s="33" t="n">
        <f aca="false">-$E52*N(AND(CF$3&lt;=$F52,CF$4&gt;=$F52))</f>
        <v>-0</v>
      </c>
      <c r="CG52" s="33" t="n">
        <f aca="false">-$E52*N(AND(CG$3&lt;=$F52,CG$4&gt;=$F52))</f>
        <v>-0</v>
      </c>
      <c r="CH52" s="33" t="n">
        <f aca="false">-$E52*N(AND(CH$3&lt;=$F52,CH$4&gt;=$F52))</f>
        <v>-0</v>
      </c>
      <c r="CI52" s="33" t="n">
        <f aca="false">-$E52*N(AND(CI$3&lt;=$F52,CI$4&gt;=$F52))</f>
        <v>-0</v>
      </c>
      <c r="CJ52" s="33" t="n">
        <f aca="false">-$E52*N(AND(CJ$3&lt;=$F52,CJ$4&gt;=$F52))</f>
        <v>-0</v>
      </c>
      <c r="CK52" s="33" t="n">
        <f aca="false">-$E52*N(AND(CK$3&lt;=$F52,CK$4&gt;=$F52))</f>
        <v>-0</v>
      </c>
      <c r="CL52" s="33" t="n">
        <f aca="false">-$E52*N(AND(CL$3&lt;=$F52,CL$4&gt;=$F52))</f>
        <v>-0</v>
      </c>
      <c r="CM52" s="33" t="n">
        <f aca="false">-$E52*N(AND(CM$3&lt;=$F52,CM$4&gt;=$F52))</f>
        <v>-0</v>
      </c>
      <c r="CN52" s="33" t="n">
        <f aca="false">-$E52*N(AND(CN$3&lt;=$F52,CN$4&gt;=$F52))</f>
        <v>-0</v>
      </c>
      <c r="CO52" s="33" t="n">
        <f aca="false">-$E52*N(AND(CO$3&lt;=$F52,CO$4&gt;=$F52))</f>
        <v>-0</v>
      </c>
      <c r="CP52" s="33" t="n">
        <f aca="false">-$E52*N(AND(CP$3&lt;=$F52,CP$4&gt;=$F52))</f>
        <v>-0</v>
      </c>
      <c r="CQ52" s="33" t="n">
        <f aca="false">-$E52*N(AND(CQ$3&lt;=$F52,CQ$4&gt;=$F52))</f>
        <v>-0</v>
      </c>
      <c r="CR52" s="33" t="n">
        <f aca="false">-$E52*N(AND(CR$3&lt;=$F52,CR$4&gt;=$F52))</f>
        <v>-0</v>
      </c>
      <c r="CS52" s="33" t="n">
        <f aca="false">-$E52*N(AND(CS$3&lt;=$F52,CS$4&gt;=$F52))</f>
        <v>-0</v>
      </c>
      <c r="CT52" s="33" t="n">
        <f aca="false">-$E52*N(AND(CT$3&lt;=$F52,CT$4&gt;=$F52))</f>
        <v>-0</v>
      </c>
      <c r="CU52" s="33" t="n">
        <f aca="false">-$E52*N(AND(CU$3&lt;=$F52,CU$4&gt;=$F52))</f>
        <v>-0</v>
      </c>
      <c r="CV52" s="33" t="n">
        <f aca="false">-$E52*N(AND(CV$3&lt;=$F52,CV$4&gt;=$F52))</f>
        <v>-0</v>
      </c>
      <c r="CW52" s="33" t="n">
        <f aca="false">-$E52*N(AND(CW$3&lt;=$F52,CW$4&gt;=$F52))</f>
        <v>-0</v>
      </c>
      <c r="CX52" s="33" t="n">
        <f aca="false">-$E52*N(AND(CX$3&lt;=$F52,CX$4&gt;=$F52))</f>
        <v>-0</v>
      </c>
      <c r="CY52" s="33" t="n">
        <f aca="false">-$E52*N(AND(CY$3&lt;=$F52,CY$4&gt;=$F52))</f>
        <v>-0</v>
      </c>
      <c r="CZ52" s="33" t="n">
        <f aca="false">-$E52*N(AND(CZ$3&lt;=$F52,CZ$4&gt;=$F52))</f>
        <v>-0</v>
      </c>
      <c r="DA52" s="33" t="n">
        <f aca="false">-$E52*N(AND(DA$3&lt;=$F52,DA$4&gt;=$F52))</f>
        <v>-0</v>
      </c>
      <c r="DB52" s="33" t="n">
        <f aca="false">-$E52*N(AND(DB$3&lt;=$F52,DB$4&gt;=$F52))</f>
        <v>-0</v>
      </c>
      <c r="DC52" s="33" t="n">
        <f aca="false">-$E52*N(AND(DC$3&lt;=$F52,DC$4&gt;=$F52))</f>
        <v>-0</v>
      </c>
      <c r="DD52" s="33" t="n">
        <f aca="false">-$E52*N(AND(DD$3&lt;=$F52,DD$4&gt;=$F52))</f>
        <v>-0</v>
      </c>
      <c r="DE52" s="33" t="n">
        <f aca="false">-$E52*N(AND(DE$3&lt;=$F52,DE$4&gt;=$F52))</f>
        <v>-0</v>
      </c>
      <c r="DF52" s="33" t="n">
        <f aca="false">-$E52*N(AND(DF$3&lt;=$F52,DF$4&gt;=$F52))</f>
        <v>-0</v>
      </c>
      <c r="DG52" s="33" t="n">
        <f aca="false">-$E52*N(AND(DG$3&lt;=$F52,DG$4&gt;=$F52))</f>
        <v>-0</v>
      </c>
      <c r="DH52" s="33" t="n">
        <f aca="false">-$E52*N(AND(DH$3&lt;=$F52,DH$4&gt;=$F52))</f>
        <v>-0</v>
      </c>
      <c r="DI52" s="33" t="n">
        <f aca="false">-$E52*N(AND(DI$3&lt;=$F52,DI$4&gt;=$F52))</f>
        <v>-0</v>
      </c>
      <c r="DJ52" s="33" t="n">
        <f aca="false">-$E52*N(AND(DJ$3&lt;=$F52,DJ$4&gt;=$F52))</f>
        <v>-0</v>
      </c>
      <c r="DK52" s="33" t="n">
        <f aca="false">-$E52*N(AND(DK$3&lt;=$F52,DK$4&gt;=$F52))</f>
        <v>-0</v>
      </c>
      <c r="DL52" s="33" t="n">
        <f aca="false">-$E52*N(AND(DL$3&lt;=$F52,DL$4&gt;=$F52))</f>
        <v>-0</v>
      </c>
      <c r="DM52" s="33" t="n">
        <f aca="false">-$E52*N(AND(DM$3&lt;=$F52,DM$4&gt;=$F52))</f>
        <v>-0</v>
      </c>
      <c r="DN52" s="33" t="n">
        <f aca="false">-$E52*N(AND(DN$3&lt;=$F52,DN$4&gt;=$F52))</f>
        <v>-0</v>
      </c>
      <c r="DO52" s="33" t="n">
        <f aca="false">-$E52*N(AND(DO$3&lt;=$F52,DO$4&gt;=$F52))</f>
        <v>-0</v>
      </c>
      <c r="DP52" s="33" t="n">
        <f aca="false">-$E52*N(AND(DP$3&lt;=$F52,DP$4&gt;=$F52))</f>
        <v>-0</v>
      </c>
      <c r="DQ52" s="33" t="n">
        <f aca="false">-$E52*N(AND(DQ$3&lt;=$F52,DQ$4&gt;=$F52))</f>
        <v>-0</v>
      </c>
      <c r="DR52" s="33" t="n">
        <f aca="false">-$E52*N(AND(DR$3&lt;=$F52,DR$4&gt;=$F52))</f>
        <v>-0</v>
      </c>
      <c r="DS52" s="33" t="n">
        <f aca="false">-$E52*N(AND(DS$3&lt;=$F52,DS$4&gt;=$F52))</f>
        <v>-0</v>
      </c>
      <c r="DT52" s="33" t="n">
        <f aca="false">-$E52*N(AND(DT$3&lt;=$F52,DT$4&gt;=$F52))</f>
        <v>-0</v>
      </c>
      <c r="DU52" s="33" t="n">
        <f aca="false">-$E52*N(AND(DU$3&lt;=$F52,DU$4&gt;=$F52))</f>
        <v>-0</v>
      </c>
      <c r="DV52" s="33" t="n">
        <f aca="false">-$E52*N(AND(DV$3&lt;=$F52,DV$4&gt;=$F52))</f>
        <v>-0</v>
      </c>
      <c r="DW52" s="33" t="n">
        <f aca="false">-$E52*N(AND(DW$3&lt;=$F52,DW$4&gt;=$F52))</f>
        <v>-0</v>
      </c>
      <c r="DX52" s="33" t="n">
        <f aca="false">-$E52*N(AND(DX$3&lt;=$F52,DX$4&gt;=$F52))</f>
        <v>-0</v>
      </c>
      <c r="DY52" s="33" t="n">
        <f aca="false">-$E52*N(AND(DY$3&lt;=$F52,DY$4&gt;=$F52))</f>
        <v>-0</v>
      </c>
      <c r="DZ52" s="33" t="n">
        <f aca="false">-$E52*N(AND(DZ$3&lt;=$F52,DZ$4&gt;=$F52))</f>
        <v>-0</v>
      </c>
      <c r="EA52" s="33" t="n">
        <f aca="false">-$E52*N(AND(EA$3&lt;=$F52,EA$4&gt;=$F52))</f>
        <v>-0</v>
      </c>
      <c r="EB52" s="33" t="n">
        <f aca="false">-$E52*N(AND(EB$3&lt;=$F52,EB$4&gt;=$F52))</f>
        <v>-0</v>
      </c>
      <c r="EC52" s="33" t="n">
        <f aca="false">-$E52*N(AND(EC$3&lt;=$F52,EC$4&gt;=$F52))</f>
        <v>-0</v>
      </c>
      <c r="ED52" s="33" t="n">
        <f aca="false">-$E52*N(AND(ED$3&lt;=$F52,ED$4&gt;=$F52))</f>
        <v>-0</v>
      </c>
      <c r="EE52" s="33" t="n">
        <f aca="false">-$E52*N(AND(EE$3&lt;=$F52,EE$4&gt;=$F52))</f>
        <v>-0</v>
      </c>
      <c r="EF52" s="33" t="n">
        <f aca="false">-$E52*N(AND(EF$3&lt;=$F52,EF$4&gt;=$F52))</f>
        <v>-0</v>
      </c>
      <c r="EG52" s="33" t="n">
        <f aca="false">-$E52*N(AND(EG$3&lt;=$F52,EG$4&gt;=$F52))</f>
        <v>-0</v>
      </c>
      <c r="EH52" s="33" t="n">
        <f aca="false">-$E52*N(AND(EH$3&lt;=$F52,EH$4&gt;=$F52))</f>
        <v>-0</v>
      </c>
      <c r="EI52" s="33" t="n">
        <f aca="false">-$E52*N(AND(EI$3&lt;=$F52,EI$4&gt;=$F52))</f>
        <v>-0</v>
      </c>
      <c r="EJ52" s="33" t="n">
        <f aca="false">-$E52*N(AND(EJ$3&lt;=$F52,EJ$4&gt;=$F52))</f>
        <v>-0</v>
      </c>
      <c r="EK52" s="33" t="n">
        <f aca="false">-$E52*N(AND(EK$3&lt;=$F52,EK$4&gt;=$F52))</f>
        <v>-0</v>
      </c>
      <c r="EL52" s="33" t="n">
        <f aca="false">-$E52*N(AND(EL$3&lt;=$F52,EL$4&gt;=$F52))</f>
        <v>-0</v>
      </c>
      <c r="EM52" s="33" t="n">
        <f aca="false">-$E52*N(AND(EM$3&lt;=$F52,EM$4&gt;=$F52))</f>
        <v>-0</v>
      </c>
      <c r="EN52" s="33" t="n">
        <f aca="false">-$E52*N(AND(EN$3&lt;=$F52,EN$4&gt;=$F52))</f>
        <v>-0</v>
      </c>
      <c r="EO52" s="33" t="n">
        <f aca="false">-$E52*N(AND(EO$3&lt;=$F52,EO$4&gt;=$F52))</f>
        <v>-0</v>
      </c>
      <c r="EP52" s="33" t="n">
        <f aca="false">-$E52*N(AND(EP$3&lt;=$F52,EP$4&gt;=$F52))</f>
        <v>-0</v>
      </c>
      <c r="EQ52" s="33" t="n">
        <f aca="false">-$E52*N(AND(EQ$3&lt;=$F52,EQ$4&gt;=$F52))</f>
        <v>-0</v>
      </c>
      <c r="ER52" s="33" t="n">
        <f aca="false">-$E52*N(AND(ER$3&lt;=$F52,ER$4&gt;=$F52))</f>
        <v>-0</v>
      </c>
      <c r="ES52" s="33" t="n">
        <f aca="false">-$E52*N(AND(ES$3&lt;=$F52,ES$4&gt;=$F52))</f>
        <v>-0</v>
      </c>
      <c r="ET52" s="33" t="n">
        <f aca="false">-$E52*N(AND(ET$3&lt;=$F52,ET$4&gt;=$F52))</f>
        <v>-0</v>
      </c>
    </row>
    <row r="53" customFormat="false" ht="15" hidden="false" customHeight="false" outlineLevel="0" collapsed="false">
      <c r="C53" s="0" t="s">
        <v>116</v>
      </c>
      <c r="D53" s="11" t="s">
        <v>253</v>
      </c>
      <c r="I53" s="33" t="n">
        <f aca="false">SUM(J53:ET53)</f>
        <v>-20179.3874082192</v>
      </c>
      <c r="J53" s="33" t="n">
        <f aca="false">J51+J52</f>
        <v>-0</v>
      </c>
      <c r="K53" s="33" t="n">
        <f aca="false">K51+K52</f>
        <v>-0</v>
      </c>
      <c r="L53" s="33" t="n">
        <f aca="false">L51+L52</f>
        <v>-0</v>
      </c>
      <c r="M53" s="33" t="n">
        <f aca="false">M51+M52</f>
        <v>-0</v>
      </c>
      <c r="N53" s="33" t="n">
        <f aca="false">N51+N52</f>
        <v>-0</v>
      </c>
      <c r="O53" s="33" t="n">
        <f aca="false">O51+O52</f>
        <v>-0</v>
      </c>
      <c r="P53" s="33" t="n">
        <f aca="false">P51+P52</f>
        <v>-0</v>
      </c>
      <c r="Q53" s="33" t="n">
        <f aca="false">Q51+Q52</f>
        <v>-0</v>
      </c>
      <c r="R53" s="33" t="n">
        <f aca="false">R51+R52</f>
        <v>-0</v>
      </c>
      <c r="S53" s="33" t="n">
        <f aca="false">S51+S52</f>
        <v>-0</v>
      </c>
      <c r="T53" s="33" t="n">
        <f aca="false">T51+T52</f>
        <v>-20179.3874082192</v>
      </c>
      <c r="U53" s="33" t="n">
        <f aca="false">U51+U52</f>
        <v>-0</v>
      </c>
      <c r="V53" s="33" t="n">
        <f aca="false">V51+V52</f>
        <v>-0</v>
      </c>
      <c r="W53" s="33" t="n">
        <f aca="false">W51+W52</f>
        <v>-0</v>
      </c>
      <c r="X53" s="33" t="n">
        <f aca="false">X51+X52</f>
        <v>-0</v>
      </c>
      <c r="Y53" s="33" t="n">
        <f aca="false">Y51+Y52</f>
        <v>-0</v>
      </c>
      <c r="Z53" s="33" t="n">
        <f aca="false">Z51+Z52</f>
        <v>-0</v>
      </c>
      <c r="AA53" s="33" t="n">
        <f aca="false">AA51+AA52</f>
        <v>-0</v>
      </c>
      <c r="AB53" s="33" t="n">
        <f aca="false">AB51+AB52</f>
        <v>-0</v>
      </c>
      <c r="AC53" s="33" t="n">
        <f aca="false">AC51+AC52</f>
        <v>-0</v>
      </c>
      <c r="AD53" s="33" t="n">
        <f aca="false">AD51+AD52</f>
        <v>-0</v>
      </c>
      <c r="AE53" s="33" t="n">
        <f aca="false">AE51+AE52</f>
        <v>-0</v>
      </c>
      <c r="AF53" s="33" t="n">
        <f aca="false">AF51+AF52</f>
        <v>-0</v>
      </c>
      <c r="AG53" s="33" t="n">
        <f aca="false">AG51+AG52</f>
        <v>-0</v>
      </c>
      <c r="AH53" s="33" t="n">
        <f aca="false">AH51+AH52</f>
        <v>-0</v>
      </c>
      <c r="AI53" s="33" t="n">
        <f aca="false">AI51+AI52</f>
        <v>-0</v>
      </c>
      <c r="AJ53" s="33" t="n">
        <f aca="false">AJ51+AJ52</f>
        <v>-0</v>
      </c>
      <c r="AK53" s="33" t="n">
        <f aca="false">AK51+AK52</f>
        <v>-0</v>
      </c>
      <c r="AL53" s="33" t="n">
        <f aca="false">AL51+AL52</f>
        <v>-0</v>
      </c>
      <c r="AM53" s="33" t="n">
        <f aca="false">AM51+AM52</f>
        <v>-0</v>
      </c>
      <c r="AN53" s="33" t="n">
        <f aca="false">AN51+AN52</f>
        <v>-0</v>
      </c>
      <c r="AO53" s="33" t="n">
        <f aca="false">AO51+AO52</f>
        <v>-0</v>
      </c>
      <c r="AP53" s="33" t="n">
        <f aca="false">AP51+AP52</f>
        <v>-0</v>
      </c>
      <c r="AQ53" s="33" t="n">
        <f aca="false">AQ51+AQ52</f>
        <v>-0</v>
      </c>
      <c r="AR53" s="33" t="n">
        <f aca="false">AR51+AR52</f>
        <v>-0</v>
      </c>
      <c r="AS53" s="33" t="n">
        <f aca="false">AS51+AS52</f>
        <v>-0</v>
      </c>
      <c r="AT53" s="33" t="n">
        <f aca="false">AT51+AT52</f>
        <v>-0</v>
      </c>
      <c r="AU53" s="33" t="n">
        <f aca="false">AU51+AU52</f>
        <v>-0</v>
      </c>
      <c r="AV53" s="33" t="n">
        <f aca="false">AV51+AV52</f>
        <v>-0</v>
      </c>
      <c r="AW53" s="33" t="n">
        <f aca="false">AW51+AW52</f>
        <v>-0</v>
      </c>
      <c r="AX53" s="33" t="n">
        <f aca="false">AX51+AX52</f>
        <v>-0</v>
      </c>
      <c r="AY53" s="33" t="n">
        <f aca="false">AY51+AY52</f>
        <v>-0</v>
      </c>
      <c r="AZ53" s="33" t="n">
        <f aca="false">AZ51+AZ52</f>
        <v>-0</v>
      </c>
      <c r="BA53" s="33" t="n">
        <f aca="false">BA51+BA52</f>
        <v>-0</v>
      </c>
      <c r="BB53" s="33" t="n">
        <f aca="false">BB51+BB52</f>
        <v>-0</v>
      </c>
      <c r="BC53" s="33" t="n">
        <f aca="false">BC51+BC52</f>
        <v>-0</v>
      </c>
      <c r="BD53" s="33" t="n">
        <f aca="false">BD51+BD52</f>
        <v>-0</v>
      </c>
      <c r="BE53" s="33" t="n">
        <f aca="false">BE51+BE52</f>
        <v>-0</v>
      </c>
      <c r="BF53" s="33" t="n">
        <f aca="false">BF51+BF52</f>
        <v>-0</v>
      </c>
      <c r="BG53" s="33" t="n">
        <f aca="false">BG51+BG52</f>
        <v>-0</v>
      </c>
      <c r="BH53" s="33" t="n">
        <f aca="false">BH51+BH52</f>
        <v>-0</v>
      </c>
      <c r="BI53" s="33" t="n">
        <f aca="false">BI51+BI52</f>
        <v>-0</v>
      </c>
      <c r="BJ53" s="33" t="n">
        <f aca="false">BJ51+BJ52</f>
        <v>-0</v>
      </c>
      <c r="BK53" s="33" t="n">
        <f aca="false">BK51+BK52</f>
        <v>-0</v>
      </c>
      <c r="BL53" s="33" t="n">
        <f aca="false">BL51+BL52</f>
        <v>-0</v>
      </c>
      <c r="BM53" s="33" t="n">
        <f aca="false">BM51+BM52</f>
        <v>-0</v>
      </c>
      <c r="BN53" s="33" t="n">
        <f aca="false">BN51+BN52</f>
        <v>-0</v>
      </c>
      <c r="BO53" s="33" t="n">
        <f aca="false">BO51+BO52</f>
        <v>-0</v>
      </c>
      <c r="BP53" s="33" t="n">
        <f aca="false">BP51+BP52</f>
        <v>-0</v>
      </c>
      <c r="BQ53" s="33" t="n">
        <f aca="false">BQ51+BQ52</f>
        <v>-0</v>
      </c>
      <c r="BR53" s="33" t="n">
        <f aca="false">BR51+BR52</f>
        <v>-0</v>
      </c>
      <c r="BS53" s="33" t="n">
        <f aca="false">BS51+BS52</f>
        <v>-0</v>
      </c>
      <c r="BT53" s="33" t="n">
        <f aca="false">BT51+BT52</f>
        <v>-0</v>
      </c>
      <c r="BU53" s="33" t="n">
        <f aca="false">BU51+BU52</f>
        <v>-0</v>
      </c>
      <c r="BV53" s="33" t="n">
        <f aca="false">BV51+BV52</f>
        <v>-0</v>
      </c>
      <c r="BW53" s="33" t="n">
        <f aca="false">BW51+BW52</f>
        <v>-0</v>
      </c>
      <c r="BX53" s="33" t="n">
        <f aca="false">BX51+BX52</f>
        <v>-0</v>
      </c>
      <c r="BY53" s="33" t="n">
        <f aca="false">BY51+BY52</f>
        <v>-0</v>
      </c>
      <c r="BZ53" s="33" t="n">
        <f aca="false">BZ51+BZ52</f>
        <v>-0</v>
      </c>
      <c r="CA53" s="33" t="n">
        <f aca="false">CA51+CA52</f>
        <v>-0</v>
      </c>
      <c r="CB53" s="33" t="n">
        <f aca="false">CB51+CB52</f>
        <v>-0</v>
      </c>
      <c r="CC53" s="33" t="n">
        <f aca="false">CC51+CC52</f>
        <v>-0</v>
      </c>
      <c r="CD53" s="33" t="n">
        <f aca="false">CD51+CD52</f>
        <v>-0</v>
      </c>
      <c r="CE53" s="33" t="n">
        <f aca="false">CE51+CE52</f>
        <v>-0</v>
      </c>
      <c r="CF53" s="33" t="n">
        <f aca="false">CF51+CF52</f>
        <v>-0</v>
      </c>
      <c r="CG53" s="33" t="n">
        <f aca="false">CG51+CG52</f>
        <v>-0</v>
      </c>
      <c r="CH53" s="33" t="n">
        <f aca="false">CH51+CH52</f>
        <v>-0</v>
      </c>
      <c r="CI53" s="33" t="n">
        <f aca="false">CI51+CI52</f>
        <v>-0</v>
      </c>
      <c r="CJ53" s="33" t="n">
        <f aca="false">CJ51+CJ52</f>
        <v>-0</v>
      </c>
      <c r="CK53" s="33" t="n">
        <f aca="false">CK51+CK52</f>
        <v>-0</v>
      </c>
      <c r="CL53" s="33" t="n">
        <f aca="false">CL51+CL52</f>
        <v>-0</v>
      </c>
      <c r="CM53" s="33" t="n">
        <f aca="false">CM51+CM52</f>
        <v>-0</v>
      </c>
      <c r="CN53" s="33" t="n">
        <f aca="false">CN51+CN52</f>
        <v>-0</v>
      </c>
      <c r="CO53" s="33" t="n">
        <f aca="false">CO51+CO52</f>
        <v>-0</v>
      </c>
      <c r="CP53" s="33" t="n">
        <f aca="false">CP51+CP52</f>
        <v>-0</v>
      </c>
      <c r="CQ53" s="33" t="n">
        <f aca="false">CQ51+CQ52</f>
        <v>-0</v>
      </c>
      <c r="CR53" s="33" t="n">
        <f aca="false">CR51+CR52</f>
        <v>-0</v>
      </c>
      <c r="CS53" s="33" t="n">
        <f aca="false">CS51+CS52</f>
        <v>-0</v>
      </c>
      <c r="CT53" s="33" t="n">
        <f aca="false">CT51+CT52</f>
        <v>-0</v>
      </c>
      <c r="CU53" s="33" t="n">
        <f aca="false">CU51+CU52</f>
        <v>-0</v>
      </c>
      <c r="CV53" s="33" t="n">
        <f aca="false">CV51+CV52</f>
        <v>-0</v>
      </c>
      <c r="CW53" s="33" t="n">
        <f aca="false">CW51+CW52</f>
        <v>-0</v>
      </c>
      <c r="CX53" s="33" t="n">
        <f aca="false">CX51+CX52</f>
        <v>-0</v>
      </c>
      <c r="CY53" s="33" t="n">
        <f aca="false">CY51+CY52</f>
        <v>-0</v>
      </c>
      <c r="CZ53" s="33" t="n">
        <f aca="false">CZ51+CZ52</f>
        <v>-0</v>
      </c>
      <c r="DA53" s="33" t="n">
        <f aca="false">DA51+DA52</f>
        <v>-0</v>
      </c>
      <c r="DB53" s="33" t="n">
        <f aca="false">DB51+DB52</f>
        <v>-0</v>
      </c>
      <c r="DC53" s="33" t="n">
        <f aca="false">DC51+DC52</f>
        <v>-0</v>
      </c>
      <c r="DD53" s="33" t="n">
        <f aca="false">DD51+DD52</f>
        <v>-0</v>
      </c>
      <c r="DE53" s="33" t="n">
        <f aca="false">DE51+DE52</f>
        <v>-0</v>
      </c>
      <c r="DF53" s="33" t="n">
        <f aca="false">DF51+DF52</f>
        <v>-0</v>
      </c>
      <c r="DG53" s="33" t="n">
        <f aca="false">DG51+DG52</f>
        <v>-0</v>
      </c>
      <c r="DH53" s="33" t="n">
        <f aca="false">DH51+DH52</f>
        <v>-0</v>
      </c>
      <c r="DI53" s="33" t="n">
        <f aca="false">DI51+DI52</f>
        <v>-0</v>
      </c>
      <c r="DJ53" s="33" t="n">
        <f aca="false">DJ51+DJ52</f>
        <v>-0</v>
      </c>
      <c r="DK53" s="33" t="n">
        <f aca="false">DK51+DK52</f>
        <v>-0</v>
      </c>
      <c r="DL53" s="33" t="n">
        <f aca="false">DL51+DL52</f>
        <v>-0</v>
      </c>
      <c r="DM53" s="33" t="n">
        <f aca="false">DM51+DM52</f>
        <v>-0</v>
      </c>
      <c r="DN53" s="33" t="n">
        <f aca="false">DN51+DN52</f>
        <v>-0</v>
      </c>
      <c r="DO53" s="33" t="n">
        <f aca="false">DO51+DO52</f>
        <v>-0</v>
      </c>
      <c r="DP53" s="33" t="n">
        <f aca="false">DP51+DP52</f>
        <v>-0</v>
      </c>
      <c r="DQ53" s="33" t="n">
        <f aca="false">DQ51+DQ52</f>
        <v>-0</v>
      </c>
      <c r="DR53" s="33" t="n">
        <f aca="false">DR51+DR52</f>
        <v>-0</v>
      </c>
      <c r="DS53" s="33" t="n">
        <f aca="false">DS51+DS52</f>
        <v>-0</v>
      </c>
      <c r="DT53" s="33" t="n">
        <f aca="false">DT51+DT52</f>
        <v>-0</v>
      </c>
      <c r="DU53" s="33" t="n">
        <f aca="false">DU51+DU52</f>
        <v>-0</v>
      </c>
      <c r="DV53" s="33" t="n">
        <f aca="false">DV51+DV52</f>
        <v>-0</v>
      </c>
      <c r="DW53" s="33" t="n">
        <f aca="false">DW51+DW52</f>
        <v>-0</v>
      </c>
      <c r="DX53" s="33" t="n">
        <f aca="false">DX51+DX52</f>
        <v>-0</v>
      </c>
      <c r="DY53" s="33" t="n">
        <f aca="false">DY51+DY52</f>
        <v>-0</v>
      </c>
      <c r="DZ53" s="33" t="n">
        <f aca="false">DZ51+DZ52</f>
        <v>-0</v>
      </c>
      <c r="EA53" s="33" t="n">
        <f aca="false">EA51+EA52</f>
        <v>-0</v>
      </c>
      <c r="EB53" s="33" t="n">
        <f aca="false">EB51+EB52</f>
        <v>-0</v>
      </c>
      <c r="EC53" s="33" t="n">
        <f aca="false">EC51+EC52</f>
        <v>-0</v>
      </c>
      <c r="ED53" s="33" t="n">
        <f aca="false">ED51+ED52</f>
        <v>-0</v>
      </c>
      <c r="EE53" s="33" t="n">
        <f aca="false">EE51+EE52</f>
        <v>-0</v>
      </c>
      <c r="EF53" s="33" t="n">
        <f aca="false">EF51+EF52</f>
        <v>-0</v>
      </c>
      <c r="EG53" s="33" t="n">
        <f aca="false">EG51+EG52</f>
        <v>-0</v>
      </c>
      <c r="EH53" s="33" t="n">
        <f aca="false">EH51+EH52</f>
        <v>-0</v>
      </c>
      <c r="EI53" s="33" t="n">
        <f aca="false">EI51+EI52</f>
        <v>-0</v>
      </c>
      <c r="EJ53" s="33" t="n">
        <f aca="false">EJ51+EJ52</f>
        <v>-0</v>
      </c>
      <c r="EK53" s="33" t="n">
        <f aca="false">EK51+EK52</f>
        <v>-0</v>
      </c>
      <c r="EL53" s="33" t="n">
        <f aca="false">EL51+EL52</f>
        <v>-0</v>
      </c>
      <c r="EM53" s="33" t="n">
        <f aca="false">EM51+EM52</f>
        <v>-0</v>
      </c>
      <c r="EN53" s="33" t="n">
        <f aca="false">EN51+EN52</f>
        <v>-0</v>
      </c>
      <c r="EO53" s="33" t="n">
        <f aca="false">EO51+EO52</f>
        <v>-0</v>
      </c>
      <c r="EP53" s="33" t="n">
        <f aca="false">EP51+EP52</f>
        <v>-0</v>
      </c>
      <c r="EQ53" s="33" t="n">
        <f aca="false">EQ51+EQ52</f>
        <v>-0</v>
      </c>
      <c r="ER53" s="33" t="n">
        <f aca="false">ER51+ER52</f>
        <v>-0</v>
      </c>
      <c r="ES53" s="33" t="n">
        <f aca="false">ES51+ES52</f>
        <v>-0</v>
      </c>
      <c r="ET53" s="33" t="n">
        <f aca="false">ET51+ET52</f>
        <v>-0</v>
      </c>
    </row>
    <row r="54" customFormat="false" ht="15" hidden="false" customHeight="false" outlineLevel="0" collapsed="false">
      <c r="C54" s="0" t="s">
        <v>522</v>
      </c>
      <c r="D54" s="11" t="s">
        <v>253</v>
      </c>
      <c r="I54" s="33" t="n">
        <f aca="false">SUM(J54:ET54)</f>
        <v>-2404.83056505452</v>
      </c>
      <c r="J54" s="33" t="n">
        <f aca="false">-SUMIFS(Devex_Keur,Devex_Date,"&gt;="&amp;J$3,Devex_Date,"&lt;="&amp;J$4,Devex_Land,0)</f>
        <v>-0</v>
      </c>
      <c r="K54" s="33" t="n">
        <f aca="false">-SUMIFS(Devex_Keur,Devex_Date,"&gt;="&amp;K$3,Devex_Date,"&lt;="&amp;K$4,Devex_Land,0)</f>
        <v>-178.520547945205</v>
      </c>
      <c r="L54" s="33" t="n">
        <f aca="false">-SUMIFS(Devex_Keur,Devex_Date,"&gt;="&amp;L$3,Devex_Date,"&lt;="&amp;L$4,Devex_Land,0)</f>
        <v>-407.86301369863</v>
      </c>
      <c r="M54" s="33" t="n">
        <f aca="false">-SUMIFS(Devex_Keur,Devex_Date,"&gt;="&amp;M$3,Devex_Date,"&lt;="&amp;M$4,Devex_Land,0)</f>
        <v>-43.8356164383562</v>
      </c>
      <c r="N54" s="33" t="n">
        <f aca="false">-SUMIFS(Devex_Keur,Devex_Date,"&gt;="&amp;N$3,Devex_Date,"&lt;="&amp;N$4,Devex_Land,0)</f>
        <v>-43.8356164383562</v>
      </c>
      <c r="O54" s="33" t="n">
        <f aca="false">-SUMIFS(Devex_Keur,Devex_Date,"&gt;="&amp;O$3,Devex_Date,"&lt;="&amp;O$4,Devex_Land,0)</f>
        <v>-184.361643835616</v>
      </c>
      <c r="P54" s="33" t="n">
        <f aca="false">-SUMIFS(Devex_Keur,Devex_Date,"&gt;="&amp;P$3,Devex_Date,"&lt;="&amp;P$4,Devex_Land,0)</f>
        <v>-1290.04179480011</v>
      </c>
      <c r="Q54" s="33" t="n">
        <f aca="false">-SUMIFS(Devex_Keur,Devex_Date,"&gt;="&amp;Q$3,Devex_Date,"&lt;="&amp;Q$4,Devex_Land,0)</f>
        <v>-4.60958904109589</v>
      </c>
      <c r="R54" s="33" t="n">
        <f aca="false">-SUMIFS(Devex_Keur,Devex_Date,"&gt;="&amp;R$3,Devex_Date,"&lt;="&amp;R$4,Devex_Land,0)</f>
        <v>-164.091509980431</v>
      </c>
      <c r="S54" s="33" t="n">
        <f aca="false">-SUMIFS(Devex_Keur,Devex_Date,"&gt;="&amp;S$3,Devex_Date,"&lt;="&amp;S$4,Devex_Land,0)</f>
        <v>-32.8767123287671</v>
      </c>
      <c r="T54" s="33" t="n">
        <f aca="false">-SUMIFS(Devex_Keur,Devex_Date,"&gt;="&amp;T$3,Devex_Date,"&lt;="&amp;T$4,Devex_Land,0)</f>
        <v>-54.7945205479452</v>
      </c>
      <c r="U54" s="33" t="n">
        <f aca="false">-SUMIFS(Devex_Keur,Devex_Date,"&gt;="&amp;U$3,Devex_Date,"&lt;="&amp;U$4,Devex_Land,0)</f>
        <v>-0</v>
      </c>
      <c r="V54" s="33" t="n">
        <f aca="false">-SUMIFS(Devex_Keur,Devex_Date,"&gt;="&amp;V$3,Devex_Date,"&lt;="&amp;V$4,Devex_Land,0)</f>
        <v>-0</v>
      </c>
      <c r="W54" s="33" t="n">
        <f aca="false">-SUMIFS(Devex_Keur,Devex_Date,"&gt;="&amp;W$3,Devex_Date,"&lt;="&amp;W$4,Devex_Land,0)</f>
        <v>-0</v>
      </c>
      <c r="X54" s="33" t="n">
        <f aca="false">-SUMIFS(Devex_Keur,Devex_Date,"&gt;="&amp;X$3,Devex_Date,"&lt;="&amp;X$4,Devex_Land,0)</f>
        <v>-0</v>
      </c>
      <c r="Y54" s="33" t="n">
        <f aca="false">-SUMIFS(Devex_Keur,Devex_Date,"&gt;="&amp;Y$3,Devex_Date,"&lt;="&amp;Y$4,Devex_Land,0)</f>
        <v>-0</v>
      </c>
      <c r="Z54" s="33" t="n">
        <f aca="false">-SUMIFS(Devex_Keur,Devex_Date,"&gt;="&amp;Z$3,Devex_Date,"&lt;="&amp;Z$4,Devex_Land,0)</f>
        <v>-0</v>
      </c>
      <c r="AA54" s="33" t="n">
        <f aca="false">-SUMIFS(Devex_Keur,Devex_Date,"&gt;="&amp;AA$3,Devex_Date,"&lt;="&amp;AA$4,Devex_Land,0)</f>
        <v>-0</v>
      </c>
      <c r="AB54" s="33" t="n">
        <f aca="false">-SUMIFS(Devex_Keur,Devex_Date,"&gt;="&amp;AB$3,Devex_Date,"&lt;="&amp;AB$4,Devex_Land,0)</f>
        <v>-0</v>
      </c>
      <c r="AC54" s="33" t="n">
        <f aca="false">-SUMIFS(Devex_Keur,Devex_Date,"&gt;="&amp;AC$3,Devex_Date,"&lt;="&amp;AC$4,Devex_Land,0)</f>
        <v>-0</v>
      </c>
      <c r="AD54" s="33" t="n">
        <f aca="false">-SUMIFS(Devex_Keur,Devex_Date,"&gt;="&amp;AD$3,Devex_Date,"&lt;="&amp;AD$4,Devex_Land,0)</f>
        <v>-0</v>
      </c>
      <c r="AE54" s="33" t="n">
        <f aca="false">-SUMIFS(Devex_Keur,Devex_Date,"&gt;="&amp;AE$3,Devex_Date,"&lt;="&amp;AE$4,Devex_Land,0)</f>
        <v>-0</v>
      </c>
      <c r="AF54" s="33" t="n">
        <f aca="false">-SUMIFS(Devex_Keur,Devex_Date,"&gt;="&amp;AF$3,Devex_Date,"&lt;="&amp;AF$4,Devex_Land,0)</f>
        <v>-0</v>
      </c>
      <c r="AG54" s="33" t="n">
        <f aca="false">-SUMIFS(Devex_Keur,Devex_Date,"&gt;="&amp;AG$3,Devex_Date,"&lt;="&amp;AG$4,Devex_Land,0)</f>
        <v>-0</v>
      </c>
      <c r="AH54" s="33" t="n">
        <f aca="false">-SUMIFS(Devex_Keur,Devex_Date,"&gt;="&amp;AH$3,Devex_Date,"&lt;="&amp;AH$4,Devex_Land,0)</f>
        <v>-0</v>
      </c>
      <c r="AI54" s="33" t="n">
        <f aca="false">-SUMIFS(Devex_Keur,Devex_Date,"&gt;="&amp;AI$3,Devex_Date,"&lt;="&amp;AI$4,Devex_Land,0)</f>
        <v>-0</v>
      </c>
      <c r="AJ54" s="33" t="n">
        <f aca="false">-SUMIFS(Devex_Keur,Devex_Date,"&gt;="&amp;AJ$3,Devex_Date,"&lt;="&amp;AJ$4,Devex_Land,0)</f>
        <v>-0</v>
      </c>
      <c r="AK54" s="33" t="n">
        <f aca="false">-SUMIFS(Devex_Keur,Devex_Date,"&gt;="&amp;AK$3,Devex_Date,"&lt;="&amp;AK$4,Devex_Land,0)</f>
        <v>-0</v>
      </c>
      <c r="AL54" s="33" t="n">
        <f aca="false">-SUMIFS(Devex_Keur,Devex_Date,"&gt;="&amp;AL$3,Devex_Date,"&lt;="&amp;AL$4,Devex_Land,0)</f>
        <v>-0</v>
      </c>
      <c r="AM54" s="33" t="n">
        <f aca="false">-SUMIFS(Devex_Keur,Devex_Date,"&gt;="&amp;AM$3,Devex_Date,"&lt;="&amp;AM$4,Devex_Land,0)</f>
        <v>-0</v>
      </c>
      <c r="AN54" s="33" t="n">
        <f aca="false">-SUMIFS(Devex_Keur,Devex_Date,"&gt;="&amp;AN$3,Devex_Date,"&lt;="&amp;AN$4,Devex_Land,0)</f>
        <v>-0</v>
      </c>
      <c r="AO54" s="33" t="n">
        <f aca="false">-SUMIFS(Devex_Keur,Devex_Date,"&gt;="&amp;AO$3,Devex_Date,"&lt;="&amp;AO$4,Devex_Land,0)</f>
        <v>-0</v>
      </c>
      <c r="AP54" s="33" t="n">
        <f aca="false">-SUMIFS(Devex_Keur,Devex_Date,"&gt;="&amp;AP$3,Devex_Date,"&lt;="&amp;AP$4,Devex_Land,0)</f>
        <v>-0</v>
      </c>
      <c r="AQ54" s="33" t="n">
        <f aca="false">-SUMIFS(Devex_Keur,Devex_Date,"&gt;="&amp;AQ$3,Devex_Date,"&lt;="&amp;AQ$4,Devex_Land,0)</f>
        <v>-0</v>
      </c>
      <c r="AR54" s="33" t="n">
        <f aca="false">-SUMIFS(Devex_Keur,Devex_Date,"&gt;="&amp;AR$3,Devex_Date,"&lt;="&amp;AR$4,Devex_Land,0)</f>
        <v>-0</v>
      </c>
      <c r="AS54" s="33" t="n">
        <f aca="false">-SUMIFS(Devex_Keur,Devex_Date,"&gt;="&amp;AS$3,Devex_Date,"&lt;="&amp;AS$4,Devex_Land,0)</f>
        <v>-0</v>
      </c>
      <c r="AT54" s="33" t="n">
        <f aca="false">-SUMIFS(Devex_Keur,Devex_Date,"&gt;="&amp;AT$3,Devex_Date,"&lt;="&amp;AT$4,Devex_Land,0)</f>
        <v>-0</v>
      </c>
      <c r="AU54" s="33" t="n">
        <f aca="false">-SUMIFS(Devex_Keur,Devex_Date,"&gt;="&amp;AU$3,Devex_Date,"&lt;="&amp;AU$4,Devex_Land,0)</f>
        <v>-0</v>
      </c>
      <c r="AV54" s="33" t="n">
        <f aca="false">-SUMIFS(Devex_Keur,Devex_Date,"&gt;="&amp;AV$3,Devex_Date,"&lt;="&amp;AV$4,Devex_Land,0)</f>
        <v>-0</v>
      </c>
      <c r="AW54" s="33" t="n">
        <f aca="false">-SUMIFS(Devex_Keur,Devex_Date,"&gt;="&amp;AW$3,Devex_Date,"&lt;="&amp;AW$4,Devex_Land,0)</f>
        <v>-0</v>
      </c>
      <c r="AX54" s="33" t="n">
        <f aca="false">-SUMIFS(Devex_Keur,Devex_Date,"&gt;="&amp;AX$3,Devex_Date,"&lt;="&amp;AX$4,Devex_Land,0)</f>
        <v>-0</v>
      </c>
      <c r="AY54" s="33" t="n">
        <f aca="false">-SUMIFS(Devex_Keur,Devex_Date,"&gt;="&amp;AY$3,Devex_Date,"&lt;="&amp;AY$4,Devex_Land,0)</f>
        <v>-0</v>
      </c>
      <c r="AZ54" s="33" t="n">
        <f aca="false">-SUMIFS(Devex_Keur,Devex_Date,"&gt;="&amp;AZ$3,Devex_Date,"&lt;="&amp;AZ$4,Devex_Land,0)</f>
        <v>-0</v>
      </c>
      <c r="BA54" s="33" t="n">
        <f aca="false">-SUMIFS(Devex_Keur,Devex_Date,"&gt;="&amp;BA$3,Devex_Date,"&lt;="&amp;BA$4,Devex_Land,0)</f>
        <v>-0</v>
      </c>
      <c r="BB54" s="33" t="n">
        <f aca="false">-SUMIFS(Devex_Keur,Devex_Date,"&gt;="&amp;BB$3,Devex_Date,"&lt;="&amp;BB$4,Devex_Land,0)</f>
        <v>-0</v>
      </c>
      <c r="BC54" s="33" t="n">
        <f aca="false">-SUMIFS(Devex_Keur,Devex_Date,"&gt;="&amp;BC$3,Devex_Date,"&lt;="&amp;BC$4,Devex_Land,0)</f>
        <v>-0</v>
      </c>
      <c r="BD54" s="33" t="n">
        <f aca="false">-SUMIFS(Devex_Keur,Devex_Date,"&gt;="&amp;BD$3,Devex_Date,"&lt;="&amp;BD$4,Devex_Land,0)</f>
        <v>-0</v>
      </c>
      <c r="BE54" s="33" t="n">
        <f aca="false">-SUMIFS(Devex_Keur,Devex_Date,"&gt;="&amp;BE$3,Devex_Date,"&lt;="&amp;BE$4,Devex_Land,0)</f>
        <v>-0</v>
      </c>
      <c r="BF54" s="33" t="n">
        <f aca="false">-SUMIFS(Devex_Keur,Devex_Date,"&gt;="&amp;BF$3,Devex_Date,"&lt;="&amp;BF$4,Devex_Land,0)</f>
        <v>-0</v>
      </c>
      <c r="BG54" s="33" t="n">
        <f aca="false">-SUMIFS(Devex_Keur,Devex_Date,"&gt;="&amp;BG$3,Devex_Date,"&lt;="&amp;BG$4,Devex_Land,0)</f>
        <v>-0</v>
      </c>
      <c r="BH54" s="33" t="n">
        <f aca="false">-SUMIFS(Devex_Keur,Devex_Date,"&gt;="&amp;BH$3,Devex_Date,"&lt;="&amp;BH$4,Devex_Land,0)</f>
        <v>-0</v>
      </c>
      <c r="BI54" s="33" t="n">
        <f aca="false">-SUMIFS(Devex_Keur,Devex_Date,"&gt;="&amp;BI$3,Devex_Date,"&lt;="&amp;BI$4,Devex_Land,0)</f>
        <v>-0</v>
      </c>
      <c r="BJ54" s="33" t="n">
        <f aca="false">-SUMIFS(Devex_Keur,Devex_Date,"&gt;="&amp;BJ$3,Devex_Date,"&lt;="&amp;BJ$4,Devex_Land,0)</f>
        <v>-0</v>
      </c>
      <c r="BK54" s="33" t="n">
        <f aca="false">-SUMIFS(Devex_Keur,Devex_Date,"&gt;="&amp;BK$3,Devex_Date,"&lt;="&amp;BK$4,Devex_Land,0)</f>
        <v>-0</v>
      </c>
      <c r="BL54" s="33" t="n">
        <f aca="false">-SUMIFS(Devex_Keur,Devex_Date,"&gt;="&amp;BL$3,Devex_Date,"&lt;="&amp;BL$4,Devex_Land,0)</f>
        <v>-0</v>
      </c>
      <c r="BM54" s="33" t="n">
        <f aca="false">-SUMIFS(Devex_Keur,Devex_Date,"&gt;="&amp;BM$3,Devex_Date,"&lt;="&amp;BM$4,Devex_Land,0)</f>
        <v>-0</v>
      </c>
      <c r="BN54" s="33" t="n">
        <f aca="false">-SUMIFS(Devex_Keur,Devex_Date,"&gt;="&amp;BN$3,Devex_Date,"&lt;="&amp;BN$4,Devex_Land,0)</f>
        <v>-0</v>
      </c>
      <c r="BO54" s="33" t="n">
        <f aca="false">-SUMIFS(Devex_Keur,Devex_Date,"&gt;="&amp;BO$3,Devex_Date,"&lt;="&amp;BO$4,Devex_Land,0)</f>
        <v>-0</v>
      </c>
      <c r="BP54" s="33" t="n">
        <f aca="false">-SUMIFS(Devex_Keur,Devex_Date,"&gt;="&amp;BP$3,Devex_Date,"&lt;="&amp;BP$4,Devex_Land,0)</f>
        <v>-0</v>
      </c>
      <c r="BQ54" s="33" t="n">
        <f aca="false">-SUMIFS(Devex_Keur,Devex_Date,"&gt;="&amp;BQ$3,Devex_Date,"&lt;="&amp;BQ$4,Devex_Land,0)</f>
        <v>-0</v>
      </c>
      <c r="BR54" s="33" t="n">
        <f aca="false">-SUMIFS(Devex_Keur,Devex_Date,"&gt;="&amp;BR$3,Devex_Date,"&lt;="&amp;BR$4,Devex_Land,0)</f>
        <v>-0</v>
      </c>
      <c r="BS54" s="33" t="n">
        <f aca="false">-SUMIFS(Devex_Keur,Devex_Date,"&gt;="&amp;BS$3,Devex_Date,"&lt;="&amp;BS$4,Devex_Land,0)</f>
        <v>-0</v>
      </c>
      <c r="BT54" s="33" t="n">
        <f aca="false">-SUMIFS(Devex_Keur,Devex_Date,"&gt;="&amp;BT$3,Devex_Date,"&lt;="&amp;BT$4,Devex_Land,0)</f>
        <v>-0</v>
      </c>
      <c r="BU54" s="33" t="n">
        <f aca="false">-SUMIFS(Devex_Keur,Devex_Date,"&gt;="&amp;BU$3,Devex_Date,"&lt;="&amp;BU$4,Devex_Land,0)</f>
        <v>-0</v>
      </c>
      <c r="BV54" s="33" t="n">
        <f aca="false">-SUMIFS(Devex_Keur,Devex_Date,"&gt;="&amp;BV$3,Devex_Date,"&lt;="&amp;BV$4,Devex_Land,0)</f>
        <v>-0</v>
      </c>
      <c r="BW54" s="33" t="n">
        <f aca="false">-SUMIFS(Devex_Keur,Devex_Date,"&gt;="&amp;BW$3,Devex_Date,"&lt;="&amp;BW$4,Devex_Land,0)</f>
        <v>-0</v>
      </c>
      <c r="BX54" s="33" t="n">
        <f aca="false">-SUMIFS(Devex_Keur,Devex_Date,"&gt;="&amp;BX$3,Devex_Date,"&lt;="&amp;BX$4,Devex_Land,0)</f>
        <v>-0</v>
      </c>
      <c r="BY54" s="33" t="n">
        <f aca="false">-SUMIFS(Devex_Keur,Devex_Date,"&gt;="&amp;BY$3,Devex_Date,"&lt;="&amp;BY$4,Devex_Land,0)</f>
        <v>-0</v>
      </c>
      <c r="BZ54" s="33" t="n">
        <f aca="false">-SUMIFS(Devex_Keur,Devex_Date,"&gt;="&amp;BZ$3,Devex_Date,"&lt;="&amp;BZ$4,Devex_Land,0)</f>
        <v>-0</v>
      </c>
      <c r="CA54" s="33" t="n">
        <f aca="false">-SUMIFS(Devex_Keur,Devex_Date,"&gt;="&amp;CA$3,Devex_Date,"&lt;="&amp;CA$4,Devex_Land,0)</f>
        <v>-0</v>
      </c>
      <c r="CB54" s="33" t="n">
        <f aca="false">-SUMIFS(Devex_Keur,Devex_Date,"&gt;="&amp;CB$3,Devex_Date,"&lt;="&amp;CB$4,Devex_Land,0)</f>
        <v>-0</v>
      </c>
      <c r="CC54" s="33" t="n">
        <f aca="false">-SUMIFS(Devex_Keur,Devex_Date,"&gt;="&amp;CC$3,Devex_Date,"&lt;="&amp;CC$4,Devex_Land,0)</f>
        <v>-0</v>
      </c>
      <c r="CD54" s="33" t="n">
        <f aca="false">-SUMIFS(Devex_Keur,Devex_Date,"&gt;="&amp;CD$3,Devex_Date,"&lt;="&amp;CD$4,Devex_Land,0)</f>
        <v>-0</v>
      </c>
      <c r="CE54" s="33" t="n">
        <f aca="false">-SUMIFS(Devex_Keur,Devex_Date,"&gt;="&amp;CE$3,Devex_Date,"&lt;="&amp;CE$4,Devex_Land,0)</f>
        <v>-0</v>
      </c>
      <c r="CF54" s="33" t="n">
        <f aca="false">-SUMIFS(Devex_Keur,Devex_Date,"&gt;="&amp;CF$3,Devex_Date,"&lt;="&amp;CF$4,Devex_Land,0)</f>
        <v>-0</v>
      </c>
      <c r="CG54" s="33" t="n">
        <f aca="false">-SUMIFS(Devex_Keur,Devex_Date,"&gt;="&amp;CG$3,Devex_Date,"&lt;="&amp;CG$4,Devex_Land,0)</f>
        <v>-0</v>
      </c>
      <c r="CH54" s="33" t="n">
        <f aca="false">-SUMIFS(Devex_Keur,Devex_Date,"&gt;="&amp;CH$3,Devex_Date,"&lt;="&amp;CH$4,Devex_Land,0)</f>
        <v>-0</v>
      </c>
      <c r="CI54" s="33" t="n">
        <f aca="false">-SUMIFS(Devex_Keur,Devex_Date,"&gt;="&amp;CI$3,Devex_Date,"&lt;="&amp;CI$4,Devex_Land,0)</f>
        <v>-0</v>
      </c>
      <c r="CJ54" s="33" t="n">
        <f aca="false">-SUMIFS(Devex_Keur,Devex_Date,"&gt;="&amp;CJ$3,Devex_Date,"&lt;="&amp;CJ$4,Devex_Land,0)</f>
        <v>-0</v>
      </c>
      <c r="CK54" s="33" t="n">
        <f aca="false">-SUMIFS(Devex_Keur,Devex_Date,"&gt;="&amp;CK$3,Devex_Date,"&lt;="&amp;CK$4,Devex_Land,0)</f>
        <v>-0</v>
      </c>
      <c r="CL54" s="33" t="n">
        <f aca="false">-SUMIFS(Devex_Keur,Devex_Date,"&gt;="&amp;CL$3,Devex_Date,"&lt;="&amp;CL$4,Devex_Land,0)</f>
        <v>-0</v>
      </c>
      <c r="CM54" s="33" t="n">
        <f aca="false">-SUMIFS(Devex_Keur,Devex_Date,"&gt;="&amp;CM$3,Devex_Date,"&lt;="&amp;CM$4,Devex_Land,0)</f>
        <v>-0</v>
      </c>
      <c r="CN54" s="33" t="n">
        <f aca="false">-SUMIFS(Devex_Keur,Devex_Date,"&gt;="&amp;CN$3,Devex_Date,"&lt;="&amp;CN$4,Devex_Land,0)</f>
        <v>-0</v>
      </c>
      <c r="CO54" s="33" t="n">
        <f aca="false">-SUMIFS(Devex_Keur,Devex_Date,"&gt;="&amp;CO$3,Devex_Date,"&lt;="&amp;CO$4,Devex_Land,0)</f>
        <v>-0</v>
      </c>
      <c r="CP54" s="33" t="n">
        <f aca="false">-SUMIFS(Devex_Keur,Devex_Date,"&gt;="&amp;CP$3,Devex_Date,"&lt;="&amp;CP$4,Devex_Land,0)</f>
        <v>-0</v>
      </c>
      <c r="CQ54" s="33" t="n">
        <f aca="false">-SUMIFS(Devex_Keur,Devex_Date,"&gt;="&amp;CQ$3,Devex_Date,"&lt;="&amp;CQ$4,Devex_Land,0)</f>
        <v>-0</v>
      </c>
      <c r="CR54" s="33" t="n">
        <f aca="false">-SUMIFS(Devex_Keur,Devex_Date,"&gt;="&amp;CR$3,Devex_Date,"&lt;="&amp;CR$4,Devex_Land,0)</f>
        <v>-0</v>
      </c>
      <c r="CS54" s="33" t="n">
        <f aca="false">-SUMIFS(Devex_Keur,Devex_Date,"&gt;="&amp;CS$3,Devex_Date,"&lt;="&amp;CS$4,Devex_Land,0)</f>
        <v>-0</v>
      </c>
      <c r="CT54" s="33" t="n">
        <f aca="false">-SUMIFS(Devex_Keur,Devex_Date,"&gt;="&amp;CT$3,Devex_Date,"&lt;="&amp;CT$4,Devex_Land,0)</f>
        <v>-0</v>
      </c>
      <c r="CU54" s="33" t="n">
        <f aca="false">-SUMIFS(Devex_Keur,Devex_Date,"&gt;="&amp;CU$3,Devex_Date,"&lt;="&amp;CU$4,Devex_Land,0)</f>
        <v>-0</v>
      </c>
      <c r="CV54" s="33" t="n">
        <f aca="false">-SUMIFS(Devex_Keur,Devex_Date,"&gt;="&amp;CV$3,Devex_Date,"&lt;="&amp;CV$4,Devex_Land,0)</f>
        <v>-0</v>
      </c>
      <c r="CW54" s="33" t="n">
        <f aca="false">-SUMIFS(Devex_Keur,Devex_Date,"&gt;="&amp;CW$3,Devex_Date,"&lt;="&amp;CW$4,Devex_Land,0)</f>
        <v>-0</v>
      </c>
      <c r="CX54" s="33" t="n">
        <f aca="false">-SUMIFS(Devex_Keur,Devex_Date,"&gt;="&amp;CX$3,Devex_Date,"&lt;="&amp;CX$4,Devex_Land,0)</f>
        <v>-0</v>
      </c>
      <c r="CY54" s="33" t="n">
        <f aca="false">-SUMIFS(Devex_Keur,Devex_Date,"&gt;="&amp;CY$3,Devex_Date,"&lt;="&amp;CY$4,Devex_Land,0)</f>
        <v>-0</v>
      </c>
      <c r="CZ54" s="33" t="n">
        <f aca="false">-SUMIFS(Devex_Keur,Devex_Date,"&gt;="&amp;CZ$3,Devex_Date,"&lt;="&amp;CZ$4,Devex_Land,0)</f>
        <v>-0</v>
      </c>
      <c r="DA54" s="33" t="n">
        <f aca="false">-SUMIFS(Devex_Keur,Devex_Date,"&gt;="&amp;DA$3,Devex_Date,"&lt;="&amp;DA$4,Devex_Land,0)</f>
        <v>-0</v>
      </c>
      <c r="DB54" s="33" t="n">
        <f aca="false">-SUMIFS(Devex_Keur,Devex_Date,"&gt;="&amp;DB$3,Devex_Date,"&lt;="&amp;DB$4,Devex_Land,0)</f>
        <v>-0</v>
      </c>
      <c r="DC54" s="33" t="n">
        <f aca="false">-SUMIFS(Devex_Keur,Devex_Date,"&gt;="&amp;DC$3,Devex_Date,"&lt;="&amp;DC$4,Devex_Land,0)</f>
        <v>-0</v>
      </c>
      <c r="DD54" s="33" t="n">
        <f aca="false">-SUMIFS(Devex_Keur,Devex_Date,"&gt;="&amp;DD$3,Devex_Date,"&lt;="&amp;DD$4,Devex_Land,0)</f>
        <v>-0</v>
      </c>
      <c r="DE54" s="33" t="n">
        <f aca="false">-SUMIFS(Devex_Keur,Devex_Date,"&gt;="&amp;DE$3,Devex_Date,"&lt;="&amp;DE$4,Devex_Land,0)</f>
        <v>-0</v>
      </c>
      <c r="DF54" s="33" t="n">
        <f aca="false">-SUMIFS(Devex_Keur,Devex_Date,"&gt;="&amp;DF$3,Devex_Date,"&lt;="&amp;DF$4,Devex_Land,0)</f>
        <v>-0</v>
      </c>
      <c r="DG54" s="33" t="n">
        <f aca="false">-SUMIFS(Devex_Keur,Devex_Date,"&gt;="&amp;DG$3,Devex_Date,"&lt;="&amp;DG$4,Devex_Land,0)</f>
        <v>-0</v>
      </c>
      <c r="DH54" s="33" t="n">
        <f aca="false">-SUMIFS(Devex_Keur,Devex_Date,"&gt;="&amp;DH$3,Devex_Date,"&lt;="&amp;DH$4,Devex_Land,0)</f>
        <v>-0</v>
      </c>
      <c r="DI54" s="33" t="n">
        <f aca="false">-SUMIFS(Devex_Keur,Devex_Date,"&gt;="&amp;DI$3,Devex_Date,"&lt;="&amp;DI$4,Devex_Land,0)</f>
        <v>-0</v>
      </c>
      <c r="DJ54" s="33" t="n">
        <f aca="false">-SUMIFS(Devex_Keur,Devex_Date,"&gt;="&amp;DJ$3,Devex_Date,"&lt;="&amp;DJ$4,Devex_Land,0)</f>
        <v>-0</v>
      </c>
      <c r="DK54" s="33" t="n">
        <f aca="false">-SUMIFS(Devex_Keur,Devex_Date,"&gt;="&amp;DK$3,Devex_Date,"&lt;="&amp;DK$4,Devex_Land,0)</f>
        <v>-0</v>
      </c>
      <c r="DL54" s="33" t="n">
        <f aca="false">-SUMIFS(Devex_Keur,Devex_Date,"&gt;="&amp;DL$3,Devex_Date,"&lt;="&amp;DL$4,Devex_Land,0)</f>
        <v>-0</v>
      </c>
      <c r="DM54" s="33" t="n">
        <f aca="false">-SUMIFS(Devex_Keur,Devex_Date,"&gt;="&amp;DM$3,Devex_Date,"&lt;="&amp;DM$4,Devex_Land,0)</f>
        <v>-0</v>
      </c>
      <c r="DN54" s="33" t="n">
        <f aca="false">-SUMIFS(Devex_Keur,Devex_Date,"&gt;="&amp;DN$3,Devex_Date,"&lt;="&amp;DN$4,Devex_Land,0)</f>
        <v>-0</v>
      </c>
      <c r="DO54" s="33" t="n">
        <f aca="false">-SUMIFS(Devex_Keur,Devex_Date,"&gt;="&amp;DO$3,Devex_Date,"&lt;="&amp;DO$4,Devex_Land,0)</f>
        <v>-0</v>
      </c>
      <c r="DP54" s="33" t="n">
        <f aca="false">-SUMIFS(Devex_Keur,Devex_Date,"&gt;="&amp;DP$3,Devex_Date,"&lt;="&amp;DP$4,Devex_Land,0)</f>
        <v>-0</v>
      </c>
      <c r="DQ54" s="33" t="n">
        <f aca="false">-SUMIFS(Devex_Keur,Devex_Date,"&gt;="&amp;DQ$3,Devex_Date,"&lt;="&amp;DQ$4,Devex_Land,0)</f>
        <v>-0</v>
      </c>
      <c r="DR54" s="33" t="n">
        <f aca="false">-SUMIFS(Devex_Keur,Devex_Date,"&gt;="&amp;DR$3,Devex_Date,"&lt;="&amp;DR$4,Devex_Land,0)</f>
        <v>-0</v>
      </c>
      <c r="DS54" s="33" t="n">
        <f aca="false">-SUMIFS(Devex_Keur,Devex_Date,"&gt;="&amp;DS$3,Devex_Date,"&lt;="&amp;DS$4,Devex_Land,0)</f>
        <v>-0</v>
      </c>
      <c r="DT54" s="33" t="n">
        <f aca="false">-SUMIFS(Devex_Keur,Devex_Date,"&gt;="&amp;DT$3,Devex_Date,"&lt;="&amp;DT$4,Devex_Land,0)</f>
        <v>-0</v>
      </c>
      <c r="DU54" s="33" t="n">
        <f aca="false">-SUMIFS(Devex_Keur,Devex_Date,"&gt;="&amp;DU$3,Devex_Date,"&lt;="&amp;DU$4,Devex_Land,0)</f>
        <v>-0</v>
      </c>
      <c r="DV54" s="33" t="n">
        <f aca="false">-SUMIFS(Devex_Keur,Devex_Date,"&gt;="&amp;DV$3,Devex_Date,"&lt;="&amp;DV$4,Devex_Land,0)</f>
        <v>-0</v>
      </c>
      <c r="DW54" s="33" t="n">
        <f aca="false">-SUMIFS(Devex_Keur,Devex_Date,"&gt;="&amp;DW$3,Devex_Date,"&lt;="&amp;DW$4,Devex_Land,0)</f>
        <v>-0</v>
      </c>
      <c r="DX54" s="33" t="n">
        <f aca="false">-SUMIFS(Devex_Keur,Devex_Date,"&gt;="&amp;DX$3,Devex_Date,"&lt;="&amp;DX$4,Devex_Land,0)</f>
        <v>-0</v>
      </c>
      <c r="DY54" s="33" t="n">
        <f aca="false">-SUMIFS(Devex_Keur,Devex_Date,"&gt;="&amp;DY$3,Devex_Date,"&lt;="&amp;DY$4,Devex_Land,0)</f>
        <v>-0</v>
      </c>
      <c r="DZ54" s="33" t="n">
        <f aca="false">-SUMIFS(Devex_Keur,Devex_Date,"&gt;="&amp;DZ$3,Devex_Date,"&lt;="&amp;DZ$4,Devex_Land,0)</f>
        <v>-0</v>
      </c>
      <c r="EA54" s="33" t="n">
        <f aca="false">-SUMIFS(Devex_Keur,Devex_Date,"&gt;="&amp;EA$3,Devex_Date,"&lt;="&amp;EA$4,Devex_Land,0)</f>
        <v>-0</v>
      </c>
      <c r="EB54" s="33" t="n">
        <f aca="false">-SUMIFS(Devex_Keur,Devex_Date,"&gt;="&amp;EB$3,Devex_Date,"&lt;="&amp;EB$4,Devex_Land,0)</f>
        <v>-0</v>
      </c>
      <c r="EC54" s="33" t="n">
        <f aca="false">-SUMIFS(Devex_Keur,Devex_Date,"&gt;="&amp;EC$3,Devex_Date,"&lt;="&amp;EC$4,Devex_Land,0)</f>
        <v>-0</v>
      </c>
      <c r="ED54" s="33" t="n">
        <f aca="false">-SUMIFS(Devex_Keur,Devex_Date,"&gt;="&amp;ED$3,Devex_Date,"&lt;="&amp;ED$4,Devex_Land,0)</f>
        <v>-0</v>
      </c>
      <c r="EE54" s="33" t="n">
        <f aca="false">-SUMIFS(Devex_Keur,Devex_Date,"&gt;="&amp;EE$3,Devex_Date,"&lt;="&amp;EE$4,Devex_Land,0)</f>
        <v>-0</v>
      </c>
      <c r="EF54" s="33" t="n">
        <f aca="false">-SUMIFS(Devex_Keur,Devex_Date,"&gt;="&amp;EF$3,Devex_Date,"&lt;="&amp;EF$4,Devex_Land,0)</f>
        <v>-0</v>
      </c>
      <c r="EG54" s="33" t="n">
        <f aca="false">-SUMIFS(Devex_Keur,Devex_Date,"&gt;="&amp;EG$3,Devex_Date,"&lt;="&amp;EG$4,Devex_Land,0)</f>
        <v>-0</v>
      </c>
      <c r="EH54" s="33" t="n">
        <f aca="false">-SUMIFS(Devex_Keur,Devex_Date,"&gt;="&amp;EH$3,Devex_Date,"&lt;="&amp;EH$4,Devex_Land,0)</f>
        <v>-0</v>
      </c>
      <c r="EI54" s="33" t="n">
        <f aca="false">-SUMIFS(Devex_Keur,Devex_Date,"&gt;="&amp;EI$3,Devex_Date,"&lt;="&amp;EI$4,Devex_Land,0)</f>
        <v>-0</v>
      </c>
      <c r="EJ54" s="33" t="n">
        <f aca="false">-SUMIFS(Devex_Keur,Devex_Date,"&gt;="&amp;EJ$3,Devex_Date,"&lt;="&amp;EJ$4,Devex_Land,0)</f>
        <v>-0</v>
      </c>
      <c r="EK54" s="33" t="n">
        <f aca="false">-SUMIFS(Devex_Keur,Devex_Date,"&gt;="&amp;EK$3,Devex_Date,"&lt;="&amp;EK$4,Devex_Land,0)</f>
        <v>-0</v>
      </c>
      <c r="EL54" s="33" t="n">
        <f aca="false">-SUMIFS(Devex_Keur,Devex_Date,"&gt;="&amp;EL$3,Devex_Date,"&lt;="&amp;EL$4,Devex_Land,0)</f>
        <v>-0</v>
      </c>
      <c r="EM54" s="33" t="n">
        <f aca="false">-SUMIFS(Devex_Keur,Devex_Date,"&gt;="&amp;EM$3,Devex_Date,"&lt;="&amp;EM$4,Devex_Land,0)</f>
        <v>-0</v>
      </c>
      <c r="EN54" s="33" t="n">
        <f aca="false">-SUMIFS(Devex_Keur,Devex_Date,"&gt;="&amp;EN$3,Devex_Date,"&lt;="&amp;EN$4,Devex_Land,0)</f>
        <v>-0</v>
      </c>
      <c r="EO54" s="33" t="n">
        <f aca="false">-SUMIFS(Devex_Keur,Devex_Date,"&gt;="&amp;EO$3,Devex_Date,"&lt;="&amp;EO$4,Devex_Land,0)</f>
        <v>-0</v>
      </c>
      <c r="EP54" s="33" t="n">
        <f aca="false">-SUMIFS(Devex_Keur,Devex_Date,"&gt;="&amp;EP$3,Devex_Date,"&lt;="&amp;EP$4,Devex_Land,0)</f>
        <v>-0</v>
      </c>
      <c r="EQ54" s="33" t="n">
        <f aca="false">-SUMIFS(Devex_Keur,Devex_Date,"&gt;="&amp;EQ$3,Devex_Date,"&lt;="&amp;EQ$4,Devex_Land,0)</f>
        <v>-0</v>
      </c>
      <c r="ER54" s="33" t="n">
        <f aca="false">-SUMIFS(Devex_Keur,Devex_Date,"&gt;="&amp;ER$3,Devex_Date,"&lt;="&amp;ER$4,Devex_Land,0)</f>
        <v>-0</v>
      </c>
      <c r="ES54" s="33" t="n">
        <f aca="false">-SUMIFS(Devex_Keur,Devex_Date,"&gt;="&amp;ES$3,Devex_Date,"&lt;="&amp;ES$4,Devex_Land,0)</f>
        <v>-0</v>
      </c>
      <c r="ET54" s="33" t="n">
        <f aca="false">-SUMIFS(Devex_Keur,Devex_Date,"&gt;="&amp;ET$3,Devex_Date,"&lt;="&amp;ET$4,Devex_Land,0)</f>
        <v>-0</v>
      </c>
    </row>
    <row r="55" customFormat="false" ht="15" hidden="false" customHeight="false" outlineLevel="0" collapsed="false">
      <c r="C55" s="0" t="s">
        <v>523</v>
      </c>
      <c r="D55" s="11" t="s">
        <v>253</v>
      </c>
      <c r="E55" s="33" t="n">
        <f aca="false">-SUMIF($J$4:$ET$4,"&lt;="&amp;$E12,$J55:$ET55)</f>
        <v>430.444520547945</v>
      </c>
      <c r="I55" s="33" t="n">
        <f aca="false">SUM(J55:ET55)</f>
        <v>-430.444520547945</v>
      </c>
      <c r="J55" s="33" t="n">
        <f aca="false">-SUMIFS(Devex_Keur,Devex_Date,"&gt;="&amp;J$3,Devex_Date,"&lt;="&amp;J$4,Devex_Land,1)</f>
        <v>-0</v>
      </c>
      <c r="K55" s="33" t="n">
        <f aca="false">-SUMIFS(Devex_Keur,Devex_Date,"&gt;="&amp;K$3,Devex_Date,"&lt;="&amp;K$4,Devex_Land,1)</f>
        <v>-0</v>
      </c>
      <c r="L55" s="33" t="n">
        <f aca="false">-SUMIFS(Devex_Keur,Devex_Date,"&gt;="&amp;L$3,Devex_Date,"&lt;="&amp;L$4,Devex_Land,1)</f>
        <v>-180.581506849315</v>
      </c>
      <c r="M55" s="33" t="n">
        <f aca="false">-SUMIFS(Devex_Keur,Devex_Date,"&gt;="&amp;M$3,Devex_Date,"&lt;="&amp;M$4,Devex_Land,1)</f>
        <v>-0</v>
      </c>
      <c r="N55" s="33" t="n">
        <f aca="false">-SUMIFS(Devex_Keur,Devex_Date,"&gt;="&amp;N$3,Devex_Date,"&lt;="&amp;N$4,Devex_Land,1)</f>
        <v>-0</v>
      </c>
      <c r="O55" s="33" t="n">
        <f aca="false">-SUMIFS(Devex_Keur,Devex_Date,"&gt;="&amp;O$3,Devex_Date,"&lt;="&amp;O$4,Devex_Land,1)</f>
        <v>-0</v>
      </c>
      <c r="P55" s="33" t="n">
        <f aca="false">-SUMIFS(Devex_Keur,Devex_Date,"&gt;="&amp;P$3,Devex_Date,"&lt;="&amp;P$4,Devex_Land,1)</f>
        <v>-0</v>
      </c>
      <c r="Q55" s="33" t="n">
        <f aca="false">-SUMIFS(Devex_Keur,Devex_Date,"&gt;="&amp;Q$3,Devex_Date,"&lt;="&amp;Q$4,Devex_Land,1)</f>
        <v>-0</v>
      </c>
      <c r="R55" s="33" t="n">
        <f aca="false">-SUMIFS(Devex_Keur,Devex_Date,"&gt;="&amp;R$3,Devex_Date,"&lt;="&amp;R$4,Devex_Land,1)</f>
        <v>-0</v>
      </c>
      <c r="S55" s="33" t="n">
        <f aca="false">-SUMIFS(Devex_Keur,Devex_Date,"&gt;="&amp;S$3,Devex_Date,"&lt;="&amp;S$4,Devex_Land,1)</f>
        <v>-0</v>
      </c>
      <c r="T55" s="33" t="n">
        <f aca="false">-SUMIFS(Devex_Keur,Devex_Date,"&gt;="&amp;T$3,Devex_Date,"&lt;="&amp;T$4,Devex_Land,1)</f>
        <v>-249.86301369863</v>
      </c>
      <c r="U55" s="33" t="n">
        <f aca="false">-SUMIFS(Devex_Keur,Devex_Date,"&gt;="&amp;U$3,Devex_Date,"&lt;="&amp;U$4,Devex_Land,1)</f>
        <v>-0</v>
      </c>
      <c r="V55" s="33" t="n">
        <f aca="false">-SUMIFS(Devex_Keur,Devex_Date,"&gt;="&amp;V$3,Devex_Date,"&lt;="&amp;V$4,Devex_Land,1)</f>
        <v>-0</v>
      </c>
      <c r="W55" s="33" t="n">
        <f aca="false">-SUMIFS(Devex_Keur,Devex_Date,"&gt;="&amp;W$3,Devex_Date,"&lt;="&amp;W$4,Devex_Land,1)</f>
        <v>-0</v>
      </c>
      <c r="X55" s="33" t="n">
        <f aca="false">-SUMIFS(Devex_Keur,Devex_Date,"&gt;="&amp;X$3,Devex_Date,"&lt;="&amp;X$4,Devex_Land,1)</f>
        <v>-0</v>
      </c>
      <c r="Y55" s="33" t="n">
        <f aca="false">-SUMIFS(Devex_Keur,Devex_Date,"&gt;="&amp;Y$3,Devex_Date,"&lt;="&amp;Y$4,Devex_Land,1)</f>
        <v>-0</v>
      </c>
      <c r="Z55" s="33" t="n">
        <f aca="false">-SUMIFS(Devex_Keur,Devex_Date,"&gt;="&amp;Z$3,Devex_Date,"&lt;="&amp;Z$4,Devex_Land,1)</f>
        <v>-0</v>
      </c>
      <c r="AA55" s="33" t="n">
        <f aca="false">-SUMIFS(Devex_Keur,Devex_Date,"&gt;="&amp;AA$3,Devex_Date,"&lt;="&amp;AA$4,Devex_Land,1)</f>
        <v>-0</v>
      </c>
      <c r="AB55" s="33" t="n">
        <f aca="false">-SUMIFS(Devex_Keur,Devex_Date,"&gt;="&amp;AB$3,Devex_Date,"&lt;="&amp;AB$4,Devex_Land,1)</f>
        <v>-0</v>
      </c>
      <c r="AC55" s="33" t="n">
        <f aca="false">-SUMIFS(Devex_Keur,Devex_Date,"&gt;="&amp;AC$3,Devex_Date,"&lt;="&amp;AC$4,Devex_Land,1)</f>
        <v>-0</v>
      </c>
      <c r="AD55" s="33" t="n">
        <f aca="false">-SUMIFS(Devex_Keur,Devex_Date,"&gt;="&amp;AD$3,Devex_Date,"&lt;="&amp;AD$4,Devex_Land,1)</f>
        <v>-0</v>
      </c>
      <c r="AE55" s="33" t="n">
        <f aca="false">-SUMIFS(Devex_Keur,Devex_Date,"&gt;="&amp;AE$3,Devex_Date,"&lt;="&amp;AE$4,Devex_Land,1)</f>
        <v>-0</v>
      </c>
      <c r="AF55" s="33" t="n">
        <f aca="false">-SUMIFS(Devex_Keur,Devex_Date,"&gt;="&amp;AF$3,Devex_Date,"&lt;="&amp;AF$4,Devex_Land,1)</f>
        <v>-0</v>
      </c>
      <c r="AG55" s="33" t="n">
        <f aca="false">-SUMIFS(Devex_Keur,Devex_Date,"&gt;="&amp;AG$3,Devex_Date,"&lt;="&amp;AG$4,Devex_Land,1)</f>
        <v>-0</v>
      </c>
      <c r="AH55" s="33" t="n">
        <f aca="false">-SUMIFS(Devex_Keur,Devex_Date,"&gt;="&amp;AH$3,Devex_Date,"&lt;="&amp;AH$4,Devex_Land,1)</f>
        <v>-0</v>
      </c>
      <c r="AI55" s="33" t="n">
        <f aca="false">-SUMIFS(Devex_Keur,Devex_Date,"&gt;="&amp;AI$3,Devex_Date,"&lt;="&amp;AI$4,Devex_Land,1)</f>
        <v>-0</v>
      </c>
      <c r="AJ55" s="33" t="n">
        <f aca="false">-SUMIFS(Devex_Keur,Devex_Date,"&gt;="&amp;AJ$3,Devex_Date,"&lt;="&amp;AJ$4,Devex_Land,1)</f>
        <v>-0</v>
      </c>
      <c r="AK55" s="33" t="n">
        <f aca="false">-SUMIFS(Devex_Keur,Devex_Date,"&gt;="&amp;AK$3,Devex_Date,"&lt;="&amp;AK$4,Devex_Land,1)</f>
        <v>-0</v>
      </c>
      <c r="AL55" s="33" t="n">
        <f aca="false">-SUMIFS(Devex_Keur,Devex_Date,"&gt;="&amp;AL$3,Devex_Date,"&lt;="&amp;AL$4,Devex_Land,1)</f>
        <v>-0</v>
      </c>
      <c r="AM55" s="33" t="n">
        <f aca="false">-SUMIFS(Devex_Keur,Devex_Date,"&gt;="&amp;AM$3,Devex_Date,"&lt;="&amp;AM$4,Devex_Land,1)</f>
        <v>-0</v>
      </c>
      <c r="AN55" s="33" t="n">
        <f aca="false">-SUMIFS(Devex_Keur,Devex_Date,"&gt;="&amp;AN$3,Devex_Date,"&lt;="&amp;AN$4,Devex_Land,1)</f>
        <v>-0</v>
      </c>
      <c r="AO55" s="33" t="n">
        <f aca="false">-SUMIFS(Devex_Keur,Devex_Date,"&gt;="&amp;AO$3,Devex_Date,"&lt;="&amp;AO$4,Devex_Land,1)</f>
        <v>-0</v>
      </c>
      <c r="AP55" s="33" t="n">
        <f aca="false">-SUMIFS(Devex_Keur,Devex_Date,"&gt;="&amp;AP$3,Devex_Date,"&lt;="&amp;AP$4,Devex_Land,1)</f>
        <v>-0</v>
      </c>
      <c r="AQ55" s="33" t="n">
        <f aca="false">-SUMIFS(Devex_Keur,Devex_Date,"&gt;="&amp;AQ$3,Devex_Date,"&lt;="&amp;AQ$4,Devex_Land,1)</f>
        <v>-0</v>
      </c>
      <c r="AR55" s="33" t="n">
        <f aca="false">-SUMIFS(Devex_Keur,Devex_Date,"&gt;="&amp;AR$3,Devex_Date,"&lt;="&amp;AR$4,Devex_Land,1)</f>
        <v>-0</v>
      </c>
      <c r="AS55" s="33" t="n">
        <f aca="false">-SUMIFS(Devex_Keur,Devex_Date,"&gt;="&amp;AS$3,Devex_Date,"&lt;="&amp;AS$4,Devex_Land,1)</f>
        <v>-0</v>
      </c>
      <c r="AT55" s="33" t="n">
        <f aca="false">-SUMIFS(Devex_Keur,Devex_Date,"&gt;="&amp;AT$3,Devex_Date,"&lt;="&amp;AT$4,Devex_Land,1)</f>
        <v>-0</v>
      </c>
      <c r="AU55" s="33" t="n">
        <f aca="false">-SUMIFS(Devex_Keur,Devex_Date,"&gt;="&amp;AU$3,Devex_Date,"&lt;="&amp;AU$4,Devex_Land,1)</f>
        <v>-0</v>
      </c>
      <c r="AV55" s="33" t="n">
        <f aca="false">-SUMIFS(Devex_Keur,Devex_Date,"&gt;="&amp;AV$3,Devex_Date,"&lt;="&amp;AV$4,Devex_Land,1)</f>
        <v>-0</v>
      </c>
      <c r="AW55" s="33" t="n">
        <f aca="false">-SUMIFS(Devex_Keur,Devex_Date,"&gt;="&amp;AW$3,Devex_Date,"&lt;="&amp;AW$4,Devex_Land,1)</f>
        <v>-0</v>
      </c>
      <c r="AX55" s="33" t="n">
        <f aca="false">-SUMIFS(Devex_Keur,Devex_Date,"&gt;="&amp;AX$3,Devex_Date,"&lt;="&amp;AX$4,Devex_Land,1)</f>
        <v>-0</v>
      </c>
      <c r="AY55" s="33" t="n">
        <f aca="false">-SUMIFS(Devex_Keur,Devex_Date,"&gt;="&amp;AY$3,Devex_Date,"&lt;="&amp;AY$4,Devex_Land,1)</f>
        <v>-0</v>
      </c>
      <c r="AZ55" s="33" t="n">
        <f aca="false">-SUMIFS(Devex_Keur,Devex_Date,"&gt;="&amp;AZ$3,Devex_Date,"&lt;="&amp;AZ$4,Devex_Land,1)</f>
        <v>-0</v>
      </c>
      <c r="BA55" s="33" t="n">
        <f aca="false">-SUMIFS(Devex_Keur,Devex_Date,"&gt;="&amp;BA$3,Devex_Date,"&lt;="&amp;BA$4,Devex_Land,1)</f>
        <v>-0</v>
      </c>
      <c r="BB55" s="33" t="n">
        <f aca="false">-SUMIFS(Devex_Keur,Devex_Date,"&gt;="&amp;BB$3,Devex_Date,"&lt;="&amp;BB$4,Devex_Land,1)</f>
        <v>-0</v>
      </c>
      <c r="BC55" s="33" t="n">
        <f aca="false">-SUMIFS(Devex_Keur,Devex_Date,"&gt;="&amp;BC$3,Devex_Date,"&lt;="&amp;BC$4,Devex_Land,1)</f>
        <v>-0</v>
      </c>
      <c r="BD55" s="33" t="n">
        <f aca="false">-SUMIFS(Devex_Keur,Devex_Date,"&gt;="&amp;BD$3,Devex_Date,"&lt;="&amp;BD$4,Devex_Land,1)</f>
        <v>-0</v>
      </c>
      <c r="BE55" s="33" t="n">
        <f aca="false">-SUMIFS(Devex_Keur,Devex_Date,"&gt;="&amp;BE$3,Devex_Date,"&lt;="&amp;BE$4,Devex_Land,1)</f>
        <v>-0</v>
      </c>
      <c r="BF55" s="33" t="n">
        <f aca="false">-SUMIFS(Devex_Keur,Devex_Date,"&gt;="&amp;BF$3,Devex_Date,"&lt;="&amp;BF$4,Devex_Land,1)</f>
        <v>-0</v>
      </c>
      <c r="BG55" s="33" t="n">
        <f aca="false">-SUMIFS(Devex_Keur,Devex_Date,"&gt;="&amp;BG$3,Devex_Date,"&lt;="&amp;BG$4,Devex_Land,1)</f>
        <v>-0</v>
      </c>
      <c r="BH55" s="33" t="n">
        <f aca="false">-SUMIFS(Devex_Keur,Devex_Date,"&gt;="&amp;BH$3,Devex_Date,"&lt;="&amp;BH$4,Devex_Land,1)</f>
        <v>-0</v>
      </c>
      <c r="BI55" s="33" t="n">
        <f aca="false">-SUMIFS(Devex_Keur,Devex_Date,"&gt;="&amp;BI$3,Devex_Date,"&lt;="&amp;BI$4,Devex_Land,1)</f>
        <v>-0</v>
      </c>
      <c r="BJ55" s="33" t="n">
        <f aca="false">-SUMIFS(Devex_Keur,Devex_Date,"&gt;="&amp;BJ$3,Devex_Date,"&lt;="&amp;BJ$4,Devex_Land,1)</f>
        <v>-0</v>
      </c>
      <c r="BK55" s="33" t="n">
        <f aca="false">-SUMIFS(Devex_Keur,Devex_Date,"&gt;="&amp;BK$3,Devex_Date,"&lt;="&amp;BK$4,Devex_Land,1)</f>
        <v>-0</v>
      </c>
      <c r="BL55" s="33" t="n">
        <f aca="false">-SUMIFS(Devex_Keur,Devex_Date,"&gt;="&amp;BL$3,Devex_Date,"&lt;="&amp;BL$4,Devex_Land,1)</f>
        <v>-0</v>
      </c>
      <c r="BM55" s="33" t="n">
        <f aca="false">-SUMIFS(Devex_Keur,Devex_Date,"&gt;="&amp;BM$3,Devex_Date,"&lt;="&amp;BM$4,Devex_Land,1)</f>
        <v>-0</v>
      </c>
      <c r="BN55" s="33" t="n">
        <f aca="false">-SUMIFS(Devex_Keur,Devex_Date,"&gt;="&amp;BN$3,Devex_Date,"&lt;="&amp;BN$4,Devex_Land,1)</f>
        <v>-0</v>
      </c>
      <c r="BO55" s="33" t="n">
        <f aca="false">-SUMIFS(Devex_Keur,Devex_Date,"&gt;="&amp;BO$3,Devex_Date,"&lt;="&amp;BO$4,Devex_Land,1)</f>
        <v>-0</v>
      </c>
      <c r="BP55" s="33" t="n">
        <f aca="false">-SUMIFS(Devex_Keur,Devex_Date,"&gt;="&amp;BP$3,Devex_Date,"&lt;="&amp;BP$4,Devex_Land,1)</f>
        <v>-0</v>
      </c>
      <c r="BQ55" s="33" t="n">
        <f aca="false">-SUMIFS(Devex_Keur,Devex_Date,"&gt;="&amp;BQ$3,Devex_Date,"&lt;="&amp;BQ$4,Devex_Land,1)</f>
        <v>-0</v>
      </c>
      <c r="BR55" s="33" t="n">
        <f aca="false">-SUMIFS(Devex_Keur,Devex_Date,"&gt;="&amp;BR$3,Devex_Date,"&lt;="&amp;BR$4,Devex_Land,1)</f>
        <v>-0</v>
      </c>
      <c r="BS55" s="33" t="n">
        <f aca="false">-SUMIFS(Devex_Keur,Devex_Date,"&gt;="&amp;BS$3,Devex_Date,"&lt;="&amp;BS$4,Devex_Land,1)</f>
        <v>-0</v>
      </c>
      <c r="BT55" s="33" t="n">
        <f aca="false">-SUMIFS(Devex_Keur,Devex_Date,"&gt;="&amp;BT$3,Devex_Date,"&lt;="&amp;BT$4,Devex_Land,1)</f>
        <v>-0</v>
      </c>
      <c r="BU55" s="33" t="n">
        <f aca="false">-SUMIFS(Devex_Keur,Devex_Date,"&gt;="&amp;BU$3,Devex_Date,"&lt;="&amp;BU$4,Devex_Land,1)</f>
        <v>-0</v>
      </c>
      <c r="BV55" s="33" t="n">
        <f aca="false">-SUMIFS(Devex_Keur,Devex_Date,"&gt;="&amp;BV$3,Devex_Date,"&lt;="&amp;BV$4,Devex_Land,1)</f>
        <v>-0</v>
      </c>
      <c r="BW55" s="33" t="n">
        <f aca="false">-SUMIFS(Devex_Keur,Devex_Date,"&gt;="&amp;BW$3,Devex_Date,"&lt;="&amp;BW$4,Devex_Land,1)</f>
        <v>-0</v>
      </c>
      <c r="BX55" s="33" t="n">
        <f aca="false">-SUMIFS(Devex_Keur,Devex_Date,"&gt;="&amp;BX$3,Devex_Date,"&lt;="&amp;BX$4,Devex_Land,1)</f>
        <v>-0</v>
      </c>
      <c r="BY55" s="33" t="n">
        <f aca="false">-SUMIFS(Devex_Keur,Devex_Date,"&gt;="&amp;BY$3,Devex_Date,"&lt;="&amp;BY$4,Devex_Land,1)</f>
        <v>-0</v>
      </c>
      <c r="BZ55" s="33" t="n">
        <f aca="false">-SUMIFS(Devex_Keur,Devex_Date,"&gt;="&amp;BZ$3,Devex_Date,"&lt;="&amp;BZ$4,Devex_Land,1)</f>
        <v>-0</v>
      </c>
      <c r="CA55" s="33" t="n">
        <f aca="false">-SUMIFS(Devex_Keur,Devex_Date,"&gt;="&amp;CA$3,Devex_Date,"&lt;="&amp;CA$4,Devex_Land,1)</f>
        <v>-0</v>
      </c>
      <c r="CB55" s="33" t="n">
        <f aca="false">-SUMIFS(Devex_Keur,Devex_Date,"&gt;="&amp;CB$3,Devex_Date,"&lt;="&amp;CB$4,Devex_Land,1)</f>
        <v>-0</v>
      </c>
      <c r="CC55" s="33" t="n">
        <f aca="false">-SUMIFS(Devex_Keur,Devex_Date,"&gt;="&amp;CC$3,Devex_Date,"&lt;="&amp;CC$4,Devex_Land,1)</f>
        <v>-0</v>
      </c>
      <c r="CD55" s="33" t="n">
        <f aca="false">-SUMIFS(Devex_Keur,Devex_Date,"&gt;="&amp;CD$3,Devex_Date,"&lt;="&amp;CD$4,Devex_Land,1)</f>
        <v>-0</v>
      </c>
      <c r="CE55" s="33" t="n">
        <f aca="false">-SUMIFS(Devex_Keur,Devex_Date,"&gt;="&amp;CE$3,Devex_Date,"&lt;="&amp;CE$4,Devex_Land,1)</f>
        <v>-0</v>
      </c>
      <c r="CF55" s="33" t="n">
        <f aca="false">-SUMIFS(Devex_Keur,Devex_Date,"&gt;="&amp;CF$3,Devex_Date,"&lt;="&amp;CF$4,Devex_Land,1)</f>
        <v>-0</v>
      </c>
      <c r="CG55" s="33" t="n">
        <f aca="false">-SUMIFS(Devex_Keur,Devex_Date,"&gt;="&amp;CG$3,Devex_Date,"&lt;="&amp;CG$4,Devex_Land,1)</f>
        <v>-0</v>
      </c>
      <c r="CH55" s="33" t="n">
        <f aca="false">-SUMIFS(Devex_Keur,Devex_Date,"&gt;="&amp;CH$3,Devex_Date,"&lt;="&amp;CH$4,Devex_Land,1)</f>
        <v>-0</v>
      </c>
      <c r="CI55" s="33" t="n">
        <f aca="false">-SUMIFS(Devex_Keur,Devex_Date,"&gt;="&amp;CI$3,Devex_Date,"&lt;="&amp;CI$4,Devex_Land,1)</f>
        <v>-0</v>
      </c>
      <c r="CJ55" s="33" t="n">
        <f aca="false">-SUMIFS(Devex_Keur,Devex_Date,"&gt;="&amp;CJ$3,Devex_Date,"&lt;="&amp;CJ$4,Devex_Land,1)</f>
        <v>-0</v>
      </c>
      <c r="CK55" s="33" t="n">
        <f aca="false">-SUMIFS(Devex_Keur,Devex_Date,"&gt;="&amp;CK$3,Devex_Date,"&lt;="&amp;CK$4,Devex_Land,1)</f>
        <v>-0</v>
      </c>
      <c r="CL55" s="33" t="n">
        <f aca="false">-SUMIFS(Devex_Keur,Devex_Date,"&gt;="&amp;CL$3,Devex_Date,"&lt;="&amp;CL$4,Devex_Land,1)</f>
        <v>-0</v>
      </c>
      <c r="CM55" s="33" t="n">
        <f aca="false">-SUMIFS(Devex_Keur,Devex_Date,"&gt;="&amp;CM$3,Devex_Date,"&lt;="&amp;CM$4,Devex_Land,1)</f>
        <v>-0</v>
      </c>
      <c r="CN55" s="33" t="n">
        <f aca="false">-SUMIFS(Devex_Keur,Devex_Date,"&gt;="&amp;CN$3,Devex_Date,"&lt;="&amp;CN$4,Devex_Land,1)</f>
        <v>-0</v>
      </c>
      <c r="CO55" s="33" t="n">
        <f aca="false">-SUMIFS(Devex_Keur,Devex_Date,"&gt;="&amp;CO$3,Devex_Date,"&lt;="&amp;CO$4,Devex_Land,1)</f>
        <v>-0</v>
      </c>
      <c r="CP55" s="33" t="n">
        <f aca="false">-SUMIFS(Devex_Keur,Devex_Date,"&gt;="&amp;CP$3,Devex_Date,"&lt;="&amp;CP$4,Devex_Land,1)</f>
        <v>-0</v>
      </c>
      <c r="CQ55" s="33" t="n">
        <f aca="false">-SUMIFS(Devex_Keur,Devex_Date,"&gt;="&amp;CQ$3,Devex_Date,"&lt;="&amp;CQ$4,Devex_Land,1)</f>
        <v>-0</v>
      </c>
      <c r="CR55" s="33" t="n">
        <f aca="false">-SUMIFS(Devex_Keur,Devex_Date,"&gt;="&amp;CR$3,Devex_Date,"&lt;="&amp;CR$4,Devex_Land,1)</f>
        <v>-0</v>
      </c>
      <c r="CS55" s="33" t="n">
        <f aca="false">-SUMIFS(Devex_Keur,Devex_Date,"&gt;="&amp;CS$3,Devex_Date,"&lt;="&amp;CS$4,Devex_Land,1)</f>
        <v>-0</v>
      </c>
      <c r="CT55" s="33" t="n">
        <f aca="false">-SUMIFS(Devex_Keur,Devex_Date,"&gt;="&amp;CT$3,Devex_Date,"&lt;="&amp;CT$4,Devex_Land,1)</f>
        <v>-0</v>
      </c>
      <c r="CU55" s="33" t="n">
        <f aca="false">-SUMIFS(Devex_Keur,Devex_Date,"&gt;="&amp;CU$3,Devex_Date,"&lt;="&amp;CU$4,Devex_Land,1)</f>
        <v>-0</v>
      </c>
      <c r="CV55" s="33" t="n">
        <f aca="false">-SUMIFS(Devex_Keur,Devex_Date,"&gt;="&amp;CV$3,Devex_Date,"&lt;="&amp;CV$4,Devex_Land,1)</f>
        <v>-0</v>
      </c>
      <c r="CW55" s="33" t="n">
        <f aca="false">-SUMIFS(Devex_Keur,Devex_Date,"&gt;="&amp;CW$3,Devex_Date,"&lt;="&amp;CW$4,Devex_Land,1)</f>
        <v>-0</v>
      </c>
      <c r="CX55" s="33" t="n">
        <f aca="false">-SUMIFS(Devex_Keur,Devex_Date,"&gt;="&amp;CX$3,Devex_Date,"&lt;="&amp;CX$4,Devex_Land,1)</f>
        <v>-0</v>
      </c>
      <c r="CY55" s="33" t="n">
        <f aca="false">-SUMIFS(Devex_Keur,Devex_Date,"&gt;="&amp;CY$3,Devex_Date,"&lt;="&amp;CY$4,Devex_Land,1)</f>
        <v>-0</v>
      </c>
      <c r="CZ55" s="33" t="n">
        <f aca="false">-SUMIFS(Devex_Keur,Devex_Date,"&gt;="&amp;CZ$3,Devex_Date,"&lt;="&amp;CZ$4,Devex_Land,1)</f>
        <v>-0</v>
      </c>
      <c r="DA55" s="33" t="n">
        <f aca="false">-SUMIFS(Devex_Keur,Devex_Date,"&gt;="&amp;DA$3,Devex_Date,"&lt;="&amp;DA$4,Devex_Land,1)</f>
        <v>-0</v>
      </c>
      <c r="DB55" s="33" t="n">
        <f aca="false">-SUMIFS(Devex_Keur,Devex_Date,"&gt;="&amp;DB$3,Devex_Date,"&lt;="&amp;DB$4,Devex_Land,1)</f>
        <v>-0</v>
      </c>
      <c r="DC55" s="33" t="n">
        <f aca="false">-SUMIFS(Devex_Keur,Devex_Date,"&gt;="&amp;DC$3,Devex_Date,"&lt;="&amp;DC$4,Devex_Land,1)</f>
        <v>-0</v>
      </c>
      <c r="DD55" s="33" t="n">
        <f aca="false">-SUMIFS(Devex_Keur,Devex_Date,"&gt;="&amp;DD$3,Devex_Date,"&lt;="&amp;DD$4,Devex_Land,1)</f>
        <v>-0</v>
      </c>
      <c r="DE55" s="33" t="n">
        <f aca="false">-SUMIFS(Devex_Keur,Devex_Date,"&gt;="&amp;DE$3,Devex_Date,"&lt;="&amp;DE$4,Devex_Land,1)</f>
        <v>-0</v>
      </c>
      <c r="DF55" s="33" t="n">
        <f aca="false">-SUMIFS(Devex_Keur,Devex_Date,"&gt;="&amp;DF$3,Devex_Date,"&lt;="&amp;DF$4,Devex_Land,1)</f>
        <v>-0</v>
      </c>
      <c r="DG55" s="33" t="n">
        <f aca="false">-SUMIFS(Devex_Keur,Devex_Date,"&gt;="&amp;DG$3,Devex_Date,"&lt;="&amp;DG$4,Devex_Land,1)</f>
        <v>-0</v>
      </c>
      <c r="DH55" s="33" t="n">
        <f aca="false">-SUMIFS(Devex_Keur,Devex_Date,"&gt;="&amp;DH$3,Devex_Date,"&lt;="&amp;DH$4,Devex_Land,1)</f>
        <v>-0</v>
      </c>
      <c r="DI55" s="33" t="n">
        <f aca="false">-SUMIFS(Devex_Keur,Devex_Date,"&gt;="&amp;DI$3,Devex_Date,"&lt;="&amp;DI$4,Devex_Land,1)</f>
        <v>-0</v>
      </c>
      <c r="DJ55" s="33" t="n">
        <f aca="false">-SUMIFS(Devex_Keur,Devex_Date,"&gt;="&amp;DJ$3,Devex_Date,"&lt;="&amp;DJ$4,Devex_Land,1)</f>
        <v>-0</v>
      </c>
      <c r="DK55" s="33" t="n">
        <f aca="false">-SUMIFS(Devex_Keur,Devex_Date,"&gt;="&amp;DK$3,Devex_Date,"&lt;="&amp;DK$4,Devex_Land,1)</f>
        <v>-0</v>
      </c>
      <c r="DL55" s="33" t="n">
        <f aca="false">-SUMIFS(Devex_Keur,Devex_Date,"&gt;="&amp;DL$3,Devex_Date,"&lt;="&amp;DL$4,Devex_Land,1)</f>
        <v>-0</v>
      </c>
      <c r="DM55" s="33" t="n">
        <f aca="false">-SUMIFS(Devex_Keur,Devex_Date,"&gt;="&amp;DM$3,Devex_Date,"&lt;="&amp;DM$4,Devex_Land,1)</f>
        <v>-0</v>
      </c>
      <c r="DN55" s="33" t="n">
        <f aca="false">-SUMIFS(Devex_Keur,Devex_Date,"&gt;="&amp;DN$3,Devex_Date,"&lt;="&amp;DN$4,Devex_Land,1)</f>
        <v>-0</v>
      </c>
      <c r="DO55" s="33" t="n">
        <f aca="false">-SUMIFS(Devex_Keur,Devex_Date,"&gt;="&amp;DO$3,Devex_Date,"&lt;="&amp;DO$4,Devex_Land,1)</f>
        <v>-0</v>
      </c>
      <c r="DP55" s="33" t="n">
        <f aca="false">-SUMIFS(Devex_Keur,Devex_Date,"&gt;="&amp;DP$3,Devex_Date,"&lt;="&amp;DP$4,Devex_Land,1)</f>
        <v>-0</v>
      </c>
      <c r="DQ55" s="33" t="n">
        <f aca="false">-SUMIFS(Devex_Keur,Devex_Date,"&gt;="&amp;DQ$3,Devex_Date,"&lt;="&amp;DQ$4,Devex_Land,1)</f>
        <v>-0</v>
      </c>
      <c r="DR55" s="33" t="n">
        <f aca="false">-SUMIFS(Devex_Keur,Devex_Date,"&gt;="&amp;DR$3,Devex_Date,"&lt;="&amp;DR$4,Devex_Land,1)</f>
        <v>-0</v>
      </c>
      <c r="DS55" s="33" t="n">
        <f aca="false">-SUMIFS(Devex_Keur,Devex_Date,"&gt;="&amp;DS$3,Devex_Date,"&lt;="&amp;DS$4,Devex_Land,1)</f>
        <v>-0</v>
      </c>
      <c r="DT55" s="33" t="n">
        <f aca="false">-SUMIFS(Devex_Keur,Devex_Date,"&gt;="&amp;DT$3,Devex_Date,"&lt;="&amp;DT$4,Devex_Land,1)</f>
        <v>-0</v>
      </c>
      <c r="DU55" s="33" t="n">
        <f aca="false">-SUMIFS(Devex_Keur,Devex_Date,"&gt;="&amp;DU$3,Devex_Date,"&lt;="&amp;DU$4,Devex_Land,1)</f>
        <v>-0</v>
      </c>
      <c r="DV55" s="33" t="n">
        <f aca="false">-SUMIFS(Devex_Keur,Devex_Date,"&gt;="&amp;DV$3,Devex_Date,"&lt;="&amp;DV$4,Devex_Land,1)</f>
        <v>-0</v>
      </c>
      <c r="DW55" s="33" t="n">
        <f aca="false">-SUMIFS(Devex_Keur,Devex_Date,"&gt;="&amp;DW$3,Devex_Date,"&lt;="&amp;DW$4,Devex_Land,1)</f>
        <v>-0</v>
      </c>
      <c r="DX55" s="33" t="n">
        <f aca="false">-SUMIFS(Devex_Keur,Devex_Date,"&gt;="&amp;DX$3,Devex_Date,"&lt;="&amp;DX$4,Devex_Land,1)</f>
        <v>-0</v>
      </c>
      <c r="DY55" s="33" t="n">
        <f aca="false">-SUMIFS(Devex_Keur,Devex_Date,"&gt;="&amp;DY$3,Devex_Date,"&lt;="&amp;DY$4,Devex_Land,1)</f>
        <v>-0</v>
      </c>
      <c r="DZ55" s="33" t="n">
        <f aca="false">-SUMIFS(Devex_Keur,Devex_Date,"&gt;="&amp;DZ$3,Devex_Date,"&lt;="&amp;DZ$4,Devex_Land,1)</f>
        <v>-0</v>
      </c>
      <c r="EA55" s="33" t="n">
        <f aca="false">-SUMIFS(Devex_Keur,Devex_Date,"&gt;="&amp;EA$3,Devex_Date,"&lt;="&amp;EA$4,Devex_Land,1)</f>
        <v>-0</v>
      </c>
      <c r="EB55" s="33" t="n">
        <f aca="false">-SUMIFS(Devex_Keur,Devex_Date,"&gt;="&amp;EB$3,Devex_Date,"&lt;="&amp;EB$4,Devex_Land,1)</f>
        <v>-0</v>
      </c>
      <c r="EC55" s="33" t="n">
        <f aca="false">-SUMIFS(Devex_Keur,Devex_Date,"&gt;="&amp;EC$3,Devex_Date,"&lt;="&amp;EC$4,Devex_Land,1)</f>
        <v>-0</v>
      </c>
      <c r="ED55" s="33" t="n">
        <f aca="false">-SUMIFS(Devex_Keur,Devex_Date,"&gt;="&amp;ED$3,Devex_Date,"&lt;="&amp;ED$4,Devex_Land,1)</f>
        <v>-0</v>
      </c>
      <c r="EE55" s="33" t="n">
        <f aca="false">-SUMIFS(Devex_Keur,Devex_Date,"&gt;="&amp;EE$3,Devex_Date,"&lt;="&amp;EE$4,Devex_Land,1)</f>
        <v>-0</v>
      </c>
      <c r="EF55" s="33" t="n">
        <f aca="false">-SUMIFS(Devex_Keur,Devex_Date,"&gt;="&amp;EF$3,Devex_Date,"&lt;="&amp;EF$4,Devex_Land,1)</f>
        <v>-0</v>
      </c>
      <c r="EG55" s="33" t="n">
        <f aca="false">-SUMIFS(Devex_Keur,Devex_Date,"&gt;="&amp;EG$3,Devex_Date,"&lt;="&amp;EG$4,Devex_Land,1)</f>
        <v>-0</v>
      </c>
      <c r="EH55" s="33" t="n">
        <f aca="false">-SUMIFS(Devex_Keur,Devex_Date,"&gt;="&amp;EH$3,Devex_Date,"&lt;="&amp;EH$4,Devex_Land,1)</f>
        <v>-0</v>
      </c>
      <c r="EI55" s="33" t="n">
        <f aca="false">-SUMIFS(Devex_Keur,Devex_Date,"&gt;="&amp;EI$3,Devex_Date,"&lt;="&amp;EI$4,Devex_Land,1)</f>
        <v>-0</v>
      </c>
      <c r="EJ55" s="33" t="n">
        <f aca="false">-SUMIFS(Devex_Keur,Devex_Date,"&gt;="&amp;EJ$3,Devex_Date,"&lt;="&amp;EJ$4,Devex_Land,1)</f>
        <v>-0</v>
      </c>
      <c r="EK55" s="33" t="n">
        <f aca="false">-SUMIFS(Devex_Keur,Devex_Date,"&gt;="&amp;EK$3,Devex_Date,"&lt;="&amp;EK$4,Devex_Land,1)</f>
        <v>-0</v>
      </c>
      <c r="EL55" s="33" t="n">
        <f aca="false">-SUMIFS(Devex_Keur,Devex_Date,"&gt;="&amp;EL$3,Devex_Date,"&lt;="&amp;EL$4,Devex_Land,1)</f>
        <v>-0</v>
      </c>
      <c r="EM55" s="33" t="n">
        <f aca="false">-SUMIFS(Devex_Keur,Devex_Date,"&gt;="&amp;EM$3,Devex_Date,"&lt;="&amp;EM$4,Devex_Land,1)</f>
        <v>-0</v>
      </c>
      <c r="EN55" s="33" t="n">
        <f aca="false">-SUMIFS(Devex_Keur,Devex_Date,"&gt;="&amp;EN$3,Devex_Date,"&lt;="&amp;EN$4,Devex_Land,1)</f>
        <v>-0</v>
      </c>
      <c r="EO55" s="33" t="n">
        <f aca="false">-SUMIFS(Devex_Keur,Devex_Date,"&gt;="&amp;EO$3,Devex_Date,"&lt;="&amp;EO$4,Devex_Land,1)</f>
        <v>-0</v>
      </c>
      <c r="EP55" s="33" t="n">
        <f aca="false">-SUMIFS(Devex_Keur,Devex_Date,"&gt;="&amp;EP$3,Devex_Date,"&lt;="&amp;EP$4,Devex_Land,1)</f>
        <v>-0</v>
      </c>
      <c r="EQ55" s="33" t="n">
        <f aca="false">-SUMIFS(Devex_Keur,Devex_Date,"&gt;="&amp;EQ$3,Devex_Date,"&lt;="&amp;EQ$4,Devex_Land,1)</f>
        <v>-0</v>
      </c>
      <c r="ER55" s="33" t="n">
        <f aca="false">-SUMIFS(Devex_Keur,Devex_Date,"&gt;="&amp;ER$3,Devex_Date,"&lt;="&amp;ER$4,Devex_Land,1)</f>
        <v>-0</v>
      </c>
      <c r="ES55" s="33" t="n">
        <f aca="false">-SUMIFS(Devex_Keur,Devex_Date,"&gt;="&amp;ES$3,Devex_Date,"&lt;="&amp;ES$4,Devex_Land,1)</f>
        <v>-0</v>
      </c>
      <c r="ET55" s="33" t="n">
        <f aca="false">-SUMIFS(Devex_Keur,Devex_Date,"&gt;="&amp;ET$3,Devex_Date,"&lt;="&amp;ET$4,Devex_Land,1)</f>
        <v>-0</v>
      </c>
    </row>
    <row r="56" customFormat="false" ht="15" hidden="false" customHeight="false" outlineLevel="0" collapsed="false">
      <c r="C56" s="0" t="s">
        <v>524</v>
      </c>
      <c r="D56" s="11" t="s">
        <v>253</v>
      </c>
      <c r="E56" s="33" t="n">
        <f aca="false">In_Devex_Contingency*(SUM(Devex_Keur)+$E47)</f>
        <v>284.349426368465</v>
      </c>
      <c r="F56" s="27" t="n">
        <f aca="false">In_Contingency_Date</f>
        <v>47118</v>
      </c>
      <c r="I56" s="33" t="n">
        <f aca="false">SUM(J56:ET56)</f>
        <v>-284.349426368465</v>
      </c>
      <c r="J56" s="33" t="n">
        <f aca="false">-$E56*N(AND(J$3&lt;=$F56,J$4&gt;=$F56))</f>
        <v>-0</v>
      </c>
      <c r="K56" s="33" t="n">
        <f aca="false">-$E56*N(AND(K$3&lt;=$F56,K$4&gt;=$F56))</f>
        <v>-0</v>
      </c>
      <c r="L56" s="33" t="n">
        <f aca="false">-$E56*N(AND(L$3&lt;=$F56,L$4&gt;=$F56))</f>
        <v>-0</v>
      </c>
      <c r="M56" s="33" t="n">
        <f aca="false">-$E56*N(AND(M$3&lt;=$F56,M$4&gt;=$F56))</f>
        <v>-0</v>
      </c>
      <c r="N56" s="33" t="n">
        <f aca="false">-$E56*N(AND(N$3&lt;=$F56,N$4&gt;=$F56))</f>
        <v>-0</v>
      </c>
      <c r="O56" s="33" t="n">
        <f aca="false">-$E56*N(AND(O$3&lt;=$F56,O$4&gt;=$F56))</f>
        <v>-0</v>
      </c>
      <c r="P56" s="33" t="n">
        <f aca="false">-$E56*N(AND(P$3&lt;=$F56,P$4&gt;=$F56))</f>
        <v>-0</v>
      </c>
      <c r="Q56" s="33" t="n">
        <f aca="false">-$E56*N(AND(Q$3&lt;=$F56,Q$4&gt;=$F56))</f>
        <v>-0</v>
      </c>
      <c r="R56" s="33" t="n">
        <f aca="false">-$E56*N(AND(R$3&lt;=$F56,R$4&gt;=$F56))</f>
        <v>-0</v>
      </c>
      <c r="S56" s="33" t="n">
        <f aca="false">-$E56*N(AND(S$3&lt;=$F56,S$4&gt;=$F56))</f>
        <v>-284.349426368465</v>
      </c>
      <c r="T56" s="33" t="n">
        <f aca="false">-$E56*N(AND(T$3&lt;=$F56,T$4&gt;=$F56))</f>
        <v>-0</v>
      </c>
      <c r="U56" s="33" t="n">
        <f aca="false">-$E56*N(AND(U$3&lt;=$F56,U$4&gt;=$F56))</f>
        <v>-0</v>
      </c>
      <c r="V56" s="33" t="n">
        <f aca="false">-$E56*N(AND(V$3&lt;=$F56,V$4&gt;=$F56))</f>
        <v>-0</v>
      </c>
      <c r="W56" s="33" t="n">
        <f aca="false">-$E56*N(AND(W$3&lt;=$F56,W$4&gt;=$F56))</f>
        <v>-0</v>
      </c>
      <c r="X56" s="33" t="n">
        <f aca="false">-$E56*N(AND(X$3&lt;=$F56,X$4&gt;=$F56))</f>
        <v>-0</v>
      </c>
      <c r="Y56" s="33" t="n">
        <f aca="false">-$E56*N(AND(Y$3&lt;=$F56,Y$4&gt;=$F56))</f>
        <v>-0</v>
      </c>
      <c r="Z56" s="33" t="n">
        <f aca="false">-$E56*N(AND(Z$3&lt;=$F56,Z$4&gt;=$F56))</f>
        <v>-0</v>
      </c>
      <c r="AA56" s="33" t="n">
        <f aca="false">-$E56*N(AND(AA$3&lt;=$F56,AA$4&gt;=$F56))</f>
        <v>-0</v>
      </c>
      <c r="AB56" s="33" t="n">
        <f aca="false">-$E56*N(AND(AB$3&lt;=$F56,AB$4&gt;=$F56))</f>
        <v>-0</v>
      </c>
      <c r="AC56" s="33" t="n">
        <f aca="false">-$E56*N(AND(AC$3&lt;=$F56,AC$4&gt;=$F56))</f>
        <v>-0</v>
      </c>
      <c r="AD56" s="33" t="n">
        <f aca="false">-$E56*N(AND(AD$3&lt;=$F56,AD$4&gt;=$F56))</f>
        <v>-0</v>
      </c>
      <c r="AE56" s="33" t="n">
        <f aca="false">-$E56*N(AND(AE$3&lt;=$F56,AE$4&gt;=$F56))</f>
        <v>-0</v>
      </c>
      <c r="AF56" s="33" t="n">
        <f aca="false">-$E56*N(AND(AF$3&lt;=$F56,AF$4&gt;=$F56))</f>
        <v>-0</v>
      </c>
      <c r="AG56" s="33" t="n">
        <f aca="false">-$E56*N(AND(AG$3&lt;=$F56,AG$4&gt;=$F56))</f>
        <v>-0</v>
      </c>
      <c r="AH56" s="33" t="n">
        <f aca="false">-$E56*N(AND(AH$3&lt;=$F56,AH$4&gt;=$F56))</f>
        <v>-0</v>
      </c>
      <c r="AI56" s="33" t="n">
        <f aca="false">-$E56*N(AND(AI$3&lt;=$F56,AI$4&gt;=$F56))</f>
        <v>-0</v>
      </c>
      <c r="AJ56" s="33" t="n">
        <f aca="false">-$E56*N(AND(AJ$3&lt;=$F56,AJ$4&gt;=$F56))</f>
        <v>-0</v>
      </c>
      <c r="AK56" s="33" t="n">
        <f aca="false">-$E56*N(AND(AK$3&lt;=$F56,AK$4&gt;=$F56))</f>
        <v>-0</v>
      </c>
      <c r="AL56" s="33" t="n">
        <f aca="false">-$E56*N(AND(AL$3&lt;=$F56,AL$4&gt;=$F56))</f>
        <v>-0</v>
      </c>
      <c r="AM56" s="33" t="n">
        <f aca="false">-$E56*N(AND(AM$3&lt;=$F56,AM$4&gt;=$F56))</f>
        <v>-0</v>
      </c>
      <c r="AN56" s="33" t="n">
        <f aca="false">-$E56*N(AND(AN$3&lt;=$F56,AN$4&gt;=$F56))</f>
        <v>-0</v>
      </c>
      <c r="AO56" s="33" t="n">
        <f aca="false">-$E56*N(AND(AO$3&lt;=$F56,AO$4&gt;=$F56))</f>
        <v>-0</v>
      </c>
      <c r="AP56" s="33" t="n">
        <f aca="false">-$E56*N(AND(AP$3&lt;=$F56,AP$4&gt;=$F56))</f>
        <v>-0</v>
      </c>
      <c r="AQ56" s="33" t="n">
        <f aca="false">-$E56*N(AND(AQ$3&lt;=$F56,AQ$4&gt;=$F56))</f>
        <v>-0</v>
      </c>
      <c r="AR56" s="33" t="n">
        <f aca="false">-$E56*N(AND(AR$3&lt;=$F56,AR$4&gt;=$F56))</f>
        <v>-0</v>
      </c>
      <c r="AS56" s="33" t="n">
        <f aca="false">-$E56*N(AND(AS$3&lt;=$F56,AS$4&gt;=$F56))</f>
        <v>-0</v>
      </c>
      <c r="AT56" s="33" t="n">
        <f aca="false">-$E56*N(AND(AT$3&lt;=$F56,AT$4&gt;=$F56))</f>
        <v>-0</v>
      </c>
      <c r="AU56" s="33" t="n">
        <f aca="false">-$E56*N(AND(AU$3&lt;=$F56,AU$4&gt;=$F56))</f>
        <v>-0</v>
      </c>
      <c r="AV56" s="33" t="n">
        <f aca="false">-$E56*N(AND(AV$3&lt;=$F56,AV$4&gt;=$F56))</f>
        <v>-0</v>
      </c>
      <c r="AW56" s="33" t="n">
        <f aca="false">-$E56*N(AND(AW$3&lt;=$F56,AW$4&gt;=$F56))</f>
        <v>-0</v>
      </c>
      <c r="AX56" s="33" t="n">
        <f aca="false">-$E56*N(AND(AX$3&lt;=$F56,AX$4&gt;=$F56))</f>
        <v>-0</v>
      </c>
      <c r="AY56" s="33" t="n">
        <f aca="false">-$E56*N(AND(AY$3&lt;=$F56,AY$4&gt;=$F56))</f>
        <v>-0</v>
      </c>
      <c r="AZ56" s="33" t="n">
        <f aca="false">-$E56*N(AND(AZ$3&lt;=$F56,AZ$4&gt;=$F56))</f>
        <v>-0</v>
      </c>
      <c r="BA56" s="33" t="n">
        <f aca="false">-$E56*N(AND(BA$3&lt;=$F56,BA$4&gt;=$F56))</f>
        <v>-0</v>
      </c>
      <c r="BB56" s="33" t="n">
        <f aca="false">-$E56*N(AND(BB$3&lt;=$F56,BB$4&gt;=$F56))</f>
        <v>-0</v>
      </c>
      <c r="BC56" s="33" t="n">
        <f aca="false">-$E56*N(AND(BC$3&lt;=$F56,BC$4&gt;=$F56))</f>
        <v>-0</v>
      </c>
      <c r="BD56" s="33" t="n">
        <f aca="false">-$E56*N(AND(BD$3&lt;=$F56,BD$4&gt;=$F56))</f>
        <v>-0</v>
      </c>
      <c r="BE56" s="33" t="n">
        <f aca="false">-$E56*N(AND(BE$3&lt;=$F56,BE$4&gt;=$F56))</f>
        <v>-0</v>
      </c>
      <c r="BF56" s="33" t="n">
        <f aca="false">-$E56*N(AND(BF$3&lt;=$F56,BF$4&gt;=$F56))</f>
        <v>-0</v>
      </c>
      <c r="BG56" s="33" t="n">
        <f aca="false">-$E56*N(AND(BG$3&lt;=$F56,BG$4&gt;=$F56))</f>
        <v>-0</v>
      </c>
      <c r="BH56" s="33" t="n">
        <f aca="false">-$E56*N(AND(BH$3&lt;=$F56,BH$4&gt;=$F56))</f>
        <v>-0</v>
      </c>
      <c r="BI56" s="33" t="n">
        <f aca="false">-$E56*N(AND(BI$3&lt;=$F56,BI$4&gt;=$F56))</f>
        <v>-0</v>
      </c>
      <c r="BJ56" s="33" t="n">
        <f aca="false">-$E56*N(AND(BJ$3&lt;=$F56,BJ$4&gt;=$F56))</f>
        <v>-0</v>
      </c>
      <c r="BK56" s="33" t="n">
        <f aca="false">-$E56*N(AND(BK$3&lt;=$F56,BK$4&gt;=$F56))</f>
        <v>-0</v>
      </c>
      <c r="BL56" s="33" t="n">
        <f aca="false">-$E56*N(AND(BL$3&lt;=$F56,BL$4&gt;=$F56))</f>
        <v>-0</v>
      </c>
      <c r="BM56" s="33" t="n">
        <f aca="false">-$E56*N(AND(BM$3&lt;=$F56,BM$4&gt;=$F56))</f>
        <v>-0</v>
      </c>
      <c r="BN56" s="33" t="n">
        <f aca="false">-$E56*N(AND(BN$3&lt;=$F56,BN$4&gt;=$F56))</f>
        <v>-0</v>
      </c>
      <c r="BO56" s="33" t="n">
        <f aca="false">-$E56*N(AND(BO$3&lt;=$F56,BO$4&gt;=$F56))</f>
        <v>-0</v>
      </c>
      <c r="BP56" s="33" t="n">
        <f aca="false">-$E56*N(AND(BP$3&lt;=$F56,BP$4&gt;=$F56))</f>
        <v>-0</v>
      </c>
      <c r="BQ56" s="33" t="n">
        <f aca="false">-$E56*N(AND(BQ$3&lt;=$F56,BQ$4&gt;=$F56))</f>
        <v>-0</v>
      </c>
      <c r="BR56" s="33" t="n">
        <f aca="false">-$E56*N(AND(BR$3&lt;=$F56,BR$4&gt;=$F56))</f>
        <v>-0</v>
      </c>
      <c r="BS56" s="33" t="n">
        <f aca="false">-$E56*N(AND(BS$3&lt;=$F56,BS$4&gt;=$F56))</f>
        <v>-0</v>
      </c>
      <c r="BT56" s="33" t="n">
        <f aca="false">-$E56*N(AND(BT$3&lt;=$F56,BT$4&gt;=$F56))</f>
        <v>-0</v>
      </c>
      <c r="BU56" s="33" t="n">
        <f aca="false">-$E56*N(AND(BU$3&lt;=$F56,BU$4&gt;=$F56))</f>
        <v>-0</v>
      </c>
      <c r="BV56" s="33" t="n">
        <f aca="false">-$E56*N(AND(BV$3&lt;=$F56,BV$4&gt;=$F56))</f>
        <v>-0</v>
      </c>
      <c r="BW56" s="33" t="n">
        <f aca="false">-$E56*N(AND(BW$3&lt;=$F56,BW$4&gt;=$F56))</f>
        <v>-0</v>
      </c>
      <c r="BX56" s="33" t="n">
        <f aca="false">-$E56*N(AND(BX$3&lt;=$F56,BX$4&gt;=$F56))</f>
        <v>-0</v>
      </c>
      <c r="BY56" s="33" t="n">
        <f aca="false">-$E56*N(AND(BY$3&lt;=$F56,BY$4&gt;=$F56))</f>
        <v>-0</v>
      </c>
      <c r="BZ56" s="33" t="n">
        <f aca="false">-$E56*N(AND(BZ$3&lt;=$F56,BZ$4&gt;=$F56))</f>
        <v>-0</v>
      </c>
      <c r="CA56" s="33" t="n">
        <f aca="false">-$E56*N(AND(CA$3&lt;=$F56,CA$4&gt;=$F56))</f>
        <v>-0</v>
      </c>
      <c r="CB56" s="33" t="n">
        <f aca="false">-$E56*N(AND(CB$3&lt;=$F56,CB$4&gt;=$F56))</f>
        <v>-0</v>
      </c>
      <c r="CC56" s="33" t="n">
        <f aca="false">-$E56*N(AND(CC$3&lt;=$F56,CC$4&gt;=$F56))</f>
        <v>-0</v>
      </c>
      <c r="CD56" s="33" t="n">
        <f aca="false">-$E56*N(AND(CD$3&lt;=$F56,CD$4&gt;=$F56))</f>
        <v>-0</v>
      </c>
      <c r="CE56" s="33" t="n">
        <f aca="false">-$E56*N(AND(CE$3&lt;=$F56,CE$4&gt;=$F56))</f>
        <v>-0</v>
      </c>
      <c r="CF56" s="33" t="n">
        <f aca="false">-$E56*N(AND(CF$3&lt;=$F56,CF$4&gt;=$F56))</f>
        <v>-0</v>
      </c>
      <c r="CG56" s="33" t="n">
        <f aca="false">-$E56*N(AND(CG$3&lt;=$F56,CG$4&gt;=$F56))</f>
        <v>-0</v>
      </c>
      <c r="CH56" s="33" t="n">
        <f aca="false">-$E56*N(AND(CH$3&lt;=$F56,CH$4&gt;=$F56))</f>
        <v>-0</v>
      </c>
      <c r="CI56" s="33" t="n">
        <f aca="false">-$E56*N(AND(CI$3&lt;=$F56,CI$4&gt;=$F56))</f>
        <v>-0</v>
      </c>
      <c r="CJ56" s="33" t="n">
        <f aca="false">-$E56*N(AND(CJ$3&lt;=$F56,CJ$4&gt;=$F56))</f>
        <v>-0</v>
      </c>
      <c r="CK56" s="33" t="n">
        <f aca="false">-$E56*N(AND(CK$3&lt;=$F56,CK$4&gt;=$F56))</f>
        <v>-0</v>
      </c>
      <c r="CL56" s="33" t="n">
        <f aca="false">-$E56*N(AND(CL$3&lt;=$F56,CL$4&gt;=$F56))</f>
        <v>-0</v>
      </c>
      <c r="CM56" s="33" t="n">
        <f aca="false">-$E56*N(AND(CM$3&lt;=$F56,CM$4&gt;=$F56))</f>
        <v>-0</v>
      </c>
      <c r="CN56" s="33" t="n">
        <f aca="false">-$E56*N(AND(CN$3&lt;=$F56,CN$4&gt;=$F56))</f>
        <v>-0</v>
      </c>
      <c r="CO56" s="33" t="n">
        <f aca="false">-$E56*N(AND(CO$3&lt;=$F56,CO$4&gt;=$F56))</f>
        <v>-0</v>
      </c>
      <c r="CP56" s="33" t="n">
        <f aca="false">-$E56*N(AND(CP$3&lt;=$F56,CP$4&gt;=$F56))</f>
        <v>-0</v>
      </c>
      <c r="CQ56" s="33" t="n">
        <f aca="false">-$E56*N(AND(CQ$3&lt;=$F56,CQ$4&gt;=$F56))</f>
        <v>-0</v>
      </c>
      <c r="CR56" s="33" t="n">
        <f aca="false">-$E56*N(AND(CR$3&lt;=$F56,CR$4&gt;=$F56))</f>
        <v>-0</v>
      </c>
      <c r="CS56" s="33" t="n">
        <f aca="false">-$E56*N(AND(CS$3&lt;=$F56,CS$4&gt;=$F56))</f>
        <v>-0</v>
      </c>
      <c r="CT56" s="33" t="n">
        <f aca="false">-$E56*N(AND(CT$3&lt;=$F56,CT$4&gt;=$F56))</f>
        <v>-0</v>
      </c>
      <c r="CU56" s="33" t="n">
        <f aca="false">-$E56*N(AND(CU$3&lt;=$F56,CU$4&gt;=$F56))</f>
        <v>-0</v>
      </c>
      <c r="CV56" s="33" t="n">
        <f aca="false">-$E56*N(AND(CV$3&lt;=$F56,CV$4&gt;=$F56))</f>
        <v>-0</v>
      </c>
      <c r="CW56" s="33" t="n">
        <f aca="false">-$E56*N(AND(CW$3&lt;=$F56,CW$4&gt;=$F56))</f>
        <v>-0</v>
      </c>
      <c r="CX56" s="33" t="n">
        <f aca="false">-$E56*N(AND(CX$3&lt;=$F56,CX$4&gt;=$F56))</f>
        <v>-0</v>
      </c>
      <c r="CY56" s="33" t="n">
        <f aca="false">-$E56*N(AND(CY$3&lt;=$F56,CY$4&gt;=$F56))</f>
        <v>-0</v>
      </c>
      <c r="CZ56" s="33" t="n">
        <f aca="false">-$E56*N(AND(CZ$3&lt;=$F56,CZ$4&gt;=$F56))</f>
        <v>-0</v>
      </c>
      <c r="DA56" s="33" t="n">
        <f aca="false">-$E56*N(AND(DA$3&lt;=$F56,DA$4&gt;=$F56))</f>
        <v>-0</v>
      </c>
      <c r="DB56" s="33" t="n">
        <f aca="false">-$E56*N(AND(DB$3&lt;=$F56,DB$4&gt;=$F56))</f>
        <v>-0</v>
      </c>
      <c r="DC56" s="33" t="n">
        <f aca="false">-$E56*N(AND(DC$3&lt;=$F56,DC$4&gt;=$F56))</f>
        <v>-0</v>
      </c>
      <c r="DD56" s="33" t="n">
        <f aca="false">-$E56*N(AND(DD$3&lt;=$F56,DD$4&gt;=$F56))</f>
        <v>-0</v>
      </c>
      <c r="DE56" s="33" t="n">
        <f aca="false">-$E56*N(AND(DE$3&lt;=$F56,DE$4&gt;=$F56))</f>
        <v>-0</v>
      </c>
      <c r="DF56" s="33" t="n">
        <f aca="false">-$E56*N(AND(DF$3&lt;=$F56,DF$4&gt;=$F56))</f>
        <v>-0</v>
      </c>
      <c r="DG56" s="33" t="n">
        <f aca="false">-$E56*N(AND(DG$3&lt;=$F56,DG$4&gt;=$F56))</f>
        <v>-0</v>
      </c>
      <c r="DH56" s="33" t="n">
        <f aca="false">-$E56*N(AND(DH$3&lt;=$F56,DH$4&gt;=$F56))</f>
        <v>-0</v>
      </c>
      <c r="DI56" s="33" t="n">
        <f aca="false">-$E56*N(AND(DI$3&lt;=$F56,DI$4&gt;=$F56))</f>
        <v>-0</v>
      </c>
      <c r="DJ56" s="33" t="n">
        <f aca="false">-$E56*N(AND(DJ$3&lt;=$F56,DJ$4&gt;=$F56))</f>
        <v>-0</v>
      </c>
      <c r="DK56" s="33" t="n">
        <f aca="false">-$E56*N(AND(DK$3&lt;=$F56,DK$4&gt;=$F56))</f>
        <v>-0</v>
      </c>
      <c r="DL56" s="33" t="n">
        <f aca="false">-$E56*N(AND(DL$3&lt;=$F56,DL$4&gt;=$F56))</f>
        <v>-0</v>
      </c>
      <c r="DM56" s="33" t="n">
        <f aca="false">-$E56*N(AND(DM$3&lt;=$F56,DM$4&gt;=$F56))</f>
        <v>-0</v>
      </c>
      <c r="DN56" s="33" t="n">
        <f aca="false">-$E56*N(AND(DN$3&lt;=$F56,DN$4&gt;=$F56))</f>
        <v>-0</v>
      </c>
      <c r="DO56" s="33" t="n">
        <f aca="false">-$E56*N(AND(DO$3&lt;=$F56,DO$4&gt;=$F56))</f>
        <v>-0</v>
      </c>
      <c r="DP56" s="33" t="n">
        <f aca="false">-$E56*N(AND(DP$3&lt;=$F56,DP$4&gt;=$F56))</f>
        <v>-0</v>
      </c>
      <c r="DQ56" s="33" t="n">
        <f aca="false">-$E56*N(AND(DQ$3&lt;=$F56,DQ$4&gt;=$F56))</f>
        <v>-0</v>
      </c>
      <c r="DR56" s="33" t="n">
        <f aca="false">-$E56*N(AND(DR$3&lt;=$F56,DR$4&gt;=$F56))</f>
        <v>-0</v>
      </c>
      <c r="DS56" s="33" t="n">
        <f aca="false">-$E56*N(AND(DS$3&lt;=$F56,DS$4&gt;=$F56))</f>
        <v>-0</v>
      </c>
      <c r="DT56" s="33" t="n">
        <f aca="false">-$E56*N(AND(DT$3&lt;=$F56,DT$4&gt;=$F56))</f>
        <v>-0</v>
      </c>
      <c r="DU56" s="33" t="n">
        <f aca="false">-$E56*N(AND(DU$3&lt;=$F56,DU$4&gt;=$F56))</f>
        <v>-0</v>
      </c>
      <c r="DV56" s="33" t="n">
        <f aca="false">-$E56*N(AND(DV$3&lt;=$F56,DV$4&gt;=$F56))</f>
        <v>-0</v>
      </c>
      <c r="DW56" s="33" t="n">
        <f aca="false">-$E56*N(AND(DW$3&lt;=$F56,DW$4&gt;=$F56))</f>
        <v>-0</v>
      </c>
      <c r="DX56" s="33" t="n">
        <f aca="false">-$E56*N(AND(DX$3&lt;=$F56,DX$4&gt;=$F56))</f>
        <v>-0</v>
      </c>
      <c r="DY56" s="33" t="n">
        <f aca="false">-$E56*N(AND(DY$3&lt;=$F56,DY$4&gt;=$F56))</f>
        <v>-0</v>
      </c>
      <c r="DZ56" s="33" t="n">
        <f aca="false">-$E56*N(AND(DZ$3&lt;=$F56,DZ$4&gt;=$F56))</f>
        <v>-0</v>
      </c>
      <c r="EA56" s="33" t="n">
        <f aca="false">-$E56*N(AND(EA$3&lt;=$F56,EA$4&gt;=$F56))</f>
        <v>-0</v>
      </c>
      <c r="EB56" s="33" t="n">
        <f aca="false">-$E56*N(AND(EB$3&lt;=$F56,EB$4&gt;=$F56))</f>
        <v>-0</v>
      </c>
      <c r="EC56" s="33" t="n">
        <f aca="false">-$E56*N(AND(EC$3&lt;=$F56,EC$4&gt;=$F56))</f>
        <v>-0</v>
      </c>
      <c r="ED56" s="33" t="n">
        <f aca="false">-$E56*N(AND(ED$3&lt;=$F56,ED$4&gt;=$F56))</f>
        <v>-0</v>
      </c>
      <c r="EE56" s="33" t="n">
        <f aca="false">-$E56*N(AND(EE$3&lt;=$F56,EE$4&gt;=$F56))</f>
        <v>-0</v>
      </c>
      <c r="EF56" s="33" t="n">
        <f aca="false">-$E56*N(AND(EF$3&lt;=$F56,EF$4&gt;=$F56))</f>
        <v>-0</v>
      </c>
      <c r="EG56" s="33" t="n">
        <f aca="false">-$E56*N(AND(EG$3&lt;=$F56,EG$4&gt;=$F56))</f>
        <v>-0</v>
      </c>
      <c r="EH56" s="33" t="n">
        <f aca="false">-$E56*N(AND(EH$3&lt;=$F56,EH$4&gt;=$F56))</f>
        <v>-0</v>
      </c>
      <c r="EI56" s="33" t="n">
        <f aca="false">-$E56*N(AND(EI$3&lt;=$F56,EI$4&gt;=$F56))</f>
        <v>-0</v>
      </c>
      <c r="EJ56" s="33" t="n">
        <f aca="false">-$E56*N(AND(EJ$3&lt;=$F56,EJ$4&gt;=$F56))</f>
        <v>-0</v>
      </c>
      <c r="EK56" s="33" t="n">
        <f aca="false">-$E56*N(AND(EK$3&lt;=$F56,EK$4&gt;=$F56))</f>
        <v>-0</v>
      </c>
      <c r="EL56" s="33" t="n">
        <f aca="false">-$E56*N(AND(EL$3&lt;=$F56,EL$4&gt;=$F56))</f>
        <v>-0</v>
      </c>
      <c r="EM56" s="33" t="n">
        <f aca="false">-$E56*N(AND(EM$3&lt;=$F56,EM$4&gt;=$F56))</f>
        <v>-0</v>
      </c>
      <c r="EN56" s="33" t="n">
        <f aca="false">-$E56*N(AND(EN$3&lt;=$F56,EN$4&gt;=$F56))</f>
        <v>-0</v>
      </c>
      <c r="EO56" s="33" t="n">
        <f aca="false">-$E56*N(AND(EO$3&lt;=$F56,EO$4&gt;=$F56))</f>
        <v>-0</v>
      </c>
      <c r="EP56" s="33" t="n">
        <f aca="false">-$E56*N(AND(EP$3&lt;=$F56,EP$4&gt;=$F56))</f>
        <v>-0</v>
      </c>
      <c r="EQ56" s="33" t="n">
        <f aca="false">-$E56*N(AND(EQ$3&lt;=$F56,EQ$4&gt;=$F56))</f>
        <v>-0</v>
      </c>
      <c r="ER56" s="33" t="n">
        <f aca="false">-$E56*N(AND(ER$3&lt;=$F56,ER$4&gt;=$F56))</f>
        <v>-0</v>
      </c>
      <c r="ES56" s="33" t="n">
        <f aca="false">-$E56*N(AND(ES$3&lt;=$F56,ES$4&gt;=$F56))</f>
        <v>-0</v>
      </c>
      <c r="ET56" s="33" t="n">
        <f aca="false">-$E56*N(AND(ET$3&lt;=$F56,ET$4&gt;=$F56))</f>
        <v>-0</v>
      </c>
    </row>
    <row r="57" customFormat="false" ht="15" hidden="false" customHeight="false" outlineLevel="0" collapsed="false">
      <c r="C57" s="0" t="s">
        <v>525</v>
      </c>
      <c r="D57" s="11" t="s">
        <v>253</v>
      </c>
      <c r="E57" s="33" t="n">
        <f aca="false">-SUMIF($J$4:$ET$4,"&lt;="&amp;$E12,$J57:$ET57)</f>
        <v>3119.62451197093</v>
      </c>
      <c r="F57" s="33" t="n">
        <f aca="false">-SUMIF($J$4:$ET$4,"&lt;="&amp;In_COD,$J57:$ET57)</f>
        <v>3119.62451197093</v>
      </c>
      <c r="I57" s="33" t="n">
        <f aca="false">SUM(J57:ET57)</f>
        <v>-3119.62451197093</v>
      </c>
      <c r="J57" s="33" t="n">
        <f aca="false">J54+J55+J56</f>
        <v>-0</v>
      </c>
      <c r="K57" s="33" t="n">
        <f aca="false">K54+K55+K56</f>
        <v>-178.520547945205</v>
      </c>
      <c r="L57" s="33" t="n">
        <f aca="false">L54+L55+L56</f>
        <v>-588.444520547945</v>
      </c>
      <c r="M57" s="33" t="n">
        <f aca="false">M54+M55+M56</f>
        <v>-43.8356164383562</v>
      </c>
      <c r="N57" s="33" t="n">
        <f aca="false">N54+N55+N56</f>
        <v>-43.8356164383562</v>
      </c>
      <c r="O57" s="33" t="n">
        <f aca="false">O54+O55+O56</f>
        <v>-184.361643835616</v>
      </c>
      <c r="P57" s="33" t="n">
        <f aca="false">P54+P55+P56</f>
        <v>-1290.04179480011</v>
      </c>
      <c r="Q57" s="33" t="n">
        <f aca="false">Q54+Q55+Q56</f>
        <v>-4.60958904109589</v>
      </c>
      <c r="R57" s="33" t="n">
        <f aca="false">R54+R55+R56</f>
        <v>-164.091509980431</v>
      </c>
      <c r="S57" s="33" t="n">
        <f aca="false">S54+S55+S56</f>
        <v>-317.226138697232</v>
      </c>
      <c r="T57" s="33" t="n">
        <f aca="false">T54+T55+T56</f>
        <v>-304.657534246575</v>
      </c>
      <c r="U57" s="33" t="n">
        <f aca="false">U54+U55+U56</f>
        <v>-0</v>
      </c>
      <c r="V57" s="33" t="n">
        <f aca="false">V54+V55+V56</f>
        <v>-0</v>
      </c>
      <c r="W57" s="33" t="n">
        <f aca="false">W54+W55+W56</f>
        <v>-0</v>
      </c>
      <c r="X57" s="33" t="n">
        <f aca="false">X54+X55+X56</f>
        <v>-0</v>
      </c>
      <c r="Y57" s="33" t="n">
        <f aca="false">Y54+Y55+Y56</f>
        <v>-0</v>
      </c>
      <c r="Z57" s="33" t="n">
        <f aca="false">Z54+Z55+Z56</f>
        <v>-0</v>
      </c>
      <c r="AA57" s="33" t="n">
        <f aca="false">AA54+AA55+AA56</f>
        <v>-0</v>
      </c>
      <c r="AB57" s="33" t="n">
        <f aca="false">AB54+AB55+AB56</f>
        <v>-0</v>
      </c>
      <c r="AC57" s="33" t="n">
        <f aca="false">AC54+AC55+AC56</f>
        <v>-0</v>
      </c>
      <c r="AD57" s="33" t="n">
        <f aca="false">AD54+AD55+AD56</f>
        <v>-0</v>
      </c>
      <c r="AE57" s="33" t="n">
        <f aca="false">AE54+AE55+AE56</f>
        <v>-0</v>
      </c>
      <c r="AF57" s="33" t="n">
        <f aca="false">AF54+AF55+AF56</f>
        <v>-0</v>
      </c>
      <c r="AG57" s="33" t="n">
        <f aca="false">AG54+AG55+AG56</f>
        <v>-0</v>
      </c>
      <c r="AH57" s="33" t="n">
        <f aca="false">AH54+AH55+AH56</f>
        <v>-0</v>
      </c>
      <c r="AI57" s="33" t="n">
        <f aca="false">AI54+AI55+AI56</f>
        <v>-0</v>
      </c>
      <c r="AJ57" s="33" t="n">
        <f aca="false">AJ54+AJ55+AJ56</f>
        <v>-0</v>
      </c>
      <c r="AK57" s="33" t="n">
        <f aca="false">AK54+AK55+AK56</f>
        <v>-0</v>
      </c>
      <c r="AL57" s="33" t="n">
        <f aca="false">AL54+AL55+AL56</f>
        <v>-0</v>
      </c>
      <c r="AM57" s="33" t="n">
        <f aca="false">AM54+AM55+AM56</f>
        <v>-0</v>
      </c>
      <c r="AN57" s="33" t="n">
        <f aca="false">AN54+AN55+AN56</f>
        <v>-0</v>
      </c>
      <c r="AO57" s="33" t="n">
        <f aca="false">AO54+AO55+AO56</f>
        <v>-0</v>
      </c>
      <c r="AP57" s="33" t="n">
        <f aca="false">AP54+AP55+AP56</f>
        <v>-0</v>
      </c>
      <c r="AQ57" s="33" t="n">
        <f aca="false">AQ54+AQ55+AQ56</f>
        <v>-0</v>
      </c>
      <c r="AR57" s="33" t="n">
        <f aca="false">AR54+AR55+AR56</f>
        <v>-0</v>
      </c>
      <c r="AS57" s="33" t="n">
        <f aca="false">AS54+AS55+AS56</f>
        <v>-0</v>
      </c>
      <c r="AT57" s="33" t="n">
        <f aca="false">AT54+AT55+AT56</f>
        <v>-0</v>
      </c>
      <c r="AU57" s="33" t="n">
        <f aca="false">AU54+AU55+AU56</f>
        <v>-0</v>
      </c>
      <c r="AV57" s="33" t="n">
        <f aca="false">AV54+AV55+AV56</f>
        <v>-0</v>
      </c>
      <c r="AW57" s="33" t="n">
        <f aca="false">AW54+AW55+AW56</f>
        <v>-0</v>
      </c>
      <c r="AX57" s="33" t="n">
        <f aca="false">AX54+AX55+AX56</f>
        <v>-0</v>
      </c>
      <c r="AY57" s="33" t="n">
        <f aca="false">AY54+AY55+AY56</f>
        <v>-0</v>
      </c>
      <c r="AZ57" s="33" t="n">
        <f aca="false">AZ54+AZ55+AZ56</f>
        <v>-0</v>
      </c>
      <c r="BA57" s="33" t="n">
        <f aca="false">BA54+BA55+BA56</f>
        <v>-0</v>
      </c>
      <c r="BB57" s="33" t="n">
        <f aca="false">BB54+BB55+BB56</f>
        <v>-0</v>
      </c>
      <c r="BC57" s="33" t="n">
        <f aca="false">BC54+BC55+BC56</f>
        <v>-0</v>
      </c>
      <c r="BD57" s="33" t="n">
        <f aca="false">BD54+BD55+BD56</f>
        <v>-0</v>
      </c>
      <c r="BE57" s="33" t="n">
        <f aca="false">BE54+BE55+BE56</f>
        <v>-0</v>
      </c>
      <c r="BF57" s="33" t="n">
        <f aca="false">BF54+BF55+BF56</f>
        <v>-0</v>
      </c>
      <c r="BG57" s="33" t="n">
        <f aca="false">BG54+BG55+BG56</f>
        <v>-0</v>
      </c>
      <c r="BH57" s="33" t="n">
        <f aca="false">BH54+BH55+BH56</f>
        <v>-0</v>
      </c>
      <c r="BI57" s="33" t="n">
        <f aca="false">BI54+BI55+BI56</f>
        <v>-0</v>
      </c>
      <c r="BJ57" s="33" t="n">
        <f aca="false">BJ54+BJ55+BJ56</f>
        <v>-0</v>
      </c>
      <c r="BK57" s="33" t="n">
        <f aca="false">BK54+BK55+BK56</f>
        <v>-0</v>
      </c>
      <c r="BL57" s="33" t="n">
        <f aca="false">BL54+BL55+BL56</f>
        <v>-0</v>
      </c>
      <c r="BM57" s="33" t="n">
        <f aca="false">BM54+BM55+BM56</f>
        <v>-0</v>
      </c>
      <c r="BN57" s="33" t="n">
        <f aca="false">BN54+BN55+BN56</f>
        <v>-0</v>
      </c>
      <c r="BO57" s="33" t="n">
        <f aca="false">BO54+BO55+BO56</f>
        <v>-0</v>
      </c>
      <c r="BP57" s="33" t="n">
        <f aca="false">BP54+BP55+BP56</f>
        <v>-0</v>
      </c>
      <c r="BQ57" s="33" t="n">
        <f aca="false">BQ54+BQ55+BQ56</f>
        <v>-0</v>
      </c>
      <c r="BR57" s="33" t="n">
        <f aca="false">BR54+BR55+BR56</f>
        <v>-0</v>
      </c>
      <c r="BS57" s="33" t="n">
        <f aca="false">BS54+BS55+BS56</f>
        <v>-0</v>
      </c>
      <c r="BT57" s="33" t="n">
        <f aca="false">BT54+BT55+BT56</f>
        <v>-0</v>
      </c>
      <c r="BU57" s="33" t="n">
        <f aca="false">BU54+BU55+BU56</f>
        <v>-0</v>
      </c>
      <c r="BV57" s="33" t="n">
        <f aca="false">BV54+BV55+BV56</f>
        <v>-0</v>
      </c>
      <c r="BW57" s="33" t="n">
        <f aca="false">BW54+BW55+BW56</f>
        <v>-0</v>
      </c>
      <c r="BX57" s="33" t="n">
        <f aca="false">BX54+BX55+BX56</f>
        <v>-0</v>
      </c>
      <c r="BY57" s="33" t="n">
        <f aca="false">BY54+BY55+BY56</f>
        <v>-0</v>
      </c>
      <c r="BZ57" s="33" t="n">
        <f aca="false">BZ54+BZ55+BZ56</f>
        <v>-0</v>
      </c>
      <c r="CA57" s="33" t="n">
        <f aca="false">CA54+CA55+CA56</f>
        <v>-0</v>
      </c>
      <c r="CB57" s="33" t="n">
        <f aca="false">CB54+CB55+CB56</f>
        <v>-0</v>
      </c>
      <c r="CC57" s="33" t="n">
        <f aca="false">CC54+CC55+CC56</f>
        <v>-0</v>
      </c>
      <c r="CD57" s="33" t="n">
        <f aca="false">CD54+CD55+CD56</f>
        <v>-0</v>
      </c>
      <c r="CE57" s="33" t="n">
        <f aca="false">CE54+CE55+CE56</f>
        <v>-0</v>
      </c>
      <c r="CF57" s="33" t="n">
        <f aca="false">CF54+CF55+CF56</f>
        <v>-0</v>
      </c>
      <c r="CG57" s="33" t="n">
        <f aca="false">CG54+CG55+CG56</f>
        <v>-0</v>
      </c>
      <c r="CH57" s="33" t="n">
        <f aca="false">CH54+CH55+CH56</f>
        <v>-0</v>
      </c>
      <c r="CI57" s="33" t="n">
        <f aca="false">CI54+CI55+CI56</f>
        <v>-0</v>
      </c>
      <c r="CJ57" s="33" t="n">
        <f aca="false">CJ54+CJ55+CJ56</f>
        <v>-0</v>
      </c>
      <c r="CK57" s="33" t="n">
        <f aca="false">CK54+CK55+CK56</f>
        <v>-0</v>
      </c>
      <c r="CL57" s="33" t="n">
        <f aca="false">CL54+CL55+CL56</f>
        <v>-0</v>
      </c>
      <c r="CM57" s="33" t="n">
        <f aca="false">CM54+CM55+CM56</f>
        <v>-0</v>
      </c>
      <c r="CN57" s="33" t="n">
        <f aca="false">CN54+CN55+CN56</f>
        <v>-0</v>
      </c>
      <c r="CO57" s="33" t="n">
        <f aca="false">CO54+CO55+CO56</f>
        <v>-0</v>
      </c>
      <c r="CP57" s="33" t="n">
        <f aca="false">CP54+CP55+CP56</f>
        <v>-0</v>
      </c>
      <c r="CQ57" s="33" t="n">
        <f aca="false">CQ54+CQ55+CQ56</f>
        <v>-0</v>
      </c>
      <c r="CR57" s="33" t="n">
        <f aca="false">CR54+CR55+CR56</f>
        <v>-0</v>
      </c>
      <c r="CS57" s="33" t="n">
        <f aca="false">CS54+CS55+CS56</f>
        <v>-0</v>
      </c>
      <c r="CT57" s="33" t="n">
        <f aca="false">CT54+CT55+CT56</f>
        <v>-0</v>
      </c>
      <c r="CU57" s="33" t="n">
        <f aca="false">CU54+CU55+CU56</f>
        <v>-0</v>
      </c>
      <c r="CV57" s="33" t="n">
        <f aca="false">CV54+CV55+CV56</f>
        <v>-0</v>
      </c>
      <c r="CW57" s="33" t="n">
        <f aca="false">CW54+CW55+CW56</f>
        <v>-0</v>
      </c>
      <c r="CX57" s="33" t="n">
        <f aca="false">CX54+CX55+CX56</f>
        <v>-0</v>
      </c>
      <c r="CY57" s="33" t="n">
        <f aca="false">CY54+CY55+CY56</f>
        <v>-0</v>
      </c>
      <c r="CZ57" s="33" t="n">
        <f aca="false">CZ54+CZ55+CZ56</f>
        <v>-0</v>
      </c>
      <c r="DA57" s="33" t="n">
        <f aca="false">DA54+DA55+DA56</f>
        <v>-0</v>
      </c>
      <c r="DB57" s="33" t="n">
        <f aca="false">DB54+DB55+DB56</f>
        <v>-0</v>
      </c>
      <c r="DC57" s="33" t="n">
        <f aca="false">DC54+DC55+DC56</f>
        <v>-0</v>
      </c>
      <c r="DD57" s="33" t="n">
        <f aca="false">DD54+DD55+DD56</f>
        <v>-0</v>
      </c>
      <c r="DE57" s="33" t="n">
        <f aca="false">DE54+DE55+DE56</f>
        <v>-0</v>
      </c>
      <c r="DF57" s="33" t="n">
        <f aca="false">DF54+DF55+DF56</f>
        <v>-0</v>
      </c>
      <c r="DG57" s="33" t="n">
        <f aca="false">DG54+DG55+DG56</f>
        <v>-0</v>
      </c>
      <c r="DH57" s="33" t="n">
        <f aca="false">DH54+DH55+DH56</f>
        <v>-0</v>
      </c>
      <c r="DI57" s="33" t="n">
        <f aca="false">DI54+DI55+DI56</f>
        <v>-0</v>
      </c>
      <c r="DJ57" s="33" t="n">
        <f aca="false">DJ54+DJ55+DJ56</f>
        <v>-0</v>
      </c>
      <c r="DK57" s="33" t="n">
        <f aca="false">DK54+DK55+DK56</f>
        <v>-0</v>
      </c>
      <c r="DL57" s="33" t="n">
        <f aca="false">DL54+DL55+DL56</f>
        <v>-0</v>
      </c>
      <c r="DM57" s="33" t="n">
        <f aca="false">DM54+DM55+DM56</f>
        <v>-0</v>
      </c>
      <c r="DN57" s="33" t="n">
        <f aca="false">DN54+DN55+DN56</f>
        <v>-0</v>
      </c>
      <c r="DO57" s="33" t="n">
        <f aca="false">DO54+DO55+DO56</f>
        <v>-0</v>
      </c>
      <c r="DP57" s="33" t="n">
        <f aca="false">DP54+DP55+DP56</f>
        <v>-0</v>
      </c>
      <c r="DQ57" s="33" t="n">
        <f aca="false">DQ54+DQ55+DQ56</f>
        <v>-0</v>
      </c>
      <c r="DR57" s="33" t="n">
        <f aca="false">DR54+DR55+DR56</f>
        <v>-0</v>
      </c>
      <c r="DS57" s="33" t="n">
        <f aca="false">DS54+DS55+DS56</f>
        <v>-0</v>
      </c>
      <c r="DT57" s="33" t="n">
        <f aca="false">DT54+DT55+DT56</f>
        <v>-0</v>
      </c>
      <c r="DU57" s="33" t="n">
        <f aca="false">DU54+DU55+DU56</f>
        <v>-0</v>
      </c>
      <c r="DV57" s="33" t="n">
        <f aca="false">DV54+DV55+DV56</f>
        <v>-0</v>
      </c>
      <c r="DW57" s="33" t="n">
        <f aca="false">DW54+DW55+DW56</f>
        <v>-0</v>
      </c>
      <c r="DX57" s="33" t="n">
        <f aca="false">DX54+DX55+DX56</f>
        <v>-0</v>
      </c>
      <c r="DY57" s="33" t="n">
        <f aca="false">DY54+DY55+DY56</f>
        <v>-0</v>
      </c>
      <c r="DZ57" s="33" t="n">
        <f aca="false">DZ54+DZ55+DZ56</f>
        <v>-0</v>
      </c>
      <c r="EA57" s="33" t="n">
        <f aca="false">EA54+EA55+EA56</f>
        <v>-0</v>
      </c>
      <c r="EB57" s="33" t="n">
        <f aca="false">EB54+EB55+EB56</f>
        <v>-0</v>
      </c>
      <c r="EC57" s="33" t="n">
        <f aca="false">EC54+EC55+EC56</f>
        <v>-0</v>
      </c>
      <c r="ED57" s="33" t="n">
        <f aca="false">ED54+ED55+ED56</f>
        <v>-0</v>
      </c>
      <c r="EE57" s="33" t="n">
        <f aca="false">EE54+EE55+EE56</f>
        <v>-0</v>
      </c>
      <c r="EF57" s="33" t="n">
        <f aca="false">EF54+EF55+EF56</f>
        <v>-0</v>
      </c>
      <c r="EG57" s="33" t="n">
        <f aca="false">EG54+EG55+EG56</f>
        <v>-0</v>
      </c>
      <c r="EH57" s="33" t="n">
        <f aca="false">EH54+EH55+EH56</f>
        <v>-0</v>
      </c>
      <c r="EI57" s="33" t="n">
        <f aca="false">EI54+EI55+EI56</f>
        <v>-0</v>
      </c>
      <c r="EJ57" s="33" t="n">
        <f aca="false">EJ54+EJ55+EJ56</f>
        <v>-0</v>
      </c>
      <c r="EK57" s="33" t="n">
        <f aca="false">EK54+EK55+EK56</f>
        <v>-0</v>
      </c>
      <c r="EL57" s="33" t="n">
        <f aca="false">EL54+EL55+EL56</f>
        <v>-0</v>
      </c>
      <c r="EM57" s="33" t="n">
        <f aca="false">EM54+EM55+EM56</f>
        <v>-0</v>
      </c>
      <c r="EN57" s="33" t="n">
        <f aca="false">EN54+EN55+EN56</f>
        <v>-0</v>
      </c>
      <c r="EO57" s="33" t="n">
        <f aca="false">EO54+EO55+EO56</f>
        <v>-0</v>
      </c>
      <c r="EP57" s="33" t="n">
        <f aca="false">EP54+EP55+EP56</f>
        <v>-0</v>
      </c>
      <c r="EQ57" s="33" t="n">
        <f aca="false">EQ54+EQ55+EQ56</f>
        <v>-0</v>
      </c>
      <c r="ER57" s="33" t="n">
        <f aca="false">ER54+ER55+ER56</f>
        <v>-0</v>
      </c>
      <c r="ES57" s="33" t="n">
        <f aca="false">ES54+ES55+ES56</f>
        <v>-0</v>
      </c>
      <c r="ET57" s="33" t="n">
        <f aca="false">ET54+ET55+ET56</f>
        <v>-0</v>
      </c>
    </row>
    <row r="58" customFormat="false" ht="15" hidden="false" customHeight="false" outlineLevel="0" collapsed="false">
      <c r="C58" s="0" t="s">
        <v>526</v>
      </c>
      <c r="D58" s="11" t="s">
        <v>253</v>
      </c>
      <c r="I58" s="33" t="n">
        <f aca="false">SUM(J58:ET58)</f>
        <v>-3119.62451197093</v>
      </c>
      <c r="J58" s="33" t="n">
        <f aca="false">J20*SUMIF($J$7:J$7,J$7,$J57:J57)</f>
        <v>0</v>
      </c>
      <c r="K58" s="33" t="n">
        <f aca="false">K20*SUMIF($J$7:K$7,K$7,$J57:K57)</f>
        <v>-178.520547945205</v>
      </c>
      <c r="L58" s="33" t="n">
        <f aca="false">L20*SUMIF($J$7:L$7,L$7,$J57:L57)</f>
        <v>-0</v>
      </c>
      <c r="M58" s="33" t="n">
        <f aca="false">M20*SUMIF($J$7:M$7,M$7,$J57:M57)</f>
        <v>-0</v>
      </c>
      <c r="N58" s="33" t="n">
        <f aca="false">N20*SUMIF($J$7:N$7,N$7,$J57:N57)</f>
        <v>-0</v>
      </c>
      <c r="O58" s="33" t="n">
        <f aca="false">O20*SUMIF($J$7:O$7,O$7,$J57:O57)</f>
        <v>-860.477397260274</v>
      </c>
      <c r="P58" s="33" t="n">
        <f aca="false">P20*SUMIF($J$7:P$7,P$7,$J57:P57)</f>
        <v>-0</v>
      </c>
      <c r="Q58" s="33" t="n">
        <f aca="false">Q20*SUMIF($J$7:Q$7,Q$7,$J57:Q57)</f>
        <v>-0</v>
      </c>
      <c r="R58" s="33" t="n">
        <f aca="false">R20*SUMIF($J$7:R$7,R$7,$J57:R57)</f>
        <v>-0</v>
      </c>
      <c r="S58" s="33" t="n">
        <f aca="false">S20*SUMIF($J$7:S$7,S$7,$J57:S57)</f>
        <v>-1775.96903251887</v>
      </c>
      <c r="T58" s="33" t="n">
        <f aca="false">T20*SUMIF($J$7:T$7,T$7,$J57:T57)</f>
        <v>-0</v>
      </c>
      <c r="U58" s="33" t="n">
        <f aca="false">U20*SUMIF($J$7:U$7,U$7,$J57:U57)</f>
        <v>-0</v>
      </c>
      <c r="V58" s="33" t="n">
        <f aca="false">V20*SUMIF($J$7:V$7,V$7,$J57:V57)</f>
        <v>-0</v>
      </c>
      <c r="W58" s="33" t="n">
        <f aca="false">W20*SUMIF($J$7:W$7,W$7,$J57:W57)</f>
        <v>-304.657534246575</v>
      </c>
      <c r="X58" s="33" t="n">
        <f aca="false">X20*SUMIF($J$7:X$7,X$7,$J57:X57)</f>
        <v>0</v>
      </c>
      <c r="Y58" s="33" t="n">
        <f aca="false">Y20*SUMIF($J$7:Y$7,Y$7,$J57:Y57)</f>
        <v>0</v>
      </c>
      <c r="Z58" s="33" t="n">
        <f aca="false">Z20*SUMIF($J$7:Z$7,Z$7,$J57:Z57)</f>
        <v>0</v>
      </c>
      <c r="AA58" s="33" t="n">
        <f aca="false">AA20*SUMIF($J$7:AA$7,AA$7,$J57:AA57)</f>
        <v>0</v>
      </c>
      <c r="AB58" s="33" t="n">
        <f aca="false">AB20*SUMIF($J$7:AB$7,AB$7,$J57:AB57)</f>
        <v>0</v>
      </c>
      <c r="AC58" s="33" t="n">
        <f aca="false">AC20*SUMIF($J$7:AC$7,AC$7,$J57:AC57)</f>
        <v>0</v>
      </c>
      <c r="AD58" s="33" t="n">
        <f aca="false">AD20*SUMIF($J$7:AD$7,AD$7,$J57:AD57)</f>
        <v>0</v>
      </c>
      <c r="AE58" s="33" t="n">
        <f aca="false">AE20*SUMIF($J$7:AE$7,AE$7,$J57:AE57)</f>
        <v>0</v>
      </c>
      <c r="AF58" s="33" t="n">
        <f aca="false">AF20*SUMIF($J$7:AF$7,AF$7,$J57:AF57)</f>
        <v>0</v>
      </c>
      <c r="AG58" s="33" t="n">
        <f aca="false">AG20*SUMIF($J$7:AG$7,AG$7,$J57:AG57)</f>
        <v>0</v>
      </c>
      <c r="AH58" s="33" t="n">
        <f aca="false">AH20*SUMIF($J$7:AH$7,AH$7,$J57:AH57)</f>
        <v>0</v>
      </c>
      <c r="AI58" s="33" t="n">
        <f aca="false">AI20*SUMIF($J$7:AI$7,AI$7,$J57:AI57)</f>
        <v>0</v>
      </c>
      <c r="AJ58" s="33" t="n">
        <f aca="false">AJ20*SUMIF($J$7:AJ$7,AJ$7,$J57:AJ57)</f>
        <v>0</v>
      </c>
      <c r="AK58" s="33" t="n">
        <f aca="false">AK20*SUMIF($J$7:AK$7,AK$7,$J57:AK57)</f>
        <v>0</v>
      </c>
      <c r="AL58" s="33" t="n">
        <f aca="false">AL20*SUMIF($J$7:AL$7,AL$7,$J57:AL57)</f>
        <v>0</v>
      </c>
      <c r="AM58" s="33" t="n">
        <f aca="false">AM20*SUMIF($J$7:AM$7,AM$7,$J57:AM57)</f>
        <v>0</v>
      </c>
      <c r="AN58" s="33" t="n">
        <f aca="false">AN20*SUMIF($J$7:AN$7,AN$7,$J57:AN57)</f>
        <v>0</v>
      </c>
      <c r="AO58" s="33" t="n">
        <f aca="false">AO20*SUMIF($J$7:AO$7,AO$7,$J57:AO57)</f>
        <v>0</v>
      </c>
      <c r="AP58" s="33" t="n">
        <f aca="false">AP20*SUMIF($J$7:AP$7,AP$7,$J57:AP57)</f>
        <v>0</v>
      </c>
      <c r="AQ58" s="33" t="n">
        <f aca="false">AQ20*SUMIF($J$7:AQ$7,AQ$7,$J57:AQ57)</f>
        <v>0</v>
      </c>
      <c r="AR58" s="33" t="n">
        <f aca="false">AR20*SUMIF($J$7:AR$7,AR$7,$J57:AR57)</f>
        <v>0</v>
      </c>
      <c r="AS58" s="33" t="n">
        <f aca="false">AS20*SUMIF($J$7:AS$7,AS$7,$J57:AS57)</f>
        <v>0</v>
      </c>
      <c r="AT58" s="33" t="n">
        <f aca="false">AT20*SUMIF($J$7:AT$7,AT$7,$J57:AT57)</f>
        <v>0</v>
      </c>
      <c r="AU58" s="33" t="n">
        <f aca="false">AU20*SUMIF($J$7:AU$7,AU$7,$J57:AU57)</f>
        <v>0</v>
      </c>
      <c r="AV58" s="33" t="n">
        <f aca="false">AV20*SUMIF($J$7:AV$7,AV$7,$J57:AV57)</f>
        <v>0</v>
      </c>
      <c r="AW58" s="33" t="n">
        <f aca="false">AW20*SUMIF($J$7:AW$7,AW$7,$J57:AW57)</f>
        <v>0</v>
      </c>
      <c r="AX58" s="33" t="n">
        <f aca="false">AX20*SUMIF($J$7:AX$7,AX$7,$J57:AX57)</f>
        <v>0</v>
      </c>
      <c r="AY58" s="33" t="n">
        <f aca="false">AY20*SUMIF($J$7:AY$7,AY$7,$J57:AY57)</f>
        <v>0</v>
      </c>
      <c r="AZ58" s="33" t="n">
        <f aca="false">AZ20*SUMIF($J$7:AZ$7,AZ$7,$J57:AZ57)</f>
        <v>0</v>
      </c>
      <c r="BA58" s="33" t="n">
        <f aca="false">BA20*SUMIF($J$7:BA$7,BA$7,$J57:BA57)</f>
        <v>0</v>
      </c>
      <c r="BB58" s="33" t="n">
        <f aca="false">BB20*SUMIF($J$7:BB$7,BB$7,$J57:BB57)</f>
        <v>0</v>
      </c>
      <c r="BC58" s="33" t="n">
        <f aca="false">BC20*SUMIF($J$7:BC$7,BC$7,$J57:BC57)</f>
        <v>0</v>
      </c>
      <c r="BD58" s="33" t="n">
        <f aca="false">BD20*SUMIF($J$7:BD$7,BD$7,$J57:BD57)</f>
        <v>0</v>
      </c>
      <c r="BE58" s="33" t="n">
        <f aca="false">BE20*SUMIF($J$7:BE$7,BE$7,$J57:BE57)</f>
        <v>0</v>
      </c>
      <c r="BF58" s="33" t="n">
        <f aca="false">BF20*SUMIF($J$7:BF$7,BF$7,$J57:BF57)</f>
        <v>0</v>
      </c>
      <c r="BG58" s="33" t="n">
        <f aca="false">BG20*SUMIF($J$7:BG$7,BG$7,$J57:BG57)</f>
        <v>0</v>
      </c>
      <c r="BH58" s="33" t="n">
        <f aca="false">BH20*SUMIF($J$7:BH$7,BH$7,$J57:BH57)</f>
        <v>0</v>
      </c>
      <c r="BI58" s="33" t="n">
        <f aca="false">BI20*SUMIF($J$7:BI$7,BI$7,$J57:BI57)</f>
        <v>0</v>
      </c>
      <c r="BJ58" s="33" t="n">
        <f aca="false">BJ20*SUMIF($J$7:BJ$7,BJ$7,$J57:BJ57)</f>
        <v>0</v>
      </c>
      <c r="BK58" s="33" t="n">
        <f aca="false">BK20*SUMIF($J$7:BK$7,BK$7,$J57:BK57)</f>
        <v>0</v>
      </c>
      <c r="BL58" s="33" t="n">
        <f aca="false">BL20*SUMIF($J$7:BL$7,BL$7,$J57:BL57)</f>
        <v>0</v>
      </c>
      <c r="BM58" s="33" t="n">
        <f aca="false">BM20*SUMIF($J$7:BM$7,BM$7,$J57:BM57)</f>
        <v>0</v>
      </c>
      <c r="BN58" s="33" t="n">
        <f aca="false">BN20*SUMIF($J$7:BN$7,BN$7,$J57:BN57)</f>
        <v>0</v>
      </c>
      <c r="BO58" s="33" t="n">
        <f aca="false">BO20*SUMIF($J$7:BO$7,BO$7,$J57:BO57)</f>
        <v>0</v>
      </c>
      <c r="BP58" s="33" t="n">
        <f aca="false">BP20*SUMIF($J$7:BP$7,BP$7,$J57:BP57)</f>
        <v>0</v>
      </c>
      <c r="BQ58" s="33" t="n">
        <f aca="false">BQ20*SUMIF($J$7:BQ$7,BQ$7,$J57:BQ57)</f>
        <v>0</v>
      </c>
      <c r="BR58" s="33" t="n">
        <f aca="false">BR20*SUMIF($J$7:BR$7,BR$7,$J57:BR57)</f>
        <v>0</v>
      </c>
      <c r="BS58" s="33" t="n">
        <f aca="false">BS20*SUMIF($J$7:BS$7,BS$7,$J57:BS57)</f>
        <v>0</v>
      </c>
      <c r="BT58" s="33" t="n">
        <f aca="false">BT20*SUMIF($J$7:BT$7,BT$7,$J57:BT57)</f>
        <v>0</v>
      </c>
      <c r="BU58" s="33" t="n">
        <f aca="false">BU20*SUMIF($J$7:BU$7,BU$7,$J57:BU57)</f>
        <v>0</v>
      </c>
      <c r="BV58" s="33" t="n">
        <f aca="false">BV20*SUMIF($J$7:BV$7,BV$7,$J57:BV57)</f>
        <v>0</v>
      </c>
      <c r="BW58" s="33" t="n">
        <f aca="false">BW20*SUMIF($J$7:BW$7,BW$7,$J57:BW57)</f>
        <v>0</v>
      </c>
      <c r="BX58" s="33" t="n">
        <f aca="false">BX20*SUMIF($J$7:BX$7,BX$7,$J57:BX57)</f>
        <v>0</v>
      </c>
      <c r="BY58" s="33" t="n">
        <f aca="false">BY20*SUMIF($J$7:BY$7,BY$7,$J57:BY57)</f>
        <v>0</v>
      </c>
      <c r="BZ58" s="33" t="n">
        <f aca="false">BZ20*SUMIF($J$7:BZ$7,BZ$7,$J57:BZ57)</f>
        <v>0</v>
      </c>
      <c r="CA58" s="33" t="n">
        <f aca="false">CA20*SUMIF($J$7:CA$7,CA$7,$J57:CA57)</f>
        <v>0</v>
      </c>
      <c r="CB58" s="33" t="n">
        <f aca="false">CB20*SUMIF($J$7:CB$7,CB$7,$J57:CB57)</f>
        <v>0</v>
      </c>
      <c r="CC58" s="33" t="n">
        <f aca="false">CC20*SUMIF($J$7:CC$7,CC$7,$J57:CC57)</f>
        <v>0</v>
      </c>
      <c r="CD58" s="33" t="n">
        <f aca="false">CD20*SUMIF($J$7:CD$7,CD$7,$J57:CD57)</f>
        <v>0</v>
      </c>
      <c r="CE58" s="33" t="n">
        <f aca="false">CE20*SUMIF($J$7:CE$7,CE$7,$J57:CE57)</f>
        <v>0</v>
      </c>
      <c r="CF58" s="33" t="n">
        <f aca="false">CF20*SUMIF($J$7:CF$7,CF$7,$J57:CF57)</f>
        <v>0</v>
      </c>
      <c r="CG58" s="33" t="n">
        <f aca="false">CG20*SUMIF($J$7:CG$7,CG$7,$J57:CG57)</f>
        <v>0</v>
      </c>
      <c r="CH58" s="33" t="n">
        <f aca="false">CH20*SUMIF($J$7:CH$7,CH$7,$J57:CH57)</f>
        <v>0</v>
      </c>
      <c r="CI58" s="33" t="n">
        <f aca="false">CI20*SUMIF($J$7:CI$7,CI$7,$J57:CI57)</f>
        <v>0</v>
      </c>
      <c r="CJ58" s="33" t="n">
        <f aca="false">CJ20*SUMIF($J$7:CJ$7,CJ$7,$J57:CJ57)</f>
        <v>0</v>
      </c>
      <c r="CK58" s="33" t="n">
        <f aca="false">CK20*SUMIF($J$7:CK$7,CK$7,$J57:CK57)</f>
        <v>0</v>
      </c>
      <c r="CL58" s="33" t="n">
        <f aca="false">CL20*SUMIF($J$7:CL$7,CL$7,$J57:CL57)</f>
        <v>0</v>
      </c>
      <c r="CM58" s="33" t="n">
        <f aca="false">CM20*SUMIF($J$7:CM$7,CM$7,$J57:CM57)</f>
        <v>0</v>
      </c>
      <c r="CN58" s="33" t="n">
        <f aca="false">CN20*SUMIF($J$7:CN$7,CN$7,$J57:CN57)</f>
        <v>0</v>
      </c>
      <c r="CO58" s="33" t="n">
        <f aca="false">CO20*SUMIF($J$7:CO$7,CO$7,$J57:CO57)</f>
        <v>0</v>
      </c>
      <c r="CP58" s="33" t="n">
        <f aca="false">CP20*SUMIF($J$7:CP$7,CP$7,$J57:CP57)</f>
        <v>0</v>
      </c>
      <c r="CQ58" s="33" t="n">
        <f aca="false">CQ20*SUMIF($J$7:CQ$7,CQ$7,$J57:CQ57)</f>
        <v>0</v>
      </c>
      <c r="CR58" s="33" t="n">
        <f aca="false">CR20*SUMIF($J$7:CR$7,CR$7,$J57:CR57)</f>
        <v>0</v>
      </c>
      <c r="CS58" s="33" t="n">
        <f aca="false">CS20*SUMIF($J$7:CS$7,CS$7,$J57:CS57)</f>
        <v>0</v>
      </c>
      <c r="CT58" s="33" t="n">
        <f aca="false">CT20*SUMIF($J$7:CT$7,CT$7,$J57:CT57)</f>
        <v>0</v>
      </c>
      <c r="CU58" s="33" t="n">
        <f aca="false">CU20*SUMIF($J$7:CU$7,CU$7,$J57:CU57)</f>
        <v>0</v>
      </c>
      <c r="CV58" s="33" t="n">
        <f aca="false">CV20*SUMIF($J$7:CV$7,CV$7,$J57:CV57)</f>
        <v>0</v>
      </c>
      <c r="CW58" s="33" t="n">
        <f aca="false">CW20*SUMIF($J$7:CW$7,CW$7,$J57:CW57)</f>
        <v>0</v>
      </c>
      <c r="CX58" s="33" t="n">
        <f aca="false">CX20*SUMIF($J$7:CX$7,CX$7,$J57:CX57)</f>
        <v>0</v>
      </c>
      <c r="CY58" s="33" t="n">
        <f aca="false">CY20*SUMIF($J$7:CY$7,CY$7,$J57:CY57)</f>
        <v>0</v>
      </c>
      <c r="CZ58" s="33" t="n">
        <f aca="false">CZ20*SUMIF($J$7:CZ$7,CZ$7,$J57:CZ57)</f>
        <v>0</v>
      </c>
      <c r="DA58" s="33" t="n">
        <f aca="false">DA20*SUMIF($J$7:DA$7,DA$7,$J57:DA57)</f>
        <v>0</v>
      </c>
      <c r="DB58" s="33" t="n">
        <f aca="false">DB20*SUMIF($J$7:DB$7,DB$7,$J57:DB57)</f>
        <v>0</v>
      </c>
      <c r="DC58" s="33" t="n">
        <f aca="false">DC20*SUMIF($J$7:DC$7,DC$7,$J57:DC57)</f>
        <v>0</v>
      </c>
      <c r="DD58" s="33" t="n">
        <f aca="false">DD20*SUMIF($J$7:DD$7,DD$7,$J57:DD57)</f>
        <v>0</v>
      </c>
      <c r="DE58" s="33" t="n">
        <f aca="false">DE20*SUMIF($J$7:DE$7,DE$7,$J57:DE57)</f>
        <v>0</v>
      </c>
      <c r="DF58" s="33" t="n">
        <f aca="false">DF20*SUMIF($J$7:DF$7,DF$7,$J57:DF57)</f>
        <v>0</v>
      </c>
      <c r="DG58" s="33" t="n">
        <f aca="false">DG20*SUMIF($J$7:DG$7,DG$7,$J57:DG57)</f>
        <v>0</v>
      </c>
      <c r="DH58" s="33" t="n">
        <f aca="false">DH20*SUMIF($J$7:DH$7,DH$7,$J57:DH57)</f>
        <v>0</v>
      </c>
      <c r="DI58" s="33" t="n">
        <f aca="false">DI20*SUMIF($J$7:DI$7,DI$7,$J57:DI57)</f>
        <v>0</v>
      </c>
      <c r="DJ58" s="33" t="n">
        <f aca="false">DJ20*SUMIF($J$7:DJ$7,DJ$7,$J57:DJ57)</f>
        <v>0</v>
      </c>
      <c r="DK58" s="33" t="n">
        <f aca="false">DK20*SUMIF($J$7:DK$7,DK$7,$J57:DK57)</f>
        <v>0</v>
      </c>
      <c r="DL58" s="33" t="n">
        <f aca="false">DL20*SUMIF($J$7:DL$7,DL$7,$J57:DL57)</f>
        <v>0</v>
      </c>
      <c r="DM58" s="33" t="n">
        <f aca="false">DM20*SUMIF($J$7:DM$7,DM$7,$J57:DM57)</f>
        <v>0</v>
      </c>
      <c r="DN58" s="33" t="n">
        <f aca="false">DN20*SUMIF($J$7:DN$7,DN$7,$J57:DN57)</f>
        <v>0</v>
      </c>
      <c r="DO58" s="33" t="n">
        <f aca="false">DO20*SUMIF($J$7:DO$7,DO$7,$J57:DO57)</f>
        <v>0</v>
      </c>
      <c r="DP58" s="33" t="n">
        <f aca="false">DP20*SUMIF($J$7:DP$7,DP$7,$J57:DP57)</f>
        <v>0</v>
      </c>
      <c r="DQ58" s="33" t="n">
        <f aca="false">DQ20*SUMIF($J$7:DQ$7,DQ$7,$J57:DQ57)</f>
        <v>0</v>
      </c>
      <c r="DR58" s="33" t="n">
        <f aca="false">DR20*SUMIF($J$7:DR$7,DR$7,$J57:DR57)</f>
        <v>0</v>
      </c>
      <c r="DS58" s="33" t="n">
        <f aca="false">DS20*SUMIF($J$7:DS$7,DS$7,$J57:DS57)</f>
        <v>0</v>
      </c>
      <c r="DT58" s="33" t="n">
        <f aca="false">DT20*SUMIF($J$7:DT$7,DT$7,$J57:DT57)</f>
        <v>0</v>
      </c>
      <c r="DU58" s="33" t="n">
        <f aca="false">DU20*SUMIF($J$7:DU$7,DU$7,$J57:DU57)</f>
        <v>0</v>
      </c>
      <c r="DV58" s="33" t="n">
        <f aca="false">DV20*SUMIF($J$7:DV$7,DV$7,$J57:DV57)</f>
        <v>0</v>
      </c>
      <c r="DW58" s="33" t="n">
        <f aca="false">DW20*SUMIF($J$7:DW$7,DW$7,$J57:DW57)</f>
        <v>0</v>
      </c>
      <c r="DX58" s="33" t="n">
        <f aca="false">DX20*SUMIF($J$7:DX$7,DX$7,$J57:DX57)</f>
        <v>0</v>
      </c>
      <c r="DY58" s="33" t="n">
        <f aca="false">DY20*SUMIF($J$7:DY$7,DY$7,$J57:DY57)</f>
        <v>0</v>
      </c>
      <c r="DZ58" s="33" t="n">
        <f aca="false">DZ20*SUMIF($J$7:DZ$7,DZ$7,$J57:DZ57)</f>
        <v>0</v>
      </c>
      <c r="EA58" s="33" t="n">
        <f aca="false">EA20*SUMIF($J$7:EA$7,EA$7,$J57:EA57)</f>
        <v>0</v>
      </c>
      <c r="EB58" s="33" t="n">
        <f aca="false">EB20*SUMIF($J$7:EB$7,EB$7,$J57:EB57)</f>
        <v>0</v>
      </c>
      <c r="EC58" s="33" t="n">
        <f aca="false">EC20*SUMIF($J$7:EC$7,EC$7,$J57:EC57)</f>
        <v>0</v>
      </c>
      <c r="ED58" s="33" t="n">
        <f aca="false">ED20*SUMIF($J$7:ED$7,ED$7,$J57:ED57)</f>
        <v>0</v>
      </c>
      <c r="EE58" s="33" t="n">
        <f aca="false">EE20*SUMIF($J$7:EE$7,EE$7,$J57:EE57)</f>
        <v>0</v>
      </c>
      <c r="EF58" s="33" t="n">
        <f aca="false">EF20*SUMIF($J$7:EF$7,EF$7,$J57:EF57)</f>
        <v>0</v>
      </c>
      <c r="EG58" s="33" t="n">
        <f aca="false">EG20*SUMIF($J$7:EG$7,EG$7,$J57:EG57)</f>
        <v>0</v>
      </c>
      <c r="EH58" s="33" t="n">
        <f aca="false">EH20*SUMIF($J$7:EH$7,EH$7,$J57:EH57)</f>
        <v>0</v>
      </c>
      <c r="EI58" s="33" t="n">
        <f aca="false">EI20*SUMIF($J$7:EI$7,EI$7,$J57:EI57)</f>
        <v>0</v>
      </c>
      <c r="EJ58" s="33" t="n">
        <f aca="false">EJ20*SUMIF($J$7:EJ$7,EJ$7,$J57:EJ57)</f>
        <v>0</v>
      </c>
      <c r="EK58" s="33" t="n">
        <f aca="false">EK20*SUMIF($J$7:EK$7,EK$7,$J57:EK57)</f>
        <v>0</v>
      </c>
      <c r="EL58" s="33" t="n">
        <f aca="false">EL20*SUMIF($J$7:EL$7,EL$7,$J57:EL57)</f>
        <v>0</v>
      </c>
      <c r="EM58" s="33" t="n">
        <f aca="false">EM20*SUMIF($J$7:EM$7,EM$7,$J57:EM57)</f>
        <v>0</v>
      </c>
      <c r="EN58" s="33" t="n">
        <f aca="false">EN20*SUMIF($J$7:EN$7,EN$7,$J57:EN57)</f>
        <v>0</v>
      </c>
      <c r="EO58" s="33" t="n">
        <f aca="false">EO20*SUMIF($J$7:EO$7,EO$7,$J57:EO57)</f>
        <v>0</v>
      </c>
      <c r="EP58" s="33" t="n">
        <f aca="false">EP20*SUMIF($J$7:EP$7,EP$7,$J57:EP57)</f>
        <v>0</v>
      </c>
      <c r="EQ58" s="33" t="n">
        <f aca="false">EQ20*SUMIF($J$7:EQ$7,EQ$7,$J57:EQ57)</f>
        <v>0</v>
      </c>
      <c r="ER58" s="33" t="n">
        <f aca="false">ER20*SUMIF($J$7:ER$7,ER$7,$J57:ER57)</f>
        <v>0</v>
      </c>
      <c r="ES58" s="33" t="n">
        <f aca="false">ES20*SUMIF($J$7:ES$7,ES$7,$J57:ES57)</f>
        <v>0</v>
      </c>
      <c r="ET58" s="33" t="n">
        <f aca="false">ET20*SUMIF($J$7:ET$7,ET$7,$J57:ET57)</f>
        <v>0</v>
      </c>
    </row>
    <row r="59" customFormat="false" ht="15" hidden="false" customHeight="false" outlineLevel="0" collapsed="false">
      <c r="C59" s="0" t="s">
        <v>527</v>
      </c>
      <c r="D59" s="11" t="s">
        <v>253</v>
      </c>
      <c r="E59" s="33" t="n">
        <f aca="false">SUMIF($J$4:$ET$4,"&lt;="&amp;$E12,$J59:$ET59)</f>
        <v>-1278.15482229311</v>
      </c>
      <c r="F59" s="33" t="n">
        <f aca="false">SUMIF($J$4:$ET$4,"&lt;="&amp;In_COD,$J59:$ET59)</f>
        <v>-2011.61657496716</v>
      </c>
      <c r="I59" s="33" t="n">
        <f aca="false">SUM(J59:ET59)</f>
        <v>-2641.61193619816</v>
      </c>
      <c r="J59" s="33" t="n">
        <f aca="false">-(J48+J49)*In_Guarantee_Fee*J$5/Days_In_Year</f>
        <v>-0</v>
      </c>
      <c r="K59" s="33" t="n">
        <f aca="false">-(K48+K49)*In_Guarantee_Fee*K$5/Days_In_Year</f>
        <v>-18.1640998311128</v>
      </c>
      <c r="L59" s="33" t="n">
        <f aca="false">-(L48+L49)*In_Guarantee_Fee*L$5/Days_In_Year</f>
        <v>-103.466391443047</v>
      </c>
      <c r="M59" s="33" t="n">
        <f aca="false">-(M48+M49)*In_Guarantee_Fee*M$5/Days_In_Year</f>
        <v>-104.616018014637</v>
      </c>
      <c r="N59" s="33" t="n">
        <f aca="false">-(N48+N49)*In_Guarantee_Fee*N$5/Days_In_Year</f>
        <v>-105.765644586226</v>
      </c>
      <c r="O59" s="33" t="n">
        <f aca="false">-(O48+O49)*In_Guarantee_Fee*O$5/Days_In_Year</f>
        <v>-105.765644586226</v>
      </c>
      <c r="P59" s="33" t="n">
        <f aca="false">-(P48+P49)*In_Guarantee_Fee*P$5/Days_In_Year</f>
        <v>-104.616018014637</v>
      </c>
      <c r="Q59" s="33" t="n">
        <f aca="false">-(Q48+Q49)*In_Guarantee_Fee*Q$5/Days_In_Year</f>
        <v>-104.616018014637</v>
      </c>
      <c r="R59" s="33" t="n">
        <f aca="false">-(R48+R49)*In_Guarantee_Fee*R$5/Days_In_Year</f>
        <v>-105.765644586226</v>
      </c>
      <c r="S59" s="33" t="n">
        <f aca="false">-(S48+S49)*In_Guarantee_Fee*S$5/Days_In_Year</f>
        <v>-105.765644586226</v>
      </c>
      <c r="T59" s="33" t="n">
        <f aca="false">-(T48+T49)*In_Guarantee_Fee*T$5/Days_In_Year</f>
        <v>-103.466391443047</v>
      </c>
      <c r="U59" s="33" t="n">
        <f aca="false">-(U48+U49)*In_Guarantee_Fee*U$5/Days_In_Year</f>
        <v>-104.616018014637</v>
      </c>
      <c r="V59" s="33" t="n">
        <f aca="false">-(V48+V49)*In_Guarantee_Fee*V$5/Days_In_Year</f>
        <v>-105.765644586226</v>
      </c>
      <c r="W59" s="33" t="n">
        <f aca="false">-(W48+W49)*In_Guarantee_Fee*W$5/Days_In_Year</f>
        <v>-105.765644586226</v>
      </c>
      <c r="X59" s="33" t="n">
        <f aca="false">-(X48+X49)*In_Guarantee_Fee*X$5/Days_In_Year</f>
        <v>-103.466391443047</v>
      </c>
      <c r="Y59" s="33" t="n">
        <f aca="false">-(Y48+Y49)*In_Guarantee_Fee*Y$5/Days_In_Year</f>
        <v>-104.616018014637</v>
      </c>
      <c r="Z59" s="33" t="n">
        <f aca="false">-(Z48+Z49)*In_Guarantee_Fee*Z$5/Days_In_Year</f>
        <v>-105.765644586226</v>
      </c>
      <c r="AA59" s="33" t="n">
        <f aca="false">-(AA48+AA49)*In_Guarantee_Fee*AA$5/Days_In_Year</f>
        <v>-105.765644586226</v>
      </c>
      <c r="AB59" s="33" t="n">
        <f aca="false">-(AB48+AB49)*In_Guarantee_Fee*AB$5/Days_In_Year</f>
        <v>-103.466391443047</v>
      </c>
      <c r="AC59" s="33" t="n">
        <f aca="false">-(AC48+AC49)*In_Guarantee_Fee*AC$5/Days_In_Year</f>
        <v>-104.616018014637</v>
      </c>
      <c r="AD59" s="33" t="n">
        <f aca="false">-(AD48+AD49)*In_Guarantee_Fee*AD$5/Days_In_Year</f>
        <v>-105.765644586226</v>
      </c>
      <c r="AE59" s="33" t="n">
        <f aca="false">-(AE48+AE49)*In_Guarantee_Fee*AE$5/Days_In_Year</f>
        <v>-105.765644586226</v>
      </c>
      <c r="AF59" s="33" t="n">
        <f aca="false">-(AF48+AF49)*In_Guarantee_Fee*AF$5/Days_In_Year</f>
        <v>-104.616018014637</v>
      </c>
      <c r="AG59" s="33" t="n">
        <f aca="false">-(AG48+AG49)*In_Guarantee_Fee*AG$5/Days_In_Year</f>
        <v>-104.616018014637</v>
      </c>
      <c r="AH59" s="33" t="n">
        <f aca="false">-(AH48+AH49)*In_Guarantee_Fee*AH$5/Days_In_Year</f>
        <v>-105.765644586226</v>
      </c>
      <c r="AI59" s="33" t="n">
        <f aca="false">-(AI48+AI49)*In_Guarantee_Fee*AI$5/Days_In_Year</f>
        <v>-105.765644586226</v>
      </c>
      <c r="AJ59" s="33" t="n">
        <f aca="false">-(AJ48+AJ49)*In_Guarantee_Fee*AJ$5/Days_In_Year</f>
        <v>-103.466391443047</v>
      </c>
      <c r="AK59" s="33" t="n">
        <f aca="false">-(AK48+AK49)*In_Guarantee_Fee*AK$5/Days_In_Year</f>
        <v>-0</v>
      </c>
      <c r="AL59" s="33" t="n">
        <f aca="false">-(AL48+AL49)*In_Guarantee_Fee*AL$5/Days_In_Year</f>
        <v>-0</v>
      </c>
      <c r="AM59" s="33" t="n">
        <f aca="false">-(AM48+AM49)*In_Guarantee_Fee*AM$5/Days_In_Year</f>
        <v>-0</v>
      </c>
      <c r="AN59" s="33" t="n">
        <f aca="false">-(AN48+AN49)*In_Guarantee_Fee*AN$5/Days_In_Year</f>
        <v>-0</v>
      </c>
      <c r="AO59" s="33" t="n">
        <f aca="false">-(AO48+AO49)*In_Guarantee_Fee*AO$5/Days_In_Year</f>
        <v>-0</v>
      </c>
      <c r="AP59" s="33" t="n">
        <f aca="false">-(AP48+AP49)*In_Guarantee_Fee*AP$5/Days_In_Year</f>
        <v>-0</v>
      </c>
      <c r="AQ59" s="33" t="n">
        <f aca="false">-(AQ48+AQ49)*In_Guarantee_Fee*AQ$5/Days_In_Year</f>
        <v>-0</v>
      </c>
      <c r="AR59" s="33" t="n">
        <f aca="false">-(AR48+AR49)*In_Guarantee_Fee*AR$5/Days_In_Year</f>
        <v>-0</v>
      </c>
      <c r="AS59" s="33" t="n">
        <f aca="false">-(AS48+AS49)*In_Guarantee_Fee*AS$5/Days_In_Year</f>
        <v>-0</v>
      </c>
      <c r="AT59" s="33" t="n">
        <f aca="false">-(AT48+AT49)*In_Guarantee_Fee*AT$5/Days_In_Year</f>
        <v>-0</v>
      </c>
      <c r="AU59" s="33" t="n">
        <f aca="false">-(AU48+AU49)*In_Guarantee_Fee*AU$5/Days_In_Year</f>
        <v>-0</v>
      </c>
      <c r="AV59" s="33" t="n">
        <f aca="false">-(AV48+AV49)*In_Guarantee_Fee*AV$5/Days_In_Year</f>
        <v>-0</v>
      </c>
      <c r="AW59" s="33" t="n">
        <f aca="false">-(AW48+AW49)*In_Guarantee_Fee*AW$5/Days_In_Year</f>
        <v>-0</v>
      </c>
      <c r="AX59" s="33" t="n">
        <f aca="false">-(AX48+AX49)*In_Guarantee_Fee*AX$5/Days_In_Year</f>
        <v>-0</v>
      </c>
      <c r="AY59" s="33" t="n">
        <f aca="false">-(AY48+AY49)*In_Guarantee_Fee*AY$5/Days_In_Year</f>
        <v>-0</v>
      </c>
      <c r="AZ59" s="33" t="n">
        <f aca="false">-(AZ48+AZ49)*In_Guarantee_Fee*AZ$5/Days_In_Year</f>
        <v>-0</v>
      </c>
      <c r="BA59" s="33" t="n">
        <f aca="false">-(BA48+BA49)*In_Guarantee_Fee*BA$5/Days_In_Year</f>
        <v>-0</v>
      </c>
      <c r="BB59" s="33" t="n">
        <f aca="false">-(BB48+BB49)*In_Guarantee_Fee*BB$5/Days_In_Year</f>
        <v>-0</v>
      </c>
      <c r="BC59" s="33" t="n">
        <f aca="false">-(BC48+BC49)*In_Guarantee_Fee*BC$5/Days_In_Year</f>
        <v>-0</v>
      </c>
      <c r="BD59" s="33" t="n">
        <f aca="false">-(BD48+BD49)*In_Guarantee_Fee*BD$5/Days_In_Year</f>
        <v>-0</v>
      </c>
      <c r="BE59" s="33" t="n">
        <f aca="false">-(BE48+BE49)*In_Guarantee_Fee*BE$5/Days_In_Year</f>
        <v>-0</v>
      </c>
      <c r="BF59" s="33" t="n">
        <f aca="false">-(BF48+BF49)*In_Guarantee_Fee*BF$5/Days_In_Year</f>
        <v>-0</v>
      </c>
      <c r="BG59" s="33" t="n">
        <f aca="false">-(BG48+BG49)*In_Guarantee_Fee*BG$5/Days_In_Year</f>
        <v>-0</v>
      </c>
      <c r="BH59" s="33" t="n">
        <f aca="false">-(BH48+BH49)*In_Guarantee_Fee*BH$5/Days_In_Year</f>
        <v>-0</v>
      </c>
      <c r="BI59" s="33" t="n">
        <f aca="false">-(BI48+BI49)*In_Guarantee_Fee*BI$5/Days_In_Year</f>
        <v>-0</v>
      </c>
      <c r="BJ59" s="33" t="n">
        <f aca="false">-(BJ48+BJ49)*In_Guarantee_Fee*BJ$5/Days_In_Year</f>
        <v>-0</v>
      </c>
      <c r="BK59" s="33" t="n">
        <f aca="false">-(BK48+BK49)*In_Guarantee_Fee*BK$5/Days_In_Year</f>
        <v>-0</v>
      </c>
      <c r="BL59" s="33" t="n">
        <f aca="false">-(BL48+BL49)*In_Guarantee_Fee*BL$5/Days_In_Year</f>
        <v>-0</v>
      </c>
      <c r="BM59" s="33" t="n">
        <f aca="false">-(BM48+BM49)*In_Guarantee_Fee*BM$5/Days_In_Year</f>
        <v>-0</v>
      </c>
      <c r="BN59" s="33" t="n">
        <f aca="false">-(BN48+BN49)*In_Guarantee_Fee*BN$5/Days_In_Year</f>
        <v>-0</v>
      </c>
      <c r="BO59" s="33" t="n">
        <f aca="false">-(BO48+BO49)*In_Guarantee_Fee*BO$5/Days_In_Year</f>
        <v>-0</v>
      </c>
      <c r="BP59" s="33" t="n">
        <f aca="false">-(BP48+BP49)*In_Guarantee_Fee*BP$5/Days_In_Year</f>
        <v>-0</v>
      </c>
      <c r="BQ59" s="33" t="n">
        <f aca="false">-(BQ48+BQ49)*In_Guarantee_Fee*BQ$5/Days_In_Year</f>
        <v>-0</v>
      </c>
      <c r="BR59" s="33" t="n">
        <f aca="false">-(BR48+BR49)*In_Guarantee_Fee*BR$5/Days_In_Year</f>
        <v>-0</v>
      </c>
      <c r="BS59" s="33" t="n">
        <f aca="false">-(BS48+BS49)*In_Guarantee_Fee*BS$5/Days_In_Year</f>
        <v>-0</v>
      </c>
      <c r="BT59" s="33" t="n">
        <f aca="false">-(BT48+BT49)*In_Guarantee_Fee*BT$5/Days_In_Year</f>
        <v>-0</v>
      </c>
      <c r="BU59" s="33" t="n">
        <f aca="false">-(BU48+BU49)*In_Guarantee_Fee*BU$5/Days_In_Year</f>
        <v>-0</v>
      </c>
      <c r="BV59" s="33" t="n">
        <f aca="false">-(BV48+BV49)*In_Guarantee_Fee*BV$5/Days_In_Year</f>
        <v>-0</v>
      </c>
      <c r="BW59" s="33" t="n">
        <f aca="false">-(BW48+BW49)*In_Guarantee_Fee*BW$5/Days_In_Year</f>
        <v>-0</v>
      </c>
      <c r="BX59" s="33" t="n">
        <f aca="false">-(BX48+BX49)*In_Guarantee_Fee*BX$5/Days_In_Year</f>
        <v>-0</v>
      </c>
      <c r="BY59" s="33" t="n">
        <f aca="false">-(BY48+BY49)*In_Guarantee_Fee*BY$5/Days_In_Year</f>
        <v>-0</v>
      </c>
      <c r="BZ59" s="33" t="n">
        <f aca="false">-(BZ48+BZ49)*In_Guarantee_Fee*BZ$5/Days_In_Year</f>
        <v>-0</v>
      </c>
      <c r="CA59" s="33" t="n">
        <f aca="false">-(CA48+CA49)*In_Guarantee_Fee*CA$5/Days_In_Year</f>
        <v>-0</v>
      </c>
      <c r="CB59" s="33" t="n">
        <f aca="false">-(CB48+CB49)*In_Guarantee_Fee*CB$5/Days_In_Year</f>
        <v>-0</v>
      </c>
      <c r="CC59" s="33" t="n">
        <f aca="false">-(CC48+CC49)*In_Guarantee_Fee*CC$5/Days_In_Year</f>
        <v>-0</v>
      </c>
      <c r="CD59" s="33" t="n">
        <f aca="false">-(CD48+CD49)*In_Guarantee_Fee*CD$5/Days_In_Year</f>
        <v>-0</v>
      </c>
      <c r="CE59" s="33" t="n">
        <f aca="false">-(CE48+CE49)*In_Guarantee_Fee*CE$5/Days_In_Year</f>
        <v>-0</v>
      </c>
      <c r="CF59" s="33" t="n">
        <f aca="false">-(CF48+CF49)*In_Guarantee_Fee*CF$5/Days_In_Year</f>
        <v>-0</v>
      </c>
      <c r="CG59" s="33" t="n">
        <f aca="false">-(CG48+CG49)*In_Guarantee_Fee*CG$5/Days_In_Year</f>
        <v>-0</v>
      </c>
      <c r="CH59" s="33" t="n">
        <f aca="false">-(CH48+CH49)*In_Guarantee_Fee*CH$5/Days_In_Year</f>
        <v>-0</v>
      </c>
      <c r="CI59" s="33" t="n">
        <f aca="false">-(CI48+CI49)*In_Guarantee_Fee*CI$5/Days_In_Year</f>
        <v>-0</v>
      </c>
      <c r="CJ59" s="33" t="n">
        <f aca="false">-(CJ48+CJ49)*In_Guarantee_Fee*CJ$5/Days_In_Year</f>
        <v>-0</v>
      </c>
      <c r="CK59" s="33" t="n">
        <f aca="false">-(CK48+CK49)*In_Guarantee_Fee*CK$5/Days_In_Year</f>
        <v>-0</v>
      </c>
      <c r="CL59" s="33" t="n">
        <f aca="false">-(CL48+CL49)*In_Guarantee_Fee*CL$5/Days_In_Year</f>
        <v>-0</v>
      </c>
      <c r="CM59" s="33" t="n">
        <f aca="false">-(CM48+CM49)*In_Guarantee_Fee*CM$5/Days_In_Year</f>
        <v>-0</v>
      </c>
      <c r="CN59" s="33" t="n">
        <f aca="false">-(CN48+CN49)*In_Guarantee_Fee*CN$5/Days_In_Year</f>
        <v>-0</v>
      </c>
      <c r="CO59" s="33" t="n">
        <f aca="false">-(CO48+CO49)*In_Guarantee_Fee*CO$5/Days_In_Year</f>
        <v>-0</v>
      </c>
      <c r="CP59" s="33" t="n">
        <f aca="false">-(CP48+CP49)*In_Guarantee_Fee*CP$5/Days_In_Year</f>
        <v>-0</v>
      </c>
      <c r="CQ59" s="33" t="n">
        <f aca="false">-(CQ48+CQ49)*In_Guarantee_Fee*CQ$5/Days_In_Year</f>
        <v>-0</v>
      </c>
      <c r="CR59" s="33" t="n">
        <f aca="false">-(CR48+CR49)*In_Guarantee_Fee*CR$5/Days_In_Year</f>
        <v>-0</v>
      </c>
      <c r="CS59" s="33" t="n">
        <f aca="false">-(CS48+CS49)*In_Guarantee_Fee*CS$5/Days_In_Year</f>
        <v>-0</v>
      </c>
      <c r="CT59" s="33" t="n">
        <f aca="false">-(CT48+CT49)*In_Guarantee_Fee*CT$5/Days_In_Year</f>
        <v>-0</v>
      </c>
      <c r="CU59" s="33" t="n">
        <f aca="false">-(CU48+CU49)*In_Guarantee_Fee*CU$5/Days_In_Year</f>
        <v>-0</v>
      </c>
      <c r="CV59" s="33" t="n">
        <f aca="false">-(CV48+CV49)*In_Guarantee_Fee*CV$5/Days_In_Year</f>
        <v>-0</v>
      </c>
      <c r="CW59" s="33" t="n">
        <f aca="false">-(CW48+CW49)*In_Guarantee_Fee*CW$5/Days_In_Year</f>
        <v>-0</v>
      </c>
      <c r="CX59" s="33" t="n">
        <f aca="false">-(CX48+CX49)*In_Guarantee_Fee*CX$5/Days_In_Year</f>
        <v>-0</v>
      </c>
      <c r="CY59" s="33" t="n">
        <f aca="false">-(CY48+CY49)*In_Guarantee_Fee*CY$5/Days_In_Year</f>
        <v>-0</v>
      </c>
      <c r="CZ59" s="33" t="n">
        <f aca="false">-(CZ48+CZ49)*In_Guarantee_Fee*CZ$5/Days_In_Year</f>
        <v>-0</v>
      </c>
      <c r="DA59" s="33" t="n">
        <f aca="false">-(DA48+DA49)*In_Guarantee_Fee*DA$5/Days_In_Year</f>
        <v>-0</v>
      </c>
      <c r="DB59" s="33" t="n">
        <f aca="false">-(DB48+DB49)*In_Guarantee_Fee*DB$5/Days_In_Year</f>
        <v>-0</v>
      </c>
      <c r="DC59" s="33" t="n">
        <f aca="false">-(DC48+DC49)*In_Guarantee_Fee*DC$5/Days_In_Year</f>
        <v>-0</v>
      </c>
      <c r="DD59" s="33" t="n">
        <f aca="false">-(DD48+DD49)*In_Guarantee_Fee*DD$5/Days_In_Year</f>
        <v>-0</v>
      </c>
      <c r="DE59" s="33" t="n">
        <f aca="false">-(DE48+DE49)*In_Guarantee_Fee*DE$5/Days_In_Year</f>
        <v>-0</v>
      </c>
      <c r="DF59" s="33" t="n">
        <f aca="false">-(DF48+DF49)*In_Guarantee_Fee*DF$5/Days_In_Year</f>
        <v>-0</v>
      </c>
      <c r="DG59" s="33" t="n">
        <f aca="false">-(DG48+DG49)*In_Guarantee_Fee*DG$5/Days_In_Year</f>
        <v>-0</v>
      </c>
      <c r="DH59" s="33" t="n">
        <f aca="false">-(DH48+DH49)*In_Guarantee_Fee*DH$5/Days_In_Year</f>
        <v>-0</v>
      </c>
      <c r="DI59" s="33" t="n">
        <f aca="false">-(DI48+DI49)*In_Guarantee_Fee*DI$5/Days_In_Year</f>
        <v>-0</v>
      </c>
      <c r="DJ59" s="33" t="n">
        <f aca="false">-(DJ48+DJ49)*In_Guarantee_Fee*DJ$5/Days_In_Year</f>
        <v>-0</v>
      </c>
      <c r="DK59" s="33" t="n">
        <f aca="false">-(DK48+DK49)*In_Guarantee_Fee*DK$5/Days_In_Year</f>
        <v>-0</v>
      </c>
      <c r="DL59" s="33" t="n">
        <f aca="false">-(DL48+DL49)*In_Guarantee_Fee*DL$5/Days_In_Year</f>
        <v>-0</v>
      </c>
      <c r="DM59" s="33" t="n">
        <f aca="false">-(DM48+DM49)*In_Guarantee_Fee*DM$5/Days_In_Year</f>
        <v>-0</v>
      </c>
      <c r="DN59" s="33" t="n">
        <f aca="false">-(DN48+DN49)*In_Guarantee_Fee*DN$5/Days_In_Year</f>
        <v>-0</v>
      </c>
      <c r="DO59" s="33" t="n">
        <f aca="false">-(DO48+DO49)*In_Guarantee_Fee*DO$5/Days_In_Year</f>
        <v>-0</v>
      </c>
      <c r="DP59" s="33" t="n">
        <f aca="false">-(DP48+DP49)*In_Guarantee_Fee*DP$5/Days_In_Year</f>
        <v>-0</v>
      </c>
      <c r="DQ59" s="33" t="n">
        <f aca="false">-(DQ48+DQ49)*In_Guarantee_Fee*DQ$5/Days_In_Year</f>
        <v>-0</v>
      </c>
      <c r="DR59" s="33" t="n">
        <f aca="false">-(DR48+DR49)*In_Guarantee_Fee*DR$5/Days_In_Year</f>
        <v>-0</v>
      </c>
      <c r="DS59" s="33" t="n">
        <f aca="false">-(DS48+DS49)*In_Guarantee_Fee*DS$5/Days_In_Year</f>
        <v>-0</v>
      </c>
      <c r="DT59" s="33" t="n">
        <f aca="false">-(DT48+DT49)*In_Guarantee_Fee*DT$5/Days_In_Year</f>
        <v>-0</v>
      </c>
      <c r="DU59" s="33" t="n">
        <f aca="false">-(DU48+DU49)*In_Guarantee_Fee*DU$5/Days_In_Year</f>
        <v>-0</v>
      </c>
      <c r="DV59" s="33" t="n">
        <f aca="false">-(DV48+DV49)*In_Guarantee_Fee*DV$5/Days_In_Year</f>
        <v>-0</v>
      </c>
      <c r="DW59" s="33" t="n">
        <f aca="false">-(DW48+DW49)*In_Guarantee_Fee*DW$5/Days_In_Year</f>
        <v>-0</v>
      </c>
      <c r="DX59" s="33" t="n">
        <f aca="false">-(DX48+DX49)*In_Guarantee_Fee*DX$5/Days_In_Year</f>
        <v>-0</v>
      </c>
      <c r="DY59" s="33" t="n">
        <f aca="false">-(DY48+DY49)*In_Guarantee_Fee*DY$5/Days_In_Year</f>
        <v>-0</v>
      </c>
      <c r="DZ59" s="33" t="n">
        <f aca="false">-(DZ48+DZ49)*In_Guarantee_Fee*DZ$5/Days_In_Year</f>
        <v>-0</v>
      </c>
      <c r="EA59" s="33" t="n">
        <f aca="false">-(EA48+EA49)*In_Guarantee_Fee*EA$5/Days_In_Year</f>
        <v>-0</v>
      </c>
      <c r="EB59" s="33" t="n">
        <f aca="false">-(EB48+EB49)*In_Guarantee_Fee*EB$5/Days_In_Year</f>
        <v>-0</v>
      </c>
      <c r="EC59" s="33" t="n">
        <f aca="false">-(EC48+EC49)*In_Guarantee_Fee*EC$5/Days_In_Year</f>
        <v>-0</v>
      </c>
      <c r="ED59" s="33" t="n">
        <f aca="false">-(ED48+ED49)*In_Guarantee_Fee*ED$5/Days_In_Year</f>
        <v>-0</v>
      </c>
      <c r="EE59" s="33" t="n">
        <f aca="false">-(EE48+EE49)*In_Guarantee_Fee*EE$5/Days_In_Year</f>
        <v>-0</v>
      </c>
      <c r="EF59" s="33" t="n">
        <f aca="false">-(EF48+EF49)*In_Guarantee_Fee*EF$5/Days_In_Year</f>
        <v>-0</v>
      </c>
      <c r="EG59" s="33" t="n">
        <f aca="false">-(EG48+EG49)*In_Guarantee_Fee*EG$5/Days_In_Year</f>
        <v>-0</v>
      </c>
      <c r="EH59" s="33" t="n">
        <f aca="false">-(EH48+EH49)*In_Guarantee_Fee*EH$5/Days_In_Year</f>
        <v>-0</v>
      </c>
      <c r="EI59" s="33" t="n">
        <f aca="false">-(EI48+EI49)*In_Guarantee_Fee*EI$5/Days_In_Year</f>
        <v>-0</v>
      </c>
      <c r="EJ59" s="33" t="n">
        <f aca="false">-(EJ48+EJ49)*In_Guarantee_Fee*EJ$5/Days_In_Year</f>
        <v>-0</v>
      </c>
      <c r="EK59" s="33" t="n">
        <f aca="false">-(EK48+EK49)*In_Guarantee_Fee*EK$5/Days_In_Year</f>
        <v>-0</v>
      </c>
      <c r="EL59" s="33" t="n">
        <f aca="false">-(EL48+EL49)*In_Guarantee_Fee*EL$5/Days_In_Year</f>
        <v>-0</v>
      </c>
      <c r="EM59" s="33" t="n">
        <f aca="false">-(EM48+EM49)*In_Guarantee_Fee*EM$5/Days_In_Year</f>
        <v>-0</v>
      </c>
      <c r="EN59" s="33" t="n">
        <f aca="false">-(EN48+EN49)*In_Guarantee_Fee*EN$5/Days_In_Year</f>
        <v>-0</v>
      </c>
      <c r="EO59" s="33" t="n">
        <f aca="false">-(EO48+EO49)*In_Guarantee_Fee*EO$5/Days_In_Year</f>
        <v>-0</v>
      </c>
      <c r="EP59" s="33" t="n">
        <f aca="false">-(EP48+EP49)*In_Guarantee_Fee*EP$5/Days_In_Year</f>
        <v>-0</v>
      </c>
      <c r="EQ59" s="33" t="n">
        <f aca="false">-(EQ48+EQ49)*In_Guarantee_Fee*EQ$5/Days_In_Year</f>
        <v>-0</v>
      </c>
      <c r="ER59" s="33" t="n">
        <f aca="false">-(ER48+ER49)*In_Guarantee_Fee*ER$5/Days_In_Year</f>
        <v>-0</v>
      </c>
      <c r="ES59" s="33" t="n">
        <f aca="false">-(ES48+ES49)*In_Guarantee_Fee*ES$5/Days_In_Year</f>
        <v>-0</v>
      </c>
      <c r="ET59" s="33" t="n">
        <f aca="false">-(ET48+ET49)*In_Guarantee_Fee*ET$5/Days_In_Year</f>
        <v>-0</v>
      </c>
    </row>
    <row r="60" customFormat="false" ht="15" hidden="false" customHeight="false" outlineLevel="0" collapsed="false">
      <c r="C60" s="30" t="s">
        <v>528</v>
      </c>
      <c r="D60" s="11" t="s">
        <v>253</v>
      </c>
      <c r="I60" s="35" t="n">
        <f aca="false">SUM(J60:ET60)</f>
        <v>-7402.33233858005</v>
      </c>
      <c r="J60" s="35" t="n">
        <f aca="false">J46+J47+J50+J57+J59</f>
        <v>-400</v>
      </c>
      <c r="K60" s="35" t="n">
        <f aca="false">K46+K47+K50+K57+K59</f>
        <v>-1437.78053818728</v>
      </c>
      <c r="L60" s="35" t="n">
        <f aca="false">L46+L47+L50+L57+L59</f>
        <v>-691.910911990993</v>
      </c>
      <c r="M60" s="35" t="n">
        <f aca="false">M46+M47+M50+M57+M59</f>
        <v>-148.451634452993</v>
      </c>
      <c r="N60" s="35" t="n">
        <f aca="false">N46+N47+N50+N57+N59</f>
        <v>-149.601261024582</v>
      </c>
      <c r="O60" s="35" t="n">
        <f aca="false">O46+O47+O50+O57+O59</f>
        <v>-290.127288421843</v>
      </c>
      <c r="P60" s="35" t="n">
        <f aca="false">P46+P47+P50+P57+P59</f>
        <v>-1394.65781281475</v>
      </c>
      <c r="Q60" s="35" t="n">
        <f aca="false">Q46+Q47+Q50+Q57+Q59</f>
        <v>-109.225607055733</v>
      </c>
      <c r="R60" s="35" t="n">
        <f aca="false">R46+R47+R50+R57+R59</f>
        <v>-269.857154566657</v>
      </c>
      <c r="S60" s="35" t="n">
        <f aca="false">S46+S47+S50+S57+S59</f>
        <v>-422.991783283459</v>
      </c>
      <c r="T60" s="35" t="n">
        <f aca="false">T46+T47+T50+T57+T59</f>
        <v>-408.123925689623</v>
      </c>
      <c r="U60" s="35" t="n">
        <f aca="false">U46+U47+U50+U57+U59</f>
        <v>-104.616018014637</v>
      </c>
      <c r="V60" s="35" t="n">
        <f aca="false">V46+V47+V50+V57+V59</f>
        <v>-105.765644586226</v>
      </c>
      <c r="W60" s="35" t="n">
        <f aca="false">W46+W47+W50+W57+W59</f>
        <v>-105.765644586226</v>
      </c>
      <c r="X60" s="35" t="n">
        <f aca="false">X46+X47+X50+X57+X59</f>
        <v>-103.466391443047</v>
      </c>
      <c r="Y60" s="35" t="n">
        <f aca="false">Y46+Y47+Y50+Y57+Y59</f>
        <v>-104.616018014637</v>
      </c>
      <c r="Z60" s="35" t="n">
        <f aca="false">Z46+Z47+Z50+Z57+Z59</f>
        <v>-105.765644586226</v>
      </c>
      <c r="AA60" s="35" t="n">
        <f aca="false">AA46+AA47+AA50+AA57+AA59</f>
        <v>-105.765644586226</v>
      </c>
      <c r="AB60" s="35" t="n">
        <f aca="false">AB46+AB47+AB50+AB57+AB59</f>
        <v>-103.466391443047</v>
      </c>
      <c r="AC60" s="35" t="n">
        <f aca="false">AC46+AC47+AC50+AC57+AC59</f>
        <v>-104.616018014637</v>
      </c>
      <c r="AD60" s="35" t="n">
        <f aca="false">AD46+AD47+AD50+AD57+AD59</f>
        <v>-105.765644586226</v>
      </c>
      <c r="AE60" s="35" t="n">
        <f aca="false">AE46+AE47+AE50+AE57+AE59</f>
        <v>-105.765644586226</v>
      </c>
      <c r="AF60" s="35" t="n">
        <f aca="false">AF46+AF47+AF50+AF57+AF59</f>
        <v>-104.616018014637</v>
      </c>
      <c r="AG60" s="35" t="n">
        <f aca="false">AG46+AG47+AG50+AG57+AG59</f>
        <v>-104.616018014637</v>
      </c>
      <c r="AH60" s="35" t="n">
        <f aca="false">AH46+AH47+AH50+AH57+AH59</f>
        <v>-105.765644586226</v>
      </c>
      <c r="AI60" s="35" t="n">
        <f aca="false">AI46+AI47+AI50+AI57+AI59</f>
        <v>-105.765644586226</v>
      </c>
      <c r="AJ60" s="35" t="n">
        <f aca="false">AJ46+AJ47+AJ50+AJ57+AJ59</f>
        <v>-103.466391443047</v>
      </c>
      <c r="AK60" s="35" t="n">
        <f aca="false">AK46+AK47+AK50+AK57+AK59</f>
        <v>-0</v>
      </c>
      <c r="AL60" s="35" t="n">
        <f aca="false">AL46+AL47+AL50+AL57+AL59</f>
        <v>-0</v>
      </c>
      <c r="AM60" s="35" t="n">
        <f aca="false">AM46+AM47+AM50+AM57+AM59</f>
        <v>-0</v>
      </c>
      <c r="AN60" s="35" t="n">
        <f aca="false">AN46+AN47+AN50+AN57+AN59</f>
        <v>-0</v>
      </c>
      <c r="AO60" s="35" t="n">
        <f aca="false">AO46+AO47+AO50+AO57+AO59</f>
        <v>-0</v>
      </c>
      <c r="AP60" s="35" t="n">
        <f aca="false">AP46+AP47+AP50+AP57+AP59</f>
        <v>-0</v>
      </c>
      <c r="AQ60" s="35" t="n">
        <f aca="false">AQ46+AQ47+AQ50+AQ57+AQ59</f>
        <v>-0</v>
      </c>
      <c r="AR60" s="35" t="n">
        <f aca="false">AR46+AR47+AR50+AR57+AR59</f>
        <v>-0</v>
      </c>
      <c r="AS60" s="35" t="n">
        <f aca="false">AS46+AS47+AS50+AS57+AS59</f>
        <v>-0</v>
      </c>
      <c r="AT60" s="35" t="n">
        <f aca="false">AT46+AT47+AT50+AT57+AT59</f>
        <v>-0</v>
      </c>
      <c r="AU60" s="35" t="n">
        <f aca="false">AU46+AU47+AU50+AU57+AU59</f>
        <v>-0</v>
      </c>
      <c r="AV60" s="35" t="n">
        <f aca="false">AV46+AV47+AV50+AV57+AV59</f>
        <v>-0</v>
      </c>
      <c r="AW60" s="35" t="n">
        <f aca="false">AW46+AW47+AW50+AW57+AW59</f>
        <v>-0</v>
      </c>
      <c r="AX60" s="35" t="n">
        <f aca="false">AX46+AX47+AX50+AX57+AX59</f>
        <v>-0</v>
      </c>
      <c r="AY60" s="35" t="n">
        <f aca="false">AY46+AY47+AY50+AY57+AY59</f>
        <v>-0</v>
      </c>
      <c r="AZ60" s="35" t="n">
        <f aca="false">AZ46+AZ47+AZ50+AZ57+AZ59</f>
        <v>-0</v>
      </c>
      <c r="BA60" s="35" t="n">
        <f aca="false">BA46+BA47+BA50+BA57+BA59</f>
        <v>-0</v>
      </c>
      <c r="BB60" s="35" t="n">
        <f aca="false">BB46+BB47+BB50+BB57+BB59</f>
        <v>-0</v>
      </c>
      <c r="BC60" s="35" t="n">
        <f aca="false">BC46+BC47+BC50+BC57+BC59</f>
        <v>-0</v>
      </c>
      <c r="BD60" s="35" t="n">
        <f aca="false">BD46+BD47+BD50+BD57+BD59</f>
        <v>-0</v>
      </c>
      <c r="BE60" s="35" t="n">
        <f aca="false">BE46+BE47+BE50+BE57+BE59</f>
        <v>-0</v>
      </c>
      <c r="BF60" s="35" t="n">
        <f aca="false">BF46+BF47+BF50+BF57+BF59</f>
        <v>-0</v>
      </c>
      <c r="BG60" s="35" t="n">
        <f aca="false">BG46+BG47+BG50+BG57+BG59</f>
        <v>-0</v>
      </c>
      <c r="BH60" s="35" t="n">
        <f aca="false">BH46+BH47+BH50+BH57+BH59</f>
        <v>-0</v>
      </c>
      <c r="BI60" s="35" t="n">
        <f aca="false">BI46+BI47+BI50+BI57+BI59</f>
        <v>-0</v>
      </c>
      <c r="BJ60" s="35" t="n">
        <f aca="false">BJ46+BJ47+BJ50+BJ57+BJ59</f>
        <v>-0</v>
      </c>
      <c r="BK60" s="35" t="n">
        <f aca="false">BK46+BK47+BK50+BK57+BK59</f>
        <v>-0</v>
      </c>
      <c r="BL60" s="35" t="n">
        <f aca="false">BL46+BL47+BL50+BL57+BL59</f>
        <v>-0</v>
      </c>
      <c r="BM60" s="35" t="n">
        <f aca="false">BM46+BM47+BM50+BM57+BM59</f>
        <v>-0</v>
      </c>
      <c r="BN60" s="35" t="n">
        <f aca="false">BN46+BN47+BN50+BN57+BN59</f>
        <v>-0</v>
      </c>
      <c r="BO60" s="35" t="n">
        <f aca="false">BO46+BO47+BO50+BO57+BO59</f>
        <v>-0</v>
      </c>
      <c r="BP60" s="35" t="n">
        <f aca="false">BP46+BP47+BP50+BP57+BP59</f>
        <v>-0</v>
      </c>
      <c r="BQ60" s="35" t="n">
        <f aca="false">BQ46+BQ47+BQ50+BQ57+BQ59</f>
        <v>-0</v>
      </c>
      <c r="BR60" s="35" t="n">
        <f aca="false">BR46+BR47+BR50+BR57+BR59</f>
        <v>-0</v>
      </c>
      <c r="BS60" s="35" t="n">
        <f aca="false">BS46+BS47+BS50+BS57+BS59</f>
        <v>-0</v>
      </c>
      <c r="BT60" s="35" t="n">
        <f aca="false">BT46+BT47+BT50+BT57+BT59</f>
        <v>-0</v>
      </c>
      <c r="BU60" s="35" t="n">
        <f aca="false">BU46+BU47+BU50+BU57+BU59</f>
        <v>-0</v>
      </c>
      <c r="BV60" s="35" t="n">
        <f aca="false">BV46+BV47+BV50+BV57+BV59</f>
        <v>-0</v>
      </c>
      <c r="BW60" s="35" t="n">
        <f aca="false">BW46+BW47+BW50+BW57+BW59</f>
        <v>-0</v>
      </c>
      <c r="BX60" s="35" t="n">
        <f aca="false">BX46+BX47+BX50+BX57+BX59</f>
        <v>-0</v>
      </c>
      <c r="BY60" s="35" t="n">
        <f aca="false">BY46+BY47+BY50+BY57+BY59</f>
        <v>-0</v>
      </c>
      <c r="BZ60" s="35" t="n">
        <f aca="false">BZ46+BZ47+BZ50+BZ57+BZ59</f>
        <v>-0</v>
      </c>
      <c r="CA60" s="35" t="n">
        <f aca="false">CA46+CA47+CA50+CA57+CA59</f>
        <v>-0</v>
      </c>
      <c r="CB60" s="35" t="n">
        <f aca="false">CB46+CB47+CB50+CB57+CB59</f>
        <v>-0</v>
      </c>
      <c r="CC60" s="35" t="n">
        <f aca="false">CC46+CC47+CC50+CC57+CC59</f>
        <v>-0</v>
      </c>
      <c r="CD60" s="35" t="n">
        <f aca="false">CD46+CD47+CD50+CD57+CD59</f>
        <v>-0</v>
      </c>
      <c r="CE60" s="35" t="n">
        <f aca="false">CE46+CE47+CE50+CE57+CE59</f>
        <v>-0</v>
      </c>
      <c r="CF60" s="35" t="n">
        <f aca="false">CF46+CF47+CF50+CF57+CF59</f>
        <v>-0</v>
      </c>
      <c r="CG60" s="35" t="n">
        <f aca="false">CG46+CG47+CG50+CG57+CG59</f>
        <v>-0</v>
      </c>
      <c r="CH60" s="35" t="n">
        <f aca="false">CH46+CH47+CH50+CH57+CH59</f>
        <v>-0</v>
      </c>
      <c r="CI60" s="35" t="n">
        <f aca="false">CI46+CI47+CI50+CI57+CI59</f>
        <v>-0</v>
      </c>
      <c r="CJ60" s="35" t="n">
        <f aca="false">CJ46+CJ47+CJ50+CJ57+CJ59</f>
        <v>-0</v>
      </c>
      <c r="CK60" s="35" t="n">
        <f aca="false">CK46+CK47+CK50+CK57+CK59</f>
        <v>-0</v>
      </c>
      <c r="CL60" s="35" t="n">
        <f aca="false">CL46+CL47+CL50+CL57+CL59</f>
        <v>-0</v>
      </c>
      <c r="CM60" s="35" t="n">
        <f aca="false">CM46+CM47+CM50+CM57+CM59</f>
        <v>-0</v>
      </c>
      <c r="CN60" s="35" t="n">
        <f aca="false">CN46+CN47+CN50+CN57+CN59</f>
        <v>-0</v>
      </c>
      <c r="CO60" s="35" t="n">
        <f aca="false">CO46+CO47+CO50+CO57+CO59</f>
        <v>-0</v>
      </c>
      <c r="CP60" s="35" t="n">
        <f aca="false">CP46+CP47+CP50+CP57+CP59</f>
        <v>-0</v>
      </c>
      <c r="CQ60" s="35" t="n">
        <f aca="false">CQ46+CQ47+CQ50+CQ57+CQ59</f>
        <v>-0</v>
      </c>
      <c r="CR60" s="35" t="n">
        <f aca="false">CR46+CR47+CR50+CR57+CR59</f>
        <v>-0</v>
      </c>
      <c r="CS60" s="35" t="n">
        <f aca="false">CS46+CS47+CS50+CS57+CS59</f>
        <v>-0</v>
      </c>
      <c r="CT60" s="35" t="n">
        <f aca="false">CT46+CT47+CT50+CT57+CT59</f>
        <v>-0</v>
      </c>
      <c r="CU60" s="35" t="n">
        <f aca="false">CU46+CU47+CU50+CU57+CU59</f>
        <v>-0</v>
      </c>
      <c r="CV60" s="35" t="n">
        <f aca="false">CV46+CV47+CV50+CV57+CV59</f>
        <v>-0</v>
      </c>
      <c r="CW60" s="35" t="n">
        <f aca="false">CW46+CW47+CW50+CW57+CW59</f>
        <v>-0</v>
      </c>
      <c r="CX60" s="35" t="n">
        <f aca="false">CX46+CX47+CX50+CX57+CX59</f>
        <v>-0</v>
      </c>
      <c r="CY60" s="35" t="n">
        <f aca="false">CY46+CY47+CY50+CY57+CY59</f>
        <v>-0</v>
      </c>
      <c r="CZ60" s="35" t="n">
        <f aca="false">CZ46+CZ47+CZ50+CZ57+CZ59</f>
        <v>-0</v>
      </c>
      <c r="DA60" s="35" t="n">
        <f aca="false">DA46+DA47+DA50+DA57+DA59</f>
        <v>-0</v>
      </c>
      <c r="DB60" s="35" t="n">
        <f aca="false">DB46+DB47+DB50+DB57+DB59</f>
        <v>-0</v>
      </c>
      <c r="DC60" s="35" t="n">
        <f aca="false">DC46+DC47+DC50+DC57+DC59</f>
        <v>-0</v>
      </c>
      <c r="DD60" s="35" t="n">
        <f aca="false">DD46+DD47+DD50+DD57+DD59</f>
        <v>-0</v>
      </c>
      <c r="DE60" s="35" t="n">
        <f aca="false">DE46+DE47+DE50+DE57+DE59</f>
        <v>-0</v>
      </c>
      <c r="DF60" s="35" t="n">
        <f aca="false">DF46+DF47+DF50+DF57+DF59</f>
        <v>-0</v>
      </c>
      <c r="DG60" s="35" t="n">
        <f aca="false">DG46+DG47+DG50+DG57+DG59</f>
        <v>-0</v>
      </c>
      <c r="DH60" s="35" t="n">
        <f aca="false">DH46+DH47+DH50+DH57+DH59</f>
        <v>-0</v>
      </c>
      <c r="DI60" s="35" t="n">
        <f aca="false">DI46+DI47+DI50+DI57+DI59</f>
        <v>-0</v>
      </c>
      <c r="DJ60" s="35" t="n">
        <f aca="false">DJ46+DJ47+DJ50+DJ57+DJ59</f>
        <v>-0</v>
      </c>
      <c r="DK60" s="35" t="n">
        <f aca="false">DK46+DK47+DK50+DK57+DK59</f>
        <v>-0</v>
      </c>
      <c r="DL60" s="35" t="n">
        <f aca="false">DL46+DL47+DL50+DL57+DL59</f>
        <v>-0</v>
      </c>
      <c r="DM60" s="35" t="n">
        <f aca="false">DM46+DM47+DM50+DM57+DM59</f>
        <v>-0</v>
      </c>
      <c r="DN60" s="35" t="n">
        <f aca="false">DN46+DN47+DN50+DN57+DN59</f>
        <v>-0</v>
      </c>
      <c r="DO60" s="35" t="n">
        <f aca="false">DO46+DO47+DO50+DO57+DO59</f>
        <v>-0</v>
      </c>
      <c r="DP60" s="35" t="n">
        <f aca="false">DP46+DP47+DP50+DP57+DP59</f>
        <v>-0</v>
      </c>
      <c r="DQ60" s="35" t="n">
        <f aca="false">DQ46+DQ47+DQ50+DQ57+DQ59</f>
        <v>-0</v>
      </c>
      <c r="DR60" s="35" t="n">
        <f aca="false">DR46+DR47+DR50+DR57+DR59</f>
        <v>-0</v>
      </c>
      <c r="DS60" s="35" t="n">
        <f aca="false">DS46+DS47+DS50+DS57+DS59</f>
        <v>-0</v>
      </c>
      <c r="DT60" s="35" t="n">
        <f aca="false">DT46+DT47+DT50+DT57+DT59</f>
        <v>-0</v>
      </c>
      <c r="DU60" s="35" t="n">
        <f aca="false">DU46+DU47+DU50+DU57+DU59</f>
        <v>-0</v>
      </c>
      <c r="DV60" s="35" t="n">
        <f aca="false">DV46+DV47+DV50+DV57+DV59</f>
        <v>-0</v>
      </c>
      <c r="DW60" s="35" t="n">
        <f aca="false">DW46+DW47+DW50+DW57+DW59</f>
        <v>-0</v>
      </c>
      <c r="DX60" s="35" t="n">
        <f aca="false">DX46+DX47+DX50+DX57+DX59</f>
        <v>-0</v>
      </c>
      <c r="DY60" s="35" t="n">
        <f aca="false">DY46+DY47+DY50+DY57+DY59</f>
        <v>-0</v>
      </c>
      <c r="DZ60" s="35" t="n">
        <f aca="false">DZ46+DZ47+DZ50+DZ57+DZ59</f>
        <v>-0</v>
      </c>
      <c r="EA60" s="35" t="n">
        <f aca="false">EA46+EA47+EA50+EA57+EA59</f>
        <v>-0</v>
      </c>
      <c r="EB60" s="35" t="n">
        <f aca="false">EB46+EB47+EB50+EB57+EB59</f>
        <v>-0</v>
      </c>
      <c r="EC60" s="35" t="n">
        <f aca="false">EC46+EC47+EC50+EC57+EC59</f>
        <v>-0</v>
      </c>
      <c r="ED60" s="35" t="n">
        <f aca="false">ED46+ED47+ED50+ED57+ED59</f>
        <v>-0</v>
      </c>
      <c r="EE60" s="35" t="n">
        <f aca="false">EE46+EE47+EE50+EE57+EE59</f>
        <v>-0</v>
      </c>
      <c r="EF60" s="35" t="n">
        <f aca="false">EF46+EF47+EF50+EF57+EF59</f>
        <v>-0</v>
      </c>
      <c r="EG60" s="35" t="n">
        <f aca="false">EG46+EG47+EG50+EG57+EG59</f>
        <v>-0</v>
      </c>
      <c r="EH60" s="35" t="n">
        <f aca="false">EH46+EH47+EH50+EH57+EH59</f>
        <v>-0</v>
      </c>
      <c r="EI60" s="35" t="n">
        <f aca="false">EI46+EI47+EI50+EI57+EI59</f>
        <v>-0</v>
      </c>
      <c r="EJ60" s="35" t="n">
        <f aca="false">EJ46+EJ47+EJ50+EJ57+EJ59</f>
        <v>-0</v>
      </c>
      <c r="EK60" s="35" t="n">
        <f aca="false">EK46+EK47+EK50+EK57+EK59</f>
        <v>-0</v>
      </c>
      <c r="EL60" s="35" t="n">
        <f aca="false">EL46+EL47+EL50+EL57+EL59</f>
        <v>-0</v>
      </c>
      <c r="EM60" s="35" t="n">
        <f aca="false">EM46+EM47+EM50+EM57+EM59</f>
        <v>-0</v>
      </c>
      <c r="EN60" s="35" t="n">
        <f aca="false">EN46+EN47+EN50+EN57+EN59</f>
        <v>-0</v>
      </c>
      <c r="EO60" s="35" t="n">
        <f aca="false">EO46+EO47+EO50+EO57+EO59</f>
        <v>-0</v>
      </c>
      <c r="EP60" s="35" t="n">
        <f aca="false">EP46+EP47+EP50+EP57+EP59</f>
        <v>-0</v>
      </c>
      <c r="EQ60" s="35" t="n">
        <f aca="false">EQ46+EQ47+EQ50+EQ57+EQ59</f>
        <v>-0</v>
      </c>
      <c r="ER60" s="35" t="n">
        <f aca="false">ER46+ER47+ER50+ER57+ER59</f>
        <v>-0</v>
      </c>
      <c r="ES60" s="35" t="n">
        <f aca="false">ES46+ES47+ES50+ES57+ES59</f>
        <v>-0</v>
      </c>
      <c r="ET60" s="35" t="n">
        <f aca="false">ET46+ET47+ET50+ET57+ET59</f>
        <v>-0</v>
      </c>
    </row>
    <row r="61" customFormat="false" ht="15" hidden="false" customHeight="false" outlineLevel="0" collapsed="false">
      <c r="C61" s="0" t="s">
        <v>529</v>
      </c>
      <c r="D61" s="11" t="s">
        <v>253</v>
      </c>
      <c r="E61" s="33" t="n">
        <f aca="false">SUMIF($J$4:$ET$4,$E12,$J61:$ET61)</f>
        <v>21850.9278191781</v>
      </c>
      <c r="I61" s="54"/>
      <c r="J61" s="33" t="n">
        <f aca="false">I61-J47-J50-J53-J55</f>
        <v>0</v>
      </c>
      <c r="K61" s="33" t="n">
        <f aca="false">J61-K47-K50-K53-K55</f>
        <v>1241.09589041096</v>
      </c>
      <c r="L61" s="33" t="n">
        <f aca="false">K61-L47-L50-L53-L55</f>
        <v>1421.67739726027</v>
      </c>
      <c r="M61" s="33" t="n">
        <f aca="false">L61-M47-M50-M53-M55</f>
        <v>1421.67739726027</v>
      </c>
      <c r="N61" s="33" t="n">
        <f aca="false">M61-N47-N50-N53-N55</f>
        <v>1421.67739726027</v>
      </c>
      <c r="O61" s="33" t="n">
        <f aca="false">N61-O47-O50-O53-O55</f>
        <v>1421.67739726027</v>
      </c>
      <c r="P61" s="33" t="n">
        <f aca="false">O61-P47-P50-P53-P55</f>
        <v>1421.67739726027</v>
      </c>
      <c r="Q61" s="33" t="n">
        <f aca="false">P61-Q47-Q50-Q53-Q55</f>
        <v>1421.67739726027</v>
      </c>
      <c r="R61" s="33" t="n">
        <f aca="false">Q61-R47-R50-R53-R55</f>
        <v>1421.67739726027</v>
      </c>
      <c r="S61" s="33" t="n">
        <f aca="false">R61-S47-S50-S53-S55</f>
        <v>1421.67739726027</v>
      </c>
      <c r="T61" s="33" t="n">
        <f aca="false">S61-T47-T50-T53-T55</f>
        <v>21850.9278191781</v>
      </c>
      <c r="U61" s="33" t="n">
        <f aca="false">T61-U47-U50-U53-U55</f>
        <v>21850.9278191781</v>
      </c>
      <c r="V61" s="33" t="n">
        <f aca="false">U61-V47-V50-V53-V55</f>
        <v>21850.9278191781</v>
      </c>
      <c r="W61" s="33" t="n">
        <f aca="false">V61-W47-W50-W53-W55</f>
        <v>21850.9278191781</v>
      </c>
      <c r="X61" s="33" t="n">
        <f aca="false">W61-X47-X50-X53-X55</f>
        <v>21850.9278191781</v>
      </c>
      <c r="Y61" s="33" t="n">
        <f aca="false">X61-Y47-Y50-Y53-Y55</f>
        <v>21850.9278191781</v>
      </c>
      <c r="Z61" s="33" t="n">
        <f aca="false">Y61-Z47-Z50-Z53-Z55</f>
        <v>21850.9278191781</v>
      </c>
      <c r="AA61" s="33" t="n">
        <f aca="false">Z61-AA47-AA50-AA53-AA55</f>
        <v>21850.9278191781</v>
      </c>
      <c r="AB61" s="33" t="n">
        <f aca="false">AA61-AB47-AB50-AB53-AB55</f>
        <v>21850.9278191781</v>
      </c>
      <c r="AC61" s="33" t="n">
        <f aca="false">AB61-AC47-AC50-AC53-AC55</f>
        <v>21850.9278191781</v>
      </c>
      <c r="AD61" s="33" t="n">
        <f aca="false">AC61-AD47-AD50-AD53-AD55</f>
        <v>21850.9278191781</v>
      </c>
      <c r="AE61" s="33" t="n">
        <f aca="false">AD61-AE47-AE50-AE53-AE55</f>
        <v>21850.9278191781</v>
      </c>
      <c r="AF61" s="33" t="n">
        <f aca="false">AE61-AF47-AF50-AF53-AF55</f>
        <v>21850.9278191781</v>
      </c>
      <c r="AG61" s="33" t="n">
        <f aca="false">AF61-AG47-AG50-AG53-AG55</f>
        <v>21850.9278191781</v>
      </c>
      <c r="AH61" s="33" t="n">
        <f aca="false">AG61-AH47-AH50-AH53-AH55</f>
        <v>21850.9278191781</v>
      </c>
      <c r="AI61" s="33" t="n">
        <f aca="false">AH61-AI47-AI50-AI53-AI55</f>
        <v>21850.9278191781</v>
      </c>
      <c r="AJ61" s="33" t="n">
        <f aca="false">AI61-AJ47-AJ50-AJ53-AJ55</f>
        <v>21850.9278191781</v>
      </c>
      <c r="AK61" s="33" t="n">
        <f aca="false">AJ61-AK47-AK50-AK53-AK55</f>
        <v>21850.9278191781</v>
      </c>
      <c r="AL61" s="33" t="n">
        <f aca="false">AK61-AL47-AL50-AL53-AL55</f>
        <v>21850.9278191781</v>
      </c>
      <c r="AM61" s="33" t="n">
        <f aca="false">AL61-AM47-AM50-AM53-AM55</f>
        <v>21850.9278191781</v>
      </c>
      <c r="AN61" s="33" t="n">
        <f aca="false">AM61-AN47-AN50-AN53-AN55</f>
        <v>21850.9278191781</v>
      </c>
      <c r="AO61" s="33" t="n">
        <f aca="false">AN61-AO47-AO50-AO53-AO55</f>
        <v>21850.9278191781</v>
      </c>
      <c r="AP61" s="33" t="n">
        <f aca="false">AO61-AP47-AP50-AP53-AP55</f>
        <v>21850.9278191781</v>
      </c>
      <c r="AQ61" s="33" t="n">
        <f aca="false">AP61-AQ47-AQ50-AQ53-AQ55</f>
        <v>21850.9278191781</v>
      </c>
      <c r="AR61" s="33" t="n">
        <f aca="false">AQ61-AR47-AR50-AR53-AR55</f>
        <v>21850.9278191781</v>
      </c>
      <c r="AS61" s="33" t="n">
        <f aca="false">AR61-AS47-AS50-AS53-AS55</f>
        <v>21850.9278191781</v>
      </c>
      <c r="AT61" s="33" t="n">
        <f aca="false">AS61-AT47-AT50-AT53-AT55</f>
        <v>21850.9278191781</v>
      </c>
      <c r="AU61" s="33" t="n">
        <f aca="false">AT61-AU47-AU50-AU53-AU55</f>
        <v>21850.9278191781</v>
      </c>
      <c r="AV61" s="33" t="n">
        <f aca="false">AU61-AV47-AV50-AV53-AV55</f>
        <v>21850.9278191781</v>
      </c>
      <c r="AW61" s="33" t="n">
        <f aca="false">AV61-AW47-AW50-AW53-AW55</f>
        <v>21850.9278191781</v>
      </c>
      <c r="AX61" s="33" t="n">
        <f aca="false">AW61-AX47-AX50-AX53-AX55</f>
        <v>21850.9278191781</v>
      </c>
      <c r="AY61" s="33" t="n">
        <f aca="false">AX61-AY47-AY50-AY53-AY55</f>
        <v>21850.9278191781</v>
      </c>
      <c r="AZ61" s="33" t="n">
        <f aca="false">AY61-AZ47-AZ50-AZ53-AZ55</f>
        <v>21850.9278191781</v>
      </c>
      <c r="BA61" s="33" t="n">
        <f aca="false">AZ61-BA47-BA50-BA53-BA55</f>
        <v>21850.9278191781</v>
      </c>
      <c r="BB61" s="33" t="n">
        <f aca="false">BA61-BB47-BB50-BB53-BB55</f>
        <v>21850.9278191781</v>
      </c>
      <c r="BC61" s="33" t="n">
        <f aca="false">BB61-BC47-BC50-BC53-BC55</f>
        <v>21850.9278191781</v>
      </c>
      <c r="BD61" s="33" t="n">
        <f aca="false">BC61-BD47-BD50-BD53-BD55</f>
        <v>21850.9278191781</v>
      </c>
      <c r="BE61" s="33" t="n">
        <f aca="false">BD61-BE47-BE50-BE53-BE55</f>
        <v>21850.9278191781</v>
      </c>
      <c r="BF61" s="33" t="n">
        <f aca="false">BE61-BF47-BF50-BF53-BF55</f>
        <v>21850.9278191781</v>
      </c>
      <c r="BG61" s="33" t="n">
        <f aca="false">BF61-BG47-BG50-BG53-BG55</f>
        <v>21850.9278191781</v>
      </c>
      <c r="BH61" s="33" t="n">
        <f aca="false">BG61-BH47-BH50-BH53-BH55</f>
        <v>21850.9278191781</v>
      </c>
      <c r="BI61" s="33" t="n">
        <f aca="false">BH61-BI47-BI50-BI53-BI55</f>
        <v>21850.9278191781</v>
      </c>
      <c r="BJ61" s="33" t="n">
        <f aca="false">BI61-BJ47-BJ50-BJ53-BJ55</f>
        <v>21850.9278191781</v>
      </c>
      <c r="BK61" s="33" t="n">
        <f aca="false">BJ61-BK47-BK50-BK53-BK55</f>
        <v>21850.9278191781</v>
      </c>
      <c r="BL61" s="33" t="n">
        <f aca="false">BK61-BL47-BL50-BL53-BL55</f>
        <v>21850.9278191781</v>
      </c>
      <c r="BM61" s="33" t="n">
        <f aca="false">BL61-BM47-BM50-BM53-BM55</f>
        <v>21850.9278191781</v>
      </c>
      <c r="BN61" s="33" t="n">
        <f aca="false">BM61-BN47-BN50-BN53-BN55</f>
        <v>21850.9278191781</v>
      </c>
      <c r="BO61" s="33" t="n">
        <f aca="false">BN61-BO47-BO50-BO53-BO55</f>
        <v>21850.9278191781</v>
      </c>
      <c r="BP61" s="33" t="n">
        <f aca="false">BO61-BP47-BP50-BP53-BP55</f>
        <v>21850.9278191781</v>
      </c>
      <c r="BQ61" s="33" t="n">
        <f aca="false">BP61-BQ47-BQ50-BQ53-BQ55</f>
        <v>21850.9278191781</v>
      </c>
      <c r="BR61" s="33" t="n">
        <f aca="false">BQ61-BR47-BR50-BR53-BR55</f>
        <v>21850.9278191781</v>
      </c>
      <c r="BS61" s="33" t="n">
        <f aca="false">BR61-BS47-BS50-BS53-BS55</f>
        <v>21850.9278191781</v>
      </c>
      <c r="BT61" s="33" t="n">
        <f aca="false">BS61-BT47-BT50-BT53-BT55</f>
        <v>21850.9278191781</v>
      </c>
      <c r="BU61" s="33" t="n">
        <f aca="false">BT61-BU47-BU50-BU53-BU55</f>
        <v>21850.9278191781</v>
      </c>
      <c r="BV61" s="33" t="n">
        <f aca="false">BU61-BV47-BV50-BV53-BV55</f>
        <v>21850.9278191781</v>
      </c>
      <c r="BW61" s="33" t="n">
        <f aca="false">BV61-BW47-BW50-BW53-BW55</f>
        <v>21850.9278191781</v>
      </c>
      <c r="BX61" s="33" t="n">
        <f aca="false">BW61-BX47-BX50-BX53-BX55</f>
        <v>21850.9278191781</v>
      </c>
      <c r="BY61" s="33" t="n">
        <f aca="false">BX61-BY47-BY50-BY53-BY55</f>
        <v>21850.9278191781</v>
      </c>
      <c r="BZ61" s="33" t="n">
        <f aca="false">BY61-BZ47-BZ50-BZ53-BZ55</f>
        <v>21850.9278191781</v>
      </c>
      <c r="CA61" s="33" t="n">
        <f aca="false">BZ61-CA47-CA50-CA53-CA55</f>
        <v>21850.9278191781</v>
      </c>
      <c r="CB61" s="33" t="n">
        <f aca="false">CA61-CB47-CB50-CB53-CB55</f>
        <v>21850.9278191781</v>
      </c>
      <c r="CC61" s="33" t="n">
        <f aca="false">CB61-CC47-CC50-CC53-CC55</f>
        <v>21850.9278191781</v>
      </c>
      <c r="CD61" s="33" t="n">
        <f aca="false">CC61-CD47-CD50-CD53-CD55</f>
        <v>21850.9278191781</v>
      </c>
      <c r="CE61" s="33" t="n">
        <f aca="false">CD61-CE47-CE50-CE53-CE55</f>
        <v>21850.9278191781</v>
      </c>
      <c r="CF61" s="33" t="n">
        <f aca="false">CE61-CF47-CF50-CF53-CF55</f>
        <v>21850.9278191781</v>
      </c>
      <c r="CG61" s="33" t="n">
        <f aca="false">CF61-CG47-CG50-CG53-CG55</f>
        <v>21850.9278191781</v>
      </c>
      <c r="CH61" s="33" t="n">
        <f aca="false">CG61-CH47-CH50-CH53-CH55</f>
        <v>21850.9278191781</v>
      </c>
      <c r="CI61" s="33" t="n">
        <f aca="false">CH61-CI47-CI50-CI53-CI55</f>
        <v>21850.9278191781</v>
      </c>
      <c r="CJ61" s="33" t="n">
        <f aca="false">CI61-CJ47-CJ50-CJ53-CJ55</f>
        <v>21850.9278191781</v>
      </c>
      <c r="CK61" s="33" t="n">
        <f aca="false">CJ61-CK47-CK50-CK53-CK55</f>
        <v>21850.9278191781</v>
      </c>
      <c r="CL61" s="33" t="n">
        <f aca="false">CK61-CL47-CL50-CL53-CL55</f>
        <v>21850.9278191781</v>
      </c>
      <c r="CM61" s="33" t="n">
        <f aca="false">CL61-CM47-CM50-CM53-CM55</f>
        <v>21850.9278191781</v>
      </c>
      <c r="CN61" s="33" t="n">
        <f aca="false">CM61-CN47-CN50-CN53-CN55</f>
        <v>21850.9278191781</v>
      </c>
      <c r="CO61" s="33" t="n">
        <f aca="false">CN61-CO47-CO50-CO53-CO55</f>
        <v>21850.9278191781</v>
      </c>
      <c r="CP61" s="33" t="n">
        <f aca="false">CO61-CP47-CP50-CP53-CP55</f>
        <v>21850.9278191781</v>
      </c>
      <c r="CQ61" s="33" t="n">
        <f aca="false">CP61-CQ47-CQ50-CQ53-CQ55</f>
        <v>21850.9278191781</v>
      </c>
      <c r="CR61" s="33" t="n">
        <f aca="false">CQ61-CR47-CR50-CR53-CR55</f>
        <v>21850.9278191781</v>
      </c>
      <c r="CS61" s="33" t="n">
        <f aca="false">CR61-CS47-CS50-CS53-CS55</f>
        <v>21850.9278191781</v>
      </c>
      <c r="CT61" s="33" t="n">
        <f aca="false">CS61-CT47-CT50-CT53-CT55</f>
        <v>21850.9278191781</v>
      </c>
      <c r="CU61" s="33" t="n">
        <f aca="false">CT61-CU47-CU50-CU53-CU55</f>
        <v>21850.9278191781</v>
      </c>
      <c r="CV61" s="33" t="n">
        <f aca="false">CU61-CV47-CV50-CV53-CV55</f>
        <v>21850.9278191781</v>
      </c>
      <c r="CW61" s="33" t="n">
        <f aca="false">CV61-CW47-CW50-CW53-CW55</f>
        <v>21850.9278191781</v>
      </c>
      <c r="CX61" s="33" t="n">
        <f aca="false">CW61-CX47-CX50-CX53-CX55</f>
        <v>21850.9278191781</v>
      </c>
      <c r="CY61" s="33" t="n">
        <f aca="false">CX61-CY47-CY50-CY53-CY55</f>
        <v>21850.9278191781</v>
      </c>
      <c r="CZ61" s="33" t="n">
        <f aca="false">CY61-CZ47-CZ50-CZ53-CZ55</f>
        <v>21850.9278191781</v>
      </c>
      <c r="DA61" s="33" t="n">
        <f aca="false">CZ61-DA47-DA50-DA53-DA55</f>
        <v>21850.9278191781</v>
      </c>
      <c r="DB61" s="33" t="n">
        <f aca="false">DA61-DB47-DB50-DB53-DB55</f>
        <v>21850.9278191781</v>
      </c>
      <c r="DC61" s="33" t="n">
        <f aca="false">DB61-DC47-DC50-DC53-DC55</f>
        <v>21850.9278191781</v>
      </c>
      <c r="DD61" s="33" t="n">
        <f aca="false">DC61-DD47-DD50-DD53-DD55</f>
        <v>21850.9278191781</v>
      </c>
      <c r="DE61" s="33" t="n">
        <f aca="false">DD61-DE47-DE50-DE53-DE55</f>
        <v>21850.9278191781</v>
      </c>
      <c r="DF61" s="33" t="n">
        <f aca="false">DE61-DF47-DF50-DF53-DF55</f>
        <v>21850.9278191781</v>
      </c>
      <c r="DG61" s="33" t="n">
        <f aca="false">DF61-DG47-DG50-DG53-DG55</f>
        <v>21850.9278191781</v>
      </c>
      <c r="DH61" s="33" t="n">
        <f aca="false">DG61-DH47-DH50-DH53-DH55</f>
        <v>21850.9278191781</v>
      </c>
      <c r="DI61" s="33" t="n">
        <f aca="false">DH61-DI47-DI50-DI53-DI55</f>
        <v>21850.9278191781</v>
      </c>
      <c r="DJ61" s="33" t="n">
        <f aca="false">DI61-DJ47-DJ50-DJ53-DJ55</f>
        <v>21850.9278191781</v>
      </c>
      <c r="DK61" s="33" t="n">
        <f aca="false">DJ61-DK47-DK50-DK53-DK55</f>
        <v>21850.9278191781</v>
      </c>
      <c r="DL61" s="33" t="n">
        <f aca="false">DK61-DL47-DL50-DL53-DL55</f>
        <v>21850.9278191781</v>
      </c>
      <c r="DM61" s="33" t="n">
        <f aca="false">DL61-DM47-DM50-DM53-DM55</f>
        <v>21850.9278191781</v>
      </c>
      <c r="DN61" s="33" t="n">
        <f aca="false">DM61-DN47-DN50-DN53-DN55</f>
        <v>21850.9278191781</v>
      </c>
      <c r="DO61" s="33" t="n">
        <f aca="false">DN61-DO47-DO50-DO53-DO55</f>
        <v>21850.9278191781</v>
      </c>
      <c r="DP61" s="33" t="n">
        <f aca="false">DO61-DP47-DP50-DP53-DP55</f>
        <v>21850.9278191781</v>
      </c>
      <c r="DQ61" s="33" t="n">
        <f aca="false">DP61-DQ47-DQ50-DQ53-DQ55</f>
        <v>21850.9278191781</v>
      </c>
      <c r="DR61" s="33" t="n">
        <f aca="false">DQ61-DR47-DR50-DR53-DR55</f>
        <v>21850.9278191781</v>
      </c>
      <c r="DS61" s="33" t="n">
        <f aca="false">DR61-DS47-DS50-DS53-DS55</f>
        <v>21850.9278191781</v>
      </c>
      <c r="DT61" s="33" t="n">
        <f aca="false">DS61-DT47-DT50-DT53-DT55</f>
        <v>21850.9278191781</v>
      </c>
      <c r="DU61" s="33" t="n">
        <f aca="false">DT61-DU47-DU50-DU53-DU55</f>
        <v>21850.9278191781</v>
      </c>
      <c r="DV61" s="33" t="n">
        <f aca="false">DU61-DV47-DV50-DV53-DV55</f>
        <v>21850.9278191781</v>
      </c>
      <c r="DW61" s="33" t="n">
        <f aca="false">DV61-DW47-DW50-DW53-DW55</f>
        <v>21850.9278191781</v>
      </c>
      <c r="DX61" s="33" t="n">
        <f aca="false">DW61-DX47-DX50-DX53-DX55</f>
        <v>21850.9278191781</v>
      </c>
      <c r="DY61" s="33" t="n">
        <f aca="false">DX61-DY47-DY50-DY53-DY55</f>
        <v>21850.9278191781</v>
      </c>
      <c r="DZ61" s="33" t="n">
        <f aca="false">DY61-DZ47-DZ50-DZ53-DZ55</f>
        <v>21850.9278191781</v>
      </c>
      <c r="EA61" s="33" t="n">
        <f aca="false">DZ61-EA47-EA50-EA53-EA55</f>
        <v>21850.9278191781</v>
      </c>
      <c r="EB61" s="33" t="n">
        <f aca="false">EA61-EB47-EB50-EB53-EB55</f>
        <v>21850.9278191781</v>
      </c>
      <c r="EC61" s="33" t="n">
        <f aca="false">EB61-EC47-EC50-EC53-EC55</f>
        <v>21850.9278191781</v>
      </c>
      <c r="ED61" s="33" t="n">
        <f aca="false">EC61-ED47-ED50-ED53-ED55</f>
        <v>21850.9278191781</v>
      </c>
      <c r="EE61" s="33" t="n">
        <f aca="false">ED61-EE47-EE50-EE53-EE55</f>
        <v>21850.9278191781</v>
      </c>
      <c r="EF61" s="33" t="n">
        <f aca="false">EE61-EF47-EF50-EF53-EF55</f>
        <v>21850.9278191781</v>
      </c>
      <c r="EG61" s="33" t="n">
        <f aca="false">EF61-EG47-EG50-EG53-EG55</f>
        <v>21850.9278191781</v>
      </c>
      <c r="EH61" s="33" t="n">
        <f aca="false">EG61-EH47-EH50-EH53-EH55</f>
        <v>21850.9278191781</v>
      </c>
      <c r="EI61" s="33" t="n">
        <f aca="false">EH61-EI47-EI50-EI53-EI55</f>
        <v>21850.9278191781</v>
      </c>
      <c r="EJ61" s="33" t="n">
        <f aca="false">EI61-EJ47-EJ50-EJ53-EJ55</f>
        <v>21850.9278191781</v>
      </c>
      <c r="EK61" s="33" t="n">
        <f aca="false">EJ61-EK47-EK50-EK53-EK55</f>
        <v>21850.9278191781</v>
      </c>
      <c r="EL61" s="33" t="n">
        <f aca="false">EK61-EL47-EL50-EL53-EL55</f>
        <v>21850.9278191781</v>
      </c>
      <c r="EM61" s="33" t="n">
        <f aca="false">EL61-EM47-EM50-EM53-EM55</f>
        <v>21850.9278191781</v>
      </c>
      <c r="EN61" s="33" t="n">
        <f aca="false">EM61-EN47-EN50-EN53-EN55</f>
        <v>21850.9278191781</v>
      </c>
      <c r="EO61" s="33" t="n">
        <f aca="false">EN61-EO47-EO50-EO53-EO55</f>
        <v>21850.9278191781</v>
      </c>
      <c r="EP61" s="33" t="n">
        <f aca="false">EO61-EP47-EP50-EP53-EP55</f>
        <v>21850.9278191781</v>
      </c>
      <c r="EQ61" s="33" t="n">
        <f aca="false">EP61-EQ47-EQ50-EQ53-EQ55</f>
        <v>21850.9278191781</v>
      </c>
      <c r="ER61" s="33" t="n">
        <f aca="false">EQ61-ER47-ER50-ER53-ER55</f>
        <v>21850.9278191781</v>
      </c>
      <c r="ES61" s="33" t="n">
        <f aca="false">ER61-ES47-ES50-ES53-ES55</f>
        <v>21850.9278191781</v>
      </c>
      <c r="ET61" s="33" t="n">
        <f aca="false">ES61-ET47-ET50-ET53-ET55</f>
        <v>21850.9278191781</v>
      </c>
    </row>
    <row r="63" customFormat="false" ht="15" hidden="false" customHeight="false" outlineLevel="0" collapsed="false">
      <c r="A63" s="9" t="s">
        <v>13</v>
      </c>
      <c r="B63" s="9"/>
      <c r="C63" s="9" t="s">
        <v>530</v>
      </c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</row>
    <row r="64" customFormat="false" ht="15" hidden="false" customHeight="false" outlineLevel="0" collapsed="false">
      <c r="A64" s="55"/>
      <c r="B64" s="55"/>
      <c r="C64" s="55" t="s">
        <v>531</v>
      </c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  <c r="BH64" s="55"/>
      <c r="BI64" s="55"/>
      <c r="BJ64" s="55"/>
      <c r="BK64" s="55"/>
      <c r="BL64" s="55"/>
      <c r="BM64" s="55"/>
      <c r="BN64" s="55"/>
      <c r="BO64" s="55"/>
      <c r="BP64" s="55"/>
      <c r="BQ64" s="55"/>
      <c r="BR64" s="55"/>
      <c r="BS64" s="55"/>
      <c r="BT64" s="55"/>
      <c r="BU64" s="55"/>
      <c r="BV64" s="55"/>
      <c r="BW64" s="55"/>
      <c r="BX64" s="55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55"/>
      <c r="CO64" s="55"/>
      <c r="CP64" s="55"/>
      <c r="CQ64" s="55"/>
      <c r="CR64" s="55"/>
      <c r="CS64" s="55"/>
      <c r="CT64" s="55"/>
      <c r="CU64" s="55"/>
      <c r="CV64" s="55"/>
      <c r="CW64" s="55"/>
      <c r="CX64" s="55"/>
      <c r="CY64" s="55"/>
      <c r="CZ64" s="55"/>
      <c r="DA64" s="55"/>
      <c r="DB64" s="55"/>
      <c r="DC64" s="55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55"/>
      <c r="EB64" s="55"/>
      <c r="EC64" s="55"/>
      <c r="ED64" s="55"/>
      <c r="EE64" s="55"/>
      <c r="EF64" s="55"/>
      <c r="EG64" s="55"/>
      <c r="EH64" s="55"/>
      <c r="EI64" s="55"/>
      <c r="EJ64" s="55"/>
      <c r="EK64" s="55"/>
      <c r="EL64" s="55"/>
      <c r="EM64" s="55"/>
      <c r="EN64" s="55"/>
      <c r="EO64" s="55"/>
      <c r="EP64" s="55"/>
      <c r="EQ64" s="55"/>
      <c r="ER64" s="55"/>
      <c r="ES64" s="55"/>
      <c r="ET64" s="55"/>
    </row>
    <row r="65" customFormat="false" ht="15" hidden="false" customHeight="false" outlineLevel="0" collapsed="false">
      <c r="C65" s="0" t="s">
        <v>532</v>
      </c>
      <c r="D65" s="11" t="s">
        <v>253</v>
      </c>
      <c r="E65" s="33" t="n">
        <f aca="false">SUMIF($J$4:$ET$4,"&lt;="&amp;$E12,$J65:$ET65)+$I47</f>
        <v>21412.2641205479</v>
      </c>
      <c r="I65" s="33" t="n">
        <f aca="false">SUM(J65:ET65)</f>
        <v>21420.4832986301</v>
      </c>
      <c r="J65" s="33" t="n">
        <f aca="false">-(J47+J50+J53)</f>
        <v>0</v>
      </c>
      <c r="K65" s="33" t="n">
        <f aca="false">-(K47+K50+K53)</f>
        <v>1241.09589041096</v>
      </c>
      <c r="L65" s="33" t="n">
        <f aca="false">-(L47+L50+L53)</f>
        <v>0</v>
      </c>
      <c r="M65" s="33" t="n">
        <f aca="false">-(M47+M50+M53)</f>
        <v>0</v>
      </c>
      <c r="N65" s="33" t="n">
        <f aca="false">-(N47+N50+N53)</f>
        <v>0</v>
      </c>
      <c r="O65" s="33" t="n">
        <f aca="false">-(O47+O50+O53)</f>
        <v>0</v>
      </c>
      <c r="P65" s="33" t="n">
        <f aca="false">-(P47+P50+P53)</f>
        <v>0</v>
      </c>
      <c r="Q65" s="33" t="n">
        <f aca="false">-(Q47+Q50+Q53)</f>
        <v>0</v>
      </c>
      <c r="R65" s="33" t="n">
        <f aca="false">-(R47+R50+R53)</f>
        <v>0</v>
      </c>
      <c r="S65" s="33" t="n">
        <f aca="false">-(S47+S50+S53)</f>
        <v>0</v>
      </c>
      <c r="T65" s="33" t="n">
        <f aca="false">-(T47+T50+T53)</f>
        <v>20179.3874082192</v>
      </c>
      <c r="U65" s="33" t="n">
        <f aca="false">-(U47+U50+U53)</f>
        <v>0</v>
      </c>
      <c r="V65" s="33" t="n">
        <f aca="false">-(V47+V50+V53)</f>
        <v>0</v>
      </c>
      <c r="W65" s="33" t="n">
        <f aca="false">-(W47+W50+W53)</f>
        <v>0</v>
      </c>
      <c r="X65" s="33" t="n">
        <f aca="false">-(X47+X50+X53)</f>
        <v>0</v>
      </c>
      <c r="Y65" s="33" t="n">
        <f aca="false">-(Y47+Y50+Y53)</f>
        <v>0</v>
      </c>
      <c r="Z65" s="33" t="n">
        <f aca="false">-(Z47+Z50+Z53)</f>
        <v>0</v>
      </c>
      <c r="AA65" s="33" t="n">
        <f aca="false">-(AA47+AA50+AA53)</f>
        <v>0</v>
      </c>
      <c r="AB65" s="33" t="n">
        <f aca="false">-(AB47+AB50+AB53)</f>
        <v>0</v>
      </c>
      <c r="AC65" s="33" t="n">
        <f aca="false">-(AC47+AC50+AC53)</f>
        <v>0</v>
      </c>
      <c r="AD65" s="33" t="n">
        <f aca="false">-(AD47+AD50+AD53)</f>
        <v>0</v>
      </c>
      <c r="AE65" s="33" t="n">
        <f aca="false">-(AE47+AE50+AE53)</f>
        <v>0</v>
      </c>
      <c r="AF65" s="33" t="n">
        <f aca="false">-(AF47+AF50+AF53)</f>
        <v>0</v>
      </c>
      <c r="AG65" s="33" t="n">
        <f aca="false">-(AG47+AG50+AG53)</f>
        <v>0</v>
      </c>
      <c r="AH65" s="33" t="n">
        <f aca="false">-(AH47+AH50+AH53)</f>
        <v>0</v>
      </c>
      <c r="AI65" s="33" t="n">
        <f aca="false">-(AI47+AI50+AI53)</f>
        <v>0</v>
      </c>
      <c r="AJ65" s="33" t="n">
        <f aca="false">-(AJ47+AJ50+AJ53)</f>
        <v>0</v>
      </c>
      <c r="AK65" s="33" t="n">
        <f aca="false">-(AK47+AK50+AK53)</f>
        <v>0</v>
      </c>
      <c r="AL65" s="33" t="n">
        <f aca="false">-(AL47+AL50+AL53)</f>
        <v>0</v>
      </c>
      <c r="AM65" s="33" t="n">
        <f aca="false">-(AM47+AM50+AM53)</f>
        <v>0</v>
      </c>
      <c r="AN65" s="33" t="n">
        <f aca="false">-(AN47+AN50+AN53)</f>
        <v>0</v>
      </c>
      <c r="AO65" s="33" t="n">
        <f aca="false">-(AO47+AO50+AO53)</f>
        <v>0</v>
      </c>
      <c r="AP65" s="33" t="n">
        <f aca="false">-(AP47+AP50+AP53)</f>
        <v>0</v>
      </c>
      <c r="AQ65" s="33" t="n">
        <f aca="false">-(AQ47+AQ50+AQ53)</f>
        <v>0</v>
      </c>
      <c r="AR65" s="33" t="n">
        <f aca="false">-(AR47+AR50+AR53)</f>
        <v>0</v>
      </c>
      <c r="AS65" s="33" t="n">
        <f aca="false">-(AS47+AS50+AS53)</f>
        <v>0</v>
      </c>
      <c r="AT65" s="33" t="n">
        <f aca="false">-(AT47+AT50+AT53)</f>
        <v>0</v>
      </c>
      <c r="AU65" s="33" t="n">
        <f aca="false">-(AU47+AU50+AU53)</f>
        <v>0</v>
      </c>
      <c r="AV65" s="33" t="n">
        <f aca="false">-(AV47+AV50+AV53)</f>
        <v>0</v>
      </c>
      <c r="AW65" s="33" t="n">
        <f aca="false">-(AW47+AW50+AW53)</f>
        <v>0</v>
      </c>
      <c r="AX65" s="33" t="n">
        <f aca="false">-(AX47+AX50+AX53)</f>
        <v>0</v>
      </c>
      <c r="AY65" s="33" t="n">
        <f aca="false">-(AY47+AY50+AY53)</f>
        <v>0</v>
      </c>
      <c r="AZ65" s="33" t="n">
        <f aca="false">-(AZ47+AZ50+AZ53)</f>
        <v>0</v>
      </c>
      <c r="BA65" s="33" t="n">
        <f aca="false">-(BA47+BA50+BA53)</f>
        <v>0</v>
      </c>
      <c r="BB65" s="33" t="n">
        <f aca="false">-(BB47+BB50+BB53)</f>
        <v>0</v>
      </c>
      <c r="BC65" s="33" t="n">
        <f aca="false">-(BC47+BC50+BC53)</f>
        <v>0</v>
      </c>
      <c r="BD65" s="33" t="n">
        <f aca="false">-(BD47+BD50+BD53)</f>
        <v>0</v>
      </c>
      <c r="BE65" s="33" t="n">
        <f aca="false">-(BE47+BE50+BE53)</f>
        <v>0</v>
      </c>
      <c r="BF65" s="33" t="n">
        <f aca="false">-(BF47+BF50+BF53)</f>
        <v>0</v>
      </c>
      <c r="BG65" s="33" t="n">
        <f aca="false">-(BG47+BG50+BG53)</f>
        <v>0</v>
      </c>
      <c r="BH65" s="33" t="n">
        <f aca="false">-(BH47+BH50+BH53)</f>
        <v>0</v>
      </c>
      <c r="BI65" s="33" t="n">
        <f aca="false">-(BI47+BI50+BI53)</f>
        <v>0</v>
      </c>
      <c r="BJ65" s="33" t="n">
        <f aca="false">-(BJ47+BJ50+BJ53)</f>
        <v>0</v>
      </c>
      <c r="BK65" s="33" t="n">
        <f aca="false">-(BK47+BK50+BK53)</f>
        <v>0</v>
      </c>
      <c r="BL65" s="33" t="n">
        <f aca="false">-(BL47+BL50+BL53)</f>
        <v>0</v>
      </c>
      <c r="BM65" s="33" t="n">
        <f aca="false">-(BM47+BM50+BM53)</f>
        <v>0</v>
      </c>
      <c r="BN65" s="33" t="n">
        <f aca="false">-(BN47+BN50+BN53)</f>
        <v>0</v>
      </c>
      <c r="BO65" s="33" t="n">
        <f aca="false">-(BO47+BO50+BO53)</f>
        <v>0</v>
      </c>
      <c r="BP65" s="33" t="n">
        <f aca="false">-(BP47+BP50+BP53)</f>
        <v>0</v>
      </c>
      <c r="BQ65" s="33" t="n">
        <f aca="false">-(BQ47+BQ50+BQ53)</f>
        <v>0</v>
      </c>
      <c r="BR65" s="33" t="n">
        <f aca="false">-(BR47+BR50+BR53)</f>
        <v>0</v>
      </c>
      <c r="BS65" s="33" t="n">
        <f aca="false">-(BS47+BS50+BS53)</f>
        <v>0</v>
      </c>
      <c r="BT65" s="33" t="n">
        <f aca="false">-(BT47+BT50+BT53)</f>
        <v>0</v>
      </c>
      <c r="BU65" s="33" t="n">
        <f aca="false">-(BU47+BU50+BU53)</f>
        <v>0</v>
      </c>
      <c r="BV65" s="33" t="n">
        <f aca="false">-(BV47+BV50+BV53)</f>
        <v>0</v>
      </c>
      <c r="BW65" s="33" t="n">
        <f aca="false">-(BW47+BW50+BW53)</f>
        <v>0</v>
      </c>
      <c r="BX65" s="33" t="n">
        <f aca="false">-(BX47+BX50+BX53)</f>
        <v>0</v>
      </c>
      <c r="BY65" s="33" t="n">
        <f aca="false">-(BY47+BY50+BY53)</f>
        <v>0</v>
      </c>
      <c r="BZ65" s="33" t="n">
        <f aca="false">-(BZ47+BZ50+BZ53)</f>
        <v>0</v>
      </c>
      <c r="CA65" s="33" t="n">
        <f aca="false">-(CA47+CA50+CA53)</f>
        <v>0</v>
      </c>
      <c r="CB65" s="33" t="n">
        <f aca="false">-(CB47+CB50+CB53)</f>
        <v>0</v>
      </c>
      <c r="CC65" s="33" t="n">
        <f aca="false">-(CC47+CC50+CC53)</f>
        <v>0</v>
      </c>
      <c r="CD65" s="33" t="n">
        <f aca="false">-(CD47+CD50+CD53)</f>
        <v>0</v>
      </c>
      <c r="CE65" s="33" t="n">
        <f aca="false">-(CE47+CE50+CE53)</f>
        <v>0</v>
      </c>
      <c r="CF65" s="33" t="n">
        <f aca="false">-(CF47+CF50+CF53)</f>
        <v>0</v>
      </c>
      <c r="CG65" s="33" t="n">
        <f aca="false">-(CG47+CG50+CG53)</f>
        <v>0</v>
      </c>
      <c r="CH65" s="33" t="n">
        <f aca="false">-(CH47+CH50+CH53)</f>
        <v>0</v>
      </c>
      <c r="CI65" s="33" t="n">
        <f aca="false">-(CI47+CI50+CI53)</f>
        <v>0</v>
      </c>
      <c r="CJ65" s="33" t="n">
        <f aca="false">-(CJ47+CJ50+CJ53)</f>
        <v>0</v>
      </c>
      <c r="CK65" s="33" t="n">
        <f aca="false">-(CK47+CK50+CK53)</f>
        <v>0</v>
      </c>
      <c r="CL65" s="33" t="n">
        <f aca="false">-(CL47+CL50+CL53)</f>
        <v>0</v>
      </c>
      <c r="CM65" s="33" t="n">
        <f aca="false">-(CM47+CM50+CM53)</f>
        <v>0</v>
      </c>
      <c r="CN65" s="33" t="n">
        <f aca="false">-(CN47+CN50+CN53)</f>
        <v>0</v>
      </c>
      <c r="CO65" s="33" t="n">
        <f aca="false">-(CO47+CO50+CO53)</f>
        <v>0</v>
      </c>
      <c r="CP65" s="33" t="n">
        <f aca="false">-(CP47+CP50+CP53)</f>
        <v>0</v>
      </c>
      <c r="CQ65" s="33" t="n">
        <f aca="false">-(CQ47+CQ50+CQ53)</f>
        <v>0</v>
      </c>
      <c r="CR65" s="33" t="n">
        <f aca="false">-(CR47+CR50+CR53)</f>
        <v>0</v>
      </c>
      <c r="CS65" s="33" t="n">
        <f aca="false">-(CS47+CS50+CS53)</f>
        <v>0</v>
      </c>
      <c r="CT65" s="33" t="n">
        <f aca="false">-(CT47+CT50+CT53)</f>
        <v>0</v>
      </c>
      <c r="CU65" s="33" t="n">
        <f aca="false">-(CU47+CU50+CU53)</f>
        <v>0</v>
      </c>
      <c r="CV65" s="33" t="n">
        <f aca="false">-(CV47+CV50+CV53)</f>
        <v>0</v>
      </c>
      <c r="CW65" s="33" t="n">
        <f aca="false">-(CW47+CW50+CW53)</f>
        <v>0</v>
      </c>
      <c r="CX65" s="33" t="n">
        <f aca="false">-(CX47+CX50+CX53)</f>
        <v>0</v>
      </c>
      <c r="CY65" s="33" t="n">
        <f aca="false">-(CY47+CY50+CY53)</f>
        <v>0</v>
      </c>
      <c r="CZ65" s="33" t="n">
        <f aca="false">-(CZ47+CZ50+CZ53)</f>
        <v>0</v>
      </c>
      <c r="DA65" s="33" t="n">
        <f aca="false">-(DA47+DA50+DA53)</f>
        <v>0</v>
      </c>
      <c r="DB65" s="33" t="n">
        <f aca="false">-(DB47+DB50+DB53)</f>
        <v>0</v>
      </c>
      <c r="DC65" s="33" t="n">
        <f aca="false">-(DC47+DC50+DC53)</f>
        <v>0</v>
      </c>
      <c r="DD65" s="33" t="n">
        <f aca="false">-(DD47+DD50+DD53)</f>
        <v>0</v>
      </c>
      <c r="DE65" s="33" t="n">
        <f aca="false">-(DE47+DE50+DE53)</f>
        <v>0</v>
      </c>
      <c r="DF65" s="33" t="n">
        <f aca="false">-(DF47+DF50+DF53)</f>
        <v>0</v>
      </c>
      <c r="DG65" s="33" t="n">
        <f aca="false">-(DG47+DG50+DG53)</f>
        <v>0</v>
      </c>
      <c r="DH65" s="33" t="n">
        <f aca="false">-(DH47+DH50+DH53)</f>
        <v>0</v>
      </c>
      <c r="DI65" s="33" t="n">
        <f aca="false">-(DI47+DI50+DI53)</f>
        <v>0</v>
      </c>
      <c r="DJ65" s="33" t="n">
        <f aca="false">-(DJ47+DJ50+DJ53)</f>
        <v>0</v>
      </c>
      <c r="DK65" s="33" t="n">
        <f aca="false">-(DK47+DK50+DK53)</f>
        <v>0</v>
      </c>
      <c r="DL65" s="33" t="n">
        <f aca="false">-(DL47+DL50+DL53)</f>
        <v>0</v>
      </c>
      <c r="DM65" s="33" t="n">
        <f aca="false">-(DM47+DM50+DM53)</f>
        <v>0</v>
      </c>
      <c r="DN65" s="33" t="n">
        <f aca="false">-(DN47+DN50+DN53)</f>
        <v>0</v>
      </c>
      <c r="DO65" s="33" t="n">
        <f aca="false">-(DO47+DO50+DO53)</f>
        <v>0</v>
      </c>
      <c r="DP65" s="33" t="n">
        <f aca="false">-(DP47+DP50+DP53)</f>
        <v>0</v>
      </c>
      <c r="DQ65" s="33" t="n">
        <f aca="false">-(DQ47+DQ50+DQ53)</f>
        <v>0</v>
      </c>
      <c r="DR65" s="33" t="n">
        <f aca="false">-(DR47+DR50+DR53)</f>
        <v>0</v>
      </c>
      <c r="DS65" s="33" t="n">
        <f aca="false">-(DS47+DS50+DS53)</f>
        <v>0</v>
      </c>
      <c r="DT65" s="33" t="n">
        <f aca="false">-(DT47+DT50+DT53)</f>
        <v>0</v>
      </c>
      <c r="DU65" s="33" t="n">
        <f aca="false">-(DU47+DU50+DU53)</f>
        <v>0</v>
      </c>
      <c r="DV65" s="33" t="n">
        <f aca="false">-(DV47+DV50+DV53)</f>
        <v>0</v>
      </c>
      <c r="DW65" s="33" t="n">
        <f aca="false">-(DW47+DW50+DW53)</f>
        <v>0</v>
      </c>
      <c r="DX65" s="33" t="n">
        <f aca="false">-(DX47+DX50+DX53)</f>
        <v>0</v>
      </c>
      <c r="DY65" s="33" t="n">
        <f aca="false">-(DY47+DY50+DY53)</f>
        <v>0</v>
      </c>
      <c r="DZ65" s="33" t="n">
        <f aca="false">-(DZ47+DZ50+DZ53)</f>
        <v>0</v>
      </c>
      <c r="EA65" s="33" t="n">
        <f aca="false">-(EA47+EA50+EA53)</f>
        <v>0</v>
      </c>
      <c r="EB65" s="33" t="n">
        <f aca="false">-(EB47+EB50+EB53)</f>
        <v>0</v>
      </c>
      <c r="EC65" s="33" t="n">
        <f aca="false">-(EC47+EC50+EC53)</f>
        <v>0</v>
      </c>
      <c r="ED65" s="33" t="n">
        <f aca="false">-(ED47+ED50+ED53)</f>
        <v>0</v>
      </c>
      <c r="EE65" s="33" t="n">
        <f aca="false">-(EE47+EE50+EE53)</f>
        <v>0</v>
      </c>
      <c r="EF65" s="33" t="n">
        <f aca="false">-(EF47+EF50+EF53)</f>
        <v>0</v>
      </c>
      <c r="EG65" s="33" t="n">
        <f aca="false">-(EG47+EG50+EG53)</f>
        <v>0</v>
      </c>
      <c r="EH65" s="33" t="n">
        <f aca="false">-(EH47+EH50+EH53)</f>
        <v>0</v>
      </c>
      <c r="EI65" s="33" t="n">
        <f aca="false">-(EI47+EI50+EI53)</f>
        <v>0</v>
      </c>
      <c r="EJ65" s="33" t="n">
        <f aca="false">-(EJ47+EJ50+EJ53)</f>
        <v>0</v>
      </c>
      <c r="EK65" s="33" t="n">
        <f aca="false">-(EK47+EK50+EK53)</f>
        <v>0</v>
      </c>
      <c r="EL65" s="33" t="n">
        <f aca="false">-(EL47+EL50+EL53)</f>
        <v>0</v>
      </c>
      <c r="EM65" s="33" t="n">
        <f aca="false">-(EM47+EM50+EM53)</f>
        <v>0</v>
      </c>
      <c r="EN65" s="33" t="n">
        <f aca="false">-(EN47+EN50+EN53)</f>
        <v>0</v>
      </c>
      <c r="EO65" s="33" t="n">
        <f aca="false">-(EO47+EO50+EO53)</f>
        <v>0</v>
      </c>
      <c r="EP65" s="33" t="n">
        <f aca="false">-(EP47+EP50+EP53)</f>
        <v>0</v>
      </c>
      <c r="EQ65" s="33" t="n">
        <f aca="false">-(EQ47+EQ50+EQ53)</f>
        <v>0</v>
      </c>
      <c r="ER65" s="33" t="n">
        <f aca="false">-(ER47+ER50+ER53)</f>
        <v>0</v>
      </c>
      <c r="ES65" s="33" t="n">
        <f aca="false">-(ES47+ES50+ES53)</f>
        <v>0</v>
      </c>
      <c r="ET65" s="33" t="n">
        <f aca="false">-(ET47+ET50+ET53)</f>
        <v>0</v>
      </c>
    </row>
    <row r="66" customFormat="false" ht="15" hidden="false" customHeight="false" outlineLevel="0" collapsed="false">
      <c r="C66" s="0" t="s">
        <v>533</v>
      </c>
      <c r="D66" s="11" t="s">
        <v>211</v>
      </c>
      <c r="J66" s="56" t="n">
        <f aca="false">-(J47*$F47+J50*$F50+J51*$F51+J52*$F52)</f>
        <v>0</v>
      </c>
      <c r="K66" s="56" t="n">
        <f aca="false">-(K47*$F47+K50*$F50+K51*$F51+K52*$F52)</f>
        <v>57568972.6027397</v>
      </c>
      <c r="L66" s="56" t="n">
        <f aca="false">-(L47*$F47+L50*$F50+L51*$F51+L52*$F52)</f>
        <v>0</v>
      </c>
      <c r="M66" s="56" t="n">
        <f aca="false">-(M47*$F47+M50*$F50+M51*$F51+M52*$F52)</f>
        <v>0</v>
      </c>
      <c r="N66" s="56" t="n">
        <f aca="false">-(N47*$F47+N50*$F50+N51*$F51+N52*$F52)</f>
        <v>0</v>
      </c>
      <c r="O66" s="56" t="n">
        <f aca="false">-(O47*$F47+O50*$F50+O51*$F51+O52*$F52)</f>
        <v>0</v>
      </c>
      <c r="P66" s="56" t="n">
        <f aca="false">-(P47*$F47+P50*$F50+P51*$F51+P52*$F52)</f>
        <v>0</v>
      </c>
      <c r="Q66" s="56" t="n">
        <f aca="false">-(Q47*$F47+Q50*$F50+Q51*$F51+Q52*$F52)</f>
        <v>0</v>
      </c>
      <c r="R66" s="56" t="n">
        <f aca="false">-(R47*$F47+R50*$F50+R51*$F51+R52*$F52)</f>
        <v>0</v>
      </c>
      <c r="S66" s="56" t="n">
        <f aca="false">-(S47*$F47+S50*$F50+S51*$F51+S52*$F52)</f>
        <v>0</v>
      </c>
      <c r="T66" s="56" t="n">
        <f aca="false">-(T47*$F47+T50*$F50+T51*$F51+T52*$F52)</f>
        <v>950973810.999737</v>
      </c>
      <c r="U66" s="56" t="n">
        <f aca="false">-(U47*$F47+U50*$F50+U51*$F51+U52*$F52)</f>
        <v>0</v>
      </c>
      <c r="V66" s="56" t="n">
        <f aca="false">-(V47*$F47+V50*$F50+V51*$F51+V52*$F52)</f>
        <v>0</v>
      </c>
      <c r="W66" s="56" t="n">
        <f aca="false">-(W47*$F47+W50*$F50+W51*$F51+W52*$F52)</f>
        <v>0</v>
      </c>
      <c r="X66" s="56" t="n">
        <f aca="false">-(X47*$F47+X50*$F50+X51*$F51+X52*$F52)</f>
        <v>0</v>
      </c>
      <c r="Y66" s="56" t="n">
        <f aca="false">-(Y47*$F47+Y50*$F50+Y51*$F51+Y52*$F52)</f>
        <v>0</v>
      </c>
      <c r="Z66" s="56" t="n">
        <f aca="false">-(Z47*$F47+Z50*$F50+Z51*$F51+Z52*$F52)</f>
        <v>0</v>
      </c>
      <c r="AA66" s="56" t="n">
        <f aca="false">-(AA47*$F47+AA50*$F50+AA51*$F51+AA52*$F52)</f>
        <v>0</v>
      </c>
      <c r="AB66" s="56" t="n">
        <f aca="false">-(AB47*$F47+AB50*$F50+AB51*$F51+AB52*$F52)</f>
        <v>0</v>
      </c>
      <c r="AC66" s="56" t="n">
        <f aca="false">-(AC47*$F47+AC50*$F50+AC51*$F51+AC52*$F52)</f>
        <v>0</v>
      </c>
      <c r="AD66" s="56" t="n">
        <f aca="false">-(AD47*$F47+AD50*$F50+AD51*$F51+AD52*$F52)</f>
        <v>0</v>
      </c>
      <c r="AE66" s="56" t="n">
        <f aca="false">-(AE47*$F47+AE50*$F50+AE51*$F51+AE52*$F52)</f>
        <v>0</v>
      </c>
      <c r="AF66" s="56" t="n">
        <f aca="false">-(AF47*$F47+AF50*$F50+AF51*$F51+AF52*$F52)</f>
        <v>0</v>
      </c>
      <c r="AG66" s="56" t="n">
        <f aca="false">-(AG47*$F47+AG50*$F50+AG51*$F51+AG52*$F52)</f>
        <v>0</v>
      </c>
      <c r="AH66" s="56" t="n">
        <f aca="false">-(AH47*$F47+AH50*$F50+AH51*$F51+AH52*$F52)</f>
        <v>0</v>
      </c>
      <c r="AI66" s="56" t="n">
        <f aca="false">-(AI47*$F47+AI50*$F50+AI51*$F51+AI52*$F52)</f>
        <v>0</v>
      </c>
      <c r="AJ66" s="56" t="n">
        <f aca="false">-(AJ47*$F47+AJ50*$F50+AJ51*$F51+AJ52*$F52)</f>
        <v>0</v>
      </c>
      <c r="AK66" s="56" t="n">
        <f aca="false">-(AK47*$F47+AK50*$F50+AK51*$F51+AK52*$F52)</f>
        <v>0</v>
      </c>
      <c r="AL66" s="56" t="n">
        <f aca="false">-(AL47*$F47+AL50*$F50+AL51*$F51+AL52*$F52)</f>
        <v>0</v>
      </c>
      <c r="AM66" s="56" t="n">
        <f aca="false">-(AM47*$F47+AM50*$F50+AM51*$F51+AM52*$F52)</f>
        <v>0</v>
      </c>
      <c r="AN66" s="56" t="n">
        <f aca="false">-(AN47*$F47+AN50*$F50+AN51*$F51+AN52*$F52)</f>
        <v>0</v>
      </c>
      <c r="AO66" s="56" t="n">
        <f aca="false">-(AO47*$F47+AO50*$F50+AO51*$F51+AO52*$F52)</f>
        <v>0</v>
      </c>
      <c r="AP66" s="56" t="n">
        <f aca="false">-(AP47*$F47+AP50*$F50+AP51*$F51+AP52*$F52)</f>
        <v>0</v>
      </c>
      <c r="AQ66" s="56" t="n">
        <f aca="false">-(AQ47*$F47+AQ50*$F50+AQ51*$F51+AQ52*$F52)</f>
        <v>0</v>
      </c>
      <c r="AR66" s="56" t="n">
        <f aca="false">-(AR47*$F47+AR50*$F50+AR51*$F51+AR52*$F52)</f>
        <v>0</v>
      </c>
      <c r="AS66" s="56" t="n">
        <f aca="false">-(AS47*$F47+AS50*$F50+AS51*$F51+AS52*$F52)</f>
        <v>0</v>
      </c>
      <c r="AT66" s="56" t="n">
        <f aca="false">-(AT47*$F47+AT50*$F50+AT51*$F51+AT52*$F52)</f>
        <v>0</v>
      </c>
      <c r="AU66" s="56" t="n">
        <f aca="false">-(AU47*$F47+AU50*$F50+AU51*$F51+AU52*$F52)</f>
        <v>0</v>
      </c>
      <c r="AV66" s="56" t="n">
        <f aca="false">-(AV47*$F47+AV50*$F50+AV51*$F51+AV52*$F52)</f>
        <v>0</v>
      </c>
      <c r="AW66" s="56" t="n">
        <f aca="false">-(AW47*$F47+AW50*$F50+AW51*$F51+AW52*$F52)</f>
        <v>0</v>
      </c>
      <c r="AX66" s="56" t="n">
        <f aca="false">-(AX47*$F47+AX50*$F50+AX51*$F51+AX52*$F52)</f>
        <v>0</v>
      </c>
      <c r="AY66" s="56" t="n">
        <f aca="false">-(AY47*$F47+AY50*$F50+AY51*$F51+AY52*$F52)</f>
        <v>0</v>
      </c>
      <c r="AZ66" s="56" t="n">
        <f aca="false">-(AZ47*$F47+AZ50*$F50+AZ51*$F51+AZ52*$F52)</f>
        <v>0</v>
      </c>
      <c r="BA66" s="56" t="n">
        <f aca="false">-(BA47*$F47+BA50*$F50+BA51*$F51+BA52*$F52)</f>
        <v>0</v>
      </c>
      <c r="BB66" s="56" t="n">
        <f aca="false">-(BB47*$F47+BB50*$F50+BB51*$F51+BB52*$F52)</f>
        <v>0</v>
      </c>
      <c r="BC66" s="56" t="n">
        <f aca="false">-(BC47*$F47+BC50*$F50+BC51*$F51+BC52*$F52)</f>
        <v>0</v>
      </c>
      <c r="BD66" s="56" t="n">
        <f aca="false">-(BD47*$F47+BD50*$F50+BD51*$F51+BD52*$F52)</f>
        <v>0</v>
      </c>
      <c r="BE66" s="56" t="n">
        <f aca="false">-(BE47*$F47+BE50*$F50+BE51*$F51+BE52*$F52)</f>
        <v>0</v>
      </c>
      <c r="BF66" s="56" t="n">
        <f aca="false">-(BF47*$F47+BF50*$F50+BF51*$F51+BF52*$F52)</f>
        <v>0</v>
      </c>
      <c r="BG66" s="56" t="n">
        <f aca="false">-(BG47*$F47+BG50*$F50+BG51*$F51+BG52*$F52)</f>
        <v>0</v>
      </c>
      <c r="BH66" s="56" t="n">
        <f aca="false">-(BH47*$F47+BH50*$F50+BH51*$F51+BH52*$F52)</f>
        <v>0</v>
      </c>
      <c r="BI66" s="56" t="n">
        <f aca="false">-(BI47*$F47+BI50*$F50+BI51*$F51+BI52*$F52)</f>
        <v>0</v>
      </c>
      <c r="BJ66" s="56" t="n">
        <f aca="false">-(BJ47*$F47+BJ50*$F50+BJ51*$F51+BJ52*$F52)</f>
        <v>0</v>
      </c>
      <c r="BK66" s="56" t="n">
        <f aca="false">-(BK47*$F47+BK50*$F50+BK51*$F51+BK52*$F52)</f>
        <v>0</v>
      </c>
      <c r="BL66" s="56" t="n">
        <f aca="false">-(BL47*$F47+BL50*$F50+BL51*$F51+BL52*$F52)</f>
        <v>0</v>
      </c>
      <c r="BM66" s="56" t="n">
        <f aca="false">-(BM47*$F47+BM50*$F50+BM51*$F51+BM52*$F52)</f>
        <v>0</v>
      </c>
      <c r="BN66" s="56" t="n">
        <f aca="false">-(BN47*$F47+BN50*$F50+BN51*$F51+BN52*$F52)</f>
        <v>0</v>
      </c>
      <c r="BO66" s="56" t="n">
        <f aca="false">-(BO47*$F47+BO50*$F50+BO51*$F51+BO52*$F52)</f>
        <v>0</v>
      </c>
      <c r="BP66" s="56" t="n">
        <f aca="false">-(BP47*$F47+BP50*$F50+BP51*$F51+BP52*$F52)</f>
        <v>0</v>
      </c>
      <c r="BQ66" s="56" t="n">
        <f aca="false">-(BQ47*$F47+BQ50*$F50+BQ51*$F51+BQ52*$F52)</f>
        <v>0</v>
      </c>
      <c r="BR66" s="56" t="n">
        <f aca="false">-(BR47*$F47+BR50*$F50+BR51*$F51+BR52*$F52)</f>
        <v>0</v>
      </c>
      <c r="BS66" s="56" t="n">
        <f aca="false">-(BS47*$F47+BS50*$F50+BS51*$F51+BS52*$F52)</f>
        <v>0</v>
      </c>
      <c r="BT66" s="56" t="n">
        <f aca="false">-(BT47*$F47+BT50*$F50+BT51*$F51+BT52*$F52)</f>
        <v>0</v>
      </c>
      <c r="BU66" s="56" t="n">
        <f aca="false">-(BU47*$F47+BU50*$F50+BU51*$F51+BU52*$F52)</f>
        <v>0</v>
      </c>
      <c r="BV66" s="56" t="n">
        <f aca="false">-(BV47*$F47+BV50*$F50+BV51*$F51+BV52*$F52)</f>
        <v>0</v>
      </c>
      <c r="BW66" s="56" t="n">
        <f aca="false">-(BW47*$F47+BW50*$F50+BW51*$F51+BW52*$F52)</f>
        <v>0</v>
      </c>
      <c r="BX66" s="56" t="n">
        <f aca="false">-(BX47*$F47+BX50*$F50+BX51*$F51+BX52*$F52)</f>
        <v>0</v>
      </c>
      <c r="BY66" s="56" t="n">
        <f aca="false">-(BY47*$F47+BY50*$F50+BY51*$F51+BY52*$F52)</f>
        <v>0</v>
      </c>
      <c r="BZ66" s="56" t="n">
        <f aca="false">-(BZ47*$F47+BZ50*$F50+BZ51*$F51+BZ52*$F52)</f>
        <v>0</v>
      </c>
      <c r="CA66" s="56" t="n">
        <f aca="false">-(CA47*$F47+CA50*$F50+CA51*$F51+CA52*$F52)</f>
        <v>0</v>
      </c>
      <c r="CB66" s="56" t="n">
        <f aca="false">-(CB47*$F47+CB50*$F50+CB51*$F51+CB52*$F52)</f>
        <v>0</v>
      </c>
      <c r="CC66" s="56" t="n">
        <f aca="false">-(CC47*$F47+CC50*$F50+CC51*$F51+CC52*$F52)</f>
        <v>0</v>
      </c>
      <c r="CD66" s="56" t="n">
        <f aca="false">-(CD47*$F47+CD50*$F50+CD51*$F51+CD52*$F52)</f>
        <v>0</v>
      </c>
      <c r="CE66" s="56" t="n">
        <f aca="false">-(CE47*$F47+CE50*$F50+CE51*$F51+CE52*$F52)</f>
        <v>0</v>
      </c>
      <c r="CF66" s="56" t="n">
        <f aca="false">-(CF47*$F47+CF50*$F50+CF51*$F51+CF52*$F52)</f>
        <v>0</v>
      </c>
      <c r="CG66" s="56" t="n">
        <f aca="false">-(CG47*$F47+CG50*$F50+CG51*$F51+CG52*$F52)</f>
        <v>0</v>
      </c>
      <c r="CH66" s="56" t="n">
        <f aca="false">-(CH47*$F47+CH50*$F50+CH51*$F51+CH52*$F52)</f>
        <v>0</v>
      </c>
      <c r="CI66" s="56" t="n">
        <f aca="false">-(CI47*$F47+CI50*$F50+CI51*$F51+CI52*$F52)</f>
        <v>0</v>
      </c>
      <c r="CJ66" s="56" t="n">
        <f aca="false">-(CJ47*$F47+CJ50*$F50+CJ51*$F51+CJ52*$F52)</f>
        <v>0</v>
      </c>
      <c r="CK66" s="56" t="n">
        <f aca="false">-(CK47*$F47+CK50*$F50+CK51*$F51+CK52*$F52)</f>
        <v>0</v>
      </c>
      <c r="CL66" s="56" t="n">
        <f aca="false">-(CL47*$F47+CL50*$F50+CL51*$F51+CL52*$F52)</f>
        <v>0</v>
      </c>
      <c r="CM66" s="56" t="n">
        <f aca="false">-(CM47*$F47+CM50*$F50+CM51*$F51+CM52*$F52)</f>
        <v>0</v>
      </c>
      <c r="CN66" s="56" t="n">
        <f aca="false">-(CN47*$F47+CN50*$F50+CN51*$F51+CN52*$F52)</f>
        <v>0</v>
      </c>
      <c r="CO66" s="56" t="n">
        <f aca="false">-(CO47*$F47+CO50*$F50+CO51*$F51+CO52*$F52)</f>
        <v>0</v>
      </c>
      <c r="CP66" s="56" t="n">
        <f aca="false">-(CP47*$F47+CP50*$F50+CP51*$F51+CP52*$F52)</f>
        <v>0</v>
      </c>
      <c r="CQ66" s="56" t="n">
        <f aca="false">-(CQ47*$F47+CQ50*$F50+CQ51*$F51+CQ52*$F52)</f>
        <v>0</v>
      </c>
      <c r="CR66" s="56" t="n">
        <f aca="false">-(CR47*$F47+CR50*$F50+CR51*$F51+CR52*$F52)</f>
        <v>0</v>
      </c>
      <c r="CS66" s="56" t="n">
        <f aca="false">-(CS47*$F47+CS50*$F50+CS51*$F51+CS52*$F52)</f>
        <v>0</v>
      </c>
      <c r="CT66" s="56" t="n">
        <f aca="false">-(CT47*$F47+CT50*$F50+CT51*$F51+CT52*$F52)</f>
        <v>0</v>
      </c>
      <c r="CU66" s="56" t="n">
        <f aca="false">-(CU47*$F47+CU50*$F50+CU51*$F51+CU52*$F52)</f>
        <v>0</v>
      </c>
      <c r="CV66" s="56" t="n">
        <f aca="false">-(CV47*$F47+CV50*$F50+CV51*$F51+CV52*$F52)</f>
        <v>0</v>
      </c>
      <c r="CW66" s="56" t="n">
        <f aca="false">-(CW47*$F47+CW50*$F50+CW51*$F51+CW52*$F52)</f>
        <v>0</v>
      </c>
      <c r="CX66" s="56" t="n">
        <f aca="false">-(CX47*$F47+CX50*$F50+CX51*$F51+CX52*$F52)</f>
        <v>0</v>
      </c>
      <c r="CY66" s="56" t="n">
        <f aca="false">-(CY47*$F47+CY50*$F50+CY51*$F51+CY52*$F52)</f>
        <v>0</v>
      </c>
      <c r="CZ66" s="56" t="n">
        <f aca="false">-(CZ47*$F47+CZ50*$F50+CZ51*$F51+CZ52*$F52)</f>
        <v>0</v>
      </c>
      <c r="DA66" s="56" t="n">
        <f aca="false">-(DA47*$F47+DA50*$F50+DA51*$F51+DA52*$F52)</f>
        <v>0</v>
      </c>
      <c r="DB66" s="56" t="n">
        <f aca="false">-(DB47*$F47+DB50*$F50+DB51*$F51+DB52*$F52)</f>
        <v>0</v>
      </c>
      <c r="DC66" s="56" t="n">
        <f aca="false">-(DC47*$F47+DC50*$F50+DC51*$F51+DC52*$F52)</f>
        <v>0</v>
      </c>
      <c r="DD66" s="56" t="n">
        <f aca="false">-(DD47*$F47+DD50*$F50+DD51*$F51+DD52*$F52)</f>
        <v>0</v>
      </c>
      <c r="DE66" s="56" t="n">
        <f aca="false">-(DE47*$F47+DE50*$F50+DE51*$F51+DE52*$F52)</f>
        <v>0</v>
      </c>
      <c r="DF66" s="56" t="n">
        <f aca="false">-(DF47*$F47+DF50*$F50+DF51*$F51+DF52*$F52)</f>
        <v>0</v>
      </c>
      <c r="DG66" s="56" t="n">
        <f aca="false">-(DG47*$F47+DG50*$F50+DG51*$F51+DG52*$F52)</f>
        <v>0</v>
      </c>
      <c r="DH66" s="56" t="n">
        <f aca="false">-(DH47*$F47+DH50*$F50+DH51*$F51+DH52*$F52)</f>
        <v>0</v>
      </c>
      <c r="DI66" s="56" t="n">
        <f aca="false">-(DI47*$F47+DI50*$F50+DI51*$F51+DI52*$F52)</f>
        <v>0</v>
      </c>
      <c r="DJ66" s="56" t="n">
        <f aca="false">-(DJ47*$F47+DJ50*$F50+DJ51*$F51+DJ52*$F52)</f>
        <v>0</v>
      </c>
      <c r="DK66" s="56" t="n">
        <f aca="false">-(DK47*$F47+DK50*$F50+DK51*$F51+DK52*$F52)</f>
        <v>0</v>
      </c>
      <c r="DL66" s="56" t="n">
        <f aca="false">-(DL47*$F47+DL50*$F50+DL51*$F51+DL52*$F52)</f>
        <v>0</v>
      </c>
      <c r="DM66" s="56" t="n">
        <f aca="false">-(DM47*$F47+DM50*$F50+DM51*$F51+DM52*$F52)</f>
        <v>0</v>
      </c>
      <c r="DN66" s="56" t="n">
        <f aca="false">-(DN47*$F47+DN50*$F50+DN51*$F51+DN52*$F52)</f>
        <v>0</v>
      </c>
      <c r="DO66" s="56" t="n">
        <f aca="false">-(DO47*$F47+DO50*$F50+DO51*$F51+DO52*$F52)</f>
        <v>0</v>
      </c>
      <c r="DP66" s="56" t="n">
        <f aca="false">-(DP47*$F47+DP50*$F50+DP51*$F51+DP52*$F52)</f>
        <v>0</v>
      </c>
      <c r="DQ66" s="56" t="n">
        <f aca="false">-(DQ47*$F47+DQ50*$F50+DQ51*$F51+DQ52*$F52)</f>
        <v>0</v>
      </c>
      <c r="DR66" s="56" t="n">
        <f aca="false">-(DR47*$F47+DR50*$F50+DR51*$F51+DR52*$F52)</f>
        <v>0</v>
      </c>
      <c r="DS66" s="56" t="n">
        <f aca="false">-(DS47*$F47+DS50*$F50+DS51*$F51+DS52*$F52)</f>
        <v>0</v>
      </c>
      <c r="DT66" s="56" t="n">
        <f aca="false">-(DT47*$F47+DT50*$F50+DT51*$F51+DT52*$F52)</f>
        <v>0</v>
      </c>
      <c r="DU66" s="56" t="n">
        <f aca="false">-(DU47*$F47+DU50*$F50+DU51*$F51+DU52*$F52)</f>
        <v>0</v>
      </c>
      <c r="DV66" s="56" t="n">
        <f aca="false">-(DV47*$F47+DV50*$F50+DV51*$F51+DV52*$F52)</f>
        <v>0</v>
      </c>
      <c r="DW66" s="56" t="n">
        <f aca="false">-(DW47*$F47+DW50*$F50+DW51*$F51+DW52*$F52)</f>
        <v>0</v>
      </c>
      <c r="DX66" s="56" t="n">
        <f aca="false">-(DX47*$F47+DX50*$F50+DX51*$F51+DX52*$F52)</f>
        <v>0</v>
      </c>
      <c r="DY66" s="56" t="n">
        <f aca="false">-(DY47*$F47+DY50*$F50+DY51*$F51+DY52*$F52)</f>
        <v>0</v>
      </c>
      <c r="DZ66" s="56" t="n">
        <f aca="false">-(DZ47*$F47+DZ50*$F50+DZ51*$F51+DZ52*$F52)</f>
        <v>0</v>
      </c>
      <c r="EA66" s="56" t="n">
        <f aca="false">-(EA47*$F47+EA50*$F50+EA51*$F51+EA52*$F52)</f>
        <v>0</v>
      </c>
      <c r="EB66" s="56" t="n">
        <f aca="false">-(EB47*$F47+EB50*$F50+EB51*$F51+EB52*$F52)</f>
        <v>0</v>
      </c>
      <c r="EC66" s="56" t="n">
        <f aca="false">-(EC47*$F47+EC50*$F50+EC51*$F51+EC52*$F52)</f>
        <v>0</v>
      </c>
      <c r="ED66" s="56" t="n">
        <f aca="false">-(ED47*$F47+ED50*$F50+ED51*$F51+ED52*$F52)</f>
        <v>0</v>
      </c>
      <c r="EE66" s="56" t="n">
        <f aca="false">-(EE47*$F47+EE50*$F50+EE51*$F51+EE52*$F52)</f>
        <v>0</v>
      </c>
      <c r="EF66" s="56" t="n">
        <f aca="false">-(EF47*$F47+EF50*$F50+EF51*$F51+EF52*$F52)</f>
        <v>0</v>
      </c>
      <c r="EG66" s="56" t="n">
        <f aca="false">-(EG47*$F47+EG50*$F50+EG51*$F51+EG52*$F52)</f>
        <v>0</v>
      </c>
      <c r="EH66" s="56" t="n">
        <f aca="false">-(EH47*$F47+EH50*$F50+EH51*$F51+EH52*$F52)</f>
        <v>0</v>
      </c>
      <c r="EI66" s="56" t="n">
        <f aca="false">-(EI47*$F47+EI50*$F50+EI51*$F51+EI52*$F52)</f>
        <v>0</v>
      </c>
      <c r="EJ66" s="56" t="n">
        <f aca="false">-(EJ47*$F47+EJ50*$F50+EJ51*$F51+EJ52*$F52)</f>
        <v>0</v>
      </c>
      <c r="EK66" s="56" t="n">
        <f aca="false">-(EK47*$F47+EK50*$F50+EK51*$F51+EK52*$F52)</f>
        <v>0</v>
      </c>
      <c r="EL66" s="56" t="n">
        <f aca="false">-(EL47*$F47+EL50*$F50+EL51*$F51+EL52*$F52)</f>
        <v>0</v>
      </c>
      <c r="EM66" s="56" t="n">
        <f aca="false">-(EM47*$F47+EM50*$F50+EM51*$F51+EM52*$F52)</f>
        <v>0</v>
      </c>
      <c r="EN66" s="56" t="n">
        <f aca="false">-(EN47*$F47+EN50*$F50+EN51*$F51+EN52*$F52)</f>
        <v>0</v>
      </c>
      <c r="EO66" s="56" t="n">
        <f aca="false">-(EO47*$F47+EO50*$F50+EO51*$F51+EO52*$F52)</f>
        <v>0</v>
      </c>
      <c r="EP66" s="56" t="n">
        <f aca="false">-(EP47*$F47+EP50*$F50+EP51*$F51+EP52*$F52)</f>
        <v>0</v>
      </c>
      <c r="EQ66" s="56" t="n">
        <f aca="false">-(EQ47*$F47+EQ50*$F50+EQ51*$F51+EQ52*$F52)</f>
        <v>0</v>
      </c>
      <c r="ER66" s="56" t="n">
        <f aca="false">-(ER47*$F47+ER50*$F50+ER51*$F51+ER52*$F52)</f>
        <v>0</v>
      </c>
      <c r="ES66" s="56" t="n">
        <f aca="false">-(ES47*$F47+ES50*$F50+ES51*$F51+ES52*$F52)</f>
        <v>0</v>
      </c>
      <c r="ET66" s="56" t="n">
        <f aca="false">-(ET47*$F47+ET50*$F50+ET51*$F51+ET52*$F52)</f>
        <v>0</v>
      </c>
    </row>
    <row r="67" customFormat="false" ht="15" hidden="false" customHeight="false" outlineLevel="0" collapsed="false">
      <c r="C67" s="0" t="s">
        <v>534</v>
      </c>
      <c r="D67" s="11" t="s">
        <v>253</v>
      </c>
      <c r="J67" s="22" t="n">
        <f aca="false">I70</f>
        <v>0</v>
      </c>
      <c r="K67" s="22" t="n">
        <f aca="false">J70</f>
        <v>0</v>
      </c>
      <c r="L67" s="22" t="n">
        <f aca="false">K70</f>
        <v>1242.07678738976</v>
      </c>
      <c r="M67" s="22" t="n">
        <f aca="false">L70</f>
        <v>1242.07678738976</v>
      </c>
      <c r="N67" s="22" t="n">
        <f aca="false">M70</f>
        <v>1242.07678738976</v>
      </c>
      <c r="O67" s="22" t="n">
        <f aca="false">N70</f>
        <v>1242.07678738976</v>
      </c>
      <c r="P67" s="22" t="n">
        <f aca="false">O70</f>
        <v>1391.12600187653</v>
      </c>
      <c r="Q67" s="22" t="n">
        <f aca="false">P70</f>
        <v>1391.12600187653</v>
      </c>
      <c r="R67" s="22" t="n">
        <f aca="false">Q70</f>
        <v>1391.12600187653</v>
      </c>
      <c r="S67" s="22" t="n">
        <f aca="false">R70</f>
        <v>1391.12600187653</v>
      </c>
      <c r="T67" s="22" t="n">
        <f aca="false">S70</f>
        <v>1558.51847859548</v>
      </c>
      <c r="U67" s="22" t="n">
        <f aca="false">T70</f>
        <v>21737.9058868147</v>
      </c>
      <c r="V67" s="22" t="n">
        <f aca="false">U70</f>
        <v>21737.9058868147</v>
      </c>
      <c r="W67" s="22" t="n">
        <f aca="false">V70</f>
        <v>21737.9058868147</v>
      </c>
      <c r="X67" s="22" t="n">
        <f aca="false">W70</f>
        <v>22985.0199428111</v>
      </c>
      <c r="Y67" s="22" t="n">
        <f aca="false">X70</f>
        <v>22985.0199428111</v>
      </c>
      <c r="Z67" s="22" t="n">
        <f aca="false">Y70</f>
        <v>22985.0199428111</v>
      </c>
      <c r="AA67" s="22" t="n">
        <f aca="false">Z70</f>
        <v>22985.0199428111</v>
      </c>
      <c r="AB67" s="22" t="n">
        <f aca="false">AA70</f>
        <v>25743.2223359484</v>
      </c>
      <c r="AC67" s="22" t="n">
        <f aca="false">AB70</f>
        <v>25743.2223359484</v>
      </c>
      <c r="AD67" s="22" t="n">
        <f aca="false">AC70</f>
        <v>25743.2223359484</v>
      </c>
      <c r="AE67" s="22" t="n">
        <f aca="false">AD70</f>
        <v>25743.2223359484</v>
      </c>
      <c r="AF67" s="22" t="n">
        <f aca="false">AE70</f>
        <v>28053.7647023201</v>
      </c>
      <c r="AG67" s="22" t="n">
        <f aca="false">AF70</f>
        <v>28053.7647023201</v>
      </c>
      <c r="AH67" s="22" t="n">
        <f aca="false">AG70</f>
        <v>28053.7647023201</v>
      </c>
      <c r="AI67" s="22" t="n">
        <f aca="false">AH70</f>
        <v>28053.7647023201</v>
      </c>
      <c r="AJ67" s="22" t="n">
        <f aca="false">AI70</f>
        <v>28053.7647023201</v>
      </c>
      <c r="AK67" s="22" t="n">
        <f aca="false">AJ70</f>
        <v>28053.7647023201</v>
      </c>
      <c r="AL67" s="22" t="n">
        <f aca="false">AK70</f>
        <v>28053.7647023201</v>
      </c>
      <c r="AM67" s="22" t="n">
        <f aca="false">AL70</f>
        <v>28053.7647023201</v>
      </c>
      <c r="AN67" s="22" t="n">
        <f aca="false">AM70</f>
        <v>28053.7647023201</v>
      </c>
      <c r="AO67" s="22" t="n">
        <f aca="false">AN70</f>
        <v>28053.7647023201</v>
      </c>
      <c r="AP67" s="22" t="n">
        <f aca="false">AO70</f>
        <v>28053.7647023201</v>
      </c>
      <c r="AQ67" s="22" t="n">
        <f aca="false">AP70</f>
        <v>28053.7647023201</v>
      </c>
      <c r="AR67" s="22" t="n">
        <f aca="false">AQ70</f>
        <v>28053.7647023201</v>
      </c>
      <c r="AS67" s="22" t="n">
        <f aca="false">AR70</f>
        <v>28053.7647023201</v>
      </c>
      <c r="AT67" s="22" t="n">
        <f aca="false">AS70</f>
        <v>28053.7647023201</v>
      </c>
      <c r="AU67" s="22" t="n">
        <f aca="false">AT70</f>
        <v>28053.7647023201</v>
      </c>
      <c r="AV67" s="22" t="n">
        <f aca="false">AU70</f>
        <v>28053.7647023201</v>
      </c>
      <c r="AW67" s="22" t="n">
        <f aca="false">AV70</f>
        <v>28053.7647023201</v>
      </c>
      <c r="AX67" s="22" t="n">
        <f aca="false">AW70</f>
        <v>28053.7647023201</v>
      </c>
      <c r="AY67" s="22" t="n">
        <f aca="false">AX70</f>
        <v>28053.7647023201</v>
      </c>
      <c r="AZ67" s="22" t="n">
        <f aca="false">AY70</f>
        <v>28053.7647023201</v>
      </c>
      <c r="BA67" s="22" t="n">
        <f aca="false">AZ70</f>
        <v>28053.7647023201</v>
      </c>
      <c r="BB67" s="22" t="n">
        <f aca="false">BA70</f>
        <v>28053.7647023201</v>
      </c>
      <c r="BC67" s="22" t="n">
        <f aca="false">BB70</f>
        <v>28053.7647023201</v>
      </c>
      <c r="BD67" s="22" t="n">
        <f aca="false">BC70</f>
        <v>28053.7647023201</v>
      </c>
      <c r="BE67" s="22" t="n">
        <f aca="false">BD70</f>
        <v>28053.7647023201</v>
      </c>
      <c r="BF67" s="22" t="n">
        <f aca="false">BE70</f>
        <v>28053.7647023201</v>
      </c>
      <c r="BG67" s="22" t="n">
        <f aca="false">BF70</f>
        <v>28053.7647023201</v>
      </c>
      <c r="BH67" s="22" t="n">
        <f aca="false">BG70</f>
        <v>28053.7647023201</v>
      </c>
      <c r="BI67" s="22" t="n">
        <f aca="false">BH70</f>
        <v>28053.7647023201</v>
      </c>
      <c r="BJ67" s="22" t="n">
        <f aca="false">BI70</f>
        <v>28053.7647023201</v>
      </c>
      <c r="BK67" s="22" t="n">
        <f aca="false">BJ70</f>
        <v>28053.7647023201</v>
      </c>
      <c r="BL67" s="22" t="n">
        <f aca="false">BK70</f>
        <v>28053.7647023201</v>
      </c>
      <c r="BM67" s="22" t="n">
        <f aca="false">BL70</f>
        <v>28053.7647023201</v>
      </c>
      <c r="BN67" s="22" t="n">
        <f aca="false">BM70</f>
        <v>28053.7647023201</v>
      </c>
      <c r="BO67" s="22" t="n">
        <f aca="false">BN70</f>
        <v>28053.7647023201</v>
      </c>
      <c r="BP67" s="22" t="n">
        <f aca="false">BO70</f>
        <v>28053.7647023201</v>
      </c>
      <c r="BQ67" s="22" t="n">
        <f aca="false">BP70</f>
        <v>28053.7647023201</v>
      </c>
      <c r="BR67" s="22" t="n">
        <f aca="false">BQ70</f>
        <v>28053.7647023201</v>
      </c>
      <c r="BS67" s="22" t="n">
        <f aca="false">BR70</f>
        <v>28053.7647023201</v>
      </c>
      <c r="BT67" s="22" t="n">
        <f aca="false">BS70</f>
        <v>28053.7647023201</v>
      </c>
      <c r="BU67" s="22" t="n">
        <f aca="false">BT70</f>
        <v>28053.7647023201</v>
      </c>
      <c r="BV67" s="22" t="n">
        <f aca="false">BU70</f>
        <v>28053.7647023201</v>
      </c>
      <c r="BW67" s="22" t="n">
        <f aca="false">BV70</f>
        <v>28053.7647023201</v>
      </c>
      <c r="BX67" s="22" t="n">
        <f aca="false">BW70</f>
        <v>28053.7647023201</v>
      </c>
      <c r="BY67" s="22" t="n">
        <f aca="false">BX70</f>
        <v>28053.7647023201</v>
      </c>
      <c r="BZ67" s="22" t="n">
        <f aca="false">BY70</f>
        <v>28053.7647023201</v>
      </c>
      <c r="CA67" s="22" t="n">
        <f aca="false">BZ70</f>
        <v>28053.7647023201</v>
      </c>
      <c r="CB67" s="22" t="n">
        <f aca="false">CA70</f>
        <v>28053.7647023201</v>
      </c>
      <c r="CC67" s="22" t="n">
        <f aca="false">CB70</f>
        <v>28053.7647023201</v>
      </c>
      <c r="CD67" s="22" t="n">
        <f aca="false">CC70</f>
        <v>28053.7647023201</v>
      </c>
      <c r="CE67" s="22" t="n">
        <f aca="false">CD70</f>
        <v>28053.7647023201</v>
      </c>
      <c r="CF67" s="22" t="n">
        <f aca="false">CE70</f>
        <v>28053.7647023201</v>
      </c>
      <c r="CG67" s="22" t="n">
        <f aca="false">CF70</f>
        <v>28053.7647023201</v>
      </c>
      <c r="CH67" s="22" t="n">
        <f aca="false">CG70</f>
        <v>28053.7647023201</v>
      </c>
      <c r="CI67" s="22" t="n">
        <f aca="false">CH70</f>
        <v>28053.7647023201</v>
      </c>
      <c r="CJ67" s="22" t="n">
        <f aca="false">CI70</f>
        <v>28053.7647023201</v>
      </c>
      <c r="CK67" s="22" t="n">
        <f aca="false">CJ70</f>
        <v>28053.7647023201</v>
      </c>
      <c r="CL67" s="22" t="n">
        <f aca="false">CK70</f>
        <v>28053.7647023201</v>
      </c>
      <c r="CM67" s="22" t="n">
        <f aca="false">CL70</f>
        <v>28053.7647023201</v>
      </c>
      <c r="CN67" s="22" t="n">
        <f aca="false">CM70</f>
        <v>28053.7647023201</v>
      </c>
      <c r="CO67" s="22" t="n">
        <f aca="false">CN70</f>
        <v>28053.7647023201</v>
      </c>
      <c r="CP67" s="22" t="n">
        <f aca="false">CO70</f>
        <v>28053.7647023201</v>
      </c>
      <c r="CQ67" s="22" t="n">
        <f aca="false">CP70</f>
        <v>28053.7647023201</v>
      </c>
      <c r="CR67" s="22" t="n">
        <f aca="false">CQ70</f>
        <v>28053.7647023201</v>
      </c>
      <c r="CS67" s="22" t="n">
        <f aca="false">CR70</f>
        <v>28053.7647023201</v>
      </c>
      <c r="CT67" s="22" t="n">
        <f aca="false">CS70</f>
        <v>28053.7647023201</v>
      </c>
      <c r="CU67" s="22" t="n">
        <f aca="false">CT70</f>
        <v>28053.7647023201</v>
      </c>
      <c r="CV67" s="22" t="n">
        <f aca="false">CU70</f>
        <v>28053.7647023201</v>
      </c>
      <c r="CW67" s="22" t="n">
        <f aca="false">CV70</f>
        <v>28053.7647023201</v>
      </c>
      <c r="CX67" s="22" t="n">
        <f aca="false">CW70</f>
        <v>28053.7647023201</v>
      </c>
      <c r="CY67" s="22" t="n">
        <f aca="false">CX70</f>
        <v>28053.7647023201</v>
      </c>
      <c r="CZ67" s="22" t="n">
        <f aca="false">CY70</f>
        <v>28053.7647023201</v>
      </c>
      <c r="DA67" s="22" t="n">
        <f aca="false">CZ70</f>
        <v>28053.7647023201</v>
      </c>
      <c r="DB67" s="22" t="n">
        <f aca="false">DA70</f>
        <v>28053.7647023201</v>
      </c>
      <c r="DC67" s="22" t="n">
        <f aca="false">DB70</f>
        <v>28053.7647023201</v>
      </c>
      <c r="DD67" s="22" t="n">
        <f aca="false">DC70</f>
        <v>28053.7647023201</v>
      </c>
      <c r="DE67" s="22" t="n">
        <f aca="false">DD70</f>
        <v>28053.7647023201</v>
      </c>
      <c r="DF67" s="22" t="n">
        <f aca="false">DE70</f>
        <v>28053.7647023201</v>
      </c>
      <c r="DG67" s="22" t="n">
        <f aca="false">DF70</f>
        <v>28053.7647023201</v>
      </c>
      <c r="DH67" s="22" t="n">
        <f aca="false">DG70</f>
        <v>28053.7647023201</v>
      </c>
      <c r="DI67" s="22" t="n">
        <f aca="false">DH70</f>
        <v>28053.7647023201</v>
      </c>
      <c r="DJ67" s="22" t="n">
        <f aca="false">DI70</f>
        <v>28053.7647023201</v>
      </c>
      <c r="DK67" s="22" t="n">
        <f aca="false">DJ70</f>
        <v>28053.7647023201</v>
      </c>
      <c r="DL67" s="22" t="n">
        <f aca="false">DK70</f>
        <v>28053.7647023201</v>
      </c>
      <c r="DM67" s="22" t="n">
        <f aca="false">DL70</f>
        <v>28053.7647023201</v>
      </c>
      <c r="DN67" s="22" t="n">
        <f aca="false">DM70</f>
        <v>28053.7647023201</v>
      </c>
      <c r="DO67" s="22" t="n">
        <f aca="false">DN70</f>
        <v>28053.7647023201</v>
      </c>
      <c r="DP67" s="22" t="n">
        <f aca="false">DO70</f>
        <v>28053.7647023201</v>
      </c>
      <c r="DQ67" s="22" t="n">
        <f aca="false">DP70</f>
        <v>28053.7647023201</v>
      </c>
      <c r="DR67" s="22" t="n">
        <f aca="false">DQ70</f>
        <v>28053.7647023201</v>
      </c>
      <c r="DS67" s="22" t="n">
        <f aca="false">DR70</f>
        <v>28053.7647023201</v>
      </c>
      <c r="DT67" s="22" t="n">
        <f aca="false">DS70</f>
        <v>28053.7647023201</v>
      </c>
      <c r="DU67" s="22" t="n">
        <f aca="false">DT70</f>
        <v>28053.7647023201</v>
      </c>
      <c r="DV67" s="22" t="n">
        <f aca="false">DU70</f>
        <v>28053.7647023201</v>
      </c>
      <c r="DW67" s="22" t="n">
        <f aca="false">DV70</f>
        <v>28053.7647023201</v>
      </c>
      <c r="DX67" s="22" t="n">
        <f aca="false">DW70</f>
        <v>28053.7647023201</v>
      </c>
      <c r="DY67" s="22" t="n">
        <f aca="false">DX70</f>
        <v>28053.7647023201</v>
      </c>
      <c r="DZ67" s="22" t="n">
        <f aca="false">DY70</f>
        <v>28053.7647023201</v>
      </c>
      <c r="EA67" s="22" t="n">
        <f aca="false">DZ70</f>
        <v>28053.7647023201</v>
      </c>
      <c r="EB67" s="22" t="n">
        <f aca="false">EA70</f>
        <v>28053.7647023201</v>
      </c>
      <c r="EC67" s="22" t="n">
        <f aca="false">EB70</f>
        <v>28053.7647023201</v>
      </c>
      <c r="ED67" s="22" t="n">
        <f aca="false">EC70</f>
        <v>28053.7647023201</v>
      </c>
      <c r="EE67" s="22" t="n">
        <f aca="false">ED70</f>
        <v>28053.7647023201</v>
      </c>
      <c r="EF67" s="22" t="n">
        <f aca="false">EE70</f>
        <v>28053.7647023201</v>
      </c>
      <c r="EG67" s="22" t="n">
        <f aca="false">EF70</f>
        <v>28053.7647023201</v>
      </c>
      <c r="EH67" s="22" t="n">
        <f aca="false">EG70</f>
        <v>28053.7647023201</v>
      </c>
      <c r="EI67" s="22" t="n">
        <f aca="false">EH70</f>
        <v>28053.7647023201</v>
      </c>
      <c r="EJ67" s="22" t="n">
        <f aca="false">EI70</f>
        <v>28053.7647023201</v>
      </c>
      <c r="EK67" s="22" t="n">
        <f aca="false">EJ70</f>
        <v>28053.7647023201</v>
      </c>
      <c r="EL67" s="22" t="n">
        <f aca="false">EK70</f>
        <v>28053.7647023201</v>
      </c>
      <c r="EM67" s="22" t="n">
        <f aca="false">EL70</f>
        <v>28053.7647023201</v>
      </c>
      <c r="EN67" s="22" t="n">
        <f aca="false">EM70</f>
        <v>28053.7647023201</v>
      </c>
      <c r="EO67" s="22" t="n">
        <f aca="false">EN70</f>
        <v>28053.7647023201</v>
      </c>
      <c r="EP67" s="22" t="n">
        <f aca="false">EO70</f>
        <v>28053.7647023201</v>
      </c>
      <c r="EQ67" s="22" t="n">
        <f aca="false">EP70</f>
        <v>28053.7647023201</v>
      </c>
      <c r="ER67" s="22" t="n">
        <f aca="false">EQ70</f>
        <v>28053.7647023201</v>
      </c>
      <c r="ES67" s="22" t="n">
        <f aca="false">ER70</f>
        <v>28053.7647023201</v>
      </c>
      <c r="ET67" s="22" t="n">
        <f aca="false">ES70</f>
        <v>28053.7647023201</v>
      </c>
    </row>
    <row r="68" customFormat="false" ht="15" hidden="false" customHeight="false" outlineLevel="0" collapsed="false">
      <c r="C68" s="0" t="s">
        <v>535</v>
      </c>
      <c r="D68" s="11" t="s">
        <v>253</v>
      </c>
      <c r="E68" s="33" t="n">
        <f aca="false">SUMIF($J$4:$ET$4,"&lt;="&amp;$E12,$J68:$ET68)</f>
        <v>1564.53664418093</v>
      </c>
      <c r="F68" s="33" t="n">
        <f aca="false">SUMIF($J$4:$ET$4,"&lt;="&amp;In_COD,$J68:$ET68)</f>
        <v>6633.28140368995</v>
      </c>
      <c r="I68" s="33" t="n">
        <f aca="false">SUM(J68:ET68)</f>
        <v>6633.28140368995</v>
      </c>
      <c r="J68" s="33" t="n">
        <f aca="false">In_Cash_Rate/Days_In_Year*(1-J19)*(J67*J$5+(J$4+1)*J65-J66)*(J$4&lt;=In_COD)</f>
        <v>0</v>
      </c>
      <c r="K68" s="33" t="n">
        <f aca="false">In_Cash_Rate/Days_In_Year*(1-K19)*(K67*K$5+(K$4+1)*K65-K66)*(K$4&lt;=In_COD)</f>
        <v>0.980896978796345</v>
      </c>
      <c r="L68" s="33" t="n">
        <f aca="false">In_Cash_Rate/Days_In_Year*(1-L19)*(L67*L$5+(L$4+1)*L65-L66)*(L$4&lt;=In_COD)</f>
        <v>36.751861106327</v>
      </c>
      <c r="M68" s="33" t="n">
        <f aca="false">In_Cash_Rate/Days_In_Year*(1-M19)*(M67*M$5+(M$4+1)*M65-M66)*(M$4&lt;=In_COD)</f>
        <v>37.1602151186195</v>
      </c>
      <c r="N68" s="33" t="n">
        <f aca="false">In_Cash_Rate/Days_In_Year*(1-N19)*(N67*N$5+(N$4+1)*N65-N66)*(N$4&lt;=In_COD)</f>
        <v>37.5685691309121</v>
      </c>
      <c r="O68" s="33" t="n">
        <f aca="false">In_Cash_Rate/Days_In_Year*(1-O19)*(O67*O$5+(O$4+1)*O65-O66)*(O$4&lt;=In_COD)</f>
        <v>37.5685691309121</v>
      </c>
      <c r="P68" s="33" t="n">
        <f aca="false">In_Cash_Rate/Days_In_Year*(1-P19)*(P67*P$5+(P$4+1)*P65-P66)*(P$4&lt;=In_COD)</f>
        <v>41.6194409328539</v>
      </c>
      <c r="Q68" s="33" t="n">
        <f aca="false">In_Cash_Rate/Days_In_Year*(1-Q19)*(Q67*Q$5+(Q$4+1)*Q65-Q66)*(Q$4&lt;=In_COD)</f>
        <v>41.6194409328539</v>
      </c>
      <c r="R68" s="33" t="n">
        <f aca="false">In_Cash_Rate/Days_In_Year*(1-R19)*(R67*R$5+(R$4+1)*R65-R66)*(R$4&lt;=In_COD)</f>
        <v>42.0767974266215</v>
      </c>
      <c r="S68" s="33" t="n">
        <f aca="false">In_Cash_Rate/Days_In_Year*(1-S19)*(S67*S$5+(S$4+1)*S65-S66)*(S$4&lt;=In_COD)</f>
        <v>42.0767974266215</v>
      </c>
      <c r="T68" s="33" t="n">
        <f aca="false">In_Cash_Rate/Days_In_Year*(1-T19)*(T67*T$5+(T$4+1)*T65-T66)*(T$4&lt;=In_COD)</f>
        <v>596.763556588147</v>
      </c>
      <c r="U68" s="33" t="n">
        <f aca="false">In_Cash_Rate/Days_In_Year*(1-U19)*(U67*U$5+(U$4+1)*U65-U66)*(U$4&lt;=In_COD)</f>
        <v>650.350499408263</v>
      </c>
      <c r="V68" s="33" t="n">
        <f aca="false">In_Cash_Rate/Days_In_Year*(1-V19)*(V67*V$5+(V$4+1)*V65-V66)*(V$4&lt;=In_COD)</f>
        <v>0</v>
      </c>
      <c r="W68" s="33" t="n">
        <f aca="false">In_Cash_Rate/Days_In_Year*(1-W19)*(W67*W$5+(W$4+1)*W65-W66)*(W$4&lt;=In_COD)</f>
        <v>0</v>
      </c>
      <c r="X68" s="33" t="n">
        <f aca="false">In_Cash_Rate/Days_In_Year*(1-X19)*(X67*X$5+(X$4+1)*X65-X66)*(X$4&lt;=In_COD)</f>
        <v>680.104699677698</v>
      </c>
      <c r="Y68" s="33" t="n">
        <f aca="false">In_Cash_Rate/Days_In_Year*(1-Y19)*(Y67*Y$5+(Y$4+1)*Y65-Y66)*(Y$4&lt;=In_COD)</f>
        <v>687.661418563005</v>
      </c>
      <c r="Z68" s="33" t="n">
        <f aca="false">In_Cash_Rate/Days_In_Year*(1-Z19)*(Z67*Z$5+(Z$4+1)*Z65-Z66)*(Z$4&lt;=In_COD)</f>
        <v>695.218137448313</v>
      </c>
      <c r="AA68" s="33" t="n">
        <f aca="false">In_Cash_Rate/Days_In_Year*(1-AA19)*(AA67*AA$5+(AA$4+1)*AA65-AA66)*(AA$4&lt;=In_COD)</f>
        <v>695.218137448313</v>
      </c>
      <c r="AB68" s="33" t="n">
        <f aca="false">In_Cash_Rate/Days_In_Year*(1-AB19)*(AB67*AB$5+(AB$4+1)*AB65-AB66)*(AB$4&lt;=In_COD)</f>
        <v>761.717263639021</v>
      </c>
      <c r="AC68" s="33" t="n">
        <f aca="false">In_Cash_Rate/Days_In_Year*(1-AC19)*(AC67*AC$5+(AC$4+1)*AC65-AC66)*(AC$4&lt;=In_COD)</f>
        <v>770.180788790566</v>
      </c>
      <c r="AD68" s="33" t="n">
        <f aca="false">In_Cash_Rate/Days_In_Year*(1-AD19)*(AD67*AD$5+(AD$4+1)*AD65-AD66)*(AD$4&lt;=In_COD)</f>
        <v>778.64431394211</v>
      </c>
      <c r="AE68" s="33" t="n">
        <f aca="false">In_Cash_Rate/Days_In_Year*(1-AE19)*(AE67*AE$5+(AE$4+1)*AE65-AE66)*(AE$4&lt;=In_COD)</f>
        <v>0</v>
      </c>
      <c r="AF68" s="33" t="n">
        <f aca="false">In_Cash_Rate/Days_In_Year*(1-AF19)*(AF67*AF$5+(AF$4+1)*AF65-AF66)*(AF$4&lt;=In_COD)</f>
        <v>0</v>
      </c>
      <c r="AG68" s="33" t="n">
        <f aca="false">In_Cash_Rate/Days_In_Year*(1-AG19)*(AG67*AG$5+(AG$4+1)*AG65-AG66)*(AG$4&lt;=In_COD)</f>
        <v>0</v>
      </c>
      <c r="AH68" s="33" t="n">
        <f aca="false">In_Cash_Rate/Days_In_Year*(1-AH19)*(AH67*AH$5+(AH$4+1)*AH65-AH66)*(AH$4&lt;=In_COD)</f>
        <v>0</v>
      </c>
      <c r="AI68" s="33" t="n">
        <f aca="false">In_Cash_Rate/Days_In_Year*(1-AI19)*(AI67*AI$5+(AI$4+1)*AI65-AI66)*(AI$4&lt;=In_COD)</f>
        <v>0</v>
      </c>
      <c r="AJ68" s="33" t="n">
        <f aca="false">In_Cash_Rate/Days_In_Year*(1-AJ19)*(AJ67*AJ$5+(AJ$4+1)*AJ65-AJ66)*(AJ$4&lt;=In_COD)</f>
        <v>0</v>
      </c>
      <c r="AK68" s="33" t="n">
        <f aca="false">In_Cash_Rate/Days_In_Year*(1-AK19)*(AK67*AK$5+(AK$4+1)*AK65-AK66)*(AK$4&lt;=In_COD)</f>
        <v>0</v>
      </c>
      <c r="AL68" s="33" t="n">
        <f aca="false">In_Cash_Rate/Days_In_Year*(1-AL19)*(AL67*AL$5+(AL$4+1)*AL65-AL66)*(AL$4&lt;=In_COD)</f>
        <v>0</v>
      </c>
      <c r="AM68" s="33" t="n">
        <f aca="false">In_Cash_Rate/Days_In_Year*(1-AM19)*(AM67*AM$5+(AM$4+1)*AM65-AM66)*(AM$4&lt;=In_COD)</f>
        <v>0</v>
      </c>
      <c r="AN68" s="33" t="n">
        <f aca="false">In_Cash_Rate/Days_In_Year*(1-AN19)*(AN67*AN$5+(AN$4+1)*AN65-AN66)*(AN$4&lt;=In_COD)</f>
        <v>0</v>
      </c>
      <c r="AO68" s="33" t="n">
        <f aca="false">In_Cash_Rate/Days_In_Year*(1-AO19)*(AO67*AO$5+(AO$4+1)*AO65-AO66)*(AO$4&lt;=In_COD)</f>
        <v>0</v>
      </c>
      <c r="AP68" s="33" t="n">
        <f aca="false">In_Cash_Rate/Days_In_Year*(1-AP19)*(AP67*AP$5+(AP$4+1)*AP65-AP66)*(AP$4&lt;=In_COD)</f>
        <v>0</v>
      </c>
      <c r="AQ68" s="33" t="n">
        <f aca="false">In_Cash_Rate/Days_In_Year*(1-AQ19)*(AQ67*AQ$5+(AQ$4+1)*AQ65-AQ66)*(AQ$4&lt;=In_COD)</f>
        <v>0</v>
      </c>
      <c r="AR68" s="33" t="n">
        <f aca="false">In_Cash_Rate/Days_In_Year*(1-AR19)*(AR67*AR$5+(AR$4+1)*AR65-AR66)*(AR$4&lt;=In_COD)</f>
        <v>0</v>
      </c>
      <c r="AS68" s="33" t="n">
        <f aca="false">In_Cash_Rate/Days_In_Year*(1-AS19)*(AS67*AS$5+(AS$4+1)*AS65-AS66)*(AS$4&lt;=In_COD)</f>
        <v>0</v>
      </c>
      <c r="AT68" s="33" t="n">
        <f aca="false">In_Cash_Rate/Days_In_Year*(1-AT19)*(AT67*AT$5+(AT$4+1)*AT65-AT66)*(AT$4&lt;=In_COD)</f>
        <v>0</v>
      </c>
      <c r="AU68" s="33" t="n">
        <f aca="false">In_Cash_Rate/Days_In_Year*(1-AU19)*(AU67*AU$5+(AU$4+1)*AU65-AU66)*(AU$4&lt;=In_COD)</f>
        <v>0</v>
      </c>
      <c r="AV68" s="33" t="n">
        <f aca="false">In_Cash_Rate/Days_In_Year*(1-AV19)*(AV67*AV$5+(AV$4+1)*AV65-AV66)*(AV$4&lt;=In_COD)</f>
        <v>0</v>
      </c>
      <c r="AW68" s="33" t="n">
        <f aca="false">In_Cash_Rate/Days_In_Year*(1-AW19)*(AW67*AW$5+(AW$4+1)*AW65-AW66)*(AW$4&lt;=In_COD)</f>
        <v>0</v>
      </c>
      <c r="AX68" s="33" t="n">
        <f aca="false">In_Cash_Rate/Days_In_Year*(1-AX19)*(AX67*AX$5+(AX$4+1)*AX65-AX66)*(AX$4&lt;=In_COD)</f>
        <v>0</v>
      </c>
      <c r="AY68" s="33" t="n">
        <f aca="false">In_Cash_Rate/Days_In_Year*(1-AY19)*(AY67*AY$5+(AY$4+1)*AY65-AY66)*(AY$4&lt;=In_COD)</f>
        <v>0</v>
      </c>
      <c r="AZ68" s="33" t="n">
        <f aca="false">In_Cash_Rate/Days_In_Year*(1-AZ19)*(AZ67*AZ$5+(AZ$4+1)*AZ65-AZ66)*(AZ$4&lt;=In_COD)</f>
        <v>0</v>
      </c>
      <c r="BA68" s="33" t="n">
        <f aca="false">In_Cash_Rate/Days_In_Year*(1-BA19)*(BA67*BA$5+(BA$4+1)*BA65-BA66)*(BA$4&lt;=In_COD)</f>
        <v>0</v>
      </c>
      <c r="BB68" s="33" t="n">
        <f aca="false">In_Cash_Rate/Days_In_Year*(1-BB19)*(BB67*BB$5+(BB$4+1)*BB65-BB66)*(BB$4&lt;=In_COD)</f>
        <v>0</v>
      </c>
      <c r="BC68" s="33" t="n">
        <f aca="false">In_Cash_Rate/Days_In_Year*(1-BC19)*(BC67*BC$5+(BC$4+1)*BC65-BC66)*(BC$4&lt;=In_COD)</f>
        <v>0</v>
      </c>
      <c r="BD68" s="33" t="n">
        <f aca="false">In_Cash_Rate/Days_In_Year*(1-BD19)*(BD67*BD$5+(BD$4+1)*BD65-BD66)*(BD$4&lt;=In_COD)</f>
        <v>0</v>
      </c>
      <c r="BE68" s="33" t="n">
        <f aca="false">In_Cash_Rate/Days_In_Year*(1-BE19)*(BE67*BE$5+(BE$4+1)*BE65-BE66)*(BE$4&lt;=In_COD)</f>
        <v>0</v>
      </c>
      <c r="BF68" s="33" t="n">
        <f aca="false">In_Cash_Rate/Days_In_Year*(1-BF19)*(BF67*BF$5+(BF$4+1)*BF65-BF66)*(BF$4&lt;=In_COD)</f>
        <v>0</v>
      </c>
      <c r="BG68" s="33" t="n">
        <f aca="false">In_Cash_Rate/Days_In_Year*(1-BG19)*(BG67*BG$5+(BG$4+1)*BG65-BG66)*(BG$4&lt;=In_COD)</f>
        <v>0</v>
      </c>
      <c r="BH68" s="33" t="n">
        <f aca="false">In_Cash_Rate/Days_In_Year*(1-BH19)*(BH67*BH$5+(BH$4+1)*BH65-BH66)*(BH$4&lt;=In_COD)</f>
        <v>0</v>
      </c>
      <c r="BI68" s="33" t="n">
        <f aca="false">In_Cash_Rate/Days_In_Year*(1-BI19)*(BI67*BI$5+(BI$4+1)*BI65-BI66)*(BI$4&lt;=In_COD)</f>
        <v>0</v>
      </c>
      <c r="BJ68" s="33" t="n">
        <f aca="false">In_Cash_Rate/Days_In_Year*(1-BJ19)*(BJ67*BJ$5+(BJ$4+1)*BJ65-BJ66)*(BJ$4&lt;=In_COD)</f>
        <v>0</v>
      </c>
      <c r="BK68" s="33" t="n">
        <f aca="false">In_Cash_Rate/Days_In_Year*(1-BK19)*(BK67*BK$5+(BK$4+1)*BK65-BK66)*(BK$4&lt;=In_COD)</f>
        <v>0</v>
      </c>
      <c r="BL68" s="33" t="n">
        <f aca="false">In_Cash_Rate/Days_In_Year*(1-BL19)*(BL67*BL$5+(BL$4+1)*BL65-BL66)*(BL$4&lt;=In_COD)</f>
        <v>0</v>
      </c>
      <c r="BM68" s="33" t="n">
        <f aca="false">In_Cash_Rate/Days_In_Year*(1-BM19)*(BM67*BM$5+(BM$4+1)*BM65-BM66)*(BM$4&lt;=In_COD)</f>
        <v>0</v>
      </c>
      <c r="BN68" s="33" t="n">
        <f aca="false">In_Cash_Rate/Days_In_Year*(1-BN19)*(BN67*BN$5+(BN$4+1)*BN65-BN66)*(BN$4&lt;=In_COD)</f>
        <v>0</v>
      </c>
      <c r="BO68" s="33" t="n">
        <f aca="false">In_Cash_Rate/Days_In_Year*(1-BO19)*(BO67*BO$5+(BO$4+1)*BO65-BO66)*(BO$4&lt;=In_COD)</f>
        <v>0</v>
      </c>
      <c r="BP68" s="33" t="n">
        <f aca="false">In_Cash_Rate/Days_In_Year*(1-BP19)*(BP67*BP$5+(BP$4+1)*BP65-BP66)*(BP$4&lt;=In_COD)</f>
        <v>0</v>
      </c>
      <c r="BQ68" s="33" t="n">
        <f aca="false">In_Cash_Rate/Days_In_Year*(1-BQ19)*(BQ67*BQ$5+(BQ$4+1)*BQ65-BQ66)*(BQ$4&lt;=In_COD)</f>
        <v>0</v>
      </c>
      <c r="BR68" s="33" t="n">
        <f aca="false">In_Cash_Rate/Days_In_Year*(1-BR19)*(BR67*BR$5+(BR$4+1)*BR65-BR66)*(BR$4&lt;=In_COD)</f>
        <v>0</v>
      </c>
      <c r="BS68" s="33" t="n">
        <f aca="false">In_Cash_Rate/Days_In_Year*(1-BS19)*(BS67*BS$5+(BS$4+1)*BS65-BS66)*(BS$4&lt;=In_COD)</f>
        <v>0</v>
      </c>
      <c r="BT68" s="33" t="n">
        <f aca="false">In_Cash_Rate/Days_In_Year*(1-BT19)*(BT67*BT$5+(BT$4+1)*BT65-BT66)*(BT$4&lt;=In_COD)</f>
        <v>0</v>
      </c>
      <c r="BU68" s="33" t="n">
        <f aca="false">In_Cash_Rate/Days_In_Year*(1-BU19)*(BU67*BU$5+(BU$4+1)*BU65-BU66)*(BU$4&lt;=In_COD)</f>
        <v>0</v>
      </c>
      <c r="BV68" s="33" t="n">
        <f aca="false">In_Cash_Rate/Days_In_Year*(1-BV19)*(BV67*BV$5+(BV$4+1)*BV65-BV66)*(BV$4&lt;=In_COD)</f>
        <v>0</v>
      </c>
      <c r="BW68" s="33" t="n">
        <f aca="false">In_Cash_Rate/Days_In_Year*(1-BW19)*(BW67*BW$5+(BW$4+1)*BW65-BW66)*(BW$4&lt;=In_COD)</f>
        <v>0</v>
      </c>
      <c r="BX68" s="33" t="n">
        <f aca="false">In_Cash_Rate/Days_In_Year*(1-BX19)*(BX67*BX$5+(BX$4+1)*BX65-BX66)*(BX$4&lt;=In_COD)</f>
        <v>0</v>
      </c>
      <c r="BY68" s="33" t="n">
        <f aca="false">In_Cash_Rate/Days_In_Year*(1-BY19)*(BY67*BY$5+(BY$4+1)*BY65-BY66)*(BY$4&lt;=In_COD)</f>
        <v>0</v>
      </c>
      <c r="BZ68" s="33" t="n">
        <f aca="false">In_Cash_Rate/Days_In_Year*(1-BZ19)*(BZ67*BZ$5+(BZ$4+1)*BZ65-BZ66)*(BZ$4&lt;=In_COD)</f>
        <v>0</v>
      </c>
      <c r="CA68" s="33" t="n">
        <f aca="false">In_Cash_Rate/Days_In_Year*(1-CA19)*(CA67*CA$5+(CA$4+1)*CA65-CA66)*(CA$4&lt;=In_COD)</f>
        <v>0</v>
      </c>
      <c r="CB68" s="33" t="n">
        <f aca="false">In_Cash_Rate/Days_In_Year*(1-CB19)*(CB67*CB$5+(CB$4+1)*CB65-CB66)*(CB$4&lt;=In_COD)</f>
        <v>0</v>
      </c>
      <c r="CC68" s="33" t="n">
        <f aca="false">In_Cash_Rate/Days_In_Year*(1-CC19)*(CC67*CC$5+(CC$4+1)*CC65-CC66)*(CC$4&lt;=In_COD)</f>
        <v>0</v>
      </c>
      <c r="CD68" s="33" t="n">
        <f aca="false">In_Cash_Rate/Days_In_Year*(1-CD19)*(CD67*CD$5+(CD$4+1)*CD65-CD66)*(CD$4&lt;=In_COD)</f>
        <v>0</v>
      </c>
      <c r="CE68" s="33" t="n">
        <f aca="false">In_Cash_Rate/Days_In_Year*(1-CE19)*(CE67*CE$5+(CE$4+1)*CE65-CE66)*(CE$4&lt;=In_COD)</f>
        <v>0</v>
      </c>
      <c r="CF68" s="33" t="n">
        <f aca="false">In_Cash_Rate/Days_In_Year*(1-CF19)*(CF67*CF$5+(CF$4+1)*CF65-CF66)*(CF$4&lt;=In_COD)</f>
        <v>0</v>
      </c>
      <c r="CG68" s="33" t="n">
        <f aca="false">In_Cash_Rate/Days_In_Year*(1-CG19)*(CG67*CG$5+(CG$4+1)*CG65-CG66)*(CG$4&lt;=In_COD)</f>
        <v>0</v>
      </c>
      <c r="CH68" s="33" t="n">
        <f aca="false">In_Cash_Rate/Days_In_Year*(1-CH19)*(CH67*CH$5+(CH$4+1)*CH65-CH66)*(CH$4&lt;=In_COD)</f>
        <v>0</v>
      </c>
      <c r="CI68" s="33" t="n">
        <f aca="false">In_Cash_Rate/Days_In_Year*(1-CI19)*(CI67*CI$5+(CI$4+1)*CI65-CI66)*(CI$4&lt;=In_COD)</f>
        <v>0</v>
      </c>
      <c r="CJ68" s="33" t="n">
        <f aca="false">In_Cash_Rate/Days_In_Year*(1-CJ19)*(CJ67*CJ$5+(CJ$4+1)*CJ65-CJ66)*(CJ$4&lt;=In_COD)</f>
        <v>0</v>
      </c>
      <c r="CK68" s="33" t="n">
        <f aca="false">In_Cash_Rate/Days_In_Year*(1-CK19)*(CK67*CK$5+(CK$4+1)*CK65-CK66)*(CK$4&lt;=In_COD)</f>
        <v>0</v>
      </c>
      <c r="CL68" s="33" t="n">
        <f aca="false">In_Cash_Rate/Days_In_Year*(1-CL19)*(CL67*CL$5+(CL$4+1)*CL65-CL66)*(CL$4&lt;=In_COD)</f>
        <v>0</v>
      </c>
      <c r="CM68" s="33" t="n">
        <f aca="false">In_Cash_Rate/Days_In_Year*(1-CM19)*(CM67*CM$5+(CM$4+1)*CM65-CM66)*(CM$4&lt;=In_COD)</f>
        <v>0</v>
      </c>
      <c r="CN68" s="33" t="n">
        <f aca="false">In_Cash_Rate/Days_In_Year*(1-CN19)*(CN67*CN$5+(CN$4+1)*CN65-CN66)*(CN$4&lt;=In_COD)</f>
        <v>0</v>
      </c>
      <c r="CO68" s="33" t="n">
        <f aca="false">In_Cash_Rate/Days_In_Year*(1-CO19)*(CO67*CO$5+(CO$4+1)*CO65-CO66)*(CO$4&lt;=In_COD)</f>
        <v>0</v>
      </c>
      <c r="CP68" s="33" t="n">
        <f aca="false">In_Cash_Rate/Days_In_Year*(1-CP19)*(CP67*CP$5+(CP$4+1)*CP65-CP66)*(CP$4&lt;=In_COD)</f>
        <v>0</v>
      </c>
      <c r="CQ68" s="33" t="n">
        <f aca="false">In_Cash_Rate/Days_In_Year*(1-CQ19)*(CQ67*CQ$5+(CQ$4+1)*CQ65-CQ66)*(CQ$4&lt;=In_COD)</f>
        <v>0</v>
      </c>
      <c r="CR68" s="33" t="n">
        <f aca="false">In_Cash_Rate/Days_In_Year*(1-CR19)*(CR67*CR$5+(CR$4+1)*CR65-CR66)*(CR$4&lt;=In_COD)</f>
        <v>0</v>
      </c>
      <c r="CS68" s="33" t="n">
        <f aca="false">In_Cash_Rate/Days_In_Year*(1-CS19)*(CS67*CS$5+(CS$4+1)*CS65-CS66)*(CS$4&lt;=In_COD)</f>
        <v>0</v>
      </c>
      <c r="CT68" s="33" t="n">
        <f aca="false">In_Cash_Rate/Days_In_Year*(1-CT19)*(CT67*CT$5+(CT$4+1)*CT65-CT66)*(CT$4&lt;=In_COD)</f>
        <v>0</v>
      </c>
      <c r="CU68" s="33" t="n">
        <f aca="false">In_Cash_Rate/Days_In_Year*(1-CU19)*(CU67*CU$5+(CU$4+1)*CU65-CU66)*(CU$4&lt;=In_COD)</f>
        <v>0</v>
      </c>
      <c r="CV68" s="33" t="n">
        <f aca="false">In_Cash_Rate/Days_In_Year*(1-CV19)*(CV67*CV$5+(CV$4+1)*CV65-CV66)*(CV$4&lt;=In_COD)</f>
        <v>0</v>
      </c>
      <c r="CW68" s="33" t="n">
        <f aca="false">In_Cash_Rate/Days_In_Year*(1-CW19)*(CW67*CW$5+(CW$4+1)*CW65-CW66)*(CW$4&lt;=In_COD)</f>
        <v>0</v>
      </c>
      <c r="CX68" s="33" t="n">
        <f aca="false">In_Cash_Rate/Days_In_Year*(1-CX19)*(CX67*CX$5+(CX$4+1)*CX65-CX66)*(CX$4&lt;=In_COD)</f>
        <v>0</v>
      </c>
      <c r="CY68" s="33" t="n">
        <f aca="false">In_Cash_Rate/Days_In_Year*(1-CY19)*(CY67*CY$5+(CY$4+1)*CY65-CY66)*(CY$4&lt;=In_COD)</f>
        <v>0</v>
      </c>
      <c r="CZ68" s="33" t="n">
        <f aca="false">In_Cash_Rate/Days_In_Year*(1-CZ19)*(CZ67*CZ$5+(CZ$4+1)*CZ65-CZ66)*(CZ$4&lt;=In_COD)</f>
        <v>0</v>
      </c>
      <c r="DA68" s="33" t="n">
        <f aca="false">In_Cash_Rate/Days_In_Year*(1-DA19)*(DA67*DA$5+(DA$4+1)*DA65-DA66)*(DA$4&lt;=In_COD)</f>
        <v>0</v>
      </c>
      <c r="DB68" s="33" t="n">
        <f aca="false">In_Cash_Rate/Days_In_Year*(1-DB19)*(DB67*DB$5+(DB$4+1)*DB65-DB66)*(DB$4&lt;=In_COD)</f>
        <v>0</v>
      </c>
      <c r="DC68" s="33" t="n">
        <f aca="false">In_Cash_Rate/Days_In_Year*(1-DC19)*(DC67*DC$5+(DC$4+1)*DC65-DC66)*(DC$4&lt;=In_COD)</f>
        <v>0</v>
      </c>
      <c r="DD68" s="33" t="n">
        <f aca="false">In_Cash_Rate/Days_In_Year*(1-DD19)*(DD67*DD$5+(DD$4+1)*DD65-DD66)*(DD$4&lt;=In_COD)</f>
        <v>0</v>
      </c>
      <c r="DE68" s="33" t="n">
        <f aca="false">In_Cash_Rate/Days_In_Year*(1-DE19)*(DE67*DE$5+(DE$4+1)*DE65-DE66)*(DE$4&lt;=In_COD)</f>
        <v>0</v>
      </c>
      <c r="DF68" s="33" t="n">
        <f aca="false">In_Cash_Rate/Days_In_Year*(1-DF19)*(DF67*DF$5+(DF$4+1)*DF65-DF66)*(DF$4&lt;=In_COD)</f>
        <v>0</v>
      </c>
      <c r="DG68" s="33" t="n">
        <f aca="false">In_Cash_Rate/Days_In_Year*(1-DG19)*(DG67*DG$5+(DG$4+1)*DG65-DG66)*(DG$4&lt;=In_COD)</f>
        <v>0</v>
      </c>
      <c r="DH68" s="33" t="n">
        <f aca="false">In_Cash_Rate/Days_In_Year*(1-DH19)*(DH67*DH$5+(DH$4+1)*DH65-DH66)*(DH$4&lt;=In_COD)</f>
        <v>0</v>
      </c>
      <c r="DI68" s="33" t="n">
        <f aca="false">In_Cash_Rate/Days_In_Year*(1-DI19)*(DI67*DI$5+(DI$4+1)*DI65-DI66)*(DI$4&lt;=In_COD)</f>
        <v>0</v>
      </c>
      <c r="DJ68" s="33" t="n">
        <f aca="false">In_Cash_Rate/Days_In_Year*(1-DJ19)*(DJ67*DJ$5+(DJ$4+1)*DJ65-DJ66)*(DJ$4&lt;=In_COD)</f>
        <v>0</v>
      </c>
      <c r="DK68" s="33" t="n">
        <f aca="false">In_Cash_Rate/Days_In_Year*(1-DK19)*(DK67*DK$5+(DK$4+1)*DK65-DK66)*(DK$4&lt;=In_COD)</f>
        <v>0</v>
      </c>
      <c r="DL68" s="33" t="n">
        <f aca="false">In_Cash_Rate/Days_In_Year*(1-DL19)*(DL67*DL$5+(DL$4+1)*DL65-DL66)*(DL$4&lt;=In_COD)</f>
        <v>0</v>
      </c>
      <c r="DM68" s="33" t="n">
        <f aca="false">In_Cash_Rate/Days_In_Year*(1-DM19)*(DM67*DM$5+(DM$4+1)*DM65-DM66)*(DM$4&lt;=In_COD)</f>
        <v>0</v>
      </c>
      <c r="DN68" s="33" t="n">
        <f aca="false">In_Cash_Rate/Days_In_Year*(1-DN19)*(DN67*DN$5+(DN$4+1)*DN65-DN66)*(DN$4&lt;=In_COD)</f>
        <v>0</v>
      </c>
      <c r="DO68" s="33" t="n">
        <f aca="false">In_Cash_Rate/Days_In_Year*(1-DO19)*(DO67*DO$5+(DO$4+1)*DO65-DO66)*(DO$4&lt;=In_COD)</f>
        <v>0</v>
      </c>
      <c r="DP68" s="33" t="n">
        <f aca="false">In_Cash_Rate/Days_In_Year*(1-DP19)*(DP67*DP$5+(DP$4+1)*DP65-DP66)*(DP$4&lt;=In_COD)</f>
        <v>0</v>
      </c>
      <c r="DQ68" s="33" t="n">
        <f aca="false">In_Cash_Rate/Days_In_Year*(1-DQ19)*(DQ67*DQ$5+(DQ$4+1)*DQ65-DQ66)*(DQ$4&lt;=In_COD)</f>
        <v>0</v>
      </c>
      <c r="DR68" s="33" t="n">
        <f aca="false">In_Cash_Rate/Days_In_Year*(1-DR19)*(DR67*DR$5+(DR$4+1)*DR65-DR66)*(DR$4&lt;=In_COD)</f>
        <v>0</v>
      </c>
      <c r="DS68" s="33" t="n">
        <f aca="false">In_Cash_Rate/Days_In_Year*(1-DS19)*(DS67*DS$5+(DS$4+1)*DS65-DS66)*(DS$4&lt;=In_COD)</f>
        <v>0</v>
      </c>
      <c r="DT68" s="33" t="n">
        <f aca="false">In_Cash_Rate/Days_In_Year*(1-DT19)*(DT67*DT$5+(DT$4+1)*DT65-DT66)*(DT$4&lt;=In_COD)</f>
        <v>0</v>
      </c>
      <c r="DU68" s="33" t="n">
        <f aca="false">In_Cash_Rate/Days_In_Year*(1-DU19)*(DU67*DU$5+(DU$4+1)*DU65-DU66)*(DU$4&lt;=In_COD)</f>
        <v>0</v>
      </c>
      <c r="DV68" s="33" t="n">
        <f aca="false">In_Cash_Rate/Days_In_Year*(1-DV19)*(DV67*DV$5+(DV$4+1)*DV65-DV66)*(DV$4&lt;=In_COD)</f>
        <v>0</v>
      </c>
      <c r="DW68" s="33" t="n">
        <f aca="false">In_Cash_Rate/Days_In_Year*(1-DW19)*(DW67*DW$5+(DW$4+1)*DW65-DW66)*(DW$4&lt;=In_COD)</f>
        <v>0</v>
      </c>
      <c r="DX68" s="33" t="n">
        <f aca="false">In_Cash_Rate/Days_In_Year*(1-DX19)*(DX67*DX$5+(DX$4+1)*DX65-DX66)*(DX$4&lt;=In_COD)</f>
        <v>0</v>
      </c>
      <c r="DY68" s="33" t="n">
        <f aca="false">In_Cash_Rate/Days_In_Year*(1-DY19)*(DY67*DY$5+(DY$4+1)*DY65-DY66)*(DY$4&lt;=In_COD)</f>
        <v>0</v>
      </c>
      <c r="DZ68" s="33" t="n">
        <f aca="false">In_Cash_Rate/Days_In_Year*(1-DZ19)*(DZ67*DZ$5+(DZ$4+1)*DZ65-DZ66)*(DZ$4&lt;=In_COD)</f>
        <v>0</v>
      </c>
      <c r="EA68" s="33" t="n">
        <f aca="false">In_Cash_Rate/Days_In_Year*(1-EA19)*(EA67*EA$5+(EA$4+1)*EA65-EA66)*(EA$4&lt;=In_COD)</f>
        <v>0</v>
      </c>
      <c r="EB68" s="33" t="n">
        <f aca="false">In_Cash_Rate/Days_In_Year*(1-EB19)*(EB67*EB$5+(EB$4+1)*EB65-EB66)*(EB$4&lt;=In_COD)</f>
        <v>0</v>
      </c>
      <c r="EC68" s="33" t="n">
        <f aca="false">In_Cash_Rate/Days_In_Year*(1-EC19)*(EC67*EC$5+(EC$4+1)*EC65-EC66)*(EC$4&lt;=In_COD)</f>
        <v>0</v>
      </c>
      <c r="ED68" s="33" t="n">
        <f aca="false">In_Cash_Rate/Days_In_Year*(1-ED19)*(ED67*ED$5+(ED$4+1)*ED65-ED66)*(ED$4&lt;=In_COD)</f>
        <v>0</v>
      </c>
      <c r="EE68" s="33" t="n">
        <f aca="false">In_Cash_Rate/Days_In_Year*(1-EE19)*(EE67*EE$5+(EE$4+1)*EE65-EE66)*(EE$4&lt;=In_COD)</f>
        <v>0</v>
      </c>
      <c r="EF68" s="33" t="n">
        <f aca="false">In_Cash_Rate/Days_In_Year*(1-EF19)*(EF67*EF$5+(EF$4+1)*EF65-EF66)*(EF$4&lt;=In_COD)</f>
        <v>0</v>
      </c>
      <c r="EG68" s="33" t="n">
        <f aca="false">In_Cash_Rate/Days_In_Year*(1-EG19)*(EG67*EG$5+(EG$4+1)*EG65-EG66)*(EG$4&lt;=In_COD)</f>
        <v>0</v>
      </c>
      <c r="EH68" s="33" t="n">
        <f aca="false">In_Cash_Rate/Days_In_Year*(1-EH19)*(EH67*EH$5+(EH$4+1)*EH65-EH66)*(EH$4&lt;=In_COD)</f>
        <v>0</v>
      </c>
      <c r="EI68" s="33" t="n">
        <f aca="false">In_Cash_Rate/Days_In_Year*(1-EI19)*(EI67*EI$5+(EI$4+1)*EI65-EI66)*(EI$4&lt;=In_COD)</f>
        <v>0</v>
      </c>
      <c r="EJ68" s="33" t="n">
        <f aca="false">In_Cash_Rate/Days_In_Year*(1-EJ19)*(EJ67*EJ$5+(EJ$4+1)*EJ65-EJ66)*(EJ$4&lt;=In_COD)</f>
        <v>0</v>
      </c>
      <c r="EK68" s="33" t="n">
        <f aca="false">In_Cash_Rate/Days_In_Year*(1-EK19)*(EK67*EK$5+(EK$4+1)*EK65-EK66)*(EK$4&lt;=In_COD)</f>
        <v>0</v>
      </c>
      <c r="EL68" s="33" t="n">
        <f aca="false">In_Cash_Rate/Days_In_Year*(1-EL19)*(EL67*EL$5+(EL$4+1)*EL65-EL66)*(EL$4&lt;=In_COD)</f>
        <v>0</v>
      </c>
      <c r="EM68" s="33" t="n">
        <f aca="false">In_Cash_Rate/Days_In_Year*(1-EM19)*(EM67*EM$5+(EM$4+1)*EM65-EM66)*(EM$4&lt;=In_COD)</f>
        <v>0</v>
      </c>
      <c r="EN68" s="33" t="n">
        <f aca="false">In_Cash_Rate/Days_In_Year*(1-EN19)*(EN67*EN$5+(EN$4+1)*EN65-EN66)*(EN$4&lt;=In_COD)</f>
        <v>0</v>
      </c>
      <c r="EO68" s="33" t="n">
        <f aca="false">In_Cash_Rate/Days_In_Year*(1-EO19)*(EO67*EO$5+(EO$4+1)*EO65-EO66)*(EO$4&lt;=In_COD)</f>
        <v>0</v>
      </c>
      <c r="EP68" s="33" t="n">
        <f aca="false">In_Cash_Rate/Days_In_Year*(1-EP19)*(EP67*EP$5+(EP$4+1)*EP65-EP66)*(EP$4&lt;=In_COD)</f>
        <v>0</v>
      </c>
      <c r="EQ68" s="33" t="n">
        <f aca="false">In_Cash_Rate/Days_In_Year*(1-EQ19)*(EQ67*EQ$5+(EQ$4+1)*EQ65-EQ66)*(EQ$4&lt;=In_COD)</f>
        <v>0</v>
      </c>
      <c r="ER68" s="33" t="n">
        <f aca="false">In_Cash_Rate/Days_In_Year*(1-ER19)*(ER67*ER$5+(ER$4+1)*ER65-ER66)*(ER$4&lt;=In_COD)</f>
        <v>0</v>
      </c>
      <c r="ES68" s="33" t="n">
        <f aca="false">In_Cash_Rate/Days_In_Year*(1-ES19)*(ES67*ES$5+(ES$4+1)*ES65-ES66)*(ES$4&lt;=In_COD)</f>
        <v>0</v>
      </c>
      <c r="ET68" s="33" t="n">
        <f aca="false">In_Cash_Rate/Days_In_Year*(1-ET19)*(ET67*ET$5+(ET$4+1)*ET65-ET66)*(ET$4&lt;=In_COD)</f>
        <v>0</v>
      </c>
    </row>
    <row r="69" customFormat="false" ht="15" hidden="false" customHeight="false" outlineLevel="0" collapsed="false">
      <c r="C69" s="0" t="s">
        <v>536</v>
      </c>
      <c r="D69" s="11" t="s">
        <v>253</v>
      </c>
      <c r="I69" s="33" t="n">
        <f aca="false">SUM(J69:ET69)</f>
        <v>6633.28140368995</v>
      </c>
      <c r="J69" s="33" t="n">
        <f aca="false">J20*SUMIF($J$7:J$7,J$7,$J68:J68)</f>
        <v>0</v>
      </c>
      <c r="K69" s="33" t="n">
        <f aca="false">K20*SUMIF($J$7:K$7,K$7,$J68:K68)</f>
        <v>0.980896978796345</v>
      </c>
      <c r="L69" s="33" t="n">
        <f aca="false">L20*SUMIF($J$7:L$7,L$7,$J68:L68)</f>
        <v>0</v>
      </c>
      <c r="M69" s="33" t="n">
        <f aca="false">M20*SUMIF($J$7:M$7,M$7,$J68:M68)</f>
        <v>0</v>
      </c>
      <c r="N69" s="33" t="n">
        <f aca="false">N20*SUMIF($J$7:N$7,N$7,$J68:N68)</f>
        <v>0</v>
      </c>
      <c r="O69" s="33" t="n">
        <f aca="false">O20*SUMIF($J$7:O$7,O$7,$J68:O68)</f>
        <v>149.049214486771</v>
      </c>
      <c r="P69" s="33" t="n">
        <f aca="false">P20*SUMIF($J$7:P$7,P$7,$J68:P68)</f>
        <v>0</v>
      </c>
      <c r="Q69" s="33" t="n">
        <f aca="false">Q20*SUMIF($J$7:Q$7,Q$7,$J68:Q68)</f>
        <v>0</v>
      </c>
      <c r="R69" s="33" t="n">
        <f aca="false">R20*SUMIF($J$7:R$7,R$7,$J68:R68)</f>
        <v>0</v>
      </c>
      <c r="S69" s="33" t="n">
        <f aca="false">S20*SUMIF($J$7:S$7,S$7,$J68:S68)</f>
        <v>167.392476718951</v>
      </c>
      <c r="T69" s="33" t="n">
        <f aca="false">T20*SUMIF($J$7:T$7,T$7,$J68:T68)</f>
        <v>0</v>
      </c>
      <c r="U69" s="33" t="n">
        <f aca="false">U20*SUMIF($J$7:U$7,U$7,$J68:U68)</f>
        <v>0</v>
      </c>
      <c r="V69" s="33" t="n">
        <f aca="false">V20*SUMIF($J$7:V$7,V$7,$J68:V68)</f>
        <v>0</v>
      </c>
      <c r="W69" s="33" t="n">
        <f aca="false">W20*SUMIF($J$7:W$7,W$7,$J68:W68)</f>
        <v>1247.11405599641</v>
      </c>
      <c r="X69" s="33" t="n">
        <f aca="false">X20*SUMIF($J$7:X$7,X$7,$J68:X68)</f>
        <v>0</v>
      </c>
      <c r="Y69" s="33" t="n">
        <f aca="false">Y20*SUMIF($J$7:Y$7,Y$7,$J68:Y68)</f>
        <v>0</v>
      </c>
      <c r="Z69" s="33" t="n">
        <f aca="false">Z20*SUMIF($J$7:Z$7,Z$7,$J68:Z68)</f>
        <v>0</v>
      </c>
      <c r="AA69" s="33" t="n">
        <f aca="false">AA20*SUMIF($J$7:AA$7,AA$7,$J68:AA68)</f>
        <v>2758.20239313733</v>
      </c>
      <c r="AB69" s="33" t="n">
        <f aca="false">AB20*SUMIF($J$7:AB$7,AB$7,$J68:AB68)</f>
        <v>0</v>
      </c>
      <c r="AC69" s="33" t="n">
        <f aca="false">AC20*SUMIF($J$7:AC$7,AC$7,$J68:AC68)</f>
        <v>0</v>
      </c>
      <c r="AD69" s="33" t="n">
        <f aca="false">AD20*SUMIF($J$7:AD$7,AD$7,$J68:AD68)</f>
        <v>0</v>
      </c>
      <c r="AE69" s="33" t="n">
        <f aca="false">AE20*SUMIF($J$7:AE$7,AE$7,$J68:AE68)</f>
        <v>2310.5423663717</v>
      </c>
      <c r="AF69" s="33" t="n">
        <f aca="false">AF20*SUMIF($J$7:AF$7,AF$7,$J68:AF68)</f>
        <v>0</v>
      </c>
      <c r="AG69" s="33" t="n">
        <f aca="false">AG20*SUMIF($J$7:AG$7,AG$7,$J68:AG68)</f>
        <v>0</v>
      </c>
      <c r="AH69" s="33" t="n">
        <f aca="false">AH20*SUMIF($J$7:AH$7,AH$7,$J68:AH68)</f>
        <v>0</v>
      </c>
      <c r="AI69" s="33" t="n">
        <f aca="false">AI20*SUMIF($J$7:AI$7,AI$7,$J68:AI68)</f>
        <v>0</v>
      </c>
      <c r="AJ69" s="33" t="n">
        <f aca="false">AJ20*SUMIF($J$7:AJ$7,AJ$7,$J68:AJ68)</f>
        <v>0</v>
      </c>
      <c r="AK69" s="33" t="n">
        <f aca="false">AK20*SUMIF($J$7:AK$7,AK$7,$J68:AK68)</f>
        <v>0</v>
      </c>
      <c r="AL69" s="33" t="n">
        <f aca="false">AL20*SUMIF($J$7:AL$7,AL$7,$J68:AL68)</f>
        <v>0</v>
      </c>
      <c r="AM69" s="33" t="n">
        <f aca="false">AM20*SUMIF($J$7:AM$7,AM$7,$J68:AM68)</f>
        <v>0</v>
      </c>
      <c r="AN69" s="33" t="n">
        <f aca="false">AN20*SUMIF($J$7:AN$7,AN$7,$J68:AN68)</f>
        <v>0</v>
      </c>
      <c r="AO69" s="33" t="n">
        <f aca="false">AO20*SUMIF($J$7:AO$7,AO$7,$J68:AO68)</f>
        <v>0</v>
      </c>
      <c r="AP69" s="33" t="n">
        <f aca="false">AP20*SUMIF($J$7:AP$7,AP$7,$J68:AP68)</f>
        <v>0</v>
      </c>
      <c r="AQ69" s="33" t="n">
        <f aca="false">AQ20*SUMIF($J$7:AQ$7,AQ$7,$J68:AQ68)</f>
        <v>0</v>
      </c>
      <c r="AR69" s="33" t="n">
        <f aca="false">AR20*SUMIF($J$7:AR$7,AR$7,$J68:AR68)</f>
        <v>0</v>
      </c>
      <c r="AS69" s="33" t="n">
        <f aca="false">AS20*SUMIF($J$7:AS$7,AS$7,$J68:AS68)</f>
        <v>0</v>
      </c>
      <c r="AT69" s="33" t="n">
        <f aca="false">AT20*SUMIF($J$7:AT$7,AT$7,$J68:AT68)</f>
        <v>0</v>
      </c>
      <c r="AU69" s="33" t="n">
        <f aca="false">AU20*SUMIF($J$7:AU$7,AU$7,$J68:AU68)</f>
        <v>0</v>
      </c>
      <c r="AV69" s="33" t="n">
        <f aca="false">AV20*SUMIF($J$7:AV$7,AV$7,$J68:AV68)</f>
        <v>0</v>
      </c>
      <c r="AW69" s="33" t="n">
        <f aca="false">AW20*SUMIF($J$7:AW$7,AW$7,$J68:AW68)</f>
        <v>0</v>
      </c>
      <c r="AX69" s="33" t="n">
        <f aca="false">AX20*SUMIF($J$7:AX$7,AX$7,$J68:AX68)</f>
        <v>0</v>
      </c>
      <c r="AY69" s="33" t="n">
        <f aca="false">AY20*SUMIF($J$7:AY$7,AY$7,$J68:AY68)</f>
        <v>0</v>
      </c>
      <c r="AZ69" s="33" t="n">
        <f aca="false">AZ20*SUMIF($J$7:AZ$7,AZ$7,$J68:AZ68)</f>
        <v>0</v>
      </c>
      <c r="BA69" s="33" t="n">
        <f aca="false">BA20*SUMIF($J$7:BA$7,BA$7,$J68:BA68)</f>
        <v>0</v>
      </c>
      <c r="BB69" s="33" t="n">
        <f aca="false">BB20*SUMIF($J$7:BB$7,BB$7,$J68:BB68)</f>
        <v>0</v>
      </c>
      <c r="BC69" s="33" t="n">
        <f aca="false">BC20*SUMIF($J$7:BC$7,BC$7,$J68:BC68)</f>
        <v>0</v>
      </c>
      <c r="BD69" s="33" t="n">
        <f aca="false">BD20*SUMIF($J$7:BD$7,BD$7,$J68:BD68)</f>
        <v>0</v>
      </c>
      <c r="BE69" s="33" t="n">
        <f aca="false">BE20*SUMIF($J$7:BE$7,BE$7,$J68:BE68)</f>
        <v>0</v>
      </c>
      <c r="BF69" s="33" t="n">
        <f aca="false">BF20*SUMIF($J$7:BF$7,BF$7,$J68:BF68)</f>
        <v>0</v>
      </c>
      <c r="BG69" s="33" t="n">
        <f aca="false">BG20*SUMIF($J$7:BG$7,BG$7,$J68:BG68)</f>
        <v>0</v>
      </c>
      <c r="BH69" s="33" t="n">
        <f aca="false">BH20*SUMIF($J$7:BH$7,BH$7,$J68:BH68)</f>
        <v>0</v>
      </c>
      <c r="BI69" s="33" t="n">
        <f aca="false">BI20*SUMIF($J$7:BI$7,BI$7,$J68:BI68)</f>
        <v>0</v>
      </c>
      <c r="BJ69" s="33" t="n">
        <f aca="false">BJ20*SUMIF($J$7:BJ$7,BJ$7,$J68:BJ68)</f>
        <v>0</v>
      </c>
      <c r="BK69" s="33" t="n">
        <f aca="false">BK20*SUMIF($J$7:BK$7,BK$7,$J68:BK68)</f>
        <v>0</v>
      </c>
      <c r="BL69" s="33" t="n">
        <f aca="false">BL20*SUMIF($J$7:BL$7,BL$7,$J68:BL68)</f>
        <v>0</v>
      </c>
      <c r="BM69" s="33" t="n">
        <f aca="false">BM20*SUMIF($J$7:BM$7,BM$7,$J68:BM68)</f>
        <v>0</v>
      </c>
      <c r="BN69" s="33" t="n">
        <f aca="false">BN20*SUMIF($J$7:BN$7,BN$7,$J68:BN68)</f>
        <v>0</v>
      </c>
      <c r="BO69" s="33" t="n">
        <f aca="false">BO20*SUMIF($J$7:BO$7,BO$7,$J68:BO68)</f>
        <v>0</v>
      </c>
      <c r="BP69" s="33" t="n">
        <f aca="false">BP20*SUMIF($J$7:BP$7,BP$7,$J68:BP68)</f>
        <v>0</v>
      </c>
      <c r="BQ69" s="33" t="n">
        <f aca="false">BQ20*SUMIF($J$7:BQ$7,BQ$7,$J68:BQ68)</f>
        <v>0</v>
      </c>
      <c r="BR69" s="33" t="n">
        <f aca="false">BR20*SUMIF($J$7:BR$7,BR$7,$J68:BR68)</f>
        <v>0</v>
      </c>
      <c r="BS69" s="33" t="n">
        <f aca="false">BS20*SUMIF($J$7:BS$7,BS$7,$J68:BS68)</f>
        <v>0</v>
      </c>
      <c r="BT69" s="33" t="n">
        <f aca="false">BT20*SUMIF($J$7:BT$7,BT$7,$J68:BT68)</f>
        <v>0</v>
      </c>
      <c r="BU69" s="33" t="n">
        <f aca="false">BU20*SUMIF($J$7:BU$7,BU$7,$J68:BU68)</f>
        <v>0</v>
      </c>
      <c r="BV69" s="33" t="n">
        <f aca="false">BV20*SUMIF($J$7:BV$7,BV$7,$J68:BV68)</f>
        <v>0</v>
      </c>
      <c r="BW69" s="33" t="n">
        <f aca="false">BW20*SUMIF($J$7:BW$7,BW$7,$J68:BW68)</f>
        <v>0</v>
      </c>
      <c r="BX69" s="33" t="n">
        <f aca="false">BX20*SUMIF($J$7:BX$7,BX$7,$J68:BX68)</f>
        <v>0</v>
      </c>
      <c r="BY69" s="33" t="n">
        <f aca="false">BY20*SUMIF($J$7:BY$7,BY$7,$J68:BY68)</f>
        <v>0</v>
      </c>
      <c r="BZ69" s="33" t="n">
        <f aca="false">BZ20*SUMIF($J$7:BZ$7,BZ$7,$J68:BZ68)</f>
        <v>0</v>
      </c>
      <c r="CA69" s="33" t="n">
        <f aca="false">CA20*SUMIF($J$7:CA$7,CA$7,$J68:CA68)</f>
        <v>0</v>
      </c>
      <c r="CB69" s="33" t="n">
        <f aca="false">CB20*SUMIF($J$7:CB$7,CB$7,$J68:CB68)</f>
        <v>0</v>
      </c>
      <c r="CC69" s="33" t="n">
        <f aca="false">CC20*SUMIF($J$7:CC$7,CC$7,$J68:CC68)</f>
        <v>0</v>
      </c>
      <c r="CD69" s="33" t="n">
        <f aca="false">CD20*SUMIF($J$7:CD$7,CD$7,$J68:CD68)</f>
        <v>0</v>
      </c>
      <c r="CE69" s="33" t="n">
        <f aca="false">CE20*SUMIF($J$7:CE$7,CE$7,$J68:CE68)</f>
        <v>0</v>
      </c>
      <c r="CF69" s="33" t="n">
        <f aca="false">CF20*SUMIF($J$7:CF$7,CF$7,$J68:CF68)</f>
        <v>0</v>
      </c>
      <c r="CG69" s="33" t="n">
        <f aca="false">CG20*SUMIF($J$7:CG$7,CG$7,$J68:CG68)</f>
        <v>0</v>
      </c>
      <c r="CH69" s="33" t="n">
        <f aca="false">CH20*SUMIF($J$7:CH$7,CH$7,$J68:CH68)</f>
        <v>0</v>
      </c>
      <c r="CI69" s="33" t="n">
        <f aca="false">CI20*SUMIF($J$7:CI$7,CI$7,$J68:CI68)</f>
        <v>0</v>
      </c>
      <c r="CJ69" s="33" t="n">
        <f aca="false">CJ20*SUMIF($J$7:CJ$7,CJ$7,$J68:CJ68)</f>
        <v>0</v>
      </c>
      <c r="CK69" s="33" t="n">
        <f aca="false">CK20*SUMIF($J$7:CK$7,CK$7,$J68:CK68)</f>
        <v>0</v>
      </c>
      <c r="CL69" s="33" t="n">
        <f aca="false">CL20*SUMIF($J$7:CL$7,CL$7,$J68:CL68)</f>
        <v>0</v>
      </c>
      <c r="CM69" s="33" t="n">
        <f aca="false">CM20*SUMIF($J$7:CM$7,CM$7,$J68:CM68)</f>
        <v>0</v>
      </c>
      <c r="CN69" s="33" t="n">
        <f aca="false">CN20*SUMIF($J$7:CN$7,CN$7,$J68:CN68)</f>
        <v>0</v>
      </c>
      <c r="CO69" s="33" t="n">
        <f aca="false">CO20*SUMIF($J$7:CO$7,CO$7,$J68:CO68)</f>
        <v>0</v>
      </c>
      <c r="CP69" s="33" t="n">
        <f aca="false">CP20*SUMIF($J$7:CP$7,CP$7,$J68:CP68)</f>
        <v>0</v>
      </c>
      <c r="CQ69" s="33" t="n">
        <f aca="false">CQ20*SUMIF($J$7:CQ$7,CQ$7,$J68:CQ68)</f>
        <v>0</v>
      </c>
      <c r="CR69" s="33" t="n">
        <f aca="false">CR20*SUMIF($J$7:CR$7,CR$7,$J68:CR68)</f>
        <v>0</v>
      </c>
      <c r="CS69" s="33" t="n">
        <f aca="false">CS20*SUMIF($J$7:CS$7,CS$7,$J68:CS68)</f>
        <v>0</v>
      </c>
      <c r="CT69" s="33" t="n">
        <f aca="false">CT20*SUMIF($J$7:CT$7,CT$7,$J68:CT68)</f>
        <v>0</v>
      </c>
      <c r="CU69" s="33" t="n">
        <f aca="false">CU20*SUMIF($J$7:CU$7,CU$7,$J68:CU68)</f>
        <v>0</v>
      </c>
      <c r="CV69" s="33" t="n">
        <f aca="false">CV20*SUMIF($J$7:CV$7,CV$7,$J68:CV68)</f>
        <v>0</v>
      </c>
      <c r="CW69" s="33" t="n">
        <f aca="false">CW20*SUMIF($J$7:CW$7,CW$7,$J68:CW68)</f>
        <v>0</v>
      </c>
      <c r="CX69" s="33" t="n">
        <f aca="false">CX20*SUMIF($J$7:CX$7,CX$7,$J68:CX68)</f>
        <v>0</v>
      </c>
      <c r="CY69" s="33" t="n">
        <f aca="false">CY20*SUMIF($J$7:CY$7,CY$7,$J68:CY68)</f>
        <v>0</v>
      </c>
      <c r="CZ69" s="33" t="n">
        <f aca="false">CZ20*SUMIF($J$7:CZ$7,CZ$7,$J68:CZ68)</f>
        <v>0</v>
      </c>
      <c r="DA69" s="33" t="n">
        <f aca="false">DA20*SUMIF($J$7:DA$7,DA$7,$J68:DA68)</f>
        <v>0</v>
      </c>
      <c r="DB69" s="33" t="n">
        <f aca="false">DB20*SUMIF($J$7:DB$7,DB$7,$J68:DB68)</f>
        <v>0</v>
      </c>
      <c r="DC69" s="33" t="n">
        <f aca="false">DC20*SUMIF($J$7:DC$7,DC$7,$J68:DC68)</f>
        <v>0</v>
      </c>
      <c r="DD69" s="33" t="n">
        <f aca="false">DD20*SUMIF($J$7:DD$7,DD$7,$J68:DD68)</f>
        <v>0</v>
      </c>
      <c r="DE69" s="33" t="n">
        <f aca="false">DE20*SUMIF($J$7:DE$7,DE$7,$J68:DE68)</f>
        <v>0</v>
      </c>
      <c r="DF69" s="33" t="n">
        <f aca="false">DF20*SUMIF($J$7:DF$7,DF$7,$J68:DF68)</f>
        <v>0</v>
      </c>
      <c r="DG69" s="33" t="n">
        <f aca="false">DG20*SUMIF($J$7:DG$7,DG$7,$J68:DG68)</f>
        <v>0</v>
      </c>
      <c r="DH69" s="33" t="n">
        <f aca="false">DH20*SUMIF($J$7:DH$7,DH$7,$J68:DH68)</f>
        <v>0</v>
      </c>
      <c r="DI69" s="33" t="n">
        <f aca="false">DI20*SUMIF($J$7:DI$7,DI$7,$J68:DI68)</f>
        <v>0</v>
      </c>
      <c r="DJ69" s="33" t="n">
        <f aca="false">DJ20*SUMIF($J$7:DJ$7,DJ$7,$J68:DJ68)</f>
        <v>0</v>
      </c>
      <c r="DK69" s="33" t="n">
        <f aca="false">DK20*SUMIF($J$7:DK$7,DK$7,$J68:DK68)</f>
        <v>0</v>
      </c>
      <c r="DL69" s="33" t="n">
        <f aca="false">DL20*SUMIF($J$7:DL$7,DL$7,$J68:DL68)</f>
        <v>0</v>
      </c>
      <c r="DM69" s="33" t="n">
        <f aca="false">DM20*SUMIF($J$7:DM$7,DM$7,$J68:DM68)</f>
        <v>0</v>
      </c>
      <c r="DN69" s="33" t="n">
        <f aca="false">DN20*SUMIF($J$7:DN$7,DN$7,$J68:DN68)</f>
        <v>0</v>
      </c>
      <c r="DO69" s="33" t="n">
        <f aca="false">DO20*SUMIF($J$7:DO$7,DO$7,$J68:DO68)</f>
        <v>0</v>
      </c>
      <c r="DP69" s="33" t="n">
        <f aca="false">DP20*SUMIF($J$7:DP$7,DP$7,$J68:DP68)</f>
        <v>0</v>
      </c>
      <c r="DQ69" s="33" t="n">
        <f aca="false">DQ20*SUMIF($J$7:DQ$7,DQ$7,$J68:DQ68)</f>
        <v>0</v>
      </c>
      <c r="DR69" s="33" t="n">
        <f aca="false">DR20*SUMIF($J$7:DR$7,DR$7,$J68:DR68)</f>
        <v>0</v>
      </c>
      <c r="DS69" s="33" t="n">
        <f aca="false">DS20*SUMIF($J$7:DS$7,DS$7,$J68:DS68)</f>
        <v>0</v>
      </c>
      <c r="DT69" s="33" t="n">
        <f aca="false">DT20*SUMIF($J$7:DT$7,DT$7,$J68:DT68)</f>
        <v>0</v>
      </c>
      <c r="DU69" s="33" t="n">
        <f aca="false">DU20*SUMIF($J$7:DU$7,DU$7,$J68:DU68)</f>
        <v>0</v>
      </c>
      <c r="DV69" s="33" t="n">
        <f aca="false">DV20*SUMIF($J$7:DV$7,DV$7,$J68:DV68)</f>
        <v>0</v>
      </c>
      <c r="DW69" s="33" t="n">
        <f aca="false">DW20*SUMIF($J$7:DW$7,DW$7,$J68:DW68)</f>
        <v>0</v>
      </c>
      <c r="DX69" s="33" t="n">
        <f aca="false">DX20*SUMIF($J$7:DX$7,DX$7,$J68:DX68)</f>
        <v>0</v>
      </c>
      <c r="DY69" s="33" t="n">
        <f aca="false">DY20*SUMIF($J$7:DY$7,DY$7,$J68:DY68)</f>
        <v>0</v>
      </c>
      <c r="DZ69" s="33" t="n">
        <f aca="false">DZ20*SUMIF($J$7:DZ$7,DZ$7,$J68:DZ68)</f>
        <v>0</v>
      </c>
      <c r="EA69" s="33" t="n">
        <f aca="false">EA20*SUMIF($J$7:EA$7,EA$7,$J68:EA68)</f>
        <v>0</v>
      </c>
      <c r="EB69" s="33" t="n">
        <f aca="false">EB20*SUMIF($J$7:EB$7,EB$7,$J68:EB68)</f>
        <v>0</v>
      </c>
      <c r="EC69" s="33" t="n">
        <f aca="false">EC20*SUMIF($J$7:EC$7,EC$7,$J68:EC68)</f>
        <v>0</v>
      </c>
      <c r="ED69" s="33" t="n">
        <f aca="false">ED20*SUMIF($J$7:ED$7,ED$7,$J68:ED68)</f>
        <v>0</v>
      </c>
      <c r="EE69" s="33" t="n">
        <f aca="false">EE20*SUMIF($J$7:EE$7,EE$7,$J68:EE68)</f>
        <v>0</v>
      </c>
      <c r="EF69" s="33" t="n">
        <f aca="false">EF20*SUMIF($J$7:EF$7,EF$7,$J68:EF68)</f>
        <v>0</v>
      </c>
      <c r="EG69" s="33" t="n">
        <f aca="false">EG20*SUMIF($J$7:EG$7,EG$7,$J68:EG68)</f>
        <v>0</v>
      </c>
      <c r="EH69" s="33" t="n">
        <f aca="false">EH20*SUMIF($J$7:EH$7,EH$7,$J68:EH68)</f>
        <v>0</v>
      </c>
      <c r="EI69" s="33" t="n">
        <f aca="false">EI20*SUMIF($J$7:EI$7,EI$7,$J68:EI68)</f>
        <v>0</v>
      </c>
      <c r="EJ69" s="33" t="n">
        <f aca="false">EJ20*SUMIF($J$7:EJ$7,EJ$7,$J68:EJ68)</f>
        <v>0</v>
      </c>
      <c r="EK69" s="33" t="n">
        <f aca="false">EK20*SUMIF($J$7:EK$7,EK$7,$J68:EK68)</f>
        <v>0</v>
      </c>
      <c r="EL69" s="33" t="n">
        <f aca="false">EL20*SUMIF($J$7:EL$7,EL$7,$J68:EL68)</f>
        <v>0</v>
      </c>
      <c r="EM69" s="33" t="n">
        <f aca="false">EM20*SUMIF($J$7:EM$7,EM$7,$J68:EM68)</f>
        <v>0</v>
      </c>
      <c r="EN69" s="33" t="n">
        <f aca="false">EN20*SUMIF($J$7:EN$7,EN$7,$J68:EN68)</f>
        <v>0</v>
      </c>
      <c r="EO69" s="33" t="n">
        <f aca="false">EO20*SUMIF($J$7:EO$7,EO$7,$J68:EO68)</f>
        <v>0</v>
      </c>
      <c r="EP69" s="33" t="n">
        <f aca="false">EP20*SUMIF($J$7:EP$7,EP$7,$J68:EP68)</f>
        <v>0</v>
      </c>
      <c r="EQ69" s="33" t="n">
        <f aca="false">EQ20*SUMIF($J$7:EQ$7,EQ$7,$J68:EQ68)</f>
        <v>0</v>
      </c>
      <c r="ER69" s="33" t="n">
        <f aca="false">ER20*SUMIF($J$7:ER$7,ER$7,$J68:ER68)</f>
        <v>0</v>
      </c>
      <c r="ES69" s="33" t="n">
        <f aca="false">ES20*SUMIF($J$7:ES$7,ES$7,$J68:ES68)</f>
        <v>0</v>
      </c>
      <c r="ET69" s="33" t="n">
        <f aca="false">ET20*SUMIF($J$7:ET$7,ET$7,$J68:ET68)</f>
        <v>0</v>
      </c>
    </row>
    <row r="70" customFormat="false" ht="15" hidden="false" customHeight="false" outlineLevel="0" collapsed="false">
      <c r="C70" s="0" t="s">
        <v>537</v>
      </c>
      <c r="D70" s="11" t="s">
        <v>253</v>
      </c>
      <c r="I70" s="54"/>
      <c r="J70" s="33" t="n">
        <f aca="false">J67+J65+J69</f>
        <v>0</v>
      </c>
      <c r="K70" s="33" t="n">
        <f aca="false">K67+K65+K69</f>
        <v>1242.07678738976</v>
      </c>
      <c r="L70" s="33" t="n">
        <f aca="false">L67+L65+L69</f>
        <v>1242.07678738976</v>
      </c>
      <c r="M70" s="33" t="n">
        <f aca="false">M67+M65+M69</f>
        <v>1242.07678738976</v>
      </c>
      <c r="N70" s="33" t="n">
        <f aca="false">N67+N65+N69</f>
        <v>1242.07678738976</v>
      </c>
      <c r="O70" s="33" t="n">
        <f aca="false">O67+O65+O69</f>
        <v>1391.12600187653</v>
      </c>
      <c r="P70" s="33" t="n">
        <f aca="false">P67+P65+P69</f>
        <v>1391.12600187653</v>
      </c>
      <c r="Q70" s="33" t="n">
        <f aca="false">Q67+Q65+Q69</f>
        <v>1391.12600187653</v>
      </c>
      <c r="R70" s="33" t="n">
        <f aca="false">R67+R65+R69</f>
        <v>1391.12600187653</v>
      </c>
      <c r="S70" s="33" t="n">
        <f aca="false">S67+S65+S69</f>
        <v>1558.51847859548</v>
      </c>
      <c r="T70" s="33" t="n">
        <f aca="false">T67+T65+T69</f>
        <v>21737.9058868147</v>
      </c>
      <c r="U70" s="33" t="n">
        <f aca="false">U67+U65+U69</f>
        <v>21737.9058868147</v>
      </c>
      <c r="V70" s="33" t="n">
        <f aca="false">V67+V65+V69</f>
        <v>21737.9058868147</v>
      </c>
      <c r="W70" s="33" t="n">
        <f aca="false">W67+W65+W69</f>
        <v>22985.0199428111</v>
      </c>
      <c r="X70" s="33" t="n">
        <f aca="false">X67+X65+X69</f>
        <v>22985.0199428111</v>
      </c>
      <c r="Y70" s="33" t="n">
        <f aca="false">Y67+Y65+Y69</f>
        <v>22985.0199428111</v>
      </c>
      <c r="Z70" s="33" t="n">
        <f aca="false">Z67+Z65+Z69</f>
        <v>22985.0199428111</v>
      </c>
      <c r="AA70" s="33" t="n">
        <f aca="false">AA67+AA65+AA69</f>
        <v>25743.2223359484</v>
      </c>
      <c r="AB70" s="33" t="n">
        <f aca="false">AB67+AB65+AB69</f>
        <v>25743.2223359484</v>
      </c>
      <c r="AC70" s="33" t="n">
        <f aca="false">AC67+AC65+AC69</f>
        <v>25743.2223359484</v>
      </c>
      <c r="AD70" s="33" t="n">
        <f aca="false">AD67+AD65+AD69</f>
        <v>25743.2223359484</v>
      </c>
      <c r="AE70" s="33" t="n">
        <f aca="false">AE67+AE65+AE69</f>
        <v>28053.7647023201</v>
      </c>
      <c r="AF70" s="33" t="n">
        <f aca="false">AF67+AF65+AF69</f>
        <v>28053.7647023201</v>
      </c>
      <c r="AG70" s="33" t="n">
        <f aca="false">AG67+AG65+AG69</f>
        <v>28053.7647023201</v>
      </c>
      <c r="AH70" s="33" t="n">
        <f aca="false">AH67+AH65+AH69</f>
        <v>28053.7647023201</v>
      </c>
      <c r="AI70" s="33" t="n">
        <f aca="false">AI67+AI65+AI69</f>
        <v>28053.7647023201</v>
      </c>
      <c r="AJ70" s="33" t="n">
        <f aca="false">AJ67+AJ65+AJ69</f>
        <v>28053.7647023201</v>
      </c>
      <c r="AK70" s="33" t="n">
        <f aca="false">AK67+AK65+AK69</f>
        <v>28053.7647023201</v>
      </c>
      <c r="AL70" s="33" t="n">
        <f aca="false">AL67+AL65+AL69</f>
        <v>28053.7647023201</v>
      </c>
      <c r="AM70" s="33" t="n">
        <f aca="false">AM67+AM65+AM69</f>
        <v>28053.7647023201</v>
      </c>
      <c r="AN70" s="33" t="n">
        <f aca="false">AN67+AN65+AN69</f>
        <v>28053.7647023201</v>
      </c>
      <c r="AO70" s="33" t="n">
        <f aca="false">AO67+AO65+AO69</f>
        <v>28053.7647023201</v>
      </c>
      <c r="AP70" s="33" t="n">
        <f aca="false">AP67+AP65+AP69</f>
        <v>28053.7647023201</v>
      </c>
      <c r="AQ70" s="33" t="n">
        <f aca="false">AQ67+AQ65+AQ69</f>
        <v>28053.7647023201</v>
      </c>
      <c r="AR70" s="33" t="n">
        <f aca="false">AR67+AR65+AR69</f>
        <v>28053.7647023201</v>
      </c>
      <c r="AS70" s="33" t="n">
        <f aca="false">AS67+AS65+AS69</f>
        <v>28053.7647023201</v>
      </c>
      <c r="AT70" s="33" t="n">
        <f aca="false">AT67+AT65+AT69</f>
        <v>28053.7647023201</v>
      </c>
      <c r="AU70" s="33" t="n">
        <f aca="false">AU67+AU65+AU69</f>
        <v>28053.7647023201</v>
      </c>
      <c r="AV70" s="33" t="n">
        <f aca="false">AV67+AV65+AV69</f>
        <v>28053.7647023201</v>
      </c>
      <c r="AW70" s="33" t="n">
        <f aca="false">AW67+AW65+AW69</f>
        <v>28053.7647023201</v>
      </c>
      <c r="AX70" s="33" t="n">
        <f aca="false">AX67+AX65+AX69</f>
        <v>28053.7647023201</v>
      </c>
      <c r="AY70" s="33" t="n">
        <f aca="false">AY67+AY65+AY69</f>
        <v>28053.7647023201</v>
      </c>
      <c r="AZ70" s="33" t="n">
        <f aca="false">AZ67+AZ65+AZ69</f>
        <v>28053.7647023201</v>
      </c>
      <c r="BA70" s="33" t="n">
        <f aca="false">BA67+BA65+BA69</f>
        <v>28053.7647023201</v>
      </c>
      <c r="BB70" s="33" t="n">
        <f aca="false">BB67+BB65+BB69</f>
        <v>28053.7647023201</v>
      </c>
      <c r="BC70" s="33" t="n">
        <f aca="false">BC67+BC65+BC69</f>
        <v>28053.7647023201</v>
      </c>
      <c r="BD70" s="33" t="n">
        <f aca="false">BD67+BD65+BD69</f>
        <v>28053.7647023201</v>
      </c>
      <c r="BE70" s="33" t="n">
        <f aca="false">BE67+BE65+BE69</f>
        <v>28053.7647023201</v>
      </c>
      <c r="BF70" s="33" t="n">
        <f aca="false">BF67+BF65+BF69</f>
        <v>28053.7647023201</v>
      </c>
      <c r="BG70" s="33" t="n">
        <f aca="false">BG67+BG65+BG69</f>
        <v>28053.7647023201</v>
      </c>
      <c r="BH70" s="33" t="n">
        <f aca="false">BH67+BH65+BH69</f>
        <v>28053.7647023201</v>
      </c>
      <c r="BI70" s="33" t="n">
        <f aca="false">BI67+BI65+BI69</f>
        <v>28053.7647023201</v>
      </c>
      <c r="BJ70" s="33" t="n">
        <f aca="false">BJ67+BJ65+BJ69</f>
        <v>28053.7647023201</v>
      </c>
      <c r="BK70" s="33" t="n">
        <f aca="false">BK67+BK65+BK69</f>
        <v>28053.7647023201</v>
      </c>
      <c r="BL70" s="33" t="n">
        <f aca="false">BL67+BL65+BL69</f>
        <v>28053.7647023201</v>
      </c>
      <c r="BM70" s="33" t="n">
        <f aca="false">BM67+BM65+BM69</f>
        <v>28053.7647023201</v>
      </c>
      <c r="BN70" s="33" t="n">
        <f aca="false">BN67+BN65+BN69</f>
        <v>28053.7647023201</v>
      </c>
      <c r="BO70" s="33" t="n">
        <f aca="false">BO67+BO65+BO69</f>
        <v>28053.7647023201</v>
      </c>
      <c r="BP70" s="33" t="n">
        <f aca="false">BP67+BP65+BP69</f>
        <v>28053.7647023201</v>
      </c>
      <c r="BQ70" s="33" t="n">
        <f aca="false">BQ67+BQ65+BQ69</f>
        <v>28053.7647023201</v>
      </c>
      <c r="BR70" s="33" t="n">
        <f aca="false">BR67+BR65+BR69</f>
        <v>28053.7647023201</v>
      </c>
      <c r="BS70" s="33" t="n">
        <f aca="false">BS67+BS65+BS69</f>
        <v>28053.7647023201</v>
      </c>
      <c r="BT70" s="33" t="n">
        <f aca="false">BT67+BT65+BT69</f>
        <v>28053.7647023201</v>
      </c>
      <c r="BU70" s="33" t="n">
        <f aca="false">BU67+BU65+BU69</f>
        <v>28053.7647023201</v>
      </c>
      <c r="BV70" s="33" t="n">
        <f aca="false">BV67+BV65+BV69</f>
        <v>28053.7647023201</v>
      </c>
      <c r="BW70" s="33" t="n">
        <f aca="false">BW67+BW65+BW69</f>
        <v>28053.7647023201</v>
      </c>
      <c r="BX70" s="33" t="n">
        <f aca="false">BX67+BX65+BX69</f>
        <v>28053.7647023201</v>
      </c>
      <c r="BY70" s="33" t="n">
        <f aca="false">BY67+BY65+BY69</f>
        <v>28053.7647023201</v>
      </c>
      <c r="BZ70" s="33" t="n">
        <f aca="false">BZ67+BZ65+BZ69</f>
        <v>28053.7647023201</v>
      </c>
      <c r="CA70" s="33" t="n">
        <f aca="false">CA67+CA65+CA69</f>
        <v>28053.7647023201</v>
      </c>
      <c r="CB70" s="33" t="n">
        <f aca="false">CB67+CB65+CB69</f>
        <v>28053.7647023201</v>
      </c>
      <c r="CC70" s="33" t="n">
        <f aca="false">CC67+CC65+CC69</f>
        <v>28053.7647023201</v>
      </c>
      <c r="CD70" s="33" t="n">
        <f aca="false">CD67+CD65+CD69</f>
        <v>28053.7647023201</v>
      </c>
      <c r="CE70" s="33" t="n">
        <f aca="false">CE67+CE65+CE69</f>
        <v>28053.7647023201</v>
      </c>
      <c r="CF70" s="33" t="n">
        <f aca="false">CF67+CF65+CF69</f>
        <v>28053.7647023201</v>
      </c>
      <c r="CG70" s="33" t="n">
        <f aca="false">CG67+CG65+CG69</f>
        <v>28053.7647023201</v>
      </c>
      <c r="CH70" s="33" t="n">
        <f aca="false">CH67+CH65+CH69</f>
        <v>28053.7647023201</v>
      </c>
      <c r="CI70" s="33" t="n">
        <f aca="false">CI67+CI65+CI69</f>
        <v>28053.7647023201</v>
      </c>
      <c r="CJ70" s="33" t="n">
        <f aca="false">CJ67+CJ65+CJ69</f>
        <v>28053.7647023201</v>
      </c>
      <c r="CK70" s="33" t="n">
        <f aca="false">CK67+CK65+CK69</f>
        <v>28053.7647023201</v>
      </c>
      <c r="CL70" s="33" t="n">
        <f aca="false">CL67+CL65+CL69</f>
        <v>28053.7647023201</v>
      </c>
      <c r="CM70" s="33" t="n">
        <f aca="false">CM67+CM65+CM69</f>
        <v>28053.7647023201</v>
      </c>
      <c r="CN70" s="33" t="n">
        <f aca="false">CN67+CN65+CN69</f>
        <v>28053.7647023201</v>
      </c>
      <c r="CO70" s="33" t="n">
        <f aca="false">CO67+CO65+CO69</f>
        <v>28053.7647023201</v>
      </c>
      <c r="CP70" s="33" t="n">
        <f aca="false">CP67+CP65+CP69</f>
        <v>28053.7647023201</v>
      </c>
      <c r="CQ70" s="33" t="n">
        <f aca="false">CQ67+CQ65+CQ69</f>
        <v>28053.7647023201</v>
      </c>
      <c r="CR70" s="33" t="n">
        <f aca="false">CR67+CR65+CR69</f>
        <v>28053.7647023201</v>
      </c>
      <c r="CS70" s="33" t="n">
        <f aca="false">CS67+CS65+CS69</f>
        <v>28053.7647023201</v>
      </c>
      <c r="CT70" s="33" t="n">
        <f aca="false">CT67+CT65+CT69</f>
        <v>28053.7647023201</v>
      </c>
      <c r="CU70" s="33" t="n">
        <f aca="false">CU67+CU65+CU69</f>
        <v>28053.7647023201</v>
      </c>
      <c r="CV70" s="33" t="n">
        <f aca="false">CV67+CV65+CV69</f>
        <v>28053.7647023201</v>
      </c>
      <c r="CW70" s="33" t="n">
        <f aca="false">CW67+CW65+CW69</f>
        <v>28053.7647023201</v>
      </c>
      <c r="CX70" s="33" t="n">
        <f aca="false">CX67+CX65+CX69</f>
        <v>28053.7647023201</v>
      </c>
      <c r="CY70" s="33" t="n">
        <f aca="false">CY67+CY65+CY69</f>
        <v>28053.7647023201</v>
      </c>
      <c r="CZ70" s="33" t="n">
        <f aca="false">CZ67+CZ65+CZ69</f>
        <v>28053.7647023201</v>
      </c>
      <c r="DA70" s="33" t="n">
        <f aca="false">DA67+DA65+DA69</f>
        <v>28053.7647023201</v>
      </c>
      <c r="DB70" s="33" t="n">
        <f aca="false">DB67+DB65+DB69</f>
        <v>28053.7647023201</v>
      </c>
      <c r="DC70" s="33" t="n">
        <f aca="false">DC67+DC65+DC69</f>
        <v>28053.7647023201</v>
      </c>
      <c r="DD70" s="33" t="n">
        <f aca="false">DD67+DD65+DD69</f>
        <v>28053.7647023201</v>
      </c>
      <c r="DE70" s="33" t="n">
        <f aca="false">DE67+DE65+DE69</f>
        <v>28053.7647023201</v>
      </c>
      <c r="DF70" s="33" t="n">
        <f aca="false">DF67+DF65+DF69</f>
        <v>28053.7647023201</v>
      </c>
      <c r="DG70" s="33" t="n">
        <f aca="false">DG67+DG65+DG69</f>
        <v>28053.7647023201</v>
      </c>
      <c r="DH70" s="33" t="n">
        <f aca="false">DH67+DH65+DH69</f>
        <v>28053.7647023201</v>
      </c>
      <c r="DI70" s="33" t="n">
        <f aca="false">DI67+DI65+DI69</f>
        <v>28053.7647023201</v>
      </c>
      <c r="DJ70" s="33" t="n">
        <f aca="false">DJ67+DJ65+DJ69</f>
        <v>28053.7647023201</v>
      </c>
      <c r="DK70" s="33" t="n">
        <f aca="false">DK67+DK65+DK69</f>
        <v>28053.7647023201</v>
      </c>
      <c r="DL70" s="33" t="n">
        <f aca="false">DL67+DL65+DL69</f>
        <v>28053.7647023201</v>
      </c>
      <c r="DM70" s="33" t="n">
        <f aca="false">DM67+DM65+DM69</f>
        <v>28053.7647023201</v>
      </c>
      <c r="DN70" s="33" t="n">
        <f aca="false">DN67+DN65+DN69</f>
        <v>28053.7647023201</v>
      </c>
      <c r="DO70" s="33" t="n">
        <f aca="false">DO67+DO65+DO69</f>
        <v>28053.7647023201</v>
      </c>
      <c r="DP70" s="33" t="n">
        <f aca="false">DP67+DP65+DP69</f>
        <v>28053.7647023201</v>
      </c>
      <c r="DQ70" s="33" t="n">
        <f aca="false">DQ67+DQ65+DQ69</f>
        <v>28053.7647023201</v>
      </c>
      <c r="DR70" s="33" t="n">
        <f aca="false">DR67+DR65+DR69</f>
        <v>28053.7647023201</v>
      </c>
      <c r="DS70" s="33" t="n">
        <f aca="false">DS67+DS65+DS69</f>
        <v>28053.7647023201</v>
      </c>
      <c r="DT70" s="33" t="n">
        <f aca="false">DT67+DT65+DT69</f>
        <v>28053.7647023201</v>
      </c>
      <c r="DU70" s="33" t="n">
        <f aca="false">DU67+DU65+DU69</f>
        <v>28053.7647023201</v>
      </c>
      <c r="DV70" s="33" t="n">
        <f aca="false">DV67+DV65+DV69</f>
        <v>28053.7647023201</v>
      </c>
      <c r="DW70" s="33" t="n">
        <f aca="false">DW67+DW65+DW69</f>
        <v>28053.7647023201</v>
      </c>
      <c r="DX70" s="33" t="n">
        <f aca="false">DX67+DX65+DX69</f>
        <v>28053.7647023201</v>
      </c>
      <c r="DY70" s="33" t="n">
        <f aca="false">DY67+DY65+DY69</f>
        <v>28053.7647023201</v>
      </c>
      <c r="DZ70" s="33" t="n">
        <f aca="false">DZ67+DZ65+DZ69</f>
        <v>28053.7647023201</v>
      </c>
      <c r="EA70" s="33" t="n">
        <f aca="false">EA67+EA65+EA69</f>
        <v>28053.7647023201</v>
      </c>
      <c r="EB70" s="33" t="n">
        <f aca="false">EB67+EB65+EB69</f>
        <v>28053.7647023201</v>
      </c>
      <c r="EC70" s="33" t="n">
        <f aca="false">EC67+EC65+EC69</f>
        <v>28053.7647023201</v>
      </c>
      <c r="ED70" s="33" t="n">
        <f aca="false">ED67+ED65+ED69</f>
        <v>28053.7647023201</v>
      </c>
      <c r="EE70" s="33" t="n">
        <f aca="false">EE67+EE65+EE69</f>
        <v>28053.7647023201</v>
      </c>
      <c r="EF70" s="33" t="n">
        <f aca="false">EF67+EF65+EF69</f>
        <v>28053.7647023201</v>
      </c>
      <c r="EG70" s="33" t="n">
        <f aca="false">EG67+EG65+EG69</f>
        <v>28053.7647023201</v>
      </c>
      <c r="EH70" s="33" t="n">
        <f aca="false">EH67+EH65+EH69</f>
        <v>28053.7647023201</v>
      </c>
      <c r="EI70" s="33" t="n">
        <f aca="false">EI67+EI65+EI69</f>
        <v>28053.7647023201</v>
      </c>
      <c r="EJ70" s="33" t="n">
        <f aca="false">EJ67+EJ65+EJ69</f>
        <v>28053.7647023201</v>
      </c>
      <c r="EK70" s="33" t="n">
        <f aca="false">EK67+EK65+EK69</f>
        <v>28053.7647023201</v>
      </c>
      <c r="EL70" s="33" t="n">
        <f aca="false">EL67+EL65+EL69</f>
        <v>28053.7647023201</v>
      </c>
      <c r="EM70" s="33" t="n">
        <f aca="false">EM67+EM65+EM69</f>
        <v>28053.7647023201</v>
      </c>
      <c r="EN70" s="33" t="n">
        <f aca="false">EN67+EN65+EN69</f>
        <v>28053.7647023201</v>
      </c>
      <c r="EO70" s="33" t="n">
        <f aca="false">EO67+EO65+EO69</f>
        <v>28053.7647023201</v>
      </c>
      <c r="EP70" s="33" t="n">
        <f aca="false">EP67+EP65+EP69</f>
        <v>28053.7647023201</v>
      </c>
      <c r="EQ70" s="33" t="n">
        <f aca="false">EQ67+EQ65+EQ69</f>
        <v>28053.7647023201</v>
      </c>
      <c r="ER70" s="33" t="n">
        <f aca="false">ER67+ER65+ER69</f>
        <v>28053.7647023201</v>
      </c>
      <c r="ES70" s="33" t="n">
        <f aca="false">ES67+ES65+ES69</f>
        <v>28053.7647023201</v>
      </c>
      <c r="ET70" s="33" t="n">
        <f aca="false">ET67+ET65+ET69</f>
        <v>28053.7647023201</v>
      </c>
    </row>
    <row r="71" customFormat="false" ht="15" hidden="false" customHeight="false" outlineLevel="0" collapsed="false">
      <c r="A71" s="55"/>
      <c r="B71" s="55"/>
      <c r="C71" s="55" t="s">
        <v>538</v>
      </c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  <c r="AN71" s="55"/>
      <c r="AO71" s="55"/>
      <c r="AP71" s="55"/>
      <c r="AQ71" s="55"/>
      <c r="AR71" s="55"/>
      <c r="AS71" s="55"/>
      <c r="AT71" s="55"/>
      <c r="AU71" s="55"/>
      <c r="AV71" s="55"/>
      <c r="AW71" s="55"/>
      <c r="AX71" s="55"/>
      <c r="AY71" s="55"/>
      <c r="AZ71" s="55"/>
      <c r="BA71" s="55"/>
      <c r="BB71" s="55"/>
      <c r="BC71" s="55"/>
      <c r="BD71" s="55"/>
      <c r="BE71" s="55"/>
      <c r="BF71" s="55"/>
      <c r="BG71" s="55"/>
      <c r="BH71" s="55"/>
      <c r="BI71" s="55"/>
      <c r="BJ71" s="55"/>
      <c r="BK71" s="55"/>
      <c r="BL71" s="55"/>
      <c r="BM71" s="55"/>
      <c r="BN71" s="55"/>
      <c r="BO71" s="55"/>
      <c r="BP71" s="55"/>
      <c r="BQ71" s="55"/>
      <c r="BR71" s="55"/>
      <c r="BS71" s="55"/>
      <c r="BT71" s="55"/>
      <c r="BU71" s="55"/>
      <c r="BV71" s="55"/>
      <c r="BW71" s="55"/>
      <c r="BX71" s="55"/>
      <c r="BY71" s="55"/>
      <c r="BZ71" s="55"/>
      <c r="CA71" s="55"/>
      <c r="CB71" s="55"/>
      <c r="CC71" s="55"/>
      <c r="CD71" s="55"/>
      <c r="CE71" s="55"/>
      <c r="CF71" s="55"/>
      <c r="CG71" s="55"/>
      <c r="CH71" s="55"/>
      <c r="CI71" s="55"/>
      <c r="CJ71" s="55"/>
      <c r="CK71" s="55"/>
      <c r="CL71" s="55"/>
      <c r="CM71" s="55"/>
      <c r="CN71" s="55"/>
      <c r="CO71" s="55"/>
      <c r="CP71" s="55"/>
      <c r="CQ71" s="55"/>
      <c r="CR71" s="55"/>
      <c r="CS71" s="55"/>
      <c r="CT71" s="55"/>
      <c r="CU71" s="55"/>
      <c r="CV71" s="55"/>
      <c r="CW71" s="55"/>
      <c r="CX71" s="55"/>
      <c r="CY71" s="55"/>
      <c r="CZ71" s="55"/>
      <c r="DA71" s="55"/>
      <c r="DB71" s="55"/>
      <c r="DC71" s="55"/>
      <c r="DD71" s="55"/>
      <c r="DE71" s="55"/>
      <c r="DF71" s="55"/>
      <c r="DG71" s="55"/>
      <c r="DH71" s="55"/>
      <c r="DI71" s="55"/>
      <c r="DJ71" s="55"/>
      <c r="DK71" s="55"/>
      <c r="DL71" s="55"/>
      <c r="DM71" s="55"/>
      <c r="DN71" s="55"/>
      <c r="DO71" s="55"/>
      <c r="DP71" s="55"/>
      <c r="DQ71" s="55"/>
      <c r="DR71" s="55"/>
      <c r="DS71" s="55"/>
      <c r="DT71" s="55"/>
      <c r="DU71" s="55"/>
      <c r="DV71" s="55"/>
      <c r="DW71" s="55"/>
      <c r="DX71" s="55"/>
      <c r="DY71" s="55"/>
      <c r="DZ71" s="55"/>
      <c r="EA71" s="55"/>
      <c r="EB71" s="55"/>
      <c r="EC71" s="55"/>
      <c r="ED71" s="55"/>
      <c r="EE71" s="55"/>
      <c r="EF71" s="55"/>
      <c r="EG71" s="55"/>
      <c r="EH71" s="55"/>
      <c r="EI71" s="55"/>
      <c r="EJ71" s="55"/>
      <c r="EK71" s="55"/>
      <c r="EL71" s="55"/>
      <c r="EM71" s="55"/>
      <c r="EN71" s="55"/>
      <c r="EO71" s="55"/>
      <c r="EP71" s="55"/>
      <c r="EQ71" s="55"/>
      <c r="ER71" s="55"/>
      <c r="ES71" s="55"/>
      <c r="ET71" s="55"/>
    </row>
    <row r="72" customFormat="false" ht="15" hidden="false" customHeight="false" outlineLevel="0" collapsed="false">
      <c r="C72" s="0" t="s">
        <v>539</v>
      </c>
      <c r="D72" s="11" t="s">
        <v>253</v>
      </c>
      <c r="J72" s="22" t="n">
        <f aca="false">I75</f>
        <v>0</v>
      </c>
      <c r="K72" s="22" t="n">
        <f aca="false">J75</f>
        <v>0</v>
      </c>
      <c r="L72" s="22" t="n">
        <f aca="false">K75</f>
        <v>18.1640998311128</v>
      </c>
      <c r="M72" s="22" t="n">
        <f aca="false">L75</f>
        <v>18.1640998311128</v>
      </c>
      <c r="N72" s="22" t="n">
        <f aca="false">M75</f>
        <v>18.1640998311128</v>
      </c>
      <c r="O72" s="22" t="n">
        <f aca="false">N75</f>
        <v>18.1640998311128</v>
      </c>
      <c r="P72" s="22" t="n">
        <f aca="false">O75</f>
        <v>438.867644451117</v>
      </c>
      <c r="Q72" s="22" t="n">
        <f aca="false">P75</f>
        <v>438.867644451117</v>
      </c>
      <c r="R72" s="22" t="n">
        <f aca="false">Q75</f>
        <v>438.867644451117</v>
      </c>
      <c r="S72" s="22" t="n">
        <f aca="false">R75</f>
        <v>438.867644451117</v>
      </c>
      <c r="T72" s="22" t="n">
        <f aca="false">S75</f>
        <v>886.035170946395</v>
      </c>
      <c r="U72" s="22" t="n">
        <f aca="false">T75</f>
        <v>886.035170946395</v>
      </c>
      <c r="V72" s="22" t="n">
        <f aca="false">U75</f>
        <v>886.035170946395</v>
      </c>
      <c r="W72" s="22" t="n">
        <f aca="false">V75</f>
        <v>886.035170946395</v>
      </c>
      <c r="X72" s="22" t="n">
        <f aca="false">W75</f>
        <v>1120.48016110676</v>
      </c>
      <c r="Y72" s="22" t="n">
        <f aca="false">X75</f>
        <v>1120.48016110676</v>
      </c>
      <c r="Z72" s="22" t="n">
        <f aca="false">Y75</f>
        <v>1120.48016110676</v>
      </c>
      <c r="AA72" s="22" t="n">
        <f aca="false">Z75</f>
        <v>1120.48016110676</v>
      </c>
      <c r="AB72" s="22" t="n">
        <f aca="false">AA75</f>
        <v>1607.3226694033</v>
      </c>
      <c r="AC72" s="22" t="n">
        <f aca="false">AB75</f>
        <v>1607.3226694033</v>
      </c>
      <c r="AD72" s="22" t="n">
        <f aca="false">AC75</f>
        <v>1607.3226694033</v>
      </c>
      <c r="AE72" s="22" t="n">
        <f aca="false">AD75</f>
        <v>1607.3226694033</v>
      </c>
      <c r="AF72" s="22" t="n">
        <f aca="false">AE75</f>
        <v>1993.30208050153</v>
      </c>
      <c r="AG72" s="22" t="n">
        <f aca="false">AF75</f>
        <v>1993.30208050153</v>
      </c>
      <c r="AH72" s="22" t="n">
        <f aca="false">AG75</f>
        <v>1993.30208050153</v>
      </c>
      <c r="AI72" s="22" t="n">
        <f aca="false">AH75</f>
        <v>1993.30208050153</v>
      </c>
      <c r="AJ72" s="22" t="n">
        <f aca="false">AI75</f>
        <v>1993.30208050153</v>
      </c>
      <c r="AK72" s="22" t="n">
        <f aca="false">AJ75</f>
        <v>1993.30208050153</v>
      </c>
      <c r="AL72" s="22" t="n">
        <f aca="false">AK75</f>
        <v>1993.30208050153</v>
      </c>
      <c r="AM72" s="22" t="n">
        <f aca="false">AL75</f>
        <v>1993.30208050153</v>
      </c>
      <c r="AN72" s="22" t="n">
        <f aca="false">AM75</f>
        <v>1993.30208050153</v>
      </c>
      <c r="AO72" s="22" t="n">
        <f aca="false">AN75</f>
        <v>1993.30208050153</v>
      </c>
      <c r="AP72" s="22" t="n">
        <f aca="false">AO75</f>
        <v>1993.30208050153</v>
      </c>
      <c r="AQ72" s="22" t="n">
        <f aca="false">AP75</f>
        <v>1993.30208050153</v>
      </c>
      <c r="AR72" s="22" t="n">
        <f aca="false">AQ75</f>
        <v>1993.30208050153</v>
      </c>
      <c r="AS72" s="22" t="n">
        <f aca="false">AR75</f>
        <v>1993.30208050153</v>
      </c>
      <c r="AT72" s="22" t="n">
        <f aca="false">AS75</f>
        <v>1993.30208050153</v>
      </c>
      <c r="AU72" s="22" t="n">
        <f aca="false">AT75</f>
        <v>1993.30208050153</v>
      </c>
      <c r="AV72" s="22" t="n">
        <f aca="false">AU75</f>
        <v>1993.30208050153</v>
      </c>
      <c r="AW72" s="22" t="n">
        <f aca="false">AV75</f>
        <v>1993.30208050153</v>
      </c>
      <c r="AX72" s="22" t="n">
        <f aca="false">AW75</f>
        <v>1993.30208050153</v>
      </c>
      <c r="AY72" s="22" t="n">
        <f aca="false">AX75</f>
        <v>1993.30208050153</v>
      </c>
      <c r="AZ72" s="22" t="n">
        <f aca="false">AY75</f>
        <v>1993.30208050153</v>
      </c>
      <c r="BA72" s="22" t="n">
        <f aca="false">AZ75</f>
        <v>1993.30208050153</v>
      </c>
      <c r="BB72" s="22" t="n">
        <f aca="false">BA75</f>
        <v>1993.30208050153</v>
      </c>
      <c r="BC72" s="22" t="n">
        <f aca="false">BB75</f>
        <v>1993.30208050153</v>
      </c>
      <c r="BD72" s="22" t="n">
        <f aca="false">BC75</f>
        <v>1993.30208050153</v>
      </c>
      <c r="BE72" s="22" t="n">
        <f aca="false">BD75</f>
        <v>1993.30208050153</v>
      </c>
      <c r="BF72" s="22" t="n">
        <f aca="false">BE75</f>
        <v>1993.30208050153</v>
      </c>
      <c r="BG72" s="22" t="n">
        <f aca="false">BF75</f>
        <v>1993.30208050153</v>
      </c>
      <c r="BH72" s="22" t="n">
        <f aca="false">BG75</f>
        <v>1993.30208050153</v>
      </c>
      <c r="BI72" s="22" t="n">
        <f aca="false">BH75</f>
        <v>1993.30208050153</v>
      </c>
      <c r="BJ72" s="22" t="n">
        <f aca="false">BI75</f>
        <v>1993.30208050153</v>
      </c>
      <c r="BK72" s="22" t="n">
        <f aca="false">BJ75</f>
        <v>1993.30208050153</v>
      </c>
      <c r="BL72" s="22" t="n">
        <f aca="false">BK75</f>
        <v>1993.30208050153</v>
      </c>
      <c r="BM72" s="22" t="n">
        <f aca="false">BL75</f>
        <v>1993.30208050153</v>
      </c>
      <c r="BN72" s="22" t="n">
        <f aca="false">BM75</f>
        <v>1993.30208050153</v>
      </c>
      <c r="BO72" s="22" t="n">
        <f aca="false">BN75</f>
        <v>1993.30208050153</v>
      </c>
      <c r="BP72" s="22" t="n">
        <f aca="false">BO75</f>
        <v>1993.30208050153</v>
      </c>
      <c r="BQ72" s="22" t="n">
        <f aca="false">BP75</f>
        <v>1993.30208050153</v>
      </c>
      <c r="BR72" s="22" t="n">
        <f aca="false">BQ75</f>
        <v>1993.30208050153</v>
      </c>
      <c r="BS72" s="22" t="n">
        <f aca="false">BR75</f>
        <v>1993.30208050153</v>
      </c>
      <c r="BT72" s="22" t="n">
        <f aca="false">BS75</f>
        <v>1993.30208050153</v>
      </c>
      <c r="BU72" s="22" t="n">
        <f aca="false">BT75</f>
        <v>1993.30208050153</v>
      </c>
      <c r="BV72" s="22" t="n">
        <f aca="false">BU75</f>
        <v>1993.30208050153</v>
      </c>
      <c r="BW72" s="22" t="n">
        <f aca="false">BV75</f>
        <v>1993.30208050153</v>
      </c>
      <c r="BX72" s="22" t="n">
        <f aca="false">BW75</f>
        <v>1993.30208050153</v>
      </c>
      <c r="BY72" s="22" t="n">
        <f aca="false">BX75</f>
        <v>1993.30208050153</v>
      </c>
      <c r="BZ72" s="22" t="n">
        <f aca="false">BY75</f>
        <v>1993.30208050153</v>
      </c>
      <c r="CA72" s="22" t="n">
        <f aca="false">BZ75</f>
        <v>1993.30208050153</v>
      </c>
      <c r="CB72" s="22" t="n">
        <f aca="false">CA75</f>
        <v>1993.30208050153</v>
      </c>
      <c r="CC72" s="22" t="n">
        <f aca="false">CB75</f>
        <v>1993.30208050153</v>
      </c>
      <c r="CD72" s="22" t="n">
        <f aca="false">CC75</f>
        <v>1993.30208050153</v>
      </c>
      <c r="CE72" s="22" t="n">
        <f aca="false">CD75</f>
        <v>1993.30208050153</v>
      </c>
      <c r="CF72" s="22" t="n">
        <f aca="false">CE75</f>
        <v>1993.30208050153</v>
      </c>
      <c r="CG72" s="22" t="n">
        <f aca="false">CF75</f>
        <v>1993.30208050153</v>
      </c>
      <c r="CH72" s="22" t="n">
        <f aca="false">CG75</f>
        <v>1993.30208050153</v>
      </c>
      <c r="CI72" s="22" t="n">
        <f aca="false">CH75</f>
        <v>1993.30208050153</v>
      </c>
      <c r="CJ72" s="22" t="n">
        <f aca="false">CI75</f>
        <v>1993.30208050153</v>
      </c>
      <c r="CK72" s="22" t="n">
        <f aca="false">CJ75</f>
        <v>1993.30208050153</v>
      </c>
      <c r="CL72" s="22" t="n">
        <f aca="false">CK75</f>
        <v>1993.30208050153</v>
      </c>
      <c r="CM72" s="22" t="n">
        <f aca="false">CL75</f>
        <v>1993.30208050153</v>
      </c>
      <c r="CN72" s="22" t="n">
        <f aca="false">CM75</f>
        <v>1993.30208050153</v>
      </c>
      <c r="CO72" s="22" t="n">
        <f aca="false">CN75</f>
        <v>1993.30208050153</v>
      </c>
      <c r="CP72" s="22" t="n">
        <f aca="false">CO75</f>
        <v>1993.30208050153</v>
      </c>
      <c r="CQ72" s="22" t="n">
        <f aca="false">CP75</f>
        <v>1993.30208050153</v>
      </c>
      <c r="CR72" s="22" t="n">
        <f aca="false">CQ75</f>
        <v>1993.30208050153</v>
      </c>
      <c r="CS72" s="22" t="n">
        <f aca="false">CR75</f>
        <v>1993.30208050153</v>
      </c>
      <c r="CT72" s="22" t="n">
        <f aca="false">CS75</f>
        <v>1993.30208050153</v>
      </c>
      <c r="CU72" s="22" t="n">
        <f aca="false">CT75</f>
        <v>1993.30208050153</v>
      </c>
      <c r="CV72" s="22" t="n">
        <f aca="false">CU75</f>
        <v>1993.30208050153</v>
      </c>
      <c r="CW72" s="22" t="n">
        <f aca="false">CV75</f>
        <v>1993.30208050153</v>
      </c>
      <c r="CX72" s="22" t="n">
        <f aca="false">CW75</f>
        <v>1993.30208050153</v>
      </c>
      <c r="CY72" s="22" t="n">
        <f aca="false">CX75</f>
        <v>1993.30208050153</v>
      </c>
      <c r="CZ72" s="22" t="n">
        <f aca="false">CY75</f>
        <v>1993.30208050153</v>
      </c>
      <c r="DA72" s="22" t="n">
        <f aca="false">CZ75</f>
        <v>1993.30208050153</v>
      </c>
      <c r="DB72" s="22" t="n">
        <f aca="false">DA75</f>
        <v>1993.30208050153</v>
      </c>
      <c r="DC72" s="22" t="n">
        <f aca="false">DB75</f>
        <v>1993.30208050153</v>
      </c>
      <c r="DD72" s="22" t="n">
        <f aca="false">DC75</f>
        <v>1993.30208050153</v>
      </c>
      <c r="DE72" s="22" t="n">
        <f aca="false">DD75</f>
        <v>1993.30208050153</v>
      </c>
      <c r="DF72" s="22" t="n">
        <f aca="false">DE75</f>
        <v>1993.30208050153</v>
      </c>
      <c r="DG72" s="22" t="n">
        <f aca="false">DF75</f>
        <v>1993.30208050153</v>
      </c>
      <c r="DH72" s="22" t="n">
        <f aca="false">DG75</f>
        <v>1993.30208050153</v>
      </c>
      <c r="DI72" s="22" t="n">
        <f aca="false">DH75</f>
        <v>1993.30208050153</v>
      </c>
      <c r="DJ72" s="22" t="n">
        <f aca="false">DI75</f>
        <v>1993.30208050153</v>
      </c>
      <c r="DK72" s="22" t="n">
        <f aca="false">DJ75</f>
        <v>1993.30208050153</v>
      </c>
      <c r="DL72" s="22" t="n">
        <f aca="false">DK75</f>
        <v>1993.30208050153</v>
      </c>
      <c r="DM72" s="22" t="n">
        <f aca="false">DL75</f>
        <v>1993.30208050153</v>
      </c>
      <c r="DN72" s="22" t="n">
        <f aca="false">DM75</f>
        <v>1993.30208050153</v>
      </c>
      <c r="DO72" s="22" t="n">
        <f aca="false">DN75</f>
        <v>1993.30208050153</v>
      </c>
      <c r="DP72" s="22" t="n">
        <f aca="false">DO75</f>
        <v>1993.30208050153</v>
      </c>
      <c r="DQ72" s="22" t="n">
        <f aca="false">DP75</f>
        <v>1993.30208050153</v>
      </c>
      <c r="DR72" s="22" t="n">
        <f aca="false">DQ75</f>
        <v>1993.30208050153</v>
      </c>
      <c r="DS72" s="22" t="n">
        <f aca="false">DR75</f>
        <v>1993.30208050153</v>
      </c>
      <c r="DT72" s="22" t="n">
        <f aca="false">DS75</f>
        <v>1993.30208050153</v>
      </c>
      <c r="DU72" s="22" t="n">
        <f aca="false">DT75</f>
        <v>1993.30208050153</v>
      </c>
      <c r="DV72" s="22" t="n">
        <f aca="false">DU75</f>
        <v>1993.30208050153</v>
      </c>
      <c r="DW72" s="22" t="n">
        <f aca="false">DV75</f>
        <v>1993.30208050153</v>
      </c>
      <c r="DX72" s="22" t="n">
        <f aca="false">DW75</f>
        <v>1993.30208050153</v>
      </c>
      <c r="DY72" s="22" t="n">
        <f aca="false">DX75</f>
        <v>1993.30208050153</v>
      </c>
      <c r="DZ72" s="22" t="n">
        <f aca="false">DY75</f>
        <v>1993.30208050153</v>
      </c>
      <c r="EA72" s="22" t="n">
        <f aca="false">DZ75</f>
        <v>1993.30208050153</v>
      </c>
      <c r="EB72" s="22" t="n">
        <f aca="false">EA75</f>
        <v>1993.30208050153</v>
      </c>
      <c r="EC72" s="22" t="n">
        <f aca="false">EB75</f>
        <v>1993.30208050153</v>
      </c>
      <c r="ED72" s="22" t="n">
        <f aca="false">EC75</f>
        <v>1993.30208050153</v>
      </c>
      <c r="EE72" s="22" t="n">
        <f aca="false">ED75</f>
        <v>1993.30208050153</v>
      </c>
      <c r="EF72" s="22" t="n">
        <f aca="false">EE75</f>
        <v>1993.30208050153</v>
      </c>
      <c r="EG72" s="22" t="n">
        <f aca="false">EF75</f>
        <v>1993.30208050153</v>
      </c>
      <c r="EH72" s="22" t="n">
        <f aca="false">EG75</f>
        <v>1993.30208050153</v>
      </c>
      <c r="EI72" s="22" t="n">
        <f aca="false">EH75</f>
        <v>1993.30208050153</v>
      </c>
      <c r="EJ72" s="22" t="n">
        <f aca="false">EI75</f>
        <v>1993.30208050153</v>
      </c>
      <c r="EK72" s="22" t="n">
        <f aca="false">EJ75</f>
        <v>1993.30208050153</v>
      </c>
      <c r="EL72" s="22" t="n">
        <f aca="false">EK75</f>
        <v>1993.30208050153</v>
      </c>
      <c r="EM72" s="22" t="n">
        <f aca="false">EL75</f>
        <v>1993.30208050153</v>
      </c>
      <c r="EN72" s="22" t="n">
        <f aca="false">EM75</f>
        <v>1993.30208050153</v>
      </c>
      <c r="EO72" s="22" t="n">
        <f aca="false">EN75</f>
        <v>1993.30208050153</v>
      </c>
      <c r="EP72" s="22" t="n">
        <f aca="false">EO75</f>
        <v>1993.30208050153</v>
      </c>
      <c r="EQ72" s="22" t="n">
        <f aca="false">EP75</f>
        <v>1993.30208050153</v>
      </c>
      <c r="ER72" s="22" t="n">
        <f aca="false">EQ75</f>
        <v>1993.30208050153</v>
      </c>
      <c r="ES72" s="22" t="n">
        <f aca="false">ER75</f>
        <v>1993.30208050153</v>
      </c>
      <c r="ET72" s="22" t="n">
        <f aca="false">ES75</f>
        <v>1993.30208050153</v>
      </c>
    </row>
    <row r="73" customFormat="false" ht="15" hidden="false" customHeight="false" outlineLevel="0" collapsed="false">
      <c r="C73" s="0" t="s">
        <v>535</v>
      </c>
      <c r="D73" s="11" t="s">
        <v>253</v>
      </c>
      <c r="E73" s="33" t="n">
        <f aca="false">SUMIF($J$4:$ET$4,"&lt;="&amp;$E12,$J73:$ET73)</f>
        <v>1120.48016110676</v>
      </c>
      <c r="F73" s="33" t="n">
        <f aca="false">SUMIF($J$4:$ET$4,"&lt;="&amp;In_COD,$J73:$ET73)</f>
        <v>1993.30208050153</v>
      </c>
      <c r="I73" s="33" t="n">
        <f aca="false">SUM(J73:ET73)</f>
        <v>1993.30208050153</v>
      </c>
      <c r="J73" s="33" t="n">
        <f aca="false">In_Guar_Credit*(1-J19)*(J72+J48+J49)*J$5/Days_In_Year*(J$4&lt;=In_COD)</f>
        <v>0</v>
      </c>
      <c r="K73" s="33" t="n">
        <f aca="false">In_Guar_Credit*(1-K19)*(K72+K48+K49)*K$5/Days_In_Year*(K$4&lt;=In_COD)</f>
        <v>18.1640998311128</v>
      </c>
      <c r="L73" s="33" t="n">
        <f aca="false">In_Guar_Credit*(1-L19)*(L72+L48+L49)*L$5/Days_In_Year*(L$4&lt;=In_COD)</f>
        <v>103.735120591234</v>
      </c>
      <c r="M73" s="33" t="n">
        <f aca="false">In_Guar_Credit*(1-M19)*(M72+M48+M49)*M$5/Days_In_Year*(M$4&lt;=In_COD)</f>
        <v>104.887733042248</v>
      </c>
      <c r="N73" s="33" t="n">
        <f aca="false">In_Guar_Credit*(1-N19)*(N72+N48+N49)*N$5/Days_In_Year*(N$4&lt;=In_COD)</f>
        <v>106.040345493261</v>
      </c>
      <c r="O73" s="33" t="n">
        <f aca="false">In_Guar_Credit*(1-O19)*(O72+O48+O49)*O$5/Days_In_Year*(O$4&lt;=In_COD)</f>
        <v>106.040345493261</v>
      </c>
      <c r="P73" s="33" t="n">
        <f aca="false">In_Guar_Credit*(1-P19)*(P72+P48+P49)*P$5/Days_In_Year*(P$4&lt;=In_COD)</f>
        <v>111.180997024782</v>
      </c>
      <c r="Q73" s="33" t="n">
        <f aca="false">In_Guar_Credit*(1-Q19)*(Q72+Q48+Q49)*Q$5/Days_In_Year*(Q$4&lt;=In_COD)</f>
        <v>111.180997024782</v>
      </c>
      <c r="R73" s="33" t="n">
        <f aca="false">In_Guar_Credit*(1-R19)*(R72+R48+R49)*R$5/Days_In_Year*(R$4&lt;=In_COD)</f>
        <v>112.402766222857</v>
      </c>
      <c r="S73" s="33" t="n">
        <f aca="false">In_Guar_Credit*(1-S19)*(S72+S48+S49)*S$5/Days_In_Year*(S$4&lt;=In_COD)</f>
        <v>112.402766222857</v>
      </c>
      <c r="T73" s="33" t="n">
        <f aca="false">In_Guar_Credit*(1-T19)*(T72+T48+T49)*T$5/Days_In_Year*(T$4&lt;=In_COD)</f>
        <v>116.574856985816</v>
      </c>
      <c r="U73" s="33" t="n">
        <f aca="false">In_Guar_Credit*(1-U19)*(U72+U48+U49)*U$5/Days_In_Year*(U$4&lt;=In_COD)</f>
        <v>117.870133174547</v>
      </c>
      <c r="V73" s="33" t="n">
        <f aca="false">In_Guar_Credit*(1-V19)*(V72+V48+V49)*V$5/Days_In_Year*(V$4&lt;=In_COD)</f>
        <v>0</v>
      </c>
      <c r="W73" s="33" t="n">
        <f aca="false">In_Guar_Credit*(1-W19)*(W72+W48+W49)*W$5/Days_In_Year*(W$4&lt;=In_COD)</f>
        <v>0</v>
      </c>
      <c r="X73" s="33" t="n">
        <f aca="false">In_Guar_Credit*(1-X19)*(X72+X48+X49)*X$5/Days_In_Year*(X$4&lt;=In_COD)</f>
        <v>120.043358210106</v>
      </c>
      <c r="Y73" s="33" t="n">
        <f aca="false">In_Guar_Credit*(1-Y19)*(Y72+Y48+Y49)*Y$5/Days_In_Year*(Y$4&lt;=In_COD)</f>
        <v>121.37717330133</v>
      </c>
      <c r="Z73" s="33" t="n">
        <f aca="false">In_Guar_Credit*(1-Z19)*(Z72+Z48+Z49)*Z$5/Days_In_Year*(Z$4&lt;=In_COD)</f>
        <v>122.710988392553</v>
      </c>
      <c r="AA73" s="33" t="n">
        <f aca="false">In_Guar_Credit*(1-AA19)*(AA72+AA48+AA49)*AA$5/Days_In_Year*(AA$4&lt;=In_COD)</f>
        <v>122.710988392553</v>
      </c>
      <c r="AB73" s="33" t="n">
        <f aca="false">In_Guar_Credit*(1-AB19)*(AB72+AB48+AB49)*AB$5/Days_In_Year*(AB$4&lt;=In_COD)</f>
        <v>127.245959702713</v>
      </c>
      <c r="AC73" s="33" t="n">
        <f aca="false">In_Guar_Credit*(1-AC19)*(AC72+AC48+AC49)*AC$5/Days_In_Year*(AC$4&lt;=In_COD)</f>
        <v>128.65980369941</v>
      </c>
      <c r="AD73" s="33" t="n">
        <f aca="false">In_Guar_Credit*(1-AD19)*(AD72+AD48+AD49)*AD$5/Days_In_Year*(AD$4&lt;=In_COD)</f>
        <v>130.073647696106</v>
      </c>
      <c r="AE73" s="33" t="n">
        <f aca="false">In_Guar_Credit*(1-AE19)*(AE72+AE48+AE49)*AE$5/Days_In_Year*(AE$4&lt;=In_COD)</f>
        <v>0</v>
      </c>
      <c r="AF73" s="33" t="n">
        <f aca="false">In_Guar_Credit*(1-AF19)*(AF72+AF48+AF49)*AF$5/Days_In_Year*(AF$4&lt;=In_COD)</f>
        <v>0</v>
      </c>
      <c r="AG73" s="33" t="n">
        <f aca="false">In_Guar_Credit*(1-AG19)*(AG72+AG48+AG49)*AG$5/Days_In_Year*(AG$4&lt;=In_COD)</f>
        <v>0</v>
      </c>
      <c r="AH73" s="33" t="n">
        <f aca="false">In_Guar_Credit*(1-AH19)*(AH72+AH48+AH49)*AH$5/Days_In_Year*(AH$4&lt;=In_COD)</f>
        <v>0</v>
      </c>
      <c r="AI73" s="33" t="n">
        <f aca="false">In_Guar_Credit*(1-AI19)*(AI72+AI48+AI49)*AI$5/Days_In_Year*(AI$4&lt;=In_COD)</f>
        <v>0</v>
      </c>
      <c r="AJ73" s="33" t="n">
        <f aca="false">In_Guar_Credit*(1-AJ19)*(AJ72+AJ48+AJ49)*AJ$5/Days_In_Year*(AJ$4&lt;=In_COD)</f>
        <v>0</v>
      </c>
      <c r="AK73" s="33" t="n">
        <f aca="false">In_Guar_Credit*(1-AK19)*(AK72+AK48+AK49)*AK$5/Days_In_Year*(AK$4&lt;=In_COD)</f>
        <v>0</v>
      </c>
      <c r="AL73" s="33" t="n">
        <f aca="false">In_Guar_Credit*(1-AL19)*(AL72+AL48+AL49)*AL$5/Days_In_Year*(AL$4&lt;=In_COD)</f>
        <v>0</v>
      </c>
      <c r="AM73" s="33" t="n">
        <f aca="false">In_Guar_Credit*(1-AM19)*(AM72+AM48+AM49)*AM$5/Days_In_Year*(AM$4&lt;=In_COD)</f>
        <v>0</v>
      </c>
      <c r="AN73" s="33" t="n">
        <f aca="false">In_Guar_Credit*(1-AN19)*(AN72+AN48+AN49)*AN$5/Days_In_Year*(AN$4&lt;=In_COD)</f>
        <v>0</v>
      </c>
      <c r="AO73" s="33" t="n">
        <f aca="false">In_Guar_Credit*(1-AO19)*(AO72+AO48+AO49)*AO$5/Days_In_Year*(AO$4&lt;=In_COD)</f>
        <v>0</v>
      </c>
      <c r="AP73" s="33" t="n">
        <f aca="false">In_Guar_Credit*(1-AP19)*(AP72+AP48+AP49)*AP$5/Days_In_Year*(AP$4&lt;=In_COD)</f>
        <v>0</v>
      </c>
      <c r="AQ73" s="33" t="n">
        <f aca="false">In_Guar_Credit*(1-AQ19)*(AQ72+AQ48+AQ49)*AQ$5/Days_In_Year*(AQ$4&lt;=In_COD)</f>
        <v>0</v>
      </c>
      <c r="AR73" s="33" t="n">
        <f aca="false">In_Guar_Credit*(1-AR19)*(AR72+AR48+AR49)*AR$5/Days_In_Year*(AR$4&lt;=In_COD)</f>
        <v>0</v>
      </c>
      <c r="AS73" s="33" t="n">
        <f aca="false">In_Guar_Credit*(1-AS19)*(AS72+AS48+AS49)*AS$5/Days_In_Year*(AS$4&lt;=In_COD)</f>
        <v>0</v>
      </c>
      <c r="AT73" s="33" t="n">
        <f aca="false">In_Guar_Credit*(1-AT19)*(AT72+AT48+AT49)*AT$5/Days_In_Year*(AT$4&lt;=In_COD)</f>
        <v>0</v>
      </c>
      <c r="AU73" s="33" t="n">
        <f aca="false">In_Guar_Credit*(1-AU19)*(AU72+AU48+AU49)*AU$5/Days_In_Year*(AU$4&lt;=In_COD)</f>
        <v>0</v>
      </c>
      <c r="AV73" s="33" t="n">
        <f aca="false">In_Guar_Credit*(1-AV19)*(AV72+AV48+AV49)*AV$5/Days_In_Year*(AV$4&lt;=In_COD)</f>
        <v>0</v>
      </c>
      <c r="AW73" s="33" t="n">
        <f aca="false">In_Guar_Credit*(1-AW19)*(AW72+AW48+AW49)*AW$5/Days_In_Year*(AW$4&lt;=In_COD)</f>
        <v>0</v>
      </c>
      <c r="AX73" s="33" t="n">
        <f aca="false">In_Guar_Credit*(1-AX19)*(AX72+AX48+AX49)*AX$5/Days_In_Year*(AX$4&lt;=In_COD)</f>
        <v>0</v>
      </c>
      <c r="AY73" s="33" t="n">
        <f aca="false">In_Guar_Credit*(1-AY19)*(AY72+AY48+AY49)*AY$5/Days_In_Year*(AY$4&lt;=In_COD)</f>
        <v>0</v>
      </c>
      <c r="AZ73" s="33" t="n">
        <f aca="false">In_Guar_Credit*(1-AZ19)*(AZ72+AZ48+AZ49)*AZ$5/Days_In_Year*(AZ$4&lt;=In_COD)</f>
        <v>0</v>
      </c>
      <c r="BA73" s="33" t="n">
        <f aca="false">In_Guar_Credit*(1-BA19)*(BA72+BA48+BA49)*BA$5/Days_In_Year*(BA$4&lt;=In_COD)</f>
        <v>0</v>
      </c>
      <c r="BB73" s="33" t="n">
        <f aca="false">In_Guar_Credit*(1-BB19)*(BB72+BB48+BB49)*BB$5/Days_In_Year*(BB$4&lt;=In_COD)</f>
        <v>0</v>
      </c>
      <c r="BC73" s="33" t="n">
        <f aca="false">In_Guar_Credit*(1-BC19)*(BC72+BC48+BC49)*BC$5/Days_In_Year*(BC$4&lt;=In_COD)</f>
        <v>0</v>
      </c>
      <c r="BD73" s="33" t="n">
        <f aca="false">In_Guar_Credit*(1-BD19)*(BD72+BD48+BD49)*BD$5/Days_In_Year*(BD$4&lt;=In_COD)</f>
        <v>0</v>
      </c>
      <c r="BE73" s="33" t="n">
        <f aca="false">In_Guar_Credit*(1-BE19)*(BE72+BE48+BE49)*BE$5/Days_In_Year*(BE$4&lt;=In_COD)</f>
        <v>0</v>
      </c>
      <c r="BF73" s="33" t="n">
        <f aca="false">In_Guar_Credit*(1-BF19)*(BF72+BF48+BF49)*BF$5/Days_In_Year*(BF$4&lt;=In_COD)</f>
        <v>0</v>
      </c>
      <c r="BG73" s="33" t="n">
        <f aca="false">In_Guar_Credit*(1-BG19)*(BG72+BG48+BG49)*BG$5/Days_In_Year*(BG$4&lt;=In_COD)</f>
        <v>0</v>
      </c>
      <c r="BH73" s="33" t="n">
        <f aca="false">In_Guar_Credit*(1-BH19)*(BH72+BH48+BH49)*BH$5/Days_In_Year*(BH$4&lt;=In_COD)</f>
        <v>0</v>
      </c>
      <c r="BI73" s="33" t="n">
        <f aca="false">In_Guar_Credit*(1-BI19)*(BI72+BI48+BI49)*BI$5/Days_In_Year*(BI$4&lt;=In_COD)</f>
        <v>0</v>
      </c>
      <c r="BJ73" s="33" t="n">
        <f aca="false">In_Guar_Credit*(1-BJ19)*(BJ72+BJ48+BJ49)*BJ$5/Days_In_Year*(BJ$4&lt;=In_COD)</f>
        <v>0</v>
      </c>
      <c r="BK73" s="33" t="n">
        <f aca="false">In_Guar_Credit*(1-BK19)*(BK72+BK48+BK49)*BK$5/Days_In_Year*(BK$4&lt;=In_COD)</f>
        <v>0</v>
      </c>
      <c r="BL73" s="33" t="n">
        <f aca="false">In_Guar_Credit*(1-BL19)*(BL72+BL48+BL49)*BL$5/Days_In_Year*(BL$4&lt;=In_COD)</f>
        <v>0</v>
      </c>
      <c r="BM73" s="33" t="n">
        <f aca="false">In_Guar_Credit*(1-BM19)*(BM72+BM48+BM49)*BM$5/Days_In_Year*(BM$4&lt;=In_COD)</f>
        <v>0</v>
      </c>
      <c r="BN73" s="33" t="n">
        <f aca="false">In_Guar_Credit*(1-BN19)*(BN72+BN48+BN49)*BN$5/Days_In_Year*(BN$4&lt;=In_COD)</f>
        <v>0</v>
      </c>
      <c r="BO73" s="33" t="n">
        <f aca="false">In_Guar_Credit*(1-BO19)*(BO72+BO48+BO49)*BO$5/Days_In_Year*(BO$4&lt;=In_COD)</f>
        <v>0</v>
      </c>
      <c r="BP73" s="33" t="n">
        <f aca="false">In_Guar_Credit*(1-BP19)*(BP72+BP48+BP49)*BP$5/Days_In_Year*(BP$4&lt;=In_COD)</f>
        <v>0</v>
      </c>
      <c r="BQ73" s="33" t="n">
        <f aca="false">In_Guar_Credit*(1-BQ19)*(BQ72+BQ48+BQ49)*BQ$5/Days_In_Year*(BQ$4&lt;=In_COD)</f>
        <v>0</v>
      </c>
      <c r="BR73" s="33" t="n">
        <f aca="false">In_Guar_Credit*(1-BR19)*(BR72+BR48+BR49)*BR$5/Days_In_Year*(BR$4&lt;=In_COD)</f>
        <v>0</v>
      </c>
      <c r="BS73" s="33" t="n">
        <f aca="false">In_Guar_Credit*(1-BS19)*(BS72+BS48+BS49)*BS$5/Days_In_Year*(BS$4&lt;=In_COD)</f>
        <v>0</v>
      </c>
      <c r="BT73" s="33" t="n">
        <f aca="false">In_Guar_Credit*(1-BT19)*(BT72+BT48+BT49)*BT$5/Days_In_Year*(BT$4&lt;=In_COD)</f>
        <v>0</v>
      </c>
      <c r="BU73" s="33" t="n">
        <f aca="false">In_Guar_Credit*(1-BU19)*(BU72+BU48+BU49)*BU$5/Days_In_Year*(BU$4&lt;=In_COD)</f>
        <v>0</v>
      </c>
      <c r="BV73" s="33" t="n">
        <f aca="false">In_Guar_Credit*(1-BV19)*(BV72+BV48+BV49)*BV$5/Days_In_Year*(BV$4&lt;=In_COD)</f>
        <v>0</v>
      </c>
      <c r="BW73" s="33" t="n">
        <f aca="false">In_Guar_Credit*(1-BW19)*(BW72+BW48+BW49)*BW$5/Days_In_Year*(BW$4&lt;=In_COD)</f>
        <v>0</v>
      </c>
      <c r="BX73" s="33" t="n">
        <f aca="false">In_Guar_Credit*(1-BX19)*(BX72+BX48+BX49)*BX$5/Days_In_Year*(BX$4&lt;=In_COD)</f>
        <v>0</v>
      </c>
      <c r="BY73" s="33" t="n">
        <f aca="false">In_Guar_Credit*(1-BY19)*(BY72+BY48+BY49)*BY$5/Days_In_Year*(BY$4&lt;=In_COD)</f>
        <v>0</v>
      </c>
      <c r="BZ73" s="33" t="n">
        <f aca="false">In_Guar_Credit*(1-BZ19)*(BZ72+BZ48+BZ49)*BZ$5/Days_In_Year*(BZ$4&lt;=In_COD)</f>
        <v>0</v>
      </c>
      <c r="CA73" s="33" t="n">
        <f aca="false">In_Guar_Credit*(1-CA19)*(CA72+CA48+CA49)*CA$5/Days_In_Year*(CA$4&lt;=In_COD)</f>
        <v>0</v>
      </c>
      <c r="CB73" s="33" t="n">
        <f aca="false">In_Guar_Credit*(1-CB19)*(CB72+CB48+CB49)*CB$5/Days_In_Year*(CB$4&lt;=In_COD)</f>
        <v>0</v>
      </c>
      <c r="CC73" s="33" t="n">
        <f aca="false">In_Guar_Credit*(1-CC19)*(CC72+CC48+CC49)*CC$5/Days_In_Year*(CC$4&lt;=In_COD)</f>
        <v>0</v>
      </c>
      <c r="CD73" s="33" t="n">
        <f aca="false">In_Guar_Credit*(1-CD19)*(CD72+CD48+CD49)*CD$5/Days_In_Year*(CD$4&lt;=In_COD)</f>
        <v>0</v>
      </c>
      <c r="CE73" s="33" t="n">
        <f aca="false">In_Guar_Credit*(1-CE19)*(CE72+CE48+CE49)*CE$5/Days_In_Year*(CE$4&lt;=In_COD)</f>
        <v>0</v>
      </c>
      <c r="CF73" s="33" t="n">
        <f aca="false">In_Guar_Credit*(1-CF19)*(CF72+CF48+CF49)*CF$5/Days_In_Year*(CF$4&lt;=In_COD)</f>
        <v>0</v>
      </c>
      <c r="CG73" s="33" t="n">
        <f aca="false">In_Guar_Credit*(1-CG19)*(CG72+CG48+CG49)*CG$5/Days_In_Year*(CG$4&lt;=In_COD)</f>
        <v>0</v>
      </c>
      <c r="CH73" s="33" t="n">
        <f aca="false">In_Guar_Credit*(1-CH19)*(CH72+CH48+CH49)*CH$5/Days_In_Year*(CH$4&lt;=In_COD)</f>
        <v>0</v>
      </c>
      <c r="CI73" s="33" t="n">
        <f aca="false">In_Guar_Credit*(1-CI19)*(CI72+CI48+CI49)*CI$5/Days_In_Year*(CI$4&lt;=In_COD)</f>
        <v>0</v>
      </c>
      <c r="CJ73" s="33" t="n">
        <f aca="false">In_Guar_Credit*(1-CJ19)*(CJ72+CJ48+CJ49)*CJ$5/Days_In_Year*(CJ$4&lt;=In_COD)</f>
        <v>0</v>
      </c>
      <c r="CK73" s="33" t="n">
        <f aca="false">In_Guar_Credit*(1-CK19)*(CK72+CK48+CK49)*CK$5/Days_In_Year*(CK$4&lt;=In_COD)</f>
        <v>0</v>
      </c>
      <c r="CL73" s="33" t="n">
        <f aca="false">In_Guar_Credit*(1-CL19)*(CL72+CL48+CL49)*CL$5/Days_In_Year*(CL$4&lt;=In_COD)</f>
        <v>0</v>
      </c>
      <c r="CM73" s="33" t="n">
        <f aca="false">In_Guar_Credit*(1-CM19)*(CM72+CM48+CM49)*CM$5/Days_In_Year*(CM$4&lt;=In_COD)</f>
        <v>0</v>
      </c>
      <c r="CN73" s="33" t="n">
        <f aca="false">In_Guar_Credit*(1-CN19)*(CN72+CN48+CN49)*CN$5/Days_In_Year*(CN$4&lt;=In_COD)</f>
        <v>0</v>
      </c>
      <c r="CO73" s="33" t="n">
        <f aca="false">In_Guar_Credit*(1-CO19)*(CO72+CO48+CO49)*CO$5/Days_In_Year*(CO$4&lt;=In_COD)</f>
        <v>0</v>
      </c>
      <c r="CP73" s="33" t="n">
        <f aca="false">In_Guar_Credit*(1-CP19)*(CP72+CP48+CP49)*CP$5/Days_In_Year*(CP$4&lt;=In_COD)</f>
        <v>0</v>
      </c>
      <c r="CQ73" s="33" t="n">
        <f aca="false">In_Guar_Credit*(1-CQ19)*(CQ72+CQ48+CQ49)*CQ$5/Days_In_Year*(CQ$4&lt;=In_COD)</f>
        <v>0</v>
      </c>
      <c r="CR73" s="33" t="n">
        <f aca="false">In_Guar_Credit*(1-CR19)*(CR72+CR48+CR49)*CR$5/Days_In_Year*(CR$4&lt;=In_COD)</f>
        <v>0</v>
      </c>
      <c r="CS73" s="33" t="n">
        <f aca="false">In_Guar_Credit*(1-CS19)*(CS72+CS48+CS49)*CS$5/Days_In_Year*(CS$4&lt;=In_COD)</f>
        <v>0</v>
      </c>
      <c r="CT73" s="33" t="n">
        <f aca="false">In_Guar_Credit*(1-CT19)*(CT72+CT48+CT49)*CT$5/Days_In_Year*(CT$4&lt;=In_COD)</f>
        <v>0</v>
      </c>
      <c r="CU73" s="33" t="n">
        <f aca="false">In_Guar_Credit*(1-CU19)*(CU72+CU48+CU49)*CU$5/Days_In_Year*(CU$4&lt;=In_COD)</f>
        <v>0</v>
      </c>
      <c r="CV73" s="33" t="n">
        <f aca="false">In_Guar_Credit*(1-CV19)*(CV72+CV48+CV49)*CV$5/Days_In_Year*(CV$4&lt;=In_COD)</f>
        <v>0</v>
      </c>
      <c r="CW73" s="33" t="n">
        <f aca="false">In_Guar_Credit*(1-CW19)*(CW72+CW48+CW49)*CW$5/Days_In_Year*(CW$4&lt;=In_COD)</f>
        <v>0</v>
      </c>
      <c r="CX73" s="33" t="n">
        <f aca="false">In_Guar_Credit*(1-CX19)*(CX72+CX48+CX49)*CX$5/Days_In_Year*(CX$4&lt;=In_COD)</f>
        <v>0</v>
      </c>
      <c r="CY73" s="33" t="n">
        <f aca="false">In_Guar_Credit*(1-CY19)*(CY72+CY48+CY49)*CY$5/Days_In_Year*(CY$4&lt;=In_COD)</f>
        <v>0</v>
      </c>
      <c r="CZ73" s="33" t="n">
        <f aca="false">In_Guar_Credit*(1-CZ19)*(CZ72+CZ48+CZ49)*CZ$5/Days_In_Year*(CZ$4&lt;=In_COD)</f>
        <v>0</v>
      </c>
      <c r="DA73" s="33" t="n">
        <f aca="false">In_Guar_Credit*(1-DA19)*(DA72+DA48+DA49)*DA$5/Days_In_Year*(DA$4&lt;=In_COD)</f>
        <v>0</v>
      </c>
      <c r="DB73" s="33" t="n">
        <f aca="false">In_Guar_Credit*(1-DB19)*(DB72+DB48+DB49)*DB$5/Days_In_Year*(DB$4&lt;=In_COD)</f>
        <v>0</v>
      </c>
      <c r="DC73" s="33" t="n">
        <f aca="false">In_Guar_Credit*(1-DC19)*(DC72+DC48+DC49)*DC$5/Days_In_Year*(DC$4&lt;=In_COD)</f>
        <v>0</v>
      </c>
      <c r="DD73" s="33" t="n">
        <f aca="false">In_Guar_Credit*(1-DD19)*(DD72+DD48+DD49)*DD$5/Days_In_Year*(DD$4&lt;=In_COD)</f>
        <v>0</v>
      </c>
      <c r="DE73" s="33" t="n">
        <f aca="false">In_Guar_Credit*(1-DE19)*(DE72+DE48+DE49)*DE$5/Days_In_Year*(DE$4&lt;=In_COD)</f>
        <v>0</v>
      </c>
      <c r="DF73" s="33" t="n">
        <f aca="false">In_Guar_Credit*(1-DF19)*(DF72+DF48+DF49)*DF$5/Days_In_Year*(DF$4&lt;=In_COD)</f>
        <v>0</v>
      </c>
      <c r="DG73" s="33" t="n">
        <f aca="false">In_Guar_Credit*(1-DG19)*(DG72+DG48+DG49)*DG$5/Days_In_Year*(DG$4&lt;=In_COD)</f>
        <v>0</v>
      </c>
      <c r="DH73" s="33" t="n">
        <f aca="false">In_Guar_Credit*(1-DH19)*(DH72+DH48+DH49)*DH$5/Days_In_Year*(DH$4&lt;=In_COD)</f>
        <v>0</v>
      </c>
      <c r="DI73" s="33" t="n">
        <f aca="false">In_Guar_Credit*(1-DI19)*(DI72+DI48+DI49)*DI$5/Days_In_Year*(DI$4&lt;=In_COD)</f>
        <v>0</v>
      </c>
      <c r="DJ73" s="33" t="n">
        <f aca="false">In_Guar_Credit*(1-DJ19)*(DJ72+DJ48+DJ49)*DJ$5/Days_In_Year*(DJ$4&lt;=In_COD)</f>
        <v>0</v>
      </c>
      <c r="DK73" s="33" t="n">
        <f aca="false">In_Guar_Credit*(1-DK19)*(DK72+DK48+DK49)*DK$5/Days_In_Year*(DK$4&lt;=In_COD)</f>
        <v>0</v>
      </c>
      <c r="DL73" s="33" t="n">
        <f aca="false">In_Guar_Credit*(1-DL19)*(DL72+DL48+DL49)*DL$5/Days_In_Year*(DL$4&lt;=In_COD)</f>
        <v>0</v>
      </c>
      <c r="DM73" s="33" t="n">
        <f aca="false">In_Guar_Credit*(1-DM19)*(DM72+DM48+DM49)*DM$5/Days_In_Year*(DM$4&lt;=In_COD)</f>
        <v>0</v>
      </c>
      <c r="DN73" s="33" t="n">
        <f aca="false">In_Guar_Credit*(1-DN19)*(DN72+DN48+DN49)*DN$5/Days_In_Year*(DN$4&lt;=In_COD)</f>
        <v>0</v>
      </c>
      <c r="DO73" s="33" t="n">
        <f aca="false">In_Guar_Credit*(1-DO19)*(DO72+DO48+DO49)*DO$5/Days_In_Year*(DO$4&lt;=In_COD)</f>
        <v>0</v>
      </c>
      <c r="DP73" s="33" t="n">
        <f aca="false">In_Guar_Credit*(1-DP19)*(DP72+DP48+DP49)*DP$5/Days_In_Year*(DP$4&lt;=In_COD)</f>
        <v>0</v>
      </c>
      <c r="DQ73" s="33" t="n">
        <f aca="false">In_Guar_Credit*(1-DQ19)*(DQ72+DQ48+DQ49)*DQ$5/Days_In_Year*(DQ$4&lt;=In_COD)</f>
        <v>0</v>
      </c>
      <c r="DR73" s="33" t="n">
        <f aca="false">In_Guar_Credit*(1-DR19)*(DR72+DR48+DR49)*DR$5/Days_In_Year*(DR$4&lt;=In_COD)</f>
        <v>0</v>
      </c>
      <c r="DS73" s="33" t="n">
        <f aca="false">In_Guar_Credit*(1-DS19)*(DS72+DS48+DS49)*DS$5/Days_In_Year*(DS$4&lt;=In_COD)</f>
        <v>0</v>
      </c>
      <c r="DT73" s="33" t="n">
        <f aca="false">In_Guar_Credit*(1-DT19)*(DT72+DT48+DT49)*DT$5/Days_In_Year*(DT$4&lt;=In_COD)</f>
        <v>0</v>
      </c>
      <c r="DU73" s="33" t="n">
        <f aca="false">In_Guar_Credit*(1-DU19)*(DU72+DU48+DU49)*DU$5/Days_In_Year*(DU$4&lt;=In_COD)</f>
        <v>0</v>
      </c>
      <c r="DV73" s="33" t="n">
        <f aca="false">In_Guar_Credit*(1-DV19)*(DV72+DV48+DV49)*DV$5/Days_In_Year*(DV$4&lt;=In_COD)</f>
        <v>0</v>
      </c>
      <c r="DW73" s="33" t="n">
        <f aca="false">In_Guar_Credit*(1-DW19)*(DW72+DW48+DW49)*DW$5/Days_In_Year*(DW$4&lt;=In_COD)</f>
        <v>0</v>
      </c>
      <c r="DX73" s="33" t="n">
        <f aca="false">In_Guar_Credit*(1-DX19)*(DX72+DX48+DX49)*DX$5/Days_In_Year*(DX$4&lt;=In_COD)</f>
        <v>0</v>
      </c>
      <c r="DY73" s="33" t="n">
        <f aca="false">In_Guar_Credit*(1-DY19)*(DY72+DY48+DY49)*DY$5/Days_In_Year*(DY$4&lt;=In_COD)</f>
        <v>0</v>
      </c>
      <c r="DZ73" s="33" t="n">
        <f aca="false">In_Guar_Credit*(1-DZ19)*(DZ72+DZ48+DZ49)*DZ$5/Days_In_Year*(DZ$4&lt;=In_COD)</f>
        <v>0</v>
      </c>
      <c r="EA73" s="33" t="n">
        <f aca="false">In_Guar_Credit*(1-EA19)*(EA72+EA48+EA49)*EA$5/Days_In_Year*(EA$4&lt;=In_COD)</f>
        <v>0</v>
      </c>
      <c r="EB73" s="33" t="n">
        <f aca="false">In_Guar_Credit*(1-EB19)*(EB72+EB48+EB49)*EB$5/Days_In_Year*(EB$4&lt;=In_COD)</f>
        <v>0</v>
      </c>
      <c r="EC73" s="33" t="n">
        <f aca="false">In_Guar_Credit*(1-EC19)*(EC72+EC48+EC49)*EC$5/Days_In_Year*(EC$4&lt;=In_COD)</f>
        <v>0</v>
      </c>
      <c r="ED73" s="33" t="n">
        <f aca="false">In_Guar_Credit*(1-ED19)*(ED72+ED48+ED49)*ED$5/Days_In_Year*(ED$4&lt;=In_COD)</f>
        <v>0</v>
      </c>
      <c r="EE73" s="33" t="n">
        <f aca="false">In_Guar_Credit*(1-EE19)*(EE72+EE48+EE49)*EE$5/Days_In_Year*(EE$4&lt;=In_COD)</f>
        <v>0</v>
      </c>
      <c r="EF73" s="33" t="n">
        <f aca="false">In_Guar_Credit*(1-EF19)*(EF72+EF48+EF49)*EF$5/Days_In_Year*(EF$4&lt;=In_COD)</f>
        <v>0</v>
      </c>
      <c r="EG73" s="33" t="n">
        <f aca="false">In_Guar_Credit*(1-EG19)*(EG72+EG48+EG49)*EG$5/Days_In_Year*(EG$4&lt;=In_COD)</f>
        <v>0</v>
      </c>
      <c r="EH73" s="33" t="n">
        <f aca="false">In_Guar_Credit*(1-EH19)*(EH72+EH48+EH49)*EH$5/Days_In_Year*(EH$4&lt;=In_COD)</f>
        <v>0</v>
      </c>
      <c r="EI73" s="33" t="n">
        <f aca="false">In_Guar_Credit*(1-EI19)*(EI72+EI48+EI49)*EI$5/Days_In_Year*(EI$4&lt;=In_COD)</f>
        <v>0</v>
      </c>
      <c r="EJ73" s="33" t="n">
        <f aca="false">In_Guar_Credit*(1-EJ19)*(EJ72+EJ48+EJ49)*EJ$5/Days_In_Year*(EJ$4&lt;=In_COD)</f>
        <v>0</v>
      </c>
      <c r="EK73" s="33" t="n">
        <f aca="false">In_Guar_Credit*(1-EK19)*(EK72+EK48+EK49)*EK$5/Days_In_Year*(EK$4&lt;=In_COD)</f>
        <v>0</v>
      </c>
      <c r="EL73" s="33" t="n">
        <f aca="false">In_Guar_Credit*(1-EL19)*(EL72+EL48+EL49)*EL$5/Days_In_Year*(EL$4&lt;=In_COD)</f>
        <v>0</v>
      </c>
      <c r="EM73" s="33" t="n">
        <f aca="false">In_Guar_Credit*(1-EM19)*(EM72+EM48+EM49)*EM$5/Days_In_Year*(EM$4&lt;=In_COD)</f>
        <v>0</v>
      </c>
      <c r="EN73" s="33" t="n">
        <f aca="false">In_Guar_Credit*(1-EN19)*(EN72+EN48+EN49)*EN$5/Days_In_Year*(EN$4&lt;=In_COD)</f>
        <v>0</v>
      </c>
      <c r="EO73" s="33" t="n">
        <f aca="false">In_Guar_Credit*(1-EO19)*(EO72+EO48+EO49)*EO$5/Days_In_Year*(EO$4&lt;=In_COD)</f>
        <v>0</v>
      </c>
      <c r="EP73" s="33" t="n">
        <f aca="false">In_Guar_Credit*(1-EP19)*(EP72+EP48+EP49)*EP$5/Days_In_Year*(EP$4&lt;=In_COD)</f>
        <v>0</v>
      </c>
      <c r="EQ73" s="33" t="n">
        <f aca="false">In_Guar_Credit*(1-EQ19)*(EQ72+EQ48+EQ49)*EQ$5/Days_In_Year*(EQ$4&lt;=In_COD)</f>
        <v>0</v>
      </c>
      <c r="ER73" s="33" t="n">
        <f aca="false">In_Guar_Credit*(1-ER19)*(ER72+ER48+ER49)*ER$5/Days_In_Year*(ER$4&lt;=In_COD)</f>
        <v>0</v>
      </c>
      <c r="ES73" s="33" t="n">
        <f aca="false">In_Guar_Credit*(1-ES19)*(ES72+ES48+ES49)*ES$5/Days_In_Year*(ES$4&lt;=In_COD)</f>
        <v>0</v>
      </c>
      <c r="ET73" s="33" t="n">
        <f aca="false">In_Guar_Credit*(1-ET19)*(ET72+ET48+ET49)*ET$5/Days_In_Year*(ET$4&lt;=In_COD)</f>
        <v>0</v>
      </c>
    </row>
    <row r="74" customFormat="false" ht="15" hidden="false" customHeight="false" outlineLevel="0" collapsed="false">
      <c r="C74" s="0" t="s">
        <v>536</v>
      </c>
      <c r="D74" s="11" t="s">
        <v>253</v>
      </c>
      <c r="I74" s="33" t="n">
        <f aca="false">SUM(J74:ET74)</f>
        <v>1993.30208050153</v>
      </c>
      <c r="J74" s="33" t="n">
        <f aca="false">J20*SUMIF($J$7:J$7,J$7,$J73:J73)</f>
        <v>0</v>
      </c>
      <c r="K74" s="33" t="n">
        <f aca="false">K20*SUMIF($J$7:K$7,K$7,$J73:K73)</f>
        <v>18.1640998311128</v>
      </c>
      <c r="L74" s="33" t="n">
        <f aca="false">L20*SUMIF($J$7:L$7,L$7,$J73:L73)</f>
        <v>0</v>
      </c>
      <c r="M74" s="33" t="n">
        <f aca="false">M20*SUMIF($J$7:M$7,M$7,$J73:M73)</f>
        <v>0</v>
      </c>
      <c r="N74" s="33" t="n">
        <f aca="false">N20*SUMIF($J$7:N$7,N$7,$J73:N73)</f>
        <v>0</v>
      </c>
      <c r="O74" s="33" t="n">
        <f aca="false">O20*SUMIF($J$7:O$7,O$7,$J73:O73)</f>
        <v>420.703544620004</v>
      </c>
      <c r="P74" s="33" t="n">
        <f aca="false">P20*SUMIF($J$7:P$7,P$7,$J73:P73)</f>
        <v>0</v>
      </c>
      <c r="Q74" s="33" t="n">
        <f aca="false">Q20*SUMIF($J$7:Q$7,Q$7,$J73:Q73)</f>
        <v>0</v>
      </c>
      <c r="R74" s="33" t="n">
        <f aca="false">R20*SUMIF($J$7:R$7,R$7,$J73:R73)</f>
        <v>0</v>
      </c>
      <c r="S74" s="33" t="n">
        <f aca="false">S20*SUMIF($J$7:S$7,S$7,$J73:S73)</f>
        <v>447.167526495279</v>
      </c>
      <c r="T74" s="33" t="n">
        <f aca="false">T20*SUMIF($J$7:T$7,T$7,$J73:T73)</f>
        <v>0</v>
      </c>
      <c r="U74" s="33" t="n">
        <f aca="false">U20*SUMIF($J$7:U$7,U$7,$J73:U73)</f>
        <v>0</v>
      </c>
      <c r="V74" s="33" t="n">
        <f aca="false">V20*SUMIF($J$7:V$7,V$7,$J73:V73)</f>
        <v>0</v>
      </c>
      <c r="W74" s="33" t="n">
        <f aca="false">W20*SUMIF($J$7:W$7,W$7,$J73:W73)</f>
        <v>234.444990160363</v>
      </c>
      <c r="X74" s="33" t="n">
        <f aca="false">X20*SUMIF($J$7:X$7,X$7,$J73:X73)</f>
        <v>0</v>
      </c>
      <c r="Y74" s="33" t="n">
        <f aca="false">Y20*SUMIF($J$7:Y$7,Y$7,$J73:Y73)</f>
        <v>0</v>
      </c>
      <c r="Z74" s="33" t="n">
        <f aca="false">Z20*SUMIF($J$7:Z$7,Z$7,$J73:Z73)</f>
        <v>0</v>
      </c>
      <c r="AA74" s="33" t="n">
        <f aca="false">AA20*SUMIF($J$7:AA$7,AA$7,$J73:AA73)</f>
        <v>486.842508296543</v>
      </c>
      <c r="AB74" s="33" t="n">
        <f aca="false">AB20*SUMIF($J$7:AB$7,AB$7,$J73:AB73)</f>
        <v>0</v>
      </c>
      <c r="AC74" s="33" t="n">
        <f aca="false">AC20*SUMIF($J$7:AC$7,AC$7,$J73:AC73)</f>
        <v>0</v>
      </c>
      <c r="AD74" s="33" t="n">
        <f aca="false">AD20*SUMIF($J$7:AD$7,AD$7,$J73:AD73)</f>
        <v>0</v>
      </c>
      <c r="AE74" s="33" t="n">
        <f aca="false">AE20*SUMIF($J$7:AE$7,AE$7,$J73:AE73)</f>
        <v>385.979411098229</v>
      </c>
      <c r="AF74" s="33" t="n">
        <f aca="false">AF20*SUMIF($J$7:AF$7,AF$7,$J73:AF73)</f>
        <v>0</v>
      </c>
      <c r="AG74" s="33" t="n">
        <f aca="false">AG20*SUMIF($J$7:AG$7,AG$7,$J73:AG73)</f>
        <v>0</v>
      </c>
      <c r="AH74" s="33" t="n">
        <f aca="false">AH20*SUMIF($J$7:AH$7,AH$7,$J73:AH73)</f>
        <v>0</v>
      </c>
      <c r="AI74" s="33" t="n">
        <f aca="false">AI20*SUMIF($J$7:AI$7,AI$7,$J73:AI73)</f>
        <v>0</v>
      </c>
      <c r="AJ74" s="33" t="n">
        <f aca="false">AJ20*SUMIF($J$7:AJ$7,AJ$7,$J73:AJ73)</f>
        <v>0</v>
      </c>
      <c r="AK74" s="33" t="n">
        <f aca="false">AK20*SUMIF($J$7:AK$7,AK$7,$J73:AK73)</f>
        <v>0</v>
      </c>
      <c r="AL74" s="33" t="n">
        <f aca="false">AL20*SUMIF($J$7:AL$7,AL$7,$J73:AL73)</f>
        <v>0</v>
      </c>
      <c r="AM74" s="33" t="n">
        <f aca="false">AM20*SUMIF($J$7:AM$7,AM$7,$J73:AM73)</f>
        <v>0</v>
      </c>
      <c r="AN74" s="33" t="n">
        <f aca="false">AN20*SUMIF($J$7:AN$7,AN$7,$J73:AN73)</f>
        <v>0</v>
      </c>
      <c r="AO74" s="33" t="n">
        <f aca="false">AO20*SUMIF($J$7:AO$7,AO$7,$J73:AO73)</f>
        <v>0</v>
      </c>
      <c r="AP74" s="33" t="n">
        <f aca="false">AP20*SUMIF($J$7:AP$7,AP$7,$J73:AP73)</f>
        <v>0</v>
      </c>
      <c r="AQ74" s="33" t="n">
        <f aca="false">AQ20*SUMIF($J$7:AQ$7,AQ$7,$J73:AQ73)</f>
        <v>0</v>
      </c>
      <c r="AR74" s="33" t="n">
        <f aca="false">AR20*SUMIF($J$7:AR$7,AR$7,$J73:AR73)</f>
        <v>0</v>
      </c>
      <c r="AS74" s="33" t="n">
        <f aca="false">AS20*SUMIF($J$7:AS$7,AS$7,$J73:AS73)</f>
        <v>0</v>
      </c>
      <c r="AT74" s="33" t="n">
        <f aca="false">AT20*SUMIF($J$7:AT$7,AT$7,$J73:AT73)</f>
        <v>0</v>
      </c>
      <c r="AU74" s="33" t="n">
        <f aca="false">AU20*SUMIF($J$7:AU$7,AU$7,$J73:AU73)</f>
        <v>0</v>
      </c>
      <c r="AV74" s="33" t="n">
        <f aca="false">AV20*SUMIF($J$7:AV$7,AV$7,$J73:AV73)</f>
        <v>0</v>
      </c>
      <c r="AW74" s="33" t="n">
        <f aca="false">AW20*SUMIF($J$7:AW$7,AW$7,$J73:AW73)</f>
        <v>0</v>
      </c>
      <c r="AX74" s="33" t="n">
        <f aca="false">AX20*SUMIF($J$7:AX$7,AX$7,$J73:AX73)</f>
        <v>0</v>
      </c>
      <c r="AY74" s="33" t="n">
        <f aca="false">AY20*SUMIF($J$7:AY$7,AY$7,$J73:AY73)</f>
        <v>0</v>
      </c>
      <c r="AZ74" s="33" t="n">
        <f aca="false">AZ20*SUMIF($J$7:AZ$7,AZ$7,$J73:AZ73)</f>
        <v>0</v>
      </c>
      <c r="BA74" s="33" t="n">
        <f aca="false">BA20*SUMIF($J$7:BA$7,BA$7,$J73:BA73)</f>
        <v>0</v>
      </c>
      <c r="BB74" s="33" t="n">
        <f aca="false">BB20*SUMIF($J$7:BB$7,BB$7,$J73:BB73)</f>
        <v>0</v>
      </c>
      <c r="BC74" s="33" t="n">
        <f aca="false">BC20*SUMIF($J$7:BC$7,BC$7,$J73:BC73)</f>
        <v>0</v>
      </c>
      <c r="BD74" s="33" t="n">
        <f aca="false">BD20*SUMIF($J$7:BD$7,BD$7,$J73:BD73)</f>
        <v>0</v>
      </c>
      <c r="BE74" s="33" t="n">
        <f aca="false">BE20*SUMIF($J$7:BE$7,BE$7,$J73:BE73)</f>
        <v>0</v>
      </c>
      <c r="BF74" s="33" t="n">
        <f aca="false">BF20*SUMIF($J$7:BF$7,BF$7,$J73:BF73)</f>
        <v>0</v>
      </c>
      <c r="BG74" s="33" t="n">
        <f aca="false">BG20*SUMIF($J$7:BG$7,BG$7,$J73:BG73)</f>
        <v>0</v>
      </c>
      <c r="BH74" s="33" t="n">
        <f aca="false">BH20*SUMIF($J$7:BH$7,BH$7,$J73:BH73)</f>
        <v>0</v>
      </c>
      <c r="BI74" s="33" t="n">
        <f aca="false">BI20*SUMIF($J$7:BI$7,BI$7,$J73:BI73)</f>
        <v>0</v>
      </c>
      <c r="BJ74" s="33" t="n">
        <f aca="false">BJ20*SUMIF($J$7:BJ$7,BJ$7,$J73:BJ73)</f>
        <v>0</v>
      </c>
      <c r="BK74" s="33" t="n">
        <f aca="false">BK20*SUMIF($J$7:BK$7,BK$7,$J73:BK73)</f>
        <v>0</v>
      </c>
      <c r="BL74" s="33" t="n">
        <f aca="false">BL20*SUMIF($J$7:BL$7,BL$7,$J73:BL73)</f>
        <v>0</v>
      </c>
      <c r="BM74" s="33" t="n">
        <f aca="false">BM20*SUMIF($J$7:BM$7,BM$7,$J73:BM73)</f>
        <v>0</v>
      </c>
      <c r="BN74" s="33" t="n">
        <f aca="false">BN20*SUMIF($J$7:BN$7,BN$7,$J73:BN73)</f>
        <v>0</v>
      </c>
      <c r="BO74" s="33" t="n">
        <f aca="false">BO20*SUMIF($J$7:BO$7,BO$7,$J73:BO73)</f>
        <v>0</v>
      </c>
      <c r="BP74" s="33" t="n">
        <f aca="false">BP20*SUMIF($J$7:BP$7,BP$7,$J73:BP73)</f>
        <v>0</v>
      </c>
      <c r="BQ74" s="33" t="n">
        <f aca="false">BQ20*SUMIF($J$7:BQ$7,BQ$7,$J73:BQ73)</f>
        <v>0</v>
      </c>
      <c r="BR74" s="33" t="n">
        <f aca="false">BR20*SUMIF($J$7:BR$7,BR$7,$J73:BR73)</f>
        <v>0</v>
      </c>
      <c r="BS74" s="33" t="n">
        <f aca="false">BS20*SUMIF($J$7:BS$7,BS$7,$J73:BS73)</f>
        <v>0</v>
      </c>
      <c r="BT74" s="33" t="n">
        <f aca="false">BT20*SUMIF($J$7:BT$7,BT$7,$J73:BT73)</f>
        <v>0</v>
      </c>
      <c r="BU74" s="33" t="n">
        <f aca="false">BU20*SUMIF($J$7:BU$7,BU$7,$J73:BU73)</f>
        <v>0</v>
      </c>
      <c r="BV74" s="33" t="n">
        <f aca="false">BV20*SUMIF($J$7:BV$7,BV$7,$J73:BV73)</f>
        <v>0</v>
      </c>
      <c r="BW74" s="33" t="n">
        <f aca="false">BW20*SUMIF($J$7:BW$7,BW$7,$J73:BW73)</f>
        <v>0</v>
      </c>
      <c r="BX74" s="33" t="n">
        <f aca="false">BX20*SUMIF($J$7:BX$7,BX$7,$J73:BX73)</f>
        <v>0</v>
      </c>
      <c r="BY74" s="33" t="n">
        <f aca="false">BY20*SUMIF($J$7:BY$7,BY$7,$J73:BY73)</f>
        <v>0</v>
      </c>
      <c r="BZ74" s="33" t="n">
        <f aca="false">BZ20*SUMIF($J$7:BZ$7,BZ$7,$J73:BZ73)</f>
        <v>0</v>
      </c>
      <c r="CA74" s="33" t="n">
        <f aca="false">CA20*SUMIF($J$7:CA$7,CA$7,$J73:CA73)</f>
        <v>0</v>
      </c>
      <c r="CB74" s="33" t="n">
        <f aca="false">CB20*SUMIF($J$7:CB$7,CB$7,$J73:CB73)</f>
        <v>0</v>
      </c>
      <c r="CC74" s="33" t="n">
        <f aca="false">CC20*SUMIF($J$7:CC$7,CC$7,$J73:CC73)</f>
        <v>0</v>
      </c>
      <c r="CD74" s="33" t="n">
        <f aca="false">CD20*SUMIF($J$7:CD$7,CD$7,$J73:CD73)</f>
        <v>0</v>
      </c>
      <c r="CE74" s="33" t="n">
        <f aca="false">CE20*SUMIF($J$7:CE$7,CE$7,$J73:CE73)</f>
        <v>0</v>
      </c>
      <c r="CF74" s="33" t="n">
        <f aca="false">CF20*SUMIF($J$7:CF$7,CF$7,$J73:CF73)</f>
        <v>0</v>
      </c>
      <c r="CG74" s="33" t="n">
        <f aca="false">CG20*SUMIF($J$7:CG$7,CG$7,$J73:CG73)</f>
        <v>0</v>
      </c>
      <c r="CH74" s="33" t="n">
        <f aca="false">CH20*SUMIF($J$7:CH$7,CH$7,$J73:CH73)</f>
        <v>0</v>
      </c>
      <c r="CI74" s="33" t="n">
        <f aca="false">CI20*SUMIF($J$7:CI$7,CI$7,$J73:CI73)</f>
        <v>0</v>
      </c>
      <c r="CJ74" s="33" t="n">
        <f aca="false">CJ20*SUMIF($J$7:CJ$7,CJ$7,$J73:CJ73)</f>
        <v>0</v>
      </c>
      <c r="CK74" s="33" t="n">
        <f aca="false">CK20*SUMIF($J$7:CK$7,CK$7,$J73:CK73)</f>
        <v>0</v>
      </c>
      <c r="CL74" s="33" t="n">
        <f aca="false">CL20*SUMIF($J$7:CL$7,CL$7,$J73:CL73)</f>
        <v>0</v>
      </c>
      <c r="CM74" s="33" t="n">
        <f aca="false">CM20*SUMIF($J$7:CM$7,CM$7,$J73:CM73)</f>
        <v>0</v>
      </c>
      <c r="CN74" s="33" t="n">
        <f aca="false">CN20*SUMIF($J$7:CN$7,CN$7,$J73:CN73)</f>
        <v>0</v>
      </c>
      <c r="CO74" s="33" t="n">
        <f aca="false">CO20*SUMIF($J$7:CO$7,CO$7,$J73:CO73)</f>
        <v>0</v>
      </c>
      <c r="CP74" s="33" t="n">
        <f aca="false">CP20*SUMIF($J$7:CP$7,CP$7,$J73:CP73)</f>
        <v>0</v>
      </c>
      <c r="CQ74" s="33" t="n">
        <f aca="false">CQ20*SUMIF($J$7:CQ$7,CQ$7,$J73:CQ73)</f>
        <v>0</v>
      </c>
      <c r="CR74" s="33" t="n">
        <f aca="false">CR20*SUMIF($J$7:CR$7,CR$7,$J73:CR73)</f>
        <v>0</v>
      </c>
      <c r="CS74" s="33" t="n">
        <f aca="false">CS20*SUMIF($J$7:CS$7,CS$7,$J73:CS73)</f>
        <v>0</v>
      </c>
      <c r="CT74" s="33" t="n">
        <f aca="false">CT20*SUMIF($J$7:CT$7,CT$7,$J73:CT73)</f>
        <v>0</v>
      </c>
      <c r="CU74" s="33" t="n">
        <f aca="false">CU20*SUMIF($J$7:CU$7,CU$7,$J73:CU73)</f>
        <v>0</v>
      </c>
      <c r="CV74" s="33" t="n">
        <f aca="false">CV20*SUMIF($J$7:CV$7,CV$7,$J73:CV73)</f>
        <v>0</v>
      </c>
      <c r="CW74" s="33" t="n">
        <f aca="false">CW20*SUMIF($J$7:CW$7,CW$7,$J73:CW73)</f>
        <v>0</v>
      </c>
      <c r="CX74" s="33" t="n">
        <f aca="false">CX20*SUMIF($J$7:CX$7,CX$7,$J73:CX73)</f>
        <v>0</v>
      </c>
      <c r="CY74" s="33" t="n">
        <f aca="false">CY20*SUMIF($J$7:CY$7,CY$7,$J73:CY73)</f>
        <v>0</v>
      </c>
      <c r="CZ74" s="33" t="n">
        <f aca="false">CZ20*SUMIF($J$7:CZ$7,CZ$7,$J73:CZ73)</f>
        <v>0</v>
      </c>
      <c r="DA74" s="33" t="n">
        <f aca="false">DA20*SUMIF($J$7:DA$7,DA$7,$J73:DA73)</f>
        <v>0</v>
      </c>
      <c r="DB74" s="33" t="n">
        <f aca="false">DB20*SUMIF($J$7:DB$7,DB$7,$J73:DB73)</f>
        <v>0</v>
      </c>
      <c r="DC74" s="33" t="n">
        <f aca="false">DC20*SUMIF($J$7:DC$7,DC$7,$J73:DC73)</f>
        <v>0</v>
      </c>
      <c r="DD74" s="33" t="n">
        <f aca="false">DD20*SUMIF($J$7:DD$7,DD$7,$J73:DD73)</f>
        <v>0</v>
      </c>
      <c r="DE74" s="33" t="n">
        <f aca="false">DE20*SUMIF($J$7:DE$7,DE$7,$J73:DE73)</f>
        <v>0</v>
      </c>
      <c r="DF74" s="33" t="n">
        <f aca="false">DF20*SUMIF($J$7:DF$7,DF$7,$J73:DF73)</f>
        <v>0</v>
      </c>
      <c r="DG74" s="33" t="n">
        <f aca="false">DG20*SUMIF($J$7:DG$7,DG$7,$J73:DG73)</f>
        <v>0</v>
      </c>
      <c r="DH74" s="33" t="n">
        <f aca="false">DH20*SUMIF($J$7:DH$7,DH$7,$J73:DH73)</f>
        <v>0</v>
      </c>
      <c r="DI74" s="33" t="n">
        <f aca="false">DI20*SUMIF($J$7:DI$7,DI$7,$J73:DI73)</f>
        <v>0</v>
      </c>
      <c r="DJ74" s="33" t="n">
        <f aca="false">DJ20*SUMIF($J$7:DJ$7,DJ$7,$J73:DJ73)</f>
        <v>0</v>
      </c>
      <c r="DK74" s="33" t="n">
        <f aca="false">DK20*SUMIF($J$7:DK$7,DK$7,$J73:DK73)</f>
        <v>0</v>
      </c>
      <c r="DL74" s="33" t="n">
        <f aca="false">DL20*SUMIF($J$7:DL$7,DL$7,$J73:DL73)</f>
        <v>0</v>
      </c>
      <c r="DM74" s="33" t="n">
        <f aca="false">DM20*SUMIF($J$7:DM$7,DM$7,$J73:DM73)</f>
        <v>0</v>
      </c>
      <c r="DN74" s="33" t="n">
        <f aca="false">DN20*SUMIF($J$7:DN$7,DN$7,$J73:DN73)</f>
        <v>0</v>
      </c>
      <c r="DO74" s="33" t="n">
        <f aca="false">DO20*SUMIF($J$7:DO$7,DO$7,$J73:DO73)</f>
        <v>0</v>
      </c>
      <c r="DP74" s="33" t="n">
        <f aca="false">DP20*SUMIF($J$7:DP$7,DP$7,$J73:DP73)</f>
        <v>0</v>
      </c>
      <c r="DQ74" s="33" t="n">
        <f aca="false">DQ20*SUMIF($J$7:DQ$7,DQ$7,$J73:DQ73)</f>
        <v>0</v>
      </c>
      <c r="DR74" s="33" t="n">
        <f aca="false">DR20*SUMIF($J$7:DR$7,DR$7,$J73:DR73)</f>
        <v>0</v>
      </c>
      <c r="DS74" s="33" t="n">
        <f aca="false">DS20*SUMIF($J$7:DS$7,DS$7,$J73:DS73)</f>
        <v>0</v>
      </c>
      <c r="DT74" s="33" t="n">
        <f aca="false">DT20*SUMIF($J$7:DT$7,DT$7,$J73:DT73)</f>
        <v>0</v>
      </c>
      <c r="DU74" s="33" t="n">
        <f aca="false">DU20*SUMIF($J$7:DU$7,DU$7,$J73:DU73)</f>
        <v>0</v>
      </c>
      <c r="DV74" s="33" t="n">
        <f aca="false">DV20*SUMIF($J$7:DV$7,DV$7,$J73:DV73)</f>
        <v>0</v>
      </c>
      <c r="DW74" s="33" t="n">
        <f aca="false">DW20*SUMIF($J$7:DW$7,DW$7,$J73:DW73)</f>
        <v>0</v>
      </c>
      <c r="DX74" s="33" t="n">
        <f aca="false">DX20*SUMIF($J$7:DX$7,DX$7,$J73:DX73)</f>
        <v>0</v>
      </c>
      <c r="DY74" s="33" t="n">
        <f aca="false">DY20*SUMIF($J$7:DY$7,DY$7,$J73:DY73)</f>
        <v>0</v>
      </c>
      <c r="DZ74" s="33" t="n">
        <f aca="false">DZ20*SUMIF($J$7:DZ$7,DZ$7,$J73:DZ73)</f>
        <v>0</v>
      </c>
      <c r="EA74" s="33" t="n">
        <f aca="false">EA20*SUMIF($J$7:EA$7,EA$7,$J73:EA73)</f>
        <v>0</v>
      </c>
      <c r="EB74" s="33" t="n">
        <f aca="false">EB20*SUMIF($J$7:EB$7,EB$7,$J73:EB73)</f>
        <v>0</v>
      </c>
      <c r="EC74" s="33" t="n">
        <f aca="false">EC20*SUMIF($J$7:EC$7,EC$7,$J73:EC73)</f>
        <v>0</v>
      </c>
      <c r="ED74" s="33" t="n">
        <f aca="false">ED20*SUMIF($J$7:ED$7,ED$7,$J73:ED73)</f>
        <v>0</v>
      </c>
      <c r="EE74" s="33" t="n">
        <f aca="false">EE20*SUMIF($J$7:EE$7,EE$7,$J73:EE73)</f>
        <v>0</v>
      </c>
      <c r="EF74" s="33" t="n">
        <f aca="false">EF20*SUMIF($J$7:EF$7,EF$7,$J73:EF73)</f>
        <v>0</v>
      </c>
      <c r="EG74" s="33" t="n">
        <f aca="false">EG20*SUMIF($J$7:EG$7,EG$7,$J73:EG73)</f>
        <v>0</v>
      </c>
      <c r="EH74" s="33" t="n">
        <f aca="false">EH20*SUMIF($J$7:EH$7,EH$7,$J73:EH73)</f>
        <v>0</v>
      </c>
      <c r="EI74" s="33" t="n">
        <f aca="false">EI20*SUMIF($J$7:EI$7,EI$7,$J73:EI73)</f>
        <v>0</v>
      </c>
      <c r="EJ74" s="33" t="n">
        <f aca="false">EJ20*SUMIF($J$7:EJ$7,EJ$7,$J73:EJ73)</f>
        <v>0</v>
      </c>
      <c r="EK74" s="33" t="n">
        <f aca="false">EK20*SUMIF($J$7:EK$7,EK$7,$J73:EK73)</f>
        <v>0</v>
      </c>
      <c r="EL74" s="33" t="n">
        <f aca="false">EL20*SUMIF($J$7:EL$7,EL$7,$J73:EL73)</f>
        <v>0</v>
      </c>
      <c r="EM74" s="33" t="n">
        <f aca="false">EM20*SUMIF($J$7:EM$7,EM$7,$J73:EM73)</f>
        <v>0</v>
      </c>
      <c r="EN74" s="33" t="n">
        <f aca="false">EN20*SUMIF($J$7:EN$7,EN$7,$J73:EN73)</f>
        <v>0</v>
      </c>
      <c r="EO74" s="33" t="n">
        <f aca="false">EO20*SUMIF($J$7:EO$7,EO$7,$J73:EO73)</f>
        <v>0</v>
      </c>
      <c r="EP74" s="33" t="n">
        <f aca="false">EP20*SUMIF($J$7:EP$7,EP$7,$J73:EP73)</f>
        <v>0</v>
      </c>
      <c r="EQ74" s="33" t="n">
        <f aca="false">EQ20*SUMIF($J$7:EQ$7,EQ$7,$J73:EQ73)</f>
        <v>0</v>
      </c>
      <c r="ER74" s="33" t="n">
        <f aca="false">ER20*SUMIF($J$7:ER$7,ER$7,$J73:ER73)</f>
        <v>0</v>
      </c>
      <c r="ES74" s="33" t="n">
        <f aca="false">ES20*SUMIF($J$7:ES$7,ES$7,$J73:ES73)</f>
        <v>0</v>
      </c>
      <c r="ET74" s="33" t="n">
        <f aca="false">ET20*SUMIF($J$7:ET$7,ET$7,$J73:ET73)</f>
        <v>0</v>
      </c>
    </row>
    <row r="75" customFormat="false" ht="15" hidden="false" customHeight="false" outlineLevel="0" collapsed="false">
      <c r="C75" s="0" t="s">
        <v>540</v>
      </c>
      <c r="D75" s="11" t="s">
        <v>253</v>
      </c>
      <c r="I75" s="54"/>
      <c r="J75" s="33" t="n">
        <f aca="false">J72+J74</f>
        <v>0</v>
      </c>
      <c r="K75" s="33" t="n">
        <f aca="false">K72+K74</f>
        <v>18.1640998311128</v>
      </c>
      <c r="L75" s="33" t="n">
        <f aca="false">L72+L74</f>
        <v>18.1640998311128</v>
      </c>
      <c r="M75" s="33" t="n">
        <f aca="false">M72+M74</f>
        <v>18.1640998311128</v>
      </c>
      <c r="N75" s="33" t="n">
        <f aca="false">N72+N74</f>
        <v>18.1640998311128</v>
      </c>
      <c r="O75" s="33" t="n">
        <f aca="false">O72+O74</f>
        <v>438.867644451117</v>
      </c>
      <c r="P75" s="33" t="n">
        <f aca="false">P72+P74</f>
        <v>438.867644451117</v>
      </c>
      <c r="Q75" s="33" t="n">
        <f aca="false">Q72+Q74</f>
        <v>438.867644451117</v>
      </c>
      <c r="R75" s="33" t="n">
        <f aca="false">R72+R74</f>
        <v>438.867644451117</v>
      </c>
      <c r="S75" s="33" t="n">
        <f aca="false">S72+S74</f>
        <v>886.035170946395</v>
      </c>
      <c r="T75" s="33" t="n">
        <f aca="false">T72+T74</f>
        <v>886.035170946395</v>
      </c>
      <c r="U75" s="33" t="n">
        <f aca="false">U72+U74</f>
        <v>886.035170946395</v>
      </c>
      <c r="V75" s="33" t="n">
        <f aca="false">V72+V74</f>
        <v>886.035170946395</v>
      </c>
      <c r="W75" s="33" t="n">
        <f aca="false">W72+W74</f>
        <v>1120.48016110676</v>
      </c>
      <c r="X75" s="33" t="n">
        <f aca="false">X72+X74</f>
        <v>1120.48016110676</v>
      </c>
      <c r="Y75" s="33" t="n">
        <f aca="false">Y72+Y74</f>
        <v>1120.48016110676</v>
      </c>
      <c r="Z75" s="33" t="n">
        <f aca="false">Z72+Z74</f>
        <v>1120.48016110676</v>
      </c>
      <c r="AA75" s="33" t="n">
        <f aca="false">AA72+AA74</f>
        <v>1607.3226694033</v>
      </c>
      <c r="AB75" s="33" t="n">
        <f aca="false">AB72+AB74</f>
        <v>1607.3226694033</v>
      </c>
      <c r="AC75" s="33" t="n">
        <f aca="false">AC72+AC74</f>
        <v>1607.3226694033</v>
      </c>
      <c r="AD75" s="33" t="n">
        <f aca="false">AD72+AD74</f>
        <v>1607.3226694033</v>
      </c>
      <c r="AE75" s="33" t="n">
        <f aca="false">AE72+AE74</f>
        <v>1993.30208050153</v>
      </c>
      <c r="AF75" s="33" t="n">
        <f aca="false">AF72+AF74</f>
        <v>1993.30208050153</v>
      </c>
      <c r="AG75" s="33" t="n">
        <f aca="false">AG72+AG74</f>
        <v>1993.30208050153</v>
      </c>
      <c r="AH75" s="33" t="n">
        <f aca="false">AH72+AH74</f>
        <v>1993.30208050153</v>
      </c>
      <c r="AI75" s="33" t="n">
        <f aca="false">AI72+AI74</f>
        <v>1993.30208050153</v>
      </c>
      <c r="AJ75" s="33" t="n">
        <f aca="false">AJ72+AJ74</f>
        <v>1993.30208050153</v>
      </c>
      <c r="AK75" s="33" t="n">
        <f aca="false">AK72+AK74</f>
        <v>1993.30208050153</v>
      </c>
      <c r="AL75" s="33" t="n">
        <f aca="false">AL72+AL74</f>
        <v>1993.30208050153</v>
      </c>
      <c r="AM75" s="33" t="n">
        <f aca="false">AM72+AM74</f>
        <v>1993.30208050153</v>
      </c>
      <c r="AN75" s="33" t="n">
        <f aca="false">AN72+AN74</f>
        <v>1993.30208050153</v>
      </c>
      <c r="AO75" s="33" t="n">
        <f aca="false">AO72+AO74</f>
        <v>1993.30208050153</v>
      </c>
      <c r="AP75" s="33" t="n">
        <f aca="false">AP72+AP74</f>
        <v>1993.30208050153</v>
      </c>
      <c r="AQ75" s="33" t="n">
        <f aca="false">AQ72+AQ74</f>
        <v>1993.30208050153</v>
      </c>
      <c r="AR75" s="33" t="n">
        <f aca="false">AR72+AR74</f>
        <v>1993.30208050153</v>
      </c>
      <c r="AS75" s="33" t="n">
        <f aca="false">AS72+AS74</f>
        <v>1993.30208050153</v>
      </c>
      <c r="AT75" s="33" t="n">
        <f aca="false">AT72+AT74</f>
        <v>1993.30208050153</v>
      </c>
      <c r="AU75" s="33" t="n">
        <f aca="false">AU72+AU74</f>
        <v>1993.30208050153</v>
      </c>
      <c r="AV75" s="33" t="n">
        <f aca="false">AV72+AV74</f>
        <v>1993.30208050153</v>
      </c>
      <c r="AW75" s="33" t="n">
        <f aca="false">AW72+AW74</f>
        <v>1993.30208050153</v>
      </c>
      <c r="AX75" s="33" t="n">
        <f aca="false">AX72+AX74</f>
        <v>1993.30208050153</v>
      </c>
      <c r="AY75" s="33" t="n">
        <f aca="false">AY72+AY74</f>
        <v>1993.30208050153</v>
      </c>
      <c r="AZ75" s="33" t="n">
        <f aca="false">AZ72+AZ74</f>
        <v>1993.30208050153</v>
      </c>
      <c r="BA75" s="33" t="n">
        <f aca="false">BA72+BA74</f>
        <v>1993.30208050153</v>
      </c>
      <c r="BB75" s="33" t="n">
        <f aca="false">BB72+BB74</f>
        <v>1993.30208050153</v>
      </c>
      <c r="BC75" s="33" t="n">
        <f aca="false">BC72+BC74</f>
        <v>1993.30208050153</v>
      </c>
      <c r="BD75" s="33" t="n">
        <f aca="false">BD72+BD74</f>
        <v>1993.30208050153</v>
      </c>
      <c r="BE75" s="33" t="n">
        <f aca="false">BE72+BE74</f>
        <v>1993.30208050153</v>
      </c>
      <c r="BF75" s="33" t="n">
        <f aca="false">BF72+BF74</f>
        <v>1993.30208050153</v>
      </c>
      <c r="BG75" s="33" t="n">
        <f aca="false">BG72+BG74</f>
        <v>1993.30208050153</v>
      </c>
      <c r="BH75" s="33" t="n">
        <f aca="false">BH72+BH74</f>
        <v>1993.30208050153</v>
      </c>
      <c r="BI75" s="33" t="n">
        <f aca="false">BI72+BI74</f>
        <v>1993.30208050153</v>
      </c>
      <c r="BJ75" s="33" t="n">
        <f aca="false">BJ72+BJ74</f>
        <v>1993.30208050153</v>
      </c>
      <c r="BK75" s="33" t="n">
        <f aca="false">BK72+BK74</f>
        <v>1993.30208050153</v>
      </c>
      <c r="BL75" s="33" t="n">
        <f aca="false">BL72+BL74</f>
        <v>1993.30208050153</v>
      </c>
      <c r="BM75" s="33" t="n">
        <f aca="false">BM72+BM74</f>
        <v>1993.30208050153</v>
      </c>
      <c r="BN75" s="33" t="n">
        <f aca="false">BN72+BN74</f>
        <v>1993.30208050153</v>
      </c>
      <c r="BO75" s="33" t="n">
        <f aca="false">BO72+BO74</f>
        <v>1993.30208050153</v>
      </c>
      <c r="BP75" s="33" t="n">
        <f aca="false">BP72+BP74</f>
        <v>1993.30208050153</v>
      </c>
      <c r="BQ75" s="33" t="n">
        <f aca="false">BQ72+BQ74</f>
        <v>1993.30208050153</v>
      </c>
      <c r="BR75" s="33" t="n">
        <f aca="false">BR72+BR74</f>
        <v>1993.30208050153</v>
      </c>
      <c r="BS75" s="33" t="n">
        <f aca="false">BS72+BS74</f>
        <v>1993.30208050153</v>
      </c>
      <c r="BT75" s="33" t="n">
        <f aca="false">BT72+BT74</f>
        <v>1993.30208050153</v>
      </c>
      <c r="BU75" s="33" t="n">
        <f aca="false">BU72+BU74</f>
        <v>1993.30208050153</v>
      </c>
      <c r="BV75" s="33" t="n">
        <f aca="false">BV72+BV74</f>
        <v>1993.30208050153</v>
      </c>
      <c r="BW75" s="33" t="n">
        <f aca="false">BW72+BW74</f>
        <v>1993.30208050153</v>
      </c>
      <c r="BX75" s="33" t="n">
        <f aca="false">BX72+BX74</f>
        <v>1993.30208050153</v>
      </c>
      <c r="BY75" s="33" t="n">
        <f aca="false">BY72+BY74</f>
        <v>1993.30208050153</v>
      </c>
      <c r="BZ75" s="33" t="n">
        <f aca="false">BZ72+BZ74</f>
        <v>1993.30208050153</v>
      </c>
      <c r="CA75" s="33" t="n">
        <f aca="false">CA72+CA74</f>
        <v>1993.30208050153</v>
      </c>
      <c r="CB75" s="33" t="n">
        <f aca="false">CB72+CB74</f>
        <v>1993.30208050153</v>
      </c>
      <c r="CC75" s="33" t="n">
        <f aca="false">CC72+CC74</f>
        <v>1993.30208050153</v>
      </c>
      <c r="CD75" s="33" t="n">
        <f aca="false">CD72+CD74</f>
        <v>1993.30208050153</v>
      </c>
      <c r="CE75" s="33" t="n">
        <f aca="false">CE72+CE74</f>
        <v>1993.30208050153</v>
      </c>
      <c r="CF75" s="33" t="n">
        <f aca="false">CF72+CF74</f>
        <v>1993.30208050153</v>
      </c>
      <c r="CG75" s="33" t="n">
        <f aca="false">CG72+CG74</f>
        <v>1993.30208050153</v>
      </c>
      <c r="CH75" s="33" t="n">
        <f aca="false">CH72+CH74</f>
        <v>1993.30208050153</v>
      </c>
      <c r="CI75" s="33" t="n">
        <f aca="false">CI72+CI74</f>
        <v>1993.30208050153</v>
      </c>
      <c r="CJ75" s="33" t="n">
        <f aca="false">CJ72+CJ74</f>
        <v>1993.30208050153</v>
      </c>
      <c r="CK75" s="33" t="n">
        <f aca="false">CK72+CK74</f>
        <v>1993.30208050153</v>
      </c>
      <c r="CL75" s="33" t="n">
        <f aca="false">CL72+CL74</f>
        <v>1993.30208050153</v>
      </c>
      <c r="CM75" s="33" t="n">
        <f aca="false">CM72+CM74</f>
        <v>1993.30208050153</v>
      </c>
      <c r="CN75" s="33" t="n">
        <f aca="false">CN72+CN74</f>
        <v>1993.30208050153</v>
      </c>
      <c r="CO75" s="33" t="n">
        <f aca="false">CO72+CO74</f>
        <v>1993.30208050153</v>
      </c>
      <c r="CP75" s="33" t="n">
        <f aca="false">CP72+CP74</f>
        <v>1993.30208050153</v>
      </c>
      <c r="CQ75" s="33" t="n">
        <f aca="false">CQ72+CQ74</f>
        <v>1993.30208050153</v>
      </c>
      <c r="CR75" s="33" t="n">
        <f aca="false">CR72+CR74</f>
        <v>1993.30208050153</v>
      </c>
      <c r="CS75" s="33" t="n">
        <f aca="false">CS72+CS74</f>
        <v>1993.30208050153</v>
      </c>
      <c r="CT75" s="33" t="n">
        <f aca="false">CT72+CT74</f>
        <v>1993.30208050153</v>
      </c>
      <c r="CU75" s="33" t="n">
        <f aca="false">CU72+CU74</f>
        <v>1993.30208050153</v>
      </c>
      <c r="CV75" s="33" t="n">
        <f aca="false">CV72+CV74</f>
        <v>1993.30208050153</v>
      </c>
      <c r="CW75" s="33" t="n">
        <f aca="false">CW72+CW74</f>
        <v>1993.30208050153</v>
      </c>
      <c r="CX75" s="33" t="n">
        <f aca="false">CX72+CX74</f>
        <v>1993.30208050153</v>
      </c>
      <c r="CY75" s="33" t="n">
        <f aca="false">CY72+CY74</f>
        <v>1993.30208050153</v>
      </c>
      <c r="CZ75" s="33" t="n">
        <f aca="false">CZ72+CZ74</f>
        <v>1993.30208050153</v>
      </c>
      <c r="DA75" s="33" t="n">
        <f aca="false">DA72+DA74</f>
        <v>1993.30208050153</v>
      </c>
      <c r="DB75" s="33" t="n">
        <f aca="false">DB72+DB74</f>
        <v>1993.30208050153</v>
      </c>
      <c r="DC75" s="33" t="n">
        <f aca="false">DC72+DC74</f>
        <v>1993.30208050153</v>
      </c>
      <c r="DD75" s="33" t="n">
        <f aca="false">DD72+DD74</f>
        <v>1993.30208050153</v>
      </c>
      <c r="DE75" s="33" t="n">
        <f aca="false">DE72+DE74</f>
        <v>1993.30208050153</v>
      </c>
      <c r="DF75" s="33" t="n">
        <f aca="false">DF72+DF74</f>
        <v>1993.30208050153</v>
      </c>
      <c r="DG75" s="33" t="n">
        <f aca="false">DG72+DG74</f>
        <v>1993.30208050153</v>
      </c>
      <c r="DH75" s="33" t="n">
        <f aca="false">DH72+DH74</f>
        <v>1993.30208050153</v>
      </c>
      <c r="DI75" s="33" t="n">
        <f aca="false">DI72+DI74</f>
        <v>1993.30208050153</v>
      </c>
      <c r="DJ75" s="33" t="n">
        <f aca="false">DJ72+DJ74</f>
        <v>1993.30208050153</v>
      </c>
      <c r="DK75" s="33" t="n">
        <f aca="false">DK72+DK74</f>
        <v>1993.30208050153</v>
      </c>
      <c r="DL75" s="33" t="n">
        <f aca="false">DL72+DL74</f>
        <v>1993.30208050153</v>
      </c>
      <c r="DM75" s="33" t="n">
        <f aca="false">DM72+DM74</f>
        <v>1993.30208050153</v>
      </c>
      <c r="DN75" s="33" t="n">
        <f aca="false">DN72+DN74</f>
        <v>1993.30208050153</v>
      </c>
      <c r="DO75" s="33" t="n">
        <f aca="false">DO72+DO74</f>
        <v>1993.30208050153</v>
      </c>
      <c r="DP75" s="33" t="n">
        <f aca="false">DP72+DP74</f>
        <v>1993.30208050153</v>
      </c>
      <c r="DQ75" s="33" t="n">
        <f aca="false">DQ72+DQ74</f>
        <v>1993.30208050153</v>
      </c>
      <c r="DR75" s="33" t="n">
        <f aca="false">DR72+DR74</f>
        <v>1993.30208050153</v>
      </c>
      <c r="DS75" s="33" t="n">
        <f aca="false">DS72+DS74</f>
        <v>1993.30208050153</v>
      </c>
      <c r="DT75" s="33" t="n">
        <f aca="false">DT72+DT74</f>
        <v>1993.30208050153</v>
      </c>
      <c r="DU75" s="33" t="n">
        <f aca="false">DU72+DU74</f>
        <v>1993.30208050153</v>
      </c>
      <c r="DV75" s="33" t="n">
        <f aca="false">DV72+DV74</f>
        <v>1993.30208050153</v>
      </c>
      <c r="DW75" s="33" t="n">
        <f aca="false">DW72+DW74</f>
        <v>1993.30208050153</v>
      </c>
      <c r="DX75" s="33" t="n">
        <f aca="false">DX72+DX74</f>
        <v>1993.30208050153</v>
      </c>
      <c r="DY75" s="33" t="n">
        <f aca="false">DY72+DY74</f>
        <v>1993.30208050153</v>
      </c>
      <c r="DZ75" s="33" t="n">
        <f aca="false">DZ72+DZ74</f>
        <v>1993.30208050153</v>
      </c>
      <c r="EA75" s="33" t="n">
        <f aca="false">EA72+EA74</f>
        <v>1993.30208050153</v>
      </c>
      <c r="EB75" s="33" t="n">
        <f aca="false">EB72+EB74</f>
        <v>1993.30208050153</v>
      </c>
      <c r="EC75" s="33" t="n">
        <f aca="false">EC72+EC74</f>
        <v>1993.30208050153</v>
      </c>
      <c r="ED75" s="33" t="n">
        <f aca="false">ED72+ED74</f>
        <v>1993.30208050153</v>
      </c>
      <c r="EE75" s="33" t="n">
        <f aca="false">EE72+EE74</f>
        <v>1993.30208050153</v>
      </c>
      <c r="EF75" s="33" t="n">
        <f aca="false">EF72+EF74</f>
        <v>1993.30208050153</v>
      </c>
      <c r="EG75" s="33" t="n">
        <f aca="false">EG72+EG74</f>
        <v>1993.30208050153</v>
      </c>
      <c r="EH75" s="33" t="n">
        <f aca="false">EH72+EH74</f>
        <v>1993.30208050153</v>
      </c>
      <c r="EI75" s="33" t="n">
        <f aca="false">EI72+EI74</f>
        <v>1993.30208050153</v>
      </c>
      <c r="EJ75" s="33" t="n">
        <f aca="false">EJ72+EJ74</f>
        <v>1993.30208050153</v>
      </c>
      <c r="EK75" s="33" t="n">
        <f aca="false">EK72+EK74</f>
        <v>1993.30208050153</v>
      </c>
      <c r="EL75" s="33" t="n">
        <f aca="false">EL72+EL74</f>
        <v>1993.30208050153</v>
      </c>
      <c r="EM75" s="33" t="n">
        <f aca="false">EM72+EM74</f>
        <v>1993.30208050153</v>
      </c>
      <c r="EN75" s="33" t="n">
        <f aca="false">EN72+EN74</f>
        <v>1993.30208050153</v>
      </c>
      <c r="EO75" s="33" t="n">
        <f aca="false">EO72+EO74</f>
        <v>1993.30208050153</v>
      </c>
      <c r="EP75" s="33" t="n">
        <f aca="false">EP72+EP74</f>
        <v>1993.30208050153</v>
      </c>
      <c r="EQ75" s="33" t="n">
        <f aca="false">EQ72+EQ74</f>
        <v>1993.30208050153</v>
      </c>
      <c r="ER75" s="33" t="n">
        <f aca="false">ER72+ER74</f>
        <v>1993.30208050153</v>
      </c>
      <c r="ES75" s="33" t="n">
        <f aca="false">ES72+ES74</f>
        <v>1993.30208050153</v>
      </c>
      <c r="ET75" s="33" t="n">
        <f aca="false">ET72+ET74</f>
        <v>1993.30208050153</v>
      </c>
    </row>
    <row r="76" customFormat="false" ht="15" hidden="false" customHeight="false" outlineLevel="0" collapsed="false">
      <c r="A76" s="55"/>
      <c r="B76" s="55"/>
      <c r="C76" s="55" t="s">
        <v>541</v>
      </c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  <c r="AM76" s="55"/>
      <c r="AN76" s="55"/>
      <c r="AO76" s="55"/>
      <c r="AP76" s="55"/>
      <c r="AQ76" s="55"/>
      <c r="AR76" s="55"/>
      <c r="AS76" s="55"/>
      <c r="AT76" s="55"/>
      <c r="AU76" s="55"/>
      <c r="AV76" s="55"/>
      <c r="AW76" s="55"/>
      <c r="AX76" s="55"/>
      <c r="AY76" s="55"/>
      <c r="AZ76" s="55"/>
      <c r="BA76" s="55"/>
      <c r="BB76" s="55"/>
      <c r="BC76" s="55"/>
      <c r="BD76" s="55"/>
      <c r="BE76" s="55"/>
      <c r="BF76" s="55"/>
      <c r="BG76" s="55"/>
      <c r="BH76" s="55"/>
      <c r="BI76" s="55"/>
      <c r="BJ76" s="55"/>
      <c r="BK76" s="55"/>
      <c r="BL76" s="55"/>
      <c r="BM76" s="55"/>
      <c r="BN76" s="55"/>
      <c r="BO76" s="55"/>
      <c r="BP76" s="55"/>
      <c r="BQ76" s="55"/>
      <c r="BR76" s="55"/>
      <c r="BS76" s="55"/>
      <c r="BT76" s="55"/>
      <c r="BU76" s="55"/>
      <c r="BV76" s="55"/>
      <c r="BW76" s="55"/>
      <c r="BX76" s="55"/>
      <c r="BY76" s="55"/>
      <c r="BZ76" s="55"/>
      <c r="CA76" s="55"/>
      <c r="CB76" s="55"/>
      <c r="CC76" s="55"/>
      <c r="CD76" s="55"/>
      <c r="CE76" s="55"/>
      <c r="CF76" s="55"/>
      <c r="CG76" s="55"/>
      <c r="CH76" s="55"/>
      <c r="CI76" s="55"/>
      <c r="CJ76" s="55"/>
      <c r="CK76" s="55"/>
      <c r="CL76" s="55"/>
      <c r="CM76" s="55"/>
      <c r="CN76" s="55"/>
      <c r="CO76" s="55"/>
      <c r="CP76" s="55"/>
      <c r="CQ76" s="55"/>
      <c r="CR76" s="55"/>
      <c r="CS76" s="55"/>
      <c r="CT76" s="55"/>
      <c r="CU76" s="55"/>
      <c r="CV76" s="55"/>
      <c r="CW76" s="55"/>
      <c r="CX76" s="55"/>
      <c r="CY76" s="55"/>
      <c r="CZ76" s="55"/>
      <c r="DA76" s="55"/>
      <c r="DB76" s="55"/>
      <c r="DC76" s="55"/>
      <c r="DD76" s="55"/>
      <c r="DE76" s="55"/>
      <c r="DF76" s="55"/>
      <c r="DG76" s="55"/>
      <c r="DH76" s="55"/>
      <c r="DI76" s="55"/>
      <c r="DJ76" s="55"/>
      <c r="DK76" s="55"/>
      <c r="DL76" s="55"/>
      <c r="DM76" s="55"/>
      <c r="DN76" s="55"/>
      <c r="DO76" s="55"/>
      <c r="DP76" s="55"/>
      <c r="DQ76" s="55"/>
      <c r="DR76" s="55"/>
      <c r="DS76" s="55"/>
      <c r="DT76" s="55"/>
      <c r="DU76" s="55"/>
      <c r="DV76" s="55"/>
      <c r="DW76" s="55"/>
      <c r="DX76" s="55"/>
      <c r="DY76" s="55"/>
      <c r="DZ76" s="55"/>
      <c r="EA76" s="55"/>
      <c r="EB76" s="55"/>
      <c r="EC76" s="55"/>
      <c r="ED76" s="55"/>
      <c r="EE76" s="55"/>
      <c r="EF76" s="55"/>
      <c r="EG76" s="55"/>
      <c r="EH76" s="55"/>
      <c r="EI76" s="55"/>
      <c r="EJ76" s="55"/>
      <c r="EK76" s="55"/>
      <c r="EL76" s="55"/>
      <c r="EM76" s="55"/>
      <c r="EN76" s="55"/>
      <c r="EO76" s="55"/>
      <c r="EP76" s="55"/>
      <c r="EQ76" s="55"/>
      <c r="ER76" s="55"/>
      <c r="ES76" s="55"/>
      <c r="ET76" s="55"/>
    </row>
    <row r="77" customFormat="false" ht="15" hidden="false" customHeight="false" outlineLevel="0" collapsed="false">
      <c r="C77" s="0" t="s">
        <v>533</v>
      </c>
      <c r="D77" s="11" t="s">
        <v>211</v>
      </c>
      <c r="J77" s="56" t="n">
        <f aca="false">SUMPRODUCT(Devex_Keur*Devex_Date*(Devex_Date&gt;=J$3)*(Devex_Date&lt;=J$4))-J56*$F56</f>
        <v>0</v>
      </c>
      <c r="K77" s="56" t="n">
        <f aca="false">SUMPRODUCT(Devex_Keur*Devex_Date*(Devex_Date&gt;=K$3)*(Devex_Date&lt;=K$4))-K56*$F56</f>
        <v>8264787.28767123</v>
      </c>
      <c r="L77" s="56" t="n">
        <f aca="false">SUMPRODUCT(Devex_Keur*Devex_Date*(Devex_Date&gt;=L$3)*(Devex_Date&lt;=L$4))-L56*$F56</f>
        <v>27328011.4239726</v>
      </c>
      <c r="M77" s="56" t="n">
        <f aca="false">SUMPRODUCT(Devex_Keur*Devex_Date*(Devex_Date&gt;=M$3)*(Devex_Date&lt;=M$4))-M56*$F56</f>
        <v>2041249.31506849</v>
      </c>
      <c r="N77" s="56" t="n">
        <f aca="false">SUMPRODUCT(Devex_Keur*Devex_Date*(Devex_Date&gt;=N$3)*(Devex_Date&lt;=N$4))-N56*$F56</f>
        <v>2042564.38356164</v>
      </c>
      <c r="O77" s="56" t="n">
        <f aca="false">SUMPRODUCT(Devex_Keur*Devex_Date*(Devex_Date&gt;=O$3)*(Devex_Date&lt;=O$4))-O56*$F56</f>
        <v>8617904.08767123</v>
      </c>
      <c r="P77" s="56" t="n">
        <f aca="false">SUMPRODUCT(Devex_Keur*Devex_Date*(Devex_Date&gt;=P$3)*(Devex_Date&lt;=P$4))-P56*$F56</f>
        <v>60359659.8456807</v>
      </c>
      <c r="Q77" s="56" t="n">
        <f aca="false">SUMPRODUCT(Devex_Keur*Devex_Date*(Devex_Date&gt;=Q$3)*(Devex_Date&lt;=Q$4))-Q56*$F56</f>
        <v>216330.547945205</v>
      </c>
      <c r="R77" s="56" t="n">
        <f aca="false">SUMPRODUCT(Devex_Keur*Devex_Date*(Devex_Date&gt;=R$3)*(Devex_Date&lt;=R$4))-R56*$F56</f>
        <v>7708362.7728407</v>
      </c>
      <c r="S77" s="56" t="n">
        <f aca="false">SUMPRODUCT(Devex_Keur*Devex_Date*(Devex_Date&gt;=S$3)*(Devex_Date&lt;=S$4))-S56*$F56</f>
        <v>14945351.6140951</v>
      </c>
      <c r="T77" s="56" t="n">
        <f aca="false">SUMPRODUCT(Devex_Keur*Devex_Date*(Devex_Date&gt;=T$3)*(Devex_Date&lt;=T$4))-T56*$F56</f>
        <v>14376030.6849315</v>
      </c>
      <c r="U77" s="56" t="n">
        <f aca="false">SUMPRODUCT(Devex_Keur*Devex_Date*(Devex_Date&gt;=U$3)*(Devex_Date&lt;=U$4))-U56*$F56</f>
        <v>0</v>
      </c>
      <c r="V77" s="56" t="n">
        <f aca="false">SUMPRODUCT(Devex_Keur*Devex_Date*(Devex_Date&gt;=V$3)*(Devex_Date&lt;=V$4))-V56*$F56</f>
        <v>0</v>
      </c>
      <c r="W77" s="56" t="n">
        <f aca="false">SUMPRODUCT(Devex_Keur*Devex_Date*(Devex_Date&gt;=W$3)*(Devex_Date&lt;=W$4))-W56*$F56</f>
        <v>0</v>
      </c>
      <c r="X77" s="56" t="n">
        <f aca="false">SUMPRODUCT(Devex_Keur*Devex_Date*(Devex_Date&gt;=X$3)*(Devex_Date&lt;=X$4))-X56*$F56</f>
        <v>0</v>
      </c>
      <c r="Y77" s="56" t="n">
        <f aca="false">SUMPRODUCT(Devex_Keur*Devex_Date*(Devex_Date&gt;=Y$3)*(Devex_Date&lt;=Y$4))-Y56*$F56</f>
        <v>0</v>
      </c>
      <c r="Z77" s="56" t="n">
        <f aca="false">SUMPRODUCT(Devex_Keur*Devex_Date*(Devex_Date&gt;=Z$3)*(Devex_Date&lt;=Z$4))-Z56*$F56</f>
        <v>0</v>
      </c>
      <c r="AA77" s="56" t="n">
        <f aca="false">SUMPRODUCT(Devex_Keur*Devex_Date*(Devex_Date&gt;=AA$3)*(Devex_Date&lt;=AA$4))-AA56*$F56</f>
        <v>0</v>
      </c>
      <c r="AB77" s="56" t="n">
        <f aca="false">SUMPRODUCT(Devex_Keur*Devex_Date*(Devex_Date&gt;=AB$3)*(Devex_Date&lt;=AB$4))-AB56*$F56</f>
        <v>0</v>
      </c>
      <c r="AC77" s="56" t="n">
        <f aca="false">SUMPRODUCT(Devex_Keur*Devex_Date*(Devex_Date&gt;=AC$3)*(Devex_Date&lt;=AC$4))-AC56*$F56</f>
        <v>0</v>
      </c>
      <c r="AD77" s="56" t="n">
        <f aca="false">SUMPRODUCT(Devex_Keur*Devex_Date*(Devex_Date&gt;=AD$3)*(Devex_Date&lt;=AD$4))-AD56*$F56</f>
        <v>0</v>
      </c>
      <c r="AE77" s="56" t="n">
        <f aca="false">SUMPRODUCT(Devex_Keur*Devex_Date*(Devex_Date&gt;=AE$3)*(Devex_Date&lt;=AE$4))-AE56*$F56</f>
        <v>0</v>
      </c>
      <c r="AF77" s="56" t="n">
        <f aca="false">SUMPRODUCT(Devex_Keur*Devex_Date*(Devex_Date&gt;=AF$3)*(Devex_Date&lt;=AF$4))-AF56*$F56</f>
        <v>0</v>
      </c>
      <c r="AG77" s="56" t="n">
        <f aca="false">SUMPRODUCT(Devex_Keur*Devex_Date*(Devex_Date&gt;=AG$3)*(Devex_Date&lt;=AG$4))-AG56*$F56</f>
        <v>0</v>
      </c>
      <c r="AH77" s="56" t="n">
        <f aca="false">SUMPRODUCT(Devex_Keur*Devex_Date*(Devex_Date&gt;=AH$3)*(Devex_Date&lt;=AH$4))-AH56*$F56</f>
        <v>0</v>
      </c>
      <c r="AI77" s="56" t="n">
        <f aca="false">SUMPRODUCT(Devex_Keur*Devex_Date*(Devex_Date&gt;=AI$3)*(Devex_Date&lt;=AI$4))-AI56*$F56</f>
        <v>0</v>
      </c>
      <c r="AJ77" s="56" t="n">
        <f aca="false">SUMPRODUCT(Devex_Keur*Devex_Date*(Devex_Date&gt;=AJ$3)*(Devex_Date&lt;=AJ$4))-AJ56*$F56</f>
        <v>0</v>
      </c>
      <c r="AK77" s="56" t="n">
        <f aca="false">SUMPRODUCT(Devex_Keur*Devex_Date*(Devex_Date&gt;=AK$3)*(Devex_Date&lt;=AK$4))-AK56*$F56</f>
        <v>0</v>
      </c>
      <c r="AL77" s="56" t="n">
        <f aca="false">SUMPRODUCT(Devex_Keur*Devex_Date*(Devex_Date&gt;=AL$3)*(Devex_Date&lt;=AL$4))-AL56*$F56</f>
        <v>0</v>
      </c>
      <c r="AM77" s="56" t="n">
        <f aca="false">SUMPRODUCT(Devex_Keur*Devex_Date*(Devex_Date&gt;=AM$3)*(Devex_Date&lt;=AM$4))-AM56*$F56</f>
        <v>0</v>
      </c>
      <c r="AN77" s="56" t="n">
        <f aca="false">SUMPRODUCT(Devex_Keur*Devex_Date*(Devex_Date&gt;=AN$3)*(Devex_Date&lt;=AN$4))-AN56*$F56</f>
        <v>0</v>
      </c>
      <c r="AO77" s="56" t="n">
        <f aca="false">SUMPRODUCT(Devex_Keur*Devex_Date*(Devex_Date&gt;=AO$3)*(Devex_Date&lt;=AO$4))-AO56*$F56</f>
        <v>0</v>
      </c>
      <c r="AP77" s="56" t="n">
        <f aca="false">SUMPRODUCT(Devex_Keur*Devex_Date*(Devex_Date&gt;=AP$3)*(Devex_Date&lt;=AP$4))-AP56*$F56</f>
        <v>0</v>
      </c>
      <c r="AQ77" s="56" t="n">
        <f aca="false">SUMPRODUCT(Devex_Keur*Devex_Date*(Devex_Date&gt;=AQ$3)*(Devex_Date&lt;=AQ$4))-AQ56*$F56</f>
        <v>0</v>
      </c>
      <c r="AR77" s="56" t="n">
        <f aca="false">SUMPRODUCT(Devex_Keur*Devex_Date*(Devex_Date&gt;=AR$3)*(Devex_Date&lt;=AR$4))-AR56*$F56</f>
        <v>0</v>
      </c>
      <c r="AS77" s="56" t="n">
        <f aca="false">SUMPRODUCT(Devex_Keur*Devex_Date*(Devex_Date&gt;=AS$3)*(Devex_Date&lt;=AS$4))-AS56*$F56</f>
        <v>0</v>
      </c>
      <c r="AT77" s="56" t="n">
        <f aca="false">SUMPRODUCT(Devex_Keur*Devex_Date*(Devex_Date&gt;=AT$3)*(Devex_Date&lt;=AT$4))-AT56*$F56</f>
        <v>0</v>
      </c>
      <c r="AU77" s="56" t="n">
        <f aca="false">SUMPRODUCT(Devex_Keur*Devex_Date*(Devex_Date&gt;=AU$3)*(Devex_Date&lt;=AU$4))-AU56*$F56</f>
        <v>0</v>
      </c>
      <c r="AV77" s="56" t="n">
        <f aca="false">SUMPRODUCT(Devex_Keur*Devex_Date*(Devex_Date&gt;=AV$3)*(Devex_Date&lt;=AV$4))-AV56*$F56</f>
        <v>0</v>
      </c>
      <c r="AW77" s="56" t="n">
        <f aca="false">SUMPRODUCT(Devex_Keur*Devex_Date*(Devex_Date&gt;=AW$3)*(Devex_Date&lt;=AW$4))-AW56*$F56</f>
        <v>0</v>
      </c>
      <c r="AX77" s="56" t="n">
        <f aca="false">SUMPRODUCT(Devex_Keur*Devex_Date*(Devex_Date&gt;=AX$3)*(Devex_Date&lt;=AX$4))-AX56*$F56</f>
        <v>0</v>
      </c>
      <c r="AY77" s="56" t="n">
        <f aca="false">SUMPRODUCT(Devex_Keur*Devex_Date*(Devex_Date&gt;=AY$3)*(Devex_Date&lt;=AY$4))-AY56*$F56</f>
        <v>0</v>
      </c>
      <c r="AZ77" s="56" t="n">
        <f aca="false">SUMPRODUCT(Devex_Keur*Devex_Date*(Devex_Date&gt;=AZ$3)*(Devex_Date&lt;=AZ$4))-AZ56*$F56</f>
        <v>0</v>
      </c>
      <c r="BA77" s="56" t="n">
        <f aca="false">SUMPRODUCT(Devex_Keur*Devex_Date*(Devex_Date&gt;=BA$3)*(Devex_Date&lt;=BA$4))-BA56*$F56</f>
        <v>0</v>
      </c>
      <c r="BB77" s="56" t="n">
        <f aca="false">SUMPRODUCT(Devex_Keur*Devex_Date*(Devex_Date&gt;=BB$3)*(Devex_Date&lt;=BB$4))-BB56*$F56</f>
        <v>0</v>
      </c>
      <c r="BC77" s="56" t="n">
        <f aca="false">SUMPRODUCT(Devex_Keur*Devex_Date*(Devex_Date&gt;=BC$3)*(Devex_Date&lt;=BC$4))-BC56*$F56</f>
        <v>0</v>
      </c>
      <c r="BD77" s="56" t="n">
        <f aca="false">SUMPRODUCT(Devex_Keur*Devex_Date*(Devex_Date&gt;=BD$3)*(Devex_Date&lt;=BD$4))-BD56*$F56</f>
        <v>0</v>
      </c>
      <c r="BE77" s="56" t="n">
        <f aca="false">SUMPRODUCT(Devex_Keur*Devex_Date*(Devex_Date&gt;=BE$3)*(Devex_Date&lt;=BE$4))-BE56*$F56</f>
        <v>0</v>
      </c>
      <c r="BF77" s="56" t="n">
        <f aca="false">SUMPRODUCT(Devex_Keur*Devex_Date*(Devex_Date&gt;=BF$3)*(Devex_Date&lt;=BF$4))-BF56*$F56</f>
        <v>0</v>
      </c>
      <c r="BG77" s="56" t="n">
        <f aca="false">SUMPRODUCT(Devex_Keur*Devex_Date*(Devex_Date&gt;=BG$3)*(Devex_Date&lt;=BG$4))-BG56*$F56</f>
        <v>0</v>
      </c>
      <c r="BH77" s="56" t="n">
        <f aca="false">SUMPRODUCT(Devex_Keur*Devex_Date*(Devex_Date&gt;=BH$3)*(Devex_Date&lt;=BH$4))-BH56*$F56</f>
        <v>0</v>
      </c>
      <c r="BI77" s="56" t="n">
        <f aca="false">SUMPRODUCT(Devex_Keur*Devex_Date*(Devex_Date&gt;=BI$3)*(Devex_Date&lt;=BI$4))-BI56*$F56</f>
        <v>0</v>
      </c>
      <c r="BJ77" s="56" t="n">
        <f aca="false">SUMPRODUCT(Devex_Keur*Devex_Date*(Devex_Date&gt;=BJ$3)*(Devex_Date&lt;=BJ$4))-BJ56*$F56</f>
        <v>0</v>
      </c>
      <c r="BK77" s="56" t="n">
        <f aca="false">SUMPRODUCT(Devex_Keur*Devex_Date*(Devex_Date&gt;=BK$3)*(Devex_Date&lt;=BK$4))-BK56*$F56</f>
        <v>0</v>
      </c>
      <c r="BL77" s="56" t="n">
        <f aca="false">SUMPRODUCT(Devex_Keur*Devex_Date*(Devex_Date&gt;=BL$3)*(Devex_Date&lt;=BL$4))-BL56*$F56</f>
        <v>0</v>
      </c>
      <c r="BM77" s="56" t="n">
        <f aca="false">SUMPRODUCT(Devex_Keur*Devex_Date*(Devex_Date&gt;=BM$3)*(Devex_Date&lt;=BM$4))-BM56*$F56</f>
        <v>0</v>
      </c>
      <c r="BN77" s="56" t="n">
        <f aca="false">SUMPRODUCT(Devex_Keur*Devex_Date*(Devex_Date&gt;=BN$3)*(Devex_Date&lt;=BN$4))-BN56*$F56</f>
        <v>0</v>
      </c>
      <c r="BO77" s="56" t="n">
        <f aca="false">SUMPRODUCT(Devex_Keur*Devex_Date*(Devex_Date&gt;=BO$3)*(Devex_Date&lt;=BO$4))-BO56*$F56</f>
        <v>0</v>
      </c>
      <c r="BP77" s="56" t="n">
        <f aca="false">SUMPRODUCT(Devex_Keur*Devex_Date*(Devex_Date&gt;=BP$3)*(Devex_Date&lt;=BP$4))-BP56*$F56</f>
        <v>0</v>
      </c>
      <c r="BQ77" s="56" t="n">
        <f aca="false">SUMPRODUCT(Devex_Keur*Devex_Date*(Devex_Date&gt;=BQ$3)*(Devex_Date&lt;=BQ$4))-BQ56*$F56</f>
        <v>0</v>
      </c>
      <c r="BR77" s="56" t="n">
        <f aca="false">SUMPRODUCT(Devex_Keur*Devex_Date*(Devex_Date&gt;=BR$3)*(Devex_Date&lt;=BR$4))-BR56*$F56</f>
        <v>0</v>
      </c>
      <c r="BS77" s="56" t="n">
        <f aca="false">SUMPRODUCT(Devex_Keur*Devex_Date*(Devex_Date&gt;=BS$3)*(Devex_Date&lt;=BS$4))-BS56*$F56</f>
        <v>0</v>
      </c>
      <c r="BT77" s="56" t="n">
        <f aca="false">SUMPRODUCT(Devex_Keur*Devex_Date*(Devex_Date&gt;=BT$3)*(Devex_Date&lt;=BT$4))-BT56*$F56</f>
        <v>0</v>
      </c>
      <c r="BU77" s="56" t="n">
        <f aca="false">SUMPRODUCT(Devex_Keur*Devex_Date*(Devex_Date&gt;=BU$3)*(Devex_Date&lt;=BU$4))-BU56*$F56</f>
        <v>0</v>
      </c>
      <c r="BV77" s="56" t="n">
        <f aca="false">SUMPRODUCT(Devex_Keur*Devex_Date*(Devex_Date&gt;=BV$3)*(Devex_Date&lt;=BV$4))-BV56*$F56</f>
        <v>0</v>
      </c>
      <c r="BW77" s="56" t="n">
        <f aca="false">SUMPRODUCT(Devex_Keur*Devex_Date*(Devex_Date&gt;=BW$3)*(Devex_Date&lt;=BW$4))-BW56*$F56</f>
        <v>0</v>
      </c>
      <c r="BX77" s="56" t="n">
        <f aca="false">SUMPRODUCT(Devex_Keur*Devex_Date*(Devex_Date&gt;=BX$3)*(Devex_Date&lt;=BX$4))-BX56*$F56</f>
        <v>0</v>
      </c>
      <c r="BY77" s="56" t="n">
        <f aca="false">SUMPRODUCT(Devex_Keur*Devex_Date*(Devex_Date&gt;=BY$3)*(Devex_Date&lt;=BY$4))-BY56*$F56</f>
        <v>0</v>
      </c>
      <c r="BZ77" s="56" t="n">
        <f aca="false">SUMPRODUCT(Devex_Keur*Devex_Date*(Devex_Date&gt;=BZ$3)*(Devex_Date&lt;=BZ$4))-BZ56*$F56</f>
        <v>0</v>
      </c>
      <c r="CA77" s="56" t="n">
        <f aca="false">SUMPRODUCT(Devex_Keur*Devex_Date*(Devex_Date&gt;=CA$3)*(Devex_Date&lt;=CA$4))-CA56*$F56</f>
        <v>0</v>
      </c>
      <c r="CB77" s="56" t="n">
        <f aca="false">SUMPRODUCT(Devex_Keur*Devex_Date*(Devex_Date&gt;=CB$3)*(Devex_Date&lt;=CB$4))-CB56*$F56</f>
        <v>0</v>
      </c>
      <c r="CC77" s="56" t="n">
        <f aca="false">SUMPRODUCT(Devex_Keur*Devex_Date*(Devex_Date&gt;=CC$3)*(Devex_Date&lt;=CC$4))-CC56*$F56</f>
        <v>0</v>
      </c>
      <c r="CD77" s="56" t="n">
        <f aca="false">SUMPRODUCT(Devex_Keur*Devex_Date*(Devex_Date&gt;=CD$3)*(Devex_Date&lt;=CD$4))-CD56*$F56</f>
        <v>0</v>
      </c>
      <c r="CE77" s="56" t="n">
        <f aca="false">SUMPRODUCT(Devex_Keur*Devex_Date*(Devex_Date&gt;=CE$3)*(Devex_Date&lt;=CE$4))-CE56*$F56</f>
        <v>0</v>
      </c>
      <c r="CF77" s="56" t="n">
        <f aca="false">SUMPRODUCT(Devex_Keur*Devex_Date*(Devex_Date&gt;=CF$3)*(Devex_Date&lt;=CF$4))-CF56*$F56</f>
        <v>0</v>
      </c>
      <c r="CG77" s="56" t="n">
        <f aca="false">SUMPRODUCT(Devex_Keur*Devex_Date*(Devex_Date&gt;=CG$3)*(Devex_Date&lt;=CG$4))-CG56*$F56</f>
        <v>0</v>
      </c>
      <c r="CH77" s="56" t="n">
        <f aca="false">SUMPRODUCT(Devex_Keur*Devex_Date*(Devex_Date&gt;=CH$3)*(Devex_Date&lt;=CH$4))-CH56*$F56</f>
        <v>0</v>
      </c>
      <c r="CI77" s="56" t="n">
        <f aca="false">SUMPRODUCT(Devex_Keur*Devex_Date*(Devex_Date&gt;=CI$3)*(Devex_Date&lt;=CI$4))-CI56*$F56</f>
        <v>0</v>
      </c>
      <c r="CJ77" s="56" t="n">
        <f aca="false">SUMPRODUCT(Devex_Keur*Devex_Date*(Devex_Date&gt;=CJ$3)*(Devex_Date&lt;=CJ$4))-CJ56*$F56</f>
        <v>0</v>
      </c>
      <c r="CK77" s="56" t="n">
        <f aca="false">SUMPRODUCT(Devex_Keur*Devex_Date*(Devex_Date&gt;=CK$3)*(Devex_Date&lt;=CK$4))-CK56*$F56</f>
        <v>0</v>
      </c>
      <c r="CL77" s="56" t="n">
        <f aca="false">SUMPRODUCT(Devex_Keur*Devex_Date*(Devex_Date&gt;=CL$3)*(Devex_Date&lt;=CL$4))-CL56*$F56</f>
        <v>0</v>
      </c>
      <c r="CM77" s="56" t="n">
        <f aca="false">SUMPRODUCT(Devex_Keur*Devex_Date*(Devex_Date&gt;=CM$3)*(Devex_Date&lt;=CM$4))-CM56*$F56</f>
        <v>0</v>
      </c>
      <c r="CN77" s="56" t="n">
        <f aca="false">SUMPRODUCT(Devex_Keur*Devex_Date*(Devex_Date&gt;=CN$3)*(Devex_Date&lt;=CN$4))-CN56*$F56</f>
        <v>0</v>
      </c>
      <c r="CO77" s="56" t="n">
        <f aca="false">SUMPRODUCT(Devex_Keur*Devex_Date*(Devex_Date&gt;=CO$3)*(Devex_Date&lt;=CO$4))-CO56*$F56</f>
        <v>0</v>
      </c>
      <c r="CP77" s="56" t="n">
        <f aca="false">SUMPRODUCT(Devex_Keur*Devex_Date*(Devex_Date&gt;=CP$3)*(Devex_Date&lt;=CP$4))-CP56*$F56</f>
        <v>0</v>
      </c>
      <c r="CQ77" s="56" t="n">
        <f aca="false">SUMPRODUCT(Devex_Keur*Devex_Date*(Devex_Date&gt;=CQ$3)*(Devex_Date&lt;=CQ$4))-CQ56*$F56</f>
        <v>0</v>
      </c>
      <c r="CR77" s="56" t="n">
        <f aca="false">SUMPRODUCT(Devex_Keur*Devex_Date*(Devex_Date&gt;=CR$3)*(Devex_Date&lt;=CR$4))-CR56*$F56</f>
        <v>0</v>
      </c>
      <c r="CS77" s="56" t="n">
        <f aca="false">SUMPRODUCT(Devex_Keur*Devex_Date*(Devex_Date&gt;=CS$3)*(Devex_Date&lt;=CS$4))-CS56*$F56</f>
        <v>0</v>
      </c>
      <c r="CT77" s="56" t="n">
        <f aca="false">SUMPRODUCT(Devex_Keur*Devex_Date*(Devex_Date&gt;=CT$3)*(Devex_Date&lt;=CT$4))-CT56*$F56</f>
        <v>0</v>
      </c>
      <c r="CU77" s="56" t="n">
        <f aca="false">SUMPRODUCT(Devex_Keur*Devex_Date*(Devex_Date&gt;=CU$3)*(Devex_Date&lt;=CU$4))-CU56*$F56</f>
        <v>0</v>
      </c>
      <c r="CV77" s="56" t="n">
        <f aca="false">SUMPRODUCT(Devex_Keur*Devex_Date*(Devex_Date&gt;=CV$3)*(Devex_Date&lt;=CV$4))-CV56*$F56</f>
        <v>0</v>
      </c>
      <c r="CW77" s="56" t="n">
        <f aca="false">SUMPRODUCT(Devex_Keur*Devex_Date*(Devex_Date&gt;=CW$3)*(Devex_Date&lt;=CW$4))-CW56*$F56</f>
        <v>0</v>
      </c>
      <c r="CX77" s="56" t="n">
        <f aca="false">SUMPRODUCT(Devex_Keur*Devex_Date*(Devex_Date&gt;=CX$3)*(Devex_Date&lt;=CX$4))-CX56*$F56</f>
        <v>0</v>
      </c>
      <c r="CY77" s="56" t="n">
        <f aca="false">SUMPRODUCT(Devex_Keur*Devex_Date*(Devex_Date&gt;=CY$3)*(Devex_Date&lt;=CY$4))-CY56*$F56</f>
        <v>0</v>
      </c>
      <c r="CZ77" s="56" t="n">
        <f aca="false">SUMPRODUCT(Devex_Keur*Devex_Date*(Devex_Date&gt;=CZ$3)*(Devex_Date&lt;=CZ$4))-CZ56*$F56</f>
        <v>0</v>
      </c>
      <c r="DA77" s="56" t="n">
        <f aca="false">SUMPRODUCT(Devex_Keur*Devex_Date*(Devex_Date&gt;=DA$3)*(Devex_Date&lt;=DA$4))-DA56*$F56</f>
        <v>0</v>
      </c>
      <c r="DB77" s="56" t="n">
        <f aca="false">SUMPRODUCT(Devex_Keur*Devex_Date*(Devex_Date&gt;=DB$3)*(Devex_Date&lt;=DB$4))-DB56*$F56</f>
        <v>0</v>
      </c>
      <c r="DC77" s="56" t="n">
        <f aca="false">SUMPRODUCT(Devex_Keur*Devex_Date*(Devex_Date&gt;=DC$3)*(Devex_Date&lt;=DC$4))-DC56*$F56</f>
        <v>0</v>
      </c>
      <c r="DD77" s="56" t="n">
        <f aca="false">SUMPRODUCT(Devex_Keur*Devex_Date*(Devex_Date&gt;=DD$3)*(Devex_Date&lt;=DD$4))-DD56*$F56</f>
        <v>0</v>
      </c>
      <c r="DE77" s="56" t="n">
        <f aca="false">SUMPRODUCT(Devex_Keur*Devex_Date*(Devex_Date&gt;=DE$3)*(Devex_Date&lt;=DE$4))-DE56*$F56</f>
        <v>0</v>
      </c>
      <c r="DF77" s="56" t="n">
        <f aca="false">SUMPRODUCT(Devex_Keur*Devex_Date*(Devex_Date&gt;=DF$3)*(Devex_Date&lt;=DF$4))-DF56*$F56</f>
        <v>0</v>
      </c>
      <c r="DG77" s="56" t="n">
        <f aca="false">SUMPRODUCT(Devex_Keur*Devex_Date*(Devex_Date&gt;=DG$3)*(Devex_Date&lt;=DG$4))-DG56*$F56</f>
        <v>0</v>
      </c>
      <c r="DH77" s="56" t="n">
        <f aca="false">SUMPRODUCT(Devex_Keur*Devex_Date*(Devex_Date&gt;=DH$3)*(Devex_Date&lt;=DH$4))-DH56*$F56</f>
        <v>0</v>
      </c>
      <c r="DI77" s="56" t="n">
        <f aca="false">SUMPRODUCT(Devex_Keur*Devex_Date*(Devex_Date&gt;=DI$3)*(Devex_Date&lt;=DI$4))-DI56*$F56</f>
        <v>0</v>
      </c>
      <c r="DJ77" s="56" t="n">
        <f aca="false">SUMPRODUCT(Devex_Keur*Devex_Date*(Devex_Date&gt;=DJ$3)*(Devex_Date&lt;=DJ$4))-DJ56*$F56</f>
        <v>0</v>
      </c>
      <c r="DK77" s="56" t="n">
        <f aca="false">SUMPRODUCT(Devex_Keur*Devex_Date*(Devex_Date&gt;=DK$3)*(Devex_Date&lt;=DK$4))-DK56*$F56</f>
        <v>0</v>
      </c>
      <c r="DL77" s="56" t="n">
        <f aca="false">SUMPRODUCT(Devex_Keur*Devex_Date*(Devex_Date&gt;=DL$3)*(Devex_Date&lt;=DL$4))-DL56*$F56</f>
        <v>0</v>
      </c>
      <c r="DM77" s="56" t="n">
        <f aca="false">SUMPRODUCT(Devex_Keur*Devex_Date*(Devex_Date&gt;=DM$3)*(Devex_Date&lt;=DM$4))-DM56*$F56</f>
        <v>0</v>
      </c>
      <c r="DN77" s="56" t="n">
        <f aca="false">SUMPRODUCT(Devex_Keur*Devex_Date*(Devex_Date&gt;=DN$3)*(Devex_Date&lt;=DN$4))-DN56*$F56</f>
        <v>0</v>
      </c>
      <c r="DO77" s="56" t="n">
        <f aca="false">SUMPRODUCT(Devex_Keur*Devex_Date*(Devex_Date&gt;=DO$3)*(Devex_Date&lt;=DO$4))-DO56*$F56</f>
        <v>0</v>
      </c>
      <c r="DP77" s="56" t="n">
        <f aca="false">SUMPRODUCT(Devex_Keur*Devex_Date*(Devex_Date&gt;=DP$3)*(Devex_Date&lt;=DP$4))-DP56*$F56</f>
        <v>0</v>
      </c>
      <c r="DQ77" s="56" t="n">
        <f aca="false">SUMPRODUCT(Devex_Keur*Devex_Date*(Devex_Date&gt;=DQ$3)*(Devex_Date&lt;=DQ$4))-DQ56*$F56</f>
        <v>0</v>
      </c>
      <c r="DR77" s="56" t="n">
        <f aca="false">SUMPRODUCT(Devex_Keur*Devex_Date*(Devex_Date&gt;=DR$3)*(Devex_Date&lt;=DR$4))-DR56*$F56</f>
        <v>0</v>
      </c>
      <c r="DS77" s="56" t="n">
        <f aca="false">SUMPRODUCT(Devex_Keur*Devex_Date*(Devex_Date&gt;=DS$3)*(Devex_Date&lt;=DS$4))-DS56*$F56</f>
        <v>0</v>
      </c>
      <c r="DT77" s="56" t="n">
        <f aca="false">SUMPRODUCT(Devex_Keur*Devex_Date*(Devex_Date&gt;=DT$3)*(Devex_Date&lt;=DT$4))-DT56*$F56</f>
        <v>0</v>
      </c>
      <c r="DU77" s="56" t="n">
        <f aca="false">SUMPRODUCT(Devex_Keur*Devex_Date*(Devex_Date&gt;=DU$3)*(Devex_Date&lt;=DU$4))-DU56*$F56</f>
        <v>0</v>
      </c>
      <c r="DV77" s="56" t="n">
        <f aca="false">SUMPRODUCT(Devex_Keur*Devex_Date*(Devex_Date&gt;=DV$3)*(Devex_Date&lt;=DV$4))-DV56*$F56</f>
        <v>0</v>
      </c>
      <c r="DW77" s="56" t="n">
        <f aca="false">SUMPRODUCT(Devex_Keur*Devex_Date*(Devex_Date&gt;=DW$3)*(Devex_Date&lt;=DW$4))-DW56*$F56</f>
        <v>0</v>
      </c>
      <c r="DX77" s="56" t="n">
        <f aca="false">SUMPRODUCT(Devex_Keur*Devex_Date*(Devex_Date&gt;=DX$3)*(Devex_Date&lt;=DX$4))-DX56*$F56</f>
        <v>0</v>
      </c>
      <c r="DY77" s="56" t="n">
        <f aca="false">SUMPRODUCT(Devex_Keur*Devex_Date*(Devex_Date&gt;=DY$3)*(Devex_Date&lt;=DY$4))-DY56*$F56</f>
        <v>0</v>
      </c>
      <c r="DZ77" s="56" t="n">
        <f aca="false">SUMPRODUCT(Devex_Keur*Devex_Date*(Devex_Date&gt;=DZ$3)*(Devex_Date&lt;=DZ$4))-DZ56*$F56</f>
        <v>0</v>
      </c>
      <c r="EA77" s="56" t="n">
        <f aca="false">SUMPRODUCT(Devex_Keur*Devex_Date*(Devex_Date&gt;=EA$3)*(Devex_Date&lt;=EA$4))-EA56*$F56</f>
        <v>0</v>
      </c>
      <c r="EB77" s="56" t="n">
        <f aca="false">SUMPRODUCT(Devex_Keur*Devex_Date*(Devex_Date&gt;=EB$3)*(Devex_Date&lt;=EB$4))-EB56*$F56</f>
        <v>0</v>
      </c>
      <c r="EC77" s="56" t="n">
        <f aca="false">SUMPRODUCT(Devex_Keur*Devex_Date*(Devex_Date&gt;=EC$3)*(Devex_Date&lt;=EC$4))-EC56*$F56</f>
        <v>0</v>
      </c>
      <c r="ED77" s="56" t="n">
        <f aca="false">SUMPRODUCT(Devex_Keur*Devex_Date*(Devex_Date&gt;=ED$3)*(Devex_Date&lt;=ED$4))-ED56*$F56</f>
        <v>0</v>
      </c>
      <c r="EE77" s="56" t="n">
        <f aca="false">SUMPRODUCT(Devex_Keur*Devex_Date*(Devex_Date&gt;=EE$3)*(Devex_Date&lt;=EE$4))-EE56*$F56</f>
        <v>0</v>
      </c>
      <c r="EF77" s="56" t="n">
        <f aca="false">SUMPRODUCT(Devex_Keur*Devex_Date*(Devex_Date&gt;=EF$3)*(Devex_Date&lt;=EF$4))-EF56*$F56</f>
        <v>0</v>
      </c>
      <c r="EG77" s="56" t="n">
        <f aca="false">SUMPRODUCT(Devex_Keur*Devex_Date*(Devex_Date&gt;=EG$3)*(Devex_Date&lt;=EG$4))-EG56*$F56</f>
        <v>0</v>
      </c>
      <c r="EH77" s="56" t="n">
        <f aca="false">SUMPRODUCT(Devex_Keur*Devex_Date*(Devex_Date&gt;=EH$3)*(Devex_Date&lt;=EH$4))-EH56*$F56</f>
        <v>0</v>
      </c>
      <c r="EI77" s="56" t="n">
        <f aca="false">SUMPRODUCT(Devex_Keur*Devex_Date*(Devex_Date&gt;=EI$3)*(Devex_Date&lt;=EI$4))-EI56*$F56</f>
        <v>0</v>
      </c>
      <c r="EJ77" s="56" t="n">
        <f aca="false">SUMPRODUCT(Devex_Keur*Devex_Date*(Devex_Date&gt;=EJ$3)*(Devex_Date&lt;=EJ$4))-EJ56*$F56</f>
        <v>0</v>
      </c>
      <c r="EK77" s="56" t="n">
        <f aca="false">SUMPRODUCT(Devex_Keur*Devex_Date*(Devex_Date&gt;=EK$3)*(Devex_Date&lt;=EK$4))-EK56*$F56</f>
        <v>0</v>
      </c>
      <c r="EL77" s="56" t="n">
        <f aca="false">SUMPRODUCT(Devex_Keur*Devex_Date*(Devex_Date&gt;=EL$3)*(Devex_Date&lt;=EL$4))-EL56*$F56</f>
        <v>0</v>
      </c>
      <c r="EM77" s="56" t="n">
        <f aca="false">SUMPRODUCT(Devex_Keur*Devex_Date*(Devex_Date&gt;=EM$3)*(Devex_Date&lt;=EM$4))-EM56*$F56</f>
        <v>0</v>
      </c>
      <c r="EN77" s="56" t="n">
        <f aca="false">SUMPRODUCT(Devex_Keur*Devex_Date*(Devex_Date&gt;=EN$3)*(Devex_Date&lt;=EN$4))-EN56*$F56</f>
        <v>0</v>
      </c>
      <c r="EO77" s="56" t="n">
        <f aca="false">SUMPRODUCT(Devex_Keur*Devex_Date*(Devex_Date&gt;=EO$3)*(Devex_Date&lt;=EO$4))-EO56*$F56</f>
        <v>0</v>
      </c>
      <c r="EP77" s="56" t="n">
        <f aca="false">SUMPRODUCT(Devex_Keur*Devex_Date*(Devex_Date&gt;=EP$3)*(Devex_Date&lt;=EP$4))-EP56*$F56</f>
        <v>0</v>
      </c>
      <c r="EQ77" s="56" t="n">
        <f aca="false">SUMPRODUCT(Devex_Keur*Devex_Date*(Devex_Date&gt;=EQ$3)*(Devex_Date&lt;=EQ$4))-EQ56*$F56</f>
        <v>0</v>
      </c>
      <c r="ER77" s="56" t="n">
        <f aca="false">SUMPRODUCT(Devex_Keur*Devex_Date*(Devex_Date&gt;=ER$3)*(Devex_Date&lt;=ER$4))-ER56*$F56</f>
        <v>0</v>
      </c>
      <c r="ES77" s="56" t="n">
        <f aca="false">SUMPRODUCT(Devex_Keur*Devex_Date*(Devex_Date&gt;=ES$3)*(Devex_Date&lt;=ES$4))-ES56*$F56</f>
        <v>0</v>
      </c>
      <c r="ET77" s="56" t="n">
        <f aca="false">SUMPRODUCT(Devex_Keur*Devex_Date*(Devex_Date&gt;=ET$3)*(Devex_Date&lt;=ET$4))-ET56*$F56</f>
        <v>0</v>
      </c>
    </row>
    <row r="78" customFormat="false" ht="15" hidden="false" customHeight="false" outlineLevel="0" collapsed="false">
      <c r="C78" s="0" t="s">
        <v>534</v>
      </c>
      <c r="D78" s="11" t="s">
        <v>253</v>
      </c>
      <c r="J78" s="22" t="n">
        <f aca="false">I81</f>
        <v>0</v>
      </c>
      <c r="K78" s="22" t="n">
        <f aca="false">J81</f>
        <v>0</v>
      </c>
      <c r="L78" s="22" t="n">
        <f aca="false">K81</f>
        <v>187.51993995121</v>
      </c>
      <c r="M78" s="22" t="n">
        <f aca="false">L81</f>
        <v>775.964460499156</v>
      </c>
      <c r="N78" s="22" t="n">
        <f aca="false">M81</f>
        <v>819.800076937512</v>
      </c>
      <c r="O78" s="22" t="n">
        <f aca="false">N81</f>
        <v>863.635693375868</v>
      </c>
      <c r="P78" s="22" t="n">
        <f aca="false">O81</f>
        <v>1195.18381497467</v>
      </c>
      <c r="Q78" s="22" t="n">
        <f aca="false">P81</f>
        <v>2485.22560977478</v>
      </c>
      <c r="R78" s="22" t="n">
        <f aca="false">Q81</f>
        <v>2489.83519881588</v>
      </c>
      <c r="S78" s="22" t="n">
        <f aca="false">R81</f>
        <v>2653.92670879631</v>
      </c>
      <c r="T78" s="22" t="n">
        <f aca="false">S81</f>
        <v>3458.61440309663</v>
      </c>
      <c r="U78" s="22" t="n">
        <f aca="false">T81</f>
        <v>3763.27193734321</v>
      </c>
      <c r="V78" s="22" t="n">
        <f aca="false">U81</f>
        <v>3763.27193734321</v>
      </c>
      <c r="W78" s="22" t="n">
        <f aca="false">V81</f>
        <v>3763.27193734321</v>
      </c>
      <c r="X78" s="22" t="n">
        <f aca="false">W81</f>
        <v>4125.06913837992</v>
      </c>
      <c r="Y78" s="22" t="n">
        <f aca="false">X81</f>
        <v>4125.06913837992</v>
      </c>
      <c r="Z78" s="22" t="n">
        <f aca="false">Y81</f>
        <v>4125.06913837992</v>
      </c>
      <c r="AA78" s="22" t="n">
        <f aca="false">Z81</f>
        <v>4125.06913837992</v>
      </c>
      <c r="AB78" s="22" t="n">
        <f aca="false">AA81</f>
        <v>4950.0829660559</v>
      </c>
      <c r="AC78" s="22" t="n">
        <f aca="false">AB81</f>
        <v>4950.0829660559</v>
      </c>
      <c r="AD78" s="22" t="n">
        <f aca="false">AC81</f>
        <v>4950.0829660559</v>
      </c>
      <c r="AE78" s="22" t="n">
        <f aca="false">AD81</f>
        <v>4950.0829660559</v>
      </c>
      <c r="AF78" s="22" t="n">
        <f aca="false">AE81</f>
        <v>5690.5611302933</v>
      </c>
      <c r="AG78" s="22" t="n">
        <f aca="false">AF81</f>
        <v>5690.5611302933</v>
      </c>
      <c r="AH78" s="22" t="n">
        <f aca="false">AG81</f>
        <v>5690.5611302933</v>
      </c>
      <c r="AI78" s="22" t="n">
        <f aca="false">AH81</f>
        <v>5690.5611302933</v>
      </c>
      <c r="AJ78" s="22" t="n">
        <f aca="false">AI81</f>
        <v>5690.5611302933</v>
      </c>
      <c r="AK78" s="22" t="n">
        <f aca="false">AJ81</f>
        <v>5690.5611302933</v>
      </c>
      <c r="AL78" s="22" t="n">
        <f aca="false">AK81</f>
        <v>5690.5611302933</v>
      </c>
      <c r="AM78" s="22" t="n">
        <f aca="false">AL81</f>
        <v>5690.5611302933</v>
      </c>
      <c r="AN78" s="22" t="n">
        <f aca="false">AM81</f>
        <v>5690.5611302933</v>
      </c>
      <c r="AO78" s="22" t="n">
        <f aca="false">AN81</f>
        <v>5690.5611302933</v>
      </c>
      <c r="AP78" s="22" t="n">
        <f aca="false">AO81</f>
        <v>5690.5611302933</v>
      </c>
      <c r="AQ78" s="22" t="n">
        <f aca="false">AP81</f>
        <v>5690.5611302933</v>
      </c>
      <c r="AR78" s="22" t="n">
        <f aca="false">AQ81</f>
        <v>5690.5611302933</v>
      </c>
      <c r="AS78" s="22" t="n">
        <f aca="false">AR81</f>
        <v>5690.5611302933</v>
      </c>
      <c r="AT78" s="22" t="n">
        <f aca="false">AS81</f>
        <v>5690.5611302933</v>
      </c>
      <c r="AU78" s="22" t="n">
        <f aca="false">AT81</f>
        <v>5690.5611302933</v>
      </c>
      <c r="AV78" s="22" t="n">
        <f aca="false">AU81</f>
        <v>5690.5611302933</v>
      </c>
      <c r="AW78" s="22" t="n">
        <f aca="false">AV81</f>
        <v>5690.5611302933</v>
      </c>
      <c r="AX78" s="22" t="n">
        <f aca="false">AW81</f>
        <v>5690.5611302933</v>
      </c>
      <c r="AY78" s="22" t="n">
        <f aca="false">AX81</f>
        <v>5690.5611302933</v>
      </c>
      <c r="AZ78" s="22" t="n">
        <f aca="false">AY81</f>
        <v>5690.5611302933</v>
      </c>
      <c r="BA78" s="22" t="n">
        <f aca="false">AZ81</f>
        <v>5690.5611302933</v>
      </c>
      <c r="BB78" s="22" t="n">
        <f aca="false">BA81</f>
        <v>5690.5611302933</v>
      </c>
      <c r="BC78" s="22" t="n">
        <f aca="false">BB81</f>
        <v>5690.5611302933</v>
      </c>
      <c r="BD78" s="22" t="n">
        <f aca="false">BC81</f>
        <v>5690.5611302933</v>
      </c>
      <c r="BE78" s="22" t="n">
        <f aca="false">BD81</f>
        <v>5690.5611302933</v>
      </c>
      <c r="BF78" s="22" t="n">
        <f aca="false">BE81</f>
        <v>5690.5611302933</v>
      </c>
      <c r="BG78" s="22" t="n">
        <f aca="false">BF81</f>
        <v>5690.5611302933</v>
      </c>
      <c r="BH78" s="22" t="n">
        <f aca="false">BG81</f>
        <v>5690.5611302933</v>
      </c>
      <c r="BI78" s="22" t="n">
        <f aca="false">BH81</f>
        <v>5690.5611302933</v>
      </c>
      <c r="BJ78" s="22" t="n">
        <f aca="false">BI81</f>
        <v>5690.5611302933</v>
      </c>
      <c r="BK78" s="22" t="n">
        <f aca="false">BJ81</f>
        <v>5690.5611302933</v>
      </c>
      <c r="BL78" s="22" t="n">
        <f aca="false">BK81</f>
        <v>5690.5611302933</v>
      </c>
      <c r="BM78" s="22" t="n">
        <f aca="false">BL81</f>
        <v>5690.5611302933</v>
      </c>
      <c r="BN78" s="22" t="n">
        <f aca="false">BM81</f>
        <v>5690.5611302933</v>
      </c>
      <c r="BO78" s="22" t="n">
        <f aca="false">BN81</f>
        <v>5690.5611302933</v>
      </c>
      <c r="BP78" s="22" t="n">
        <f aca="false">BO81</f>
        <v>5690.5611302933</v>
      </c>
      <c r="BQ78" s="22" t="n">
        <f aca="false">BP81</f>
        <v>5690.5611302933</v>
      </c>
      <c r="BR78" s="22" t="n">
        <f aca="false">BQ81</f>
        <v>5690.5611302933</v>
      </c>
      <c r="BS78" s="22" t="n">
        <f aca="false">BR81</f>
        <v>5690.5611302933</v>
      </c>
      <c r="BT78" s="22" t="n">
        <f aca="false">BS81</f>
        <v>5690.5611302933</v>
      </c>
      <c r="BU78" s="22" t="n">
        <f aca="false">BT81</f>
        <v>5690.5611302933</v>
      </c>
      <c r="BV78" s="22" t="n">
        <f aca="false">BU81</f>
        <v>5690.5611302933</v>
      </c>
      <c r="BW78" s="22" t="n">
        <f aca="false">BV81</f>
        <v>5690.5611302933</v>
      </c>
      <c r="BX78" s="22" t="n">
        <f aca="false">BW81</f>
        <v>5690.5611302933</v>
      </c>
      <c r="BY78" s="22" t="n">
        <f aca="false">BX81</f>
        <v>5690.5611302933</v>
      </c>
      <c r="BZ78" s="22" t="n">
        <f aca="false">BY81</f>
        <v>5690.5611302933</v>
      </c>
      <c r="CA78" s="22" t="n">
        <f aca="false">BZ81</f>
        <v>5690.5611302933</v>
      </c>
      <c r="CB78" s="22" t="n">
        <f aca="false">CA81</f>
        <v>5690.5611302933</v>
      </c>
      <c r="CC78" s="22" t="n">
        <f aca="false">CB81</f>
        <v>5690.5611302933</v>
      </c>
      <c r="CD78" s="22" t="n">
        <f aca="false">CC81</f>
        <v>5690.5611302933</v>
      </c>
      <c r="CE78" s="22" t="n">
        <f aca="false">CD81</f>
        <v>5690.5611302933</v>
      </c>
      <c r="CF78" s="22" t="n">
        <f aca="false">CE81</f>
        <v>5690.5611302933</v>
      </c>
      <c r="CG78" s="22" t="n">
        <f aca="false">CF81</f>
        <v>5690.5611302933</v>
      </c>
      <c r="CH78" s="22" t="n">
        <f aca="false">CG81</f>
        <v>5690.5611302933</v>
      </c>
      <c r="CI78" s="22" t="n">
        <f aca="false">CH81</f>
        <v>5690.5611302933</v>
      </c>
      <c r="CJ78" s="22" t="n">
        <f aca="false">CI81</f>
        <v>5690.5611302933</v>
      </c>
      <c r="CK78" s="22" t="n">
        <f aca="false">CJ81</f>
        <v>5690.5611302933</v>
      </c>
      <c r="CL78" s="22" t="n">
        <f aca="false">CK81</f>
        <v>5690.5611302933</v>
      </c>
      <c r="CM78" s="22" t="n">
        <f aca="false">CL81</f>
        <v>5690.5611302933</v>
      </c>
      <c r="CN78" s="22" t="n">
        <f aca="false">CM81</f>
        <v>5690.5611302933</v>
      </c>
      <c r="CO78" s="22" t="n">
        <f aca="false">CN81</f>
        <v>5690.5611302933</v>
      </c>
      <c r="CP78" s="22" t="n">
        <f aca="false">CO81</f>
        <v>5690.5611302933</v>
      </c>
      <c r="CQ78" s="22" t="n">
        <f aca="false">CP81</f>
        <v>5690.5611302933</v>
      </c>
      <c r="CR78" s="22" t="n">
        <f aca="false">CQ81</f>
        <v>5690.5611302933</v>
      </c>
      <c r="CS78" s="22" t="n">
        <f aca="false">CR81</f>
        <v>5690.5611302933</v>
      </c>
      <c r="CT78" s="22" t="n">
        <f aca="false">CS81</f>
        <v>5690.5611302933</v>
      </c>
      <c r="CU78" s="22" t="n">
        <f aca="false">CT81</f>
        <v>5690.5611302933</v>
      </c>
      <c r="CV78" s="22" t="n">
        <f aca="false">CU81</f>
        <v>5690.5611302933</v>
      </c>
      <c r="CW78" s="22" t="n">
        <f aca="false">CV81</f>
        <v>5690.5611302933</v>
      </c>
      <c r="CX78" s="22" t="n">
        <f aca="false">CW81</f>
        <v>5690.5611302933</v>
      </c>
      <c r="CY78" s="22" t="n">
        <f aca="false">CX81</f>
        <v>5690.5611302933</v>
      </c>
      <c r="CZ78" s="22" t="n">
        <f aca="false">CY81</f>
        <v>5690.5611302933</v>
      </c>
      <c r="DA78" s="22" t="n">
        <f aca="false">CZ81</f>
        <v>5690.5611302933</v>
      </c>
      <c r="DB78" s="22" t="n">
        <f aca="false">DA81</f>
        <v>5690.5611302933</v>
      </c>
      <c r="DC78" s="22" t="n">
        <f aca="false">DB81</f>
        <v>5690.5611302933</v>
      </c>
      <c r="DD78" s="22" t="n">
        <f aca="false">DC81</f>
        <v>5690.5611302933</v>
      </c>
      <c r="DE78" s="22" t="n">
        <f aca="false">DD81</f>
        <v>5690.5611302933</v>
      </c>
      <c r="DF78" s="22" t="n">
        <f aca="false">DE81</f>
        <v>5690.5611302933</v>
      </c>
      <c r="DG78" s="22" t="n">
        <f aca="false">DF81</f>
        <v>5690.5611302933</v>
      </c>
      <c r="DH78" s="22" t="n">
        <f aca="false">DG81</f>
        <v>5690.5611302933</v>
      </c>
      <c r="DI78" s="22" t="n">
        <f aca="false">DH81</f>
        <v>5690.5611302933</v>
      </c>
      <c r="DJ78" s="22" t="n">
        <f aca="false">DI81</f>
        <v>5690.5611302933</v>
      </c>
      <c r="DK78" s="22" t="n">
        <f aca="false">DJ81</f>
        <v>5690.5611302933</v>
      </c>
      <c r="DL78" s="22" t="n">
        <f aca="false">DK81</f>
        <v>5690.5611302933</v>
      </c>
      <c r="DM78" s="22" t="n">
        <f aca="false">DL81</f>
        <v>5690.5611302933</v>
      </c>
      <c r="DN78" s="22" t="n">
        <f aca="false">DM81</f>
        <v>5690.5611302933</v>
      </c>
      <c r="DO78" s="22" t="n">
        <f aca="false">DN81</f>
        <v>5690.5611302933</v>
      </c>
      <c r="DP78" s="22" t="n">
        <f aca="false">DO81</f>
        <v>5690.5611302933</v>
      </c>
      <c r="DQ78" s="22" t="n">
        <f aca="false">DP81</f>
        <v>5690.5611302933</v>
      </c>
      <c r="DR78" s="22" t="n">
        <f aca="false">DQ81</f>
        <v>5690.5611302933</v>
      </c>
      <c r="DS78" s="22" t="n">
        <f aca="false">DR81</f>
        <v>5690.5611302933</v>
      </c>
      <c r="DT78" s="22" t="n">
        <f aca="false">DS81</f>
        <v>5690.5611302933</v>
      </c>
      <c r="DU78" s="22" t="n">
        <f aca="false">DT81</f>
        <v>5690.5611302933</v>
      </c>
      <c r="DV78" s="22" t="n">
        <f aca="false">DU81</f>
        <v>5690.5611302933</v>
      </c>
      <c r="DW78" s="22" t="n">
        <f aca="false">DV81</f>
        <v>5690.5611302933</v>
      </c>
      <c r="DX78" s="22" t="n">
        <f aca="false">DW81</f>
        <v>5690.5611302933</v>
      </c>
      <c r="DY78" s="22" t="n">
        <f aca="false">DX81</f>
        <v>5690.5611302933</v>
      </c>
      <c r="DZ78" s="22" t="n">
        <f aca="false">DY81</f>
        <v>5690.5611302933</v>
      </c>
      <c r="EA78" s="22" t="n">
        <f aca="false">DZ81</f>
        <v>5690.5611302933</v>
      </c>
      <c r="EB78" s="22" t="n">
        <f aca="false">EA81</f>
        <v>5690.5611302933</v>
      </c>
      <c r="EC78" s="22" t="n">
        <f aca="false">EB81</f>
        <v>5690.5611302933</v>
      </c>
      <c r="ED78" s="22" t="n">
        <f aca="false">EC81</f>
        <v>5690.5611302933</v>
      </c>
      <c r="EE78" s="22" t="n">
        <f aca="false">ED81</f>
        <v>5690.5611302933</v>
      </c>
      <c r="EF78" s="22" t="n">
        <f aca="false">EE81</f>
        <v>5690.5611302933</v>
      </c>
      <c r="EG78" s="22" t="n">
        <f aca="false">EF81</f>
        <v>5690.5611302933</v>
      </c>
      <c r="EH78" s="22" t="n">
        <f aca="false">EG81</f>
        <v>5690.5611302933</v>
      </c>
      <c r="EI78" s="22" t="n">
        <f aca="false">EH81</f>
        <v>5690.5611302933</v>
      </c>
      <c r="EJ78" s="22" t="n">
        <f aca="false">EI81</f>
        <v>5690.5611302933</v>
      </c>
      <c r="EK78" s="22" t="n">
        <f aca="false">EJ81</f>
        <v>5690.5611302933</v>
      </c>
      <c r="EL78" s="22" t="n">
        <f aca="false">EK81</f>
        <v>5690.5611302933</v>
      </c>
      <c r="EM78" s="22" t="n">
        <f aca="false">EL81</f>
        <v>5690.5611302933</v>
      </c>
      <c r="EN78" s="22" t="n">
        <f aca="false">EM81</f>
        <v>5690.5611302933</v>
      </c>
      <c r="EO78" s="22" t="n">
        <f aca="false">EN81</f>
        <v>5690.5611302933</v>
      </c>
      <c r="EP78" s="22" t="n">
        <f aca="false">EO81</f>
        <v>5690.5611302933</v>
      </c>
      <c r="EQ78" s="22" t="n">
        <f aca="false">EP81</f>
        <v>5690.5611302933</v>
      </c>
      <c r="ER78" s="22" t="n">
        <f aca="false">EQ81</f>
        <v>5690.5611302933</v>
      </c>
      <c r="ES78" s="22" t="n">
        <f aca="false">ER81</f>
        <v>5690.5611302933</v>
      </c>
      <c r="ET78" s="22" t="n">
        <f aca="false">ES81</f>
        <v>5690.5611302933</v>
      </c>
    </row>
    <row r="79" customFormat="false" ht="15" hidden="false" customHeight="false" outlineLevel="0" collapsed="false">
      <c r="C79" s="0" t="s">
        <v>542</v>
      </c>
      <c r="D79" s="11" t="s">
        <v>253</v>
      </c>
      <c r="E79" s="33" t="n">
        <f aca="false">MAX(SUMIF($J$4:$ET$4,"&lt;="&amp;$E12,$J79:$ET79),(In_Min_Multiple-1)*$E57)</f>
        <v>3119.62451197093</v>
      </c>
      <c r="F79" s="33" t="n">
        <f aca="false">MAX(SUMIF($J$4:$ET$4,"&lt;="&amp;In_COD,$J79:$ET79),(In_Min_Multiple-1)*$F57)</f>
        <v>3119.62451197093</v>
      </c>
      <c r="I79" s="33" t="n">
        <f aca="false">SUM(J79:ET79)</f>
        <v>2570.93661832238</v>
      </c>
      <c r="J79" s="33" t="n">
        <f aca="false">In_AtRisk_Rate/Days_In_Year*(1-J19)*(J78*J$5-(J$4+1)*J57-J77)*(J$4&lt;=In_COD)</f>
        <v>0</v>
      </c>
      <c r="K79" s="33" t="n">
        <f aca="false">In_AtRisk_Rate/Days_In_Year*(1-K19)*(K78*K$5-(K$4+1)*K57-K77)*(K$4&lt;=In_COD)</f>
        <v>8.99939200600482</v>
      </c>
      <c r="L79" s="33" t="n">
        <f aca="false">In_AtRisk_Rate/Days_In_Year*(1-L19)*(L78*L$5-(L$4+1)*L57-L77)*(L$4&lt;=In_COD)</f>
        <v>21.145094055017</v>
      </c>
      <c r="M79" s="33" t="n">
        <f aca="false">In_AtRisk_Rate/Days_In_Year*(1-M19)*(M78*M$5-(M$4+1)*M57-M77)*(M$4&lt;=In_COD)</f>
        <v>38.7639850710894</v>
      </c>
      <c r="N79" s="33" t="n">
        <f aca="false">In_AtRisk_Rate/Days_In_Year*(1-N19)*(N78*N$5-(N$4+1)*N57-N77)*(N$4&lt;=In_COD)</f>
        <v>42.8881765187639</v>
      </c>
      <c r="O79" s="33" t="n">
        <f aca="false">In_AtRisk_Rate/Days_In_Year*(1-O19)*(O78*O$5-(O$4+1)*O57-O77)*(O$4&lt;=In_COD)</f>
        <v>44.3892221183136</v>
      </c>
      <c r="P79" s="33" t="n">
        <f aca="false">In_AtRisk_Rate/Days_In_Year*(1-P19)*(P78*P$5-(P$4+1)*P57-P77)*(P$4&lt;=In_COD)</f>
        <v>98.5313518347357</v>
      </c>
      <c r="Q79" s="33" t="n">
        <f aca="false">In_AtRisk_Rate/Days_In_Year*(1-Q19)*(Q78*Q$5-(Q$4+1)*Q57-Q77)*(Q$4&lt;=In_COD)</f>
        <v>123.932079007197</v>
      </c>
      <c r="R79" s="33" t="n">
        <f aca="false">In_AtRisk_Rate/Days_In_Year*(1-R19)*(R78*R$5-(R$4+1)*R57-R77)*(R$4&lt;=In_COD)</f>
        <v>130.100550849349</v>
      </c>
      <c r="S79" s="33" t="n">
        <f aca="false">In_AtRisk_Rate/Days_In_Year*(1-S19)*(S78*S$5-(S$4+1)*S57-S77)*(S$4&lt;=In_COD)</f>
        <v>134.89757391181</v>
      </c>
      <c r="T79" s="33" t="n">
        <f aca="false">In_AtRisk_Rate/Days_In_Year*(1-T19)*(T78*T$5-(T$4+1)*T57-T77)*(T$4&lt;=In_COD)</f>
        <v>174.149120873296</v>
      </c>
      <c r="U79" s="33" t="n">
        <f aca="false">In_AtRisk_Rate/Days_In_Year*(1-U19)*(U78*U$5-(U$4+1)*U57-U77)*(U$4&lt;=In_COD)</f>
        <v>187.648080163415</v>
      </c>
      <c r="V79" s="33" t="n">
        <f aca="false">In_AtRisk_Rate/Days_In_Year*(1-V19)*(V78*V$5-(V$4+1)*V57-V77)*(V$4&lt;=In_COD)</f>
        <v>0</v>
      </c>
      <c r="W79" s="33" t="n">
        <f aca="false">In_AtRisk_Rate/Days_In_Year*(1-W19)*(W78*W$5-(W$4+1)*W57-W77)*(W$4&lt;=In_COD)</f>
        <v>0</v>
      </c>
      <c r="X79" s="33" t="n">
        <f aca="false">In_AtRisk_Rate/Days_In_Year*(1-X19)*(X78*X$5-(X$4+1)*X57-X77)*(X$4&lt;=In_COD)</f>
        <v>203.428067098188</v>
      </c>
      <c r="Y79" s="33" t="n">
        <f aca="false">In_AtRisk_Rate/Days_In_Year*(1-Y19)*(Y78*Y$5-(Y$4+1)*Y57-Y77)*(Y$4&lt;=In_COD)</f>
        <v>205.688378954834</v>
      </c>
      <c r="Z79" s="33" t="n">
        <f aca="false">In_AtRisk_Rate/Days_In_Year*(1-Z19)*(Z78*Z$5-(Z$4+1)*Z57-Z77)*(Z$4&lt;=In_COD)</f>
        <v>207.948690811481</v>
      </c>
      <c r="AA79" s="33" t="n">
        <f aca="false">In_AtRisk_Rate/Days_In_Year*(1-AA19)*(AA78*AA$5-(AA$4+1)*AA57-AA77)*(AA$4&lt;=In_COD)</f>
        <v>207.948690811481</v>
      </c>
      <c r="AB79" s="33" t="n">
        <f aca="false">In_AtRisk_Rate/Days_In_Year*(1-AB19)*(AB78*AB$5-(AB$4+1)*AB57-AB77)*(AB$4&lt;=In_COD)</f>
        <v>244.113680517825</v>
      </c>
      <c r="AC79" s="33" t="n">
        <f aca="false">In_AtRisk_Rate/Days_In_Year*(1-AC19)*(AC78*AC$5-(AC$4+1)*AC57-AC77)*(AC$4&lt;=In_COD)</f>
        <v>246.826054745801</v>
      </c>
      <c r="AD79" s="33" t="n">
        <f aca="false">In_AtRisk_Rate/Days_In_Year*(1-AD19)*(AD78*AD$5-(AD$4+1)*AD57-AD77)*(AD$4&lt;=In_COD)</f>
        <v>249.538428973777</v>
      </c>
      <c r="AE79" s="33" t="n">
        <f aca="false">In_AtRisk_Rate/Days_In_Year*(1-AE19)*(AE78*AE$5-(AE$4+1)*AE57-AE77)*(AE$4&lt;=In_COD)</f>
        <v>0</v>
      </c>
      <c r="AF79" s="33" t="n">
        <f aca="false">In_AtRisk_Rate/Days_In_Year*(1-AF19)*(AF78*AF$5-(AF$4+1)*AF57-AF77)*(AF$4&lt;=In_COD)</f>
        <v>0</v>
      </c>
      <c r="AG79" s="33" t="n">
        <f aca="false">In_AtRisk_Rate/Days_In_Year*(1-AG19)*(AG78*AG$5-(AG$4+1)*AG57-AG77)*(AG$4&lt;=In_COD)</f>
        <v>0</v>
      </c>
      <c r="AH79" s="33" t="n">
        <f aca="false">In_AtRisk_Rate/Days_In_Year*(1-AH19)*(AH78*AH$5-(AH$4+1)*AH57-AH77)*(AH$4&lt;=In_COD)</f>
        <v>0</v>
      </c>
      <c r="AI79" s="33" t="n">
        <f aca="false">In_AtRisk_Rate/Days_In_Year*(1-AI19)*(AI78*AI$5-(AI$4+1)*AI57-AI77)*(AI$4&lt;=In_COD)</f>
        <v>0</v>
      </c>
      <c r="AJ79" s="33" t="n">
        <f aca="false">In_AtRisk_Rate/Days_In_Year*(1-AJ19)*(AJ78*AJ$5-(AJ$4+1)*AJ57-AJ77)*(AJ$4&lt;=In_COD)</f>
        <v>0</v>
      </c>
      <c r="AK79" s="33" t="n">
        <f aca="false">In_AtRisk_Rate/Days_In_Year*(1-AK19)*(AK78*AK$5-(AK$4+1)*AK57-AK77)*(AK$4&lt;=In_COD)</f>
        <v>0</v>
      </c>
      <c r="AL79" s="33" t="n">
        <f aca="false">In_AtRisk_Rate/Days_In_Year*(1-AL19)*(AL78*AL$5-(AL$4+1)*AL57-AL77)*(AL$4&lt;=In_COD)</f>
        <v>0</v>
      </c>
      <c r="AM79" s="33" t="n">
        <f aca="false">In_AtRisk_Rate/Days_In_Year*(1-AM19)*(AM78*AM$5-(AM$4+1)*AM57-AM77)*(AM$4&lt;=In_COD)</f>
        <v>0</v>
      </c>
      <c r="AN79" s="33" t="n">
        <f aca="false">In_AtRisk_Rate/Days_In_Year*(1-AN19)*(AN78*AN$5-(AN$4+1)*AN57-AN77)*(AN$4&lt;=In_COD)</f>
        <v>0</v>
      </c>
      <c r="AO79" s="33" t="n">
        <f aca="false">In_AtRisk_Rate/Days_In_Year*(1-AO19)*(AO78*AO$5-(AO$4+1)*AO57-AO77)*(AO$4&lt;=In_COD)</f>
        <v>0</v>
      </c>
      <c r="AP79" s="33" t="n">
        <f aca="false">In_AtRisk_Rate/Days_In_Year*(1-AP19)*(AP78*AP$5-(AP$4+1)*AP57-AP77)*(AP$4&lt;=In_COD)</f>
        <v>0</v>
      </c>
      <c r="AQ79" s="33" t="n">
        <f aca="false">In_AtRisk_Rate/Days_In_Year*(1-AQ19)*(AQ78*AQ$5-(AQ$4+1)*AQ57-AQ77)*(AQ$4&lt;=In_COD)</f>
        <v>0</v>
      </c>
      <c r="AR79" s="33" t="n">
        <f aca="false">In_AtRisk_Rate/Days_In_Year*(1-AR19)*(AR78*AR$5-(AR$4+1)*AR57-AR77)*(AR$4&lt;=In_COD)</f>
        <v>0</v>
      </c>
      <c r="AS79" s="33" t="n">
        <f aca="false">In_AtRisk_Rate/Days_In_Year*(1-AS19)*(AS78*AS$5-(AS$4+1)*AS57-AS77)*(AS$4&lt;=In_COD)</f>
        <v>0</v>
      </c>
      <c r="AT79" s="33" t="n">
        <f aca="false">In_AtRisk_Rate/Days_In_Year*(1-AT19)*(AT78*AT$5-(AT$4+1)*AT57-AT77)*(AT$4&lt;=In_COD)</f>
        <v>0</v>
      </c>
      <c r="AU79" s="33" t="n">
        <f aca="false">In_AtRisk_Rate/Days_In_Year*(1-AU19)*(AU78*AU$5-(AU$4+1)*AU57-AU77)*(AU$4&lt;=In_COD)</f>
        <v>0</v>
      </c>
      <c r="AV79" s="33" t="n">
        <f aca="false">In_AtRisk_Rate/Days_In_Year*(1-AV19)*(AV78*AV$5-(AV$4+1)*AV57-AV77)*(AV$4&lt;=In_COD)</f>
        <v>0</v>
      </c>
      <c r="AW79" s="33" t="n">
        <f aca="false">In_AtRisk_Rate/Days_In_Year*(1-AW19)*(AW78*AW$5-(AW$4+1)*AW57-AW77)*(AW$4&lt;=In_COD)</f>
        <v>0</v>
      </c>
      <c r="AX79" s="33" t="n">
        <f aca="false">In_AtRisk_Rate/Days_In_Year*(1-AX19)*(AX78*AX$5-(AX$4+1)*AX57-AX77)*(AX$4&lt;=In_COD)</f>
        <v>0</v>
      </c>
      <c r="AY79" s="33" t="n">
        <f aca="false">In_AtRisk_Rate/Days_In_Year*(1-AY19)*(AY78*AY$5-(AY$4+1)*AY57-AY77)*(AY$4&lt;=In_COD)</f>
        <v>0</v>
      </c>
      <c r="AZ79" s="33" t="n">
        <f aca="false">In_AtRisk_Rate/Days_In_Year*(1-AZ19)*(AZ78*AZ$5-(AZ$4+1)*AZ57-AZ77)*(AZ$4&lt;=In_COD)</f>
        <v>0</v>
      </c>
      <c r="BA79" s="33" t="n">
        <f aca="false">In_AtRisk_Rate/Days_In_Year*(1-BA19)*(BA78*BA$5-(BA$4+1)*BA57-BA77)*(BA$4&lt;=In_COD)</f>
        <v>0</v>
      </c>
      <c r="BB79" s="33" t="n">
        <f aca="false">In_AtRisk_Rate/Days_In_Year*(1-BB19)*(BB78*BB$5-(BB$4+1)*BB57-BB77)*(BB$4&lt;=In_COD)</f>
        <v>0</v>
      </c>
      <c r="BC79" s="33" t="n">
        <f aca="false">In_AtRisk_Rate/Days_In_Year*(1-BC19)*(BC78*BC$5-(BC$4+1)*BC57-BC77)*(BC$4&lt;=In_COD)</f>
        <v>0</v>
      </c>
      <c r="BD79" s="33" t="n">
        <f aca="false">In_AtRisk_Rate/Days_In_Year*(1-BD19)*(BD78*BD$5-(BD$4+1)*BD57-BD77)*(BD$4&lt;=In_COD)</f>
        <v>0</v>
      </c>
      <c r="BE79" s="33" t="n">
        <f aca="false">In_AtRisk_Rate/Days_In_Year*(1-BE19)*(BE78*BE$5-(BE$4+1)*BE57-BE77)*(BE$4&lt;=In_COD)</f>
        <v>0</v>
      </c>
      <c r="BF79" s="33" t="n">
        <f aca="false">In_AtRisk_Rate/Days_In_Year*(1-BF19)*(BF78*BF$5-(BF$4+1)*BF57-BF77)*(BF$4&lt;=In_COD)</f>
        <v>0</v>
      </c>
      <c r="BG79" s="33" t="n">
        <f aca="false">In_AtRisk_Rate/Days_In_Year*(1-BG19)*(BG78*BG$5-(BG$4+1)*BG57-BG77)*(BG$4&lt;=In_COD)</f>
        <v>0</v>
      </c>
      <c r="BH79" s="33" t="n">
        <f aca="false">In_AtRisk_Rate/Days_In_Year*(1-BH19)*(BH78*BH$5-(BH$4+1)*BH57-BH77)*(BH$4&lt;=In_COD)</f>
        <v>0</v>
      </c>
      <c r="BI79" s="33" t="n">
        <f aca="false">In_AtRisk_Rate/Days_In_Year*(1-BI19)*(BI78*BI$5-(BI$4+1)*BI57-BI77)*(BI$4&lt;=In_COD)</f>
        <v>0</v>
      </c>
      <c r="BJ79" s="33" t="n">
        <f aca="false">In_AtRisk_Rate/Days_In_Year*(1-BJ19)*(BJ78*BJ$5-(BJ$4+1)*BJ57-BJ77)*(BJ$4&lt;=In_COD)</f>
        <v>0</v>
      </c>
      <c r="BK79" s="33" t="n">
        <f aca="false">In_AtRisk_Rate/Days_In_Year*(1-BK19)*(BK78*BK$5-(BK$4+1)*BK57-BK77)*(BK$4&lt;=In_COD)</f>
        <v>0</v>
      </c>
      <c r="BL79" s="33" t="n">
        <f aca="false">In_AtRisk_Rate/Days_In_Year*(1-BL19)*(BL78*BL$5-(BL$4+1)*BL57-BL77)*(BL$4&lt;=In_COD)</f>
        <v>0</v>
      </c>
      <c r="BM79" s="33" t="n">
        <f aca="false">In_AtRisk_Rate/Days_In_Year*(1-BM19)*(BM78*BM$5-(BM$4+1)*BM57-BM77)*(BM$4&lt;=In_COD)</f>
        <v>0</v>
      </c>
      <c r="BN79" s="33" t="n">
        <f aca="false">In_AtRisk_Rate/Days_In_Year*(1-BN19)*(BN78*BN$5-(BN$4+1)*BN57-BN77)*(BN$4&lt;=In_COD)</f>
        <v>0</v>
      </c>
      <c r="BO79" s="33" t="n">
        <f aca="false">In_AtRisk_Rate/Days_In_Year*(1-BO19)*(BO78*BO$5-(BO$4+1)*BO57-BO77)*(BO$4&lt;=In_COD)</f>
        <v>0</v>
      </c>
      <c r="BP79" s="33" t="n">
        <f aca="false">In_AtRisk_Rate/Days_In_Year*(1-BP19)*(BP78*BP$5-(BP$4+1)*BP57-BP77)*(BP$4&lt;=In_COD)</f>
        <v>0</v>
      </c>
      <c r="BQ79" s="33" t="n">
        <f aca="false">In_AtRisk_Rate/Days_In_Year*(1-BQ19)*(BQ78*BQ$5-(BQ$4+1)*BQ57-BQ77)*(BQ$4&lt;=In_COD)</f>
        <v>0</v>
      </c>
      <c r="BR79" s="33" t="n">
        <f aca="false">In_AtRisk_Rate/Days_In_Year*(1-BR19)*(BR78*BR$5-(BR$4+1)*BR57-BR77)*(BR$4&lt;=In_COD)</f>
        <v>0</v>
      </c>
      <c r="BS79" s="33" t="n">
        <f aca="false">In_AtRisk_Rate/Days_In_Year*(1-BS19)*(BS78*BS$5-(BS$4+1)*BS57-BS77)*(BS$4&lt;=In_COD)</f>
        <v>0</v>
      </c>
      <c r="BT79" s="33" t="n">
        <f aca="false">In_AtRisk_Rate/Days_In_Year*(1-BT19)*(BT78*BT$5-(BT$4+1)*BT57-BT77)*(BT$4&lt;=In_COD)</f>
        <v>0</v>
      </c>
      <c r="BU79" s="33" t="n">
        <f aca="false">In_AtRisk_Rate/Days_In_Year*(1-BU19)*(BU78*BU$5-(BU$4+1)*BU57-BU77)*(BU$4&lt;=In_COD)</f>
        <v>0</v>
      </c>
      <c r="BV79" s="33" t="n">
        <f aca="false">In_AtRisk_Rate/Days_In_Year*(1-BV19)*(BV78*BV$5-(BV$4+1)*BV57-BV77)*(BV$4&lt;=In_COD)</f>
        <v>0</v>
      </c>
      <c r="BW79" s="33" t="n">
        <f aca="false">In_AtRisk_Rate/Days_In_Year*(1-BW19)*(BW78*BW$5-(BW$4+1)*BW57-BW77)*(BW$4&lt;=In_COD)</f>
        <v>0</v>
      </c>
      <c r="BX79" s="33" t="n">
        <f aca="false">In_AtRisk_Rate/Days_In_Year*(1-BX19)*(BX78*BX$5-(BX$4+1)*BX57-BX77)*(BX$4&lt;=In_COD)</f>
        <v>0</v>
      </c>
      <c r="BY79" s="33" t="n">
        <f aca="false">In_AtRisk_Rate/Days_In_Year*(1-BY19)*(BY78*BY$5-(BY$4+1)*BY57-BY77)*(BY$4&lt;=In_COD)</f>
        <v>0</v>
      </c>
      <c r="BZ79" s="33" t="n">
        <f aca="false">In_AtRisk_Rate/Days_In_Year*(1-BZ19)*(BZ78*BZ$5-(BZ$4+1)*BZ57-BZ77)*(BZ$4&lt;=In_COD)</f>
        <v>0</v>
      </c>
      <c r="CA79" s="33" t="n">
        <f aca="false">In_AtRisk_Rate/Days_In_Year*(1-CA19)*(CA78*CA$5-(CA$4+1)*CA57-CA77)*(CA$4&lt;=In_COD)</f>
        <v>0</v>
      </c>
      <c r="CB79" s="33" t="n">
        <f aca="false">In_AtRisk_Rate/Days_In_Year*(1-CB19)*(CB78*CB$5-(CB$4+1)*CB57-CB77)*(CB$4&lt;=In_COD)</f>
        <v>0</v>
      </c>
      <c r="CC79" s="33" t="n">
        <f aca="false">In_AtRisk_Rate/Days_In_Year*(1-CC19)*(CC78*CC$5-(CC$4+1)*CC57-CC77)*(CC$4&lt;=In_COD)</f>
        <v>0</v>
      </c>
      <c r="CD79" s="33" t="n">
        <f aca="false">In_AtRisk_Rate/Days_In_Year*(1-CD19)*(CD78*CD$5-(CD$4+1)*CD57-CD77)*(CD$4&lt;=In_COD)</f>
        <v>0</v>
      </c>
      <c r="CE79" s="33" t="n">
        <f aca="false">In_AtRisk_Rate/Days_In_Year*(1-CE19)*(CE78*CE$5-(CE$4+1)*CE57-CE77)*(CE$4&lt;=In_COD)</f>
        <v>0</v>
      </c>
      <c r="CF79" s="33" t="n">
        <f aca="false">In_AtRisk_Rate/Days_In_Year*(1-CF19)*(CF78*CF$5-(CF$4+1)*CF57-CF77)*(CF$4&lt;=In_COD)</f>
        <v>0</v>
      </c>
      <c r="CG79" s="33" t="n">
        <f aca="false">In_AtRisk_Rate/Days_In_Year*(1-CG19)*(CG78*CG$5-(CG$4+1)*CG57-CG77)*(CG$4&lt;=In_COD)</f>
        <v>0</v>
      </c>
      <c r="CH79" s="33" t="n">
        <f aca="false">In_AtRisk_Rate/Days_In_Year*(1-CH19)*(CH78*CH$5-(CH$4+1)*CH57-CH77)*(CH$4&lt;=In_COD)</f>
        <v>0</v>
      </c>
      <c r="CI79" s="33" t="n">
        <f aca="false">In_AtRisk_Rate/Days_In_Year*(1-CI19)*(CI78*CI$5-(CI$4+1)*CI57-CI77)*(CI$4&lt;=In_COD)</f>
        <v>0</v>
      </c>
      <c r="CJ79" s="33" t="n">
        <f aca="false">In_AtRisk_Rate/Days_In_Year*(1-CJ19)*(CJ78*CJ$5-(CJ$4+1)*CJ57-CJ77)*(CJ$4&lt;=In_COD)</f>
        <v>0</v>
      </c>
      <c r="CK79" s="33" t="n">
        <f aca="false">In_AtRisk_Rate/Days_In_Year*(1-CK19)*(CK78*CK$5-(CK$4+1)*CK57-CK77)*(CK$4&lt;=In_COD)</f>
        <v>0</v>
      </c>
      <c r="CL79" s="33" t="n">
        <f aca="false">In_AtRisk_Rate/Days_In_Year*(1-CL19)*(CL78*CL$5-(CL$4+1)*CL57-CL77)*(CL$4&lt;=In_COD)</f>
        <v>0</v>
      </c>
      <c r="CM79" s="33" t="n">
        <f aca="false">In_AtRisk_Rate/Days_In_Year*(1-CM19)*(CM78*CM$5-(CM$4+1)*CM57-CM77)*(CM$4&lt;=In_COD)</f>
        <v>0</v>
      </c>
      <c r="CN79" s="33" t="n">
        <f aca="false">In_AtRisk_Rate/Days_In_Year*(1-CN19)*(CN78*CN$5-(CN$4+1)*CN57-CN77)*(CN$4&lt;=In_COD)</f>
        <v>0</v>
      </c>
      <c r="CO79" s="33" t="n">
        <f aca="false">In_AtRisk_Rate/Days_In_Year*(1-CO19)*(CO78*CO$5-(CO$4+1)*CO57-CO77)*(CO$4&lt;=In_COD)</f>
        <v>0</v>
      </c>
      <c r="CP79" s="33" t="n">
        <f aca="false">In_AtRisk_Rate/Days_In_Year*(1-CP19)*(CP78*CP$5-(CP$4+1)*CP57-CP77)*(CP$4&lt;=In_COD)</f>
        <v>0</v>
      </c>
      <c r="CQ79" s="33" t="n">
        <f aca="false">In_AtRisk_Rate/Days_In_Year*(1-CQ19)*(CQ78*CQ$5-(CQ$4+1)*CQ57-CQ77)*(CQ$4&lt;=In_COD)</f>
        <v>0</v>
      </c>
      <c r="CR79" s="33" t="n">
        <f aca="false">In_AtRisk_Rate/Days_In_Year*(1-CR19)*(CR78*CR$5-(CR$4+1)*CR57-CR77)*(CR$4&lt;=In_COD)</f>
        <v>0</v>
      </c>
      <c r="CS79" s="33" t="n">
        <f aca="false">In_AtRisk_Rate/Days_In_Year*(1-CS19)*(CS78*CS$5-(CS$4+1)*CS57-CS77)*(CS$4&lt;=In_COD)</f>
        <v>0</v>
      </c>
      <c r="CT79" s="33" t="n">
        <f aca="false">In_AtRisk_Rate/Days_In_Year*(1-CT19)*(CT78*CT$5-(CT$4+1)*CT57-CT77)*(CT$4&lt;=In_COD)</f>
        <v>0</v>
      </c>
      <c r="CU79" s="33" t="n">
        <f aca="false">In_AtRisk_Rate/Days_In_Year*(1-CU19)*(CU78*CU$5-(CU$4+1)*CU57-CU77)*(CU$4&lt;=In_COD)</f>
        <v>0</v>
      </c>
      <c r="CV79" s="33" t="n">
        <f aca="false">In_AtRisk_Rate/Days_In_Year*(1-CV19)*(CV78*CV$5-(CV$4+1)*CV57-CV77)*(CV$4&lt;=In_COD)</f>
        <v>0</v>
      </c>
      <c r="CW79" s="33" t="n">
        <f aca="false">In_AtRisk_Rate/Days_In_Year*(1-CW19)*(CW78*CW$5-(CW$4+1)*CW57-CW77)*(CW$4&lt;=In_COD)</f>
        <v>0</v>
      </c>
      <c r="CX79" s="33" t="n">
        <f aca="false">In_AtRisk_Rate/Days_In_Year*(1-CX19)*(CX78*CX$5-(CX$4+1)*CX57-CX77)*(CX$4&lt;=In_COD)</f>
        <v>0</v>
      </c>
      <c r="CY79" s="33" t="n">
        <f aca="false">In_AtRisk_Rate/Days_In_Year*(1-CY19)*(CY78*CY$5-(CY$4+1)*CY57-CY77)*(CY$4&lt;=In_COD)</f>
        <v>0</v>
      </c>
      <c r="CZ79" s="33" t="n">
        <f aca="false">In_AtRisk_Rate/Days_In_Year*(1-CZ19)*(CZ78*CZ$5-(CZ$4+1)*CZ57-CZ77)*(CZ$4&lt;=In_COD)</f>
        <v>0</v>
      </c>
      <c r="DA79" s="33" t="n">
        <f aca="false">In_AtRisk_Rate/Days_In_Year*(1-DA19)*(DA78*DA$5-(DA$4+1)*DA57-DA77)*(DA$4&lt;=In_COD)</f>
        <v>0</v>
      </c>
      <c r="DB79" s="33" t="n">
        <f aca="false">In_AtRisk_Rate/Days_In_Year*(1-DB19)*(DB78*DB$5-(DB$4+1)*DB57-DB77)*(DB$4&lt;=In_COD)</f>
        <v>0</v>
      </c>
      <c r="DC79" s="33" t="n">
        <f aca="false">In_AtRisk_Rate/Days_In_Year*(1-DC19)*(DC78*DC$5-(DC$4+1)*DC57-DC77)*(DC$4&lt;=In_COD)</f>
        <v>0</v>
      </c>
      <c r="DD79" s="33" t="n">
        <f aca="false">In_AtRisk_Rate/Days_In_Year*(1-DD19)*(DD78*DD$5-(DD$4+1)*DD57-DD77)*(DD$4&lt;=In_COD)</f>
        <v>0</v>
      </c>
      <c r="DE79" s="33" t="n">
        <f aca="false">In_AtRisk_Rate/Days_In_Year*(1-DE19)*(DE78*DE$5-(DE$4+1)*DE57-DE77)*(DE$4&lt;=In_COD)</f>
        <v>0</v>
      </c>
      <c r="DF79" s="33" t="n">
        <f aca="false">In_AtRisk_Rate/Days_In_Year*(1-DF19)*(DF78*DF$5-(DF$4+1)*DF57-DF77)*(DF$4&lt;=In_COD)</f>
        <v>0</v>
      </c>
      <c r="DG79" s="33" t="n">
        <f aca="false">In_AtRisk_Rate/Days_In_Year*(1-DG19)*(DG78*DG$5-(DG$4+1)*DG57-DG77)*(DG$4&lt;=In_COD)</f>
        <v>0</v>
      </c>
      <c r="DH79" s="33" t="n">
        <f aca="false">In_AtRisk_Rate/Days_In_Year*(1-DH19)*(DH78*DH$5-(DH$4+1)*DH57-DH77)*(DH$4&lt;=In_COD)</f>
        <v>0</v>
      </c>
      <c r="DI79" s="33" t="n">
        <f aca="false">In_AtRisk_Rate/Days_In_Year*(1-DI19)*(DI78*DI$5-(DI$4+1)*DI57-DI77)*(DI$4&lt;=In_COD)</f>
        <v>0</v>
      </c>
      <c r="DJ79" s="33" t="n">
        <f aca="false">In_AtRisk_Rate/Days_In_Year*(1-DJ19)*(DJ78*DJ$5-(DJ$4+1)*DJ57-DJ77)*(DJ$4&lt;=In_COD)</f>
        <v>0</v>
      </c>
      <c r="DK79" s="33" t="n">
        <f aca="false">In_AtRisk_Rate/Days_In_Year*(1-DK19)*(DK78*DK$5-(DK$4+1)*DK57-DK77)*(DK$4&lt;=In_COD)</f>
        <v>0</v>
      </c>
      <c r="DL79" s="33" t="n">
        <f aca="false">In_AtRisk_Rate/Days_In_Year*(1-DL19)*(DL78*DL$5-(DL$4+1)*DL57-DL77)*(DL$4&lt;=In_COD)</f>
        <v>0</v>
      </c>
      <c r="DM79" s="33" t="n">
        <f aca="false">In_AtRisk_Rate/Days_In_Year*(1-DM19)*(DM78*DM$5-(DM$4+1)*DM57-DM77)*(DM$4&lt;=In_COD)</f>
        <v>0</v>
      </c>
      <c r="DN79" s="33" t="n">
        <f aca="false">In_AtRisk_Rate/Days_In_Year*(1-DN19)*(DN78*DN$5-(DN$4+1)*DN57-DN77)*(DN$4&lt;=In_COD)</f>
        <v>0</v>
      </c>
      <c r="DO79" s="33" t="n">
        <f aca="false">In_AtRisk_Rate/Days_In_Year*(1-DO19)*(DO78*DO$5-(DO$4+1)*DO57-DO77)*(DO$4&lt;=In_COD)</f>
        <v>0</v>
      </c>
      <c r="DP79" s="33" t="n">
        <f aca="false">In_AtRisk_Rate/Days_In_Year*(1-DP19)*(DP78*DP$5-(DP$4+1)*DP57-DP77)*(DP$4&lt;=In_COD)</f>
        <v>0</v>
      </c>
      <c r="DQ79" s="33" t="n">
        <f aca="false">In_AtRisk_Rate/Days_In_Year*(1-DQ19)*(DQ78*DQ$5-(DQ$4+1)*DQ57-DQ77)*(DQ$4&lt;=In_COD)</f>
        <v>0</v>
      </c>
      <c r="DR79" s="33" t="n">
        <f aca="false">In_AtRisk_Rate/Days_In_Year*(1-DR19)*(DR78*DR$5-(DR$4+1)*DR57-DR77)*(DR$4&lt;=In_COD)</f>
        <v>0</v>
      </c>
      <c r="DS79" s="33" t="n">
        <f aca="false">In_AtRisk_Rate/Days_In_Year*(1-DS19)*(DS78*DS$5-(DS$4+1)*DS57-DS77)*(DS$4&lt;=In_COD)</f>
        <v>0</v>
      </c>
      <c r="DT79" s="33" t="n">
        <f aca="false">In_AtRisk_Rate/Days_In_Year*(1-DT19)*(DT78*DT$5-(DT$4+1)*DT57-DT77)*(DT$4&lt;=In_COD)</f>
        <v>0</v>
      </c>
      <c r="DU79" s="33" t="n">
        <f aca="false">In_AtRisk_Rate/Days_In_Year*(1-DU19)*(DU78*DU$5-(DU$4+1)*DU57-DU77)*(DU$4&lt;=In_COD)</f>
        <v>0</v>
      </c>
      <c r="DV79" s="33" t="n">
        <f aca="false">In_AtRisk_Rate/Days_In_Year*(1-DV19)*(DV78*DV$5-(DV$4+1)*DV57-DV77)*(DV$4&lt;=In_COD)</f>
        <v>0</v>
      </c>
      <c r="DW79" s="33" t="n">
        <f aca="false">In_AtRisk_Rate/Days_In_Year*(1-DW19)*(DW78*DW$5-(DW$4+1)*DW57-DW77)*(DW$4&lt;=In_COD)</f>
        <v>0</v>
      </c>
      <c r="DX79" s="33" t="n">
        <f aca="false">In_AtRisk_Rate/Days_In_Year*(1-DX19)*(DX78*DX$5-(DX$4+1)*DX57-DX77)*(DX$4&lt;=In_COD)</f>
        <v>0</v>
      </c>
      <c r="DY79" s="33" t="n">
        <f aca="false">In_AtRisk_Rate/Days_In_Year*(1-DY19)*(DY78*DY$5-(DY$4+1)*DY57-DY77)*(DY$4&lt;=In_COD)</f>
        <v>0</v>
      </c>
      <c r="DZ79" s="33" t="n">
        <f aca="false">In_AtRisk_Rate/Days_In_Year*(1-DZ19)*(DZ78*DZ$5-(DZ$4+1)*DZ57-DZ77)*(DZ$4&lt;=In_COD)</f>
        <v>0</v>
      </c>
      <c r="EA79" s="33" t="n">
        <f aca="false">In_AtRisk_Rate/Days_In_Year*(1-EA19)*(EA78*EA$5-(EA$4+1)*EA57-EA77)*(EA$4&lt;=In_COD)</f>
        <v>0</v>
      </c>
      <c r="EB79" s="33" t="n">
        <f aca="false">In_AtRisk_Rate/Days_In_Year*(1-EB19)*(EB78*EB$5-(EB$4+1)*EB57-EB77)*(EB$4&lt;=In_COD)</f>
        <v>0</v>
      </c>
      <c r="EC79" s="33" t="n">
        <f aca="false">In_AtRisk_Rate/Days_In_Year*(1-EC19)*(EC78*EC$5-(EC$4+1)*EC57-EC77)*(EC$4&lt;=In_COD)</f>
        <v>0</v>
      </c>
      <c r="ED79" s="33" t="n">
        <f aca="false">In_AtRisk_Rate/Days_In_Year*(1-ED19)*(ED78*ED$5-(ED$4+1)*ED57-ED77)*(ED$4&lt;=In_COD)</f>
        <v>0</v>
      </c>
      <c r="EE79" s="33" t="n">
        <f aca="false">In_AtRisk_Rate/Days_In_Year*(1-EE19)*(EE78*EE$5-(EE$4+1)*EE57-EE77)*(EE$4&lt;=In_COD)</f>
        <v>0</v>
      </c>
      <c r="EF79" s="33" t="n">
        <f aca="false">In_AtRisk_Rate/Days_In_Year*(1-EF19)*(EF78*EF$5-(EF$4+1)*EF57-EF77)*(EF$4&lt;=In_COD)</f>
        <v>0</v>
      </c>
      <c r="EG79" s="33" t="n">
        <f aca="false">In_AtRisk_Rate/Days_In_Year*(1-EG19)*(EG78*EG$5-(EG$4+1)*EG57-EG77)*(EG$4&lt;=In_COD)</f>
        <v>0</v>
      </c>
      <c r="EH79" s="33" t="n">
        <f aca="false">In_AtRisk_Rate/Days_In_Year*(1-EH19)*(EH78*EH$5-(EH$4+1)*EH57-EH77)*(EH$4&lt;=In_COD)</f>
        <v>0</v>
      </c>
      <c r="EI79" s="33" t="n">
        <f aca="false">In_AtRisk_Rate/Days_In_Year*(1-EI19)*(EI78*EI$5-(EI$4+1)*EI57-EI77)*(EI$4&lt;=In_COD)</f>
        <v>0</v>
      </c>
      <c r="EJ79" s="33" t="n">
        <f aca="false">In_AtRisk_Rate/Days_In_Year*(1-EJ19)*(EJ78*EJ$5-(EJ$4+1)*EJ57-EJ77)*(EJ$4&lt;=In_COD)</f>
        <v>0</v>
      </c>
      <c r="EK79" s="33" t="n">
        <f aca="false">In_AtRisk_Rate/Days_In_Year*(1-EK19)*(EK78*EK$5-(EK$4+1)*EK57-EK77)*(EK$4&lt;=In_COD)</f>
        <v>0</v>
      </c>
      <c r="EL79" s="33" t="n">
        <f aca="false">In_AtRisk_Rate/Days_In_Year*(1-EL19)*(EL78*EL$5-(EL$4+1)*EL57-EL77)*(EL$4&lt;=In_COD)</f>
        <v>0</v>
      </c>
      <c r="EM79" s="33" t="n">
        <f aca="false">In_AtRisk_Rate/Days_In_Year*(1-EM19)*(EM78*EM$5-(EM$4+1)*EM57-EM77)*(EM$4&lt;=In_COD)</f>
        <v>0</v>
      </c>
      <c r="EN79" s="33" t="n">
        <f aca="false">In_AtRisk_Rate/Days_In_Year*(1-EN19)*(EN78*EN$5-(EN$4+1)*EN57-EN77)*(EN$4&lt;=In_COD)</f>
        <v>0</v>
      </c>
      <c r="EO79" s="33" t="n">
        <f aca="false">In_AtRisk_Rate/Days_In_Year*(1-EO19)*(EO78*EO$5-(EO$4+1)*EO57-EO77)*(EO$4&lt;=In_COD)</f>
        <v>0</v>
      </c>
      <c r="EP79" s="33" t="n">
        <f aca="false">In_AtRisk_Rate/Days_In_Year*(1-EP19)*(EP78*EP$5-(EP$4+1)*EP57-EP77)*(EP$4&lt;=In_COD)</f>
        <v>0</v>
      </c>
      <c r="EQ79" s="33" t="n">
        <f aca="false">In_AtRisk_Rate/Days_In_Year*(1-EQ19)*(EQ78*EQ$5-(EQ$4+1)*EQ57-EQ77)*(EQ$4&lt;=In_COD)</f>
        <v>0</v>
      </c>
      <c r="ER79" s="33" t="n">
        <f aca="false">In_AtRisk_Rate/Days_In_Year*(1-ER19)*(ER78*ER$5-(ER$4+1)*ER57-ER77)*(ER$4&lt;=In_COD)</f>
        <v>0</v>
      </c>
      <c r="ES79" s="33" t="n">
        <f aca="false">In_AtRisk_Rate/Days_In_Year*(1-ES19)*(ES78*ES$5-(ES$4+1)*ES57-ES77)*(ES$4&lt;=In_COD)</f>
        <v>0</v>
      </c>
      <c r="ET79" s="33" t="n">
        <f aca="false">In_AtRisk_Rate/Days_In_Year*(1-ET19)*(ET78*ET$5-(ET$4+1)*ET57-ET77)*(ET$4&lt;=In_COD)</f>
        <v>0</v>
      </c>
    </row>
    <row r="80" customFormat="false" ht="15" hidden="false" customHeight="false" outlineLevel="0" collapsed="false">
      <c r="C80" s="0" t="s">
        <v>536</v>
      </c>
      <c r="D80" s="11" t="s">
        <v>253</v>
      </c>
      <c r="I80" s="33" t="n">
        <f aca="false">SUM(J80:ET80)</f>
        <v>2570.93661832238</v>
      </c>
      <c r="J80" s="33" t="n">
        <f aca="false">J20*SUMIF($J$7:J$7,J$7,$J79:J79)</f>
        <v>0</v>
      </c>
      <c r="K80" s="33" t="n">
        <f aca="false">K20*SUMIF($J$7:K$7,K$7,$J79:K79)</f>
        <v>8.99939200600482</v>
      </c>
      <c r="L80" s="33" t="n">
        <f aca="false">L20*SUMIF($J$7:L$7,L$7,$J79:L79)</f>
        <v>0</v>
      </c>
      <c r="M80" s="33" t="n">
        <f aca="false">M20*SUMIF($J$7:M$7,M$7,$J79:M79)</f>
        <v>0</v>
      </c>
      <c r="N80" s="33" t="n">
        <f aca="false">N20*SUMIF($J$7:N$7,N$7,$J79:N79)</f>
        <v>0</v>
      </c>
      <c r="O80" s="33" t="n">
        <f aca="false">O20*SUMIF($J$7:O$7,O$7,$J79:O79)</f>
        <v>147.186477763184</v>
      </c>
      <c r="P80" s="33" t="n">
        <f aca="false">P20*SUMIF($J$7:P$7,P$7,$J79:P79)</f>
        <v>0</v>
      </c>
      <c r="Q80" s="33" t="n">
        <f aca="false">Q20*SUMIF($J$7:Q$7,Q$7,$J79:Q79)</f>
        <v>0</v>
      </c>
      <c r="R80" s="33" t="n">
        <f aca="false">R20*SUMIF($J$7:R$7,R$7,$J79:R79)</f>
        <v>0</v>
      </c>
      <c r="S80" s="33" t="n">
        <f aca="false">S20*SUMIF($J$7:S$7,S$7,$J79:S79)</f>
        <v>487.461555603092</v>
      </c>
      <c r="T80" s="33" t="n">
        <f aca="false">T20*SUMIF($J$7:T$7,T$7,$J79:T79)</f>
        <v>0</v>
      </c>
      <c r="U80" s="33" t="n">
        <f aca="false">U20*SUMIF($J$7:U$7,U$7,$J79:U79)</f>
        <v>0</v>
      </c>
      <c r="V80" s="33" t="n">
        <f aca="false">V20*SUMIF($J$7:V$7,V$7,$J79:V79)</f>
        <v>0</v>
      </c>
      <c r="W80" s="33" t="n">
        <f aca="false">W20*SUMIF($J$7:W$7,W$7,$J79:W79)</f>
        <v>361.79720103671</v>
      </c>
      <c r="X80" s="33" t="n">
        <f aca="false">X20*SUMIF($J$7:X$7,X$7,$J79:X79)</f>
        <v>0</v>
      </c>
      <c r="Y80" s="33" t="n">
        <f aca="false">Y20*SUMIF($J$7:Y$7,Y$7,$J79:Y79)</f>
        <v>0</v>
      </c>
      <c r="Z80" s="33" t="n">
        <f aca="false">Z20*SUMIF($J$7:Z$7,Z$7,$J79:Z79)</f>
        <v>0</v>
      </c>
      <c r="AA80" s="33" t="n">
        <f aca="false">AA20*SUMIF($J$7:AA$7,AA$7,$J79:AA79)</f>
        <v>825.013827675984</v>
      </c>
      <c r="AB80" s="33" t="n">
        <f aca="false">AB20*SUMIF($J$7:AB$7,AB$7,$J79:AB79)</f>
        <v>0</v>
      </c>
      <c r="AC80" s="33" t="n">
        <f aca="false">AC20*SUMIF($J$7:AC$7,AC$7,$J79:AC79)</f>
        <v>0</v>
      </c>
      <c r="AD80" s="33" t="n">
        <f aca="false">AD20*SUMIF($J$7:AD$7,AD$7,$J79:AD79)</f>
        <v>0</v>
      </c>
      <c r="AE80" s="33" t="n">
        <f aca="false">AE20*SUMIF($J$7:AE$7,AE$7,$J79:AE79)</f>
        <v>740.478164237403</v>
      </c>
      <c r="AF80" s="33" t="n">
        <f aca="false">AF20*SUMIF($J$7:AF$7,AF$7,$J79:AF79)</f>
        <v>0</v>
      </c>
      <c r="AG80" s="33" t="n">
        <f aca="false">AG20*SUMIF($J$7:AG$7,AG$7,$J79:AG79)</f>
        <v>0</v>
      </c>
      <c r="AH80" s="33" t="n">
        <f aca="false">AH20*SUMIF($J$7:AH$7,AH$7,$J79:AH79)</f>
        <v>0</v>
      </c>
      <c r="AI80" s="33" t="n">
        <f aca="false">AI20*SUMIF($J$7:AI$7,AI$7,$J79:AI79)</f>
        <v>0</v>
      </c>
      <c r="AJ80" s="33" t="n">
        <f aca="false">AJ20*SUMIF($J$7:AJ$7,AJ$7,$J79:AJ79)</f>
        <v>0</v>
      </c>
      <c r="AK80" s="33" t="n">
        <f aca="false">AK20*SUMIF($J$7:AK$7,AK$7,$J79:AK79)</f>
        <v>0</v>
      </c>
      <c r="AL80" s="33" t="n">
        <f aca="false">AL20*SUMIF($J$7:AL$7,AL$7,$J79:AL79)</f>
        <v>0</v>
      </c>
      <c r="AM80" s="33" t="n">
        <f aca="false">AM20*SUMIF($J$7:AM$7,AM$7,$J79:AM79)</f>
        <v>0</v>
      </c>
      <c r="AN80" s="33" t="n">
        <f aca="false">AN20*SUMIF($J$7:AN$7,AN$7,$J79:AN79)</f>
        <v>0</v>
      </c>
      <c r="AO80" s="33" t="n">
        <f aca="false">AO20*SUMIF($J$7:AO$7,AO$7,$J79:AO79)</f>
        <v>0</v>
      </c>
      <c r="AP80" s="33" t="n">
        <f aca="false">AP20*SUMIF($J$7:AP$7,AP$7,$J79:AP79)</f>
        <v>0</v>
      </c>
      <c r="AQ80" s="33" t="n">
        <f aca="false">AQ20*SUMIF($J$7:AQ$7,AQ$7,$J79:AQ79)</f>
        <v>0</v>
      </c>
      <c r="AR80" s="33" t="n">
        <f aca="false">AR20*SUMIF($J$7:AR$7,AR$7,$J79:AR79)</f>
        <v>0</v>
      </c>
      <c r="AS80" s="33" t="n">
        <f aca="false">AS20*SUMIF($J$7:AS$7,AS$7,$J79:AS79)</f>
        <v>0</v>
      </c>
      <c r="AT80" s="33" t="n">
        <f aca="false">AT20*SUMIF($J$7:AT$7,AT$7,$J79:AT79)</f>
        <v>0</v>
      </c>
      <c r="AU80" s="33" t="n">
        <f aca="false">AU20*SUMIF($J$7:AU$7,AU$7,$J79:AU79)</f>
        <v>0</v>
      </c>
      <c r="AV80" s="33" t="n">
        <f aca="false">AV20*SUMIF($J$7:AV$7,AV$7,$J79:AV79)</f>
        <v>0</v>
      </c>
      <c r="AW80" s="33" t="n">
        <f aca="false">AW20*SUMIF($J$7:AW$7,AW$7,$J79:AW79)</f>
        <v>0</v>
      </c>
      <c r="AX80" s="33" t="n">
        <f aca="false">AX20*SUMIF($J$7:AX$7,AX$7,$J79:AX79)</f>
        <v>0</v>
      </c>
      <c r="AY80" s="33" t="n">
        <f aca="false">AY20*SUMIF($J$7:AY$7,AY$7,$J79:AY79)</f>
        <v>0</v>
      </c>
      <c r="AZ80" s="33" t="n">
        <f aca="false">AZ20*SUMIF($J$7:AZ$7,AZ$7,$J79:AZ79)</f>
        <v>0</v>
      </c>
      <c r="BA80" s="33" t="n">
        <f aca="false">BA20*SUMIF($J$7:BA$7,BA$7,$J79:BA79)</f>
        <v>0</v>
      </c>
      <c r="BB80" s="33" t="n">
        <f aca="false">BB20*SUMIF($J$7:BB$7,BB$7,$J79:BB79)</f>
        <v>0</v>
      </c>
      <c r="BC80" s="33" t="n">
        <f aca="false">BC20*SUMIF($J$7:BC$7,BC$7,$J79:BC79)</f>
        <v>0</v>
      </c>
      <c r="BD80" s="33" t="n">
        <f aca="false">BD20*SUMIF($J$7:BD$7,BD$7,$J79:BD79)</f>
        <v>0</v>
      </c>
      <c r="BE80" s="33" t="n">
        <f aca="false">BE20*SUMIF($J$7:BE$7,BE$7,$J79:BE79)</f>
        <v>0</v>
      </c>
      <c r="BF80" s="33" t="n">
        <f aca="false">BF20*SUMIF($J$7:BF$7,BF$7,$J79:BF79)</f>
        <v>0</v>
      </c>
      <c r="BG80" s="33" t="n">
        <f aca="false">BG20*SUMIF($J$7:BG$7,BG$7,$J79:BG79)</f>
        <v>0</v>
      </c>
      <c r="BH80" s="33" t="n">
        <f aca="false">BH20*SUMIF($J$7:BH$7,BH$7,$J79:BH79)</f>
        <v>0</v>
      </c>
      <c r="BI80" s="33" t="n">
        <f aca="false">BI20*SUMIF($J$7:BI$7,BI$7,$J79:BI79)</f>
        <v>0</v>
      </c>
      <c r="BJ80" s="33" t="n">
        <f aca="false">BJ20*SUMIF($J$7:BJ$7,BJ$7,$J79:BJ79)</f>
        <v>0</v>
      </c>
      <c r="BK80" s="33" t="n">
        <f aca="false">BK20*SUMIF($J$7:BK$7,BK$7,$J79:BK79)</f>
        <v>0</v>
      </c>
      <c r="BL80" s="33" t="n">
        <f aca="false">BL20*SUMIF($J$7:BL$7,BL$7,$J79:BL79)</f>
        <v>0</v>
      </c>
      <c r="BM80" s="33" t="n">
        <f aca="false">BM20*SUMIF($J$7:BM$7,BM$7,$J79:BM79)</f>
        <v>0</v>
      </c>
      <c r="BN80" s="33" t="n">
        <f aca="false">BN20*SUMIF($J$7:BN$7,BN$7,$J79:BN79)</f>
        <v>0</v>
      </c>
      <c r="BO80" s="33" t="n">
        <f aca="false">BO20*SUMIF($J$7:BO$7,BO$7,$J79:BO79)</f>
        <v>0</v>
      </c>
      <c r="BP80" s="33" t="n">
        <f aca="false">BP20*SUMIF($J$7:BP$7,BP$7,$J79:BP79)</f>
        <v>0</v>
      </c>
      <c r="BQ80" s="33" t="n">
        <f aca="false">BQ20*SUMIF($J$7:BQ$7,BQ$7,$J79:BQ79)</f>
        <v>0</v>
      </c>
      <c r="BR80" s="33" t="n">
        <f aca="false">BR20*SUMIF($J$7:BR$7,BR$7,$J79:BR79)</f>
        <v>0</v>
      </c>
      <c r="BS80" s="33" t="n">
        <f aca="false">BS20*SUMIF($J$7:BS$7,BS$7,$J79:BS79)</f>
        <v>0</v>
      </c>
      <c r="BT80" s="33" t="n">
        <f aca="false">BT20*SUMIF($J$7:BT$7,BT$7,$J79:BT79)</f>
        <v>0</v>
      </c>
      <c r="BU80" s="33" t="n">
        <f aca="false">BU20*SUMIF($J$7:BU$7,BU$7,$J79:BU79)</f>
        <v>0</v>
      </c>
      <c r="BV80" s="33" t="n">
        <f aca="false">BV20*SUMIF($J$7:BV$7,BV$7,$J79:BV79)</f>
        <v>0</v>
      </c>
      <c r="BW80" s="33" t="n">
        <f aca="false">BW20*SUMIF($J$7:BW$7,BW$7,$J79:BW79)</f>
        <v>0</v>
      </c>
      <c r="BX80" s="33" t="n">
        <f aca="false">BX20*SUMIF($J$7:BX$7,BX$7,$J79:BX79)</f>
        <v>0</v>
      </c>
      <c r="BY80" s="33" t="n">
        <f aca="false">BY20*SUMIF($J$7:BY$7,BY$7,$J79:BY79)</f>
        <v>0</v>
      </c>
      <c r="BZ80" s="33" t="n">
        <f aca="false">BZ20*SUMIF($J$7:BZ$7,BZ$7,$J79:BZ79)</f>
        <v>0</v>
      </c>
      <c r="CA80" s="33" t="n">
        <f aca="false">CA20*SUMIF($J$7:CA$7,CA$7,$J79:CA79)</f>
        <v>0</v>
      </c>
      <c r="CB80" s="33" t="n">
        <f aca="false">CB20*SUMIF($J$7:CB$7,CB$7,$J79:CB79)</f>
        <v>0</v>
      </c>
      <c r="CC80" s="33" t="n">
        <f aca="false">CC20*SUMIF($J$7:CC$7,CC$7,$J79:CC79)</f>
        <v>0</v>
      </c>
      <c r="CD80" s="33" t="n">
        <f aca="false">CD20*SUMIF($J$7:CD$7,CD$7,$J79:CD79)</f>
        <v>0</v>
      </c>
      <c r="CE80" s="33" t="n">
        <f aca="false">CE20*SUMIF($J$7:CE$7,CE$7,$J79:CE79)</f>
        <v>0</v>
      </c>
      <c r="CF80" s="33" t="n">
        <f aca="false">CF20*SUMIF($J$7:CF$7,CF$7,$J79:CF79)</f>
        <v>0</v>
      </c>
      <c r="CG80" s="33" t="n">
        <f aca="false">CG20*SUMIF($J$7:CG$7,CG$7,$J79:CG79)</f>
        <v>0</v>
      </c>
      <c r="CH80" s="33" t="n">
        <f aca="false">CH20*SUMIF($J$7:CH$7,CH$7,$J79:CH79)</f>
        <v>0</v>
      </c>
      <c r="CI80" s="33" t="n">
        <f aca="false">CI20*SUMIF($J$7:CI$7,CI$7,$J79:CI79)</f>
        <v>0</v>
      </c>
      <c r="CJ80" s="33" t="n">
        <f aca="false">CJ20*SUMIF($J$7:CJ$7,CJ$7,$J79:CJ79)</f>
        <v>0</v>
      </c>
      <c r="CK80" s="33" t="n">
        <f aca="false">CK20*SUMIF($J$7:CK$7,CK$7,$J79:CK79)</f>
        <v>0</v>
      </c>
      <c r="CL80" s="33" t="n">
        <f aca="false">CL20*SUMIF($J$7:CL$7,CL$7,$J79:CL79)</f>
        <v>0</v>
      </c>
      <c r="CM80" s="33" t="n">
        <f aca="false">CM20*SUMIF($J$7:CM$7,CM$7,$J79:CM79)</f>
        <v>0</v>
      </c>
      <c r="CN80" s="33" t="n">
        <f aca="false">CN20*SUMIF($J$7:CN$7,CN$7,$J79:CN79)</f>
        <v>0</v>
      </c>
      <c r="CO80" s="33" t="n">
        <f aca="false">CO20*SUMIF($J$7:CO$7,CO$7,$J79:CO79)</f>
        <v>0</v>
      </c>
      <c r="CP80" s="33" t="n">
        <f aca="false">CP20*SUMIF($J$7:CP$7,CP$7,$J79:CP79)</f>
        <v>0</v>
      </c>
      <c r="CQ80" s="33" t="n">
        <f aca="false">CQ20*SUMIF($J$7:CQ$7,CQ$7,$J79:CQ79)</f>
        <v>0</v>
      </c>
      <c r="CR80" s="33" t="n">
        <f aca="false">CR20*SUMIF($J$7:CR$7,CR$7,$J79:CR79)</f>
        <v>0</v>
      </c>
      <c r="CS80" s="33" t="n">
        <f aca="false">CS20*SUMIF($J$7:CS$7,CS$7,$J79:CS79)</f>
        <v>0</v>
      </c>
      <c r="CT80" s="33" t="n">
        <f aca="false">CT20*SUMIF($J$7:CT$7,CT$7,$J79:CT79)</f>
        <v>0</v>
      </c>
      <c r="CU80" s="33" t="n">
        <f aca="false">CU20*SUMIF($J$7:CU$7,CU$7,$J79:CU79)</f>
        <v>0</v>
      </c>
      <c r="CV80" s="33" t="n">
        <f aca="false">CV20*SUMIF($J$7:CV$7,CV$7,$J79:CV79)</f>
        <v>0</v>
      </c>
      <c r="CW80" s="33" t="n">
        <f aca="false">CW20*SUMIF($J$7:CW$7,CW$7,$J79:CW79)</f>
        <v>0</v>
      </c>
      <c r="CX80" s="33" t="n">
        <f aca="false">CX20*SUMIF($J$7:CX$7,CX$7,$J79:CX79)</f>
        <v>0</v>
      </c>
      <c r="CY80" s="33" t="n">
        <f aca="false">CY20*SUMIF($J$7:CY$7,CY$7,$J79:CY79)</f>
        <v>0</v>
      </c>
      <c r="CZ80" s="33" t="n">
        <f aca="false">CZ20*SUMIF($J$7:CZ$7,CZ$7,$J79:CZ79)</f>
        <v>0</v>
      </c>
      <c r="DA80" s="33" t="n">
        <f aca="false">DA20*SUMIF($J$7:DA$7,DA$7,$J79:DA79)</f>
        <v>0</v>
      </c>
      <c r="DB80" s="33" t="n">
        <f aca="false">DB20*SUMIF($J$7:DB$7,DB$7,$J79:DB79)</f>
        <v>0</v>
      </c>
      <c r="DC80" s="33" t="n">
        <f aca="false">DC20*SUMIF($J$7:DC$7,DC$7,$J79:DC79)</f>
        <v>0</v>
      </c>
      <c r="DD80" s="33" t="n">
        <f aca="false">DD20*SUMIF($J$7:DD$7,DD$7,$J79:DD79)</f>
        <v>0</v>
      </c>
      <c r="DE80" s="33" t="n">
        <f aca="false">DE20*SUMIF($J$7:DE$7,DE$7,$J79:DE79)</f>
        <v>0</v>
      </c>
      <c r="DF80" s="33" t="n">
        <f aca="false">DF20*SUMIF($J$7:DF$7,DF$7,$J79:DF79)</f>
        <v>0</v>
      </c>
      <c r="DG80" s="33" t="n">
        <f aca="false">DG20*SUMIF($J$7:DG$7,DG$7,$J79:DG79)</f>
        <v>0</v>
      </c>
      <c r="DH80" s="33" t="n">
        <f aca="false">DH20*SUMIF($J$7:DH$7,DH$7,$J79:DH79)</f>
        <v>0</v>
      </c>
      <c r="DI80" s="33" t="n">
        <f aca="false">DI20*SUMIF($J$7:DI$7,DI$7,$J79:DI79)</f>
        <v>0</v>
      </c>
      <c r="DJ80" s="33" t="n">
        <f aca="false">DJ20*SUMIF($J$7:DJ$7,DJ$7,$J79:DJ79)</f>
        <v>0</v>
      </c>
      <c r="DK80" s="33" t="n">
        <f aca="false">DK20*SUMIF($J$7:DK$7,DK$7,$J79:DK79)</f>
        <v>0</v>
      </c>
      <c r="DL80" s="33" t="n">
        <f aca="false">DL20*SUMIF($J$7:DL$7,DL$7,$J79:DL79)</f>
        <v>0</v>
      </c>
      <c r="DM80" s="33" t="n">
        <f aca="false">DM20*SUMIF($J$7:DM$7,DM$7,$J79:DM79)</f>
        <v>0</v>
      </c>
      <c r="DN80" s="33" t="n">
        <f aca="false">DN20*SUMIF($J$7:DN$7,DN$7,$J79:DN79)</f>
        <v>0</v>
      </c>
      <c r="DO80" s="33" t="n">
        <f aca="false">DO20*SUMIF($J$7:DO$7,DO$7,$J79:DO79)</f>
        <v>0</v>
      </c>
      <c r="DP80" s="33" t="n">
        <f aca="false">DP20*SUMIF($J$7:DP$7,DP$7,$J79:DP79)</f>
        <v>0</v>
      </c>
      <c r="DQ80" s="33" t="n">
        <f aca="false">DQ20*SUMIF($J$7:DQ$7,DQ$7,$J79:DQ79)</f>
        <v>0</v>
      </c>
      <c r="DR80" s="33" t="n">
        <f aca="false">DR20*SUMIF($J$7:DR$7,DR$7,$J79:DR79)</f>
        <v>0</v>
      </c>
      <c r="DS80" s="33" t="n">
        <f aca="false">DS20*SUMIF($J$7:DS$7,DS$7,$J79:DS79)</f>
        <v>0</v>
      </c>
      <c r="DT80" s="33" t="n">
        <f aca="false">DT20*SUMIF($J$7:DT$7,DT$7,$J79:DT79)</f>
        <v>0</v>
      </c>
      <c r="DU80" s="33" t="n">
        <f aca="false">DU20*SUMIF($J$7:DU$7,DU$7,$J79:DU79)</f>
        <v>0</v>
      </c>
      <c r="DV80" s="33" t="n">
        <f aca="false">DV20*SUMIF($J$7:DV$7,DV$7,$J79:DV79)</f>
        <v>0</v>
      </c>
      <c r="DW80" s="33" t="n">
        <f aca="false">DW20*SUMIF($J$7:DW$7,DW$7,$J79:DW79)</f>
        <v>0</v>
      </c>
      <c r="DX80" s="33" t="n">
        <f aca="false">DX20*SUMIF($J$7:DX$7,DX$7,$J79:DX79)</f>
        <v>0</v>
      </c>
      <c r="DY80" s="33" t="n">
        <f aca="false">DY20*SUMIF($J$7:DY$7,DY$7,$J79:DY79)</f>
        <v>0</v>
      </c>
      <c r="DZ80" s="33" t="n">
        <f aca="false">DZ20*SUMIF($J$7:DZ$7,DZ$7,$J79:DZ79)</f>
        <v>0</v>
      </c>
      <c r="EA80" s="33" t="n">
        <f aca="false">EA20*SUMIF($J$7:EA$7,EA$7,$J79:EA79)</f>
        <v>0</v>
      </c>
      <c r="EB80" s="33" t="n">
        <f aca="false">EB20*SUMIF($J$7:EB$7,EB$7,$J79:EB79)</f>
        <v>0</v>
      </c>
      <c r="EC80" s="33" t="n">
        <f aca="false">EC20*SUMIF($J$7:EC$7,EC$7,$J79:EC79)</f>
        <v>0</v>
      </c>
      <c r="ED80" s="33" t="n">
        <f aca="false">ED20*SUMIF($J$7:ED$7,ED$7,$J79:ED79)</f>
        <v>0</v>
      </c>
      <c r="EE80" s="33" t="n">
        <f aca="false">EE20*SUMIF($J$7:EE$7,EE$7,$J79:EE79)</f>
        <v>0</v>
      </c>
      <c r="EF80" s="33" t="n">
        <f aca="false">EF20*SUMIF($J$7:EF$7,EF$7,$J79:EF79)</f>
        <v>0</v>
      </c>
      <c r="EG80" s="33" t="n">
        <f aca="false">EG20*SUMIF($J$7:EG$7,EG$7,$J79:EG79)</f>
        <v>0</v>
      </c>
      <c r="EH80" s="33" t="n">
        <f aca="false">EH20*SUMIF($J$7:EH$7,EH$7,$J79:EH79)</f>
        <v>0</v>
      </c>
      <c r="EI80" s="33" t="n">
        <f aca="false">EI20*SUMIF($J$7:EI$7,EI$7,$J79:EI79)</f>
        <v>0</v>
      </c>
      <c r="EJ80" s="33" t="n">
        <f aca="false">EJ20*SUMIF($J$7:EJ$7,EJ$7,$J79:EJ79)</f>
        <v>0</v>
      </c>
      <c r="EK80" s="33" t="n">
        <f aca="false">EK20*SUMIF($J$7:EK$7,EK$7,$J79:EK79)</f>
        <v>0</v>
      </c>
      <c r="EL80" s="33" t="n">
        <f aca="false">EL20*SUMIF($J$7:EL$7,EL$7,$J79:EL79)</f>
        <v>0</v>
      </c>
      <c r="EM80" s="33" t="n">
        <f aca="false">EM20*SUMIF($J$7:EM$7,EM$7,$J79:EM79)</f>
        <v>0</v>
      </c>
      <c r="EN80" s="33" t="n">
        <f aca="false">EN20*SUMIF($J$7:EN$7,EN$7,$J79:EN79)</f>
        <v>0</v>
      </c>
      <c r="EO80" s="33" t="n">
        <f aca="false">EO20*SUMIF($J$7:EO$7,EO$7,$J79:EO79)</f>
        <v>0</v>
      </c>
      <c r="EP80" s="33" t="n">
        <f aca="false">EP20*SUMIF($J$7:EP$7,EP$7,$J79:EP79)</f>
        <v>0</v>
      </c>
      <c r="EQ80" s="33" t="n">
        <f aca="false">EQ20*SUMIF($J$7:EQ$7,EQ$7,$J79:EQ79)</f>
        <v>0</v>
      </c>
      <c r="ER80" s="33" t="n">
        <f aca="false">ER20*SUMIF($J$7:ER$7,ER$7,$J79:ER79)</f>
        <v>0</v>
      </c>
      <c r="ES80" s="33" t="n">
        <f aca="false">ES20*SUMIF($J$7:ES$7,ES$7,$J79:ES79)</f>
        <v>0</v>
      </c>
      <c r="ET80" s="33" t="n">
        <f aca="false">ET20*SUMIF($J$7:ET$7,ET$7,$J79:ET79)</f>
        <v>0</v>
      </c>
    </row>
    <row r="81" customFormat="false" ht="15" hidden="false" customHeight="false" outlineLevel="0" collapsed="false">
      <c r="C81" s="0" t="s">
        <v>537</v>
      </c>
      <c r="D81" s="11" t="s">
        <v>253</v>
      </c>
      <c r="I81" s="54"/>
      <c r="J81" s="33" t="n">
        <f aca="false">J78-J57+J80</f>
        <v>0</v>
      </c>
      <c r="K81" s="33" t="n">
        <f aca="false">K78-K57+K80</f>
        <v>187.51993995121</v>
      </c>
      <c r="L81" s="33" t="n">
        <f aca="false">L78-L57+L80</f>
        <v>775.964460499156</v>
      </c>
      <c r="M81" s="33" t="n">
        <f aca="false">M78-M57+M80</f>
        <v>819.800076937512</v>
      </c>
      <c r="N81" s="33" t="n">
        <f aca="false">N78-N57+N80</f>
        <v>863.635693375868</v>
      </c>
      <c r="O81" s="33" t="n">
        <f aca="false">O78-O57+O80</f>
        <v>1195.18381497467</v>
      </c>
      <c r="P81" s="33" t="n">
        <f aca="false">P78-P57+P80</f>
        <v>2485.22560977478</v>
      </c>
      <c r="Q81" s="33" t="n">
        <f aca="false">Q78-Q57+Q80</f>
        <v>2489.83519881588</v>
      </c>
      <c r="R81" s="33" t="n">
        <f aca="false">R78-R57+R80</f>
        <v>2653.92670879631</v>
      </c>
      <c r="S81" s="33" t="n">
        <f aca="false">S78-S57+S80</f>
        <v>3458.61440309663</v>
      </c>
      <c r="T81" s="33" t="n">
        <f aca="false">T78-T57+T80</f>
        <v>3763.27193734321</v>
      </c>
      <c r="U81" s="33" t="n">
        <f aca="false">U78-U57+U80</f>
        <v>3763.27193734321</v>
      </c>
      <c r="V81" s="33" t="n">
        <f aca="false">V78-V57+V80</f>
        <v>3763.27193734321</v>
      </c>
      <c r="W81" s="33" t="n">
        <f aca="false">W78-W57+W80</f>
        <v>4125.06913837992</v>
      </c>
      <c r="X81" s="33" t="n">
        <f aca="false">X78-X57+X80</f>
        <v>4125.06913837992</v>
      </c>
      <c r="Y81" s="33" t="n">
        <f aca="false">Y78-Y57+Y80</f>
        <v>4125.06913837992</v>
      </c>
      <c r="Z81" s="33" t="n">
        <f aca="false">Z78-Z57+Z80</f>
        <v>4125.06913837992</v>
      </c>
      <c r="AA81" s="33" t="n">
        <f aca="false">AA78-AA57+AA80</f>
        <v>4950.0829660559</v>
      </c>
      <c r="AB81" s="33" t="n">
        <f aca="false">AB78-AB57+AB80</f>
        <v>4950.0829660559</v>
      </c>
      <c r="AC81" s="33" t="n">
        <f aca="false">AC78-AC57+AC80</f>
        <v>4950.0829660559</v>
      </c>
      <c r="AD81" s="33" t="n">
        <f aca="false">AD78-AD57+AD80</f>
        <v>4950.0829660559</v>
      </c>
      <c r="AE81" s="33" t="n">
        <f aca="false">AE78-AE57+AE80</f>
        <v>5690.5611302933</v>
      </c>
      <c r="AF81" s="33" t="n">
        <f aca="false">AF78-AF57+AF80</f>
        <v>5690.5611302933</v>
      </c>
      <c r="AG81" s="33" t="n">
        <f aca="false">AG78-AG57+AG80</f>
        <v>5690.5611302933</v>
      </c>
      <c r="AH81" s="33" t="n">
        <f aca="false">AH78-AH57+AH80</f>
        <v>5690.5611302933</v>
      </c>
      <c r="AI81" s="33" t="n">
        <f aca="false">AI78-AI57+AI80</f>
        <v>5690.5611302933</v>
      </c>
      <c r="AJ81" s="33" t="n">
        <f aca="false">AJ78-AJ57+AJ80</f>
        <v>5690.5611302933</v>
      </c>
      <c r="AK81" s="33" t="n">
        <f aca="false">AK78-AK57+AK80</f>
        <v>5690.5611302933</v>
      </c>
      <c r="AL81" s="33" t="n">
        <f aca="false">AL78-AL57+AL80</f>
        <v>5690.5611302933</v>
      </c>
      <c r="AM81" s="33" t="n">
        <f aca="false">AM78-AM57+AM80</f>
        <v>5690.5611302933</v>
      </c>
      <c r="AN81" s="33" t="n">
        <f aca="false">AN78-AN57+AN80</f>
        <v>5690.5611302933</v>
      </c>
      <c r="AO81" s="33" t="n">
        <f aca="false">AO78-AO57+AO80</f>
        <v>5690.5611302933</v>
      </c>
      <c r="AP81" s="33" t="n">
        <f aca="false">AP78-AP57+AP80</f>
        <v>5690.5611302933</v>
      </c>
      <c r="AQ81" s="33" t="n">
        <f aca="false">AQ78-AQ57+AQ80</f>
        <v>5690.5611302933</v>
      </c>
      <c r="AR81" s="33" t="n">
        <f aca="false">AR78-AR57+AR80</f>
        <v>5690.5611302933</v>
      </c>
      <c r="AS81" s="33" t="n">
        <f aca="false">AS78-AS57+AS80</f>
        <v>5690.5611302933</v>
      </c>
      <c r="AT81" s="33" t="n">
        <f aca="false">AT78-AT57+AT80</f>
        <v>5690.5611302933</v>
      </c>
      <c r="AU81" s="33" t="n">
        <f aca="false">AU78-AU57+AU80</f>
        <v>5690.5611302933</v>
      </c>
      <c r="AV81" s="33" t="n">
        <f aca="false">AV78-AV57+AV80</f>
        <v>5690.5611302933</v>
      </c>
      <c r="AW81" s="33" t="n">
        <f aca="false">AW78-AW57+AW80</f>
        <v>5690.5611302933</v>
      </c>
      <c r="AX81" s="33" t="n">
        <f aca="false">AX78-AX57+AX80</f>
        <v>5690.5611302933</v>
      </c>
      <c r="AY81" s="33" t="n">
        <f aca="false">AY78-AY57+AY80</f>
        <v>5690.5611302933</v>
      </c>
      <c r="AZ81" s="33" t="n">
        <f aca="false">AZ78-AZ57+AZ80</f>
        <v>5690.5611302933</v>
      </c>
      <c r="BA81" s="33" t="n">
        <f aca="false">BA78-BA57+BA80</f>
        <v>5690.5611302933</v>
      </c>
      <c r="BB81" s="33" t="n">
        <f aca="false">BB78-BB57+BB80</f>
        <v>5690.5611302933</v>
      </c>
      <c r="BC81" s="33" t="n">
        <f aca="false">BC78-BC57+BC80</f>
        <v>5690.5611302933</v>
      </c>
      <c r="BD81" s="33" t="n">
        <f aca="false">BD78-BD57+BD80</f>
        <v>5690.5611302933</v>
      </c>
      <c r="BE81" s="33" t="n">
        <f aca="false">BE78-BE57+BE80</f>
        <v>5690.5611302933</v>
      </c>
      <c r="BF81" s="33" t="n">
        <f aca="false">BF78-BF57+BF80</f>
        <v>5690.5611302933</v>
      </c>
      <c r="BG81" s="33" t="n">
        <f aca="false">BG78-BG57+BG80</f>
        <v>5690.5611302933</v>
      </c>
      <c r="BH81" s="33" t="n">
        <f aca="false">BH78-BH57+BH80</f>
        <v>5690.5611302933</v>
      </c>
      <c r="BI81" s="33" t="n">
        <f aca="false">BI78-BI57+BI80</f>
        <v>5690.5611302933</v>
      </c>
      <c r="BJ81" s="33" t="n">
        <f aca="false">BJ78-BJ57+BJ80</f>
        <v>5690.5611302933</v>
      </c>
      <c r="BK81" s="33" t="n">
        <f aca="false">BK78-BK57+BK80</f>
        <v>5690.5611302933</v>
      </c>
      <c r="BL81" s="33" t="n">
        <f aca="false">BL78-BL57+BL80</f>
        <v>5690.5611302933</v>
      </c>
      <c r="BM81" s="33" t="n">
        <f aca="false">BM78-BM57+BM80</f>
        <v>5690.5611302933</v>
      </c>
      <c r="BN81" s="33" t="n">
        <f aca="false">BN78-BN57+BN80</f>
        <v>5690.5611302933</v>
      </c>
      <c r="BO81" s="33" t="n">
        <f aca="false">BO78-BO57+BO80</f>
        <v>5690.5611302933</v>
      </c>
      <c r="BP81" s="33" t="n">
        <f aca="false">BP78-BP57+BP80</f>
        <v>5690.5611302933</v>
      </c>
      <c r="BQ81" s="33" t="n">
        <f aca="false">BQ78-BQ57+BQ80</f>
        <v>5690.5611302933</v>
      </c>
      <c r="BR81" s="33" t="n">
        <f aca="false">BR78-BR57+BR80</f>
        <v>5690.5611302933</v>
      </c>
      <c r="BS81" s="33" t="n">
        <f aca="false">BS78-BS57+BS80</f>
        <v>5690.5611302933</v>
      </c>
      <c r="BT81" s="33" t="n">
        <f aca="false">BT78-BT57+BT80</f>
        <v>5690.5611302933</v>
      </c>
      <c r="BU81" s="33" t="n">
        <f aca="false">BU78-BU57+BU80</f>
        <v>5690.5611302933</v>
      </c>
      <c r="BV81" s="33" t="n">
        <f aca="false">BV78-BV57+BV80</f>
        <v>5690.5611302933</v>
      </c>
      <c r="BW81" s="33" t="n">
        <f aca="false">BW78-BW57+BW80</f>
        <v>5690.5611302933</v>
      </c>
      <c r="BX81" s="33" t="n">
        <f aca="false">BX78-BX57+BX80</f>
        <v>5690.5611302933</v>
      </c>
      <c r="BY81" s="33" t="n">
        <f aca="false">BY78-BY57+BY80</f>
        <v>5690.5611302933</v>
      </c>
      <c r="BZ81" s="33" t="n">
        <f aca="false">BZ78-BZ57+BZ80</f>
        <v>5690.5611302933</v>
      </c>
      <c r="CA81" s="33" t="n">
        <f aca="false">CA78-CA57+CA80</f>
        <v>5690.5611302933</v>
      </c>
      <c r="CB81" s="33" t="n">
        <f aca="false">CB78-CB57+CB80</f>
        <v>5690.5611302933</v>
      </c>
      <c r="CC81" s="33" t="n">
        <f aca="false">CC78-CC57+CC80</f>
        <v>5690.5611302933</v>
      </c>
      <c r="CD81" s="33" t="n">
        <f aca="false">CD78-CD57+CD80</f>
        <v>5690.5611302933</v>
      </c>
      <c r="CE81" s="33" t="n">
        <f aca="false">CE78-CE57+CE80</f>
        <v>5690.5611302933</v>
      </c>
      <c r="CF81" s="33" t="n">
        <f aca="false">CF78-CF57+CF80</f>
        <v>5690.5611302933</v>
      </c>
      <c r="CG81" s="33" t="n">
        <f aca="false">CG78-CG57+CG80</f>
        <v>5690.5611302933</v>
      </c>
      <c r="CH81" s="33" t="n">
        <f aca="false">CH78-CH57+CH80</f>
        <v>5690.5611302933</v>
      </c>
      <c r="CI81" s="33" t="n">
        <f aca="false">CI78-CI57+CI80</f>
        <v>5690.5611302933</v>
      </c>
      <c r="CJ81" s="33" t="n">
        <f aca="false">CJ78-CJ57+CJ80</f>
        <v>5690.5611302933</v>
      </c>
      <c r="CK81" s="33" t="n">
        <f aca="false">CK78-CK57+CK80</f>
        <v>5690.5611302933</v>
      </c>
      <c r="CL81" s="33" t="n">
        <f aca="false">CL78-CL57+CL80</f>
        <v>5690.5611302933</v>
      </c>
      <c r="CM81" s="33" t="n">
        <f aca="false">CM78-CM57+CM80</f>
        <v>5690.5611302933</v>
      </c>
      <c r="CN81" s="33" t="n">
        <f aca="false">CN78-CN57+CN80</f>
        <v>5690.5611302933</v>
      </c>
      <c r="CO81" s="33" t="n">
        <f aca="false">CO78-CO57+CO80</f>
        <v>5690.5611302933</v>
      </c>
      <c r="CP81" s="33" t="n">
        <f aca="false">CP78-CP57+CP80</f>
        <v>5690.5611302933</v>
      </c>
      <c r="CQ81" s="33" t="n">
        <f aca="false">CQ78-CQ57+CQ80</f>
        <v>5690.5611302933</v>
      </c>
      <c r="CR81" s="33" t="n">
        <f aca="false">CR78-CR57+CR80</f>
        <v>5690.5611302933</v>
      </c>
      <c r="CS81" s="33" t="n">
        <f aca="false">CS78-CS57+CS80</f>
        <v>5690.5611302933</v>
      </c>
      <c r="CT81" s="33" t="n">
        <f aca="false">CT78-CT57+CT80</f>
        <v>5690.5611302933</v>
      </c>
      <c r="CU81" s="33" t="n">
        <f aca="false">CU78-CU57+CU80</f>
        <v>5690.5611302933</v>
      </c>
      <c r="CV81" s="33" t="n">
        <f aca="false">CV78-CV57+CV80</f>
        <v>5690.5611302933</v>
      </c>
      <c r="CW81" s="33" t="n">
        <f aca="false">CW78-CW57+CW80</f>
        <v>5690.5611302933</v>
      </c>
      <c r="CX81" s="33" t="n">
        <f aca="false">CX78-CX57+CX80</f>
        <v>5690.5611302933</v>
      </c>
      <c r="CY81" s="33" t="n">
        <f aca="false">CY78-CY57+CY80</f>
        <v>5690.5611302933</v>
      </c>
      <c r="CZ81" s="33" t="n">
        <f aca="false">CZ78-CZ57+CZ80</f>
        <v>5690.5611302933</v>
      </c>
      <c r="DA81" s="33" t="n">
        <f aca="false">DA78-DA57+DA80</f>
        <v>5690.5611302933</v>
      </c>
      <c r="DB81" s="33" t="n">
        <f aca="false">DB78-DB57+DB80</f>
        <v>5690.5611302933</v>
      </c>
      <c r="DC81" s="33" t="n">
        <f aca="false">DC78-DC57+DC80</f>
        <v>5690.5611302933</v>
      </c>
      <c r="DD81" s="33" t="n">
        <f aca="false">DD78-DD57+DD80</f>
        <v>5690.5611302933</v>
      </c>
      <c r="DE81" s="33" t="n">
        <f aca="false">DE78-DE57+DE80</f>
        <v>5690.5611302933</v>
      </c>
      <c r="DF81" s="33" t="n">
        <f aca="false">DF78-DF57+DF80</f>
        <v>5690.5611302933</v>
      </c>
      <c r="DG81" s="33" t="n">
        <f aca="false">DG78-DG57+DG80</f>
        <v>5690.5611302933</v>
      </c>
      <c r="DH81" s="33" t="n">
        <f aca="false">DH78-DH57+DH80</f>
        <v>5690.5611302933</v>
      </c>
      <c r="DI81" s="33" t="n">
        <f aca="false">DI78-DI57+DI80</f>
        <v>5690.5611302933</v>
      </c>
      <c r="DJ81" s="33" t="n">
        <f aca="false">DJ78-DJ57+DJ80</f>
        <v>5690.5611302933</v>
      </c>
      <c r="DK81" s="33" t="n">
        <f aca="false">DK78-DK57+DK80</f>
        <v>5690.5611302933</v>
      </c>
      <c r="DL81" s="33" t="n">
        <f aca="false">DL78-DL57+DL80</f>
        <v>5690.5611302933</v>
      </c>
      <c r="DM81" s="33" t="n">
        <f aca="false">DM78-DM57+DM80</f>
        <v>5690.5611302933</v>
      </c>
      <c r="DN81" s="33" t="n">
        <f aca="false">DN78-DN57+DN80</f>
        <v>5690.5611302933</v>
      </c>
      <c r="DO81" s="33" t="n">
        <f aca="false">DO78-DO57+DO80</f>
        <v>5690.5611302933</v>
      </c>
      <c r="DP81" s="33" t="n">
        <f aca="false">DP78-DP57+DP80</f>
        <v>5690.5611302933</v>
      </c>
      <c r="DQ81" s="33" t="n">
        <f aca="false">DQ78-DQ57+DQ80</f>
        <v>5690.5611302933</v>
      </c>
      <c r="DR81" s="33" t="n">
        <f aca="false">DR78-DR57+DR80</f>
        <v>5690.5611302933</v>
      </c>
      <c r="DS81" s="33" t="n">
        <f aca="false">DS78-DS57+DS80</f>
        <v>5690.5611302933</v>
      </c>
      <c r="DT81" s="33" t="n">
        <f aca="false">DT78-DT57+DT80</f>
        <v>5690.5611302933</v>
      </c>
      <c r="DU81" s="33" t="n">
        <f aca="false">DU78-DU57+DU80</f>
        <v>5690.5611302933</v>
      </c>
      <c r="DV81" s="33" t="n">
        <f aca="false">DV78-DV57+DV80</f>
        <v>5690.5611302933</v>
      </c>
      <c r="DW81" s="33" t="n">
        <f aca="false">DW78-DW57+DW80</f>
        <v>5690.5611302933</v>
      </c>
      <c r="DX81" s="33" t="n">
        <f aca="false">DX78-DX57+DX80</f>
        <v>5690.5611302933</v>
      </c>
      <c r="DY81" s="33" t="n">
        <f aca="false">DY78-DY57+DY80</f>
        <v>5690.5611302933</v>
      </c>
      <c r="DZ81" s="33" t="n">
        <f aca="false">DZ78-DZ57+DZ80</f>
        <v>5690.5611302933</v>
      </c>
      <c r="EA81" s="33" t="n">
        <f aca="false">EA78-EA57+EA80</f>
        <v>5690.5611302933</v>
      </c>
      <c r="EB81" s="33" t="n">
        <f aca="false">EB78-EB57+EB80</f>
        <v>5690.5611302933</v>
      </c>
      <c r="EC81" s="33" t="n">
        <f aca="false">EC78-EC57+EC80</f>
        <v>5690.5611302933</v>
      </c>
      <c r="ED81" s="33" t="n">
        <f aca="false">ED78-ED57+ED80</f>
        <v>5690.5611302933</v>
      </c>
      <c r="EE81" s="33" t="n">
        <f aca="false">EE78-EE57+EE80</f>
        <v>5690.5611302933</v>
      </c>
      <c r="EF81" s="33" t="n">
        <f aca="false">EF78-EF57+EF80</f>
        <v>5690.5611302933</v>
      </c>
      <c r="EG81" s="33" t="n">
        <f aca="false">EG78-EG57+EG80</f>
        <v>5690.5611302933</v>
      </c>
      <c r="EH81" s="33" t="n">
        <f aca="false">EH78-EH57+EH80</f>
        <v>5690.5611302933</v>
      </c>
      <c r="EI81" s="33" t="n">
        <f aca="false">EI78-EI57+EI80</f>
        <v>5690.5611302933</v>
      </c>
      <c r="EJ81" s="33" t="n">
        <f aca="false">EJ78-EJ57+EJ80</f>
        <v>5690.5611302933</v>
      </c>
      <c r="EK81" s="33" t="n">
        <f aca="false">EK78-EK57+EK80</f>
        <v>5690.5611302933</v>
      </c>
      <c r="EL81" s="33" t="n">
        <f aca="false">EL78-EL57+EL80</f>
        <v>5690.5611302933</v>
      </c>
      <c r="EM81" s="33" t="n">
        <f aca="false">EM78-EM57+EM80</f>
        <v>5690.5611302933</v>
      </c>
      <c r="EN81" s="33" t="n">
        <f aca="false">EN78-EN57+EN80</f>
        <v>5690.5611302933</v>
      </c>
      <c r="EO81" s="33" t="n">
        <f aca="false">EO78-EO57+EO80</f>
        <v>5690.5611302933</v>
      </c>
      <c r="EP81" s="33" t="n">
        <f aca="false">EP78-EP57+EP80</f>
        <v>5690.5611302933</v>
      </c>
      <c r="EQ81" s="33" t="n">
        <f aca="false">EQ78-EQ57+EQ80</f>
        <v>5690.5611302933</v>
      </c>
      <c r="ER81" s="33" t="n">
        <f aca="false">ER78-ER57+ER80</f>
        <v>5690.5611302933</v>
      </c>
      <c r="ES81" s="33" t="n">
        <f aca="false">ES78-ES57+ES80</f>
        <v>5690.5611302933</v>
      </c>
      <c r="ET81" s="33" t="n">
        <f aca="false">ET78-ET57+ET80</f>
        <v>5690.5611302933</v>
      </c>
    </row>
    <row r="83" customFormat="false" ht="15" hidden="false" customHeight="false" outlineLevel="0" collapsed="false">
      <c r="A83" s="9" t="s">
        <v>13</v>
      </c>
      <c r="B83" s="9"/>
      <c r="C83" s="9" t="s">
        <v>543</v>
      </c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</row>
    <row r="84" customFormat="false" ht="15" hidden="false" customHeight="false" outlineLevel="0" collapsed="false">
      <c r="C84" s="0" t="s">
        <v>544</v>
      </c>
      <c r="D84" s="11" t="s">
        <v>35</v>
      </c>
      <c r="E84" s="47" t="n">
        <f aca="false">1-$F24/$E24</f>
        <v>0.337748344370861</v>
      </c>
      <c r="F84" s="47" t="n">
        <f aca="false">(1-In_BESS_Built)*($E25&gt;0)</f>
        <v>0</v>
      </c>
    </row>
    <row r="85" customFormat="false" ht="15" hidden="false" customHeight="false" outlineLevel="0" collapsed="false">
      <c r="C85" s="0" t="s">
        <v>545</v>
      </c>
      <c r="D85" s="11" t="s">
        <v>253</v>
      </c>
      <c r="E85" s="33" t="n">
        <f aca="false">$E49*$E24*In_Bench_Wind/$E45</f>
        <v>4199.04109589041</v>
      </c>
      <c r="F85" s="33" t="n">
        <f aca="false">$E49-$E85</f>
        <v>2794.52054794521</v>
      </c>
    </row>
    <row r="86" customFormat="false" ht="15" hidden="false" customHeight="false" outlineLevel="0" collapsed="false">
      <c r="C86" s="0" t="s">
        <v>546</v>
      </c>
      <c r="D86" s="11" t="s">
        <v>253</v>
      </c>
      <c r="E86" s="33" t="n">
        <f aca="false">($E84&gt;In_Tolerance_Cap)*$E84*$E85+($F84&gt;In_Tolerance_Cap)*$F84*$F85</f>
        <v>1418.21917808219</v>
      </c>
      <c r="F86" s="33" t="n">
        <f aca="false">($E84+$F84&gt;0)*$E49</f>
        <v>6993.56164383562</v>
      </c>
    </row>
    <row r="87" customFormat="false" ht="15" hidden="false" customHeight="false" outlineLevel="0" collapsed="false">
      <c r="C87" s="0" t="s">
        <v>547</v>
      </c>
      <c r="D87" s="11" t="s">
        <v>253</v>
      </c>
      <c r="E87" s="44" t="n">
        <f aca="false">EDATE(In_COD,In_Sanction_Lag)</f>
        <v>48303</v>
      </c>
      <c r="I87" s="33" t="n">
        <f aca="false">SUM(J87:ET87)</f>
        <v>-1418.21917808219</v>
      </c>
      <c r="J87" s="33" t="n">
        <f aca="false">-CHOOSE(In_Sanction_Regime,$E86,$F86)*N(AND(J$3&lt;=$E87,J$4&gt;=$E87))</f>
        <v>-0</v>
      </c>
      <c r="K87" s="33" t="n">
        <f aca="false">-CHOOSE(In_Sanction_Regime,$E86,$F86)*N(AND(K$3&lt;=$E87,K$4&gt;=$E87))</f>
        <v>-0</v>
      </c>
      <c r="L87" s="33" t="n">
        <f aca="false">-CHOOSE(In_Sanction_Regime,$E86,$F86)*N(AND(L$3&lt;=$E87,L$4&gt;=$E87))</f>
        <v>-0</v>
      </c>
      <c r="M87" s="33" t="n">
        <f aca="false">-CHOOSE(In_Sanction_Regime,$E86,$F86)*N(AND(M$3&lt;=$E87,M$4&gt;=$E87))</f>
        <v>-0</v>
      </c>
      <c r="N87" s="33" t="n">
        <f aca="false">-CHOOSE(In_Sanction_Regime,$E86,$F86)*N(AND(N$3&lt;=$E87,N$4&gt;=$E87))</f>
        <v>-0</v>
      </c>
      <c r="O87" s="33" t="n">
        <f aca="false">-CHOOSE(In_Sanction_Regime,$E86,$F86)*N(AND(O$3&lt;=$E87,O$4&gt;=$E87))</f>
        <v>-0</v>
      </c>
      <c r="P87" s="33" t="n">
        <f aca="false">-CHOOSE(In_Sanction_Regime,$E86,$F86)*N(AND(P$3&lt;=$E87,P$4&gt;=$E87))</f>
        <v>-0</v>
      </c>
      <c r="Q87" s="33" t="n">
        <f aca="false">-CHOOSE(In_Sanction_Regime,$E86,$F86)*N(AND(Q$3&lt;=$E87,Q$4&gt;=$E87))</f>
        <v>-0</v>
      </c>
      <c r="R87" s="33" t="n">
        <f aca="false">-CHOOSE(In_Sanction_Regime,$E86,$F86)*N(AND(R$3&lt;=$E87,R$4&gt;=$E87))</f>
        <v>-0</v>
      </c>
      <c r="S87" s="33" t="n">
        <f aca="false">-CHOOSE(In_Sanction_Regime,$E86,$F86)*N(AND(S$3&lt;=$E87,S$4&gt;=$E87))</f>
        <v>-0</v>
      </c>
      <c r="T87" s="33" t="n">
        <f aca="false">-CHOOSE(In_Sanction_Regime,$E86,$F86)*N(AND(T$3&lt;=$E87,T$4&gt;=$E87))</f>
        <v>-0</v>
      </c>
      <c r="U87" s="33" t="n">
        <f aca="false">-CHOOSE(In_Sanction_Regime,$E86,$F86)*N(AND(U$3&lt;=$E87,U$4&gt;=$E87))</f>
        <v>-0</v>
      </c>
      <c r="V87" s="33" t="n">
        <f aca="false">-CHOOSE(In_Sanction_Regime,$E86,$F86)*N(AND(V$3&lt;=$E87,V$4&gt;=$E87))</f>
        <v>-0</v>
      </c>
      <c r="W87" s="33" t="n">
        <f aca="false">-CHOOSE(In_Sanction_Regime,$E86,$F86)*N(AND(W$3&lt;=$E87,W$4&gt;=$E87))</f>
        <v>-0</v>
      </c>
      <c r="X87" s="33" t="n">
        <f aca="false">-CHOOSE(In_Sanction_Regime,$E86,$F86)*N(AND(X$3&lt;=$E87,X$4&gt;=$E87))</f>
        <v>-0</v>
      </c>
      <c r="Y87" s="33" t="n">
        <f aca="false">-CHOOSE(In_Sanction_Regime,$E86,$F86)*N(AND(Y$3&lt;=$E87,Y$4&gt;=$E87))</f>
        <v>-0</v>
      </c>
      <c r="Z87" s="33" t="n">
        <f aca="false">-CHOOSE(In_Sanction_Regime,$E86,$F86)*N(AND(Z$3&lt;=$E87,Z$4&gt;=$E87))</f>
        <v>-0</v>
      </c>
      <c r="AA87" s="33" t="n">
        <f aca="false">-CHOOSE(In_Sanction_Regime,$E86,$F86)*N(AND(AA$3&lt;=$E87,AA$4&gt;=$E87))</f>
        <v>-0</v>
      </c>
      <c r="AB87" s="33" t="n">
        <f aca="false">-CHOOSE(In_Sanction_Regime,$E86,$F86)*N(AND(AB$3&lt;=$E87,AB$4&gt;=$E87))</f>
        <v>-0</v>
      </c>
      <c r="AC87" s="33" t="n">
        <f aca="false">-CHOOSE(In_Sanction_Regime,$E86,$F86)*N(AND(AC$3&lt;=$E87,AC$4&gt;=$E87))</f>
        <v>-0</v>
      </c>
      <c r="AD87" s="33" t="n">
        <f aca="false">-CHOOSE(In_Sanction_Regime,$E86,$F86)*N(AND(AD$3&lt;=$E87,AD$4&gt;=$E87))</f>
        <v>-0</v>
      </c>
      <c r="AE87" s="33" t="n">
        <f aca="false">-CHOOSE(In_Sanction_Regime,$E86,$F86)*N(AND(AE$3&lt;=$E87,AE$4&gt;=$E87))</f>
        <v>-0</v>
      </c>
      <c r="AF87" s="33" t="n">
        <f aca="false">-CHOOSE(In_Sanction_Regime,$E86,$F86)*N(AND(AF$3&lt;=$E87,AF$4&gt;=$E87))</f>
        <v>-1418.21917808219</v>
      </c>
      <c r="AG87" s="33" t="n">
        <f aca="false">-CHOOSE(In_Sanction_Regime,$E86,$F86)*N(AND(AG$3&lt;=$E87,AG$4&gt;=$E87))</f>
        <v>-0</v>
      </c>
      <c r="AH87" s="33" t="n">
        <f aca="false">-CHOOSE(In_Sanction_Regime,$E86,$F86)*N(AND(AH$3&lt;=$E87,AH$4&gt;=$E87))</f>
        <v>-0</v>
      </c>
      <c r="AI87" s="33" t="n">
        <f aca="false">-CHOOSE(In_Sanction_Regime,$E86,$F86)*N(AND(AI$3&lt;=$E87,AI$4&gt;=$E87))</f>
        <v>-0</v>
      </c>
      <c r="AJ87" s="33" t="n">
        <f aca="false">-CHOOSE(In_Sanction_Regime,$E86,$F86)*N(AND(AJ$3&lt;=$E87,AJ$4&gt;=$E87))</f>
        <v>-0</v>
      </c>
      <c r="AK87" s="33" t="n">
        <f aca="false">-CHOOSE(In_Sanction_Regime,$E86,$F86)*N(AND(AK$3&lt;=$E87,AK$4&gt;=$E87))</f>
        <v>-0</v>
      </c>
      <c r="AL87" s="33" t="n">
        <f aca="false">-CHOOSE(In_Sanction_Regime,$E86,$F86)*N(AND(AL$3&lt;=$E87,AL$4&gt;=$E87))</f>
        <v>-0</v>
      </c>
      <c r="AM87" s="33" t="n">
        <f aca="false">-CHOOSE(In_Sanction_Regime,$E86,$F86)*N(AND(AM$3&lt;=$E87,AM$4&gt;=$E87))</f>
        <v>-0</v>
      </c>
      <c r="AN87" s="33" t="n">
        <f aca="false">-CHOOSE(In_Sanction_Regime,$E86,$F86)*N(AND(AN$3&lt;=$E87,AN$4&gt;=$E87))</f>
        <v>-0</v>
      </c>
      <c r="AO87" s="33" t="n">
        <f aca="false">-CHOOSE(In_Sanction_Regime,$E86,$F86)*N(AND(AO$3&lt;=$E87,AO$4&gt;=$E87))</f>
        <v>-0</v>
      </c>
      <c r="AP87" s="33" t="n">
        <f aca="false">-CHOOSE(In_Sanction_Regime,$E86,$F86)*N(AND(AP$3&lt;=$E87,AP$4&gt;=$E87))</f>
        <v>-0</v>
      </c>
      <c r="AQ87" s="33" t="n">
        <f aca="false">-CHOOSE(In_Sanction_Regime,$E86,$F86)*N(AND(AQ$3&lt;=$E87,AQ$4&gt;=$E87))</f>
        <v>-0</v>
      </c>
      <c r="AR87" s="33" t="n">
        <f aca="false">-CHOOSE(In_Sanction_Regime,$E86,$F86)*N(AND(AR$3&lt;=$E87,AR$4&gt;=$E87))</f>
        <v>-0</v>
      </c>
      <c r="AS87" s="33" t="n">
        <f aca="false">-CHOOSE(In_Sanction_Regime,$E86,$F86)*N(AND(AS$3&lt;=$E87,AS$4&gt;=$E87))</f>
        <v>-0</v>
      </c>
      <c r="AT87" s="33" t="n">
        <f aca="false">-CHOOSE(In_Sanction_Regime,$E86,$F86)*N(AND(AT$3&lt;=$E87,AT$4&gt;=$E87))</f>
        <v>-0</v>
      </c>
      <c r="AU87" s="33" t="n">
        <f aca="false">-CHOOSE(In_Sanction_Regime,$E86,$F86)*N(AND(AU$3&lt;=$E87,AU$4&gt;=$E87))</f>
        <v>-0</v>
      </c>
      <c r="AV87" s="33" t="n">
        <f aca="false">-CHOOSE(In_Sanction_Regime,$E86,$F86)*N(AND(AV$3&lt;=$E87,AV$4&gt;=$E87))</f>
        <v>-0</v>
      </c>
      <c r="AW87" s="33" t="n">
        <f aca="false">-CHOOSE(In_Sanction_Regime,$E86,$F86)*N(AND(AW$3&lt;=$E87,AW$4&gt;=$E87))</f>
        <v>-0</v>
      </c>
      <c r="AX87" s="33" t="n">
        <f aca="false">-CHOOSE(In_Sanction_Regime,$E86,$F86)*N(AND(AX$3&lt;=$E87,AX$4&gt;=$E87))</f>
        <v>-0</v>
      </c>
      <c r="AY87" s="33" t="n">
        <f aca="false">-CHOOSE(In_Sanction_Regime,$E86,$F86)*N(AND(AY$3&lt;=$E87,AY$4&gt;=$E87))</f>
        <v>-0</v>
      </c>
      <c r="AZ87" s="33" t="n">
        <f aca="false">-CHOOSE(In_Sanction_Regime,$E86,$F86)*N(AND(AZ$3&lt;=$E87,AZ$4&gt;=$E87))</f>
        <v>-0</v>
      </c>
      <c r="BA87" s="33" t="n">
        <f aca="false">-CHOOSE(In_Sanction_Regime,$E86,$F86)*N(AND(BA$3&lt;=$E87,BA$4&gt;=$E87))</f>
        <v>-0</v>
      </c>
      <c r="BB87" s="33" t="n">
        <f aca="false">-CHOOSE(In_Sanction_Regime,$E86,$F86)*N(AND(BB$3&lt;=$E87,BB$4&gt;=$E87))</f>
        <v>-0</v>
      </c>
      <c r="BC87" s="33" t="n">
        <f aca="false">-CHOOSE(In_Sanction_Regime,$E86,$F86)*N(AND(BC$3&lt;=$E87,BC$4&gt;=$E87))</f>
        <v>-0</v>
      </c>
      <c r="BD87" s="33" t="n">
        <f aca="false">-CHOOSE(In_Sanction_Regime,$E86,$F86)*N(AND(BD$3&lt;=$E87,BD$4&gt;=$E87))</f>
        <v>-0</v>
      </c>
      <c r="BE87" s="33" t="n">
        <f aca="false">-CHOOSE(In_Sanction_Regime,$E86,$F86)*N(AND(BE$3&lt;=$E87,BE$4&gt;=$E87))</f>
        <v>-0</v>
      </c>
      <c r="BF87" s="33" t="n">
        <f aca="false">-CHOOSE(In_Sanction_Regime,$E86,$F86)*N(AND(BF$3&lt;=$E87,BF$4&gt;=$E87))</f>
        <v>-0</v>
      </c>
      <c r="BG87" s="33" t="n">
        <f aca="false">-CHOOSE(In_Sanction_Regime,$E86,$F86)*N(AND(BG$3&lt;=$E87,BG$4&gt;=$E87))</f>
        <v>-0</v>
      </c>
      <c r="BH87" s="33" t="n">
        <f aca="false">-CHOOSE(In_Sanction_Regime,$E86,$F86)*N(AND(BH$3&lt;=$E87,BH$4&gt;=$E87))</f>
        <v>-0</v>
      </c>
      <c r="BI87" s="33" t="n">
        <f aca="false">-CHOOSE(In_Sanction_Regime,$E86,$F86)*N(AND(BI$3&lt;=$E87,BI$4&gt;=$E87))</f>
        <v>-0</v>
      </c>
      <c r="BJ87" s="33" t="n">
        <f aca="false">-CHOOSE(In_Sanction_Regime,$E86,$F86)*N(AND(BJ$3&lt;=$E87,BJ$4&gt;=$E87))</f>
        <v>-0</v>
      </c>
      <c r="BK87" s="33" t="n">
        <f aca="false">-CHOOSE(In_Sanction_Regime,$E86,$F86)*N(AND(BK$3&lt;=$E87,BK$4&gt;=$E87))</f>
        <v>-0</v>
      </c>
      <c r="BL87" s="33" t="n">
        <f aca="false">-CHOOSE(In_Sanction_Regime,$E86,$F86)*N(AND(BL$3&lt;=$E87,BL$4&gt;=$E87))</f>
        <v>-0</v>
      </c>
      <c r="BM87" s="33" t="n">
        <f aca="false">-CHOOSE(In_Sanction_Regime,$E86,$F86)*N(AND(BM$3&lt;=$E87,BM$4&gt;=$E87))</f>
        <v>-0</v>
      </c>
      <c r="BN87" s="33" t="n">
        <f aca="false">-CHOOSE(In_Sanction_Regime,$E86,$F86)*N(AND(BN$3&lt;=$E87,BN$4&gt;=$E87))</f>
        <v>-0</v>
      </c>
      <c r="BO87" s="33" t="n">
        <f aca="false">-CHOOSE(In_Sanction_Regime,$E86,$F86)*N(AND(BO$3&lt;=$E87,BO$4&gt;=$E87))</f>
        <v>-0</v>
      </c>
      <c r="BP87" s="33" t="n">
        <f aca="false">-CHOOSE(In_Sanction_Regime,$E86,$F86)*N(AND(BP$3&lt;=$E87,BP$4&gt;=$E87))</f>
        <v>-0</v>
      </c>
      <c r="BQ87" s="33" t="n">
        <f aca="false">-CHOOSE(In_Sanction_Regime,$E86,$F86)*N(AND(BQ$3&lt;=$E87,BQ$4&gt;=$E87))</f>
        <v>-0</v>
      </c>
      <c r="BR87" s="33" t="n">
        <f aca="false">-CHOOSE(In_Sanction_Regime,$E86,$F86)*N(AND(BR$3&lt;=$E87,BR$4&gt;=$E87))</f>
        <v>-0</v>
      </c>
      <c r="BS87" s="33" t="n">
        <f aca="false">-CHOOSE(In_Sanction_Regime,$E86,$F86)*N(AND(BS$3&lt;=$E87,BS$4&gt;=$E87))</f>
        <v>-0</v>
      </c>
      <c r="BT87" s="33" t="n">
        <f aca="false">-CHOOSE(In_Sanction_Regime,$E86,$F86)*N(AND(BT$3&lt;=$E87,BT$4&gt;=$E87))</f>
        <v>-0</v>
      </c>
      <c r="BU87" s="33" t="n">
        <f aca="false">-CHOOSE(In_Sanction_Regime,$E86,$F86)*N(AND(BU$3&lt;=$E87,BU$4&gt;=$E87))</f>
        <v>-0</v>
      </c>
      <c r="BV87" s="33" t="n">
        <f aca="false">-CHOOSE(In_Sanction_Regime,$E86,$F86)*N(AND(BV$3&lt;=$E87,BV$4&gt;=$E87))</f>
        <v>-0</v>
      </c>
      <c r="BW87" s="33" t="n">
        <f aca="false">-CHOOSE(In_Sanction_Regime,$E86,$F86)*N(AND(BW$3&lt;=$E87,BW$4&gt;=$E87))</f>
        <v>-0</v>
      </c>
      <c r="BX87" s="33" t="n">
        <f aca="false">-CHOOSE(In_Sanction_Regime,$E86,$F86)*N(AND(BX$3&lt;=$E87,BX$4&gt;=$E87))</f>
        <v>-0</v>
      </c>
      <c r="BY87" s="33" t="n">
        <f aca="false">-CHOOSE(In_Sanction_Regime,$E86,$F86)*N(AND(BY$3&lt;=$E87,BY$4&gt;=$E87))</f>
        <v>-0</v>
      </c>
      <c r="BZ87" s="33" t="n">
        <f aca="false">-CHOOSE(In_Sanction_Regime,$E86,$F86)*N(AND(BZ$3&lt;=$E87,BZ$4&gt;=$E87))</f>
        <v>-0</v>
      </c>
      <c r="CA87" s="33" t="n">
        <f aca="false">-CHOOSE(In_Sanction_Regime,$E86,$F86)*N(AND(CA$3&lt;=$E87,CA$4&gt;=$E87))</f>
        <v>-0</v>
      </c>
      <c r="CB87" s="33" t="n">
        <f aca="false">-CHOOSE(In_Sanction_Regime,$E86,$F86)*N(AND(CB$3&lt;=$E87,CB$4&gt;=$E87))</f>
        <v>-0</v>
      </c>
      <c r="CC87" s="33" t="n">
        <f aca="false">-CHOOSE(In_Sanction_Regime,$E86,$F86)*N(AND(CC$3&lt;=$E87,CC$4&gt;=$E87))</f>
        <v>-0</v>
      </c>
      <c r="CD87" s="33" t="n">
        <f aca="false">-CHOOSE(In_Sanction_Regime,$E86,$F86)*N(AND(CD$3&lt;=$E87,CD$4&gt;=$E87))</f>
        <v>-0</v>
      </c>
      <c r="CE87" s="33" t="n">
        <f aca="false">-CHOOSE(In_Sanction_Regime,$E86,$F86)*N(AND(CE$3&lt;=$E87,CE$4&gt;=$E87))</f>
        <v>-0</v>
      </c>
      <c r="CF87" s="33" t="n">
        <f aca="false">-CHOOSE(In_Sanction_Regime,$E86,$F86)*N(AND(CF$3&lt;=$E87,CF$4&gt;=$E87))</f>
        <v>-0</v>
      </c>
      <c r="CG87" s="33" t="n">
        <f aca="false">-CHOOSE(In_Sanction_Regime,$E86,$F86)*N(AND(CG$3&lt;=$E87,CG$4&gt;=$E87))</f>
        <v>-0</v>
      </c>
      <c r="CH87" s="33" t="n">
        <f aca="false">-CHOOSE(In_Sanction_Regime,$E86,$F86)*N(AND(CH$3&lt;=$E87,CH$4&gt;=$E87))</f>
        <v>-0</v>
      </c>
      <c r="CI87" s="33" t="n">
        <f aca="false">-CHOOSE(In_Sanction_Regime,$E86,$F86)*N(AND(CI$3&lt;=$E87,CI$4&gt;=$E87))</f>
        <v>-0</v>
      </c>
      <c r="CJ87" s="33" t="n">
        <f aca="false">-CHOOSE(In_Sanction_Regime,$E86,$F86)*N(AND(CJ$3&lt;=$E87,CJ$4&gt;=$E87))</f>
        <v>-0</v>
      </c>
      <c r="CK87" s="33" t="n">
        <f aca="false">-CHOOSE(In_Sanction_Regime,$E86,$F86)*N(AND(CK$3&lt;=$E87,CK$4&gt;=$E87))</f>
        <v>-0</v>
      </c>
      <c r="CL87" s="33" t="n">
        <f aca="false">-CHOOSE(In_Sanction_Regime,$E86,$F86)*N(AND(CL$3&lt;=$E87,CL$4&gt;=$E87))</f>
        <v>-0</v>
      </c>
      <c r="CM87" s="33" t="n">
        <f aca="false">-CHOOSE(In_Sanction_Regime,$E86,$F86)*N(AND(CM$3&lt;=$E87,CM$4&gt;=$E87))</f>
        <v>-0</v>
      </c>
      <c r="CN87" s="33" t="n">
        <f aca="false">-CHOOSE(In_Sanction_Regime,$E86,$F86)*N(AND(CN$3&lt;=$E87,CN$4&gt;=$E87))</f>
        <v>-0</v>
      </c>
      <c r="CO87" s="33" t="n">
        <f aca="false">-CHOOSE(In_Sanction_Regime,$E86,$F86)*N(AND(CO$3&lt;=$E87,CO$4&gt;=$E87))</f>
        <v>-0</v>
      </c>
      <c r="CP87" s="33" t="n">
        <f aca="false">-CHOOSE(In_Sanction_Regime,$E86,$F86)*N(AND(CP$3&lt;=$E87,CP$4&gt;=$E87))</f>
        <v>-0</v>
      </c>
      <c r="CQ87" s="33" t="n">
        <f aca="false">-CHOOSE(In_Sanction_Regime,$E86,$F86)*N(AND(CQ$3&lt;=$E87,CQ$4&gt;=$E87))</f>
        <v>-0</v>
      </c>
      <c r="CR87" s="33" t="n">
        <f aca="false">-CHOOSE(In_Sanction_Regime,$E86,$F86)*N(AND(CR$3&lt;=$E87,CR$4&gt;=$E87))</f>
        <v>-0</v>
      </c>
      <c r="CS87" s="33" t="n">
        <f aca="false">-CHOOSE(In_Sanction_Regime,$E86,$F86)*N(AND(CS$3&lt;=$E87,CS$4&gt;=$E87))</f>
        <v>-0</v>
      </c>
      <c r="CT87" s="33" t="n">
        <f aca="false">-CHOOSE(In_Sanction_Regime,$E86,$F86)*N(AND(CT$3&lt;=$E87,CT$4&gt;=$E87))</f>
        <v>-0</v>
      </c>
      <c r="CU87" s="33" t="n">
        <f aca="false">-CHOOSE(In_Sanction_Regime,$E86,$F86)*N(AND(CU$3&lt;=$E87,CU$4&gt;=$E87))</f>
        <v>-0</v>
      </c>
      <c r="CV87" s="33" t="n">
        <f aca="false">-CHOOSE(In_Sanction_Regime,$E86,$F86)*N(AND(CV$3&lt;=$E87,CV$4&gt;=$E87))</f>
        <v>-0</v>
      </c>
      <c r="CW87" s="33" t="n">
        <f aca="false">-CHOOSE(In_Sanction_Regime,$E86,$F86)*N(AND(CW$3&lt;=$E87,CW$4&gt;=$E87))</f>
        <v>-0</v>
      </c>
      <c r="CX87" s="33" t="n">
        <f aca="false">-CHOOSE(In_Sanction_Regime,$E86,$F86)*N(AND(CX$3&lt;=$E87,CX$4&gt;=$E87))</f>
        <v>-0</v>
      </c>
      <c r="CY87" s="33" t="n">
        <f aca="false">-CHOOSE(In_Sanction_Regime,$E86,$F86)*N(AND(CY$3&lt;=$E87,CY$4&gt;=$E87))</f>
        <v>-0</v>
      </c>
      <c r="CZ87" s="33" t="n">
        <f aca="false">-CHOOSE(In_Sanction_Regime,$E86,$F86)*N(AND(CZ$3&lt;=$E87,CZ$4&gt;=$E87))</f>
        <v>-0</v>
      </c>
      <c r="DA87" s="33" t="n">
        <f aca="false">-CHOOSE(In_Sanction_Regime,$E86,$F86)*N(AND(DA$3&lt;=$E87,DA$4&gt;=$E87))</f>
        <v>-0</v>
      </c>
      <c r="DB87" s="33" t="n">
        <f aca="false">-CHOOSE(In_Sanction_Regime,$E86,$F86)*N(AND(DB$3&lt;=$E87,DB$4&gt;=$E87))</f>
        <v>-0</v>
      </c>
      <c r="DC87" s="33" t="n">
        <f aca="false">-CHOOSE(In_Sanction_Regime,$E86,$F86)*N(AND(DC$3&lt;=$E87,DC$4&gt;=$E87))</f>
        <v>-0</v>
      </c>
      <c r="DD87" s="33" t="n">
        <f aca="false">-CHOOSE(In_Sanction_Regime,$E86,$F86)*N(AND(DD$3&lt;=$E87,DD$4&gt;=$E87))</f>
        <v>-0</v>
      </c>
      <c r="DE87" s="33" t="n">
        <f aca="false">-CHOOSE(In_Sanction_Regime,$E86,$F86)*N(AND(DE$3&lt;=$E87,DE$4&gt;=$E87))</f>
        <v>-0</v>
      </c>
      <c r="DF87" s="33" t="n">
        <f aca="false">-CHOOSE(In_Sanction_Regime,$E86,$F86)*N(AND(DF$3&lt;=$E87,DF$4&gt;=$E87))</f>
        <v>-0</v>
      </c>
      <c r="DG87" s="33" t="n">
        <f aca="false">-CHOOSE(In_Sanction_Regime,$E86,$F86)*N(AND(DG$3&lt;=$E87,DG$4&gt;=$E87))</f>
        <v>-0</v>
      </c>
      <c r="DH87" s="33" t="n">
        <f aca="false">-CHOOSE(In_Sanction_Regime,$E86,$F86)*N(AND(DH$3&lt;=$E87,DH$4&gt;=$E87))</f>
        <v>-0</v>
      </c>
      <c r="DI87" s="33" t="n">
        <f aca="false">-CHOOSE(In_Sanction_Regime,$E86,$F86)*N(AND(DI$3&lt;=$E87,DI$4&gt;=$E87))</f>
        <v>-0</v>
      </c>
      <c r="DJ87" s="33" t="n">
        <f aca="false">-CHOOSE(In_Sanction_Regime,$E86,$F86)*N(AND(DJ$3&lt;=$E87,DJ$4&gt;=$E87))</f>
        <v>-0</v>
      </c>
      <c r="DK87" s="33" t="n">
        <f aca="false">-CHOOSE(In_Sanction_Regime,$E86,$F86)*N(AND(DK$3&lt;=$E87,DK$4&gt;=$E87))</f>
        <v>-0</v>
      </c>
      <c r="DL87" s="33" t="n">
        <f aca="false">-CHOOSE(In_Sanction_Regime,$E86,$F86)*N(AND(DL$3&lt;=$E87,DL$4&gt;=$E87))</f>
        <v>-0</v>
      </c>
      <c r="DM87" s="33" t="n">
        <f aca="false">-CHOOSE(In_Sanction_Regime,$E86,$F86)*N(AND(DM$3&lt;=$E87,DM$4&gt;=$E87))</f>
        <v>-0</v>
      </c>
      <c r="DN87" s="33" t="n">
        <f aca="false">-CHOOSE(In_Sanction_Regime,$E86,$F86)*N(AND(DN$3&lt;=$E87,DN$4&gt;=$E87))</f>
        <v>-0</v>
      </c>
      <c r="DO87" s="33" t="n">
        <f aca="false">-CHOOSE(In_Sanction_Regime,$E86,$F86)*N(AND(DO$3&lt;=$E87,DO$4&gt;=$E87))</f>
        <v>-0</v>
      </c>
      <c r="DP87" s="33" t="n">
        <f aca="false">-CHOOSE(In_Sanction_Regime,$E86,$F86)*N(AND(DP$3&lt;=$E87,DP$4&gt;=$E87))</f>
        <v>-0</v>
      </c>
      <c r="DQ87" s="33" t="n">
        <f aca="false">-CHOOSE(In_Sanction_Regime,$E86,$F86)*N(AND(DQ$3&lt;=$E87,DQ$4&gt;=$E87))</f>
        <v>-0</v>
      </c>
      <c r="DR87" s="33" t="n">
        <f aca="false">-CHOOSE(In_Sanction_Regime,$E86,$F86)*N(AND(DR$3&lt;=$E87,DR$4&gt;=$E87))</f>
        <v>-0</v>
      </c>
      <c r="DS87" s="33" t="n">
        <f aca="false">-CHOOSE(In_Sanction_Regime,$E86,$F86)*N(AND(DS$3&lt;=$E87,DS$4&gt;=$E87))</f>
        <v>-0</v>
      </c>
      <c r="DT87" s="33" t="n">
        <f aca="false">-CHOOSE(In_Sanction_Regime,$E86,$F86)*N(AND(DT$3&lt;=$E87,DT$4&gt;=$E87))</f>
        <v>-0</v>
      </c>
      <c r="DU87" s="33" t="n">
        <f aca="false">-CHOOSE(In_Sanction_Regime,$E86,$F86)*N(AND(DU$3&lt;=$E87,DU$4&gt;=$E87))</f>
        <v>-0</v>
      </c>
      <c r="DV87" s="33" t="n">
        <f aca="false">-CHOOSE(In_Sanction_Regime,$E86,$F86)*N(AND(DV$3&lt;=$E87,DV$4&gt;=$E87))</f>
        <v>-0</v>
      </c>
      <c r="DW87" s="33" t="n">
        <f aca="false">-CHOOSE(In_Sanction_Regime,$E86,$F86)*N(AND(DW$3&lt;=$E87,DW$4&gt;=$E87))</f>
        <v>-0</v>
      </c>
      <c r="DX87" s="33" t="n">
        <f aca="false">-CHOOSE(In_Sanction_Regime,$E86,$F86)*N(AND(DX$3&lt;=$E87,DX$4&gt;=$E87))</f>
        <v>-0</v>
      </c>
      <c r="DY87" s="33" t="n">
        <f aca="false">-CHOOSE(In_Sanction_Regime,$E86,$F86)*N(AND(DY$3&lt;=$E87,DY$4&gt;=$E87))</f>
        <v>-0</v>
      </c>
      <c r="DZ87" s="33" t="n">
        <f aca="false">-CHOOSE(In_Sanction_Regime,$E86,$F86)*N(AND(DZ$3&lt;=$E87,DZ$4&gt;=$E87))</f>
        <v>-0</v>
      </c>
      <c r="EA87" s="33" t="n">
        <f aca="false">-CHOOSE(In_Sanction_Regime,$E86,$F86)*N(AND(EA$3&lt;=$E87,EA$4&gt;=$E87))</f>
        <v>-0</v>
      </c>
      <c r="EB87" s="33" t="n">
        <f aca="false">-CHOOSE(In_Sanction_Regime,$E86,$F86)*N(AND(EB$3&lt;=$E87,EB$4&gt;=$E87))</f>
        <v>-0</v>
      </c>
      <c r="EC87" s="33" t="n">
        <f aca="false">-CHOOSE(In_Sanction_Regime,$E86,$F86)*N(AND(EC$3&lt;=$E87,EC$4&gt;=$E87))</f>
        <v>-0</v>
      </c>
      <c r="ED87" s="33" t="n">
        <f aca="false">-CHOOSE(In_Sanction_Regime,$E86,$F86)*N(AND(ED$3&lt;=$E87,ED$4&gt;=$E87))</f>
        <v>-0</v>
      </c>
      <c r="EE87" s="33" t="n">
        <f aca="false">-CHOOSE(In_Sanction_Regime,$E86,$F86)*N(AND(EE$3&lt;=$E87,EE$4&gt;=$E87))</f>
        <v>-0</v>
      </c>
      <c r="EF87" s="33" t="n">
        <f aca="false">-CHOOSE(In_Sanction_Regime,$E86,$F86)*N(AND(EF$3&lt;=$E87,EF$4&gt;=$E87))</f>
        <v>-0</v>
      </c>
      <c r="EG87" s="33" t="n">
        <f aca="false">-CHOOSE(In_Sanction_Regime,$E86,$F86)*N(AND(EG$3&lt;=$E87,EG$4&gt;=$E87))</f>
        <v>-0</v>
      </c>
      <c r="EH87" s="33" t="n">
        <f aca="false">-CHOOSE(In_Sanction_Regime,$E86,$F86)*N(AND(EH$3&lt;=$E87,EH$4&gt;=$E87))</f>
        <v>-0</v>
      </c>
      <c r="EI87" s="33" t="n">
        <f aca="false">-CHOOSE(In_Sanction_Regime,$E86,$F86)*N(AND(EI$3&lt;=$E87,EI$4&gt;=$E87))</f>
        <v>-0</v>
      </c>
      <c r="EJ87" s="33" t="n">
        <f aca="false">-CHOOSE(In_Sanction_Regime,$E86,$F86)*N(AND(EJ$3&lt;=$E87,EJ$4&gt;=$E87))</f>
        <v>-0</v>
      </c>
      <c r="EK87" s="33" t="n">
        <f aca="false">-CHOOSE(In_Sanction_Regime,$E86,$F86)*N(AND(EK$3&lt;=$E87,EK$4&gt;=$E87))</f>
        <v>-0</v>
      </c>
      <c r="EL87" s="33" t="n">
        <f aca="false">-CHOOSE(In_Sanction_Regime,$E86,$F86)*N(AND(EL$3&lt;=$E87,EL$4&gt;=$E87))</f>
        <v>-0</v>
      </c>
      <c r="EM87" s="33" t="n">
        <f aca="false">-CHOOSE(In_Sanction_Regime,$E86,$F86)*N(AND(EM$3&lt;=$E87,EM$4&gt;=$E87))</f>
        <v>-0</v>
      </c>
      <c r="EN87" s="33" t="n">
        <f aca="false">-CHOOSE(In_Sanction_Regime,$E86,$F86)*N(AND(EN$3&lt;=$E87,EN$4&gt;=$E87))</f>
        <v>-0</v>
      </c>
      <c r="EO87" s="33" t="n">
        <f aca="false">-CHOOSE(In_Sanction_Regime,$E86,$F86)*N(AND(EO$3&lt;=$E87,EO$4&gt;=$E87))</f>
        <v>-0</v>
      </c>
      <c r="EP87" s="33" t="n">
        <f aca="false">-CHOOSE(In_Sanction_Regime,$E86,$F86)*N(AND(EP$3&lt;=$E87,EP$4&gt;=$E87))</f>
        <v>-0</v>
      </c>
      <c r="EQ87" s="33" t="n">
        <f aca="false">-CHOOSE(In_Sanction_Regime,$E86,$F86)*N(AND(EQ$3&lt;=$E87,EQ$4&gt;=$E87))</f>
        <v>-0</v>
      </c>
      <c r="ER87" s="33" t="n">
        <f aca="false">-CHOOSE(In_Sanction_Regime,$E86,$F86)*N(AND(ER$3&lt;=$E87,ER$4&gt;=$E87))</f>
        <v>-0</v>
      </c>
      <c r="ES87" s="33" t="n">
        <f aca="false">-CHOOSE(In_Sanction_Regime,$E86,$F86)*N(AND(ES$3&lt;=$E87,ES$4&gt;=$E87))</f>
        <v>-0</v>
      </c>
      <c r="ET87" s="33" t="n">
        <f aca="false">-CHOOSE(In_Sanction_Regime,$E86,$F86)*N(AND(ET$3&lt;=$E87,ET$4&gt;=$E87))</f>
        <v>-0</v>
      </c>
    </row>
    <row r="88" customFormat="false" ht="15" hidden="false" customHeight="false" outlineLevel="0" collapsed="false">
      <c r="C88" s="0" t="s">
        <v>548</v>
      </c>
      <c r="D88" s="11" t="s">
        <v>147</v>
      </c>
      <c r="E88" s="32" t="n">
        <f aca="false">($E84&gt;In_Tolerance_Cap)*$E84*In_MVA</f>
        <v>33.7748344370861</v>
      </c>
    </row>
    <row r="89" customFormat="false" ht="15" hidden="false" customHeight="false" outlineLevel="0" collapsed="false">
      <c r="C89" s="0" t="s">
        <v>148</v>
      </c>
      <c r="D89" s="11" t="s">
        <v>41</v>
      </c>
      <c r="E89" s="46" t="n">
        <f aca="false">N($I87&lt;0)</f>
        <v>1</v>
      </c>
    </row>
    <row r="91" customFormat="false" ht="15" hidden="false" customHeight="false" outlineLevel="0" collapsed="false">
      <c r="A91" s="9" t="s">
        <v>13</v>
      </c>
      <c r="B91" s="9"/>
      <c r="C91" s="9" t="s">
        <v>549</v>
      </c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</row>
    <row r="92" customFormat="false" ht="15" hidden="false" customHeight="false" outlineLevel="0" collapsed="false">
      <c r="C92" s="0" t="s">
        <v>550</v>
      </c>
      <c r="D92" s="11" t="s">
        <v>41</v>
      </c>
      <c r="E92" s="46" t="n">
        <f aca="false">MAX(In_CN_Turbine,1-In_Delivered)</f>
        <v>0</v>
      </c>
    </row>
    <row r="93" customFormat="false" ht="15" hidden="false" customHeight="false" outlineLevel="0" collapsed="false">
      <c r="C93" s="0" t="s">
        <v>551</v>
      </c>
      <c r="D93" s="11" t="s">
        <v>27</v>
      </c>
      <c r="E93" s="33" t="n">
        <f aca="false">IF($E92=1,In_Turbine_CN,In_Turbine)</f>
        <v>600</v>
      </c>
      <c r="F93" s="33" t="n">
        <f aca="false">In_Installation+In_Foundations+In_BoP+In_Owner+In_Easements</f>
        <v>355</v>
      </c>
    </row>
    <row r="94" customFormat="false" ht="15" hidden="false" customHeight="false" outlineLevel="0" collapsed="false">
      <c r="C94" s="0" t="s">
        <v>552</v>
      </c>
      <c r="D94" s="11" t="s">
        <v>253</v>
      </c>
      <c r="E94" s="33" t="n">
        <f aca="false">IF($E92=1,In_Substation_CN,In_Substation)</f>
        <v>12000</v>
      </c>
    </row>
    <row r="95" customFormat="false" ht="15" hidden="false" customHeight="false" outlineLevel="0" collapsed="false">
      <c r="C95" s="0" t="s">
        <v>553</v>
      </c>
      <c r="D95" s="11" t="s">
        <v>253</v>
      </c>
      <c r="E95" s="33" t="n">
        <f aca="false">(($E93+$F93)*$F24+$E94)*(1+In_Capex_Contingency)+In_BESS_Capex*$F26</f>
        <v>133275</v>
      </c>
      <c r="I95" s="33" t="n">
        <f aca="false">SUM(J95:ET95)</f>
        <v>-133275</v>
      </c>
      <c r="J95" s="33" t="n">
        <f aca="false">-$E95*J13</f>
        <v>-0</v>
      </c>
      <c r="K95" s="33" t="n">
        <f aca="false">-$E95*K13</f>
        <v>-0</v>
      </c>
      <c r="L95" s="33" t="n">
        <f aca="false">-$E95*L13</f>
        <v>-0</v>
      </c>
      <c r="M95" s="33" t="n">
        <f aca="false">-$E95*M13</f>
        <v>-0</v>
      </c>
      <c r="N95" s="33" t="n">
        <f aca="false">-$E95*N13</f>
        <v>-0</v>
      </c>
      <c r="O95" s="33" t="n">
        <f aca="false">-$E95*O13</f>
        <v>-0</v>
      </c>
      <c r="P95" s="33" t="n">
        <f aca="false">-$E95*P13</f>
        <v>-0</v>
      </c>
      <c r="Q95" s="33" t="n">
        <f aca="false">-$E95*Q13</f>
        <v>-0</v>
      </c>
      <c r="R95" s="33" t="n">
        <f aca="false">-$E95*R13</f>
        <v>-0</v>
      </c>
      <c r="S95" s="33" t="n">
        <f aca="false">-$E95*S13</f>
        <v>-0</v>
      </c>
      <c r="T95" s="33" t="n">
        <f aca="false">-$E95*T13</f>
        <v>-0</v>
      </c>
      <c r="U95" s="33" t="n">
        <f aca="false">-$E95*U13</f>
        <v>-0</v>
      </c>
      <c r="V95" s="33" t="n">
        <f aca="false">-$E95*V13</f>
        <v>-0</v>
      </c>
      <c r="W95" s="33" t="n">
        <f aca="false">-$E95*W13</f>
        <v>-16796.301369863</v>
      </c>
      <c r="X95" s="33" t="n">
        <f aca="false">-$E95*X13</f>
        <v>-16431.1643835616</v>
      </c>
      <c r="Y95" s="33" t="n">
        <f aca="false">-$E95*Y13</f>
        <v>-16613.7328767123</v>
      </c>
      <c r="Z95" s="33" t="n">
        <f aca="false">-$E95*Z13</f>
        <v>-16796.301369863</v>
      </c>
      <c r="AA95" s="33" t="n">
        <f aca="false">-$E95*AA13</f>
        <v>-16796.301369863</v>
      </c>
      <c r="AB95" s="33" t="n">
        <f aca="false">-$E95*AB13</f>
        <v>-16431.1643835616</v>
      </c>
      <c r="AC95" s="33" t="n">
        <f aca="false">-$E95*AC13</f>
        <v>-16613.7328767123</v>
      </c>
      <c r="AD95" s="33" t="n">
        <f aca="false">-$E95*AD13</f>
        <v>-16796.301369863</v>
      </c>
      <c r="AE95" s="33" t="n">
        <f aca="false">-$E95*AE13</f>
        <v>-0</v>
      </c>
      <c r="AF95" s="33" t="n">
        <f aca="false">-$E95*AF13</f>
        <v>-0</v>
      </c>
      <c r="AG95" s="33" t="n">
        <f aca="false">-$E95*AG13</f>
        <v>-0</v>
      </c>
      <c r="AH95" s="33" t="n">
        <f aca="false">-$E95*AH13</f>
        <v>-0</v>
      </c>
      <c r="AI95" s="33" t="n">
        <f aca="false">-$E95*AI13</f>
        <v>-0</v>
      </c>
      <c r="AJ95" s="33" t="n">
        <f aca="false">-$E95*AJ13</f>
        <v>-0</v>
      </c>
      <c r="AK95" s="33" t="n">
        <f aca="false">-$E95*AK13</f>
        <v>-0</v>
      </c>
      <c r="AL95" s="33" t="n">
        <f aca="false">-$E95*AL13</f>
        <v>-0</v>
      </c>
      <c r="AM95" s="33" t="n">
        <f aca="false">-$E95*AM13</f>
        <v>-0</v>
      </c>
      <c r="AN95" s="33" t="n">
        <f aca="false">-$E95*AN13</f>
        <v>-0</v>
      </c>
      <c r="AO95" s="33" t="n">
        <f aca="false">-$E95*AO13</f>
        <v>-0</v>
      </c>
      <c r="AP95" s="33" t="n">
        <f aca="false">-$E95*AP13</f>
        <v>-0</v>
      </c>
      <c r="AQ95" s="33" t="n">
        <f aca="false">-$E95*AQ13</f>
        <v>-0</v>
      </c>
      <c r="AR95" s="33" t="n">
        <f aca="false">-$E95*AR13</f>
        <v>-0</v>
      </c>
      <c r="AS95" s="33" t="n">
        <f aca="false">-$E95*AS13</f>
        <v>-0</v>
      </c>
      <c r="AT95" s="33" t="n">
        <f aca="false">-$E95*AT13</f>
        <v>-0</v>
      </c>
      <c r="AU95" s="33" t="n">
        <f aca="false">-$E95*AU13</f>
        <v>-0</v>
      </c>
      <c r="AV95" s="33" t="n">
        <f aca="false">-$E95*AV13</f>
        <v>-0</v>
      </c>
      <c r="AW95" s="33" t="n">
        <f aca="false">-$E95*AW13</f>
        <v>-0</v>
      </c>
      <c r="AX95" s="33" t="n">
        <f aca="false">-$E95*AX13</f>
        <v>-0</v>
      </c>
      <c r="AY95" s="33" t="n">
        <f aca="false">-$E95*AY13</f>
        <v>-0</v>
      </c>
      <c r="AZ95" s="33" t="n">
        <f aca="false">-$E95*AZ13</f>
        <v>-0</v>
      </c>
      <c r="BA95" s="33" t="n">
        <f aca="false">-$E95*BA13</f>
        <v>-0</v>
      </c>
      <c r="BB95" s="33" t="n">
        <f aca="false">-$E95*BB13</f>
        <v>-0</v>
      </c>
      <c r="BC95" s="33" t="n">
        <f aca="false">-$E95*BC13</f>
        <v>-0</v>
      </c>
      <c r="BD95" s="33" t="n">
        <f aca="false">-$E95*BD13</f>
        <v>-0</v>
      </c>
      <c r="BE95" s="33" t="n">
        <f aca="false">-$E95*BE13</f>
        <v>-0</v>
      </c>
      <c r="BF95" s="33" t="n">
        <f aca="false">-$E95*BF13</f>
        <v>-0</v>
      </c>
      <c r="BG95" s="33" t="n">
        <f aca="false">-$E95*BG13</f>
        <v>-0</v>
      </c>
      <c r="BH95" s="33" t="n">
        <f aca="false">-$E95*BH13</f>
        <v>-0</v>
      </c>
      <c r="BI95" s="33" t="n">
        <f aca="false">-$E95*BI13</f>
        <v>-0</v>
      </c>
      <c r="BJ95" s="33" t="n">
        <f aca="false">-$E95*BJ13</f>
        <v>-0</v>
      </c>
      <c r="BK95" s="33" t="n">
        <f aca="false">-$E95*BK13</f>
        <v>-0</v>
      </c>
      <c r="BL95" s="33" t="n">
        <f aca="false">-$E95*BL13</f>
        <v>-0</v>
      </c>
      <c r="BM95" s="33" t="n">
        <f aca="false">-$E95*BM13</f>
        <v>-0</v>
      </c>
      <c r="BN95" s="33" t="n">
        <f aca="false">-$E95*BN13</f>
        <v>-0</v>
      </c>
      <c r="BO95" s="33" t="n">
        <f aca="false">-$E95*BO13</f>
        <v>-0</v>
      </c>
      <c r="BP95" s="33" t="n">
        <f aca="false">-$E95*BP13</f>
        <v>-0</v>
      </c>
      <c r="BQ95" s="33" t="n">
        <f aca="false">-$E95*BQ13</f>
        <v>-0</v>
      </c>
      <c r="BR95" s="33" t="n">
        <f aca="false">-$E95*BR13</f>
        <v>-0</v>
      </c>
      <c r="BS95" s="33" t="n">
        <f aca="false">-$E95*BS13</f>
        <v>-0</v>
      </c>
      <c r="BT95" s="33" t="n">
        <f aca="false">-$E95*BT13</f>
        <v>-0</v>
      </c>
      <c r="BU95" s="33" t="n">
        <f aca="false">-$E95*BU13</f>
        <v>-0</v>
      </c>
      <c r="BV95" s="33" t="n">
        <f aca="false">-$E95*BV13</f>
        <v>-0</v>
      </c>
      <c r="BW95" s="33" t="n">
        <f aca="false">-$E95*BW13</f>
        <v>-0</v>
      </c>
      <c r="BX95" s="33" t="n">
        <f aca="false">-$E95*BX13</f>
        <v>-0</v>
      </c>
      <c r="BY95" s="33" t="n">
        <f aca="false">-$E95*BY13</f>
        <v>-0</v>
      </c>
      <c r="BZ95" s="33" t="n">
        <f aca="false">-$E95*BZ13</f>
        <v>-0</v>
      </c>
      <c r="CA95" s="33" t="n">
        <f aca="false">-$E95*CA13</f>
        <v>-0</v>
      </c>
      <c r="CB95" s="33" t="n">
        <f aca="false">-$E95*CB13</f>
        <v>-0</v>
      </c>
      <c r="CC95" s="33" t="n">
        <f aca="false">-$E95*CC13</f>
        <v>-0</v>
      </c>
      <c r="CD95" s="33" t="n">
        <f aca="false">-$E95*CD13</f>
        <v>-0</v>
      </c>
      <c r="CE95" s="33" t="n">
        <f aca="false">-$E95*CE13</f>
        <v>-0</v>
      </c>
      <c r="CF95" s="33" t="n">
        <f aca="false">-$E95*CF13</f>
        <v>-0</v>
      </c>
      <c r="CG95" s="33" t="n">
        <f aca="false">-$E95*CG13</f>
        <v>-0</v>
      </c>
      <c r="CH95" s="33" t="n">
        <f aca="false">-$E95*CH13</f>
        <v>-0</v>
      </c>
      <c r="CI95" s="33" t="n">
        <f aca="false">-$E95*CI13</f>
        <v>-0</v>
      </c>
      <c r="CJ95" s="33" t="n">
        <f aca="false">-$E95*CJ13</f>
        <v>-0</v>
      </c>
      <c r="CK95" s="33" t="n">
        <f aca="false">-$E95*CK13</f>
        <v>-0</v>
      </c>
      <c r="CL95" s="33" t="n">
        <f aca="false">-$E95*CL13</f>
        <v>-0</v>
      </c>
      <c r="CM95" s="33" t="n">
        <f aca="false">-$E95*CM13</f>
        <v>-0</v>
      </c>
      <c r="CN95" s="33" t="n">
        <f aca="false">-$E95*CN13</f>
        <v>-0</v>
      </c>
      <c r="CO95" s="33" t="n">
        <f aca="false">-$E95*CO13</f>
        <v>-0</v>
      </c>
      <c r="CP95" s="33" t="n">
        <f aca="false">-$E95*CP13</f>
        <v>-0</v>
      </c>
      <c r="CQ95" s="33" t="n">
        <f aca="false">-$E95*CQ13</f>
        <v>-0</v>
      </c>
      <c r="CR95" s="33" t="n">
        <f aca="false">-$E95*CR13</f>
        <v>-0</v>
      </c>
      <c r="CS95" s="33" t="n">
        <f aca="false">-$E95*CS13</f>
        <v>-0</v>
      </c>
      <c r="CT95" s="33" t="n">
        <f aca="false">-$E95*CT13</f>
        <v>-0</v>
      </c>
      <c r="CU95" s="33" t="n">
        <f aca="false">-$E95*CU13</f>
        <v>-0</v>
      </c>
      <c r="CV95" s="33" t="n">
        <f aca="false">-$E95*CV13</f>
        <v>-0</v>
      </c>
      <c r="CW95" s="33" t="n">
        <f aca="false">-$E95*CW13</f>
        <v>-0</v>
      </c>
      <c r="CX95" s="33" t="n">
        <f aca="false">-$E95*CX13</f>
        <v>-0</v>
      </c>
      <c r="CY95" s="33" t="n">
        <f aca="false">-$E95*CY13</f>
        <v>-0</v>
      </c>
      <c r="CZ95" s="33" t="n">
        <f aca="false">-$E95*CZ13</f>
        <v>-0</v>
      </c>
      <c r="DA95" s="33" t="n">
        <f aca="false">-$E95*DA13</f>
        <v>-0</v>
      </c>
      <c r="DB95" s="33" t="n">
        <f aca="false">-$E95*DB13</f>
        <v>-0</v>
      </c>
      <c r="DC95" s="33" t="n">
        <f aca="false">-$E95*DC13</f>
        <v>-0</v>
      </c>
      <c r="DD95" s="33" t="n">
        <f aca="false">-$E95*DD13</f>
        <v>-0</v>
      </c>
      <c r="DE95" s="33" t="n">
        <f aca="false">-$E95*DE13</f>
        <v>-0</v>
      </c>
      <c r="DF95" s="33" t="n">
        <f aca="false">-$E95*DF13</f>
        <v>-0</v>
      </c>
      <c r="DG95" s="33" t="n">
        <f aca="false">-$E95*DG13</f>
        <v>-0</v>
      </c>
      <c r="DH95" s="33" t="n">
        <f aca="false">-$E95*DH13</f>
        <v>-0</v>
      </c>
      <c r="DI95" s="33" t="n">
        <f aca="false">-$E95*DI13</f>
        <v>-0</v>
      </c>
      <c r="DJ95" s="33" t="n">
        <f aca="false">-$E95*DJ13</f>
        <v>-0</v>
      </c>
      <c r="DK95" s="33" t="n">
        <f aca="false">-$E95*DK13</f>
        <v>-0</v>
      </c>
      <c r="DL95" s="33" t="n">
        <f aca="false">-$E95*DL13</f>
        <v>-0</v>
      </c>
      <c r="DM95" s="33" t="n">
        <f aca="false">-$E95*DM13</f>
        <v>-0</v>
      </c>
      <c r="DN95" s="33" t="n">
        <f aca="false">-$E95*DN13</f>
        <v>-0</v>
      </c>
      <c r="DO95" s="33" t="n">
        <f aca="false">-$E95*DO13</f>
        <v>-0</v>
      </c>
      <c r="DP95" s="33" t="n">
        <f aca="false">-$E95*DP13</f>
        <v>-0</v>
      </c>
      <c r="DQ95" s="33" t="n">
        <f aca="false">-$E95*DQ13</f>
        <v>-0</v>
      </c>
      <c r="DR95" s="33" t="n">
        <f aca="false">-$E95*DR13</f>
        <v>-0</v>
      </c>
      <c r="DS95" s="33" t="n">
        <f aca="false">-$E95*DS13</f>
        <v>-0</v>
      </c>
      <c r="DT95" s="33" t="n">
        <f aca="false">-$E95*DT13</f>
        <v>-0</v>
      </c>
      <c r="DU95" s="33" t="n">
        <f aca="false">-$E95*DU13</f>
        <v>-0</v>
      </c>
      <c r="DV95" s="33" t="n">
        <f aca="false">-$E95*DV13</f>
        <v>-0</v>
      </c>
      <c r="DW95" s="33" t="n">
        <f aca="false">-$E95*DW13</f>
        <v>-0</v>
      </c>
      <c r="DX95" s="33" t="n">
        <f aca="false">-$E95*DX13</f>
        <v>-0</v>
      </c>
      <c r="DY95" s="33" t="n">
        <f aca="false">-$E95*DY13</f>
        <v>-0</v>
      </c>
      <c r="DZ95" s="33" t="n">
        <f aca="false">-$E95*DZ13</f>
        <v>-0</v>
      </c>
      <c r="EA95" s="33" t="n">
        <f aca="false">-$E95*EA13</f>
        <v>-0</v>
      </c>
      <c r="EB95" s="33" t="n">
        <f aca="false">-$E95*EB13</f>
        <v>-0</v>
      </c>
      <c r="EC95" s="33" t="n">
        <f aca="false">-$E95*EC13</f>
        <v>-0</v>
      </c>
      <c r="ED95" s="33" t="n">
        <f aca="false">-$E95*ED13</f>
        <v>-0</v>
      </c>
      <c r="EE95" s="33" t="n">
        <f aca="false">-$E95*EE13</f>
        <v>-0</v>
      </c>
      <c r="EF95" s="33" t="n">
        <f aca="false">-$E95*EF13</f>
        <v>-0</v>
      </c>
      <c r="EG95" s="33" t="n">
        <f aca="false">-$E95*EG13</f>
        <v>-0</v>
      </c>
      <c r="EH95" s="33" t="n">
        <f aca="false">-$E95*EH13</f>
        <v>-0</v>
      </c>
      <c r="EI95" s="33" t="n">
        <f aca="false">-$E95*EI13</f>
        <v>-0</v>
      </c>
      <c r="EJ95" s="33" t="n">
        <f aca="false">-$E95*EJ13</f>
        <v>-0</v>
      </c>
      <c r="EK95" s="33" t="n">
        <f aca="false">-$E95*EK13</f>
        <v>-0</v>
      </c>
      <c r="EL95" s="33" t="n">
        <f aca="false">-$E95*EL13</f>
        <v>-0</v>
      </c>
      <c r="EM95" s="33" t="n">
        <f aca="false">-$E95*EM13</f>
        <v>-0</v>
      </c>
      <c r="EN95" s="33" t="n">
        <f aca="false">-$E95*EN13</f>
        <v>-0</v>
      </c>
      <c r="EO95" s="33" t="n">
        <f aca="false">-$E95*EO13</f>
        <v>-0</v>
      </c>
      <c r="EP95" s="33" t="n">
        <f aca="false">-$E95*EP13</f>
        <v>-0</v>
      </c>
      <c r="EQ95" s="33" t="n">
        <f aca="false">-$E95*EQ13</f>
        <v>-0</v>
      </c>
      <c r="ER95" s="33" t="n">
        <f aca="false">-$E95*ER13</f>
        <v>-0</v>
      </c>
      <c r="ES95" s="33" t="n">
        <f aca="false">-$E95*ES13</f>
        <v>-0</v>
      </c>
      <c r="ET95" s="33" t="n">
        <f aca="false">-$E95*ET13</f>
        <v>-0</v>
      </c>
    </row>
    <row r="96" customFormat="false" ht="15" hidden="false" customHeight="false" outlineLevel="0" collapsed="false">
      <c r="C96" s="0" t="s">
        <v>554</v>
      </c>
      <c r="D96" s="11" t="s">
        <v>253</v>
      </c>
      <c r="E96" s="33" t="n">
        <f aca="false">$E30*In_MVA*In_Delivered</f>
        <v>5000</v>
      </c>
      <c r="I96" s="33" t="n">
        <f aca="false">SUM(J96:ET96)</f>
        <v>-5000</v>
      </c>
      <c r="J96" s="33" t="n">
        <f aca="false">-$E96*J14</f>
        <v>-0</v>
      </c>
      <c r="K96" s="33" t="n">
        <f aca="false">-$E96*K14</f>
        <v>-0</v>
      </c>
      <c r="L96" s="33" t="n">
        <f aca="false">-$E96*L14</f>
        <v>-0</v>
      </c>
      <c r="M96" s="33" t="n">
        <f aca="false">-$E96*M14</f>
        <v>-0</v>
      </c>
      <c r="N96" s="33" t="n">
        <f aca="false">-$E96*N14</f>
        <v>-0</v>
      </c>
      <c r="O96" s="33" t="n">
        <f aca="false">-$E96*O14</f>
        <v>-0</v>
      </c>
      <c r="P96" s="33" t="n">
        <f aca="false">-$E96*P14</f>
        <v>-0</v>
      </c>
      <c r="Q96" s="33" t="n">
        <f aca="false">-$E96*Q14</f>
        <v>-0</v>
      </c>
      <c r="R96" s="33" t="n">
        <f aca="false">-$E96*R14</f>
        <v>-0</v>
      </c>
      <c r="S96" s="33" t="n">
        <f aca="false">-$E96*S14</f>
        <v>-0</v>
      </c>
      <c r="T96" s="33" t="n">
        <f aca="false">-$E96*T14</f>
        <v>-0</v>
      </c>
      <c r="U96" s="33" t="n">
        <f aca="false">-$E96*U14</f>
        <v>-0</v>
      </c>
      <c r="V96" s="33" t="n">
        <f aca="false">-$E96*V14</f>
        <v>-0</v>
      </c>
      <c r="W96" s="33" t="n">
        <f aca="false">-$E96*W14</f>
        <v>-0</v>
      </c>
      <c r="X96" s="33" t="n">
        <f aca="false">-$E96*X14</f>
        <v>-0</v>
      </c>
      <c r="Y96" s="33" t="n">
        <f aca="false">-$E96*Y14</f>
        <v>-0</v>
      </c>
      <c r="Z96" s="33" t="n">
        <f aca="false">-$E96*Z14</f>
        <v>-0</v>
      </c>
      <c r="AA96" s="33" t="n">
        <f aca="false">-$E96*AA14</f>
        <v>-0</v>
      </c>
      <c r="AB96" s="33" t="n">
        <f aca="false">-$E96*AB14</f>
        <v>-0</v>
      </c>
      <c r="AC96" s="33" t="n">
        <f aca="false">-$E96*AC14</f>
        <v>-0</v>
      </c>
      <c r="AD96" s="33" t="n">
        <f aca="false">-$E96*AD14</f>
        <v>-5000</v>
      </c>
      <c r="AE96" s="33" t="n">
        <f aca="false">-$E96*AE14</f>
        <v>-0</v>
      </c>
      <c r="AF96" s="33" t="n">
        <f aca="false">-$E96*AF14</f>
        <v>-0</v>
      </c>
      <c r="AG96" s="33" t="n">
        <f aca="false">-$E96*AG14</f>
        <v>-0</v>
      </c>
      <c r="AH96" s="33" t="n">
        <f aca="false">-$E96*AH14</f>
        <v>-0</v>
      </c>
      <c r="AI96" s="33" t="n">
        <f aca="false">-$E96*AI14</f>
        <v>-0</v>
      </c>
      <c r="AJ96" s="33" t="n">
        <f aca="false">-$E96*AJ14</f>
        <v>-0</v>
      </c>
      <c r="AK96" s="33" t="n">
        <f aca="false">-$E96*AK14</f>
        <v>-0</v>
      </c>
      <c r="AL96" s="33" t="n">
        <f aca="false">-$E96*AL14</f>
        <v>-0</v>
      </c>
      <c r="AM96" s="33" t="n">
        <f aca="false">-$E96*AM14</f>
        <v>-0</v>
      </c>
      <c r="AN96" s="33" t="n">
        <f aca="false">-$E96*AN14</f>
        <v>-0</v>
      </c>
      <c r="AO96" s="33" t="n">
        <f aca="false">-$E96*AO14</f>
        <v>-0</v>
      </c>
      <c r="AP96" s="33" t="n">
        <f aca="false">-$E96*AP14</f>
        <v>-0</v>
      </c>
      <c r="AQ96" s="33" t="n">
        <f aca="false">-$E96*AQ14</f>
        <v>-0</v>
      </c>
      <c r="AR96" s="33" t="n">
        <f aca="false">-$E96*AR14</f>
        <v>-0</v>
      </c>
      <c r="AS96" s="33" t="n">
        <f aca="false">-$E96*AS14</f>
        <v>-0</v>
      </c>
      <c r="AT96" s="33" t="n">
        <f aca="false">-$E96*AT14</f>
        <v>-0</v>
      </c>
      <c r="AU96" s="33" t="n">
        <f aca="false">-$E96*AU14</f>
        <v>-0</v>
      </c>
      <c r="AV96" s="33" t="n">
        <f aca="false">-$E96*AV14</f>
        <v>-0</v>
      </c>
      <c r="AW96" s="33" t="n">
        <f aca="false">-$E96*AW14</f>
        <v>-0</v>
      </c>
      <c r="AX96" s="33" t="n">
        <f aca="false">-$E96*AX14</f>
        <v>-0</v>
      </c>
      <c r="AY96" s="33" t="n">
        <f aca="false">-$E96*AY14</f>
        <v>-0</v>
      </c>
      <c r="AZ96" s="33" t="n">
        <f aca="false">-$E96*AZ14</f>
        <v>-0</v>
      </c>
      <c r="BA96" s="33" t="n">
        <f aca="false">-$E96*BA14</f>
        <v>-0</v>
      </c>
      <c r="BB96" s="33" t="n">
        <f aca="false">-$E96*BB14</f>
        <v>-0</v>
      </c>
      <c r="BC96" s="33" t="n">
        <f aca="false">-$E96*BC14</f>
        <v>-0</v>
      </c>
      <c r="BD96" s="33" t="n">
        <f aca="false">-$E96*BD14</f>
        <v>-0</v>
      </c>
      <c r="BE96" s="33" t="n">
        <f aca="false">-$E96*BE14</f>
        <v>-0</v>
      </c>
      <c r="BF96" s="33" t="n">
        <f aca="false">-$E96*BF14</f>
        <v>-0</v>
      </c>
      <c r="BG96" s="33" t="n">
        <f aca="false">-$E96*BG14</f>
        <v>-0</v>
      </c>
      <c r="BH96" s="33" t="n">
        <f aca="false">-$E96*BH14</f>
        <v>-0</v>
      </c>
      <c r="BI96" s="33" t="n">
        <f aca="false">-$E96*BI14</f>
        <v>-0</v>
      </c>
      <c r="BJ96" s="33" t="n">
        <f aca="false">-$E96*BJ14</f>
        <v>-0</v>
      </c>
      <c r="BK96" s="33" t="n">
        <f aca="false">-$E96*BK14</f>
        <v>-0</v>
      </c>
      <c r="BL96" s="33" t="n">
        <f aca="false">-$E96*BL14</f>
        <v>-0</v>
      </c>
      <c r="BM96" s="33" t="n">
        <f aca="false">-$E96*BM14</f>
        <v>-0</v>
      </c>
      <c r="BN96" s="33" t="n">
        <f aca="false">-$E96*BN14</f>
        <v>-0</v>
      </c>
      <c r="BO96" s="33" t="n">
        <f aca="false">-$E96*BO14</f>
        <v>-0</v>
      </c>
      <c r="BP96" s="33" t="n">
        <f aca="false">-$E96*BP14</f>
        <v>-0</v>
      </c>
      <c r="BQ96" s="33" t="n">
        <f aca="false">-$E96*BQ14</f>
        <v>-0</v>
      </c>
      <c r="BR96" s="33" t="n">
        <f aca="false">-$E96*BR14</f>
        <v>-0</v>
      </c>
      <c r="BS96" s="33" t="n">
        <f aca="false">-$E96*BS14</f>
        <v>-0</v>
      </c>
      <c r="BT96" s="33" t="n">
        <f aca="false">-$E96*BT14</f>
        <v>-0</v>
      </c>
      <c r="BU96" s="33" t="n">
        <f aca="false">-$E96*BU14</f>
        <v>-0</v>
      </c>
      <c r="BV96" s="33" t="n">
        <f aca="false">-$E96*BV14</f>
        <v>-0</v>
      </c>
      <c r="BW96" s="33" t="n">
        <f aca="false">-$E96*BW14</f>
        <v>-0</v>
      </c>
      <c r="BX96" s="33" t="n">
        <f aca="false">-$E96*BX14</f>
        <v>-0</v>
      </c>
      <c r="BY96" s="33" t="n">
        <f aca="false">-$E96*BY14</f>
        <v>-0</v>
      </c>
      <c r="BZ96" s="33" t="n">
        <f aca="false">-$E96*BZ14</f>
        <v>-0</v>
      </c>
      <c r="CA96" s="33" t="n">
        <f aca="false">-$E96*CA14</f>
        <v>-0</v>
      </c>
      <c r="CB96" s="33" t="n">
        <f aca="false">-$E96*CB14</f>
        <v>-0</v>
      </c>
      <c r="CC96" s="33" t="n">
        <f aca="false">-$E96*CC14</f>
        <v>-0</v>
      </c>
      <c r="CD96" s="33" t="n">
        <f aca="false">-$E96*CD14</f>
        <v>-0</v>
      </c>
      <c r="CE96" s="33" t="n">
        <f aca="false">-$E96*CE14</f>
        <v>-0</v>
      </c>
      <c r="CF96" s="33" t="n">
        <f aca="false">-$E96*CF14</f>
        <v>-0</v>
      </c>
      <c r="CG96" s="33" t="n">
        <f aca="false">-$E96*CG14</f>
        <v>-0</v>
      </c>
      <c r="CH96" s="33" t="n">
        <f aca="false">-$E96*CH14</f>
        <v>-0</v>
      </c>
      <c r="CI96" s="33" t="n">
        <f aca="false">-$E96*CI14</f>
        <v>-0</v>
      </c>
      <c r="CJ96" s="33" t="n">
        <f aca="false">-$E96*CJ14</f>
        <v>-0</v>
      </c>
      <c r="CK96" s="33" t="n">
        <f aca="false">-$E96*CK14</f>
        <v>-0</v>
      </c>
      <c r="CL96" s="33" t="n">
        <f aca="false">-$E96*CL14</f>
        <v>-0</v>
      </c>
      <c r="CM96" s="33" t="n">
        <f aca="false">-$E96*CM14</f>
        <v>-0</v>
      </c>
      <c r="CN96" s="33" t="n">
        <f aca="false">-$E96*CN14</f>
        <v>-0</v>
      </c>
      <c r="CO96" s="33" t="n">
        <f aca="false">-$E96*CO14</f>
        <v>-0</v>
      </c>
      <c r="CP96" s="33" t="n">
        <f aca="false">-$E96*CP14</f>
        <v>-0</v>
      </c>
      <c r="CQ96" s="33" t="n">
        <f aca="false">-$E96*CQ14</f>
        <v>-0</v>
      </c>
      <c r="CR96" s="33" t="n">
        <f aca="false">-$E96*CR14</f>
        <v>-0</v>
      </c>
      <c r="CS96" s="33" t="n">
        <f aca="false">-$E96*CS14</f>
        <v>-0</v>
      </c>
      <c r="CT96" s="33" t="n">
        <f aca="false">-$E96*CT14</f>
        <v>-0</v>
      </c>
      <c r="CU96" s="33" t="n">
        <f aca="false">-$E96*CU14</f>
        <v>-0</v>
      </c>
      <c r="CV96" s="33" t="n">
        <f aca="false">-$E96*CV14</f>
        <v>-0</v>
      </c>
      <c r="CW96" s="33" t="n">
        <f aca="false">-$E96*CW14</f>
        <v>-0</v>
      </c>
      <c r="CX96" s="33" t="n">
        <f aca="false">-$E96*CX14</f>
        <v>-0</v>
      </c>
      <c r="CY96" s="33" t="n">
        <f aca="false">-$E96*CY14</f>
        <v>-0</v>
      </c>
      <c r="CZ96" s="33" t="n">
        <f aca="false">-$E96*CZ14</f>
        <v>-0</v>
      </c>
      <c r="DA96" s="33" t="n">
        <f aca="false">-$E96*DA14</f>
        <v>-0</v>
      </c>
      <c r="DB96" s="33" t="n">
        <f aca="false">-$E96*DB14</f>
        <v>-0</v>
      </c>
      <c r="DC96" s="33" t="n">
        <f aca="false">-$E96*DC14</f>
        <v>-0</v>
      </c>
      <c r="DD96" s="33" t="n">
        <f aca="false">-$E96*DD14</f>
        <v>-0</v>
      </c>
      <c r="DE96" s="33" t="n">
        <f aca="false">-$E96*DE14</f>
        <v>-0</v>
      </c>
      <c r="DF96" s="33" t="n">
        <f aca="false">-$E96*DF14</f>
        <v>-0</v>
      </c>
      <c r="DG96" s="33" t="n">
        <f aca="false">-$E96*DG14</f>
        <v>-0</v>
      </c>
      <c r="DH96" s="33" t="n">
        <f aca="false">-$E96*DH14</f>
        <v>-0</v>
      </c>
      <c r="DI96" s="33" t="n">
        <f aca="false">-$E96*DI14</f>
        <v>-0</v>
      </c>
      <c r="DJ96" s="33" t="n">
        <f aca="false">-$E96*DJ14</f>
        <v>-0</v>
      </c>
      <c r="DK96" s="33" t="n">
        <f aca="false">-$E96*DK14</f>
        <v>-0</v>
      </c>
      <c r="DL96" s="33" t="n">
        <f aca="false">-$E96*DL14</f>
        <v>-0</v>
      </c>
      <c r="DM96" s="33" t="n">
        <f aca="false">-$E96*DM14</f>
        <v>-0</v>
      </c>
      <c r="DN96" s="33" t="n">
        <f aca="false">-$E96*DN14</f>
        <v>-0</v>
      </c>
      <c r="DO96" s="33" t="n">
        <f aca="false">-$E96*DO14</f>
        <v>-0</v>
      </c>
      <c r="DP96" s="33" t="n">
        <f aca="false">-$E96*DP14</f>
        <v>-0</v>
      </c>
      <c r="DQ96" s="33" t="n">
        <f aca="false">-$E96*DQ14</f>
        <v>-0</v>
      </c>
      <c r="DR96" s="33" t="n">
        <f aca="false">-$E96*DR14</f>
        <v>-0</v>
      </c>
      <c r="DS96" s="33" t="n">
        <f aca="false">-$E96*DS14</f>
        <v>-0</v>
      </c>
      <c r="DT96" s="33" t="n">
        <f aca="false">-$E96*DT14</f>
        <v>-0</v>
      </c>
      <c r="DU96" s="33" t="n">
        <f aca="false">-$E96*DU14</f>
        <v>-0</v>
      </c>
      <c r="DV96" s="33" t="n">
        <f aca="false">-$E96*DV14</f>
        <v>-0</v>
      </c>
      <c r="DW96" s="33" t="n">
        <f aca="false">-$E96*DW14</f>
        <v>-0</v>
      </c>
      <c r="DX96" s="33" t="n">
        <f aca="false">-$E96*DX14</f>
        <v>-0</v>
      </c>
      <c r="DY96" s="33" t="n">
        <f aca="false">-$E96*DY14</f>
        <v>-0</v>
      </c>
      <c r="DZ96" s="33" t="n">
        <f aca="false">-$E96*DZ14</f>
        <v>-0</v>
      </c>
      <c r="EA96" s="33" t="n">
        <f aca="false">-$E96*EA14</f>
        <v>-0</v>
      </c>
      <c r="EB96" s="33" t="n">
        <f aca="false">-$E96*EB14</f>
        <v>-0</v>
      </c>
      <c r="EC96" s="33" t="n">
        <f aca="false">-$E96*EC14</f>
        <v>-0</v>
      </c>
      <c r="ED96" s="33" t="n">
        <f aca="false">-$E96*ED14</f>
        <v>-0</v>
      </c>
      <c r="EE96" s="33" t="n">
        <f aca="false">-$E96*EE14</f>
        <v>-0</v>
      </c>
      <c r="EF96" s="33" t="n">
        <f aca="false">-$E96*EF14</f>
        <v>-0</v>
      </c>
      <c r="EG96" s="33" t="n">
        <f aca="false">-$E96*EG14</f>
        <v>-0</v>
      </c>
      <c r="EH96" s="33" t="n">
        <f aca="false">-$E96*EH14</f>
        <v>-0</v>
      </c>
      <c r="EI96" s="33" t="n">
        <f aca="false">-$E96*EI14</f>
        <v>-0</v>
      </c>
      <c r="EJ96" s="33" t="n">
        <f aca="false">-$E96*EJ14</f>
        <v>-0</v>
      </c>
      <c r="EK96" s="33" t="n">
        <f aca="false">-$E96*EK14</f>
        <v>-0</v>
      </c>
      <c r="EL96" s="33" t="n">
        <f aca="false">-$E96*EL14</f>
        <v>-0</v>
      </c>
      <c r="EM96" s="33" t="n">
        <f aca="false">-$E96*EM14</f>
        <v>-0</v>
      </c>
      <c r="EN96" s="33" t="n">
        <f aca="false">-$E96*EN14</f>
        <v>-0</v>
      </c>
      <c r="EO96" s="33" t="n">
        <f aca="false">-$E96*EO14</f>
        <v>-0</v>
      </c>
      <c r="EP96" s="33" t="n">
        <f aca="false">-$E96*EP14</f>
        <v>-0</v>
      </c>
      <c r="EQ96" s="33" t="n">
        <f aca="false">-$E96*EQ14</f>
        <v>-0</v>
      </c>
      <c r="ER96" s="33" t="n">
        <f aca="false">-$E96*ER14</f>
        <v>-0</v>
      </c>
      <c r="ES96" s="33" t="n">
        <f aca="false">-$E96*ES14</f>
        <v>-0</v>
      </c>
      <c r="ET96" s="33" t="n">
        <f aca="false">-$E96*ET14</f>
        <v>-0</v>
      </c>
    </row>
    <row r="97" customFormat="false" ht="15" hidden="false" customHeight="false" outlineLevel="0" collapsed="false">
      <c r="A97" s="55"/>
      <c r="B97" s="55"/>
      <c r="C97" s="55" t="s">
        <v>555</v>
      </c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5"/>
      <c r="AD97" s="55"/>
      <c r="AE97" s="55"/>
      <c r="AF97" s="55"/>
      <c r="AG97" s="55"/>
      <c r="AH97" s="55"/>
      <c r="AI97" s="55"/>
      <c r="AJ97" s="55"/>
      <c r="AK97" s="55"/>
      <c r="AL97" s="55"/>
      <c r="AM97" s="55"/>
      <c r="AN97" s="55"/>
      <c r="AO97" s="55"/>
      <c r="AP97" s="55"/>
      <c r="AQ97" s="55"/>
      <c r="AR97" s="55"/>
      <c r="AS97" s="55"/>
      <c r="AT97" s="55"/>
      <c r="AU97" s="55"/>
      <c r="AV97" s="55"/>
      <c r="AW97" s="55"/>
      <c r="AX97" s="55"/>
      <c r="AY97" s="55"/>
      <c r="AZ97" s="55"/>
      <c r="BA97" s="55"/>
      <c r="BB97" s="55"/>
      <c r="BC97" s="55"/>
      <c r="BD97" s="55"/>
      <c r="BE97" s="55"/>
      <c r="BF97" s="55"/>
      <c r="BG97" s="55"/>
      <c r="BH97" s="55"/>
      <c r="BI97" s="55"/>
      <c r="BJ97" s="55"/>
      <c r="BK97" s="55"/>
      <c r="BL97" s="55"/>
      <c r="BM97" s="55"/>
      <c r="BN97" s="55"/>
      <c r="BO97" s="55"/>
      <c r="BP97" s="55"/>
      <c r="BQ97" s="55"/>
      <c r="BR97" s="55"/>
      <c r="BS97" s="55"/>
      <c r="BT97" s="55"/>
      <c r="BU97" s="55"/>
      <c r="BV97" s="55"/>
      <c r="BW97" s="55"/>
      <c r="BX97" s="55"/>
      <c r="BY97" s="55"/>
      <c r="BZ97" s="55"/>
      <c r="CA97" s="55"/>
      <c r="CB97" s="55"/>
      <c r="CC97" s="55"/>
      <c r="CD97" s="55"/>
      <c r="CE97" s="55"/>
      <c r="CF97" s="55"/>
      <c r="CG97" s="55"/>
      <c r="CH97" s="55"/>
      <c r="CI97" s="55"/>
      <c r="CJ97" s="55"/>
      <c r="CK97" s="55"/>
      <c r="CL97" s="55"/>
      <c r="CM97" s="55"/>
      <c r="CN97" s="55"/>
      <c r="CO97" s="55"/>
      <c r="CP97" s="55"/>
      <c r="CQ97" s="55"/>
      <c r="CR97" s="55"/>
      <c r="CS97" s="55"/>
      <c r="CT97" s="55"/>
      <c r="CU97" s="55"/>
      <c r="CV97" s="55"/>
      <c r="CW97" s="55"/>
      <c r="CX97" s="55"/>
      <c r="CY97" s="55"/>
      <c r="CZ97" s="55"/>
      <c r="DA97" s="55"/>
      <c r="DB97" s="55"/>
      <c r="DC97" s="55"/>
      <c r="DD97" s="55"/>
      <c r="DE97" s="55"/>
      <c r="DF97" s="55"/>
      <c r="DG97" s="55"/>
      <c r="DH97" s="55"/>
      <c r="DI97" s="55"/>
      <c r="DJ97" s="55"/>
      <c r="DK97" s="55"/>
      <c r="DL97" s="55"/>
      <c r="DM97" s="55"/>
      <c r="DN97" s="55"/>
      <c r="DO97" s="55"/>
      <c r="DP97" s="55"/>
      <c r="DQ97" s="55"/>
      <c r="DR97" s="55"/>
      <c r="DS97" s="55"/>
      <c r="DT97" s="55"/>
      <c r="DU97" s="55"/>
      <c r="DV97" s="55"/>
      <c r="DW97" s="55"/>
      <c r="DX97" s="55"/>
      <c r="DY97" s="55"/>
      <c r="DZ97" s="55"/>
      <c r="EA97" s="55"/>
      <c r="EB97" s="55"/>
      <c r="EC97" s="55"/>
      <c r="ED97" s="55"/>
      <c r="EE97" s="55"/>
      <c r="EF97" s="55"/>
      <c r="EG97" s="55"/>
      <c r="EH97" s="55"/>
      <c r="EI97" s="55"/>
      <c r="EJ97" s="55"/>
      <c r="EK97" s="55"/>
      <c r="EL97" s="55"/>
      <c r="EM97" s="55"/>
      <c r="EN97" s="55"/>
      <c r="EO97" s="55"/>
      <c r="EP97" s="55"/>
      <c r="EQ97" s="55"/>
      <c r="ER97" s="55"/>
      <c r="ES97" s="55"/>
      <c r="ET97" s="55"/>
    </row>
    <row r="98" customFormat="false" ht="15" hidden="false" customHeight="false" outlineLevel="0" collapsed="false">
      <c r="C98" s="0" t="s">
        <v>534</v>
      </c>
      <c r="D98" s="11" t="s">
        <v>253</v>
      </c>
      <c r="J98" s="22" t="n">
        <f aca="false">I102</f>
        <v>0</v>
      </c>
      <c r="K98" s="22" t="n">
        <f aca="false">J102</f>
        <v>0</v>
      </c>
      <c r="L98" s="22" t="n">
        <f aca="false">K102</f>
        <v>0</v>
      </c>
      <c r="M98" s="22" t="n">
        <f aca="false">L102</f>
        <v>0</v>
      </c>
      <c r="N98" s="22" t="n">
        <f aca="false">M102</f>
        <v>0</v>
      </c>
      <c r="O98" s="22" t="n">
        <f aca="false">N102</f>
        <v>0</v>
      </c>
      <c r="P98" s="22" t="n">
        <f aca="false">O102</f>
        <v>0</v>
      </c>
      <c r="Q98" s="22" t="n">
        <f aca="false">P102</f>
        <v>0</v>
      </c>
      <c r="R98" s="22" t="n">
        <f aca="false">Q102</f>
        <v>0</v>
      </c>
      <c r="S98" s="22" t="n">
        <f aca="false">R102</f>
        <v>0</v>
      </c>
      <c r="T98" s="22" t="n">
        <f aca="false">S102</f>
        <v>0</v>
      </c>
      <c r="U98" s="22" t="n">
        <f aca="false">T102</f>
        <v>0</v>
      </c>
      <c r="V98" s="22" t="n">
        <f aca="false">U102</f>
        <v>0</v>
      </c>
      <c r="W98" s="22" t="n">
        <f aca="false">V102</f>
        <v>0</v>
      </c>
      <c r="X98" s="22" t="n">
        <f aca="false">W102</f>
        <v>11981.7564177174</v>
      </c>
      <c r="Y98" s="22" t="n">
        <f aca="false">X102</f>
        <v>23852.8118250537</v>
      </c>
      <c r="Z98" s="22" t="n">
        <f aca="false">Y102</f>
        <v>36002.491907783</v>
      </c>
      <c r="AA98" s="22" t="n">
        <f aca="false">Z102</f>
        <v>48434.2794743477</v>
      </c>
      <c r="AB98" s="22" t="n">
        <f aca="false">AA102</f>
        <v>61021.4643854944</v>
      </c>
      <c r="AC98" s="22" t="n">
        <f aca="false">AB102</f>
        <v>73505.516142428</v>
      </c>
      <c r="AD98" s="22" t="n">
        <f aca="false">AC102</f>
        <v>86275.8550291244</v>
      </c>
      <c r="AE98" s="22" t="n">
        <f aca="false">AD102</f>
        <v>99336.0596347059</v>
      </c>
      <c r="AF98" s="22" t="n">
        <f aca="false">AE102</f>
        <v>97406.8129044928</v>
      </c>
      <c r="AG98" s="22" t="n">
        <f aca="false">AF102</f>
        <v>95453.450590152</v>
      </c>
      <c r="AH98" s="22" t="n">
        <f aca="false">AG102</f>
        <v>93475.671246882</v>
      </c>
      <c r="AI98" s="22" t="n">
        <f aca="false">AH102</f>
        <v>91473.1696618211</v>
      </c>
      <c r="AJ98" s="22" t="n">
        <f aca="false">AI102</f>
        <v>89445.636806947</v>
      </c>
      <c r="AK98" s="22" t="n">
        <f aca="false">AJ102</f>
        <v>87392.7597913869</v>
      </c>
      <c r="AL98" s="22" t="n">
        <f aca="false">AK102</f>
        <v>85314.2218131323</v>
      </c>
      <c r="AM98" s="22" t="n">
        <f aca="false">AL102</f>
        <v>83209.7021101496</v>
      </c>
      <c r="AN98" s="22" t="n">
        <f aca="false">AM102</f>
        <v>81078.8759108795</v>
      </c>
      <c r="AO98" s="22" t="n">
        <f aca="false">AN102</f>
        <v>78921.4143841186</v>
      </c>
      <c r="AP98" s="22" t="n">
        <f aca="false">AO102</f>
        <v>76736.9845882732</v>
      </c>
      <c r="AQ98" s="22" t="n">
        <f aca="false">AP102</f>
        <v>74525.2494199797</v>
      </c>
      <c r="AR98" s="22" t="n">
        <f aca="false">AQ102</f>
        <v>72285.8675620825</v>
      </c>
      <c r="AS98" s="22" t="n">
        <f aca="false">AR102</f>
        <v>70018.4934309616</v>
      </c>
      <c r="AT98" s="22" t="n">
        <f aca="false">AS102</f>
        <v>67722.7771232017</v>
      </c>
      <c r="AU98" s="22" t="n">
        <f aca="false">AT102</f>
        <v>65398.3643615948</v>
      </c>
      <c r="AV98" s="22" t="n">
        <f aca="false">AU102</f>
        <v>63044.8964404679</v>
      </c>
      <c r="AW98" s="22" t="n">
        <f aca="false">AV102</f>
        <v>60662.0101703268</v>
      </c>
      <c r="AX98" s="22" t="n">
        <f aca="false">AW102</f>
        <v>58249.337821809</v>
      </c>
      <c r="AY98" s="22" t="n">
        <f aca="false">AX102</f>
        <v>55806.5070689347</v>
      </c>
      <c r="AZ98" s="22" t="n">
        <f aca="false">AY102</f>
        <v>53333.1409316494</v>
      </c>
      <c r="BA98" s="22" t="n">
        <f aca="false">AZ102</f>
        <v>50828.8577176481</v>
      </c>
      <c r="BB98" s="22" t="n">
        <f aca="false">BA102</f>
        <v>48293.2709634718</v>
      </c>
      <c r="BC98" s="22" t="n">
        <f aca="false">BB102</f>
        <v>45725.9893748683</v>
      </c>
      <c r="BD98" s="22" t="n">
        <f aca="false">BC102</f>
        <v>43126.6167664073</v>
      </c>
      <c r="BE98" s="22" t="n">
        <f aca="false">BD102</f>
        <v>40494.7520003404</v>
      </c>
      <c r="BF98" s="22" t="n">
        <f aca="false">BE102</f>
        <v>37829.9889246978</v>
      </c>
      <c r="BG98" s="22" t="n">
        <f aca="false">BF102</f>
        <v>35131.9163106096</v>
      </c>
      <c r="BH98" s="22" t="n">
        <f aca="false">BG102</f>
        <v>32400.1177888453</v>
      </c>
      <c r="BI98" s="22" t="n">
        <f aca="false">BH102</f>
        <v>29634.1717855589</v>
      </c>
      <c r="BJ98" s="22" t="n">
        <f aca="false">BI102</f>
        <v>26833.6514572315</v>
      </c>
      <c r="BK98" s="22" t="n">
        <f aca="false">BJ102</f>
        <v>23998.1246248</v>
      </c>
      <c r="BL98" s="22" t="n">
        <f aca="false">BK102</f>
        <v>21127.1537069631</v>
      </c>
      <c r="BM98" s="22" t="n">
        <f aca="false">BL102</f>
        <v>18220.2956526532</v>
      </c>
      <c r="BN98" s="22" t="n">
        <f aca="false">BM102</f>
        <v>15277.1018726645</v>
      </c>
      <c r="BO98" s="22" t="n">
        <f aca="false">BN102</f>
        <v>12297.1181704259</v>
      </c>
      <c r="BP98" s="22" t="n">
        <f aca="false">BO102</f>
        <v>9279.88467190926</v>
      </c>
      <c r="BQ98" s="22" t="n">
        <f aca="false">BP102</f>
        <v>6224.93575466122</v>
      </c>
      <c r="BR98" s="22" t="n">
        <f aca="false">BQ102</f>
        <v>3131.79997594757</v>
      </c>
      <c r="BS98" s="22" t="n">
        <f aca="false">BR102</f>
        <v>0</v>
      </c>
      <c r="BT98" s="22" t="n">
        <f aca="false">BS102</f>
        <v>0</v>
      </c>
      <c r="BU98" s="22" t="n">
        <f aca="false">BT102</f>
        <v>0</v>
      </c>
      <c r="BV98" s="22" t="n">
        <f aca="false">BU102</f>
        <v>0</v>
      </c>
      <c r="BW98" s="22" t="n">
        <f aca="false">BV102</f>
        <v>0</v>
      </c>
      <c r="BX98" s="22" t="n">
        <f aca="false">BW102</f>
        <v>0</v>
      </c>
      <c r="BY98" s="22" t="n">
        <f aca="false">BX102</f>
        <v>0</v>
      </c>
      <c r="BZ98" s="22" t="n">
        <f aca="false">BY102</f>
        <v>0</v>
      </c>
      <c r="CA98" s="22" t="n">
        <f aca="false">BZ102</f>
        <v>0</v>
      </c>
      <c r="CB98" s="22" t="n">
        <f aca="false">CA102</f>
        <v>0</v>
      </c>
      <c r="CC98" s="22" t="n">
        <f aca="false">CB102</f>
        <v>0</v>
      </c>
      <c r="CD98" s="22" t="n">
        <f aca="false">CC102</f>
        <v>0</v>
      </c>
      <c r="CE98" s="22" t="n">
        <f aca="false">CD102</f>
        <v>0</v>
      </c>
      <c r="CF98" s="22" t="n">
        <f aca="false">CE102</f>
        <v>0</v>
      </c>
      <c r="CG98" s="22" t="n">
        <f aca="false">CF102</f>
        <v>0</v>
      </c>
      <c r="CH98" s="22" t="n">
        <f aca="false">CG102</f>
        <v>0</v>
      </c>
      <c r="CI98" s="22" t="n">
        <f aca="false">CH102</f>
        <v>0</v>
      </c>
      <c r="CJ98" s="22" t="n">
        <f aca="false">CI102</f>
        <v>0</v>
      </c>
      <c r="CK98" s="22" t="n">
        <f aca="false">CJ102</f>
        <v>0</v>
      </c>
      <c r="CL98" s="22" t="n">
        <f aca="false">CK102</f>
        <v>0</v>
      </c>
      <c r="CM98" s="22" t="n">
        <f aca="false">CL102</f>
        <v>0</v>
      </c>
      <c r="CN98" s="22" t="n">
        <f aca="false">CM102</f>
        <v>0</v>
      </c>
      <c r="CO98" s="22" t="n">
        <f aca="false">CN102</f>
        <v>0</v>
      </c>
      <c r="CP98" s="22" t="n">
        <f aca="false">CO102</f>
        <v>0</v>
      </c>
      <c r="CQ98" s="22" t="n">
        <f aca="false">CP102</f>
        <v>0</v>
      </c>
      <c r="CR98" s="22" t="n">
        <f aca="false">CQ102</f>
        <v>0</v>
      </c>
      <c r="CS98" s="22" t="n">
        <f aca="false">CR102</f>
        <v>0</v>
      </c>
      <c r="CT98" s="22" t="n">
        <f aca="false">CS102</f>
        <v>0</v>
      </c>
      <c r="CU98" s="22" t="n">
        <f aca="false">CT102</f>
        <v>0</v>
      </c>
      <c r="CV98" s="22" t="n">
        <f aca="false">CU102</f>
        <v>0</v>
      </c>
      <c r="CW98" s="22" t="n">
        <f aca="false">CV102</f>
        <v>0</v>
      </c>
      <c r="CX98" s="22" t="n">
        <f aca="false">CW102</f>
        <v>0</v>
      </c>
      <c r="CY98" s="22" t="n">
        <f aca="false">CX102</f>
        <v>0</v>
      </c>
      <c r="CZ98" s="22" t="n">
        <f aca="false">CY102</f>
        <v>0</v>
      </c>
      <c r="DA98" s="22" t="n">
        <f aca="false">CZ102</f>
        <v>0</v>
      </c>
      <c r="DB98" s="22" t="n">
        <f aca="false">DA102</f>
        <v>0</v>
      </c>
      <c r="DC98" s="22" t="n">
        <f aca="false">DB102</f>
        <v>0</v>
      </c>
      <c r="DD98" s="22" t="n">
        <f aca="false">DC102</f>
        <v>0</v>
      </c>
      <c r="DE98" s="22" t="n">
        <f aca="false">DD102</f>
        <v>0</v>
      </c>
      <c r="DF98" s="22" t="n">
        <f aca="false">DE102</f>
        <v>0</v>
      </c>
      <c r="DG98" s="22" t="n">
        <f aca="false">DF102</f>
        <v>0</v>
      </c>
      <c r="DH98" s="22" t="n">
        <f aca="false">DG102</f>
        <v>0</v>
      </c>
      <c r="DI98" s="22" t="n">
        <f aca="false">DH102</f>
        <v>0</v>
      </c>
      <c r="DJ98" s="22" t="n">
        <f aca="false">DI102</f>
        <v>0</v>
      </c>
      <c r="DK98" s="22" t="n">
        <f aca="false">DJ102</f>
        <v>0</v>
      </c>
      <c r="DL98" s="22" t="n">
        <f aca="false">DK102</f>
        <v>0</v>
      </c>
      <c r="DM98" s="22" t="n">
        <f aca="false">DL102</f>
        <v>0</v>
      </c>
      <c r="DN98" s="22" t="n">
        <f aca="false">DM102</f>
        <v>0</v>
      </c>
      <c r="DO98" s="22" t="n">
        <f aca="false">DN102</f>
        <v>0</v>
      </c>
      <c r="DP98" s="22" t="n">
        <f aca="false">DO102</f>
        <v>0</v>
      </c>
      <c r="DQ98" s="22" t="n">
        <f aca="false">DP102</f>
        <v>0</v>
      </c>
      <c r="DR98" s="22" t="n">
        <f aca="false">DQ102</f>
        <v>0</v>
      </c>
      <c r="DS98" s="22" t="n">
        <f aca="false">DR102</f>
        <v>0</v>
      </c>
      <c r="DT98" s="22" t="n">
        <f aca="false">DS102</f>
        <v>0</v>
      </c>
      <c r="DU98" s="22" t="n">
        <f aca="false">DT102</f>
        <v>0</v>
      </c>
      <c r="DV98" s="22" t="n">
        <f aca="false">DU102</f>
        <v>0</v>
      </c>
      <c r="DW98" s="22" t="n">
        <f aca="false">DV102</f>
        <v>0</v>
      </c>
      <c r="DX98" s="22" t="n">
        <f aca="false">DW102</f>
        <v>0</v>
      </c>
      <c r="DY98" s="22" t="n">
        <f aca="false">DX102</f>
        <v>0</v>
      </c>
      <c r="DZ98" s="22" t="n">
        <f aca="false">DY102</f>
        <v>0</v>
      </c>
      <c r="EA98" s="22" t="n">
        <f aca="false">DZ102</f>
        <v>0</v>
      </c>
      <c r="EB98" s="22" t="n">
        <f aca="false">EA102</f>
        <v>0</v>
      </c>
      <c r="EC98" s="22" t="n">
        <f aca="false">EB102</f>
        <v>0</v>
      </c>
      <c r="ED98" s="22" t="n">
        <f aca="false">EC102</f>
        <v>0</v>
      </c>
      <c r="EE98" s="22" t="n">
        <f aca="false">ED102</f>
        <v>0</v>
      </c>
      <c r="EF98" s="22" t="n">
        <f aca="false">EE102</f>
        <v>0</v>
      </c>
      <c r="EG98" s="22" t="n">
        <f aca="false">EF102</f>
        <v>0</v>
      </c>
      <c r="EH98" s="22" t="n">
        <f aca="false">EG102</f>
        <v>0</v>
      </c>
      <c r="EI98" s="22" t="n">
        <f aca="false">EH102</f>
        <v>0</v>
      </c>
      <c r="EJ98" s="22" t="n">
        <f aca="false">EI102</f>
        <v>0</v>
      </c>
      <c r="EK98" s="22" t="n">
        <f aca="false">EJ102</f>
        <v>0</v>
      </c>
      <c r="EL98" s="22" t="n">
        <f aca="false">EK102</f>
        <v>0</v>
      </c>
      <c r="EM98" s="22" t="n">
        <f aca="false">EL102</f>
        <v>0</v>
      </c>
      <c r="EN98" s="22" t="n">
        <f aca="false">EM102</f>
        <v>0</v>
      </c>
      <c r="EO98" s="22" t="n">
        <f aca="false">EN102</f>
        <v>0</v>
      </c>
      <c r="EP98" s="22" t="n">
        <f aca="false">EO102</f>
        <v>0</v>
      </c>
      <c r="EQ98" s="22" t="n">
        <f aca="false">EP102</f>
        <v>0</v>
      </c>
      <c r="ER98" s="22" t="n">
        <f aca="false">EQ102</f>
        <v>0</v>
      </c>
      <c r="ES98" s="22" t="n">
        <f aca="false">ER102</f>
        <v>0</v>
      </c>
      <c r="ET98" s="22" t="n">
        <f aca="false">ES102</f>
        <v>0</v>
      </c>
    </row>
    <row r="99" customFormat="false" ht="15" hidden="false" customHeight="false" outlineLevel="0" collapsed="false">
      <c r="C99" s="0" t="s">
        <v>556</v>
      </c>
      <c r="D99" s="11" t="s">
        <v>253</v>
      </c>
      <c r="E99" s="33" t="n">
        <f aca="false">-IF(In_CN_Turbine=1,In_Gearing_CN,In_Gearing)*($I95+$I53+$I96)</f>
        <v>95072.6324449315</v>
      </c>
      <c r="I99" s="33" t="n">
        <f aca="false">SUM(J99:ET99)</f>
        <v>95072.6324449315</v>
      </c>
      <c r="J99" s="33" t="n">
        <f aca="false">$E99*J13</f>
        <v>0</v>
      </c>
      <c r="K99" s="33" t="n">
        <f aca="false">$E99*K13</f>
        <v>0</v>
      </c>
      <c r="L99" s="33" t="n">
        <f aca="false">$E99*L13</f>
        <v>0</v>
      </c>
      <c r="M99" s="33" t="n">
        <f aca="false">$E99*M13</f>
        <v>0</v>
      </c>
      <c r="N99" s="33" t="n">
        <f aca="false">$E99*N13</f>
        <v>0</v>
      </c>
      <c r="O99" s="33" t="n">
        <f aca="false">$E99*O13</f>
        <v>0</v>
      </c>
      <c r="P99" s="33" t="n">
        <f aca="false">$E99*P13</f>
        <v>0</v>
      </c>
      <c r="Q99" s="33" t="n">
        <f aca="false">$E99*Q13</f>
        <v>0</v>
      </c>
      <c r="R99" s="33" t="n">
        <f aca="false">$E99*R13</f>
        <v>0</v>
      </c>
      <c r="S99" s="33" t="n">
        <f aca="false">$E99*S13</f>
        <v>0</v>
      </c>
      <c r="T99" s="33" t="n">
        <f aca="false">$E99*T13</f>
        <v>0</v>
      </c>
      <c r="U99" s="33" t="n">
        <f aca="false">$E99*U13</f>
        <v>0</v>
      </c>
      <c r="V99" s="33" t="n">
        <f aca="false">$E99*V13</f>
        <v>0</v>
      </c>
      <c r="W99" s="33" t="n">
        <f aca="false">$E99*W13</f>
        <v>11981.7564177174</v>
      </c>
      <c r="X99" s="33" t="n">
        <f aca="false">$E99*X13</f>
        <v>11721.2834521148</v>
      </c>
      <c r="Y99" s="33" t="n">
        <f aca="false">$E99*Y13</f>
        <v>11851.5199349161</v>
      </c>
      <c r="Z99" s="33" t="n">
        <f aca="false">$E99*Z13</f>
        <v>11981.7564177174</v>
      </c>
      <c r="AA99" s="33" t="n">
        <f aca="false">$E99*AA13</f>
        <v>11981.7564177174</v>
      </c>
      <c r="AB99" s="33" t="n">
        <f aca="false">$E99*AB13</f>
        <v>11721.2834521148</v>
      </c>
      <c r="AC99" s="33" t="n">
        <f aca="false">$E99*AC13</f>
        <v>11851.5199349161</v>
      </c>
      <c r="AD99" s="33" t="n">
        <f aca="false">$E99*AD13</f>
        <v>11981.7564177174</v>
      </c>
      <c r="AE99" s="33" t="n">
        <f aca="false">$E99*AE13</f>
        <v>0</v>
      </c>
      <c r="AF99" s="33" t="n">
        <f aca="false">$E99*AF13</f>
        <v>0</v>
      </c>
      <c r="AG99" s="33" t="n">
        <f aca="false">$E99*AG13</f>
        <v>0</v>
      </c>
      <c r="AH99" s="33" t="n">
        <f aca="false">$E99*AH13</f>
        <v>0</v>
      </c>
      <c r="AI99" s="33" t="n">
        <f aca="false">$E99*AI13</f>
        <v>0</v>
      </c>
      <c r="AJ99" s="33" t="n">
        <f aca="false">$E99*AJ13</f>
        <v>0</v>
      </c>
      <c r="AK99" s="33" t="n">
        <f aca="false">$E99*AK13</f>
        <v>0</v>
      </c>
      <c r="AL99" s="33" t="n">
        <f aca="false">$E99*AL13</f>
        <v>0</v>
      </c>
      <c r="AM99" s="33" t="n">
        <f aca="false">$E99*AM13</f>
        <v>0</v>
      </c>
      <c r="AN99" s="33" t="n">
        <f aca="false">$E99*AN13</f>
        <v>0</v>
      </c>
      <c r="AO99" s="33" t="n">
        <f aca="false">$E99*AO13</f>
        <v>0</v>
      </c>
      <c r="AP99" s="33" t="n">
        <f aca="false">$E99*AP13</f>
        <v>0</v>
      </c>
      <c r="AQ99" s="33" t="n">
        <f aca="false">$E99*AQ13</f>
        <v>0</v>
      </c>
      <c r="AR99" s="33" t="n">
        <f aca="false">$E99*AR13</f>
        <v>0</v>
      </c>
      <c r="AS99" s="33" t="n">
        <f aca="false">$E99*AS13</f>
        <v>0</v>
      </c>
      <c r="AT99" s="33" t="n">
        <f aca="false">$E99*AT13</f>
        <v>0</v>
      </c>
      <c r="AU99" s="33" t="n">
        <f aca="false">$E99*AU13</f>
        <v>0</v>
      </c>
      <c r="AV99" s="33" t="n">
        <f aca="false">$E99*AV13</f>
        <v>0</v>
      </c>
      <c r="AW99" s="33" t="n">
        <f aca="false">$E99*AW13</f>
        <v>0</v>
      </c>
      <c r="AX99" s="33" t="n">
        <f aca="false">$E99*AX13</f>
        <v>0</v>
      </c>
      <c r="AY99" s="33" t="n">
        <f aca="false">$E99*AY13</f>
        <v>0</v>
      </c>
      <c r="AZ99" s="33" t="n">
        <f aca="false">$E99*AZ13</f>
        <v>0</v>
      </c>
      <c r="BA99" s="33" t="n">
        <f aca="false">$E99*BA13</f>
        <v>0</v>
      </c>
      <c r="BB99" s="33" t="n">
        <f aca="false">$E99*BB13</f>
        <v>0</v>
      </c>
      <c r="BC99" s="33" t="n">
        <f aca="false">$E99*BC13</f>
        <v>0</v>
      </c>
      <c r="BD99" s="33" t="n">
        <f aca="false">$E99*BD13</f>
        <v>0</v>
      </c>
      <c r="BE99" s="33" t="n">
        <f aca="false">$E99*BE13</f>
        <v>0</v>
      </c>
      <c r="BF99" s="33" t="n">
        <f aca="false">$E99*BF13</f>
        <v>0</v>
      </c>
      <c r="BG99" s="33" t="n">
        <f aca="false">$E99*BG13</f>
        <v>0</v>
      </c>
      <c r="BH99" s="33" t="n">
        <f aca="false">$E99*BH13</f>
        <v>0</v>
      </c>
      <c r="BI99" s="33" t="n">
        <f aca="false">$E99*BI13</f>
        <v>0</v>
      </c>
      <c r="BJ99" s="33" t="n">
        <f aca="false">$E99*BJ13</f>
        <v>0</v>
      </c>
      <c r="BK99" s="33" t="n">
        <f aca="false">$E99*BK13</f>
        <v>0</v>
      </c>
      <c r="BL99" s="33" t="n">
        <f aca="false">$E99*BL13</f>
        <v>0</v>
      </c>
      <c r="BM99" s="33" t="n">
        <f aca="false">$E99*BM13</f>
        <v>0</v>
      </c>
      <c r="BN99" s="33" t="n">
        <f aca="false">$E99*BN13</f>
        <v>0</v>
      </c>
      <c r="BO99" s="33" t="n">
        <f aca="false">$E99*BO13</f>
        <v>0</v>
      </c>
      <c r="BP99" s="33" t="n">
        <f aca="false">$E99*BP13</f>
        <v>0</v>
      </c>
      <c r="BQ99" s="33" t="n">
        <f aca="false">$E99*BQ13</f>
        <v>0</v>
      </c>
      <c r="BR99" s="33" t="n">
        <f aca="false">$E99*BR13</f>
        <v>0</v>
      </c>
      <c r="BS99" s="33" t="n">
        <f aca="false">$E99*BS13</f>
        <v>0</v>
      </c>
      <c r="BT99" s="33" t="n">
        <f aca="false">$E99*BT13</f>
        <v>0</v>
      </c>
      <c r="BU99" s="33" t="n">
        <f aca="false">$E99*BU13</f>
        <v>0</v>
      </c>
      <c r="BV99" s="33" t="n">
        <f aca="false">$E99*BV13</f>
        <v>0</v>
      </c>
      <c r="BW99" s="33" t="n">
        <f aca="false">$E99*BW13</f>
        <v>0</v>
      </c>
      <c r="BX99" s="33" t="n">
        <f aca="false">$E99*BX13</f>
        <v>0</v>
      </c>
      <c r="BY99" s="33" t="n">
        <f aca="false">$E99*BY13</f>
        <v>0</v>
      </c>
      <c r="BZ99" s="33" t="n">
        <f aca="false">$E99*BZ13</f>
        <v>0</v>
      </c>
      <c r="CA99" s="33" t="n">
        <f aca="false">$E99*CA13</f>
        <v>0</v>
      </c>
      <c r="CB99" s="33" t="n">
        <f aca="false">$E99*CB13</f>
        <v>0</v>
      </c>
      <c r="CC99" s="33" t="n">
        <f aca="false">$E99*CC13</f>
        <v>0</v>
      </c>
      <c r="CD99" s="33" t="n">
        <f aca="false">$E99*CD13</f>
        <v>0</v>
      </c>
      <c r="CE99" s="33" t="n">
        <f aca="false">$E99*CE13</f>
        <v>0</v>
      </c>
      <c r="CF99" s="33" t="n">
        <f aca="false">$E99*CF13</f>
        <v>0</v>
      </c>
      <c r="CG99" s="33" t="n">
        <f aca="false">$E99*CG13</f>
        <v>0</v>
      </c>
      <c r="CH99" s="33" t="n">
        <f aca="false">$E99*CH13</f>
        <v>0</v>
      </c>
      <c r="CI99" s="33" t="n">
        <f aca="false">$E99*CI13</f>
        <v>0</v>
      </c>
      <c r="CJ99" s="33" t="n">
        <f aca="false">$E99*CJ13</f>
        <v>0</v>
      </c>
      <c r="CK99" s="33" t="n">
        <f aca="false">$E99*CK13</f>
        <v>0</v>
      </c>
      <c r="CL99" s="33" t="n">
        <f aca="false">$E99*CL13</f>
        <v>0</v>
      </c>
      <c r="CM99" s="33" t="n">
        <f aca="false">$E99*CM13</f>
        <v>0</v>
      </c>
      <c r="CN99" s="33" t="n">
        <f aca="false">$E99*CN13</f>
        <v>0</v>
      </c>
      <c r="CO99" s="33" t="n">
        <f aca="false">$E99*CO13</f>
        <v>0</v>
      </c>
      <c r="CP99" s="33" t="n">
        <f aca="false">$E99*CP13</f>
        <v>0</v>
      </c>
      <c r="CQ99" s="33" t="n">
        <f aca="false">$E99*CQ13</f>
        <v>0</v>
      </c>
      <c r="CR99" s="33" t="n">
        <f aca="false">$E99*CR13</f>
        <v>0</v>
      </c>
      <c r="CS99" s="33" t="n">
        <f aca="false">$E99*CS13</f>
        <v>0</v>
      </c>
      <c r="CT99" s="33" t="n">
        <f aca="false">$E99*CT13</f>
        <v>0</v>
      </c>
      <c r="CU99" s="33" t="n">
        <f aca="false">$E99*CU13</f>
        <v>0</v>
      </c>
      <c r="CV99" s="33" t="n">
        <f aca="false">$E99*CV13</f>
        <v>0</v>
      </c>
      <c r="CW99" s="33" t="n">
        <f aca="false">$E99*CW13</f>
        <v>0</v>
      </c>
      <c r="CX99" s="33" t="n">
        <f aca="false">$E99*CX13</f>
        <v>0</v>
      </c>
      <c r="CY99" s="33" t="n">
        <f aca="false">$E99*CY13</f>
        <v>0</v>
      </c>
      <c r="CZ99" s="33" t="n">
        <f aca="false">$E99*CZ13</f>
        <v>0</v>
      </c>
      <c r="DA99" s="33" t="n">
        <f aca="false">$E99*DA13</f>
        <v>0</v>
      </c>
      <c r="DB99" s="33" t="n">
        <f aca="false">$E99*DB13</f>
        <v>0</v>
      </c>
      <c r="DC99" s="33" t="n">
        <f aca="false">$E99*DC13</f>
        <v>0</v>
      </c>
      <c r="DD99" s="33" t="n">
        <f aca="false">$E99*DD13</f>
        <v>0</v>
      </c>
      <c r="DE99" s="33" t="n">
        <f aca="false">$E99*DE13</f>
        <v>0</v>
      </c>
      <c r="DF99" s="33" t="n">
        <f aca="false">$E99*DF13</f>
        <v>0</v>
      </c>
      <c r="DG99" s="33" t="n">
        <f aca="false">$E99*DG13</f>
        <v>0</v>
      </c>
      <c r="DH99" s="33" t="n">
        <f aca="false">$E99*DH13</f>
        <v>0</v>
      </c>
      <c r="DI99" s="33" t="n">
        <f aca="false">$E99*DI13</f>
        <v>0</v>
      </c>
      <c r="DJ99" s="33" t="n">
        <f aca="false">$E99*DJ13</f>
        <v>0</v>
      </c>
      <c r="DK99" s="33" t="n">
        <f aca="false">$E99*DK13</f>
        <v>0</v>
      </c>
      <c r="DL99" s="33" t="n">
        <f aca="false">$E99*DL13</f>
        <v>0</v>
      </c>
      <c r="DM99" s="33" t="n">
        <f aca="false">$E99*DM13</f>
        <v>0</v>
      </c>
      <c r="DN99" s="33" t="n">
        <f aca="false">$E99*DN13</f>
        <v>0</v>
      </c>
      <c r="DO99" s="33" t="n">
        <f aca="false">$E99*DO13</f>
        <v>0</v>
      </c>
      <c r="DP99" s="33" t="n">
        <f aca="false">$E99*DP13</f>
        <v>0</v>
      </c>
      <c r="DQ99" s="33" t="n">
        <f aca="false">$E99*DQ13</f>
        <v>0</v>
      </c>
      <c r="DR99" s="33" t="n">
        <f aca="false">$E99*DR13</f>
        <v>0</v>
      </c>
      <c r="DS99" s="33" t="n">
        <f aca="false">$E99*DS13</f>
        <v>0</v>
      </c>
      <c r="DT99" s="33" t="n">
        <f aca="false">$E99*DT13</f>
        <v>0</v>
      </c>
      <c r="DU99" s="33" t="n">
        <f aca="false">$E99*DU13</f>
        <v>0</v>
      </c>
      <c r="DV99" s="33" t="n">
        <f aca="false">$E99*DV13</f>
        <v>0</v>
      </c>
      <c r="DW99" s="33" t="n">
        <f aca="false">$E99*DW13</f>
        <v>0</v>
      </c>
      <c r="DX99" s="33" t="n">
        <f aca="false">$E99*DX13</f>
        <v>0</v>
      </c>
      <c r="DY99" s="33" t="n">
        <f aca="false">$E99*DY13</f>
        <v>0</v>
      </c>
      <c r="DZ99" s="33" t="n">
        <f aca="false">$E99*DZ13</f>
        <v>0</v>
      </c>
      <c r="EA99" s="33" t="n">
        <f aca="false">$E99*EA13</f>
        <v>0</v>
      </c>
      <c r="EB99" s="33" t="n">
        <f aca="false">$E99*EB13</f>
        <v>0</v>
      </c>
      <c r="EC99" s="33" t="n">
        <f aca="false">$E99*EC13</f>
        <v>0</v>
      </c>
      <c r="ED99" s="33" t="n">
        <f aca="false">$E99*ED13</f>
        <v>0</v>
      </c>
      <c r="EE99" s="33" t="n">
        <f aca="false">$E99*EE13</f>
        <v>0</v>
      </c>
      <c r="EF99" s="33" t="n">
        <f aca="false">$E99*EF13</f>
        <v>0</v>
      </c>
      <c r="EG99" s="33" t="n">
        <f aca="false">$E99*EG13</f>
        <v>0</v>
      </c>
      <c r="EH99" s="33" t="n">
        <f aca="false">$E99*EH13</f>
        <v>0</v>
      </c>
      <c r="EI99" s="33" t="n">
        <f aca="false">$E99*EI13</f>
        <v>0</v>
      </c>
      <c r="EJ99" s="33" t="n">
        <f aca="false">$E99*EJ13</f>
        <v>0</v>
      </c>
      <c r="EK99" s="33" t="n">
        <f aca="false">$E99*EK13</f>
        <v>0</v>
      </c>
      <c r="EL99" s="33" t="n">
        <f aca="false">$E99*EL13</f>
        <v>0</v>
      </c>
      <c r="EM99" s="33" t="n">
        <f aca="false">$E99*EM13</f>
        <v>0</v>
      </c>
      <c r="EN99" s="33" t="n">
        <f aca="false">$E99*EN13</f>
        <v>0</v>
      </c>
      <c r="EO99" s="33" t="n">
        <f aca="false">$E99*EO13</f>
        <v>0</v>
      </c>
      <c r="EP99" s="33" t="n">
        <f aca="false">$E99*EP13</f>
        <v>0</v>
      </c>
      <c r="EQ99" s="33" t="n">
        <f aca="false">$E99*EQ13</f>
        <v>0</v>
      </c>
      <c r="ER99" s="33" t="n">
        <f aca="false">$E99*ER13</f>
        <v>0</v>
      </c>
      <c r="ES99" s="33" t="n">
        <f aca="false">$E99*ES13</f>
        <v>0</v>
      </c>
      <c r="ET99" s="33" t="n">
        <f aca="false">$E99*ET13</f>
        <v>0</v>
      </c>
    </row>
    <row r="100" customFormat="false" ht="15" hidden="false" customHeight="false" outlineLevel="0" collapsed="false">
      <c r="C100" s="0" t="s">
        <v>557</v>
      </c>
      <c r="D100" s="11" t="s">
        <v>253</v>
      </c>
      <c r="F100" s="53" t="n">
        <f aca="false">In_Debt_Rate*Months_Per_Period/Months_In_Year</f>
        <v>0.0125</v>
      </c>
      <c r="I100" s="33" t="n">
        <f aca="false">SUM(J100:ET100)</f>
        <v>4263.42718977436</v>
      </c>
      <c r="J100" s="33" t="n">
        <f aca="false">J98*$F100*(J$4&lt;=In_COD)</f>
        <v>0</v>
      </c>
      <c r="K100" s="33" t="n">
        <f aca="false">K98*$F100*(K$4&lt;=In_COD)</f>
        <v>0</v>
      </c>
      <c r="L100" s="33" t="n">
        <f aca="false">L98*$F100*(L$4&lt;=In_COD)</f>
        <v>0</v>
      </c>
      <c r="M100" s="33" t="n">
        <f aca="false">M98*$F100*(M$4&lt;=In_COD)</f>
        <v>0</v>
      </c>
      <c r="N100" s="33" t="n">
        <f aca="false">N98*$F100*(N$4&lt;=In_COD)</f>
        <v>0</v>
      </c>
      <c r="O100" s="33" t="n">
        <f aca="false">O98*$F100*(O$4&lt;=In_COD)</f>
        <v>0</v>
      </c>
      <c r="P100" s="33" t="n">
        <f aca="false">P98*$F100*(P$4&lt;=In_COD)</f>
        <v>0</v>
      </c>
      <c r="Q100" s="33" t="n">
        <f aca="false">Q98*$F100*(Q$4&lt;=In_COD)</f>
        <v>0</v>
      </c>
      <c r="R100" s="33" t="n">
        <f aca="false">R98*$F100*(R$4&lt;=In_COD)</f>
        <v>0</v>
      </c>
      <c r="S100" s="33" t="n">
        <f aca="false">S98*$F100*(S$4&lt;=In_COD)</f>
        <v>0</v>
      </c>
      <c r="T100" s="33" t="n">
        <f aca="false">T98*$F100*(T$4&lt;=In_COD)</f>
        <v>0</v>
      </c>
      <c r="U100" s="33" t="n">
        <f aca="false">U98*$F100*(U$4&lt;=In_COD)</f>
        <v>0</v>
      </c>
      <c r="V100" s="33" t="n">
        <f aca="false">V98*$F100*(V$4&lt;=In_COD)</f>
        <v>0</v>
      </c>
      <c r="W100" s="33" t="n">
        <f aca="false">W98*$F100*(W$4&lt;=In_COD)</f>
        <v>0</v>
      </c>
      <c r="X100" s="33" t="n">
        <f aca="false">X98*$F100*(X$4&lt;=In_COD)</f>
        <v>149.771955221468</v>
      </c>
      <c r="Y100" s="33" t="n">
        <f aca="false">Y98*$F100*(Y$4&lt;=In_COD)</f>
        <v>298.160147813171</v>
      </c>
      <c r="Z100" s="33" t="n">
        <f aca="false">Z98*$F100*(Z$4&lt;=In_COD)</f>
        <v>450.031148847288</v>
      </c>
      <c r="AA100" s="33" t="n">
        <f aca="false">AA98*$F100*(AA$4&lt;=In_COD)</f>
        <v>605.428493429346</v>
      </c>
      <c r="AB100" s="33" t="n">
        <f aca="false">AB98*$F100*(AB$4&lt;=In_COD)</f>
        <v>762.768304818681</v>
      </c>
      <c r="AC100" s="33" t="n">
        <f aca="false">AC98*$F100*(AC$4&lt;=In_COD)</f>
        <v>918.81895178035</v>
      </c>
      <c r="AD100" s="33" t="n">
        <f aca="false">AD98*$F100*(AD$4&lt;=In_COD)</f>
        <v>1078.44818786406</v>
      </c>
      <c r="AE100" s="33" t="n">
        <f aca="false">AE98*$F100*(AE$4&lt;=In_COD)</f>
        <v>0</v>
      </c>
      <c r="AF100" s="33" t="n">
        <f aca="false">AF98*$F100*(AF$4&lt;=In_COD)</f>
        <v>0</v>
      </c>
      <c r="AG100" s="33" t="n">
        <f aca="false">AG98*$F100*(AG$4&lt;=In_COD)</f>
        <v>0</v>
      </c>
      <c r="AH100" s="33" t="n">
        <f aca="false">AH98*$F100*(AH$4&lt;=In_COD)</f>
        <v>0</v>
      </c>
      <c r="AI100" s="33" t="n">
        <f aca="false">AI98*$F100*(AI$4&lt;=In_COD)</f>
        <v>0</v>
      </c>
      <c r="AJ100" s="33" t="n">
        <f aca="false">AJ98*$F100*(AJ$4&lt;=In_COD)</f>
        <v>0</v>
      </c>
      <c r="AK100" s="33" t="n">
        <f aca="false">AK98*$F100*(AK$4&lt;=In_COD)</f>
        <v>0</v>
      </c>
      <c r="AL100" s="33" t="n">
        <f aca="false">AL98*$F100*(AL$4&lt;=In_COD)</f>
        <v>0</v>
      </c>
      <c r="AM100" s="33" t="n">
        <f aca="false">AM98*$F100*(AM$4&lt;=In_COD)</f>
        <v>0</v>
      </c>
      <c r="AN100" s="33" t="n">
        <f aca="false">AN98*$F100*(AN$4&lt;=In_COD)</f>
        <v>0</v>
      </c>
      <c r="AO100" s="33" t="n">
        <f aca="false">AO98*$F100*(AO$4&lt;=In_COD)</f>
        <v>0</v>
      </c>
      <c r="AP100" s="33" t="n">
        <f aca="false">AP98*$F100*(AP$4&lt;=In_COD)</f>
        <v>0</v>
      </c>
      <c r="AQ100" s="33" t="n">
        <f aca="false">AQ98*$F100*(AQ$4&lt;=In_COD)</f>
        <v>0</v>
      </c>
      <c r="AR100" s="33" t="n">
        <f aca="false">AR98*$F100*(AR$4&lt;=In_COD)</f>
        <v>0</v>
      </c>
      <c r="AS100" s="33" t="n">
        <f aca="false">AS98*$F100*(AS$4&lt;=In_COD)</f>
        <v>0</v>
      </c>
      <c r="AT100" s="33" t="n">
        <f aca="false">AT98*$F100*(AT$4&lt;=In_COD)</f>
        <v>0</v>
      </c>
      <c r="AU100" s="33" t="n">
        <f aca="false">AU98*$F100*(AU$4&lt;=In_COD)</f>
        <v>0</v>
      </c>
      <c r="AV100" s="33" t="n">
        <f aca="false">AV98*$F100*(AV$4&lt;=In_COD)</f>
        <v>0</v>
      </c>
      <c r="AW100" s="33" t="n">
        <f aca="false">AW98*$F100*(AW$4&lt;=In_COD)</f>
        <v>0</v>
      </c>
      <c r="AX100" s="33" t="n">
        <f aca="false">AX98*$F100*(AX$4&lt;=In_COD)</f>
        <v>0</v>
      </c>
      <c r="AY100" s="33" t="n">
        <f aca="false">AY98*$F100*(AY$4&lt;=In_COD)</f>
        <v>0</v>
      </c>
      <c r="AZ100" s="33" t="n">
        <f aca="false">AZ98*$F100*(AZ$4&lt;=In_COD)</f>
        <v>0</v>
      </c>
      <c r="BA100" s="33" t="n">
        <f aca="false">BA98*$F100*(BA$4&lt;=In_COD)</f>
        <v>0</v>
      </c>
      <c r="BB100" s="33" t="n">
        <f aca="false">BB98*$F100*(BB$4&lt;=In_COD)</f>
        <v>0</v>
      </c>
      <c r="BC100" s="33" t="n">
        <f aca="false">BC98*$F100*(BC$4&lt;=In_COD)</f>
        <v>0</v>
      </c>
      <c r="BD100" s="33" t="n">
        <f aca="false">BD98*$F100*(BD$4&lt;=In_COD)</f>
        <v>0</v>
      </c>
      <c r="BE100" s="33" t="n">
        <f aca="false">BE98*$F100*(BE$4&lt;=In_COD)</f>
        <v>0</v>
      </c>
      <c r="BF100" s="33" t="n">
        <f aca="false">BF98*$F100*(BF$4&lt;=In_COD)</f>
        <v>0</v>
      </c>
      <c r="BG100" s="33" t="n">
        <f aca="false">BG98*$F100*(BG$4&lt;=In_COD)</f>
        <v>0</v>
      </c>
      <c r="BH100" s="33" t="n">
        <f aca="false">BH98*$F100*(BH$4&lt;=In_COD)</f>
        <v>0</v>
      </c>
      <c r="BI100" s="33" t="n">
        <f aca="false">BI98*$F100*(BI$4&lt;=In_COD)</f>
        <v>0</v>
      </c>
      <c r="BJ100" s="33" t="n">
        <f aca="false">BJ98*$F100*(BJ$4&lt;=In_COD)</f>
        <v>0</v>
      </c>
      <c r="BK100" s="33" t="n">
        <f aca="false">BK98*$F100*(BK$4&lt;=In_COD)</f>
        <v>0</v>
      </c>
      <c r="BL100" s="33" t="n">
        <f aca="false">BL98*$F100*(BL$4&lt;=In_COD)</f>
        <v>0</v>
      </c>
      <c r="BM100" s="33" t="n">
        <f aca="false">BM98*$F100*(BM$4&lt;=In_COD)</f>
        <v>0</v>
      </c>
      <c r="BN100" s="33" t="n">
        <f aca="false">BN98*$F100*(BN$4&lt;=In_COD)</f>
        <v>0</v>
      </c>
      <c r="BO100" s="33" t="n">
        <f aca="false">BO98*$F100*(BO$4&lt;=In_COD)</f>
        <v>0</v>
      </c>
      <c r="BP100" s="33" t="n">
        <f aca="false">BP98*$F100*(BP$4&lt;=In_COD)</f>
        <v>0</v>
      </c>
      <c r="BQ100" s="33" t="n">
        <f aca="false">BQ98*$F100*(BQ$4&lt;=In_COD)</f>
        <v>0</v>
      </c>
      <c r="BR100" s="33" t="n">
        <f aca="false">BR98*$F100*(BR$4&lt;=In_COD)</f>
        <v>0</v>
      </c>
      <c r="BS100" s="33" t="n">
        <f aca="false">BS98*$F100*(BS$4&lt;=In_COD)</f>
        <v>0</v>
      </c>
      <c r="BT100" s="33" t="n">
        <f aca="false">BT98*$F100*(BT$4&lt;=In_COD)</f>
        <v>0</v>
      </c>
      <c r="BU100" s="33" t="n">
        <f aca="false">BU98*$F100*(BU$4&lt;=In_COD)</f>
        <v>0</v>
      </c>
      <c r="BV100" s="33" t="n">
        <f aca="false">BV98*$F100*(BV$4&lt;=In_COD)</f>
        <v>0</v>
      </c>
      <c r="BW100" s="33" t="n">
        <f aca="false">BW98*$F100*(BW$4&lt;=In_COD)</f>
        <v>0</v>
      </c>
      <c r="BX100" s="33" t="n">
        <f aca="false">BX98*$F100*(BX$4&lt;=In_COD)</f>
        <v>0</v>
      </c>
      <c r="BY100" s="33" t="n">
        <f aca="false">BY98*$F100*(BY$4&lt;=In_COD)</f>
        <v>0</v>
      </c>
      <c r="BZ100" s="33" t="n">
        <f aca="false">BZ98*$F100*(BZ$4&lt;=In_COD)</f>
        <v>0</v>
      </c>
      <c r="CA100" s="33" t="n">
        <f aca="false">CA98*$F100*(CA$4&lt;=In_COD)</f>
        <v>0</v>
      </c>
      <c r="CB100" s="33" t="n">
        <f aca="false">CB98*$F100*(CB$4&lt;=In_COD)</f>
        <v>0</v>
      </c>
      <c r="CC100" s="33" t="n">
        <f aca="false">CC98*$F100*(CC$4&lt;=In_COD)</f>
        <v>0</v>
      </c>
      <c r="CD100" s="33" t="n">
        <f aca="false">CD98*$F100*(CD$4&lt;=In_COD)</f>
        <v>0</v>
      </c>
      <c r="CE100" s="33" t="n">
        <f aca="false">CE98*$F100*(CE$4&lt;=In_COD)</f>
        <v>0</v>
      </c>
      <c r="CF100" s="33" t="n">
        <f aca="false">CF98*$F100*(CF$4&lt;=In_COD)</f>
        <v>0</v>
      </c>
      <c r="CG100" s="33" t="n">
        <f aca="false">CG98*$F100*(CG$4&lt;=In_COD)</f>
        <v>0</v>
      </c>
      <c r="CH100" s="33" t="n">
        <f aca="false">CH98*$F100*(CH$4&lt;=In_COD)</f>
        <v>0</v>
      </c>
      <c r="CI100" s="33" t="n">
        <f aca="false">CI98*$F100*(CI$4&lt;=In_COD)</f>
        <v>0</v>
      </c>
      <c r="CJ100" s="33" t="n">
        <f aca="false">CJ98*$F100*(CJ$4&lt;=In_COD)</f>
        <v>0</v>
      </c>
      <c r="CK100" s="33" t="n">
        <f aca="false">CK98*$F100*(CK$4&lt;=In_COD)</f>
        <v>0</v>
      </c>
      <c r="CL100" s="33" t="n">
        <f aca="false">CL98*$F100*(CL$4&lt;=In_COD)</f>
        <v>0</v>
      </c>
      <c r="CM100" s="33" t="n">
        <f aca="false">CM98*$F100*(CM$4&lt;=In_COD)</f>
        <v>0</v>
      </c>
      <c r="CN100" s="33" t="n">
        <f aca="false">CN98*$F100*(CN$4&lt;=In_COD)</f>
        <v>0</v>
      </c>
      <c r="CO100" s="33" t="n">
        <f aca="false">CO98*$F100*(CO$4&lt;=In_COD)</f>
        <v>0</v>
      </c>
      <c r="CP100" s="33" t="n">
        <f aca="false">CP98*$F100*(CP$4&lt;=In_COD)</f>
        <v>0</v>
      </c>
      <c r="CQ100" s="33" t="n">
        <f aca="false">CQ98*$F100*(CQ$4&lt;=In_COD)</f>
        <v>0</v>
      </c>
      <c r="CR100" s="33" t="n">
        <f aca="false">CR98*$F100*(CR$4&lt;=In_COD)</f>
        <v>0</v>
      </c>
      <c r="CS100" s="33" t="n">
        <f aca="false">CS98*$F100*(CS$4&lt;=In_COD)</f>
        <v>0</v>
      </c>
      <c r="CT100" s="33" t="n">
        <f aca="false">CT98*$F100*(CT$4&lt;=In_COD)</f>
        <v>0</v>
      </c>
      <c r="CU100" s="33" t="n">
        <f aca="false">CU98*$F100*(CU$4&lt;=In_COD)</f>
        <v>0</v>
      </c>
      <c r="CV100" s="33" t="n">
        <f aca="false">CV98*$F100*(CV$4&lt;=In_COD)</f>
        <v>0</v>
      </c>
      <c r="CW100" s="33" t="n">
        <f aca="false">CW98*$F100*(CW$4&lt;=In_COD)</f>
        <v>0</v>
      </c>
      <c r="CX100" s="33" t="n">
        <f aca="false">CX98*$F100*(CX$4&lt;=In_COD)</f>
        <v>0</v>
      </c>
      <c r="CY100" s="33" t="n">
        <f aca="false">CY98*$F100*(CY$4&lt;=In_COD)</f>
        <v>0</v>
      </c>
      <c r="CZ100" s="33" t="n">
        <f aca="false">CZ98*$F100*(CZ$4&lt;=In_COD)</f>
        <v>0</v>
      </c>
      <c r="DA100" s="33" t="n">
        <f aca="false">DA98*$F100*(DA$4&lt;=In_COD)</f>
        <v>0</v>
      </c>
      <c r="DB100" s="33" t="n">
        <f aca="false">DB98*$F100*(DB$4&lt;=In_COD)</f>
        <v>0</v>
      </c>
      <c r="DC100" s="33" t="n">
        <f aca="false">DC98*$F100*(DC$4&lt;=In_COD)</f>
        <v>0</v>
      </c>
      <c r="DD100" s="33" t="n">
        <f aca="false">DD98*$F100*(DD$4&lt;=In_COD)</f>
        <v>0</v>
      </c>
      <c r="DE100" s="33" t="n">
        <f aca="false">DE98*$F100*(DE$4&lt;=In_COD)</f>
        <v>0</v>
      </c>
      <c r="DF100" s="33" t="n">
        <f aca="false">DF98*$F100*(DF$4&lt;=In_COD)</f>
        <v>0</v>
      </c>
      <c r="DG100" s="33" t="n">
        <f aca="false">DG98*$F100*(DG$4&lt;=In_COD)</f>
        <v>0</v>
      </c>
      <c r="DH100" s="33" t="n">
        <f aca="false">DH98*$F100*(DH$4&lt;=In_COD)</f>
        <v>0</v>
      </c>
      <c r="DI100" s="33" t="n">
        <f aca="false">DI98*$F100*(DI$4&lt;=In_COD)</f>
        <v>0</v>
      </c>
      <c r="DJ100" s="33" t="n">
        <f aca="false">DJ98*$F100*(DJ$4&lt;=In_COD)</f>
        <v>0</v>
      </c>
      <c r="DK100" s="33" t="n">
        <f aca="false">DK98*$F100*(DK$4&lt;=In_COD)</f>
        <v>0</v>
      </c>
      <c r="DL100" s="33" t="n">
        <f aca="false">DL98*$F100*(DL$4&lt;=In_COD)</f>
        <v>0</v>
      </c>
      <c r="DM100" s="33" t="n">
        <f aca="false">DM98*$F100*(DM$4&lt;=In_COD)</f>
        <v>0</v>
      </c>
      <c r="DN100" s="33" t="n">
        <f aca="false">DN98*$F100*(DN$4&lt;=In_COD)</f>
        <v>0</v>
      </c>
      <c r="DO100" s="33" t="n">
        <f aca="false">DO98*$F100*(DO$4&lt;=In_COD)</f>
        <v>0</v>
      </c>
      <c r="DP100" s="33" t="n">
        <f aca="false">DP98*$F100*(DP$4&lt;=In_COD)</f>
        <v>0</v>
      </c>
      <c r="DQ100" s="33" t="n">
        <f aca="false">DQ98*$F100*(DQ$4&lt;=In_COD)</f>
        <v>0</v>
      </c>
      <c r="DR100" s="33" t="n">
        <f aca="false">DR98*$F100*(DR$4&lt;=In_COD)</f>
        <v>0</v>
      </c>
      <c r="DS100" s="33" t="n">
        <f aca="false">DS98*$F100*(DS$4&lt;=In_COD)</f>
        <v>0</v>
      </c>
      <c r="DT100" s="33" t="n">
        <f aca="false">DT98*$F100*(DT$4&lt;=In_COD)</f>
        <v>0</v>
      </c>
      <c r="DU100" s="33" t="n">
        <f aca="false">DU98*$F100*(DU$4&lt;=In_COD)</f>
        <v>0</v>
      </c>
      <c r="DV100" s="33" t="n">
        <f aca="false">DV98*$F100*(DV$4&lt;=In_COD)</f>
        <v>0</v>
      </c>
      <c r="DW100" s="33" t="n">
        <f aca="false">DW98*$F100*(DW$4&lt;=In_COD)</f>
        <v>0</v>
      </c>
      <c r="DX100" s="33" t="n">
        <f aca="false">DX98*$F100*(DX$4&lt;=In_COD)</f>
        <v>0</v>
      </c>
      <c r="DY100" s="33" t="n">
        <f aca="false">DY98*$F100*(DY$4&lt;=In_COD)</f>
        <v>0</v>
      </c>
      <c r="DZ100" s="33" t="n">
        <f aca="false">DZ98*$F100*(DZ$4&lt;=In_COD)</f>
        <v>0</v>
      </c>
      <c r="EA100" s="33" t="n">
        <f aca="false">EA98*$F100*(EA$4&lt;=In_COD)</f>
        <v>0</v>
      </c>
      <c r="EB100" s="33" t="n">
        <f aca="false">EB98*$F100*(EB$4&lt;=In_COD)</f>
        <v>0</v>
      </c>
      <c r="EC100" s="33" t="n">
        <f aca="false">EC98*$F100*(EC$4&lt;=In_COD)</f>
        <v>0</v>
      </c>
      <c r="ED100" s="33" t="n">
        <f aca="false">ED98*$F100*(ED$4&lt;=In_COD)</f>
        <v>0</v>
      </c>
      <c r="EE100" s="33" t="n">
        <f aca="false">EE98*$F100*(EE$4&lt;=In_COD)</f>
        <v>0</v>
      </c>
      <c r="EF100" s="33" t="n">
        <f aca="false">EF98*$F100*(EF$4&lt;=In_COD)</f>
        <v>0</v>
      </c>
      <c r="EG100" s="33" t="n">
        <f aca="false">EG98*$F100*(EG$4&lt;=In_COD)</f>
        <v>0</v>
      </c>
      <c r="EH100" s="33" t="n">
        <f aca="false">EH98*$F100*(EH$4&lt;=In_COD)</f>
        <v>0</v>
      </c>
      <c r="EI100" s="33" t="n">
        <f aca="false">EI98*$F100*(EI$4&lt;=In_COD)</f>
        <v>0</v>
      </c>
      <c r="EJ100" s="33" t="n">
        <f aca="false">EJ98*$F100*(EJ$4&lt;=In_COD)</f>
        <v>0</v>
      </c>
      <c r="EK100" s="33" t="n">
        <f aca="false">EK98*$F100*(EK$4&lt;=In_COD)</f>
        <v>0</v>
      </c>
      <c r="EL100" s="33" t="n">
        <f aca="false">EL98*$F100*(EL$4&lt;=In_COD)</f>
        <v>0</v>
      </c>
      <c r="EM100" s="33" t="n">
        <f aca="false">EM98*$F100*(EM$4&lt;=In_COD)</f>
        <v>0</v>
      </c>
      <c r="EN100" s="33" t="n">
        <f aca="false">EN98*$F100*(EN$4&lt;=In_COD)</f>
        <v>0</v>
      </c>
      <c r="EO100" s="33" t="n">
        <f aca="false">EO98*$F100*(EO$4&lt;=In_COD)</f>
        <v>0</v>
      </c>
      <c r="EP100" s="33" t="n">
        <f aca="false">EP98*$F100*(EP$4&lt;=In_COD)</f>
        <v>0</v>
      </c>
      <c r="EQ100" s="33" t="n">
        <f aca="false">EQ98*$F100*(EQ$4&lt;=In_COD)</f>
        <v>0</v>
      </c>
      <c r="ER100" s="33" t="n">
        <f aca="false">ER98*$F100*(ER$4&lt;=In_COD)</f>
        <v>0</v>
      </c>
      <c r="ES100" s="33" t="n">
        <f aca="false">ES98*$F100*(ES$4&lt;=In_COD)</f>
        <v>0</v>
      </c>
      <c r="ET100" s="33" t="n">
        <f aca="false">ET98*$F100*(ET$4&lt;=In_COD)</f>
        <v>0</v>
      </c>
    </row>
    <row r="101" customFormat="false" ht="15" hidden="false" customHeight="false" outlineLevel="0" collapsed="false">
      <c r="C101" s="0" t="s">
        <v>558</v>
      </c>
      <c r="D101" s="11" t="s">
        <v>253</v>
      </c>
      <c r="I101" s="33" t="n">
        <f aca="false">SUM(J101:ET101)</f>
        <v>-99336.0596347059</v>
      </c>
      <c r="J101" s="33" t="n">
        <f aca="false">PPMT($F100,1,In_Debt_Tenor*Months_In_Year/Months_Per_Period-SUM($J17:J17)+1,J98)*J17</f>
        <v>0</v>
      </c>
      <c r="K101" s="33" t="n">
        <f aca="false">PPMT($F100,1,In_Debt_Tenor*Months_In_Year/Months_Per_Period-SUM($J17:K17)+1,K98)*K17</f>
        <v>0</v>
      </c>
      <c r="L101" s="33" t="n">
        <f aca="false">PPMT($F100,1,In_Debt_Tenor*Months_In_Year/Months_Per_Period-SUM($J17:L17)+1,L98)*L17</f>
        <v>0</v>
      </c>
      <c r="M101" s="33" t="n">
        <f aca="false">PPMT($F100,1,In_Debt_Tenor*Months_In_Year/Months_Per_Period-SUM($J17:M17)+1,M98)*M17</f>
        <v>0</v>
      </c>
      <c r="N101" s="33" t="n">
        <f aca="false">PPMT($F100,1,In_Debt_Tenor*Months_In_Year/Months_Per_Period-SUM($J17:N17)+1,N98)*N17</f>
        <v>0</v>
      </c>
      <c r="O101" s="33" t="n">
        <f aca="false">PPMT($F100,1,In_Debt_Tenor*Months_In_Year/Months_Per_Period-SUM($J17:O17)+1,O98)*O17</f>
        <v>0</v>
      </c>
      <c r="P101" s="33" t="n">
        <f aca="false">PPMT($F100,1,In_Debt_Tenor*Months_In_Year/Months_Per_Period-SUM($J17:P17)+1,P98)*P17</f>
        <v>0</v>
      </c>
      <c r="Q101" s="33" t="n">
        <f aca="false">PPMT($F100,1,In_Debt_Tenor*Months_In_Year/Months_Per_Period-SUM($J17:Q17)+1,Q98)*Q17</f>
        <v>0</v>
      </c>
      <c r="R101" s="33" t="n">
        <f aca="false">PPMT($F100,1,In_Debt_Tenor*Months_In_Year/Months_Per_Period-SUM($J17:R17)+1,R98)*R17</f>
        <v>0</v>
      </c>
      <c r="S101" s="33" t="n">
        <f aca="false">PPMT($F100,1,In_Debt_Tenor*Months_In_Year/Months_Per_Period-SUM($J17:S17)+1,S98)*S17</f>
        <v>0</v>
      </c>
      <c r="T101" s="33" t="n">
        <f aca="false">PPMT($F100,1,In_Debt_Tenor*Months_In_Year/Months_Per_Period-SUM($J17:T17)+1,T98)*T17</f>
        <v>0</v>
      </c>
      <c r="U101" s="33" t="n">
        <f aca="false">PPMT($F100,1,In_Debt_Tenor*Months_In_Year/Months_Per_Period-SUM($J17:U17)+1,U98)*U17</f>
        <v>0</v>
      </c>
      <c r="V101" s="33" t="n">
        <f aca="false">PPMT($F100,1,In_Debt_Tenor*Months_In_Year/Months_Per_Period-SUM($J17:V17)+1,V98)*V17</f>
        <v>0</v>
      </c>
      <c r="W101" s="33" t="n">
        <f aca="false">PPMT($F100,1,In_Debt_Tenor*Months_In_Year/Months_Per_Period-SUM($J17:W17)+1,W98)*W17</f>
        <v>0</v>
      </c>
      <c r="X101" s="33" t="n">
        <f aca="false">PPMT($F100,1,In_Debt_Tenor*Months_In_Year/Months_Per_Period-SUM($J17:X17)+1,X98)*X17</f>
        <v>-0</v>
      </c>
      <c r="Y101" s="33" t="n">
        <f aca="false">PPMT($F100,1,In_Debt_Tenor*Months_In_Year/Months_Per_Period-SUM($J17:Y17)+1,Y98)*Y17</f>
        <v>-0</v>
      </c>
      <c r="Z101" s="33" t="n">
        <f aca="false">PPMT($F100,1,In_Debt_Tenor*Months_In_Year/Months_Per_Period-SUM($J17:Z17)+1,Z98)*Z17</f>
        <v>-0</v>
      </c>
      <c r="AA101" s="33" t="n">
        <f aca="false">PPMT($F100,1,In_Debt_Tenor*Months_In_Year/Months_Per_Period-SUM($J17:AA17)+1,AA98)*AA17</f>
        <v>-0</v>
      </c>
      <c r="AB101" s="33" t="n">
        <f aca="false">PPMT($F100,1,In_Debt_Tenor*Months_In_Year/Months_Per_Period-SUM($J17:AB17)+1,AB98)*AB17</f>
        <v>-0</v>
      </c>
      <c r="AC101" s="33" t="n">
        <f aca="false">PPMT($F100,1,In_Debt_Tenor*Months_In_Year/Months_Per_Period-SUM($J17:AC17)+1,AC98)*AC17</f>
        <v>-0</v>
      </c>
      <c r="AD101" s="33" t="n">
        <f aca="false">PPMT($F100,1,In_Debt_Tenor*Months_In_Year/Months_Per_Period-SUM($J17:AD17)+1,AD98)*AD17</f>
        <v>-0</v>
      </c>
      <c r="AE101" s="33" t="n">
        <f aca="false">PPMT($F100,1,In_Debt_Tenor*Months_In_Year/Months_Per_Period-SUM($J17:AE17)+1,AE98)*AE17</f>
        <v>-1929.24673021309</v>
      </c>
      <c r="AF101" s="33" t="n">
        <f aca="false">PPMT($F100,1,In_Debt_Tenor*Months_In_Year/Months_Per_Period-SUM($J17:AF17)+1,AF98)*AF17</f>
        <v>-1953.36231434075</v>
      </c>
      <c r="AG101" s="33" t="n">
        <f aca="false">PPMT($F100,1,In_Debt_Tenor*Months_In_Year/Months_Per_Period-SUM($J17:AG17)+1,AG98)*AG17</f>
        <v>-1977.77934327001</v>
      </c>
      <c r="AH101" s="33" t="n">
        <f aca="false">PPMT($F100,1,In_Debt_Tenor*Months_In_Year/Months_Per_Period-SUM($J17:AH17)+1,AH98)*AH17</f>
        <v>-2002.50158506089</v>
      </c>
      <c r="AI101" s="33" t="n">
        <f aca="false">PPMT($F100,1,In_Debt_Tenor*Months_In_Year/Months_Per_Period-SUM($J17:AI17)+1,AI98)*AI17</f>
        <v>-2027.53285487415</v>
      </c>
      <c r="AJ101" s="33" t="n">
        <f aca="false">PPMT($F100,1,In_Debt_Tenor*Months_In_Year/Months_Per_Period-SUM($J17:AJ17)+1,AJ98)*AJ17</f>
        <v>-2052.87701556008</v>
      </c>
      <c r="AK101" s="33" t="n">
        <f aca="false">PPMT($F100,1,In_Debt_Tenor*Months_In_Year/Months_Per_Period-SUM($J17:AK17)+1,AK98)*AK17</f>
        <v>-2078.53797825458</v>
      </c>
      <c r="AL101" s="33" t="n">
        <f aca="false">PPMT($F100,1,In_Debt_Tenor*Months_In_Year/Months_Per_Period-SUM($J17:AL17)+1,AL98)*AL17</f>
        <v>-2104.51970298276</v>
      </c>
      <c r="AM101" s="33" t="n">
        <f aca="false">PPMT($F100,1,In_Debt_Tenor*Months_In_Year/Months_Per_Period-SUM($J17:AM17)+1,AM98)*AM17</f>
        <v>-2130.82619927004</v>
      </c>
      <c r="AN101" s="33" t="n">
        <f aca="false">PPMT($F100,1,In_Debt_Tenor*Months_In_Year/Months_Per_Period-SUM($J17:AN17)+1,AN98)*AN17</f>
        <v>-2157.46152676092</v>
      </c>
      <c r="AO101" s="33" t="n">
        <f aca="false">PPMT($F100,1,In_Debt_Tenor*Months_In_Year/Months_Per_Period-SUM($J17:AO17)+1,AO98)*AO17</f>
        <v>-2184.42979584543</v>
      </c>
      <c r="AP101" s="33" t="n">
        <f aca="false">PPMT($F100,1,In_Debt_Tenor*Months_In_Year/Months_Per_Period-SUM($J17:AP17)+1,AP98)*AP17</f>
        <v>-2211.7351682935</v>
      </c>
      <c r="AQ101" s="33" t="n">
        <f aca="false">PPMT($F100,1,In_Debt_Tenor*Months_In_Year/Months_Per_Period-SUM($J17:AQ17)+1,AQ98)*AQ17</f>
        <v>-2239.38185789717</v>
      </c>
      <c r="AR101" s="33" t="n">
        <f aca="false">PPMT($F100,1,In_Debt_Tenor*Months_In_Year/Months_Per_Period-SUM($J17:AR17)+1,AR98)*AR17</f>
        <v>-2267.37413112088</v>
      </c>
      <c r="AS101" s="33" t="n">
        <f aca="false">PPMT($F100,1,In_Debt_Tenor*Months_In_Year/Months_Per_Period-SUM($J17:AS17)+1,AS98)*AS17</f>
        <v>-2295.71630775989</v>
      </c>
      <c r="AT101" s="33" t="n">
        <f aca="false">PPMT($F100,1,In_Debt_Tenor*Months_In_Year/Months_Per_Period-SUM($J17:AT17)+1,AT98)*AT17</f>
        <v>-2324.41276160689</v>
      </c>
      <c r="AU101" s="33" t="n">
        <f aca="false">PPMT($F100,1,In_Debt_Tenor*Months_In_Year/Months_Per_Period-SUM($J17:AU17)+1,AU98)*AU17</f>
        <v>-2353.46792112698</v>
      </c>
      <c r="AV101" s="33" t="n">
        <f aca="false">PPMT($F100,1,In_Debt_Tenor*Months_In_Year/Months_Per_Period-SUM($J17:AV17)+1,AV98)*AV17</f>
        <v>-2382.88627014107</v>
      </c>
      <c r="AW101" s="33" t="n">
        <f aca="false">PPMT($F100,1,In_Debt_Tenor*Months_In_Year/Months_Per_Period-SUM($J17:AW17)+1,AW98)*AW17</f>
        <v>-2412.67234851783</v>
      </c>
      <c r="AX101" s="33" t="n">
        <f aca="false">PPMT($F100,1,In_Debt_Tenor*Months_In_Year/Months_Per_Period-SUM($J17:AX17)+1,AX98)*AX17</f>
        <v>-2442.8307528743</v>
      </c>
      <c r="AY101" s="33" t="n">
        <f aca="false">PPMT($F100,1,In_Debt_Tenor*Months_In_Year/Months_Per_Period-SUM($J17:AY17)+1,AY98)*AY17</f>
        <v>-2473.36613728523</v>
      </c>
      <c r="AZ101" s="33" t="n">
        <f aca="false">PPMT($F100,1,In_Debt_Tenor*Months_In_Year/Months_Per_Period-SUM($J17:AZ17)+1,AZ98)*AZ17</f>
        <v>-2504.2832140013</v>
      </c>
      <c r="BA101" s="33" t="n">
        <f aca="false">PPMT($F100,1,In_Debt_Tenor*Months_In_Year/Months_Per_Period-SUM($J17:BA17)+1,BA98)*BA17</f>
        <v>-2535.58675417631</v>
      </c>
      <c r="BB101" s="33" t="n">
        <f aca="false">PPMT($F100,1,In_Debt_Tenor*Months_In_Year/Months_Per_Period-SUM($J17:BB17)+1,BB98)*BB17</f>
        <v>-2567.28158860352</v>
      </c>
      <c r="BC101" s="33" t="n">
        <f aca="false">PPMT($F100,1,In_Debt_Tenor*Months_In_Year/Months_Per_Period-SUM($J17:BC17)+1,BC98)*BC17</f>
        <v>-2599.37260846106</v>
      </c>
      <c r="BD101" s="33" t="n">
        <f aca="false">PPMT($F100,1,In_Debt_Tenor*Months_In_Year/Months_Per_Period-SUM($J17:BD17)+1,BD98)*BD17</f>
        <v>-2631.86476606682</v>
      </c>
      <c r="BE101" s="33" t="n">
        <f aca="false">PPMT($F100,1,In_Debt_Tenor*Months_In_Year/Months_Per_Period-SUM($J17:BE17)+1,BE98)*BE17</f>
        <v>-2664.76307564266</v>
      </c>
      <c r="BF101" s="33" t="n">
        <f aca="false">PPMT($F100,1,In_Debt_Tenor*Months_In_Year/Months_Per_Period-SUM($J17:BF17)+1,BF98)*BF17</f>
        <v>-2698.07261408819</v>
      </c>
      <c r="BG101" s="33" t="n">
        <f aca="false">PPMT($F100,1,In_Debt_Tenor*Months_In_Year/Months_Per_Period-SUM($J17:BG17)+1,BG98)*BG17</f>
        <v>-2731.79852176429</v>
      </c>
      <c r="BH101" s="33" t="n">
        <f aca="false">PPMT($F100,1,In_Debt_Tenor*Months_In_Year/Months_Per_Period-SUM($J17:BH17)+1,BH98)*BH17</f>
        <v>-2765.94600328635</v>
      </c>
      <c r="BI101" s="33" t="n">
        <f aca="false">PPMT($F100,1,In_Debt_Tenor*Months_In_Year/Months_Per_Period-SUM($J17:BI17)+1,BI98)*BI17</f>
        <v>-2800.52032832743</v>
      </c>
      <c r="BJ101" s="33" t="n">
        <f aca="false">PPMT($F100,1,In_Debt_Tenor*Months_In_Year/Months_Per_Period-SUM($J17:BJ17)+1,BJ98)*BJ17</f>
        <v>-2835.52683243152</v>
      </c>
      <c r="BK101" s="33" t="n">
        <f aca="false">PPMT($F100,1,In_Debt_Tenor*Months_In_Year/Months_Per_Period-SUM($J17:BK17)+1,BK98)*BK17</f>
        <v>-2870.97091783691</v>
      </c>
      <c r="BL101" s="33" t="n">
        <f aca="false">PPMT($F100,1,In_Debt_Tenor*Months_In_Year/Months_Per_Period-SUM($J17:BL17)+1,BL98)*BL17</f>
        <v>-2906.85805430987</v>
      </c>
      <c r="BM101" s="33" t="n">
        <f aca="false">PPMT($F100,1,In_Debt_Tenor*Months_In_Year/Months_Per_Period-SUM($J17:BM17)+1,BM98)*BM17</f>
        <v>-2943.19377998875</v>
      </c>
      <c r="BN101" s="33" t="n">
        <f aca="false">PPMT($F100,1,In_Debt_Tenor*Months_In_Year/Months_Per_Period-SUM($J17:BN17)+1,BN98)*BN17</f>
        <v>-2979.98370223861</v>
      </c>
      <c r="BO101" s="33" t="n">
        <f aca="false">PPMT($F100,1,In_Debt_Tenor*Months_In_Year/Months_Per_Period-SUM($J17:BO17)+1,BO98)*BO17</f>
        <v>-3017.23349851659</v>
      </c>
      <c r="BP101" s="33" t="n">
        <f aca="false">PPMT($F100,1,In_Debt_Tenor*Months_In_Year/Months_Per_Period-SUM($J17:BP17)+1,BP98)*BP17</f>
        <v>-3054.94891724805</v>
      </c>
      <c r="BQ101" s="33" t="n">
        <f aca="false">PPMT($F100,1,In_Debt_Tenor*Months_In_Year/Months_Per_Period-SUM($J17:BQ17)+1,BQ98)*BQ17</f>
        <v>-3093.13577871365</v>
      </c>
      <c r="BR101" s="33" t="n">
        <f aca="false">PPMT($F100,1,In_Debt_Tenor*Months_In_Year/Months_Per_Period-SUM($J17:BR17)+1,BR98)*BR17</f>
        <v>-3131.79997594757</v>
      </c>
      <c r="BS101" s="33" t="n">
        <f aca="false">PPMT($F100,1,In_Debt_Tenor*Months_In_Year/Months_Per_Period-SUM($J17:BS17)+1,BS98)*BS17</f>
        <v>0</v>
      </c>
      <c r="BT101" s="33" t="n">
        <f aca="false">PPMT($F100,1,In_Debt_Tenor*Months_In_Year/Months_Per_Period-SUM($J17:BT17)+1,BT98)*BT17</f>
        <v>0</v>
      </c>
      <c r="BU101" s="33" t="n">
        <f aca="false">PPMT($F100,1,In_Debt_Tenor*Months_In_Year/Months_Per_Period-SUM($J17:BU17)+1,BU98)*BU17</f>
        <v>0</v>
      </c>
      <c r="BV101" s="33" t="n">
        <f aca="false">PPMT($F100,1,In_Debt_Tenor*Months_In_Year/Months_Per_Period-SUM($J17:BV17)+1,BV98)*BV17</f>
        <v>0</v>
      </c>
      <c r="BW101" s="33" t="n">
        <f aca="false">PPMT($F100,1,In_Debt_Tenor*Months_In_Year/Months_Per_Period-SUM($J17:BW17)+1,BW98)*BW17</f>
        <v>0</v>
      </c>
      <c r="BX101" s="33" t="n">
        <f aca="false">PPMT($F100,1,In_Debt_Tenor*Months_In_Year/Months_Per_Period-SUM($J17:BX17)+1,BX98)*BX17</f>
        <v>0</v>
      </c>
      <c r="BY101" s="33" t="n">
        <f aca="false">PPMT($F100,1,In_Debt_Tenor*Months_In_Year/Months_Per_Period-SUM($J17:BY17)+1,BY98)*BY17</f>
        <v>0</v>
      </c>
      <c r="BZ101" s="33" t="n">
        <f aca="false">PPMT($F100,1,In_Debt_Tenor*Months_In_Year/Months_Per_Period-SUM($J17:BZ17)+1,BZ98)*BZ17</f>
        <v>0</v>
      </c>
      <c r="CA101" s="33" t="n">
        <f aca="false">PPMT($F100,1,In_Debt_Tenor*Months_In_Year/Months_Per_Period-SUM($J17:CA17)+1,CA98)*CA17</f>
        <v>0</v>
      </c>
      <c r="CB101" s="33" t="n">
        <f aca="false">PPMT($F100,1,In_Debt_Tenor*Months_In_Year/Months_Per_Period-SUM($J17:CB17)+1,CB98)*CB17</f>
        <v>0</v>
      </c>
      <c r="CC101" s="33" t="n">
        <f aca="false">PPMT($F100,1,In_Debt_Tenor*Months_In_Year/Months_Per_Period-SUM($J17:CC17)+1,CC98)*CC17</f>
        <v>0</v>
      </c>
      <c r="CD101" s="33" t="n">
        <f aca="false">PPMT($F100,1,In_Debt_Tenor*Months_In_Year/Months_Per_Period-SUM($J17:CD17)+1,CD98)*CD17</f>
        <v>0</v>
      </c>
      <c r="CE101" s="33" t="n">
        <f aca="false">PPMT($F100,1,In_Debt_Tenor*Months_In_Year/Months_Per_Period-SUM($J17:CE17)+1,CE98)*CE17</f>
        <v>0</v>
      </c>
      <c r="CF101" s="33" t="n">
        <f aca="false">PPMT($F100,1,In_Debt_Tenor*Months_In_Year/Months_Per_Period-SUM($J17:CF17)+1,CF98)*CF17</f>
        <v>0</v>
      </c>
      <c r="CG101" s="33" t="n">
        <f aca="false">PPMT($F100,1,In_Debt_Tenor*Months_In_Year/Months_Per_Period-SUM($J17:CG17)+1,CG98)*CG17</f>
        <v>0</v>
      </c>
      <c r="CH101" s="33" t="n">
        <f aca="false">PPMT($F100,1,In_Debt_Tenor*Months_In_Year/Months_Per_Period-SUM($J17:CH17)+1,CH98)*CH17</f>
        <v>0</v>
      </c>
      <c r="CI101" s="33" t="n">
        <f aca="false">PPMT($F100,1,In_Debt_Tenor*Months_In_Year/Months_Per_Period-SUM($J17:CI17)+1,CI98)*CI17</f>
        <v>0</v>
      </c>
      <c r="CJ101" s="33" t="n">
        <f aca="false">PPMT($F100,1,In_Debt_Tenor*Months_In_Year/Months_Per_Period-SUM($J17:CJ17)+1,CJ98)*CJ17</f>
        <v>0</v>
      </c>
      <c r="CK101" s="33" t="n">
        <f aca="false">PPMT($F100,1,In_Debt_Tenor*Months_In_Year/Months_Per_Period-SUM($J17:CK17)+1,CK98)*CK17</f>
        <v>0</v>
      </c>
      <c r="CL101" s="33" t="n">
        <f aca="false">PPMT($F100,1,In_Debt_Tenor*Months_In_Year/Months_Per_Period-SUM($J17:CL17)+1,CL98)*CL17</f>
        <v>0</v>
      </c>
      <c r="CM101" s="33" t="n">
        <f aca="false">PPMT($F100,1,In_Debt_Tenor*Months_In_Year/Months_Per_Period-SUM($J17:CM17)+1,CM98)*CM17</f>
        <v>0</v>
      </c>
      <c r="CN101" s="33" t="n">
        <f aca="false">PPMT($F100,1,In_Debt_Tenor*Months_In_Year/Months_Per_Period-SUM($J17:CN17)+1,CN98)*CN17</f>
        <v>0</v>
      </c>
      <c r="CO101" s="33" t="n">
        <f aca="false">PPMT($F100,1,In_Debt_Tenor*Months_In_Year/Months_Per_Period-SUM($J17:CO17)+1,CO98)*CO17</f>
        <v>0</v>
      </c>
      <c r="CP101" s="33" t="n">
        <f aca="false">PPMT($F100,1,In_Debt_Tenor*Months_In_Year/Months_Per_Period-SUM($J17:CP17)+1,CP98)*CP17</f>
        <v>0</v>
      </c>
      <c r="CQ101" s="33" t="n">
        <f aca="false">PPMT($F100,1,In_Debt_Tenor*Months_In_Year/Months_Per_Period-SUM($J17:CQ17)+1,CQ98)*CQ17</f>
        <v>0</v>
      </c>
      <c r="CR101" s="33" t="n">
        <f aca="false">PPMT($F100,1,In_Debt_Tenor*Months_In_Year/Months_Per_Period-SUM($J17:CR17)+1,CR98)*CR17</f>
        <v>0</v>
      </c>
      <c r="CS101" s="33" t="n">
        <f aca="false">PPMT($F100,1,In_Debt_Tenor*Months_In_Year/Months_Per_Period-SUM($J17:CS17)+1,CS98)*CS17</f>
        <v>0</v>
      </c>
      <c r="CT101" s="33" t="n">
        <f aca="false">PPMT($F100,1,In_Debt_Tenor*Months_In_Year/Months_Per_Period-SUM($J17:CT17)+1,CT98)*CT17</f>
        <v>0</v>
      </c>
      <c r="CU101" s="33" t="n">
        <f aca="false">PPMT($F100,1,In_Debt_Tenor*Months_In_Year/Months_Per_Period-SUM($J17:CU17)+1,CU98)*CU17</f>
        <v>0</v>
      </c>
      <c r="CV101" s="33" t="n">
        <f aca="false">PPMT($F100,1,In_Debt_Tenor*Months_In_Year/Months_Per_Period-SUM($J17:CV17)+1,CV98)*CV17</f>
        <v>0</v>
      </c>
      <c r="CW101" s="33" t="n">
        <f aca="false">PPMT($F100,1,In_Debt_Tenor*Months_In_Year/Months_Per_Period-SUM($J17:CW17)+1,CW98)*CW17</f>
        <v>0</v>
      </c>
      <c r="CX101" s="33" t="n">
        <f aca="false">PPMT($F100,1,In_Debt_Tenor*Months_In_Year/Months_Per_Period-SUM($J17:CX17)+1,CX98)*CX17</f>
        <v>0</v>
      </c>
      <c r="CY101" s="33" t="n">
        <f aca="false">PPMT($F100,1,In_Debt_Tenor*Months_In_Year/Months_Per_Period-SUM($J17:CY17)+1,CY98)*CY17</f>
        <v>0</v>
      </c>
      <c r="CZ101" s="33" t="n">
        <f aca="false">PPMT($F100,1,In_Debt_Tenor*Months_In_Year/Months_Per_Period-SUM($J17:CZ17)+1,CZ98)*CZ17</f>
        <v>0</v>
      </c>
      <c r="DA101" s="33" t="n">
        <f aca="false">PPMT($F100,1,In_Debt_Tenor*Months_In_Year/Months_Per_Period-SUM($J17:DA17)+1,DA98)*DA17</f>
        <v>0</v>
      </c>
      <c r="DB101" s="33" t="n">
        <f aca="false">PPMT($F100,1,In_Debt_Tenor*Months_In_Year/Months_Per_Period-SUM($J17:DB17)+1,DB98)*DB17</f>
        <v>0</v>
      </c>
      <c r="DC101" s="33" t="n">
        <f aca="false">PPMT($F100,1,In_Debt_Tenor*Months_In_Year/Months_Per_Period-SUM($J17:DC17)+1,DC98)*DC17</f>
        <v>0</v>
      </c>
      <c r="DD101" s="33" t="n">
        <f aca="false">PPMT($F100,1,In_Debt_Tenor*Months_In_Year/Months_Per_Period-SUM($J17:DD17)+1,DD98)*DD17</f>
        <v>0</v>
      </c>
      <c r="DE101" s="33" t="n">
        <f aca="false">PPMT($F100,1,In_Debt_Tenor*Months_In_Year/Months_Per_Period-SUM($J17:DE17)+1,DE98)*DE17</f>
        <v>0</v>
      </c>
      <c r="DF101" s="33" t="n">
        <f aca="false">PPMT($F100,1,In_Debt_Tenor*Months_In_Year/Months_Per_Period-SUM($J17:DF17)+1,DF98)*DF17</f>
        <v>0</v>
      </c>
      <c r="DG101" s="33" t="n">
        <f aca="false">PPMT($F100,1,In_Debt_Tenor*Months_In_Year/Months_Per_Period-SUM($J17:DG17)+1,DG98)*DG17</f>
        <v>0</v>
      </c>
      <c r="DH101" s="33" t="n">
        <f aca="false">PPMT($F100,1,In_Debt_Tenor*Months_In_Year/Months_Per_Period-SUM($J17:DH17)+1,DH98)*DH17</f>
        <v>0</v>
      </c>
      <c r="DI101" s="33" t="n">
        <f aca="false">PPMT($F100,1,In_Debt_Tenor*Months_In_Year/Months_Per_Period-SUM($J17:DI17)+1,DI98)*DI17</f>
        <v>0</v>
      </c>
      <c r="DJ101" s="33" t="n">
        <f aca="false">PPMT($F100,1,In_Debt_Tenor*Months_In_Year/Months_Per_Period-SUM($J17:DJ17)+1,DJ98)*DJ17</f>
        <v>0</v>
      </c>
      <c r="DK101" s="33" t="n">
        <f aca="false">PPMT($F100,1,In_Debt_Tenor*Months_In_Year/Months_Per_Period-SUM($J17:DK17)+1,DK98)*DK17</f>
        <v>0</v>
      </c>
      <c r="DL101" s="33" t="n">
        <f aca="false">PPMT($F100,1,In_Debt_Tenor*Months_In_Year/Months_Per_Period-SUM($J17:DL17)+1,DL98)*DL17</f>
        <v>0</v>
      </c>
      <c r="DM101" s="33" t="n">
        <f aca="false">PPMT($F100,1,In_Debt_Tenor*Months_In_Year/Months_Per_Period-SUM($J17:DM17)+1,DM98)*DM17</f>
        <v>0</v>
      </c>
      <c r="DN101" s="33" t="n">
        <f aca="false">PPMT($F100,1,In_Debt_Tenor*Months_In_Year/Months_Per_Period-SUM($J17:DN17)+1,DN98)*DN17</f>
        <v>0</v>
      </c>
      <c r="DO101" s="33" t="n">
        <f aca="false">PPMT($F100,1,In_Debt_Tenor*Months_In_Year/Months_Per_Period-SUM($J17:DO17)+1,DO98)*DO17</f>
        <v>0</v>
      </c>
      <c r="DP101" s="33" t="n">
        <f aca="false">PPMT($F100,1,In_Debt_Tenor*Months_In_Year/Months_Per_Period-SUM($J17:DP17)+1,DP98)*DP17</f>
        <v>0</v>
      </c>
      <c r="DQ101" s="33" t="n">
        <f aca="false">PPMT($F100,1,In_Debt_Tenor*Months_In_Year/Months_Per_Period-SUM($J17:DQ17)+1,DQ98)*DQ17</f>
        <v>0</v>
      </c>
      <c r="DR101" s="33" t="n">
        <f aca="false">PPMT($F100,1,In_Debt_Tenor*Months_In_Year/Months_Per_Period-SUM($J17:DR17)+1,DR98)*DR17</f>
        <v>0</v>
      </c>
      <c r="DS101" s="33" t="n">
        <f aca="false">PPMT($F100,1,In_Debt_Tenor*Months_In_Year/Months_Per_Period-SUM($J17:DS17)+1,DS98)*DS17</f>
        <v>0</v>
      </c>
      <c r="DT101" s="33" t="n">
        <f aca="false">PPMT($F100,1,In_Debt_Tenor*Months_In_Year/Months_Per_Period-SUM($J17:DT17)+1,DT98)*DT17</f>
        <v>0</v>
      </c>
      <c r="DU101" s="33" t="n">
        <f aca="false">PPMT($F100,1,In_Debt_Tenor*Months_In_Year/Months_Per_Period-SUM($J17:DU17)+1,DU98)*DU17</f>
        <v>0</v>
      </c>
      <c r="DV101" s="33" t="n">
        <f aca="false">PPMT($F100,1,In_Debt_Tenor*Months_In_Year/Months_Per_Period-SUM($J17:DV17)+1,DV98)*DV17</f>
        <v>0</v>
      </c>
      <c r="DW101" s="33" t="n">
        <f aca="false">PPMT($F100,1,In_Debt_Tenor*Months_In_Year/Months_Per_Period-SUM($J17:DW17)+1,DW98)*DW17</f>
        <v>0</v>
      </c>
      <c r="DX101" s="33" t="n">
        <f aca="false">PPMT($F100,1,In_Debt_Tenor*Months_In_Year/Months_Per_Period-SUM($J17:DX17)+1,DX98)*DX17</f>
        <v>0</v>
      </c>
      <c r="DY101" s="33" t="n">
        <f aca="false">PPMT($F100,1,In_Debt_Tenor*Months_In_Year/Months_Per_Period-SUM($J17:DY17)+1,DY98)*DY17</f>
        <v>0</v>
      </c>
      <c r="DZ101" s="33" t="n">
        <f aca="false">PPMT($F100,1,In_Debt_Tenor*Months_In_Year/Months_Per_Period-SUM($J17:DZ17)+1,DZ98)*DZ17</f>
        <v>0</v>
      </c>
      <c r="EA101" s="33" t="n">
        <f aca="false">PPMT($F100,1,In_Debt_Tenor*Months_In_Year/Months_Per_Period-SUM($J17:EA17)+1,EA98)*EA17</f>
        <v>0</v>
      </c>
      <c r="EB101" s="33" t="n">
        <f aca="false">PPMT($F100,1,In_Debt_Tenor*Months_In_Year/Months_Per_Period-SUM($J17:EB17)+1,EB98)*EB17</f>
        <v>0</v>
      </c>
      <c r="EC101" s="33" t="n">
        <f aca="false">PPMT($F100,1,In_Debt_Tenor*Months_In_Year/Months_Per_Period-SUM($J17:EC17)+1,EC98)*EC17</f>
        <v>0</v>
      </c>
      <c r="ED101" s="33" t="n">
        <f aca="false">PPMT($F100,1,In_Debt_Tenor*Months_In_Year/Months_Per_Period-SUM($J17:ED17)+1,ED98)*ED17</f>
        <v>0</v>
      </c>
      <c r="EE101" s="33" t="n">
        <f aca="false">PPMT($F100,1,In_Debt_Tenor*Months_In_Year/Months_Per_Period-SUM($J17:EE17)+1,EE98)*EE17</f>
        <v>0</v>
      </c>
      <c r="EF101" s="33" t="n">
        <f aca="false">PPMT($F100,1,In_Debt_Tenor*Months_In_Year/Months_Per_Period-SUM($J17:EF17)+1,EF98)*EF17</f>
        <v>0</v>
      </c>
      <c r="EG101" s="33" t="n">
        <f aca="false">PPMT($F100,1,In_Debt_Tenor*Months_In_Year/Months_Per_Period-SUM($J17:EG17)+1,EG98)*EG17</f>
        <v>0</v>
      </c>
      <c r="EH101" s="33" t="n">
        <f aca="false">PPMT($F100,1,In_Debt_Tenor*Months_In_Year/Months_Per_Period-SUM($J17:EH17)+1,EH98)*EH17</f>
        <v>0</v>
      </c>
      <c r="EI101" s="33" t="n">
        <f aca="false">PPMT($F100,1,In_Debt_Tenor*Months_In_Year/Months_Per_Period-SUM($J17:EI17)+1,EI98)*EI17</f>
        <v>0</v>
      </c>
      <c r="EJ101" s="33" t="n">
        <f aca="false">PPMT($F100,1,In_Debt_Tenor*Months_In_Year/Months_Per_Period-SUM($J17:EJ17)+1,EJ98)*EJ17</f>
        <v>0</v>
      </c>
      <c r="EK101" s="33" t="n">
        <f aca="false">PPMT($F100,1,In_Debt_Tenor*Months_In_Year/Months_Per_Period-SUM($J17:EK17)+1,EK98)*EK17</f>
        <v>0</v>
      </c>
      <c r="EL101" s="33" t="n">
        <f aca="false">PPMT($F100,1,In_Debt_Tenor*Months_In_Year/Months_Per_Period-SUM($J17:EL17)+1,EL98)*EL17</f>
        <v>0</v>
      </c>
      <c r="EM101" s="33" t="n">
        <f aca="false">PPMT($F100,1,In_Debt_Tenor*Months_In_Year/Months_Per_Period-SUM($J17:EM17)+1,EM98)*EM17</f>
        <v>0</v>
      </c>
      <c r="EN101" s="33" t="n">
        <f aca="false">PPMT($F100,1,In_Debt_Tenor*Months_In_Year/Months_Per_Period-SUM($J17:EN17)+1,EN98)*EN17</f>
        <v>0</v>
      </c>
      <c r="EO101" s="33" t="n">
        <f aca="false">PPMT($F100,1,In_Debt_Tenor*Months_In_Year/Months_Per_Period-SUM($J17:EO17)+1,EO98)*EO17</f>
        <v>0</v>
      </c>
      <c r="EP101" s="33" t="n">
        <f aca="false">PPMT($F100,1,In_Debt_Tenor*Months_In_Year/Months_Per_Period-SUM($J17:EP17)+1,EP98)*EP17</f>
        <v>0</v>
      </c>
      <c r="EQ101" s="33" t="n">
        <f aca="false">PPMT($F100,1,In_Debt_Tenor*Months_In_Year/Months_Per_Period-SUM($J17:EQ17)+1,EQ98)*EQ17</f>
        <v>0</v>
      </c>
      <c r="ER101" s="33" t="n">
        <f aca="false">PPMT($F100,1,In_Debt_Tenor*Months_In_Year/Months_Per_Period-SUM($J17:ER17)+1,ER98)*ER17</f>
        <v>0</v>
      </c>
      <c r="ES101" s="33" t="n">
        <f aca="false">PPMT($F100,1,In_Debt_Tenor*Months_In_Year/Months_Per_Period-SUM($J17:ES17)+1,ES98)*ES17</f>
        <v>0</v>
      </c>
      <c r="ET101" s="33" t="n">
        <f aca="false">PPMT($F100,1,In_Debt_Tenor*Months_In_Year/Months_Per_Period-SUM($J17:ET17)+1,ET98)*ET17</f>
        <v>0</v>
      </c>
    </row>
    <row r="102" customFormat="false" ht="15" hidden="false" customHeight="false" outlineLevel="0" collapsed="false">
      <c r="C102" s="30" t="s">
        <v>537</v>
      </c>
      <c r="D102" s="11" t="s">
        <v>253</v>
      </c>
      <c r="I102" s="54"/>
      <c r="J102" s="35" t="n">
        <f aca="false">SUM(J98:J101)</f>
        <v>0</v>
      </c>
      <c r="K102" s="35" t="n">
        <f aca="false">SUM(K98:K101)</f>
        <v>0</v>
      </c>
      <c r="L102" s="35" t="n">
        <f aca="false">SUM(L98:L101)</f>
        <v>0</v>
      </c>
      <c r="M102" s="35" t="n">
        <f aca="false">SUM(M98:M101)</f>
        <v>0</v>
      </c>
      <c r="N102" s="35" t="n">
        <f aca="false">SUM(N98:N101)</f>
        <v>0</v>
      </c>
      <c r="O102" s="35" t="n">
        <f aca="false">SUM(O98:O101)</f>
        <v>0</v>
      </c>
      <c r="P102" s="35" t="n">
        <f aca="false">SUM(P98:P101)</f>
        <v>0</v>
      </c>
      <c r="Q102" s="35" t="n">
        <f aca="false">SUM(Q98:Q101)</f>
        <v>0</v>
      </c>
      <c r="R102" s="35" t="n">
        <f aca="false">SUM(R98:R101)</f>
        <v>0</v>
      </c>
      <c r="S102" s="35" t="n">
        <f aca="false">SUM(S98:S101)</f>
        <v>0</v>
      </c>
      <c r="T102" s="35" t="n">
        <f aca="false">SUM(T98:T101)</f>
        <v>0</v>
      </c>
      <c r="U102" s="35" t="n">
        <f aca="false">SUM(U98:U101)</f>
        <v>0</v>
      </c>
      <c r="V102" s="35" t="n">
        <f aca="false">SUM(V98:V101)</f>
        <v>0</v>
      </c>
      <c r="W102" s="35" t="n">
        <f aca="false">SUM(W98:W101)</f>
        <v>11981.7564177174</v>
      </c>
      <c r="X102" s="35" t="n">
        <f aca="false">SUM(X98:X101)</f>
        <v>23852.8118250537</v>
      </c>
      <c r="Y102" s="35" t="n">
        <f aca="false">SUM(Y98:Y101)</f>
        <v>36002.491907783</v>
      </c>
      <c r="Z102" s="35" t="n">
        <f aca="false">SUM(Z98:Z101)</f>
        <v>48434.2794743477</v>
      </c>
      <c r="AA102" s="35" t="n">
        <f aca="false">SUM(AA98:AA101)</f>
        <v>61021.4643854944</v>
      </c>
      <c r="AB102" s="35" t="n">
        <f aca="false">SUM(AB98:AB101)</f>
        <v>73505.516142428</v>
      </c>
      <c r="AC102" s="35" t="n">
        <f aca="false">SUM(AC98:AC101)</f>
        <v>86275.8550291244</v>
      </c>
      <c r="AD102" s="35" t="n">
        <f aca="false">SUM(AD98:AD101)</f>
        <v>99336.0596347059</v>
      </c>
      <c r="AE102" s="35" t="n">
        <f aca="false">SUM(AE98:AE101)</f>
        <v>97406.8129044928</v>
      </c>
      <c r="AF102" s="35" t="n">
        <f aca="false">SUM(AF98:AF101)</f>
        <v>95453.450590152</v>
      </c>
      <c r="AG102" s="35" t="n">
        <f aca="false">SUM(AG98:AG101)</f>
        <v>93475.671246882</v>
      </c>
      <c r="AH102" s="35" t="n">
        <f aca="false">SUM(AH98:AH101)</f>
        <v>91473.1696618211</v>
      </c>
      <c r="AI102" s="35" t="n">
        <f aca="false">SUM(AI98:AI101)</f>
        <v>89445.636806947</v>
      </c>
      <c r="AJ102" s="35" t="n">
        <f aca="false">SUM(AJ98:AJ101)</f>
        <v>87392.7597913869</v>
      </c>
      <c r="AK102" s="35" t="n">
        <f aca="false">SUM(AK98:AK101)</f>
        <v>85314.2218131323</v>
      </c>
      <c r="AL102" s="35" t="n">
        <f aca="false">SUM(AL98:AL101)</f>
        <v>83209.7021101496</v>
      </c>
      <c r="AM102" s="35" t="n">
        <f aca="false">SUM(AM98:AM101)</f>
        <v>81078.8759108795</v>
      </c>
      <c r="AN102" s="35" t="n">
        <f aca="false">SUM(AN98:AN101)</f>
        <v>78921.4143841186</v>
      </c>
      <c r="AO102" s="35" t="n">
        <f aca="false">SUM(AO98:AO101)</f>
        <v>76736.9845882732</v>
      </c>
      <c r="AP102" s="35" t="n">
        <f aca="false">SUM(AP98:AP101)</f>
        <v>74525.2494199797</v>
      </c>
      <c r="AQ102" s="35" t="n">
        <f aca="false">SUM(AQ98:AQ101)</f>
        <v>72285.8675620825</v>
      </c>
      <c r="AR102" s="35" t="n">
        <f aca="false">SUM(AR98:AR101)</f>
        <v>70018.4934309616</v>
      </c>
      <c r="AS102" s="35" t="n">
        <f aca="false">SUM(AS98:AS101)</f>
        <v>67722.7771232017</v>
      </c>
      <c r="AT102" s="35" t="n">
        <f aca="false">SUM(AT98:AT101)</f>
        <v>65398.3643615948</v>
      </c>
      <c r="AU102" s="35" t="n">
        <f aca="false">SUM(AU98:AU101)</f>
        <v>63044.8964404679</v>
      </c>
      <c r="AV102" s="35" t="n">
        <f aca="false">SUM(AV98:AV101)</f>
        <v>60662.0101703268</v>
      </c>
      <c r="AW102" s="35" t="n">
        <f aca="false">SUM(AW98:AW101)</f>
        <v>58249.337821809</v>
      </c>
      <c r="AX102" s="35" t="n">
        <f aca="false">SUM(AX98:AX101)</f>
        <v>55806.5070689347</v>
      </c>
      <c r="AY102" s="35" t="n">
        <f aca="false">SUM(AY98:AY101)</f>
        <v>53333.1409316494</v>
      </c>
      <c r="AZ102" s="35" t="n">
        <f aca="false">SUM(AZ98:AZ101)</f>
        <v>50828.8577176481</v>
      </c>
      <c r="BA102" s="35" t="n">
        <f aca="false">SUM(BA98:BA101)</f>
        <v>48293.2709634718</v>
      </c>
      <c r="BB102" s="35" t="n">
        <f aca="false">SUM(BB98:BB101)</f>
        <v>45725.9893748683</v>
      </c>
      <c r="BC102" s="35" t="n">
        <f aca="false">SUM(BC98:BC101)</f>
        <v>43126.6167664073</v>
      </c>
      <c r="BD102" s="35" t="n">
        <f aca="false">SUM(BD98:BD101)</f>
        <v>40494.7520003404</v>
      </c>
      <c r="BE102" s="35" t="n">
        <f aca="false">SUM(BE98:BE101)</f>
        <v>37829.9889246978</v>
      </c>
      <c r="BF102" s="35" t="n">
        <f aca="false">SUM(BF98:BF101)</f>
        <v>35131.9163106096</v>
      </c>
      <c r="BG102" s="35" t="n">
        <f aca="false">SUM(BG98:BG101)</f>
        <v>32400.1177888453</v>
      </c>
      <c r="BH102" s="35" t="n">
        <f aca="false">SUM(BH98:BH101)</f>
        <v>29634.1717855589</v>
      </c>
      <c r="BI102" s="35" t="n">
        <f aca="false">SUM(BI98:BI101)</f>
        <v>26833.6514572315</v>
      </c>
      <c r="BJ102" s="35" t="n">
        <f aca="false">SUM(BJ98:BJ101)</f>
        <v>23998.1246248</v>
      </c>
      <c r="BK102" s="35" t="n">
        <f aca="false">SUM(BK98:BK101)</f>
        <v>21127.1537069631</v>
      </c>
      <c r="BL102" s="35" t="n">
        <f aca="false">SUM(BL98:BL101)</f>
        <v>18220.2956526532</v>
      </c>
      <c r="BM102" s="35" t="n">
        <f aca="false">SUM(BM98:BM101)</f>
        <v>15277.1018726645</v>
      </c>
      <c r="BN102" s="35" t="n">
        <f aca="false">SUM(BN98:BN101)</f>
        <v>12297.1181704259</v>
      </c>
      <c r="BO102" s="35" t="n">
        <f aca="false">SUM(BO98:BO101)</f>
        <v>9279.88467190926</v>
      </c>
      <c r="BP102" s="35" t="n">
        <f aca="false">SUM(BP98:BP101)</f>
        <v>6224.93575466122</v>
      </c>
      <c r="BQ102" s="35" t="n">
        <f aca="false">SUM(BQ98:BQ101)</f>
        <v>3131.79997594757</v>
      </c>
      <c r="BR102" s="35" t="n">
        <f aca="false">SUM(BR98:BR101)</f>
        <v>0</v>
      </c>
      <c r="BS102" s="35" t="n">
        <f aca="false">SUM(BS98:BS101)</f>
        <v>0</v>
      </c>
      <c r="BT102" s="35" t="n">
        <f aca="false">SUM(BT98:BT101)</f>
        <v>0</v>
      </c>
      <c r="BU102" s="35" t="n">
        <f aca="false">SUM(BU98:BU101)</f>
        <v>0</v>
      </c>
      <c r="BV102" s="35" t="n">
        <f aca="false">SUM(BV98:BV101)</f>
        <v>0</v>
      </c>
      <c r="BW102" s="35" t="n">
        <f aca="false">SUM(BW98:BW101)</f>
        <v>0</v>
      </c>
      <c r="BX102" s="35" t="n">
        <f aca="false">SUM(BX98:BX101)</f>
        <v>0</v>
      </c>
      <c r="BY102" s="35" t="n">
        <f aca="false">SUM(BY98:BY101)</f>
        <v>0</v>
      </c>
      <c r="BZ102" s="35" t="n">
        <f aca="false">SUM(BZ98:BZ101)</f>
        <v>0</v>
      </c>
      <c r="CA102" s="35" t="n">
        <f aca="false">SUM(CA98:CA101)</f>
        <v>0</v>
      </c>
      <c r="CB102" s="35" t="n">
        <f aca="false">SUM(CB98:CB101)</f>
        <v>0</v>
      </c>
      <c r="CC102" s="35" t="n">
        <f aca="false">SUM(CC98:CC101)</f>
        <v>0</v>
      </c>
      <c r="CD102" s="35" t="n">
        <f aca="false">SUM(CD98:CD101)</f>
        <v>0</v>
      </c>
      <c r="CE102" s="35" t="n">
        <f aca="false">SUM(CE98:CE101)</f>
        <v>0</v>
      </c>
      <c r="CF102" s="35" t="n">
        <f aca="false">SUM(CF98:CF101)</f>
        <v>0</v>
      </c>
      <c r="CG102" s="35" t="n">
        <f aca="false">SUM(CG98:CG101)</f>
        <v>0</v>
      </c>
      <c r="CH102" s="35" t="n">
        <f aca="false">SUM(CH98:CH101)</f>
        <v>0</v>
      </c>
      <c r="CI102" s="35" t="n">
        <f aca="false">SUM(CI98:CI101)</f>
        <v>0</v>
      </c>
      <c r="CJ102" s="35" t="n">
        <f aca="false">SUM(CJ98:CJ101)</f>
        <v>0</v>
      </c>
      <c r="CK102" s="35" t="n">
        <f aca="false">SUM(CK98:CK101)</f>
        <v>0</v>
      </c>
      <c r="CL102" s="35" t="n">
        <f aca="false">SUM(CL98:CL101)</f>
        <v>0</v>
      </c>
      <c r="CM102" s="35" t="n">
        <f aca="false">SUM(CM98:CM101)</f>
        <v>0</v>
      </c>
      <c r="CN102" s="35" t="n">
        <f aca="false">SUM(CN98:CN101)</f>
        <v>0</v>
      </c>
      <c r="CO102" s="35" t="n">
        <f aca="false">SUM(CO98:CO101)</f>
        <v>0</v>
      </c>
      <c r="CP102" s="35" t="n">
        <f aca="false">SUM(CP98:CP101)</f>
        <v>0</v>
      </c>
      <c r="CQ102" s="35" t="n">
        <f aca="false">SUM(CQ98:CQ101)</f>
        <v>0</v>
      </c>
      <c r="CR102" s="35" t="n">
        <f aca="false">SUM(CR98:CR101)</f>
        <v>0</v>
      </c>
      <c r="CS102" s="35" t="n">
        <f aca="false">SUM(CS98:CS101)</f>
        <v>0</v>
      </c>
      <c r="CT102" s="35" t="n">
        <f aca="false">SUM(CT98:CT101)</f>
        <v>0</v>
      </c>
      <c r="CU102" s="35" t="n">
        <f aca="false">SUM(CU98:CU101)</f>
        <v>0</v>
      </c>
      <c r="CV102" s="35" t="n">
        <f aca="false">SUM(CV98:CV101)</f>
        <v>0</v>
      </c>
      <c r="CW102" s="35" t="n">
        <f aca="false">SUM(CW98:CW101)</f>
        <v>0</v>
      </c>
      <c r="CX102" s="35" t="n">
        <f aca="false">SUM(CX98:CX101)</f>
        <v>0</v>
      </c>
      <c r="CY102" s="35" t="n">
        <f aca="false">SUM(CY98:CY101)</f>
        <v>0</v>
      </c>
      <c r="CZ102" s="35" t="n">
        <f aca="false">SUM(CZ98:CZ101)</f>
        <v>0</v>
      </c>
      <c r="DA102" s="35" t="n">
        <f aca="false">SUM(DA98:DA101)</f>
        <v>0</v>
      </c>
      <c r="DB102" s="35" t="n">
        <f aca="false">SUM(DB98:DB101)</f>
        <v>0</v>
      </c>
      <c r="DC102" s="35" t="n">
        <f aca="false">SUM(DC98:DC101)</f>
        <v>0</v>
      </c>
      <c r="DD102" s="35" t="n">
        <f aca="false">SUM(DD98:DD101)</f>
        <v>0</v>
      </c>
      <c r="DE102" s="35" t="n">
        <f aca="false">SUM(DE98:DE101)</f>
        <v>0</v>
      </c>
      <c r="DF102" s="35" t="n">
        <f aca="false">SUM(DF98:DF101)</f>
        <v>0</v>
      </c>
      <c r="DG102" s="35" t="n">
        <f aca="false">SUM(DG98:DG101)</f>
        <v>0</v>
      </c>
      <c r="DH102" s="35" t="n">
        <f aca="false">SUM(DH98:DH101)</f>
        <v>0</v>
      </c>
      <c r="DI102" s="35" t="n">
        <f aca="false">SUM(DI98:DI101)</f>
        <v>0</v>
      </c>
      <c r="DJ102" s="35" t="n">
        <f aca="false">SUM(DJ98:DJ101)</f>
        <v>0</v>
      </c>
      <c r="DK102" s="35" t="n">
        <f aca="false">SUM(DK98:DK101)</f>
        <v>0</v>
      </c>
      <c r="DL102" s="35" t="n">
        <f aca="false">SUM(DL98:DL101)</f>
        <v>0</v>
      </c>
      <c r="DM102" s="35" t="n">
        <f aca="false">SUM(DM98:DM101)</f>
        <v>0</v>
      </c>
      <c r="DN102" s="35" t="n">
        <f aca="false">SUM(DN98:DN101)</f>
        <v>0</v>
      </c>
      <c r="DO102" s="35" t="n">
        <f aca="false">SUM(DO98:DO101)</f>
        <v>0</v>
      </c>
      <c r="DP102" s="35" t="n">
        <f aca="false">SUM(DP98:DP101)</f>
        <v>0</v>
      </c>
      <c r="DQ102" s="35" t="n">
        <f aca="false">SUM(DQ98:DQ101)</f>
        <v>0</v>
      </c>
      <c r="DR102" s="35" t="n">
        <f aca="false">SUM(DR98:DR101)</f>
        <v>0</v>
      </c>
      <c r="DS102" s="35" t="n">
        <f aca="false">SUM(DS98:DS101)</f>
        <v>0</v>
      </c>
      <c r="DT102" s="35" t="n">
        <f aca="false">SUM(DT98:DT101)</f>
        <v>0</v>
      </c>
      <c r="DU102" s="35" t="n">
        <f aca="false">SUM(DU98:DU101)</f>
        <v>0</v>
      </c>
      <c r="DV102" s="35" t="n">
        <f aca="false">SUM(DV98:DV101)</f>
        <v>0</v>
      </c>
      <c r="DW102" s="35" t="n">
        <f aca="false">SUM(DW98:DW101)</f>
        <v>0</v>
      </c>
      <c r="DX102" s="35" t="n">
        <f aca="false">SUM(DX98:DX101)</f>
        <v>0</v>
      </c>
      <c r="DY102" s="35" t="n">
        <f aca="false">SUM(DY98:DY101)</f>
        <v>0</v>
      </c>
      <c r="DZ102" s="35" t="n">
        <f aca="false">SUM(DZ98:DZ101)</f>
        <v>0</v>
      </c>
      <c r="EA102" s="35" t="n">
        <f aca="false">SUM(EA98:EA101)</f>
        <v>0</v>
      </c>
      <c r="EB102" s="35" t="n">
        <f aca="false">SUM(EB98:EB101)</f>
        <v>0</v>
      </c>
      <c r="EC102" s="35" t="n">
        <f aca="false">SUM(EC98:EC101)</f>
        <v>0</v>
      </c>
      <c r="ED102" s="35" t="n">
        <f aca="false">SUM(ED98:ED101)</f>
        <v>0</v>
      </c>
      <c r="EE102" s="35" t="n">
        <f aca="false">SUM(EE98:EE101)</f>
        <v>0</v>
      </c>
      <c r="EF102" s="35" t="n">
        <f aca="false">SUM(EF98:EF101)</f>
        <v>0</v>
      </c>
      <c r="EG102" s="35" t="n">
        <f aca="false">SUM(EG98:EG101)</f>
        <v>0</v>
      </c>
      <c r="EH102" s="35" t="n">
        <f aca="false">SUM(EH98:EH101)</f>
        <v>0</v>
      </c>
      <c r="EI102" s="35" t="n">
        <f aca="false">SUM(EI98:EI101)</f>
        <v>0</v>
      </c>
      <c r="EJ102" s="35" t="n">
        <f aca="false">SUM(EJ98:EJ101)</f>
        <v>0</v>
      </c>
      <c r="EK102" s="35" t="n">
        <f aca="false">SUM(EK98:EK101)</f>
        <v>0</v>
      </c>
      <c r="EL102" s="35" t="n">
        <f aca="false">SUM(EL98:EL101)</f>
        <v>0</v>
      </c>
      <c r="EM102" s="35" t="n">
        <f aca="false">SUM(EM98:EM101)</f>
        <v>0</v>
      </c>
      <c r="EN102" s="35" t="n">
        <f aca="false">SUM(EN98:EN101)</f>
        <v>0</v>
      </c>
      <c r="EO102" s="35" t="n">
        <f aca="false">SUM(EO98:EO101)</f>
        <v>0</v>
      </c>
      <c r="EP102" s="35" t="n">
        <f aca="false">SUM(EP98:EP101)</f>
        <v>0</v>
      </c>
      <c r="EQ102" s="35" t="n">
        <f aca="false">SUM(EQ98:EQ101)</f>
        <v>0</v>
      </c>
      <c r="ER102" s="35" t="n">
        <f aca="false">SUM(ER98:ER101)</f>
        <v>0</v>
      </c>
      <c r="ES102" s="35" t="n">
        <f aca="false">SUM(ES98:ES101)</f>
        <v>0</v>
      </c>
      <c r="ET102" s="35" t="n">
        <f aca="false">SUM(ET98:ET101)</f>
        <v>0</v>
      </c>
    </row>
    <row r="103" customFormat="false" ht="15" hidden="false" customHeight="false" outlineLevel="0" collapsed="false">
      <c r="C103" s="0" t="s">
        <v>559</v>
      </c>
      <c r="D103" s="11" t="s">
        <v>253</v>
      </c>
      <c r="I103" s="33" t="n">
        <f aca="false">SUM(J103:ET103)</f>
        <v>-27501.8393911707</v>
      </c>
      <c r="J103" s="33" t="n">
        <f aca="false">-J98*$F100*(J$4&gt;In_COD)</f>
        <v>-0</v>
      </c>
      <c r="K103" s="33" t="n">
        <f aca="false">-K98*$F100*(K$4&gt;In_COD)</f>
        <v>-0</v>
      </c>
      <c r="L103" s="33" t="n">
        <f aca="false">-L98*$F100*(L$4&gt;In_COD)</f>
        <v>-0</v>
      </c>
      <c r="M103" s="33" t="n">
        <f aca="false">-M98*$F100*(M$4&gt;In_COD)</f>
        <v>-0</v>
      </c>
      <c r="N103" s="33" t="n">
        <f aca="false">-N98*$F100*(N$4&gt;In_COD)</f>
        <v>-0</v>
      </c>
      <c r="O103" s="33" t="n">
        <f aca="false">-O98*$F100*(O$4&gt;In_COD)</f>
        <v>-0</v>
      </c>
      <c r="P103" s="33" t="n">
        <f aca="false">-P98*$F100*(P$4&gt;In_COD)</f>
        <v>-0</v>
      </c>
      <c r="Q103" s="33" t="n">
        <f aca="false">-Q98*$F100*(Q$4&gt;In_COD)</f>
        <v>-0</v>
      </c>
      <c r="R103" s="33" t="n">
        <f aca="false">-R98*$F100*(R$4&gt;In_COD)</f>
        <v>-0</v>
      </c>
      <c r="S103" s="33" t="n">
        <f aca="false">-S98*$F100*(S$4&gt;In_COD)</f>
        <v>-0</v>
      </c>
      <c r="T103" s="33" t="n">
        <f aca="false">-T98*$F100*(T$4&gt;In_COD)</f>
        <v>-0</v>
      </c>
      <c r="U103" s="33" t="n">
        <f aca="false">-U98*$F100*(U$4&gt;In_COD)</f>
        <v>-0</v>
      </c>
      <c r="V103" s="33" t="n">
        <f aca="false">-V98*$F100*(V$4&gt;In_COD)</f>
        <v>-0</v>
      </c>
      <c r="W103" s="33" t="n">
        <f aca="false">-W98*$F100*(W$4&gt;In_COD)</f>
        <v>-0</v>
      </c>
      <c r="X103" s="33" t="n">
        <f aca="false">-X98*$F100*(X$4&gt;In_COD)</f>
        <v>-0</v>
      </c>
      <c r="Y103" s="33" t="n">
        <f aca="false">-Y98*$F100*(Y$4&gt;In_COD)</f>
        <v>-0</v>
      </c>
      <c r="Z103" s="33" t="n">
        <f aca="false">-Z98*$F100*(Z$4&gt;In_COD)</f>
        <v>-0</v>
      </c>
      <c r="AA103" s="33" t="n">
        <f aca="false">-AA98*$F100*(AA$4&gt;In_COD)</f>
        <v>-0</v>
      </c>
      <c r="AB103" s="33" t="n">
        <f aca="false">-AB98*$F100*(AB$4&gt;In_COD)</f>
        <v>-0</v>
      </c>
      <c r="AC103" s="33" t="n">
        <f aca="false">-AC98*$F100*(AC$4&gt;In_COD)</f>
        <v>-0</v>
      </c>
      <c r="AD103" s="33" t="n">
        <f aca="false">-AD98*$F100*(AD$4&gt;In_COD)</f>
        <v>-0</v>
      </c>
      <c r="AE103" s="33" t="n">
        <f aca="false">-AE98*$F100*(AE$4&gt;In_COD)</f>
        <v>-1241.70074543382</v>
      </c>
      <c r="AF103" s="33" t="n">
        <f aca="false">-AF98*$F100*(AF$4&gt;In_COD)</f>
        <v>-1217.58516130616</v>
      </c>
      <c r="AG103" s="33" t="n">
        <f aca="false">-AG98*$F100*(AG$4&gt;In_COD)</f>
        <v>-1193.1681323769</v>
      </c>
      <c r="AH103" s="33" t="n">
        <f aca="false">-AH98*$F100*(AH$4&gt;In_COD)</f>
        <v>-1168.44589058603</v>
      </c>
      <c r="AI103" s="33" t="n">
        <f aca="false">-AI98*$F100*(AI$4&gt;In_COD)</f>
        <v>-1143.41462077276</v>
      </c>
      <c r="AJ103" s="33" t="n">
        <f aca="false">-AJ98*$F100*(AJ$4&gt;In_COD)</f>
        <v>-1118.07046008684</v>
      </c>
      <c r="AK103" s="33" t="n">
        <f aca="false">-AK98*$F100*(AK$4&gt;In_COD)</f>
        <v>-1092.40949739234</v>
      </c>
      <c r="AL103" s="33" t="n">
        <f aca="false">-AL98*$F100*(AL$4&gt;In_COD)</f>
        <v>-1066.42777266415</v>
      </c>
      <c r="AM103" s="33" t="n">
        <f aca="false">-AM98*$F100*(AM$4&gt;In_COD)</f>
        <v>-1040.12127637687</v>
      </c>
      <c r="AN103" s="33" t="n">
        <f aca="false">-AN98*$F100*(AN$4&gt;In_COD)</f>
        <v>-1013.48594888599</v>
      </c>
      <c r="AO103" s="33" t="n">
        <f aca="false">-AO98*$F100*(AO$4&gt;In_COD)</f>
        <v>-986.517679801483</v>
      </c>
      <c r="AP103" s="33" t="n">
        <f aca="false">-AP98*$F100*(AP$4&gt;In_COD)</f>
        <v>-959.212307353415</v>
      </c>
      <c r="AQ103" s="33" t="n">
        <f aca="false">-AQ98*$F100*(AQ$4&gt;In_COD)</f>
        <v>-931.565617749746</v>
      </c>
      <c r="AR103" s="33" t="n">
        <f aca="false">-AR98*$F100*(AR$4&gt;In_COD)</f>
        <v>-903.573344526032</v>
      </c>
      <c r="AS103" s="33" t="n">
        <f aca="false">-AS98*$F100*(AS$4&gt;In_COD)</f>
        <v>-875.23116788702</v>
      </c>
      <c r="AT103" s="33" t="n">
        <f aca="false">-AT98*$F100*(AT$4&gt;In_COD)</f>
        <v>-846.534714040022</v>
      </c>
      <c r="AU103" s="33" t="n">
        <f aca="false">-AU98*$F100*(AU$4&gt;In_COD)</f>
        <v>-817.479554519936</v>
      </c>
      <c r="AV103" s="33" t="n">
        <f aca="false">-AV98*$F100*(AV$4&gt;In_COD)</f>
        <v>-788.061205505848</v>
      </c>
      <c r="AW103" s="33" t="n">
        <f aca="false">-AW98*$F100*(AW$4&gt;In_COD)</f>
        <v>-758.275127129085</v>
      </c>
      <c r="AX103" s="33" t="n">
        <f aca="false">-AX98*$F100*(AX$4&gt;In_COD)</f>
        <v>-728.116722772612</v>
      </c>
      <c r="AY103" s="33" t="n">
        <f aca="false">-AY98*$F100*(AY$4&gt;In_COD)</f>
        <v>-697.581338361684</v>
      </c>
      <c r="AZ103" s="33" t="n">
        <f aca="false">-AZ98*$F100*(AZ$4&gt;In_COD)</f>
        <v>-666.664261645618</v>
      </c>
      <c r="BA103" s="33" t="n">
        <f aca="false">-BA98*$F100*(BA$4&gt;In_COD)</f>
        <v>-635.360721470602</v>
      </c>
      <c r="BB103" s="33" t="n">
        <f aca="false">-BB98*$F100*(BB$4&gt;In_COD)</f>
        <v>-603.665887043398</v>
      </c>
      <c r="BC103" s="33" t="n">
        <f aca="false">-BC98*$F100*(BC$4&gt;In_COD)</f>
        <v>-571.574867185854</v>
      </c>
      <c r="BD103" s="33" t="n">
        <f aca="false">-BD98*$F100*(BD$4&gt;In_COD)</f>
        <v>-539.082709580091</v>
      </c>
      <c r="BE103" s="33" t="n">
        <f aca="false">-BE98*$F100*(BE$4&gt;In_COD)</f>
        <v>-506.184400004255</v>
      </c>
      <c r="BF103" s="33" t="n">
        <f aca="false">-BF98*$F100*(BF$4&gt;In_COD)</f>
        <v>-472.874861558722</v>
      </c>
      <c r="BG103" s="33" t="n">
        <f aca="false">-BG98*$F100*(BG$4&gt;In_COD)</f>
        <v>-439.14895388262</v>
      </c>
      <c r="BH103" s="33" t="n">
        <f aca="false">-BH98*$F100*(BH$4&gt;In_COD)</f>
        <v>-405.001472360566</v>
      </c>
      <c r="BI103" s="33" t="n">
        <f aca="false">-BI98*$F100*(BI$4&gt;In_COD)</f>
        <v>-370.427147319487</v>
      </c>
      <c r="BJ103" s="33" t="n">
        <f aca="false">-BJ98*$F100*(BJ$4&gt;In_COD)</f>
        <v>-335.420643215394</v>
      </c>
      <c r="BK103" s="33" t="n">
        <f aca="false">-BK98*$F100*(BK$4&gt;In_COD)</f>
        <v>-299.97655781</v>
      </c>
      <c r="BL103" s="33" t="n">
        <f aca="false">-BL98*$F100*(BL$4&gt;In_COD)</f>
        <v>-264.089421337039</v>
      </c>
      <c r="BM103" s="33" t="n">
        <f aca="false">-BM98*$F100*(BM$4&gt;In_COD)</f>
        <v>-227.753695658165</v>
      </c>
      <c r="BN103" s="33" t="n">
        <f aca="false">-BN98*$F100*(BN$4&gt;In_COD)</f>
        <v>-190.963773408306</v>
      </c>
      <c r="BO103" s="33" t="n">
        <f aca="false">-BO98*$F100*(BO$4&gt;In_COD)</f>
        <v>-153.713977130323</v>
      </c>
      <c r="BP103" s="33" t="n">
        <f aca="false">-BP98*$F100*(BP$4&gt;In_COD)</f>
        <v>-115.998558398866</v>
      </c>
      <c r="BQ103" s="33" t="n">
        <f aca="false">-BQ98*$F100*(BQ$4&gt;In_COD)</f>
        <v>-77.8116969332652</v>
      </c>
      <c r="BR103" s="33" t="n">
        <f aca="false">-BR98*$F100*(BR$4&gt;In_COD)</f>
        <v>-39.1474996993446</v>
      </c>
      <c r="BS103" s="33" t="n">
        <f aca="false">-BS98*$F100*(BS$4&gt;In_COD)</f>
        <v>-0</v>
      </c>
      <c r="BT103" s="33" t="n">
        <f aca="false">-BT98*$F100*(BT$4&gt;In_COD)</f>
        <v>-0</v>
      </c>
      <c r="BU103" s="33" t="n">
        <f aca="false">-BU98*$F100*(BU$4&gt;In_COD)</f>
        <v>-0</v>
      </c>
      <c r="BV103" s="33" t="n">
        <f aca="false">-BV98*$F100*(BV$4&gt;In_COD)</f>
        <v>-0</v>
      </c>
      <c r="BW103" s="33" t="n">
        <f aca="false">-BW98*$F100*(BW$4&gt;In_COD)</f>
        <v>-0</v>
      </c>
      <c r="BX103" s="33" t="n">
        <f aca="false">-BX98*$F100*(BX$4&gt;In_COD)</f>
        <v>-0</v>
      </c>
      <c r="BY103" s="33" t="n">
        <f aca="false">-BY98*$F100*(BY$4&gt;In_COD)</f>
        <v>-0</v>
      </c>
      <c r="BZ103" s="33" t="n">
        <f aca="false">-BZ98*$F100*(BZ$4&gt;In_COD)</f>
        <v>-0</v>
      </c>
      <c r="CA103" s="33" t="n">
        <f aca="false">-CA98*$F100*(CA$4&gt;In_COD)</f>
        <v>-0</v>
      </c>
      <c r="CB103" s="33" t="n">
        <f aca="false">-CB98*$F100*(CB$4&gt;In_COD)</f>
        <v>-0</v>
      </c>
      <c r="CC103" s="33" t="n">
        <f aca="false">-CC98*$F100*(CC$4&gt;In_COD)</f>
        <v>-0</v>
      </c>
      <c r="CD103" s="33" t="n">
        <f aca="false">-CD98*$F100*(CD$4&gt;In_COD)</f>
        <v>-0</v>
      </c>
      <c r="CE103" s="33" t="n">
        <f aca="false">-CE98*$F100*(CE$4&gt;In_COD)</f>
        <v>-0</v>
      </c>
      <c r="CF103" s="33" t="n">
        <f aca="false">-CF98*$F100*(CF$4&gt;In_COD)</f>
        <v>-0</v>
      </c>
      <c r="CG103" s="33" t="n">
        <f aca="false">-CG98*$F100*(CG$4&gt;In_COD)</f>
        <v>-0</v>
      </c>
      <c r="CH103" s="33" t="n">
        <f aca="false">-CH98*$F100*(CH$4&gt;In_COD)</f>
        <v>-0</v>
      </c>
      <c r="CI103" s="33" t="n">
        <f aca="false">-CI98*$F100*(CI$4&gt;In_COD)</f>
        <v>-0</v>
      </c>
      <c r="CJ103" s="33" t="n">
        <f aca="false">-CJ98*$F100*(CJ$4&gt;In_COD)</f>
        <v>-0</v>
      </c>
      <c r="CK103" s="33" t="n">
        <f aca="false">-CK98*$F100*(CK$4&gt;In_COD)</f>
        <v>-0</v>
      </c>
      <c r="CL103" s="33" t="n">
        <f aca="false">-CL98*$F100*(CL$4&gt;In_COD)</f>
        <v>-0</v>
      </c>
      <c r="CM103" s="33" t="n">
        <f aca="false">-CM98*$F100*(CM$4&gt;In_COD)</f>
        <v>-0</v>
      </c>
      <c r="CN103" s="33" t="n">
        <f aca="false">-CN98*$F100*(CN$4&gt;In_COD)</f>
        <v>-0</v>
      </c>
      <c r="CO103" s="33" t="n">
        <f aca="false">-CO98*$F100*(CO$4&gt;In_COD)</f>
        <v>-0</v>
      </c>
      <c r="CP103" s="33" t="n">
        <f aca="false">-CP98*$F100*(CP$4&gt;In_COD)</f>
        <v>-0</v>
      </c>
      <c r="CQ103" s="33" t="n">
        <f aca="false">-CQ98*$F100*(CQ$4&gt;In_COD)</f>
        <v>-0</v>
      </c>
      <c r="CR103" s="33" t="n">
        <f aca="false">-CR98*$F100*(CR$4&gt;In_COD)</f>
        <v>-0</v>
      </c>
      <c r="CS103" s="33" t="n">
        <f aca="false">-CS98*$F100*(CS$4&gt;In_COD)</f>
        <v>-0</v>
      </c>
      <c r="CT103" s="33" t="n">
        <f aca="false">-CT98*$F100*(CT$4&gt;In_COD)</f>
        <v>-0</v>
      </c>
      <c r="CU103" s="33" t="n">
        <f aca="false">-CU98*$F100*(CU$4&gt;In_COD)</f>
        <v>-0</v>
      </c>
      <c r="CV103" s="33" t="n">
        <f aca="false">-CV98*$F100*(CV$4&gt;In_COD)</f>
        <v>-0</v>
      </c>
      <c r="CW103" s="33" t="n">
        <f aca="false">-CW98*$F100*(CW$4&gt;In_COD)</f>
        <v>-0</v>
      </c>
      <c r="CX103" s="33" t="n">
        <f aca="false">-CX98*$F100*(CX$4&gt;In_COD)</f>
        <v>-0</v>
      </c>
      <c r="CY103" s="33" t="n">
        <f aca="false">-CY98*$F100*(CY$4&gt;In_COD)</f>
        <v>-0</v>
      </c>
      <c r="CZ103" s="33" t="n">
        <f aca="false">-CZ98*$F100*(CZ$4&gt;In_COD)</f>
        <v>-0</v>
      </c>
      <c r="DA103" s="33" t="n">
        <f aca="false">-DA98*$F100*(DA$4&gt;In_COD)</f>
        <v>-0</v>
      </c>
      <c r="DB103" s="33" t="n">
        <f aca="false">-DB98*$F100*(DB$4&gt;In_COD)</f>
        <v>-0</v>
      </c>
      <c r="DC103" s="33" t="n">
        <f aca="false">-DC98*$F100*(DC$4&gt;In_COD)</f>
        <v>-0</v>
      </c>
      <c r="DD103" s="33" t="n">
        <f aca="false">-DD98*$F100*(DD$4&gt;In_COD)</f>
        <v>-0</v>
      </c>
      <c r="DE103" s="33" t="n">
        <f aca="false">-DE98*$F100*(DE$4&gt;In_COD)</f>
        <v>-0</v>
      </c>
      <c r="DF103" s="33" t="n">
        <f aca="false">-DF98*$F100*(DF$4&gt;In_COD)</f>
        <v>-0</v>
      </c>
      <c r="DG103" s="33" t="n">
        <f aca="false">-DG98*$F100*(DG$4&gt;In_COD)</f>
        <v>-0</v>
      </c>
      <c r="DH103" s="33" t="n">
        <f aca="false">-DH98*$F100*(DH$4&gt;In_COD)</f>
        <v>-0</v>
      </c>
      <c r="DI103" s="33" t="n">
        <f aca="false">-DI98*$F100*(DI$4&gt;In_COD)</f>
        <v>-0</v>
      </c>
      <c r="DJ103" s="33" t="n">
        <f aca="false">-DJ98*$F100*(DJ$4&gt;In_COD)</f>
        <v>-0</v>
      </c>
      <c r="DK103" s="33" t="n">
        <f aca="false">-DK98*$F100*(DK$4&gt;In_COD)</f>
        <v>-0</v>
      </c>
      <c r="DL103" s="33" t="n">
        <f aca="false">-DL98*$F100*(DL$4&gt;In_COD)</f>
        <v>-0</v>
      </c>
      <c r="DM103" s="33" t="n">
        <f aca="false">-DM98*$F100*(DM$4&gt;In_COD)</f>
        <v>-0</v>
      </c>
      <c r="DN103" s="33" t="n">
        <f aca="false">-DN98*$F100*(DN$4&gt;In_COD)</f>
        <v>-0</v>
      </c>
      <c r="DO103" s="33" t="n">
        <f aca="false">-DO98*$F100*(DO$4&gt;In_COD)</f>
        <v>-0</v>
      </c>
      <c r="DP103" s="33" t="n">
        <f aca="false">-DP98*$F100*(DP$4&gt;In_COD)</f>
        <v>-0</v>
      </c>
      <c r="DQ103" s="33" t="n">
        <f aca="false">-DQ98*$F100*(DQ$4&gt;In_COD)</f>
        <v>-0</v>
      </c>
      <c r="DR103" s="33" t="n">
        <f aca="false">-DR98*$F100*(DR$4&gt;In_COD)</f>
        <v>-0</v>
      </c>
      <c r="DS103" s="33" t="n">
        <f aca="false">-DS98*$F100*(DS$4&gt;In_COD)</f>
        <v>-0</v>
      </c>
      <c r="DT103" s="33" t="n">
        <f aca="false">-DT98*$F100*(DT$4&gt;In_COD)</f>
        <v>-0</v>
      </c>
      <c r="DU103" s="33" t="n">
        <f aca="false">-DU98*$F100*(DU$4&gt;In_COD)</f>
        <v>-0</v>
      </c>
      <c r="DV103" s="33" t="n">
        <f aca="false">-DV98*$F100*(DV$4&gt;In_COD)</f>
        <v>-0</v>
      </c>
      <c r="DW103" s="33" t="n">
        <f aca="false">-DW98*$F100*(DW$4&gt;In_COD)</f>
        <v>-0</v>
      </c>
      <c r="DX103" s="33" t="n">
        <f aca="false">-DX98*$F100*(DX$4&gt;In_COD)</f>
        <v>-0</v>
      </c>
      <c r="DY103" s="33" t="n">
        <f aca="false">-DY98*$F100*(DY$4&gt;In_COD)</f>
        <v>-0</v>
      </c>
      <c r="DZ103" s="33" t="n">
        <f aca="false">-DZ98*$F100*(DZ$4&gt;In_COD)</f>
        <v>-0</v>
      </c>
      <c r="EA103" s="33" t="n">
        <f aca="false">-EA98*$F100*(EA$4&gt;In_COD)</f>
        <v>-0</v>
      </c>
      <c r="EB103" s="33" t="n">
        <f aca="false">-EB98*$F100*(EB$4&gt;In_COD)</f>
        <v>-0</v>
      </c>
      <c r="EC103" s="33" t="n">
        <f aca="false">-EC98*$F100*(EC$4&gt;In_COD)</f>
        <v>-0</v>
      </c>
      <c r="ED103" s="33" t="n">
        <f aca="false">-ED98*$F100*(ED$4&gt;In_COD)</f>
        <v>-0</v>
      </c>
      <c r="EE103" s="33" t="n">
        <f aca="false">-EE98*$F100*(EE$4&gt;In_COD)</f>
        <v>-0</v>
      </c>
      <c r="EF103" s="33" t="n">
        <f aca="false">-EF98*$F100*(EF$4&gt;In_COD)</f>
        <v>-0</v>
      </c>
      <c r="EG103" s="33" t="n">
        <f aca="false">-EG98*$F100*(EG$4&gt;In_COD)</f>
        <v>-0</v>
      </c>
      <c r="EH103" s="33" t="n">
        <f aca="false">-EH98*$F100*(EH$4&gt;In_COD)</f>
        <v>-0</v>
      </c>
      <c r="EI103" s="33" t="n">
        <f aca="false">-EI98*$F100*(EI$4&gt;In_COD)</f>
        <v>-0</v>
      </c>
      <c r="EJ103" s="33" t="n">
        <f aca="false">-EJ98*$F100*(EJ$4&gt;In_COD)</f>
        <v>-0</v>
      </c>
      <c r="EK103" s="33" t="n">
        <f aca="false">-EK98*$F100*(EK$4&gt;In_COD)</f>
        <v>-0</v>
      </c>
      <c r="EL103" s="33" t="n">
        <f aca="false">-EL98*$F100*(EL$4&gt;In_COD)</f>
        <v>-0</v>
      </c>
      <c r="EM103" s="33" t="n">
        <f aca="false">-EM98*$F100*(EM$4&gt;In_COD)</f>
        <v>-0</v>
      </c>
      <c r="EN103" s="33" t="n">
        <f aca="false">-EN98*$F100*(EN$4&gt;In_COD)</f>
        <v>-0</v>
      </c>
      <c r="EO103" s="33" t="n">
        <f aca="false">-EO98*$F100*(EO$4&gt;In_COD)</f>
        <v>-0</v>
      </c>
      <c r="EP103" s="33" t="n">
        <f aca="false">-EP98*$F100*(EP$4&gt;In_COD)</f>
        <v>-0</v>
      </c>
      <c r="EQ103" s="33" t="n">
        <f aca="false">-EQ98*$F100*(EQ$4&gt;In_COD)</f>
        <v>-0</v>
      </c>
      <c r="ER103" s="33" t="n">
        <f aca="false">-ER98*$F100*(ER$4&gt;In_COD)</f>
        <v>-0</v>
      </c>
      <c r="ES103" s="33" t="n">
        <f aca="false">-ES98*$F100*(ES$4&gt;In_COD)</f>
        <v>-0</v>
      </c>
      <c r="ET103" s="33" t="n">
        <f aca="false">-ET98*$F100*(ET$4&gt;In_COD)</f>
        <v>-0</v>
      </c>
    </row>
    <row r="104" customFormat="false" ht="15" hidden="false" customHeight="false" outlineLevel="0" collapsed="false">
      <c r="C104" s="0" t="s">
        <v>405</v>
      </c>
      <c r="D104" s="11" t="s">
        <v>253</v>
      </c>
      <c r="I104" s="33" t="n">
        <f aca="false">SUM(J104:ET104)</f>
        <v>-1663.7710677863</v>
      </c>
      <c r="J104" s="33" t="n">
        <f aca="false">-In_Upfront_Fee*$E99*(J98=0)*(J99&gt;0)</f>
        <v>-0</v>
      </c>
      <c r="K104" s="33" t="n">
        <f aca="false">-In_Upfront_Fee*$E99*(K98=0)*(K99&gt;0)</f>
        <v>-0</v>
      </c>
      <c r="L104" s="33" t="n">
        <f aca="false">-In_Upfront_Fee*$E99*(L98=0)*(L99&gt;0)</f>
        <v>-0</v>
      </c>
      <c r="M104" s="33" t="n">
        <f aca="false">-In_Upfront_Fee*$E99*(M98=0)*(M99&gt;0)</f>
        <v>-0</v>
      </c>
      <c r="N104" s="33" t="n">
        <f aca="false">-In_Upfront_Fee*$E99*(N98=0)*(N99&gt;0)</f>
        <v>-0</v>
      </c>
      <c r="O104" s="33" t="n">
        <f aca="false">-In_Upfront_Fee*$E99*(O98=0)*(O99&gt;0)</f>
        <v>-0</v>
      </c>
      <c r="P104" s="33" t="n">
        <f aca="false">-In_Upfront_Fee*$E99*(P98=0)*(P99&gt;0)</f>
        <v>-0</v>
      </c>
      <c r="Q104" s="33" t="n">
        <f aca="false">-In_Upfront_Fee*$E99*(Q98=0)*(Q99&gt;0)</f>
        <v>-0</v>
      </c>
      <c r="R104" s="33" t="n">
        <f aca="false">-In_Upfront_Fee*$E99*(R98=0)*(R99&gt;0)</f>
        <v>-0</v>
      </c>
      <c r="S104" s="33" t="n">
        <f aca="false">-In_Upfront_Fee*$E99*(S98=0)*(S99&gt;0)</f>
        <v>-0</v>
      </c>
      <c r="T104" s="33" t="n">
        <f aca="false">-In_Upfront_Fee*$E99*(T98=0)*(T99&gt;0)</f>
        <v>-0</v>
      </c>
      <c r="U104" s="33" t="n">
        <f aca="false">-In_Upfront_Fee*$E99*(U98=0)*(U99&gt;0)</f>
        <v>-0</v>
      </c>
      <c r="V104" s="33" t="n">
        <f aca="false">-In_Upfront_Fee*$E99*(V98=0)*(V99&gt;0)</f>
        <v>-0</v>
      </c>
      <c r="W104" s="33" t="n">
        <f aca="false">-In_Upfront_Fee*$E99*(W98=0)*(W99&gt;0)</f>
        <v>-1663.7710677863</v>
      </c>
      <c r="X104" s="33" t="n">
        <f aca="false">-In_Upfront_Fee*$E99*(X98=0)*(X99&gt;0)</f>
        <v>-0</v>
      </c>
      <c r="Y104" s="33" t="n">
        <f aca="false">-In_Upfront_Fee*$E99*(Y98=0)*(Y99&gt;0)</f>
        <v>-0</v>
      </c>
      <c r="Z104" s="33" t="n">
        <f aca="false">-In_Upfront_Fee*$E99*(Z98=0)*(Z99&gt;0)</f>
        <v>-0</v>
      </c>
      <c r="AA104" s="33" t="n">
        <f aca="false">-In_Upfront_Fee*$E99*(AA98=0)*(AA99&gt;0)</f>
        <v>-0</v>
      </c>
      <c r="AB104" s="33" t="n">
        <f aca="false">-In_Upfront_Fee*$E99*(AB98=0)*(AB99&gt;0)</f>
        <v>-0</v>
      </c>
      <c r="AC104" s="33" t="n">
        <f aca="false">-In_Upfront_Fee*$E99*(AC98=0)*(AC99&gt;0)</f>
        <v>-0</v>
      </c>
      <c r="AD104" s="33" t="n">
        <f aca="false">-In_Upfront_Fee*$E99*(AD98=0)*(AD99&gt;0)</f>
        <v>-0</v>
      </c>
      <c r="AE104" s="33" t="n">
        <f aca="false">-In_Upfront_Fee*$E99*(AE98=0)*(AE99&gt;0)</f>
        <v>-0</v>
      </c>
      <c r="AF104" s="33" t="n">
        <f aca="false">-In_Upfront_Fee*$E99*(AF98=0)*(AF99&gt;0)</f>
        <v>-0</v>
      </c>
      <c r="AG104" s="33" t="n">
        <f aca="false">-In_Upfront_Fee*$E99*(AG98=0)*(AG99&gt;0)</f>
        <v>-0</v>
      </c>
      <c r="AH104" s="33" t="n">
        <f aca="false">-In_Upfront_Fee*$E99*(AH98=0)*(AH99&gt;0)</f>
        <v>-0</v>
      </c>
      <c r="AI104" s="33" t="n">
        <f aca="false">-In_Upfront_Fee*$E99*(AI98=0)*(AI99&gt;0)</f>
        <v>-0</v>
      </c>
      <c r="AJ104" s="33" t="n">
        <f aca="false">-In_Upfront_Fee*$E99*(AJ98=0)*(AJ99&gt;0)</f>
        <v>-0</v>
      </c>
      <c r="AK104" s="33" t="n">
        <f aca="false">-In_Upfront_Fee*$E99*(AK98=0)*(AK99&gt;0)</f>
        <v>-0</v>
      </c>
      <c r="AL104" s="33" t="n">
        <f aca="false">-In_Upfront_Fee*$E99*(AL98=0)*(AL99&gt;0)</f>
        <v>-0</v>
      </c>
      <c r="AM104" s="33" t="n">
        <f aca="false">-In_Upfront_Fee*$E99*(AM98=0)*(AM99&gt;0)</f>
        <v>-0</v>
      </c>
      <c r="AN104" s="33" t="n">
        <f aca="false">-In_Upfront_Fee*$E99*(AN98=0)*(AN99&gt;0)</f>
        <v>-0</v>
      </c>
      <c r="AO104" s="33" t="n">
        <f aca="false">-In_Upfront_Fee*$E99*(AO98=0)*(AO99&gt;0)</f>
        <v>-0</v>
      </c>
      <c r="AP104" s="33" t="n">
        <f aca="false">-In_Upfront_Fee*$E99*(AP98=0)*(AP99&gt;0)</f>
        <v>-0</v>
      </c>
      <c r="AQ104" s="33" t="n">
        <f aca="false">-In_Upfront_Fee*$E99*(AQ98=0)*(AQ99&gt;0)</f>
        <v>-0</v>
      </c>
      <c r="AR104" s="33" t="n">
        <f aca="false">-In_Upfront_Fee*$E99*(AR98=0)*(AR99&gt;0)</f>
        <v>-0</v>
      </c>
      <c r="AS104" s="33" t="n">
        <f aca="false">-In_Upfront_Fee*$E99*(AS98=0)*(AS99&gt;0)</f>
        <v>-0</v>
      </c>
      <c r="AT104" s="33" t="n">
        <f aca="false">-In_Upfront_Fee*$E99*(AT98=0)*(AT99&gt;0)</f>
        <v>-0</v>
      </c>
      <c r="AU104" s="33" t="n">
        <f aca="false">-In_Upfront_Fee*$E99*(AU98=0)*(AU99&gt;0)</f>
        <v>-0</v>
      </c>
      <c r="AV104" s="33" t="n">
        <f aca="false">-In_Upfront_Fee*$E99*(AV98=0)*(AV99&gt;0)</f>
        <v>-0</v>
      </c>
      <c r="AW104" s="33" t="n">
        <f aca="false">-In_Upfront_Fee*$E99*(AW98=0)*(AW99&gt;0)</f>
        <v>-0</v>
      </c>
      <c r="AX104" s="33" t="n">
        <f aca="false">-In_Upfront_Fee*$E99*(AX98=0)*(AX99&gt;0)</f>
        <v>-0</v>
      </c>
      <c r="AY104" s="33" t="n">
        <f aca="false">-In_Upfront_Fee*$E99*(AY98=0)*(AY99&gt;0)</f>
        <v>-0</v>
      </c>
      <c r="AZ104" s="33" t="n">
        <f aca="false">-In_Upfront_Fee*$E99*(AZ98=0)*(AZ99&gt;0)</f>
        <v>-0</v>
      </c>
      <c r="BA104" s="33" t="n">
        <f aca="false">-In_Upfront_Fee*$E99*(BA98=0)*(BA99&gt;0)</f>
        <v>-0</v>
      </c>
      <c r="BB104" s="33" t="n">
        <f aca="false">-In_Upfront_Fee*$E99*(BB98=0)*(BB99&gt;0)</f>
        <v>-0</v>
      </c>
      <c r="BC104" s="33" t="n">
        <f aca="false">-In_Upfront_Fee*$E99*(BC98=0)*(BC99&gt;0)</f>
        <v>-0</v>
      </c>
      <c r="BD104" s="33" t="n">
        <f aca="false">-In_Upfront_Fee*$E99*(BD98=0)*(BD99&gt;0)</f>
        <v>-0</v>
      </c>
      <c r="BE104" s="33" t="n">
        <f aca="false">-In_Upfront_Fee*$E99*(BE98=0)*(BE99&gt;0)</f>
        <v>-0</v>
      </c>
      <c r="BF104" s="33" t="n">
        <f aca="false">-In_Upfront_Fee*$E99*(BF98=0)*(BF99&gt;0)</f>
        <v>-0</v>
      </c>
      <c r="BG104" s="33" t="n">
        <f aca="false">-In_Upfront_Fee*$E99*(BG98=0)*(BG99&gt;0)</f>
        <v>-0</v>
      </c>
      <c r="BH104" s="33" t="n">
        <f aca="false">-In_Upfront_Fee*$E99*(BH98=0)*(BH99&gt;0)</f>
        <v>-0</v>
      </c>
      <c r="BI104" s="33" t="n">
        <f aca="false">-In_Upfront_Fee*$E99*(BI98=0)*(BI99&gt;0)</f>
        <v>-0</v>
      </c>
      <c r="BJ104" s="33" t="n">
        <f aca="false">-In_Upfront_Fee*$E99*(BJ98=0)*(BJ99&gt;0)</f>
        <v>-0</v>
      </c>
      <c r="BK104" s="33" t="n">
        <f aca="false">-In_Upfront_Fee*$E99*(BK98=0)*(BK99&gt;0)</f>
        <v>-0</v>
      </c>
      <c r="BL104" s="33" t="n">
        <f aca="false">-In_Upfront_Fee*$E99*(BL98=0)*(BL99&gt;0)</f>
        <v>-0</v>
      </c>
      <c r="BM104" s="33" t="n">
        <f aca="false">-In_Upfront_Fee*$E99*(BM98=0)*(BM99&gt;0)</f>
        <v>-0</v>
      </c>
      <c r="BN104" s="33" t="n">
        <f aca="false">-In_Upfront_Fee*$E99*(BN98=0)*(BN99&gt;0)</f>
        <v>-0</v>
      </c>
      <c r="BO104" s="33" t="n">
        <f aca="false">-In_Upfront_Fee*$E99*(BO98=0)*(BO99&gt;0)</f>
        <v>-0</v>
      </c>
      <c r="BP104" s="33" t="n">
        <f aca="false">-In_Upfront_Fee*$E99*(BP98=0)*(BP99&gt;0)</f>
        <v>-0</v>
      </c>
      <c r="BQ104" s="33" t="n">
        <f aca="false">-In_Upfront_Fee*$E99*(BQ98=0)*(BQ99&gt;0)</f>
        <v>-0</v>
      </c>
      <c r="BR104" s="33" t="n">
        <f aca="false">-In_Upfront_Fee*$E99*(BR98=0)*(BR99&gt;0)</f>
        <v>-0</v>
      </c>
      <c r="BS104" s="33" t="n">
        <f aca="false">-In_Upfront_Fee*$E99*(BS98=0)*(BS99&gt;0)</f>
        <v>-0</v>
      </c>
      <c r="BT104" s="33" t="n">
        <f aca="false">-In_Upfront_Fee*$E99*(BT98=0)*(BT99&gt;0)</f>
        <v>-0</v>
      </c>
      <c r="BU104" s="33" t="n">
        <f aca="false">-In_Upfront_Fee*$E99*(BU98=0)*(BU99&gt;0)</f>
        <v>-0</v>
      </c>
      <c r="BV104" s="33" t="n">
        <f aca="false">-In_Upfront_Fee*$E99*(BV98=0)*(BV99&gt;0)</f>
        <v>-0</v>
      </c>
      <c r="BW104" s="33" t="n">
        <f aca="false">-In_Upfront_Fee*$E99*(BW98=0)*(BW99&gt;0)</f>
        <v>-0</v>
      </c>
      <c r="BX104" s="33" t="n">
        <f aca="false">-In_Upfront_Fee*$E99*(BX98=0)*(BX99&gt;0)</f>
        <v>-0</v>
      </c>
      <c r="BY104" s="33" t="n">
        <f aca="false">-In_Upfront_Fee*$E99*(BY98=0)*(BY99&gt;0)</f>
        <v>-0</v>
      </c>
      <c r="BZ104" s="33" t="n">
        <f aca="false">-In_Upfront_Fee*$E99*(BZ98=0)*(BZ99&gt;0)</f>
        <v>-0</v>
      </c>
      <c r="CA104" s="33" t="n">
        <f aca="false">-In_Upfront_Fee*$E99*(CA98=0)*(CA99&gt;0)</f>
        <v>-0</v>
      </c>
      <c r="CB104" s="33" t="n">
        <f aca="false">-In_Upfront_Fee*$E99*(CB98=0)*(CB99&gt;0)</f>
        <v>-0</v>
      </c>
      <c r="CC104" s="33" t="n">
        <f aca="false">-In_Upfront_Fee*$E99*(CC98=0)*(CC99&gt;0)</f>
        <v>-0</v>
      </c>
      <c r="CD104" s="33" t="n">
        <f aca="false">-In_Upfront_Fee*$E99*(CD98=0)*(CD99&gt;0)</f>
        <v>-0</v>
      </c>
      <c r="CE104" s="33" t="n">
        <f aca="false">-In_Upfront_Fee*$E99*(CE98=0)*(CE99&gt;0)</f>
        <v>-0</v>
      </c>
      <c r="CF104" s="33" t="n">
        <f aca="false">-In_Upfront_Fee*$E99*(CF98=0)*(CF99&gt;0)</f>
        <v>-0</v>
      </c>
      <c r="CG104" s="33" t="n">
        <f aca="false">-In_Upfront_Fee*$E99*(CG98=0)*(CG99&gt;0)</f>
        <v>-0</v>
      </c>
      <c r="CH104" s="33" t="n">
        <f aca="false">-In_Upfront_Fee*$E99*(CH98=0)*(CH99&gt;0)</f>
        <v>-0</v>
      </c>
      <c r="CI104" s="33" t="n">
        <f aca="false">-In_Upfront_Fee*$E99*(CI98=0)*(CI99&gt;0)</f>
        <v>-0</v>
      </c>
      <c r="CJ104" s="33" t="n">
        <f aca="false">-In_Upfront_Fee*$E99*(CJ98=0)*(CJ99&gt;0)</f>
        <v>-0</v>
      </c>
      <c r="CK104" s="33" t="n">
        <f aca="false">-In_Upfront_Fee*$E99*(CK98=0)*(CK99&gt;0)</f>
        <v>-0</v>
      </c>
      <c r="CL104" s="33" t="n">
        <f aca="false">-In_Upfront_Fee*$E99*(CL98=0)*(CL99&gt;0)</f>
        <v>-0</v>
      </c>
      <c r="CM104" s="33" t="n">
        <f aca="false">-In_Upfront_Fee*$E99*(CM98=0)*(CM99&gt;0)</f>
        <v>-0</v>
      </c>
      <c r="CN104" s="33" t="n">
        <f aca="false">-In_Upfront_Fee*$E99*(CN98=0)*(CN99&gt;0)</f>
        <v>-0</v>
      </c>
      <c r="CO104" s="33" t="n">
        <f aca="false">-In_Upfront_Fee*$E99*(CO98=0)*(CO99&gt;0)</f>
        <v>-0</v>
      </c>
      <c r="CP104" s="33" t="n">
        <f aca="false">-In_Upfront_Fee*$E99*(CP98=0)*(CP99&gt;0)</f>
        <v>-0</v>
      </c>
      <c r="CQ104" s="33" t="n">
        <f aca="false">-In_Upfront_Fee*$E99*(CQ98=0)*(CQ99&gt;0)</f>
        <v>-0</v>
      </c>
      <c r="CR104" s="33" t="n">
        <f aca="false">-In_Upfront_Fee*$E99*(CR98=0)*(CR99&gt;0)</f>
        <v>-0</v>
      </c>
      <c r="CS104" s="33" t="n">
        <f aca="false">-In_Upfront_Fee*$E99*(CS98=0)*(CS99&gt;0)</f>
        <v>-0</v>
      </c>
      <c r="CT104" s="33" t="n">
        <f aca="false">-In_Upfront_Fee*$E99*(CT98=0)*(CT99&gt;0)</f>
        <v>-0</v>
      </c>
      <c r="CU104" s="33" t="n">
        <f aca="false">-In_Upfront_Fee*$E99*(CU98=0)*(CU99&gt;0)</f>
        <v>-0</v>
      </c>
      <c r="CV104" s="33" t="n">
        <f aca="false">-In_Upfront_Fee*$E99*(CV98=0)*(CV99&gt;0)</f>
        <v>-0</v>
      </c>
      <c r="CW104" s="33" t="n">
        <f aca="false">-In_Upfront_Fee*$E99*(CW98=0)*(CW99&gt;0)</f>
        <v>-0</v>
      </c>
      <c r="CX104" s="33" t="n">
        <f aca="false">-In_Upfront_Fee*$E99*(CX98=0)*(CX99&gt;0)</f>
        <v>-0</v>
      </c>
      <c r="CY104" s="33" t="n">
        <f aca="false">-In_Upfront_Fee*$E99*(CY98=0)*(CY99&gt;0)</f>
        <v>-0</v>
      </c>
      <c r="CZ104" s="33" t="n">
        <f aca="false">-In_Upfront_Fee*$E99*(CZ98=0)*(CZ99&gt;0)</f>
        <v>-0</v>
      </c>
      <c r="DA104" s="33" t="n">
        <f aca="false">-In_Upfront_Fee*$E99*(DA98=0)*(DA99&gt;0)</f>
        <v>-0</v>
      </c>
      <c r="DB104" s="33" t="n">
        <f aca="false">-In_Upfront_Fee*$E99*(DB98=0)*(DB99&gt;0)</f>
        <v>-0</v>
      </c>
      <c r="DC104" s="33" t="n">
        <f aca="false">-In_Upfront_Fee*$E99*(DC98=0)*(DC99&gt;0)</f>
        <v>-0</v>
      </c>
      <c r="DD104" s="33" t="n">
        <f aca="false">-In_Upfront_Fee*$E99*(DD98=0)*(DD99&gt;0)</f>
        <v>-0</v>
      </c>
      <c r="DE104" s="33" t="n">
        <f aca="false">-In_Upfront_Fee*$E99*(DE98=0)*(DE99&gt;0)</f>
        <v>-0</v>
      </c>
      <c r="DF104" s="33" t="n">
        <f aca="false">-In_Upfront_Fee*$E99*(DF98=0)*(DF99&gt;0)</f>
        <v>-0</v>
      </c>
      <c r="DG104" s="33" t="n">
        <f aca="false">-In_Upfront_Fee*$E99*(DG98=0)*(DG99&gt;0)</f>
        <v>-0</v>
      </c>
      <c r="DH104" s="33" t="n">
        <f aca="false">-In_Upfront_Fee*$E99*(DH98=0)*(DH99&gt;0)</f>
        <v>-0</v>
      </c>
      <c r="DI104" s="33" t="n">
        <f aca="false">-In_Upfront_Fee*$E99*(DI98=0)*(DI99&gt;0)</f>
        <v>-0</v>
      </c>
      <c r="DJ104" s="33" t="n">
        <f aca="false">-In_Upfront_Fee*$E99*(DJ98=0)*(DJ99&gt;0)</f>
        <v>-0</v>
      </c>
      <c r="DK104" s="33" t="n">
        <f aca="false">-In_Upfront_Fee*$E99*(DK98=0)*(DK99&gt;0)</f>
        <v>-0</v>
      </c>
      <c r="DL104" s="33" t="n">
        <f aca="false">-In_Upfront_Fee*$E99*(DL98=0)*(DL99&gt;0)</f>
        <v>-0</v>
      </c>
      <c r="DM104" s="33" t="n">
        <f aca="false">-In_Upfront_Fee*$E99*(DM98=0)*(DM99&gt;0)</f>
        <v>-0</v>
      </c>
      <c r="DN104" s="33" t="n">
        <f aca="false">-In_Upfront_Fee*$E99*(DN98=0)*(DN99&gt;0)</f>
        <v>-0</v>
      </c>
      <c r="DO104" s="33" t="n">
        <f aca="false">-In_Upfront_Fee*$E99*(DO98=0)*(DO99&gt;0)</f>
        <v>-0</v>
      </c>
      <c r="DP104" s="33" t="n">
        <f aca="false">-In_Upfront_Fee*$E99*(DP98=0)*(DP99&gt;0)</f>
        <v>-0</v>
      </c>
      <c r="DQ104" s="33" t="n">
        <f aca="false">-In_Upfront_Fee*$E99*(DQ98=0)*(DQ99&gt;0)</f>
        <v>-0</v>
      </c>
      <c r="DR104" s="33" t="n">
        <f aca="false">-In_Upfront_Fee*$E99*(DR98=0)*(DR99&gt;0)</f>
        <v>-0</v>
      </c>
      <c r="DS104" s="33" t="n">
        <f aca="false">-In_Upfront_Fee*$E99*(DS98=0)*(DS99&gt;0)</f>
        <v>-0</v>
      </c>
      <c r="DT104" s="33" t="n">
        <f aca="false">-In_Upfront_Fee*$E99*(DT98=0)*(DT99&gt;0)</f>
        <v>-0</v>
      </c>
      <c r="DU104" s="33" t="n">
        <f aca="false">-In_Upfront_Fee*$E99*(DU98=0)*(DU99&gt;0)</f>
        <v>-0</v>
      </c>
      <c r="DV104" s="33" t="n">
        <f aca="false">-In_Upfront_Fee*$E99*(DV98=0)*(DV99&gt;0)</f>
        <v>-0</v>
      </c>
      <c r="DW104" s="33" t="n">
        <f aca="false">-In_Upfront_Fee*$E99*(DW98=0)*(DW99&gt;0)</f>
        <v>-0</v>
      </c>
      <c r="DX104" s="33" t="n">
        <f aca="false">-In_Upfront_Fee*$E99*(DX98=0)*(DX99&gt;0)</f>
        <v>-0</v>
      </c>
      <c r="DY104" s="33" t="n">
        <f aca="false">-In_Upfront_Fee*$E99*(DY98=0)*(DY99&gt;0)</f>
        <v>-0</v>
      </c>
      <c r="DZ104" s="33" t="n">
        <f aca="false">-In_Upfront_Fee*$E99*(DZ98=0)*(DZ99&gt;0)</f>
        <v>-0</v>
      </c>
      <c r="EA104" s="33" t="n">
        <f aca="false">-In_Upfront_Fee*$E99*(EA98=0)*(EA99&gt;0)</f>
        <v>-0</v>
      </c>
      <c r="EB104" s="33" t="n">
        <f aca="false">-In_Upfront_Fee*$E99*(EB98=0)*(EB99&gt;0)</f>
        <v>-0</v>
      </c>
      <c r="EC104" s="33" t="n">
        <f aca="false">-In_Upfront_Fee*$E99*(EC98=0)*(EC99&gt;0)</f>
        <v>-0</v>
      </c>
      <c r="ED104" s="33" t="n">
        <f aca="false">-In_Upfront_Fee*$E99*(ED98=0)*(ED99&gt;0)</f>
        <v>-0</v>
      </c>
      <c r="EE104" s="33" t="n">
        <f aca="false">-In_Upfront_Fee*$E99*(EE98=0)*(EE99&gt;0)</f>
        <v>-0</v>
      </c>
      <c r="EF104" s="33" t="n">
        <f aca="false">-In_Upfront_Fee*$E99*(EF98=0)*(EF99&gt;0)</f>
        <v>-0</v>
      </c>
      <c r="EG104" s="33" t="n">
        <f aca="false">-In_Upfront_Fee*$E99*(EG98=0)*(EG99&gt;0)</f>
        <v>-0</v>
      </c>
      <c r="EH104" s="33" t="n">
        <f aca="false">-In_Upfront_Fee*$E99*(EH98=0)*(EH99&gt;0)</f>
        <v>-0</v>
      </c>
      <c r="EI104" s="33" t="n">
        <f aca="false">-In_Upfront_Fee*$E99*(EI98=0)*(EI99&gt;0)</f>
        <v>-0</v>
      </c>
      <c r="EJ104" s="33" t="n">
        <f aca="false">-In_Upfront_Fee*$E99*(EJ98=0)*(EJ99&gt;0)</f>
        <v>-0</v>
      </c>
      <c r="EK104" s="33" t="n">
        <f aca="false">-In_Upfront_Fee*$E99*(EK98=0)*(EK99&gt;0)</f>
        <v>-0</v>
      </c>
      <c r="EL104" s="33" t="n">
        <f aca="false">-In_Upfront_Fee*$E99*(EL98=0)*(EL99&gt;0)</f>
        <v>-0</v>
      </c>
      <c r="EM104" s="33" t="n">
        <f aca="false">-In_Upfront_Fee*$E99*(EM98=0)*(EM99&gt;0)</f>
        <v>-0</v>
      </c>
      <c r="EN104" s="33" t="n">
        <f aca="false">-In_Upfront_Fee*$E99*(EN98=0)*(EN99&gt;0)</f>
        <v>-0</v>
      </c>
      <c r="EO104" s="33" t="n">
        <f aca="false">-In_Upfront_Fee*$E99*(EO98=0)*(EO99&gt;0)</f>
        <v>-0</v>
      </c>
      <c r="EP104" s="33" t="n">
        <f aca="false">-In_Upfront_Fee*$E99*(EP98=0)*(EP99&gt;0)</f>
        <v>-0</v>
      </c>
      <c r="EQ104" s="33" t="n">
        <f aca="false">-In_Upfront_Fee*$E99*(EQ98=0)*(EQ99&gt;0)</f>
        <v>-0</v>
      </c>
      <c r="ER104" s="33" t="n">
        <f aca="false">-In_Upfront_Fee*$E99*(ER98=0)*(ER99&gt;0)</f>
        <v>-0</v>
      </c>
      <c r="ES104" s="33" t="n">
        <f aca="false">-In_Upfront_Fee*$E99*(ES98=0)*(ES99&gt;0)</f>
        <v>-0</v>
      </c>
      <c r="ET104" s="33" t="n">
        <f aca="false">-In_Upfront_Fee*$E99*(ET98=0)*(ET99&gt;0)</f>
        <v>-0</v>
      </c>
    </row>
    <row r="105" customFormat="false" ht="15" hidden="false" customHeight="false" outlineLevel="0" collapsed="false">
      <c r="C105" s="0" t="s">
        <v>560</v>
      </c>
      <c r="D105" s="11" t="s">
        <v>253</v>
      </c>
      <c r="I105" s="33" t="n">
        <f aca="false">SUM(J105:ET105)</f>
        <v>-962.619234608902</v>
      </c>
      <c r="J105" s="33" t="n">
        <f aca="false">-In_Commitment_Fee*($E99-SUM($J99:J99)+J99)*J$6*(J13&gt;0)</f>
        <v>-0</v>
      </c>
      <c r="K105" s="33" t="n">
        <f aca="false">-In_Commitment_Fee*($E99-SUM($J99:K99)+K99)*K$6*(K13&gt;0)</f>
        <v>-0</v>
      </c>
      <c r="L105" s="33" t="n">
        <f aca="false">-In_Commitment_Fee*($E99-SUM($J99:L99)+L99)*L$6*(L13&gt;0)</f>
        <v>-0</v>
      </c>
      <c r="M105" s="33" t="n">
        <f aca="false">-In_Commitment_Fee*($E99-SUM($J99:M99)+M99)*M$6*(M13&gt;0)</f>
        <v>-0</v>
      </c>
      <c r="N105" s="33" t="n">
        <f aca="false">-In_Commitment_Fee*($E99-SUM($J99:N99)+N99)*N$6*(N13&gt;0)</f>
        <v>-0</v>
      </c>
      <c r="O105" s="33" t="n">
        <f aca="false">-In_Commitment_Fee*($E99-SUM($J99:O99)+O99)*O$6*(O13&gt;0)</f>
        <v>-0</v>
      </c>
      <c r="P105" s="33" t="n">
        <f aca="false">-In_Commitment_Fee*($E99-SUM($J99:P99)+P99)*P$6*(P13&gt;0)</f>
        <v>-0</v>
      </c>
      <c r="Q105" s="33" t="n">
        <f aca="false">-In_Commitment_Fee*($E99-SUM($J99:Q99)+Q99)*Q$6*(Q13&gt;0)</f>
        <v>-0</v>
      </c>
      <c r="R105" s="33" t="n">
        <f aca="false">-In_Commitment_Fee*($E99-SUM($J99:R99)+R99)*R$6*(R13&gt;0)</f>
        <v>-0</v>
      </c>
      <c r="S105" s="33" t="n">
        <f aca="false">-In_Commitment_Fee*($E99-SUM($J99:S99)+S99)*S$6*(S13&gt;0)</f>
        <v>-0</v>
      </c>
      <c r="T105" s="33" t="n">
        <f aca="false">-In_Commitment_Fee*($E99-SUM($J99:T99)+T99)*T$6*(T13&gt;0)</f>
        <v>-0</v>
      </c>
      <c r="U105" s="33" t="n">
        <f aca="false">-In_Commitment_Fee*($E99-SUM($J99:U99)+U99)*U$6*(U13&gt;0)</f>
        <v>-0</v>
      </c>
      <c r="V105" s="33" t="n">
        <f aca="false">-In_Commitment_Fee*($E99-SUM($J99:V99)+V99)*V$6*(V13&gt;0)</f>
        <v>-0</v>
      </c>
      <c r="W105" s="33" t="n">
        <f aca="false">-In_Commitment_Fee*($E99-SUM($J99:W99)+W99)*W$6*(W13&gt;0)</f>
        <v>-215.671615518913</v>
      </c>
      <c r="X105" s="33" t="n">
        <f aca="false">-In_Commitment_Fee*($E99-SUM($J99:X99)+X99)*X$6*(X13&gt;0)</f>
        <v>-184.393450909708</v>
      </c>
      <c r="Y105" s="33" t="n">
        <f aca="false">-In_Commitment_Fee*($E99-SUM($J99:Y99)+Y99)*Y$6*(Y13&gt;0)</f>
        <v>-160.141633750702</v>
      </c>
      <c r="Z105" s="33" t="n">
        <f aca="false">-In_Commitment_Fee*($E99-SUM($J99:Z99)+Z99)*Z$6*(Z13&gt;0)</f>
        <v>-135.016340126224</v>
      </c>
      <c r="AA105" s="33" t="n">
        <f aca="false">-In_Commitment_Fee*($E99-SUM($J99:AA99)+AA99)*AA$6*(AA13&gt;0)</f>
        <v>-107.835807759457</v>
      </c>
      <c r="AB105" s="33" t="n">
        <f aca="false">-In_Commitment_Fee*($E99-SUM($J99:AB99)+AB99)*AB$6*(AB13&gt;0)</f>
        <v>-78.9018998406745</v>
      </c>
      <c r="AC105" s="33" t="n">
        <f aca="false">-In_Commitment_Fee*($E99-SUM($J99:AC99)+AC99)*AC$6*(AC13&gt;0)</f>
        <v>-53.4779543364571</v>
      </c>
      <c r="AD105" s="33" t="n">
        <f aca="false">-In_Commitment_Fee*($E99-SUM($J99:AD99)+AD99)*AD$6*(AD13&gt;0)</f>
        <v>-27.1805323667671</v>
      </c>
      <c r="AE105" s="33" t="n">
        <f aca="false">-In_Commitment_Fee*($E99-SUM($J99:AE99)+AE99)*AE$6*(AE13&gt;0)</f>
        <v>-0</v>
      </c>
      <c r="AF105" s="33" t="n">
        <f aca="false">-In_Commitment_Fee*($E99-SUM($J99:AF99)+AF99)*AF$6*(AF13&gt;0)</f>
        <v>-0</v>
      </c>
      <c r="AG105" s="33" t="n">
        <f aca="false">-In_Commitment_Fee*($E99-SUM($J99:AG99)+AG99)*AG$6*(AG13&gt;0)</f>
        <v>-0</v>
      </c>
      <c r="AH105" s="33" t="n">
        <f aca="false">-In_Commitment_Fee*($E99-SUM($J99:AH99)+AH99)*AH$6*(AH13&gt;0)</f>
        <v>-0</v>
      </c>
      <c r="AI105" s="33" t="n">
        <f aca="false">-In_Commitment_Fee*($E99-SUM($J99:AI99)+AI99)*AI$6*(AI13&gt;0)</f>
        <v>-0</v>
      </c>
      <c r="AJ105" s="33" t="n">
        <f aca="false">-In_Commitment_Fee*($E99-SUM($J99:AJ99)+AJ99)*AJ$6*(AJ13&gt;0)</f>
        <v>-0</v>
      </c>
      <c r="AK105" s="33" t="n">
        <f aca="false">-In_Commitment_Fee*($E99-SUM($J99:AK99)+AK99)*AK$6*(AK13&gt;0)</f>
        <v>-0</v>
      </c>
      <c r="AL105" s="33" t="n">
        <f aca="false">-In_Commitment_Fee*($E99-SUM($J99:AL99)+AL99)*AL$6*(AL13&gt;0)</f>
        <v>-0</v>
      </c>
      <c r="AM105" s="33" t="n">
        <f aca="false">-In_Commitment_Fee*($E99-SUM($J99:AM99)+AM99)*AM$6*(AM13&gt;0)</f>
        <v>-0</v>
      </c>
      <c r="AN105" s="33" t="n">
        <f aca="false">-In_Commitment_Fee*($E99-SUM($J99:AN99)+AN99)*AN$6*(AN13&gt;0)</f>
        <v>-0</v>
      </c>
      <c r="AO105" s="33" t="n">
        <f aca="false">-In_Commitment_Fee*($E99-SUM($J99:AO99)+AO99)*AO$6*(AO13&gt;0)</f>
        <v>-0</v>
      </c>
      <c r="AP105" s="33" t="n">
        <f aca="false">-In_Commitment_Fee*($E99-SUM($J99:AP99)+AP99)*AP$6*(AP13&gt;0)</f>
        <v>-0</v>
      </c>
      <c r="AQ105" s="33" t="n">
        <f aca="false">-In_Commitment_Fee*($E99-SUM($J99:AQ99)+AQ99)*AQ$6*(AQ13&gt;0)</f>
        <v>-0</v>
      </c>
      <c r="AR105" s="33" t="n">
        <f aca="false">-In_Commitment_Fee*($E99-SUM($J99:AR99)+AR99)*AR$6*(AR13&gt;0)</f>
        <v>-0</v>
      </c>
      <c r="AS105" s="33" t="n">
        <f aca="false">-In_Commitment_Fee*($E99-SUM($J99:AS99)+AS99)*AS$6*(AS13&gt;0)</f>
        <v>-0</v>
      </c>
      <c r="AT105" s="33" t="n">
        <f aca="false">-In_Commitment_Fee*($E99-SUM($J99:AT99)+AT99)*AT$6*(AT13&gt;0)</f>
        <v>-0</v>
      </c>
      <c r="AU105" s="33" t="n">
        <f aca="false">-In_Commitment_Fee*($E99-SUM($J99:AU99)+AU99)*AU$6*(AU13&gt;0)</f>
        <v>-0</v>
      </c>
      <c r="AV105" s="33" t="n">
        <f aca="false">-In_Commitment_Fee*($E99-SUM($J99:AV99)+AV99)*AV$6*(AV13&gt;0)</f>
        <v>-0</v>
      </c>
      <c r="AW105" s="33" t="n">
        <f aca="false">-In_Commitment_Fee*($E99-SUM($J99:AW99)+AW99)*AW$6*(AW13&gt;0)</f>
        <v>-0</v>
      </c>
      <c r="AX105" s="33" t="n">
        <f aca="false">-In_Commitment_Fee*($E99-SUM($J99:AX99)+AX99)*AX$6*(AX13&gt;0)</f>
        <v>-0</v>
      </c>
      <c r="AY105" s="33" t="n">
        <f aca="false">-In_Commitment_Fee*($E99-SUM($J99:AY99)+AY99)*AY$6*(AY13&gt;0)</f>
        <v>-0</v>
      </c>
      <c r="AZ105" s="33" t="n">
        <f aca="false">-In_Commitment_Fee*($E99-SUM($J99:AZ99)+AZ99)*AZ$6*(AZ13&gt;0)</f>
        <v>-0</v>
      </c>
      <c r="BA105" s="33" t="n">
        <f aca="false">-In_Commitment_Fee*($E99-SUM($J99:BA99)+BA99)*BA$6*(BA13&gt;0)</f>
        <v>-0</v>
      </c>
      <c r="BB105" s="33" t="n">
        <f aca="false">-In_Commitment_Fee*($E99-SUM($J99:BB99)+BB99)*BB$6*(BB13&gt;0)</f>
        <v>-0</v>
      </c>
      <c r="BC105" s="33" t="n">
        <f aca="false">-In_Commitment_Fee*($E99-SUM($J99:BC99)+BC99)*BC$6*(BC13&gt;0)</f>
        <v>-0</v>
      </c>
      <c r="BD105" s="33" t="n">
        <f aca="false">-In_Commitment_Fee*($E99-SUM($J99:BD99)+BD99)*BD$6*(BD13&gt;0)</f>
        <v>-0</v>
      </c>
      <c r="BE105" s="33" t="n">
        <f aca="false">-In_Commitment_Fee*($E99-SUM($J99:BE99)+BE99)*BE$6*(BE13&gt;0)</f>
        <v>-0</v>
      </c>
      <c r="BF105" s="33" t="n">
        <f aca="false">-In_Commitment_Fee*($E99-SUM($J99:BF99)+BF99)*BF$6*(BF13&gt;0)</f>
        <v>-0</v>
      </c>
      <c r="BG105" s="33" t="n">
        <f aca="false">-In_Commitment_Fee*($E99-SUM($J99:BG99)+BG99)*BG$6*(BG13&gt;0)</f>
        <v>-0</v>
      </c>
      <c r="BH105" s="33" t="n">
        <f aca="false">-In_Commitment_Fee*($E99-SUM($J99:BH99)+BH99)*BH$6*(BH13&gt;0)</f>
        <v>-0</v>
      </c>
      <c r="BI105" s="33" t="n">
        <f aca="false">-In_Commitment_Fee*($E99-SUM($J99:BI99)+BI99)*BI$6*(BI13&gt;0)</f>
        <v>-0</v>
      </c>
      <c r="BJ105" s="33" t="n">
        <f aca="false">-In_Commitment_Fee*($E99-SUM($J99:BJ99)+BJ99)*BJ$6*(BJ13&gt;0)</f>
        <v>-0</v>
      </c>
      <c r="BK105" s="33" t="n">
        <f aca="false">-In_Commitment_Fee*($E99-SUM($J99:BK99)+BK99)*BK$6*(BK13&gt;0)</f>
        <v>-0</v>
      </c>
      <c r="BL105" s="33" t="n">
        <f aca="false">-In_Commitment_Fee*($E99-SUM($J99:BL99)+BL99)*BL$6*(BL13&gt;0)</f>
        <v>-0</v>
      </c>
      <c r="BM105" s="33" t="n">
        <f aca="false">-In_Commitment_Fee*($E99-SUM($J99:BM99)+BM99)*BM$6*(BM13&gt;0)</f>
        <v>-0</v>
      </c>
      <c r="BN105" s="33" t="n">
        <f aca="false">-In_Commitment_Fee*($E99-SUM($J99:BN99)+BN99)*BN$6*(BN13&gt;0)</f>
        <v>-0</v>
      </c>
      <c r="BO105" s="33" t="n">
        <f aca="false">-In_Commitment_Fee*($E99-SUM($J99:BO99)+BO99)*BO$6*(BO13&gt;0)</f>
        <v>-0</v>
      </c>
      <c r="BP105" s="33" t="n">
        <f aca="false">-In_Commitment_Fee*($E99-SUM($J99:BP99)+BP99)*BP$6*(BP13&gt;0)</f>
        <v>-0</v>
      </c>
      <c r="BQ105" s="33" t="n">
        <f aca="false">-In_Commitment_Fee*($E99-SUM($J99:BQ99)+BQ99)*BQ$6*(BQ13&gt;0)</f>
        <v>-0</v>
      </c>
      <c r="BR105" s="33" t="n">
        <f aca="false">-In_Commitment_Fee*($E99-SUM($J99:BR99)+BR99)*BR$6*(BR13&gt;0)</f>
        <v>-0</v>
      </c>
      <c r="BS105" s="33" t="n">
        <f aca="false">-In_Commitment_Fee*($E99-SUM($J99:BS99)+BS99)*BS$6*(BS13&gt;0)</f>
        <v>-0</v>
      </c>
      <c r="BT105" s="33" t="n">
        <f aca="false">-In_Commitment_Fee*($E99-SUM($J99:BT99)+BT99)*BT$6*(BT13&gt;0)</f>
        <v>-0</v>
      </c>
      <c r="BU105" s="33" t="n">
        <f aca="false">-In_Commitment_Fee*($E99-SUM($J99:BU99)+BU99)*BU$6*(BU13&gt;0)</f>
        <v>-0</v>
      </c>
      <c r="BV105" s="33" t="n">
        <f aca="false">-In_Commitment_Fee*($E99-SUM($J99:BV99)+BV99)*BV$6*(BV13&gt;0)</f>
        <v>-0</v>
      </c>
      <c r="BW105" s="33" t="n">
        <f aca="false">-In_Commitment_Fee*($E99-SUM($J99:BW99)+BW99)*BW$6*(BW13&gt;0)</f>
        <v>-0</v>
      </c>
      <c r="BX105" s="33" t="n">
        <f aca="false">-In_Commitment_Fee*($E99-SUM($J99:BX99)+BX99)*BX$6*(BX13&gt;0)</f>
        <v>-0</v>
      </c>
      <c r="BY105" s="33" t="n">
        <f aca="false">-In_Commitment_Fee*($E99-SUM($J99:BY99)+BY99)*BY$6*(BY13&gt;0)</f>
        <v>-0</v>
      </c>
      <c r="BZ105" s="33" t="n">
        <f aca="false">-In_Commitment_Fee*($E99-SUM($J99:BZ99)+BZ99)*BZ$6*(BZ13&gt;0)</f>
        <v>-0</v>
      </c>
      <c r="CA105" s="33" t="n">
        <f aca="false">-In_Commitment_Fee*($E99-SUM($J99:CA99)+CA99)*CA$6*(CA13&gt;0)</f>
        <v>-0</v>
      </c>
      <c r="CB105" s="33" t="n">
        <f aca="false">-In_Commitment_Fee*($E99-SUM($J99:CB99)+CB99)*CB$6*(CB13&gt;0)</f>
        <v>-0</v>
      </c>
      <c r="CC105" s="33" t="n">
        <f aca="false">-In_Commitment_Fee*($E99-SUM($J99:CC99)+CC99)*CC$6*(CC13&gt;0)</f>
        <v>-0</v>
      </c>
      <c r="CD105" s="33" t="n">
        <f aca="false">-In_Commitment_Fee*($E99-SUM($J99:CD99)+CD99)*CD$6*(CD13&gt;0)</f>
        <v>-0</v>
      </c>
      <c r="CE105" s="33" t="n">
        <f aca="false">-In_Commitment_Fee*($E99-SUM($J99:CE99)+CE99)*CE$6*(CE13&gt;0)</f>
        <v>-0</v>
      </c>
      <c r="CF105" s="33" t="n">
        <f aca="false">-In_Commitment_Fee*($E99-SUM($J99:CF99)+CF99)*CF$6*(CF13&gt;0)</f>
        <v>-0</v>
      </c>
      <c r="CG105" s="33" t="n">
        <f aca="false">-In_Commitment_Fee*($E99-SUM($J99:CG99)+CG99)*CG$6*(CG13&gt;0)</f>
        <v>-0</v>
      </c>
      <c r="CH105" s="33" t="n">
        <f aca="false">-In_Commitment_Fee*($E99-SUM($J99:CH99)+CH99)*CH$6*(CH13&gt;0)</f>
        <v>-0</v>
      </c>
      <c r="CI105" s="33" t="n">
        <f aca="false">-In_Commitment_Fee*($E99-SUM($J99:CI99)+CI99)*CI$6*(CI13&gt;0)</f>
        <v>-0</v>
      </c>
      <c r="CJ105" s="33" t="n">
        <f aca="false">-In_Commitment_Fee*($E99-SUM($J99:CJ99)+CJ99)*CJ$6*(CJ13&gt;0)</f>
        <v>-0</v>
      </c>
      <c r="CK105" s="33" t="n">
        <f aca="false">-In_Commitment_Fee*($E99-SUM($J99:CK99)+CK99)*CK$6*(CK13&gt;0)</f>
        <v>-0</v>
      </c>
      <c r="CL105" s="33" t="n">
        <f aca="false">-In_Commitment_Fee*($E99-SUM($J99:CL99)+CL99)*CL$6*(CL13&gt;0)</f>
        <v>-0</v>
      </c>
      <c r="CM105" s="33" t="n">
        <f aca="false">-In_Commitment_Fee*($E99-SUM($J99:CM99)+CM99)*CM$6*(CM13&gt;0)</f>
        <v>-0</v>
      </c>
      <c r="CN105" s="33" t="n">
        <f aca="false">-In_Commitment_Fee*($E99-SUM($J99:CN99)+CN99)*CN$6*(CN13&gt;0)</f>
        <v>-0</v>
      </c>
      <c r="CO105" s="33" t="n">
        <f aca="false">-In_Commitment_Fee*($E99-SUM($J99:CO99)+CO99)*CO$6*(CO13&gt;0)</f>
        <v>-0</v>
      </c>
      <c r="CP105" s="33" t="n">
        <f aca="false">-In_Commitment_Fee*($E99-SUM($J99:CP99)+CP99)*CP$6*(CP13&gt;0)</f>
        <v>-0</v>
      </c>
      <c r="CQ105" s="33" t="n">
        <f aca="false">-In_Commitment_Fee*($E99-SUM($J99:CQ99)+CQ99)*CQ$6*(CQ13&gt;0)</f>
        <v>-0</v>
      </c>
      <c r="CR105" s="33" t="n">
        <f aca="false">-In_Commitment_Fee*($E99-SUM($J99:CR99)+CR99)*CR$6*(CR13&gt;0)</f>
        <v>-0</v>
      </c>
      <c r="CS105" s="33" t="n">
        <f aca="false">-In_Commitment_Fee*($E99-SUM($J99:CS99)+CS99)*CS$6*(CS13&gt;0)</f>
        <v>-0</v>
      </c>
      <c r="CT105" s="33" t="n">
        <f aca="false">-In_Commitment_Fee*($E99-SUM($J99:CT99)+CT99)*CT$6*(CT13&gt;0)</f>
        <v>-0</v>
      </c>
      <c r="CU105" s="33" t="n">
        <f aca="false">-In_Commitment_Fee*($E99-SUM($J99:CU99)+CU99)*CU$6*(CU13&gt;0)</f>
        <v>-0</v>
      </c>
      <c r="CV105" s="33" t="n">
        <f aca="false">-In_Commitment_Fee*($E99-SUM($J99:CV99)+CV99)*CV$6*(CV13&gt;0)</f>
        <v>-0</v>
      </c>
      <c r="CW105" s="33" t="n">
        <f aca="false">-In_Commitment_Fee*($E99-SUM($J99:CW99)+CW99)*CW$6*(CW13&gt;0)</f>
        <v>-0</v>
      </c>
      <c r="CX105" s="33" t="n">
        <f aca="false">-In_Commitment_Fee*($E99-SUM($J99:CX99)+CX99)*CX$6*(CX13&gt;0)</f>
        <v>-0</v>
      </c>
      <c r="CY105" s="33" t="n">
        <f aca="false">-In_Commitment_Fee*($E99-SUM($J99:CY99)+CY99)*CY$6*(CY13&gt;0)</f>
        <v>-0</v>
      </c>
      <c r="CZ105" s="33" t="n">
        <f aca="false">-In_Commitment_Fee*($E99-SUM($J99:CZ99)+CZ99)*CZ$6*(CZ13&gt;0)</f>
        <v>-0</v>
      </c>
      <c r="DA105" s="33" t="n">
        <f aca="false">-In_Commitment_Fee*($E99-SUM($J99:DA99)+DA99)*DA$6*(DA13&gt;0)</f>
        <v>-0</v>
      </c>
      <c r="DB105" s="33" t="n">
        <f aca="false">-In_Commitment_Fee*($E99-SUM($J99:DB99)+DB99)*DB$6*(DB13&gt;0)</f>
        <v>-0</v>
      </c>
      <c r="DC105" s="33" t="n">
        <f aca="false">-In_Commitment_Fee*($E99-SUM($J99:DC99)+DC99)*DC$6*(DC13&gt;0)</f>
        <v>-0</v>
      </c>
      <c r="DD105" s="33" t="n">
        <f aca="false">-In_Commitment_Fee*($E99-SUM($J99:DD99)+DD99)*DD$6*(DD13&gt;0)</f>
        <v>-0</v>
      </c>
      <c r="DE105" s="33" t="n">
        <f aca="false">-In_Commitment_Fee*($E99-SUM($J99:DE99)+DE99)*DE$6*(DE13&gt;0)</f>
        <v>-0</v>
      </c>
      <c r="DF105" s="33" t="n">
        <f aca="false">-In_Commitment_Fee*($E99-SUM($J99:DF99)+DF99)*DF$6*(DF13&gt;0)</f>
        <v>-0</v>
      </c>
      <c r="DG105" s="33" t="n">
        <f aca="false">-In_Commitment_Fee*($E99-SUM($J99:DG99)+DG99)*DG$6*(DG13&gt;0)</f>
        <v>-0</v>
      </c>
      <c r="DH105" s="33" t="n">
        <f aca="false">-In_Commitment_Fee*($E99-SUM($J99:DH99)+DH99)*DH$6*(DH13&gt;0)</f>
        <v>-0</v>
      </c>
      <c r="DI105" s="33" t="n">
        <f aca="false">-In_Commitment_Fee*($E99-SUM($J99:DI99)+DI99)*DI$6*(DI13&gt;0)</f>
        <v>-0</v>
      </c>
      <c r="DJ105" s="33" t="n">
        <f aca="false">-In_Commitment_Fee*($E99-SUM($J99:DJ99)+DJ99)*DJ$6*(DJ13&gt;0)</f>
        <v>-0</v>
      </c>
      <c r="DK105" s="33" t="n">
        <f aca="false">-In_Commitment_Fee*($E99-SUM($J99:DK99)+DK99)*DK$6*(DK13&gt;0)</f>
        <v>-0</v>
      </c>
      <c r="DL105" s="33" t="n">
        <f aca="false">-In_Commitment_Fee*($E99-SUM($J99:DL99)+DL99)*DL$6*(DL13&gt;0)</f>
        <v>-0</v>
      </c>
      <c r="DM105" s="33" t="n">
        <f aca="false">-In_Commitment_Fee*($E99-SUM($J99:DM99)+DM99)*DM$6*(DM13&gt;0)</f>
        <v>-0</v>
      </c>
      <c r="DN105" s="33" t="n">
        <f aca="false">-In_Commitment_Fee*($E99-SUM($J99:DN99)+DN99)*DN$6*(DN13&gt;0)</f>
        <v>-0</v>
      </c>
      <c r="DO105" s="33" t="n">
        <f aca="false">-In_Commitment_Fee*($E99-SUM($J99:DO99)+DO99)*DO$6*(DO13&gt;0)</f>
        <v>-0</v>
      </c>
      <c r="DP105" s="33" t="n">
        <f aca="false">-In_Commitment_Fee*($E99-SUM($J99:DP99)+DP99)*DP$6*(DP13&gt;0)</f>
        <v>-0</v>
      </c>
      <c r="DQ105" s="33" t="n">
        <f aca="false">-In_Commitment_Fee*($E99-SUM($J99:DQ99)+DQ99)*DQ$6*(DQ13&gt;0)</f>
        <v>-0</v>
      </c>
      <c r="DR105" s="33" t="n">
        <f aca="false">-In_Commitment_Fee*($E99-SUM($J99:DR99)+DR99)*DR$6*(DR13&gt;0)</f>
        <v>-0</v>
      </c>
      <c r="DS105" s="33" t="n">
        <f aca="false">-In_Commitment_Fee*($E99-SUM($J99:DS99)+DS99)*DS$6*(DS13&gt;0)</f>
        <v>-0</v>
      </c>
      <c r="DT105" s="33" t="n">
        <f aca="false">-In_Commitment_Fee*($E99-SUM($J99:DT99)+DT99)*DT$6*(DT13&gt;0)</f>
        <v>-0</v>
      </c>
      <c r="DU105" s="33" t="n">
        <f aca="false">-In_Commitment_Fee*($E99-SUM($J99:DU99)+DU99)*DU$6*(DU13&gt;0)</f>
        <v>-0</v>
      </c>
      <c r="DV105" s="33" t="n">
        <f aca="false">-In_Commitment_Fee*($E99-SUM($J99:DV99)+DV99)*DV$6*(DV13&gt;0)</f>
        <v>-0</v>
      </c>
      <c r="DW105" s="33" t="n">
        <f aca="false">-In_Commitment_Fee*($E99-SUM($J99:DW99)+DW99)*DW$6*(DW13&gt;0)</f>
        <v>-0</v>
      </c>
      <c r="DX105" s="33" t="n">
        <f aca="false">-In_Commitment_Fee*($E99-SUM($J99:DX99)+DX99)*DX$6*(DX13&gt;0)</f>
        <v>-0</v>
      </c>
      <c r="DY105" s="33" t="n">
        <f aca="false">-In_Commitment_Fee*($E99-SUM($J99:DY99)+DY99)*DY$6*(DY13&gt;0)</f>
        <v>-0</v>
      </c>
      <c r="DZ105" s="33" t="n">
        <f aca="false">-In_Commitment_Fee*($E99-SUM($J99:DZ99)+DZ99)*DZ$6*(DZ13&gt;0)</f>
        <v>-0</v>
      </c>
      <c r="EA105" s="33" t="n">
        <f aca="false">-In_Commitment_Fee*($E99-SUM($J99:EA99)+EA99)*EA$6*(EA13&gt;0)</f>
        <v>-0</v>
      </c>
      <c r="EB105" s="33" t="n">
        <f aca="false">-In_Commitment_Fee*($E99-SUM($J99:EB99)+EB99)*EB$6*(EB13&gt;0)</f>
        <v>-0</v>
      </c>
      <c r="EC105" s="33" t="n">
        <f aca="false">-In_Commitment_Fee*($E99-SUM($J99:EC99)+EC99)*EC$6*(EC13&gt;0)</f>
        <v>-0</v>
      </c>
      <c r="ED105" s="33" t="n">
        <f aca="false">-In_Commitment_Fee*($E99-SUM($J99:ED99)+ED99)*ED$6*(ED13&gt;0)</f>
        <v>-0</v>
      </c>
      <c r="EE105" s="33" t="n">
        <f aca="false">-In_Commitment_Fee*($E99-SUM($J99:EE99)+EE99)*EE$6*(EE13&gt;0)</f>
        <v>-0</v>
      </c>
      <c r="EF105" s="33" t="n">
        <f aca="false">-In_Commitment_Fee*($E99-SUM($J99:EF99)+EF99)*EF$6*(EF13&gt;0)</f>
        <v>-0</v>
      </c>
      <c r="EG105" s="33" t="n">
        <f aca="false">-In_Commitment_Fee*($E99-SUM($J99:EG99)+EG99)*EG$6*(EG13&gt;0)</f>
        <v>-0</v>
      </c>
      <c r="EH105" s="33" t="n">
        <f aca="false">-In_Commitment_Fee*($E99-SUM($J99:EH99)+EH99)*EH$6*(EH13&gt;0)</f>
        <v>-0</v>
      </c>
      <c r="EI105" s="33" t="n">
        <f aca="false">-In_Commitment_Fee*($E99-SUM($J99:EI99)+EI99)*EI$6*(EI13&gt;0)</f>
        <v>-0</v>
      </c>
      <c r="EJ105" s="33" t="n">
        <f aca="false">-In_Commitment_Fee*($E99-SUM($J99:EJ99)+EJ99)*EJ$6*(EJ13&gt;0)</f>
        <v>-0</v>
      </c>
      <c r="EK105" s="33" t="n">
        <f aca="false">-In_Commitment_Fee*($E99-SUM($J99:EK99)+EK99)*EK$6*(EK13&gt;0)</f>
        <v>-0</v>
      </c>
      <c r="EL105" s="33" t="n">
        <f aca="false">-In_Commitment_Fee*($E99-SUM($J99:EL99)+EL99)*EL$6*(EL13&gt;0)</f>
        <v>-0</v>
      </c>
      <c r="EM105" s="33" t="n">
        <f aca="false">-In_Commitment_Fee*($E99-SUM($J99:EM99)+EM99)*EM$6*(EM13&gt;0)</f>
        <v>-0</v>
      </c>
      <c r="EN105" s="33" t="n">
        <f aca="false">-In_Commitment_Fee*($E99-SUM($J99:EN99)+EN99)*EN$6*(EN13&gt;0)</f>
        <v>-0</v>
      </c>
      <c r="EO105" s="33" t="n">
        <f aca="false">-In_Commitment_Fee*($E99-SUM($J99:EO99)+EO99)*EO$6*(EO13&gt;0)</f>
        <v>-0</v>
      </c>
      <c r="EP105" s="33" t="n">
        <f aca="false">-In_Commitment_Fee*($E99-SUM($J99:EP99)+EP99)*EP$6*(EP13&gt;0)</f>
        <v>-0</v>
      </c>
      <c r="EQ105" s="33" t="n">
        <f aca="false">-In_Commitment_Fee*($E99-SUM($J99:EQ99)+EQ99)*EQ$6*(EQ13&gt;0)</f>
        <v>-0</v>
      </c>
      <c r="ER105" s="33" t="n">
        <f aca="false">-In_Commitment_Fee*($E99-SUM($J99:ER99)+ER99)*ER$6*(ER13&gt;0)</f>
        <v>-0</v>
      </c>
      <c r="ES105" s="33" t="n">
        <f aca="false">-In_Commitment_Fee*($E99-SUM($J99:ES99)+ES99)*ES$6*(ES13&gt;0)</f>
        <v>-0</v>
      </c>
      <c r="ET105" s="33" t="n">
        <f aca="false">-In_Commitment_Fee*($E99-SUM($J99:ET99)+ET99)*ET$6*(ET13&gt;0)</f>
        <v>-0</v>
      </c>
    </row>
    <row r="106" customFormat="false" ht="15" hidden="false" customHeight="false" outlineLevel="0" collapsed="false">
      <c r="C106" s="30" t="s">
        <v>561</v>
      </c>
      <c r="D106" s="11" t="s">
        <v>253</v>
      </c>
      <c r="I106" s="35" t="n">
        <f aca="false">SUM(J106:ET106)</f>
        <v>-161080.777710614</v>
      </c>
      <c r="J106" s="35" t="n">
        <f aca="false">J95+J53+J96+J104+J105</f>
        <v>-0</v>
      </c>
      <c r="K106" s="35" t="n">
        <f aca="false">K95+K53+K96+K104+K105</f>
        <v>-0</v>
      </c>
      <c r="L106" s="35" t="n">
        <f aca="false">L95+L53+L96+L104+L105</f>
        <v>-0</v>
      </c>
      <c r="M106" s="35" t="n">
        <f aca="false">M95+M53+M96+M104+M105</f>
        <v>-0</v>
      </c>
      <c r="N106" s="35" t="n">
        <f aca="false">N95+N53+N96+N104+N105</f>
        <v>-0</v>
      </c>
      <c r="O106" s="35" t="n">
        <f aca="false">O95+O53+O96+O104+O105</f>
        <v>-0</v>
      </c>
      <c r="P106" s="35" t="n">
        <f aca="false">P95+P53+P96+P104+P105</f>
        <v>-0</v>
      </c>
      <c r="Q106" s="35" t="n">
        <f aca="false">Q95+Q53+Q96+Q104+Q105</f>
        <v>-0</v>
      </c>
      <c r="R106" s="35" t="n">
        <f aca="false">R95+R53+R96+R104+R105</f>
        <v>-0</v>
      </c>
      <c r="S106" s="35" t="n">
        <f aca="false">S95+S53+S96+S104+S105</f>
        <v>-0</v>
      </c>
      <c r="T106" s="35" t="n">
        <f aca="false">T95+T53+T96+T104+T105</f>
        <v>-20179.3874082192</v>
      </c>
      <c r="U106" s="35" t="n">
        <f aca="false">U95+U53+U96+U104+U105</f>
        <v>-0</v>
      </c>
      <c r="V106" s="35" t="n">
        <f aca="false">V95+V53+V96+V104+V105</f>
        <v>-0</v>
      </c>
      <c r="W106" s="35" t="n">
        <f aca="false">W95+W53+W96+W104+W105</f>
        <v>-18675.7440531682</v>
      </c>
      <c r="X106" s="35" t="n">
        <f aca="false">X95+X53+X96+X104+X105</f>
        <v>-16615.5578344714</v>
      </c>
      <c r="Y106" s="35" t="n">
        <f aca="false">Y95+Y53+Y96+Y104+Y105</f>
        <v>-16773.874510463</v>
      </c>
      <c r="Z106" s="35" t="n">
        <f aca="false">Z95+Z53+Z96+Z104+Z105</f>
        <v>-16931.3177099892</v>
      </c>
      <c r="AA106" s="35" t="n">
        <f aca="false">AA95+AA53+AA96+AA104+AA105</f>
        <v>-16904.1371776225</v>
      </c>
      <c r="AB106" s="35" t="n">
        <f aca="false">AB95+AB53+AB96+AB104+AB105</f>
        <v>-16510.0662834023</v>
      </c>
      <c r="AC106" s="35" t="n">
        <f aca="false">AC95+AC53+AC96+AC104+AC105</f>
        <v>-16667.2108310488</v>
      </c>
      <c r="AD106" s="35" t="n">
        <f aca="false">AD95+AD53+AD96+AD104+AD105</f>
        <v>-21823.4819022298</v>
      </c>
      <c r="AE106" s="35" t="n">
        <f aca="false">AE95+AE53+AE96+AE104+AE105</f>
        <v>-0</v>
      </c>
      <c r="AF106" s="35" t="n">
        <f aca="false">AF95+AF53+AF96+AF104+AF105</f>
        <v>-0</v>
      </c>
      <c r="AG106" s="35" t="n">
        <f aca="false">AG95+AG53+AG96+AG104+AG105</f>
        <v>-0</v>
      </c>
      <c r="AH106" s="35" t="n">
        <f aca="false">AH95+AH53+AH96+AH104+AH105</f>
        <v>-0</v>
      </c>
      <c r="AI106" s="35" t="n">
        <f aca="false">AI95+AI53+AI96+AI104+AI105</f>
        <v>-0</v>
      </c>
      <c r="AJ106" s="35" t="n">
        <f aca="false">AJ95+AJ53+AJ96+AJ104+AJ105</f>
        <v>-0</v>
      </c>
      <c r="AK106" s="35" t="n">
        <f aca="false">AK95+AK53+AK96+AK104+AK105</f>
        <v>-0</v>
      </c>
      <c r="AL106" s="35" t="n">
        <f aca="false">AL95+AL53+AL96+AL104+AL105</f>
        <v>-0</v>
      </c>
      <c r="AM106" s="35" t="n">
        <f aca="false">AM95+AM53+AM96+AM104+AM105</f>
        <v>-0</v>
      </c>
      <c r="AN106" s="35" t="n">
        <f aca="false">AN95+AN53+AN96+AN104+AN105</f>
        <v>-0</v>
      </c>
      <c r="AO106" s="35" t="n">
        <f aca="false">AO95+AO53+AO96+AO104+AO105</f>
        <v>-0</v>
      </c>
      <c r="AP106" s="35" t="n">
        <f aca="false">AP95+AP53+AP96+AP104+AP105</f>
        <v>-0</v>
      </c>
      <c r="AQ106" s="35" t="n">
        <f aca="false">AQ95+AQ53+AQ96+AQ104+AQ105</f>
        <v>-0</v>
      </c>
      <c r="AR106" s="35" t="n">
        <f aca="false">AR95+AR53+AR96+AR104+AR105</f>
        <v>-0</v>
      </c>
      <c r="AS106" s="35" t="n">
        <f aca="false">AS95+AS53+AS96+AS104+AS105</f>
        <v>-0</v>
      </c>
      <c r="AT106" s="35" t="n">
        <f aca="false">AT95+AT53+AT96+AT104+AT105</f>
        <v>-0</v>
      </c>
      <c r="AU106" s="35" t="n">
        <f aca="false">AU95+AU53+AU96+AU104+AU105</f>
        <v>-0</v>
      </c>
      <c r="AV106" s="35" t="n">
        <f aca="false">AV95+AV53+AV96+AV104+AV105</f>
        <v>-0</v>
      </c>
      <c r="AW106" s="35" t="n">
        <f aca="false">AW95+AW53+AW96+AW104+AW105</f>
        <v>-0</v>
      </c>
      <c r="AX106" s="35" t="n">
        <f aca="false">AX95+AX53+AX96+AX104+AX105</f>
        <v>-0</v>
      </c>
      <c r="AY106" s="35" t="n">
        <f aca="false">AY95+AY53+AY96+AY104+AY105</f>
        <v>-0</v>
      </c>
      <c r="AZ106" s="35" t="n">
        <f aca="false">AZ95+AZ53+AZ96+AZ104+AZ105</f>
        <v>-0</v>
      </c>
      <c r="BA106" s="35" t="n">
        <f aca="false">BA95+BA53+BA96+BA104+BA105</f>
        <v>-0</v>
      </c>
      <c r="BB106" s="35" t="n">
        <f aca="false">BB95+BB53+BB96+BB104+BB105</f>
        <v>-0</v>
      </c>
      <c r="BC106" s="35" t="n">
        <f aca="false">BC95+BC53+BC96+BC104+BC105</f>
        <v>-0</v>
      </c>
      <c r="BD106" s="35" t="n">
        <f aca="false">BD95+BD53+BD96+BD104+BD105</f>
        <v>-0</v>
      </c>
      <c r="BE106" s="35" t="n">
        <f aca="false">BE95+BE53+BE96+BE104+BE105</f>
        <v>-0</v>
      </c>
      <c r="BF106" s="35" t="n">
        <f aca="false">BF95+BF53+BF96+BF104+BF105</f>
        <v>-0</v>
      </c>
      <c r="BG106" s="35" t="n">
        <f aca="false">BG95+BG53+BG96+BG104+BG105</f>
        <v>-0</v>
      </c>
      <c r="BH106" s="35" t="n">
        <f aca="false">BH95+BH53+BH96+BH104+BH105</f>
        <v>-0</v>
      </c>
      <c r="BI106" s="35" t="n">
        <f aca="false">BI95+BI53+BI96+BI104+BI105</f>
        <v>-0</v>
      </c>
      <c r="BJ106" s="35" t="n">
        <f aca="false">BJ95+BJ53+BJ96+BJ104+BJ105</f>
        <v>-0</v>
      </c>
      <c r="BK106" s="35" t="n">
        <f aca="false">BK95+BK53+BK96+BK104+BK105</f>
        <v>-0</v>
      </c>
      <c r="BL106" s="35" t="n">
        <f aca="false">BL95+BL53+BL96+BL104+BL105</f>
        <v>-0</v>
      </c>
      <c r="BM106" s="35" t="n">
        <f aca="false">BM95+BM53+BM96+BM104+BM105</f>
        <v>-0</v>
      </c>
      <c r="BN106" s="35" t="n">
        <f aca="false">BN95+BN53+BN96+BN104+BN105</f>
        <v>-0</v>
      </c>
      <c r="BO106" s="35" t="n">
        <f aca="false">BO95+BO53+BO96+BO104+BO105</f>
        <v>-0</v>
      </c>
      <c r="BP106" s="35" t="n">
        <f aca="false">BP95+BP53+BP96+BP104+BP105</f>
        <v>-0</v>
      </c>
      <c r="BQ106" s="35" t="n">
        <f aca="false">BQ95+BQ53+BQ96+BQ104+BQ105</f>
        <v>-0</v>
      </c>
      <c r="BR106" s="35" t="n">
        <f aca="false">BR95+BR53+BR96+BR104+BR105</f>
        <v>-0</v>
      </c>
      <c r="BS106" s="35" t="n">
        <f aca="false">BS95+BS53+BS96+BS104+BS105</f>
        <v>-0</v>
      </c>
      <c r="BT106" s="35" t="n">
        <f aca="false">BT95+BT53+BT96+BT104+BT105</f>
        <v>-0</v>
      </c>
      <c r="BU106" s="35" t="n">
        <f aca="false">BU95+BU53+BU96+BU104+BU105</f>
        <v>-0</v>
      </c>
      <c r="BV106" s="35" t="n">
        <f aca="false">BV95+BV53+BV96+BV104+BV105</f>
        <v>-0</v>
      </c>
      <c r="BW106" s="35" t="n">
        <f aca="false">BW95+BW53+BW96+BW104+BW105</f>
        <v>-0</v>
      </c>
      <c r="BX106" s="35" t="n">
        <f aca="false">BX95+BX53+BX96+BX104+BX105</f>
        <v>-0</v>
      </c>
      <c r="BY106" s="35" t="n">
        <f aca="false">BY95+BY53+BY96+BY104+BY105</f>
        <v>-0</v>
      </c>
      <c r="BZ106" s="35" t="n">
        <f aca="false">BZ95+BZ53+BZ96+BZ104+BZ105</f>
        <v>-0</v>
      </c>
      <c r="CA106" s="35" t="n">
        <f aca="false">CA95+CA53+CA96+CA104+CA105</f>
        <v>-0</v>
      </c>
      <c r="CB106" s="35" t="n">
        <f aca="false">CB95+CB53+CB96+CB104+CB105</f>
        <v>-0</v>
      </c>
      <c r="CC106" s="35" t="n">
        <f aca="false">CC95+CC53+CC96+CC104+CC105</f>
        <v>-0</v>
      </c>
      <c r="CD106" s="35" t="n">
        <f aca="false">CD95+CD53+CD96+CD104+CD105</f>
        <v>-0</v>
      </c>
      <c r="CE106" s="35" t="n">
        <f aca="false">CE95+CE53+CE96+CE104+CE105</f>
        <v>-0</v>
      </c>
      <c r="CF106" s="35" t="n">
        <f aca="false">CF95+CF53+CF96+CF104+CF105</f>
        <v>-0</v>
      </c>
      <c r="CG106" s="35" t="n">
        <f aca="false">CG95+CG53+CG96+CG104+CG105</f>
        <v>-0</v>
      </c>
      <c r="CH106" s="35" t="n">
        <f aca="false">CH95+CH53+CH96+CH104+CH105</f>
        <v>-0</v>
      </c>
      <c r="CI106" s="35" t="n">
        <f aca="false">CI95+CI53+CI96+CI104+CI105</f>
        <v>-0</v>
      </c>
      <c r="CJ106" s="35" t="n">
        <f aca="false">CJ95+CJ53+CJ96+CJ104+CJ105</f>
        <v>-0</v>
      </c>
      <c r="CK106" s="35" t="n">
        <f aca="false">CK95+CK53+CK96+CK104+CK105</f>
        <v>-0</v>
      </c>
      <c r="CL106" s="35" t="n">
        <f aca="false">CL95+CL53+CL96+CL104+CL105</f>
        <v>-0</v>
      </c>
      <c r="CM106" s="35" t="n">
        <f aca="false">CM95+CM53+CM96+CM104+CM105</f>
        <v>-0</v>
      </c>
      <c r="CN106" s="35" t="n">
        <f aca="false">CN95+CN53+CN96+CN104+CN105</f>
        <v>-0</v>
      </c>
      <c r="CO106" s="35" t="n">
        <f aca="false">CO95+CO53+CO96+CO104+CO105</f>
        <v>-0</v>
      </c>
      <c r="CP106" s="35" t="n">
        <f aca="false">CP95+CP53+CP96+CP104+CP105</f>
        <v>-0</v>
      </c>
      <c r="CQ106" s="35" t="n">
        <f aca="false">CQ95+CQ53+CQ96+CQ104+CQ105</f>
        <v>-0</v>
      </c>
      <c r="CR106" s="35" t="n">
        <f aca="false">CR95+CR53+CR96+CR104+CR105</f>
        <v>-0</v>
      </c>
      <c r="CS106" s="35" t="n">
        <f aca="false">CS95+CS53+CS96+CS104+CS105</f>
        <v>-0</v>
      </c>
      <c r="CT106" s="35" t="n">
        <f aca="false">CT95+CT53+CT96+CT104+CT105</f>
        <v>-0</v>
      </c>
      <c r="CU106" s="35" t="n">
        <f aca="false">CU95+CU53+CU96+CU104+CU105</f>
        <v>-0</v>
      </c>
      <c r="CV106" s="35" t="n">
        <f aca="false">CV95+CV53+CV96+CV104+CV105</f>
        <v>-0</v>
      </c>
      <c r="CW106" s="35" t="n">
        <f aca="false">CW95+CW53+CW96+CW104+CW105</f>
        <v>-0</v>
      </c>
      <c r="CX106" s="35" t="n">
        <f aca="false">CX95+CX53+CX96+CX104+CX105</f>
        <v>-0</v>
      </c>
      <c r="CY106" s="35" t="n">
        <f aca="false">CY95+CY53+CY96+CY104+CY105</f>
        <v>-0</v>
      </c>
      <c r="CZ106" s="35" t="n">
        <f aca="false">CZ95+CZ53+CZ96+CZ104+CZ105</f>
        <v>-0</v>
      </c>
      <c r="DA106" s="35" t="n">
        <f aca="false">DA95+DA53+DA96+DA104+DA105</f>
        <v>-0</v>
      </c>
      <c r="DB106" s="35" t="n">
        <f aca="false">DB95+DB53+DB96+DB104+DB105</f>
        <v>-0</v>
      </c>
      <c r="DC106" s="35" t="n">
        <f aca="false">DC95+DC53+DC96+DC104+DC105</f>
        <v>-0</v>
      </c>
      <c r="DD106" s="35" t="n">
        <f aca="false">DD95+DD53+DD96+DD104+DD105</f>
        <v>-0</v>
      </c>
      <c r="DE106" s="35" t="n">
        <f aca="false">DE95+DE53+DE96+DE104+DE105</f>
        <v>-0</v>
      </c>
      <c r="DF106" s="35" t="n">
        <f aca="false">DF95+DF53+DF96+DF104+DF105</f>
        <v>-0</v>
      </c>
      <c r="DG106" s="35" t="n">
        <f aca="false">DG95+DG53+DG96+DG104+DG105</f>
        <v>-0</v>
      </c>
      <c r="DH106" s="35" t="n">
        <f aca="false">DH95+DH53+DH96+DH104+DH105</f>
        <v>-0</v>
      </c>
      <c r="DI106" s="35" t="n">
        <f aca="false">DI95+DI53+DI96+DI104+DI105</f>
        <v>-0</v>
      </c>
      <c r="DJ106" s="35" t="n">
        <f aca="false">DJ95+DJ53+DJ96+DJ104+DJ105</f>
        <v>-0</v>
      </c>
      <c r="DK106" s="35" t="n">
        <f aca="false">DK95+DK53+DK96+DK104+DK105</f>
        <v>-0</v>
      </c>
      <c r="DL106" s="35" t="n">
        <f aca="false">DL95+DL53+DL96+DL104+DL105</f>
        <v>-0</v>
      </c>
      <c r="DM106" s="35" t="n">
        <f aca="false">DM95+DM53+DM96+DM104+DM105</f>
        <v>-0</v>
      </c>
      <c r="DN106" s="35" t="n">
        <f aca="false">DN95+DN53+DN96+DN104+DN105</f>
        <v>-0</v>
      </c>
      <c r="DO106" s="35" t="n">
        <f aca="false">DO95+DO53+DO96+DO104+DO105</f>
        <v>-0</v>
      </c>
      <c r="DP106" s="35" t="n">
        <f aca="false">DP95+DP53+DP96+DP104+DP105</f>
        <v>-0</v>
      </c>
      <c r="DQ106" s="35" t="n">
        <f aca="false">DQ95+DQ53+DQ96+DQ104+DQ105</f>
        <v>-0</v>
      </c>
      <c r="DR106" s="35" t="n">
        <f aca="false">DR95+DR53+DR96+DR104+DR105</f>
        <v>-0</v>
      </c>
      <c r="DS106" s="35" t="n">
        <f aca="false">DS95+DS53+DS96+DS104+DS105</f>
        <v>-0</v>
      </c>
      <c r="DT106" s="35" t="n">
        <f aca="false">DT95+DT53+DT96+DT104+DT105</f>
        <v>-0</v>
      </c>
      <c r="DU106" s="35" t="n">
        <f aca="false">DU95+DU53+DU96+DU104+DU105</f>
        <v>-0</v>
      </c>
      <c r="DV106" s="35" t="n">
        <f aca="false">DV95+DV53+DV96+DV104+DV105</f>
        <v>-0</v>
      </c>
      <c r="DW106" s="35" t="n">
        <f aca="false">DW95+DW53+DW96+DW104+DW105</f>
        <v>-0</v>
      </c>
      <c r="DX106" s="35" t="n">
        <f aca="false">DX95+DX53+DX96+DX104+DX105</f>
        <v>-0</v>
      </c>
      <c r="DY106" s="35" t="n">
        <f aca="false">DY95+DY53+DY96+DY104+DY105</f>
        <v>-0</v>
      </c>
      <c r="DZ106" s="35" t="n">
        <f aca="false">DZ95+DZ53+DZ96+DZ104+DZ105</f>
        <v>-0</v>
      </c>
      <c r="EA106" s="35" t="n">
        <f aca="false">EA95+EA53+EA96+EA104+EA105</f>
        <v>-0</v>
      </c>
      <c r="EB106" s="35" t="n">
        <f aca="false">EB95+EB53+EB96+EB104+EB105</f>
        <v>-0</v>
      </c>
      <c r="EC106" s="35" t="n">
        <f aca="false">EC95+EC53+EC96+EC104+EC105</f>
        <v>-0</v>
      </c>
      <c r="ED106" s="35" t="n">
        <f aca="false">ED95+ED53+ED96+ED104+ED105</f>
        <v>-0</v>
      </c>
      <c r="EE106" s="35" t="n">
        <f aca="false">EE95+EE53+EE96+EE104+EE105</f>
        <v>-0</v>
      </c>
      <c r="EF106" s="35" t="n">
        <f aca="false">EF95+EF53+EF96+EF104+EF105</f>
        <v>-0</v>
      </c>
      <c r="EG106" s="35" t="n">
        <f aca="false">EG95+EG53+EG96+EG104+EG105</f>
        <v>-0</v>
      </c>
      <c r="EH106" s="35" t="n">
        <f aca="false">EH95+EH53+EH96+EH104+EH105</f>
        <v>-0</v>
      </c>
      <c r="EI106" s="35" t="n">
        <f aca="false">EI95+EI53+EI96+EI104+EI105</f>
        <v>-0</v>
      </c>
      <c r="EJ106" s="35" t="n">
        <f aca="false">EJ95+EJ53+EJ96+EJ104+EJ105</f>
        <v>-0</v>
      </c>
      <c r="EK106" s="35" t="n">
        <f aca="false">EK95+EK53+EK96+EK104+EK105</f>
        <v>-0</v>
      </c>
      <c r="EL106" s="35" t="n">
        <f aca="false">EL95+EL53+EL96+EL104+EL105</f>
        <v>-0</v>
      </c>
      <c r="EM106" s="35" t="n">
        <f aca="false">EM95+EM53+EM96+EM104+EM105</f>
        <v>-0</v>
      </c>
      <c r="EN106" s="35" t="n">
        <f aca="false">EN95+EN53+EN96+EN104+EN105</f>
        <v>-0</v>
      </c>
      <c r="EO106" s="35" t="n">
        <f aca="false">EO95+EO53+EO96+EO104+EO105</f>
        <v>-0</v>
      </c>
      <c r="EP106" s="35" t="n">
        <f aca="false">EP95+EP53+EP96+EP104+EP105</f>
        <v>-0</v>
      </c>
      <c r="EQ106" s="35" t="n">
        <f aca="false">EQ95+EQ53+EQ96+EQ104+EQ105</f>
        <v>-0</v>
      </c>
      <c r="ER106" s="35" t="n">
        <f aca="false">ER95+ER53+ER96+ER104+ER105</f>
        <v>-0</v>
      </c>
      <c r="ES106" s="35" t="n">
        <f aca="false">ES95+ES53+ES96+ES104+ES105</f>
        <v>-0</v>
      </c>
      <c r="ET106" s="35" t="n">
        <f aca="false">ET95+ET53+ET96+ET104+ET105</f>
        <v>-0</v>
      </c>
    </row>
    <row r="108" customFormat="false" ht="15" hidden="false" customHeight="false" outlineLevel="0" collapsed="false">
      <c r="A108" s="9" t="s">
        <v>13</v>
      </c>
      <c r="B108" s="9"/>
      <c r="C108" s="9" t="s">
        <v>371</v>
      </c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  <c r="CJ108" s="9"/>
      <c r="CK108" s="9"/>
      <c r="CL108" s="9"/>
      <c r="CM108" s="9"/>
      <c r="CN108" s="9"/>
      <c r="CO108" s="9"/>
      <c r="CP108" s="9"/>
      <c r="CQ108" s="9"/>
      <c r="CR108" s="9"/>
      <c r="CS108" s="9"/>
      <c r="CT108" s="9"/>
      <c r="CU108" s="9"/>
      <c r="CV108" s="9"/>
      <c r="CW108" s="9"/>
      <c r="CX108" s="9"/>
      <c r="CY108" s="9"/>
      <c r="CZ108" s="9"/>
      <c r="DA108" s="9"/>
      <c r="DB108" s="9"/>
      <c r="DC108" s="9"/>
      <c r="DD108" s="9"/>
      <c r="DE108" s="9"/>
      <c r="DF108" s="9"/>
      <c r="DG108" s="9"/>
      <c r="DH108" s="9"/>
      <c r="DI108" s="9"/>
      <c r="DJ108" s="9"/>
      <c r="DK108" s="9"/>
      <c r="DL108" s="9"/>
      <c r="DM108" s="9"/>
      <c r="DN108" s="9"/>
      <c r="DO108" s="9"/>
      <c r="DP108" s="9"/>
      <c r="DQ108" s="9"/>
      <c r="DR108" s="9"/>
      <c r="DS108" s="9"/>
      <c r="DT108" s="9"/>
      <c r="DU108" s="9"/>
      <c r="DV108" s="9"/>
      <c r="DW108" s="9"/>
      <c r="DX108" s="9"/>
      <c r="DY108" s="9"/>
      <c r="DZ108" s="9"/>
      <c r="EA108" s="9"/>
      <c r="EB108" s="9"/>
      <c r="EC108" s="9"/>
      <c r="ED108" s="9"/>
      <c r="EE108" s="9"/>
      <c r="EF108" s="9"/>
      <c r="EG108" s="9"/>
      <c r="EH108" s="9"/>
      <c r="EI108" s="9"/>
      <c r="EJ108" s="9"/>
      <c r="EK108" s="9"/>
      <c r="EL108" s="9"/>
      <c r="EM108" s="9"/>
      <c r="EN108" s="9"/>
      <c r="EO108" s="9"/>
      <c r="EP108" s="9"/>
      <c r="EQ108" s="9"/>
      <c r="ER108" s="9"/>
      <c r="ES108" s="9"/>
      <c r="ET108" s="9"/>
    </row>
    <row r="109" customFormat="false" ht="15" hidden="false" customHeight="false" outlineLevel="0" collapsed="false">
      <c r="C109" s="0" t="s">
        <v>562</v>
      </c>
      <c r="D109" s="11" t="s">
        <v>211</v>
      </c>
      <c r="J109" s="42" t="n">
        <f aca="false">ROUNDUP(YEARFRAC(In_COD,J$4),0)*(J$4&gt;In_COD)</f>
        <v>0</v>
      </c>
      <c r="K109" s="42" t="n">
        <f aca="false">ROUNDUP(YEARFRAC(In_COD,K$4),0)*(K$4&gt;In_COD)</f>
        <v>0</v>
      </c>
      <c r="L109" s="42" t="n">
        <f aca="false">ROUNDUP(YEARFRAC(In_COD,L$4),0)*(L$4&gt;In_COD)</f>
        <v>0</v>
      </c>
      <c r="M109" s="42" t="n">
        <f aca="false">ROUNDUP(YEARFRAC(In_COD,M$4),0)*(M$4&gt;In_COD)</f>
        <v>0</v>
      </c>
      <c r="N109" s="42" t="n">
        <f aca="false">ROUNDUP(YEARFRAC(In_COD,N$4),0)*(N$4&gt;In_COD)</f>
        <v>0</v>
      </c>
      <c r="O109" s="42" t="n">
        <f aca="false">ROUNDUP(YEARFRAC(In_COD,O$4),0)*(O$4&gt;In_COD)</f>
        <v>0</v>
      </c>
      <c r="P109" s="42" t="n">
        <f aca="false">ROUNDUP(YEARFRAC(In_COD,P$4),0)*(P$4&gt;In_COD)</f>
        <v>0</v>
      </c>
      <c r="Q109" s="42" t="n">
        <f aca="false">ROUNDUP(YEARFRAC(In_COD,Q$4),0)*(Q$4&gt;In_COD)</f>
        <v>0</v>
      </c>
      <c r="R109" s="42" t="n">
        <f aca="false">ROUNDUP(YEARFRAC(In_COD,R$4),0)*(R$4&gt;In_COD)</f>
        <v>0</v>
      </c>
      <c r="S109" s="42" t="n">
        <f aca="false">ROUNDUP(YEARFRAC(In_COD,S$4),0)*(S$4&gt;In_COD)</f>
        <v>0</v>
      </c>
      <c r="T109" s="42" t="n">
        <f aca="false">ROUNDUP(YEARFRAC(In_COD,T$4),0)*(T$4&gt;In_COD)</f>
        <v>0</v>
      </c>
      <c r="U109" s="42" t="n">
        <f aca="false">ROUNDUP(YEARFRAC(In_COD,U$4),0)*(U$4&gt;In_COD)</f>
        <v>0</v>
      </c>
      <c r="V109" s="42" t="n">
        <f aca="false">ROUNDUP(YEARFRAC(In_COD,V$4),0)*(V$4&gt;In_COD)</f>
        <v>0</v>
      </c>
      <c r="W109" s="42" t="n">
        <f aca="false">ROUNDUP(YEARFRAC(In_COD,W$4),0)*(W$4&gt;In_COD)</f>
        <v>0</v>
      </c>
      <c r="X109" s="42" t="n">
        <f aca="false">ROUNDUP(YEARFRAC(In_COD,X$4),0)*(X$4&gt;In_COD)</f>
        <v>0</v>
      </c>
      <c r="Y109" s="42" t="n">
        <f aca="false">ROUNDUP(YEARFRAC(In_COD,Y$4),0)*(Y$4&gt;In_COD)</f>
        <v>0</v>
      </c>
      <c r="Z109" s="42" t="n">
        <f aca="false">ROUNDUP(YEARFRAC(In_COD,Z$4),0)*(Z$4&gt;In_COD)</f>
        <v>0</v>
      </c>
      <c r="AA109" s="42" t="n">
        <f aca="false">ROUNDUP(YEARFRAC(In_COD,AA$4),0)*(AA$4&gt;In_COD)</f>
        <v>0</v>
      </c>
      <c r="AB109" s="42" t="n">
        <f aca="false">ROUNDUP(YEARFRAC(In_COD,AB$4),0)*(AB$4&gt;In_COD)</f>
        <v>0</v>
      </c>
      <c r="AC109" s="42" t="n">
        <f aca="false">ROUNDUP(YEARFRAC(In_COD,AC$4),0)*(AC$4&gt;In_COD)</f>
        <v>0</v>
      </c>
      <c r="AD109" s="42" t="n">
        <f aca="false">ROUNDUP(YEARFRAC(In_COD,AD$4),0)*(AD$4&gt;In_COD)</f>
        <v>0</v>
      </c>
      <c r="AE109" s="42" t="n">
        <f aca="false">ROUNDUP(YEARFRAC(In_COD,AE$4),0)*(AE$4&gt;In_COD)</f>
        <v>1</v>
      </c>
      <c r="AF109" s="42" t="n">
        <f aca="false">ROUNDUP(YEARFRAC(In_COD,AF$4),0)*(AF$4&gt;In_COD)</f>
        <v>1</v>
      </c>
      <c r="AG109" s="42" t="n">
        <f aca="false">ROUNDUP(YEARFRAC(In_COD,AG$4),0)*(AG$4&gt;In_COD)</f>
        <v>1</v>
      </c>
      <c r="AH109" s="42" t="n">
        <f aca="false">ROUNDUP(YEARFRAC(In_COD,AH$4),0)*(AH$4&gt;In_COD)</f>
        <v>1</v>
      </c>
      <c r="AI109" s="42" t="n">
        <f aca="false">ROUNDUP(YEARFRAC(In_COD,AI$4),0)*(AI$4&gt;In_COD)</f>
        <v>2</v>
      </c>
      <c r="AJ109" s="42" t="n">
        <f aca="false">ROUNDUP(YEARFRAC(In_COD,AJ$4),0)*(AJ$4&gt;In_COD)</f>
        <v>2</v>
      </c>
      <c r="AK109" s="42" t="n">
        <f aca="false">ROUNDUP(YEARFRAC(In_COD,AK$4),0)*(AK$4&gt;In_COD)</f>
        <v>2</v>
      </c>
      <c r="AL109" s="42" t="n">
        <f aca="false">ROUNDUP(YEARFRAC(In_COD,AL$4),0)*(AL$4&gt;In_COD)</f>
        <v>2</v>
      </c>
      <c r="AM109" s="42" t="n">
        <f aca="false">ROUNDUP(YEARFRAC(In_COD,AM$4),0)*(AM$4&gt;In_COD)</f>
        <v>3</v>
      </c>
      <c r="AN109" s="42" t="n">
        <f aca="false">ROUNDUP(YEARFRAC(In_COD,AN$4),0)*(AN$4&gt;In_COD)</f>
        <v>3</v>
      </c>
      <c r="AO109" s="42" t="n">
        <f aca="false">ROUNDUP(YEARFRAC(In_COD,AO$4),0)*(AO$4&gt;In_COD)</f>
        <v>3</v>
      </c>
      <c r="AP109" s="42" t="n">
        <f aca="false">ROUNDUP(YEARFRAC(In_COD,AP$4),0)*(AP$4&gt;In_COD)</f>
        <v>3</v>
      </c>
      <c r="AQ109" s="42" t="n">
        <f aca="false">ROUNDUP(YEARFRAC(In_COD,AQ$4),0)*(AQ$4&gt;In_COD)</f>
        <v>4</v>
      </c>
      <c r="AR109" s="42" t="n">
        <f aca="false">ROUNDUP(YEARFRAC(In_COD,AR$4),0)*(AR$4&gt;In_COD)</f>
        <v>4</v>
      </c>
      <c r="AS109" s="42" t="n">
        <f aca="false">ROUNDUP(YEARFRAC(In_COD,AS$4),0)*(AS$4&gt;In_COD)</f>
        <v>4</v>
      </c>
      <c r="AT109" s="42" t="n">
        <f aca="false">ROUNDUP(YEARFRAC(In_COD,AT$4),0)*(AT$4&gt;In_COD)</f>
        <v>4</v>
      </c>
      <c r="AU109" s="42" t="n">
        <f aca="false">ROUNDUP(YEARFRAC(In_COD,AU$4),0)*(AU$4&gt;In_COD)</f>
        <v>5</v>
      </c>
      <c r="AV109" s="42" t="n">
        <f aca="false">ROUNDUP(YEARFRAC(In_COD,AV$4),0)*(AV$4&gt;In_COD)</f>
        <v>5</v>
      </c>
      <c r="AW109" s="42" t="n">
        <f aca="false">ROUNDUP(YEARFRAC(In_COD,AW$4),0)*(AW$4&gt;In_COD)</f>
        <v>5</v>
      </c>
      <c r="AX109" s="42" t="n">
        <f aca="false">ROUNDUP(YEARFRAC(In_COD,AX$4),0)*(AX$4&gt;In_COD)</f>
        <v>5</v>
      </c>
      <c r="AY109" s="42" t="n">
        <f aca="false">ROUNDUP(YEARFRAC(In_COD,AY$4),0)*(AY$4&gt;In_COD)</f>
        <v>6</v>
      </c>
      <c r="AZ109" s="42" t="n">
        <f aca="false">ROUNDUP(YEARFRAC(In_COD,AZ$4),0)*(AZ$4&gt;In_COD)</f>
        <v>6</v>
      </c>
      <c r="BA109" s="42" t="n">
        <f aca="false">ROUNDUP(YEARFRAC(In_COD,BA$4),0)*(BA$4&gt;In_COD)</f>
        <v>6</v>
      </c>
      <c r="BB109" s="42" t="n">
        <f aca="false">ROUNDUP(YEARFRAC(In_COD,BB$4),0)*(BB$4&gt;In_COD)</f>
        <v>6</v>
      </c>
      <c r="BC109" s="42" t="n">
        <f aca="false">ROUNDUP(YEARFRAC(In_COD,BC$4),0)*(BC$4&gt;In_COD)</f>
        <v>7</v>
      </c>
      <c r="BD109" s="42" t="n">
        <f aca="false">ROUNDUP(YEARFRAC(In_COD,BD$4),0)*(BD$4&gt;In_COD)</f>
        <v>7</v>
      </c>
      <c r="BE109" s="42" t="n">
        <f aca="false">ROUNDUP(YEARFRAC(In_COD,BE$4),0)*(BE$4&gt;In_COD)</f>
        <v>7</v>
      </c>
      <c r="BF109" s="42" t="n">
        <f aca="false">ROUNDUP(YEARFRAC(In_COD,BF$4),0)*(BF$4&gt;In_COD)</f>
        <v>7</v>
      </c>
      <c r="BG109" s="42" t="n">
        <f aca="false">ROUNDUP(YEARFRAC(In_COD,BG$4),0)*(BG$4&gt;In_COD)</f>
        <v>8</v>
      </c>
      <c r="BH109" s="42" t="n">
        <f aca="false">ROUNDUP(YEARFRAC(In_COD,BH$4),0)*(BH$4&gt;In_COD)</f>
        <v>8</v>
      </c>
      <c r="BI109" s="42" t="n">
        <f aca="false">ROUNDUP(YEARFRAC(In_COD,BI$4),0)*(BI$4&gt;In_COD)</f>
        <v>8</v>
      </c>
      <c r="BJ109" s="42" t="n">
        <f aca="false">ROUNDUP(YEARFRAC(In_COD,BJ$4),0)*(BJ$4&gt;In_COD)</f>
        <v>8</v>
      </c>
      <c r="BK109" s="42" t="n">
        <f aca="false">ROUNDUP(YEARFRAC(In_COD,BK$4),0)*(BK$4&gt;In_COD)</f>
        <v>9</v>
      </c>
      <c r="BL109" s="42" t="n">
        <f aca="false">ROUNDUP(YEARFRAC(In_COD,BL$4),0)*(BL$4&gt;In_COD)</f>
        <v>9</v>
      </c>
      <c r="BM109" s="42" t="n">
        <f aca="false">ROUNDUP(YEARFRAC(In_COD,BM$4),0)*(BM$4&gt;In_COD)</f>
        <v>9</v>
      </c>
      <c r="BN109" s="42" t="n">
        <f aca="false">ROUNDUP(YEARFRAC(In_COD,BN$4),0)*(BN$4&gt;In_COD)</f>
        <v>9</v>
      </c>
      <c r="BO109" s="42" t="n">
        <f aca="false">ROUNDUP(YEARFRAC(In_COD,BO$4),0)*(BO$4&gt;In_COD)</f>
        <v>10</v>
      </c>
      <c r="BP109" s="42" t="n">
        <f aca="false">ROUNDUP(YEARFRAC(In_COD,BP$4),0)*(BP$4&gt;In_COD)</f>
        <v>10</v>
      </c>
      <c r="BQ109" s="42" t="n">
        <f aca="false">ROUNDUP(YEARFRAC(In_COD,BQ$4),0)*(BQ$4&gt;In_COD)</f>
        <v>10</v>
      </c>
      <c r="BR109" s="42" t="n">
        <f aca="false">ROUNDUP(YEARFRAC(In_COD,BR$4),0)*(BR$4&gt;In_COD)</f>
        <v>10</v>
      </c>
      <c r="BS109" s="42" t="n">
        <f aca="false">ROUNDUP(YEARFRAC(In_COD,BS$4),0)*(BS$4&gt;In_COD)</f>
        <v>11</v>
      </c>
      <c r="BT109" s="42" t="n">
        <f aca="false">ROUNDUP(YEARFRAC(In_COD,BT$4),0)*(BT$4&gt;In_COD)</f>
        <v>11</v>
      </c>
      <c r="BU109" s="42" t="n">
        <f aca="false">ROUNDUP(YEARFRAC(In_COD,BU$4),0)*(BU$4&gt;In_COD)</f>
        <v>11</v>
      </c>
      <c r="BV109" s="42" t="n">
        <f aca="false">ROUNDUP(YEARFRAC(In_COD,BV$4),0)*(BV$4&gt;In_COD)</f>
        <v>11</v>
      </c>
      <c r="BW109" s="42" t="n">
        <f aca="false">ROUNDUP(YEARFRAC(In_COD,BW$4),0)*(BW$4&gt;In_COD)</f>
        <v>12</v>
      </c>
      <c r="BX109" s="42" t="n">
        <f aca="false">ROUNDUP(YEARFRAC(In_COD,BX$4),0)*(BX$4&gt;In_COD)</f>
        <v>12</v>
      </c>
      <c r="BY109" s="42" t="n">
        <f aca="false">ROUNDUP(YEARFRAC(In_COD,BY$4),0)*(BY$4&gt;In_COD)</f>
        <v>12</v>
      </c>
      <c r="BZ109" s="42" t="n">
        <f aca="false">ROUNDUP(YEARFRAC(In_COD,BZ$4),0)*(BZ$4&gt;In_COD)</f>
        <v>12</v>
      </c>
      <c r="CA109" s="42" t="n">
        <f aca="false">ROUNDUP(YEARFRAC(In_COD,CA$4),0)*(CA$4&gt;In_COD)</f>
        <v>13</v>
      </c>
      <c r="CB109" s="42" t="n">
        <f aca="false">ROUNDUP(YEARFRAC(In_COD,CB$4),0)*(CB$4&gt;In_COD)</f>
        <v>13</v>
      </c>
      <c r="CC109" s="42" t="n">
        <f aca="false">ROUNDUP(YEARFRAC(In_COD,CC$4),0)*(CC$4&gt;In_COD)</f>
        <v>13</v>
      </c>
      <c r="CD109" s="42" t="n">
        <f aca="false">ROUNDUP(YEARFRAC(In_COD,CD$4),0)*(CD$4&gt;In_COD)</f>
        <v>13</v>
      </c>
      <c r="CE109" s="42" t="n">
        <f aca="false">ROUNDUP(YEARFRAC(In_COD,CE$4),0)*(CE$4&gt;In_COD)</f>
        <v>14</v>
      </c>
      <c r="CF109" s="42" t="n">
        <f aca="false">ROUNDUP(YEARFRAC(In_COD,CF$4),0)*(CF$4&gt;In_COD)</f>
        <v>14</v>
      </c>
      <c r="CG109" s="42" t="n">
        <f aca="false">ROUNDUP(YEARFRAC(In_COD,CG$4),0)*(CG$4&gt;In_COD)</f>
        <v>14</v>
      </c>
      <c r="CH109" s="42" t="n">
        <f aca="false">ROUNDUP(YEARFRAC(In_COD,CH$4),0)*(CH$4&gt;In_COD)</f>
        <v>14</v>
      </c>
      <c r="CI109" s="42" t="n">
        <f aca="false">ROUNDUP(YEARFRAC(In_COD,CI$4),0)*(CI$4&gt;In_COD)</f>
        <v>15</v>
      </c>
      <c r="CJ109" s="42" t="n">
        <f aca="false">ROUNDUP(YEARFRAC(In_COD,CJ$4),0)*(CJ$4&gt;In_COD)</f>
        <v>15</v>
      </c>
      <c r="CK109" s="42" t="n">
        <f aca="false">ROUNDUP(YEARFRAC(In_COD,CK$4),0)*(CK$4&gt;In_COD)</f>
        <v>15</v>
      </c>
      <c r="CL109" s="42" t="n">
        <f aca="false">ROUNDUP(YEARFRAC(In_COD,CL$4),0)*(CL$4&gt;In_COD)</f>
        <v>15</v>
      </c>
      <c r="CM109" s="42" t="n">
        <f aca="false">ROUNDUP(YEARFRAC(In_COD,CM$4),0)*(CM$4&gt;In_COD)</f>
        <v>16</v>
      </c>
      <c r="CN109" s="42" t="n">
        <f aca="false">ROUNDUP(YEARFRAC(In_COD,CN$4),0)*(CN$4&gt;In_COD)</f>
        <v>16</v>
      </c>
      <c r="CO109" s="42" t="n">
        <f aca="false">ROUNDUP(YEARFRAC(In_COD,CO$4),0)*(CO$4&gt;In_COD)</f>
        <v>16</v>
      </c>
      <c r="CP109" s="42" t="n">
        <f aca="false">ROUNDUP(YEARFRAC(In_COD,CP$4),0)*(CP$4&gt;In_COD)</f>
        <v>16</v>
      </c>
      <c r="CQ109" s="42" t="n">
        <f aca="false">ROUNDUP(YEARFRAC(In_COD,CQ$4),0)*(CQ$4&gt;In_COD)</f>
        <v>17</v>
      </c>
      <c r="CR109" s="42" t="n">
        <f aca="false">ROUNDUP(YEARFRAC(In_COD,CR$4),0)*(CR$4&gt;In_COD)</f>
        <v>17</v>
      </c>
      <c r="CS109" s="42" t="n">
        <f aca="false">ROUNDUP(YEARFRAC(In_COD,CS$4),0)*(CS$4&gt;In_COD)</f>
        <v>17</v>
      </c>
      <c r="CT109" s="42" t="n">
        <f aca="false">ROUNDUP(YEARFRAC(In_COD,CT$4),0)*(CT$4&gt;In_COD)</f>
        <v>17</v>
      </c>
      <c r="CU109" s="42" t="n">
        <f aca="false">ROUNDUP(YEARFRAC(In_COD,CU$4),0)*(CU$4&gt;In_COD)</f>
        <v>18</v>
      </c>
      <c r="CV109" s="42" t="n">
        <f aca="false">ROUNDUP(YEARFRAC(In_COD,CV$4),0)*(CV$4&gt;In_COD)</f>
        <v>18</v>
      </c>
      <c r="CW109" s="42" t="n">
        <f aca="false">ROUNDUP(YEARFRAC(In_COD,CW$4),0)*(CW$4&gt;In_COD)</f>
        <v>18</v>
      </c>
      <c r="CX109" s="42" t="n">
        <f aca="false">ROUNDUP(YEARFRAC(In_COD,CX$4),0)*(CX$4&gt;In_COD)</f>
        <v>18</v>
      </c>
      <c r="CY109" s="42" t="n">
        <f aca="false">ROUNDUP(YEARFRAC(In_COD,CY$4),0)*(CY$4&gt;In_COD)</f>
        <v>19</v>
      </c>
      <c r="CZ109" s="42" t="n">
        <f aca="false">ROUNDUP(YEARFRAC(In_COD,CZ$4),0)*(CZ$4&gt;In_COD)</f>
        <v>19</v>
      </c>
      <c r="DA109" s="42" t="n">
        <f aca="false">ROUNDUP(YEARFRAC(In_COD,DA$4),0)*(DA$4&gt;In_COD)</f>
        <v>19</v>
      </c>
      <c r="DB109" s="42" t="n">
        <f aca="false">ROUNDUP(YEARFRAC(In_COD,DB$4),0)*(DB$4&gt;In_COD)</f>
        <v>19</v>
      </c>
      <c r="DC109" s="42" t="n">
        <f aca="false">ROUNDUP(YEARFRAC(In_COD,DC$4),0)*(DC$4&gt;In_COD)</f>
        <v>20</v>
      </c>
      <c r="DD109" s="42" t="n">
        <f aca="false">ROUNDUP(YEARFRAC(In_COD,DD$4),0)*(DD$4&gt;In_COD)</f>
        <v>20</v>
      </c>
      <c r="DE109" s="42" t="n">
        <f aca="false">ROUNDUP(YEARFRAC(In_COD,DE$4),0)*(DE$4&gt;In_COD)</f>
        <v>20</v>
      </c>
      <c r="DF109" s="42" t="n">
        <f aca="false">ROUNDUP(YEARFRAC(In_COD,DF$4),0)*(DF$4&gt;In_COD)</f>
        <v>20</v>
      </c>
      <c r="DG109" s="42" t="n">
        <f aca="false">ROUNDUP(YEARFRAC(In_COD,DG$4),0)*(DG$4&gt;In_COD)</f>
        <v>21</v>
      </c>
      <c r="DH109" s="42" t="n">
        <f aca="false">ROUNDUP(YEARFRAC(In_COD,DH$4),0)*(DH$4&gt;In_COD)</f>
        <v>21</v>
      </c>
      <c r="DI109" s="42" t="n">
        <f aca="false">ROUNDUP(YEARFRAC(In_COD,DI$4),0)*(DI$4&gt;In_COD)</f>
        <v>21</v>
      </c>
      <c r="DJ109" s="42" t="n">
        <f aca="false">ROUNDUP(YEARFRAC(In_COD,DJ$4),0)*(DJ$4&gt;In_COD)</f>
        <v>21</v>
      </c>
      <c r="DK109" s="42" t="n">
        <f aca="false">ROUNDUP(YEARFRAC(In_COD,DK$4),0)*(DK$4&gt;In_COD)</f>
        <v>22</v>
      </c>
      <c r="DL109" s="42" t="n">
        <f aca="false">ROUNDUP(YEARFRAC(In_COD,DL$4),0)*(DL$4&gt;In_COD)</f>
        <v>22</v>
      </c>
      <c r="DM109" s="42" t="n">
        <f aca="false">ROUNDUP(YEARFRAC(In_COD,DM$4),0)*(DM$4&gt;In_COD)</f>
        <v>22</v>
      </c>
      <c r="DN109" s="42" t="n">
        <f aca="false">ROUNDUP(YEARFRAC(In_COD,DN$4),0)*(DN$4&gt;In_COD)</f>
        <v>22</v>
      </c>
      <c r="DO109" s="42" t="n">
        <f aca="false">ROUNDUP(YEARFRAC(In_COD,DO$4),0)*(DO$4&gt;In_COD)</f>
        <v>23</v>
      </c>
      <c r="DP109" s="42" t="n">
        <f aca="false">ROUNDUP(YEARFRAC(In_COD,DP$4),0)*(DP$4&gt;In_COD)</f>
        <v>23</v>
      </c>
      <c r="DQ109" s="42" t="n">
        <f aca="false">ROUNDUP(YEARFRAC(In_COD,DQ$4),0)*(DQ$4&gt;In_COD)</f>
        <v>23</v>
      </c>
      <c r="DR109" s="42" t="n">
        <f aca="false">ROUNDUP(YEARFRAC(In_COD,DR$4),0)*(DR$4&gt;In_COD)</f>
        <v>23</v>
      </c>
      <c r="DS109" s="42" t="n">
        <f aca="false">ROUNDUP(YEARFRAC(In_COD,DS$4),0)*(DS$4&gt;In_COD)</f>
        <v>24</v>
      </c>
      <c r="DT109" s="42" t="n">
        <f aca="false">ROUNDUP(YEARFRAC(In_COD,DT$4),0)*(DT$4&gt;In_COD)</f>
        <v>24</v>
      </c>
      <c r="DU109" s="42" t="n">
        <f aca="false">ROUNDUP(YEARFRAC(In_COD,DU$4),0)*(DU$4&gt;In_COD)</f>
        <v>24</v>
      </c>
      <c r="DV109" s="42" t="n">
        <f aca="false">ROUNDUP(YEARFRAC(In_COD,DV$4),0)*(DV$4&gt;In_COD)</f>
        <v>24</v>
      </c>
      <c r="DW109" s="42" t="n">
        <f aca="false">ROUNDUP(YEARFRAC(In_COD,DW$4),0)*(DW$4&gt;In_COD)</f>
        <v>25</v>
      </c>
      <c r="DX109" s="42" t="n">
        <f aca="false">ROUNDUP(YEARFRAC(In_COD,DX$4),0)*(DX$4&gt;In_COD)</f>
        <v>25</v>
      </c>
      <c r="DY109" s="42" t="n">
        <f aca="false">ROUNDUP(YEARFRAC(In_COD,DY$4),0)*(DY$4&gt;In_COD)</f>
        <v>25</v>
      </c>
      <c r="DZ109" s="42" t="n">
        <f aca="false">ROUNDUP(YEARFRAC(In_COD,DZ$4),0)*(DZ$4&gt;In_COD)</f>
        <v>25</v>
      </c>
      <c r="EA109" s="42" t="n">
        <f aca="false">ROUNDUP(YEARFRAC(In_COD,EA$4),0)*(EA$4&gt;In_COD)</f>
        <v>26</v>
      </c>
      <c r="EB109" s="42" t="n">
        <f aca="false">ROUNDUP(YEARFRAC(In_COD,EB$4),0)*(EB$4&gt;In_COD)</f>
        <v>26</v>
      </c>
      <c r="EC109" s="42" t="n">
        <f aca="false">ROUNDUP(YEARFRAC(In_COD,EC$4),0)*(EC$4&gt;In_COD)</f>
        <v>26</v>
      </c>
      <c r="ED109" s="42" t="n">
        <f aca="false">ROUNDUP(YEARFRAC(In_COD,ED$4),0)*(ED$4&gt;In_COD)</f>
        <v>26</v>
      </c>
      <c r="EE109" s="42" t="n">
        <f aca="false">ROUNDUP(YEARFRAC(In_COD,EE$4),0)*(EE$4&gt;In_COD)</f>
        <v>27</v>
      </c>
      <c r="EF109" s="42" t="n">
        <f aca="false">ROUNDUP(YEARFRAC(In_COD,EF$4),0)*(EF$4&gt;In_COD)</f>
        <v>27</v>
      </c>
      <c r="EG109" s="42" t="n">
        <f aca="false">ROUNDUP(YEARFRAC(In_COD,EG$4),0)*(EG$4&gt;In_COD)</f>
        <v>27</v>
      </c>
      <c r="EH109" s="42" t="n">
        <f aca="false">ROUNDUP(YEARFRAC(In_COD,EH$4),0)*(EH$4&gt;In_COD)</f>
        <v>27</v>
      </c>
      <c r="EI109" s="42" t="n">
        <f aca="false">ROUNDUP(YEARFRAC(In_COD,EI$4),0)*(EI$4&gt;In_COD)</f>
        <v>28</v>
      </c>
      <c r="EJ109" s="42" t="n">
        <f aca="false">ROUNDUP(YEARFRAC(In_COD,EJ$4),0)*(EJ$4&gt;In_COD)</f>
        <v>28</v>
      </c>
      <c r="EK109" s="42" t="n">
        <f aca="false">ROUNDUP(YEARFRAC(In_COD,EK$4),0)*(EK$4&gt;In_COD)</f>
        <v>28</v>
      </c>
      <c r="EL109" s="42" t="n">
        <f aca="false">ROUNDUP(YEARFRAC(In_COD,EL$4),0)*(EL$4&gt;In_COD)</f>
        <v>28</v>
      </c>
      <c r="EM109" s="42" t="n">
        <f aca="false">ROUNDUP(YEARFRAC(In_COD,EM$4),0)*(EM$4&gt;In_COD)</f>
        <v>29</v>
      </c>
      <c r="EN109" s="42" t="n">
        <f aca="false">ROUNDUP(YEARFRAC(In_COD,EN$4),0)*(EN$4&gt;In_COD)</f>
        <v>29</v>
      </c>
      <c r="EO109" s="42" t="n">
        <f aca="false">ROUNDUP(YEARFRAC(In_COD,EO$4),0)*(EO$4&gt;In_COD)</f>
        <v>29</v>
      </c>
      <c r="EP109" s="42" t="n">
        <f aca="false">ROUNDUP(YEARFRAC(In_COD,EP$4),0)*(EP$4&gt;In_COD)</f>
        <v>29</v>
      </c>
      <c r="EQ109" s="42" t="n">
        <f aca="false">ROUNDUP(YEARFRAC(In_COD,EQ$4),0)*(EQ$4&gt;In_COD)</f>
        <v>30</v>
      </c>
      <c r="ER109" s="42" t="n">
        <f aca="false">ROUNDUP(YEARFRAC(In_COD,ER$4),0)*(ER$4&gt;In_COD)</f>
        <v>30</v>
      </c>
      <c r="ES109" s="42" t="n">
        <f aca="false">ROUNDUP(YEARFRAC(In_COD,ES$4),0)*(ES$4&gt;In_COD)</f>
        <v>30</v>
      </c>
      <c r="ET109" s="42" t="n">
        <f aca="false">ROUNDUP(YEARFRAC(In_COD,ET$4),0)*(ET$4&gt;In_COD)</f>
        <v>30</v>
      </c>
    </row>
    <row r="110" customFormat="false" ht="15" hidden="false" customHeight="false" outlineLevel="0" collapsed="false">
      <c r="C110" s="0" t="s">
        <v>563</v>
      </c>
      <c r="D110" s="11" t="s">
        <v>482</v>
      </c>
      <c r="J110" s="52" t="n">
        <f aca="false">(1+In_Opex_Esc)^(J$7-YEAR(In_COD))</f>
        <v>0.883854287609517</v>
      </c>
      <c r="K110" s="52" t="n">
        <f aca="false">(1+In_Opex_Esc)^(K$7-YEAR(In_COD))</f>
        <v>0.883854287609517</v>
      </c>
      <c r="L110" s="52" t="n">
        <f aca="false">(1+In_Opex_Esc)^(L$7-YEAR(In_COD))</f>
        <v>0.905950644799755</v>
      </c>
      <c r="M110" s="52" t="n">
        <f aca="false">(1+In_Opex_Esc)^(M$7-YEAR(In_COD))</f>
        <v>0.905950644799755</v>
      </c>
      <c r="N110" s="52" t="n">
        <f aca="false">(1+In_Opex_Esc)^(N$7-YEAR(In_COD))</f>
        <v>0.905950644799755</v>
      </c>
      <c r="O110" s="52" t="n">
        <f aca="false">(1+In_Opex_Esc)^(O$7-YEAR(In_COD))</f>
        <v>0.905950644799755</v>
      </c>
      <c r="P110" s="52" t="n">
        <f aca="false">(1+In_Opex_Esc)^(P$7-YEAR(In_COD))</f>
        <v>0.928599410919749</v>
      </c>
      <c r="Q110" s="52" t="n">
        <f aca="false">(1+In_Opex_Esc)^(Q$7-YEAR(In_COD))</f>
        <v>0.928599410919749</v>
      </c>
      <c r="R110" s="52" t="n">
        <f aca="false">(1+In_Opex_Esc)^(R$7-YEAR(In_COD))</f>
        <v>0.928599410919749</v>
      </c>
      <c r="S110" s="52" t="n">
        <f aca="false">(1+In_Opex_Esc)^(S$7-YEAR(In_COD))</f>
        <v>0.928599410919749</v>
      </c>
      <c r="T110" s="52" t="n">
        <f aca="false">(1+In_Opex_Esc)^(T$7-YEAR(In_COD))</f>
        <v>0.951814396192743</v>
      </c>
      <c r="U110" s="52" t="n">
        <f aca="false">(1+In_Opex_Esc)^(U$7-YEAR(In_COD))</f>
        <v>0.951814396192743</v>
      </c>
      <c r="V110" s="52" t="n">
        <f aca="false">(1+In_Opex_Esc)^(V$7-YEAR(In_COD))</f>
        <v>0.951814396192743</v>
      </c>
      <c r="W110" s="52" t="n">
        <f aca="false">(1+In_Opex_Esc)^(W$7-YEAR(In_COD))</f>
        <v>0.951814396192743</v>
      </c>
      <c r="X110" s="52" t="n">
        <f aca="false">(1+In_Opex_Esc)^(X$7-YEAR(In_COD))</f>
        <v>0.975609756097561</v>
      </c>
      <c r="Y110" s="52" t="n">
        <f aca="false">(1+In_Opex_Esc)^(Y$7-YEAR(In_COD))</f>
        <v>0.975609756097561</v>
      </c>
      <c r="Z110" s="52" t="n">
        <f aca="false">(1+In_Opex_Esc)^(Z$7-YEAR(In_COD))</f>
        <v>0.975609756097561</v>
      </c>
      <c r="AA110" s="52" t="n">
        <f aca="false">(1+In_Opex_Esc)^(AA$7-YEAR(In_COD))</f>
        <v>0.975609756097561</v>
      </c>
      <c r="AB110" s="52" t="n">
        <f aca="false">(1+In_Opex_Esc)^(AB$7-YEAR(In_COD))</f>
        <v>1</v>
      </c>
      <c r="AC110" s="52" t="n">
        <f aca="false">(1+In_Opex_Esc)^(AC$7-YEAR(In_COD))</f>
        <v>1</v>
      </c>
      <c r="AD110" s="52" t="n">
        <f aca="false">(1+In_Opex_Esc)^(AD$7-YEAR(In_COD))</f>
        <v>1</v>
      </c>
      <c r="AE110" s="52" t="n">
        <f aca="false">(1+In_Opex_Esc)^(AE$7-YEAR(In_COD))</f>
        <v>1</v>
      </c>
      <c r="AF110" s="52" t="n">
        <f aca="false">(1+In_Opex_Esc)^(AF$7-YEAR(In_COD))</f>
        <v>1.025</v>
      </c>
      <c r="AG110" s="52" t="n">
        <f aca="false">(1+In_Opex_Esc)^(AG$7-YEAR(In_COD))</f>
        <v>1.025</v>
      </c>
      <c r="AH110" s="52" t="n">
        <f aca="false">(1+In_Opex_Esc)^(AH$7-YEAR(In_COD))</f>
        <v>1.025</v>
      </c>
      <c r="AI110" s="52" t="n">
        <f aca="false">(1+In_Opex_Esc)^(AI$7-YEAR(In_COD))</f>
        <v>1.025</v>
      </c>
      <c r="AJ110" s="52" t="n">
        <f aca="false">(1+In_Opex_Esc)^(AJ$7-YEAR(In_COD))</f>
        <v>1.050625</v>
      </c>
      <c r="AK110" s="52" t="n">
        <f aca="false">(1+In_Opex_Esc)^(AK$7-YEAR(In_COD))</f>
        <v>1.050625</v>
      </c>
      <c r="AL110" s="52" t="n">
        <f aca="false">(1+In_Opex_Esc)^(AL$7-YEAR(In_COD))</f>
        <v>1.050625</v>
      </c>
      <c r="AM110" s="52" t="n">
        <f aca="false">(1+In_Opex_Esc)^(AM$7-YEAR(In_COD))</f>
        <v>1.050625</v>
      </c>
      <c r="AN110" s="52" t="n">
        <f aca="false">(1+In_Opex_Esc)^(AN$7-YEAR(In_COD))</f>
        <v>1.076890625</v>
      </c>
      <c r="AO110" s="52" t="n">
        <f aca="false">(1+In_Opex_Esc)^(AO$7-YEAR(In_COD))</f>
        <v>1.076890625</v>
      </c>
      <c r="AP110" s="52" t="n">
        <f aca="false">(1+In_Opex_Esc)^(AP$7-YEAR(In_COD))</f>
        <v>1.076890625</v>
      </c>
      <c r="AQ110" s="52" t="n">
        <f aca="false">(1+In_Opex_Esc)^(AQ$7-YEAR(In_COD))</f>
        <v>1.076890625</v>
      </c>
      <c r="AR110" s="52" t="n">
        <f aca="false">(1+In_Opex_Esc)^(AR$7-YEAR(In_COD))</f>
        <v>1.103812890625</v>
      </c>
      <c r="AS110" s="52" t="n">
        <f aca="false">(1+In_Opex_Esc)^(AS$7-YEAR(In_COD))</f>
        <v>1.103812890625</v>
      </c>
      <c r="AT110" s="52" t="n">
        <f aca="false">(1+In_Opex_Esc)^(AT$7-YEAR(In_COD))</f>
        <v>1.103812890625</v>
      </c>
      <c r="AU110" s="52" t="n">
        <f aca="false">(1+In_Opex_Esc)^(AU$7-YEAR(In_COD))</f>
        <v>1.103812890625</v>
      </c>
      <c r="AV110" s="52" t="n">
        <f aca="false">(1+In_Opex_Esc)^(AV$7-YEAR(In_COD))</f>
        <v>1.13140821289062</v>
      </c>
      <c r="AW110" s="52" t="n">
        <f aca="false">(1+In_Opex_Esc)^(AW$7-YEAR(In_COD))</f>
        <v>1.13140821289062</v>
      </c>
      <c r="AX110" s="52" t="n">
        <f aca="false">(1+In_Opex_Esc)^(AX$7-YEAR(In_COD))</f>
        <v>1.13140821289062</v>
      </c>
      <c r="AY110" s="52" t="n">
        <f aca="false">(1+In_Opex_Esc)^(AY$7-YEAR(In_COD))</f>
        <v>1.13140821289062</v>
      </c>
      <c r="AZ110" s="52" t="n">
        <f aca="false">(1+In_Opex_Esc)^(AZ$7-YEAR(In_COD))</f>
        <v>1.15969341821289</v>
      </c>
      <c r="BA110" s="52" t="n">
        <f aca="false">(1+In_Opex_Esc)^(BA$7-YEAR(In_COD))</f>
        <v>1.15969341821289</v>
      </c>
      <c r="BB110" s="52" t="n">
        <f aca="false">(1+In_Opex_Esc)^(BB$7-YEAR(In_COD))</f>
        <v>1.15969341821289</v>
      </c>
      <c r="BC110" s="52" t="n">
        <f aca="false">(1+In_Opex_Esc)^(BC$7-YEAR(In_COD))</f>
        <v>1.15969341821289</v>
      </c>
      <c r="BD110" s="52" t="n">
        <f aca="false">(1+In_Opex_Esc)^(BD$7-YEAR(In_COD))</f>
        <v>1.18868575366821</v>
      </c>
      <c r="BE110" s="52" t="n">
        <f aca="false">(1+In_Opex_Esc)^(BE$7-YEAR(In_COD))</f>
        <v>1.18868575366821</v>
      </c>
      <c r="BF110" s="52" t="n">
        <f aca="false">(1+In_Opex_Esc)^(BF$7-YEAR(In_COD))</f>
        <v>1.18868575366821</v>
      </c>
      <c r="BG110" s="52" t="n">
        <f aca="false">(1+In_Opex_Esc)^(BG$7-YEAR(In_COD))</f>
        <v>1.18868575366821</v>
      </c>
      <c r="BH110" s="52" t="n">
        <f aca="false">(1+In_Opex_Esc)^(BH$7-YEAR(In_COD))</f>
        <v>1.21840289750992</v>
      </c>
      <c r="BI110" s="52" t="n">
        <f aca="false">(1+In_Opex_Esc)^(BI$7-YEAR(In_COD))</f>
        <v>1.21840289750992</v>
      </c>
      <c r="BJ110" s="52" t="n">
        <f aca="false">(1+In_Opex_Esc)^(BJ$7-YEAR(In_COD))</f>
        <v>1.21840289750992</v>
      </c>
      <c r="BK110" s="52" t="n">
        <f aca="false">(1+In_Opex_Esc)^(BK$7-YEAR(In_COD))</f>
        <v>1.21840289750992</v>
      </c>
      <c r="BL110" s="52" t="n">
        <f aca="false">(1+In_Opex_Esc)^(BL$7-YEAR(In_COD))</f>
        <v>1.24886296994767</v>
      </c>
      <c r="BM110" s="52" t="n">
        <f aca="false">(1+In_Opex_Esc)^(BM$7-YEAR(In_COD))</f>
        <v>1.24886296994767</v>
      </c>
      <c r="BN110" s="52" t="n">
        <f aca="false">(1+In_Opex_Esc)^(BN$7-YEAR(In_COD))</f>
        <v>1.24886296994767</v>
      </c>
      <c r="BO110" s="52" t="n">
        <f aca="false">(1+In_Opex_Esc)^(BO$7-YEAR(In_COD))</f>
        <v>1.24886296994767</v>
      </c>
      <c r="BP110" s="52" t="n">
        <f aca="false">(1+In_Opex_Esc)^(BP$7-YEAR(In_COD))</f>
        <v>1.28008454419636</v>
      </c>
      <c r="BQ110" s="52" t="n">
        <f aca="false">(1+In_Opex_Esc)^(BQ$7-YEAR(In_COD))</f>
        <v>1.28008454419636</v>
      </c>
      <c r="BR110" s="52" t="n">
        <f aca="false">(1+In_Opex_Esc)^(BR$7-YEAR(In_COD))</f>
        <v>1.28008454419636</v>
      </c>
      <c r="BS110" s="52" t="n">
        <f aca="false">(1+In_Opex_Esc)^(BS$7-YEAR(In_COD))</f>
        <v>1.28008454419636</v>
      </c>
      <c r="BT110" s="52" t="n">
        <f aca="false">(1+In_Opex_Esc)^(BT$7-YEAR(In_COD))</f>
        <v>1.31208665780127</v>
      </c>
      <c r="BU110" s="52" t="n">
        <f aca="false">(1+In_Opex_Esc)^(BU$7-YEAR(In_COD))</f>
        <v>1.31208665780127</v>
      </c>
      <c r="BV110" s="52" t="n">
        <f aca="false">(1+In_Opex_Esc)^(BV$7-YEAR(In_COD))</f>
        <v>1.31208665780127</v>
      </c>
      <c r="BW110" s="52" t="n">
        <f aca="false">(1+In_Opex_Esc)^(BW$7-YEAR(In_COD))</f>
        <v>1.31208665780127</v>
      </c>
      <c r="BX110" s="52" t="n">
        <f aca="false">(1+In_Opex_Esc)^(BX$7-YEAR(In_COD))</f>
        <v>1.3448888242463</v>
      </c>
      <c r="BY110" s="52" t="n">
        <f aca="false">(1+In_Opex_Esc)^(BY$7-YEAR(In_COD))</f>
        <v>1.3448888242463</v>
      </c>
      <c r="BZ110" s="52" t="n">
        <f aca="false">(1+In_Opex_Esc)^(BZ$7-YEAR(In_COD))</f>
        <v>1.3448888242463</v>
      </c>
      <c r="CA110" s="52" t="n">
        <f aca="false">(1+In_Opex_Esc)^(CA$7-YEAR(In_COD))</f>
        <v>1.3448888242463</v>
      </c>
      <c r="CB110" s="52" t="n">
        <f aca="false">(1+In_Opex_Esc)^(CB$7-YEAR(In_COD))</f>
        <v>1.37851104485245</v>
      </c>
      <c r="CC110" s="52" t="n">
        <f aca="false">(1+In_Opex_Esc)^(CC$7-YEAR(In_COD))</f>
        <v>1.37851104485245</v>
      </c>
      <c r="CD110" s="52" t="n">
        <f aca="false">(1+In_Opex_Esc)^(CD$7-YEAR(In_COD))</f>
        <v>1.37851104485245</v>
      </c>
      <c r="CE110" s="52" t="n">
        <f aca="false">(1+In_Opex_Esc)^(CE$7-YEAR(In_COD))</f>
        <v>1.37851104485245</v>
      </c>
      <c r="CF110" s="52" t="n">
        <f aca="false">(1+In_Opex_Esc)^(CF$7-YEAR(In_COD))</f>
        <v>1.41297382097377</v>
      </c>
      <c r="CG110" s="52" t="n">
        <f aca="false">(1+In_Opex_Esc)^(CG$7-YEAR(In_COD))</f>
        <v>1.41297382097377</v>
      </c>
      <c r="CH110" s="52" t="n">
        <f aca="false">(1+In_Opex_Esc)^(CH$7-YEAR(In_COD))</f>
        <v>1.41297382097377</v>
      </c>
      <c r="CI110" s="52" t="n">
        <f aca="false">(1+In_Opex_Esc)^(CI$7-YEAR(In_COD))</f>
        <v>1.41297382097377</v>
      </c>
      <c r="CJ110" s="52" t="n">
        <f aca="false">(1+In_Opex_Esc)^(CJ$7-YEAR(In_COD))</f>
        <v>1.44829816649811</v>
      </c>
      <c r="CK110" s="52" t="n">
        <f aca="false">(1+In_Opex_Esc)^(CK$7-YEAR(In_COD))</f>
        <v>1.44829816649811</v>
      </c>
      <c r="CL110" s="52" t="n">
        <f aca="false">(1+In_Opex_Esc)^(CL$7-YEAR(In_COD))</f>
        <v>1.44829816649811</v>
      </c>
      <c r="CM110" s="52" t="n">
        <f aca="false">(1+In_Opex_Esc)^(CM$7-YEAR(In_COD))</f>
        <v>1.44829816649811</v>
      </c>
      <c r="CN110" s="52" t="n">
        <f aca="false">(1+In_Opex_Esc)^(CN$7-YEAR(In_COD))</f>
        <v>1.48450562066056</v>
      </c>
      <c r="CO110" s="52" t="n">
        <f aca="false">(1+In_Opex_Esc)^(CO$7-YEAR(In_COD))</f>
        <v>1.48450562066056</v>
      </c>
      <c r="CP110" s="52" t="n">
        <f aca="false">(1+In_Opex_Esc)^(CP$7-YEAR(In_COD))</f>
        <v>1.48450562066056</v>
      </c>
      <c r="CQ110" s="52" t="n">
        <f aca="false">(1+In_Opex_Esc)^(CQ$7-YEAR(In_COD))</f>
        <v>1.48450562066056</v>
      </c>
      <c r="CR110" s="52" t="n">
        <f aca="false">(1+In_Opex_Esc)^(CR$7-YEAR(In_COD))</f>
        <v>1.52161826117708</v>
      </c>
      <c r="CS110" s="52" t="n">
        <f aca="false">(1+In_Opex_Esc)^(CS$7-YEAR(In_COD))</f>
        <v>1.52161826117708</v>
      </c>
      <c r="CT110" s="52" t="n">
        <f aca="false">(1+In_Opex_Esc)^(CT$7-YEAR(In_COD))</f>
        <v>1.52161826117708</v>
      </c>
      <c r="CU110" s="52" t="n">
        <f aca="false">(1+In_Opex_Esc)^(CU$7-YEAR(In_COD))</f>
        <v>1.52161826117708</v>
      </c>
      <c r="CV110" s="52" t="n">
        <f aca="false">(1+In_Opex_Esc)^(CV$7-YEAR(In_COD))</f>
        <v>1.5596587177065</v>
      </c>
      <c r="CW110" s="52" t="n">
        <f aca="false">(1+In_Opex_Esc)^(CW$7-YEAR(In_COD))</f>
        <v>1.5596587177065</v>
      </c>
      <c r="CX110" s="52" t="n">
        <f aca="false">(1+In_Opex_Esc)^(CX$7-YEAR(In_COD))</f>
        <v>1.5596587177065</v>
      </c>
      <c r="CY110" s="52" t="n">
        <f aca="false">(1+In_Opex_Esc)^(CY$7-YEAR(In_COD))</f>
        <v>1.5596587177065</v>
      </c>
      <c r="CZ110" s="52" t="n">
        <f aca="false">(1+In_Opex_Esc)^(CZ$7-YEAR(In_COD))</f>
        <v>1.59865018564917</v>
      </c>
      <c r="DA110" s="52" t="n">
        <f aca="false">(1+In_Opex_Esc)^(DA$7-YEAR(In_COD))</f>
        <v>1.59865018564917</v>
      </c>
      <c r="DB110" s="52" t="n">
        <f aca="false">(1+In_Opex_Esc)^(DB$7-YEAR(In_COD))</f>
        <v>1.59865018564917</v>
      </c>
      <c r="DC110" s="52" t="n">
        <f aca="false">(1+In_Opex_Esc)^(DC$7-YEAR(In_COD))</f>
        <v>1.59865018564917</v>
      </c>
      <c r="DD110" s="52" t="n">
        <f aca="false">(1+In_Opex_Esc)^(DD$7-YEAR(In_COD))</f>
        <v>1.63861644029039</v>
      </c>
      <c r="DE110" s="52" t="n">
        <f aca="false">(1+In_Opex_Esc)^(DE$7-YEAR(In_COD))</f>
        <v>1.63861644029039</v>
      </c>
      <c r="DF110" s="52" t="n">
        <f aca="false">(1+In_Opex_Esc)^(DF$7-YEAR(In_COD))</f>
        <v>1.63861644029039</v>
      </c>
      <c r="DG110" s="52" t="n">
        <f aca="false">(1+In_Opex_Esc)^(DG$7-YEAR(In_COD))</f>
        <v>1.63861644029039</v>
      </c>
      <c r="DH110" s="52" t="n">
        <f aca="false">(1+In_Opex_Esc)^(DH$7-YEAR(In_COD))</f>
        <v>1.67958185129765</v>
      </c>
      <c r="DI110" s="52" t="n">
        <f aca="false">(1+In_Opex_Esc)^(DI$7-YEAR(In_COD))</f>
        <v>1.67958185129765</v>
      </c>
      <c r="DJ110" s="52" t="n">
        <f aca="false">(1+In_Opex_Esc)^(DJ$7-YEAR(In_COD))</f>
        <v>1.67958185129765</v>
      </c>
      <c r="DK110" s="52" t="n">
        <f aca="false">(1+In_Opex_Esc)^(DK$7-YEAR(In_COD))</f>
        <v>1.67958185129765</v>
      </c>
      <c r="DL110" s="52" t="n">
        <f aca="false">(1+In_Opex_Esc)^(DL$7-YEAR(In_COD))</f>
        <v>1.7215713975801</v>
      </c>
      <c r="DM110" s="52" t="n">
        <f aca="false">(1+In_Opex_Esc)^(DM$7-YEAR(In_COD))</f>
        <v>1.7215713975801</v>
      </c>
      <c r="DN110" s="52" t="n">
        <f aca="false">(1+In_Opex_Esc)^(DN$7-YEAR(In_COD))</f>
        <v>1.7215713975801</v>
      </c>
      <c r="DO110" s="52" t="n">
        <f aca="false">(1+In_Opex_Esc)^(DO$7-YEAR(In_COD))</f>
        <v>1.7215713975801</v>
      </c>
      <c r="DP110" s="52" t="n">
        <f aca="false">(1+In_Opex_Esc)^(DP$7-YEAR(In_COD))</f>
        <v>1.7646106825196</v>
      </c>
      <c r="DQ110" s="52" t="n">
        <f aca="false">(1+In_Opex_Esc)^(DQ$7-YEAR(In_COD))</f>
        <v>1.7646106825196</v>
      </c>
      <c r="DR110" s="52" t="n">
        <f aca="false">(1+In_Opex_Esc)^(DR$7-YEAR(In_COD))</f>
        <v>1.7646106825196</v>
      </c>
      <c r="DS110" s="52" t="n">
        <f aca="false">(1+In_Opex_Esc)^(DS$7-YEAR(In_COD))</f>
        <v>1.7646106825196</v>
      </c>
      <c r="DT110" s="52" t="n">
        <f aca="false">(1+In_Opex_Esc)^(DT$7-YEAR(In_COD))</f>
        <v>1.80872594958259</v>
      </c>
      <c r="DU110" s="52" t="n">
        <f aca="false">(1+In_Opex_Esc)^(DU$7-YEAR(In_COD))</f>
        <v>1.80872594958259</v>
      </c>
      <c r="DV110" s="52" t="n">
        <f aca="false">(1+In_Opex_Esc)^(DV$7-YEAR(In_COD))</f>
        <v>1.80872594958259</v>
      </c>
      <c r="DW110" s="52" t="n">
        <f aca="false">(1+In_Opex_Esc)^(DW$7-YEAR(In_COD))</f>
        <v>1.80872594958259</v>
      </c>
      <c r="DX110" s="52" t="n">
        <f aca="false">(1+In_Opex_Esc)^(DX$7-YEAR(In_COD))</f>
        <v>1.85394409832215</v>
      </c>
      <c r="DY110" s="52" t="n">
        <f aca="false">(1+In_Opex_Esc)^(DY$7-YEAR(In_COD))</f>
        <v>1.85394409832215</v>
      </c>
      <c r="DZ110" s="52" t="n">
        <f aca="false">(1+In_Opex_Esc)^(DZ$7-YEAR(In_COD))</f>
        <v>1.85394409832215</v>
      </c>
      <c r="EA110" s="52" t="n">
        <f aca="false">(1+In_Opex_Esc)^(EA$7-YEAR(In_COD))</f>
        <v>1.85394409832215</v>
      </c>
      <c r="EB110" s="52" t="n">
        <f aca="false">(1+In_Opex_Esc)^(EB$7-YEAR(In_COD))</f>
        <v>1.90029270078021</v>
      </c>
      <c r="EC110" s="52" t="n">
        <f aca="false">(1+In_Opex_Esc)^(EC$7-YEAR(In_COD))</f>
        <v>1.90029270078021</v>
      </c>
      <c r="ED110" s="52" t="n">
        <f aca="false">(1+In_Opex_Esc)^(ED$7-YEAR(In_COD))</f>
        <v>1.90029270078021</v>
      </c>
      <c r="EE110" s="52" t="n">
        <f aca="false">(1+In_Opex_Esc)^(EE$7-YEAR(In_COD))</f>
        <v>1.90029270078021</v>
      </c>
      <c r="EF110" s="52" t="n">
        <f aca="false">(1+In_Opex_Esc)^(EF$7-YEAR(In_COD))</f>
        <v>1.94780001829971</v>
      </c>
      <c r="EG110" s="52" t="n">
        <f aca="false">(1+In_Opex_Esc)^(EG$7-YEAR(In_COD))</f>
        <v>1.94780001829971</v>
      </c>
      <c r="EH110" s="52" t="n">
        <f aca="false">(1+In_Opex_Esc)^(EH$7-YEAR(In_COD))</f>
        <v>1.94780001829971</v>
      </c>
      <c r="EI110" s="52" t="n">
        <f aca="false">(1+In_Opex_Esc)^(EI$7-YEAR(In_COD))</f>
        <v>1.94780001829971</v>
      </c>
      <c r="EJ110" s="52" t="n">
        <f aca="false">(1+In_Opex_Esc)^(EJ$7-YEAR(In_COD))</f>
        <v>1.9964950187572</v>
      </c>
      <c r="EK110" s="52" t="n">
        <f aca="false">(1+In_Opex_Esc)^(EK$7-YEAR(In_COD))</f>
        <v>1.9964950187572</v>
      </c>
      <c r="EL110" s="52" t="n">
        <f aca="false">(1+In_Opex_Esc)^(EL$7-YEAR(In_COD))</f>
        <v>1.9964950187572</v>
      </c>
      <c r="EM110" s="52" t="n">
        <f aca="false">(1+In_Opex_Esc)^(EM$7-YEAR(In_COD))</f>
        <v>1.9964950187572</v>
      </c>
      <c r="EN110" s="52" t="n">
        <f aca="false">(1+In_Opex_Esc)^(EN$7-YEAR(In_COD))</f>
        <v>2.04640739422613</v>
      </c>
      <c r="EO110" s="52" t="n">
        <f aca="false">(1+In_Opex_Esc)^(EO$7-YEAR(In_COD))</f>
        <v>2.04640739422613</v>
      </c>
      <c r="EP110" s="52" t="n">
        <f aca="false">(1+In_Opex_Esc)^(EP$7-YEAR(In_COD))</f>
        <v>2.04640739422613</v>
      </c>
      <c r="EQ110" s="52" t="n">
        <f aca="false">(1+In_Opex_Esc)^(EQ$7-YEAR(In_COD))</f>
        <v>2.04640739422613</v>
      </c>
      <c r="ER110" s="52" t="n">
        <f aca="false">(1+In_Opex_Esc)^(ER$7-YEAR(In_COD))</f>
        <v>2.09756757908179</v>
      </c>
      <c r="ES110" s="52" t="n">
        <f aca="false">(1+In_Opex_Esc)^(ES$7-YEAR(In_COD))</f>
        <v>2.09756757908179</v>
      </c>
      <c r="ET110" s="52" t="n">
        <f aca="false">(1+In_Opex_Esc)^(ET$7-YEAR(In_COD))</f>
        <v>2.09756757908179</v>
      </c>
    </row>
    <row r="111" customFormat="false" ht="15" hidden="false" customHeight="false" outlineLevel="0" collapsed="false">
      <c r="C111" s="0" t="s">
        <v>564</v>
      </c>
      <c r="D111" s="11" t="s">
        <v>32</v>
      </c>
      <c r="J111" s="28" t="n">
        <f aca="false">In_PPA_Price*(1+In_PPA_Esc)^(J$7-YEAR(In_COD))</f>
        <v>85.6319118846074</v>
      </c>
      <c r="K111" s="28" t="n">
        <f aca="false">In_PPA_Price*(1+In_PPA_Esc)^(K$7-YEAR(In_COD))</f>
        <v>85.6319118846074</v>
      </c>
      <c r="L111" s="28" t="n">
        <f aca="false">In_PPA_Price*(1+In_PPA_Esc)^(L$7-YEAR(In_COD))</f>
        <v>86.4882310034535</v>
      </c>
      <c r="M111" s="28" t="n">
        <f aca="false">In_PPA_Price*(1+In_PPA_Esc)^(M$7-YEAR(In_COD))</f>
        <v>86.4882310034535</v>
      </c>
      <c r="N111" s="28" t="n">
        <f aca="false">In_PPA_Price*(1+In_PPA_Esc)^(N$7-YEAR(In_COD))</f>
        <v>86.4882310034535</v>
      </c>
      <c r="O111" s="28" t="n">
        <f aca="false">In_PPA_Price*(1+In_PPA_Esc)^(O$7-YEAR(In_COD))</f>
        <v>86.4882310034535</v>
      </c>
      <c r="P111" s="28" t="n">
        <f aca="false">In_PPA_Price*(1+In_PPA_Esc)^(P$7-YEAR(In_COD))</f>
        <v>87.353113313488</v>
      </c>
      <c r="Q111" s="28" t="n">
        <f aca="false">In_PPA_Price*(1+In_PPA_Esc)^(Q$7-YEAR(In_COD))</f>
        <v>87.353113313488</v>
      </c>
      <c r="R111" s="28" t="n">
        <f aca="false">In_PPA_Price*(1+In_PPA_Esc)^(R$7-YEAR(In_COD))</f>
        <v>87.353113313488</v>
      </c>
      <c r="S111" s="28" t="n">
        <f aca="false">In_PPA_Price*(1+In_PPA_Esc)^(S$7-YEAR(In_COD))</f>
        <v>87.353113313488</v>
      </c>
      <c r="T111" s="28" t="n">
        <f aca="false">In_PPA_Price*(1+In_PPA_Esc)^(T$7-YEAR(In_COD))</f>
        <v>88.2266444466229</v>
      </c>
      <c r="U111" s="28" t="n">
        <f aca="false">In_PPA_Price*(1+In_PPA_Esc)^(U$7-YEAR(In_COD))</f>
        <v>88.2266444466229</v>
      </c>
      <c r="V111" s="28" t="n">
        <f aca="false">In_PPA_Price*(1+In_PPA_Esc)^(V$7-YEAR(In_COD))</f>
        <v>88.2266444466229</v>
      </c>
      <c r="W111" s="28" t="n">
        <f aca="false">In_PPA_Price*(1+In_PPA_Esc)^(W$7-YEAR(In_COD))</f>
        <v>88.2266444466229</v>
      </c>
      <c r="X111" s="28" t="n">
        <f aca="false">In_PPA_Price*(1+In_PPA_Esc)^(X$7-YEAR(In_COD))</f>
        <v>89.1089108910891</v>
      </c>
      <c r="Y111" s="28" t="n">
        <f aca="false">In_PPA_Price*(1+In_PPA_Esc)^(Y$7-YEAR(In_COD))</f>
        <v>89.1089108910891</v>
      </c>
      <c r="Z111" s="28" t="n">
        <f aca="false">In_PPA_Price*(1+In_PPA_Esc)^(Z$7-YEAR(In_COD))</f>
        <v>89.1089108910891</v>
      </c>
      <c r="AA111" s="28" t="n">
        <f aca="false">In_PPA_Price*(1+In_PPA_Esc)^(AA$7-YEAR(In_COD))</f>
        <v>89.1089108910891</v>
      </c>
      <c r="AB111" s="28" t="n">
        <f aca="false">In_PPA_Price*(1+In_PPA_Esc)^(AB$7-YEAR(In_COD))</f>
        <v>90</v>
      </c>
      <c r="AC111" s="28" t="n">
        <f aca="false">In_PPA_Price*(1+In_PPA_Esc)^(AC$7-YEAR(In_COD))</f>
        <v>90</v>
      </c>
      <c r="AD111" s="28" t="n">
        <f aca="false">In_PPA_Price*(1+In_PPA_Esc)^(AD$7-YEAR(In_COD))</f>
        <v>90</v>
      </c>
      <c r="AE111" s="28" t="n">
        <f aca="false">In_PPA_Price*(1+In_PPA_Esc)^(AE$7-YEAR(In_COD))</f>
        <v>90</v>
      </c>
      <c r="AF111" s="28" t="n">
        <f aca="false">In_PPA_Price*(1+In_PPA_Esc)^(AF$7-YEAR(In_COD))</f>
        <v>90.9</v>
      </c>
      <c r="AG111" s="28" t="n">
        <f aca="false">In_PPA_Price*(1+In_PPA_Esc)^(AG$7-YEAR(In_COD))</f>
        <v>90.9</v>
      </c>
      <c r="AH111" s="28" t="n">
        <f aca="false">In_PPA_Price*(1+In_PPA_Esc)^(AH$7-YEAR(In_COD))</f>
        <v>90.9</v>
      </c>
      <c r="AI111" s="28" t="n">
        <f aca="false">In_PPA_Price*(1+In_PPA_Esc)^(AI$7-YEAR(In_COD))</f>
        <v>90.9</v>
      </c>
      <c r="AJ111" s="28" t="n">
        <f aca="false">In_PPA_Price*(1+In_PPA_Esc)^(AJ$7-YEAR(In_COD))</f>
        <v>91.809</v>
      </c>
      <c r="AK111" s="28" t="n">
        <f aca="false">In_PPA_Price*(1+In_PPA_Esc)^(AK$7-YEAR(In_COD))</f>
        <v>91.809</v>
      </c>
      <c r="AL111" s="28" t="n">
        <f aca="false">In_PPA_Price*(1+In_PPA_Esc)^(AL$7-YEAR(In_COD))</f>
        <v>91.809</v>
      </c>
      <c r="AM111" s="28" t="n">
        <f aca="false">In_PPA_Price*(1+In_PPA_Esc)^(AM$7-YEAR(In_COD))</f>
        <v>91.809</v>
      </c>
      <c r="AN111" s="28" t="n">
        <f aca="false">In_PPA_Price*(1+In_PPA_Esc)^(AN$7-YEAR(In_COD))</f>
        <v>92.72709</v>
      </c>
      <c r="AO111" s="28" t="n">
        <f aca="false">In_PPA_Price*(1+In_PPA_Esc)^(AO$7-YEAR(In_COD))</f>
        <v>92.72709</v>
      </c>
      <c r="AP111" s="28" t="n">
        <f aca="false">In_PPA_Price*(1+In_PPA_Esc)^(AP$7-YEAR(In_COD))</f>
        <v>92.72709</v>
      </c>
      <c r="AQ111" s="28" t="n">
        <f aca="false">In_PPA_Price*(1+In_PPA_Esc)^(AQ$7-YEAR(In_COD))</f>
        <v>92.72709</v>
      </c>
      <c r="AR111" s="28" t="n">
        <f aca="false">In_PPA_Price*(1+In_PPA_Esc)^(AR$7-YEAR(In_COD))</f>
        <v>93.6543609</v>
      </c>
      <c r="AS111" s="28" t="n">
        <f aca="false">In_PPA_Price*(1+In_PPA_Esc)^(AS$7-YEAR(In_COD))</f>
        <v>93.6543609</v>
      </c>
      <c r="AT111" s="28" t="n">
        <f aca="false">In_PPA_Price*(1+In_PPA_Esc)^(AT$7-YEAR(In_COD))</f>
        <v>93.6543609</v>
      </c>
      <c r="AU111" s="28" t="n">
        <f aca="false">In_PPA_Price*(1+In_PPA_Esc)^(AU$7-YEAR(In_COD))</f>
        <v>93.6543609</v>
      </c>
      <c r="AV111" s="28" t="n">
        <f aca="false">In_PPA_Price*(1+In_PPA_Esc)^(AV$7-YEAR(In_COD))</f>
        <v>94.590904509</v>
      </c>
      <c r="AW111" s="28" t="n">
        <f aca="false">In_PPA_Price*(1+In_PPA_Esc)^(AW$7-YEAR(In_COD))</f>
        <v>94.590904509</v>
      </c>
      <c r="AX111" s="28" t="n">
        <f aca="false">In_PPA_Price*(1+In_PPA_Esc)^(AX$7-YEAR(In_COD))</f>
        <v>94.590904509</v>
      </c>
      <c r="AY111" s="28" t="n">
        <f aca="false">In_PPA_Price*(1+In_PPA_Esc)^(AY$7-YEAR(In_COD))</f>
        <v>94.590904509</v>
      </c>
      <c r="AZ111" s="28" t="n">
        <f aca="false">In_PPA_Price*(1+In_PPA_Esc)^(AZ$7-YEAR(In_COD))</f>
        <v>95.53681355409</v>
      </c>
      <c r="BA111" s="28" t="n">
        <f aca="false">In_PPA_Price*(1+In_PPA_Esc)^(BA$7-YEAR(In_COD))</f>
        <v>95.53681355409</v>
      </c>
      <c r="BB111" s="28" t="n">
        <f aca="false">In_PPA_Price*(1+In_PPA_Esc)^(BB$7-YEAR(In_COD))</f>
        <v>95.53681355409</v>
      </c>
      <c r="BC111" s="28" t="n">
        <f aca="false">In_PPA_Price*(1+In_PPA_Esc)^(BC$7-YEAR(In_COD))</f>
        <v>95.53681355409</v>
      </c>
      <c r="BD111" s="28" t="n">
        <f aca="false">In_PPA_Price*(1+In_PPA_Esc)^(BD$7-YEAR(In_COD))</f>
        <v>96.4921816896309</v>
      </c>
      <c r="BE111" s="28" t="n">
        <f aca="false">In_PPA_Price*(1+In_PPA_Esc)^(BE$7-YEAR(In_COD))</f>
        <v>96.4921816896309</v>
      </c>
      <c r="BF111" s="28" t="n">
        <f aca="false">In_PPA_Price*(1+In_PPA_Esc)^(BF$7-YEAR(In_COD))</f>
        <v>96.4921816896309</v>
      </c>
      <c r="BG111" s="28" t="n">
        <f aca="false">In_PPA_Price*(1+In_PPA_Esc)^(BG$7-YEAR(In_COD))</f>
        <v>96.4921816896309</v>
      </c>
      <c r="BH111" s="28" t="n">
        <f aca="false">In_PPA_Price*(1+In_PPA_Esc)^(BH$7-YEAR(In_COD))</f>
        <v>97.4571035065272</v>
      </c>
      <c r="BI111" s="28" t="n">
        <f aca="false">In_PPA_Price*(1+In_PPA_Esc)^(BI$7-YEAR(In_COD))</f>
        <v>97.4571035065272</v>
      </c>
      <c r="BJ111" s="28" t="n">
        <f aca="false">In_PPA_Price*(1+In_PPA_Esc)^(BJ$7-YEAR(In_COD))</f>
        <v>97.4571035065272</v>
      </c>
      <c r="BK111" s="28" t="n">
        <f aca="false">In_PPA_Price*(1+In_PPA_Esc)^(BK$7-YEAR(In_COD))</f>
        <v>97.4571035065272</v>
      </c>
      <c r="BL111" s="28" t="n">
        <f aca="false">In_PPA_Price*(1+In_PPA_Esc)^(BL$7-YEAR(In_COD))</f>
        <v>98.4316745415925</v>
      </c>
      <c r="BM111" s="28" t="n">
        <f aca="false">In_PPA_Price*(1+In_PPA_Esc)^(BM$7-YEAR(In_COD))</f>
        <v>98.4316745415925</v>
      </c>
      <c r="BN111" s="28" t="n">
        <f aca="false">In_PPA_Price*(1+In_PPA_Esc)^(BN$7-YEAR(In_COD))</f>
        <v>98.4316745415925</v>
      </c>
      <c r="BO111" s="28" t="n">
        <f aca="false">In_PPA_Price*(1+In_PPA_Esc)^(BO$7-YEAR(In_COD))</f>
        <v>98.4316745415925</v>
      </c>
      <c r="BP111" s="28" t="n">
        <f aca="false">In_PPA_Price*(1+In_PPA_Esc)^(BP$7-YEAR(In_COD))</f>
        <v>99.4159912870084</v>
      </c>
      <c r="BQ111" s="28" t="n">
        <f aca="false">In_PPA_Price*(1+In_PPA_Esc)^(BQ$7-YEAR(In_COD))</f>
        <v>99.4159912870084</v>
      </c>
      <c r="BR111" s="28" t="n">
        <f aca="false">In_PPA_Price*(1+In_PPA_Esc)^(BR$7-YEAR(In_COD))</f>
        <v>99.4159912870084</v>
      </c>
      <c r="BS111" s="28" t="n">
        <f aca="false">In_PPA_Price*(1+In_PPA_Esc)^(BS$7-YEAR(In_COD))</f>
        <v>99.4159912870084</v>
      </c>
      <c r="BT111" s="28" t="n">
        <f aca="false">In_PPA_Price*(1+In_PPA_Esc)^(BT$7-YEAR(In_COD))</f>
        <v>100.410151199878</v>
      </c>
      <c r="BU111" s="28" t="n">
        <f aca="false">In_PPA_Price*(1+In_PPA_Esc)^(BU$7-YEAR(In_COD))</f>
        <v>100.410151199878</v>
      </c>
      <c r="BV111" s="28" t="n">
        <f aca="false">In_PPA_Price*(1+In_PPA_Esc)^(BV$7-YEAR(In_COD))</f>
        <v>100.410151199878</v>
      </c>
      <c r="BW111" s="28" t="n">
        <f aca="false">In_PPA_Price*(1+In_PPA_Esc)^(BW$7-YEAR(In_COD))</f>
        <v>100.410151199878</v>
      </c>
      <c r="BX111" s="28" t="n">
        <f aca="false">In_PPA_Price*(1+In_PPA_Esc)^(BX$7-YEAR(In_COD))</f>
        <v>101.414252711877</v>
      </c>
      <c r="BY111" s="28" t="n">
        <f aca="false">In_PPA_Price*(1+In_PPA_Esc)^(BY$7-YEAR(In_COD))</f>
        <v>101.414252711877</v>
      </c>
      <c r="BZ111" s="28" t="n">
        <f aca="false">In_PPA_Price*(1+In_PPA_Esc)^(BZ$7-YEAR(In_COD))</f>
        <v>101.414252711877</v>
      </c>
      <c r="CA111" s="28" t="n">
        <f aca="false">In_PPA_Price*(1+In_PPA_Esc)^(CA$7-YEAR(In_COD))</f>
        <v>101.414252711877</v>
      </c>
      <c r="CB111" s="28" t="n">
        <f aca="false">In_PPA_Price*(1+In_PPA_Esc)^(CB$7-YEAR(In_COD))</f>
        <v>102.428395238996</v>
      </c>
      <c r="CC111" s="28" t="n">
        <f aca="false">In_PPA_Price*(1+In_PPA_Esc)^(CC$7-YEAR(In_COD))</f>
        <v>102.428395238996</v>
      </c>
      <c r="CD111" s="28" t="n">
        <f aca="false">In_PPA_Price*(1+In_PPA_Esc)^(CD$7-YEAR(In_COD))</f>
        <v>102.428395238996</v>
      </c>
      <c r="CE111" s="28" t="n">
        <f aca="false">In_PPA_Price*(1+In_PPA_Esc)^(CE$7-YEAR(In_COD))</f>
        <v>102.428395238996</v>
      </c>
      <c r="CF111" s="28" t="n">
        <f aca="false">In_PPA_Price*(1+In_PPA_Esc)^(CF$7-YEAR(In_COD))</f>
        <v>103.452679191386</v>
      </c>
      <c r="CG111" s="28" t="n">
        <f aca="false">In_PPA_Price*(1+In_PPA_Esc)^(CG$7-YEAR(In_COD))</f>
        <v>103.452679191386</v>
      </c>
      <c r="CH111" s="28" t="n">
        <f aca="false">In_PPA_Price*(1+In_PPA_Esc)^(CH$7-YEAR(In_COD))</f>
        <v>103.452679191386</v>
      </c>
      <c r="CI111" s="28" t="n">
        <f aca="false">In_PPA_Price*(1+In_PPA_Esc)^(CI$7-YEAR(In_COD))</f>
        <v>103.452679191386</v>
      </c>
      <c r="CJ111" s="28" t="n">
        <f aca="false">In_PPA_Price*(1+In_PPA_Esc)^(CJ$7-YEAR(In_COD))</f>
        <v>104.4872059833</v>
      </c>
      <c r="CK111" s="28" t="n">
        <f aca="false">In_PPA_Price*(1+In_PPA_Esc)^(CK$7-YEAR(In_COD))</f>
        <v>104.4872059833</v>
      </c>
      <c r="CL111" s="28" t="n">
        <f aca="false">In_PPA_Price*(1+In_PPA_Esc)^(CL$7-YEAR(In_COD))</f>
        <v>104.4872059833</v>
      </c>
      <c r="CM111" s="28" t="n">
        <f aca="false">In_PPA_Price*(1+In_PPA_Esc)^(CM$7-YEAR(In_COD))</f>
        <v>104.4872059833</v>
      </c>
      <c r="CN111" s="28" t="n">
        <f aca="false">In_PPA_Price*(1+In_PPA_Esc)^(CN$7-YEAR(In_COD))</f>
        <v>105.532078043133</v>
      </c>
      <c r="CO111" s="28" t="n">
        <f aca="false">In_PPA_Price*(1+In_PPA_Esc)^(CO$7-YEAR(In_COD))</f>
        <v>105.532078043133</v>
      </c>
      <c r="CP111" s="28" t="n">
        <f aca="false">In_PPA_Price*(1+In_PPA_Esc)^(CP$7-YEAR(In_COD))</f>
        <v>105.532078043133</v>
      </c>
      <c r="CQ111" s="28" t="n">
        <f aca="false">In_PPA_Price*(1+In_PPA_Esc)^(CQ$7-YEAR(In_COD))</f>
        <v>105.532078043133</v>
      </c>
      <c r="CR111" s="28" t="n">
        <f aca="false">In_PPA_Price*(1+In_PPA_Esc)^(CR$7-YEAR(In_COD))</f>
        <v>106.587398823564</v>
      </c>
      <c r="CS111" s="28" t="n">
        <f aca="false">In_PPA_Price*(1+In_PPA_Esc)^(CS$7-YEAR(In_COD))</f>
        <v>106.587398823564</v>
      </c>
      <c r="CT111" s="28" t="n">
        <f aca="false">In_PPA_Price*(1+In_PPA_Esc)^(CT$7-YEAR(In_COD))</f>
        <v>106.587398823564</v>
      </c>
      <c r="CU111" s="28" t="n">
        <f aca="false">In_PPA_Price*(1+In_PPA_Esc)^(CU$7-YEAR(In_COD))</f>
        <v>106.587398823564</v>
      </c>
      <c r="CV111" s="28" t="n">
        <f aca="false">In_PPA_Price*(1+In_PPA_Esc)^(CV$7-YEAR(In_COD))</f>
        <v>107.6532728118</v>
      </c>
      <c r="CW111" s="28" t="n">
        <f aca="false">In_PPA_Price*(1+In_PPA_Esc)^(CW$7-YEAR(In_COD))</f>
        <v>107.6532728118</v>
      </c>
      <c r="CX111" s="28" t="n">
        <f aca="false">In_PPA_Price*(1+In_PPA_Esc)^(CX$7-YEAR(In_COD))</f>
        <v>107.6532728118</v>
      </c>
      <c r="CY111" s="28" t="n">
        <f aca="false">In_PPA_Price*(1+In_PPA_Esc)^(CY$7-YEAR(In_COD))</f>
        <v>107.6532728118</v>
      </c>
      <c r="CZ111" s="28" t="n">
        <f aca="false">In_PPA_Price*(1+In_PPA_Esc)^(CZ$7-YEAR(In_COD))</f>
        <v>108.729805539918</v>
      </c>
      <c r="DA111" s="28" t="n">
        <f aca="false">In_PPA_Price*(1+In_PPA_Esc)^(DA$7-YEAR(In_COD))</f>
        <v>108.729805539918</v>
      </c>
      <c r="DB111" s="28" t="n">
        <f aca="false">In_PPA_Price*(1+In_PPA_Esc)^(DB$7-YEAR(In_COD))</f>
        <v>108.729805539918</v>
      </c>
      <c r="DC111" s="28" t="n">
        <f aca="false">In_PPA_Price*(1+In_PPA_Esc)^(DC$7-YEAR(In_COD))</f>
        <v>108.729805539918</v>
      </c>
      <c r="DD111" s="28" t="n">
        <f aca="false">In_PPA_Price*(1+In_PPA_Esc)^(DD$7-YEAR(In_COD))</f>
        <v>109.817103595317</v>
      </c>
      <c r="DE111" s="28" t="n">
        <f aca="false">In_PPA_Price*(1+In_PPA_Esc)^(DE$7-YEAR(In_COD))</f>
        <v>109.817103595317</v>
      </c>
      <c r="DF111" s="28" t="n">
        <f aca="false">In_PPA_Price*(1+In_PPA_Esc)^(DF$7-YEAR(In_COD))</f>
        <v>109.817103595317</v>
      </c>
      <c r="DG111" s="28" t="n">
        <f aca="false">In_PPA_Price*(1+In_PPA_Esc)^(DG$7-YEAR(In_COD))</f>
        <v>109.817103595317</v>
      </c>
      <c r="DH111" s="28" t="n">
        <f aca="false">In_PPA_Price*(1+In_PPA_Esc)^(DH$7-YEAR(In_COD))</f>
        <v>110.91527463127</v>
      </c>
      <c r="DI111" s="28" t="n">
        <f aca="false">In_PPA_Price*(1+In_PPA_Esc)^(DI$7-YEAR(In_COD))</f>
        <v>110.91527463127</v>
      </c>
      <c r="DJ111" s="28" t="n">
        <f aca="false">In_PPA_Price*(1+In_PPA_Esc)^(DJ$7-YEAR(In_COD))</f>
        <v>110.91527463127</v>
      </c>
      <c r="DK111" s="28" t="n">
        <f aca="false">In_PPA_Price*(1+In_PPA_Esc)^(DK$7-YEAR(In_COD))</f>
        <v>110.91527463127</v>
      </c>
      <c r="DL111" s="28" t="n">
        <f aca="false">In_PPA_Price*(1+In_PPA_Esc)^(DL$7-YEAR(In_COD))</f>
        <v>112.024427377583</v>
      </c>
      <c r="DM111" s="28" t="n">
        <f aca="false">In_PPA_Price*(1+In_PPA_Esc)^(DM$7-YEAR(In_COD))</f>
        <v>112.024427377583</v>
      </c>
      <c r="DN111" s="28" t="n">
        <f aca="false">In_PPA_Price*(1+In_PPA_Esc)^(DN$7-YEAR(In_COD))</f>
        <v>112.024427377583</v>
      </c>
      <c r="DO111" s="28" t="n">
        <f aca="false">In_PPA_Price*(1+In_PPA_Esc)^(DO$7-YEAR(In_COD))</f>
        <v>112.024427377583</v>
      </c>
      <c r="DP111" s="28" t="n">
        <f aca="false">In_PPA_Price*(1+In_PPA_Esc)^(DP$7-YEAR(In_COD))</f>
        <v>113.144671651359</v>
      </c>
      <c r="DQ111" s="28" t="n">
        <f aca="false">In_PPA_Price*(1+In_PPA_Esc)^(DQ$7-YEAR(In_COD))</f>
        <v>113.144671651359</v>
      </c>
      <c r="DR111" s="28" t="n">
        <f aca="false">In_PPA_Price*(1+In_PPA_Esc)^(DR$7-YEAR(In_COD))</f>
        <v>113.144671651359</v>
      </c>
      <c r="DS111" s="28" t="n">
        <f aca="false">In_PPA_Price*(1+In_PPA_Esc)^(DS$7-YEAR(In_COD))</f>
        <v>113.144671651359</v>
      </c>
      <c r="DT111" s="28" t="n">
        <f aca="false">In_PPA_Price*(1+In_PPA_Esc)^(DT$7-YEAR(In_COD))</f>
        <v>114.276118367872</v>
      </c>
      <c r="DU111" s="28" t="n">
        <f aca="false">In_PPA_Price*(1+In_PPA_Esc)^(DU$7-YEAR(In_COD))</f>
        <v>114.276118367872</v>
      </c>
      <c r="DV111" s="28" t="n">
        <f aca="false">In_PPA_Price*(1+In_PPA_Esc)^(DV$7-YEAR(In_COD))</f>
        <v>114.276118367872</v>
      </c>
      <c r="DW111" s="28" t="n">
        <f aca="false">In_PPA_Price*(1+In_PPA_Esc)^(DW$7-YEAR(In_COD))</f>
        <v>114.276118367872</v>
      </c>
      <c r="DX111" s="28" t="n">
        <f aca="false">In_PPA_Price*(1+In_PPA_Esc)^(DX$7-YEAR(In_COD))</f>
        <v>115.418879551551</v>
      </c>
      <c r="DY111" s="28" t="n">
        <f aca="false">In_PPA_Price*(1+In_PPA_Esc)^(DY$7-YEAR(In_COD))</f>
        <v>115.418879551551</v>
      </c>
      <c r="DZ111" s="28" t="n">
        <f aca="false">In_PPA_Price*(1+In_PPA_Esc)^(DZ$7-YEAR(In_COD))</f>
        <v>115.418879551551</v>
      </c>
      <c r="EA111" s="28" t="n">
        <f aca="false">In_PPA_Price*(1+In_PPA_Esc)^(EA$7-YEAR(In_COD))</f>
        <v>115.418879551551</v>
      </c>
      <c r="EB111" s="28" t="n">
        <f aca="false">In_PPA_Price*(1+In_PPA_Esc)^(EB$7-YEAR(In_COD))</f>
        <v>116.573068347067</v>
      </c>
      <c r="EC111" s="28" t="n">
        <f aca="false">In_PPA_Price*(1+In_PPA_Esc)^(EC$7-YEAR(In_COD))</f>
        <v>116.573068347067</v>
      </c>
      <c r="ED111" s="28" t="n">
        <f aca="false">In_PPA_Price*(1+In_PPA_Esc)^(ED$7-YEAR(In_COD))</f>
        <v>116.573068347067</v>
      </c>
      <c r="EE111" s="28" t="n">
        <f aca="false">In_PPA_Price*(1+In_PPA_Esc)^(EE$7-YEAR(In_COD))</f>
        <v>116.573068347067</v>
      </c>
      <c r="EF111" s="28" t="n">
        <f aca="false">In_PPA_Price*(1+In_PPA_Esc)^(EF$7-YEAR(In_COD))</f>
        <v>117.738799030537</v>
      </c>
      <c r="EG111" s="28" t="n">
        <f aca="false">In_PPA_Price*(1+In_PPA_Esc)^(EG$7-YEAR(In_COD))</f>
        <v>117.738799030537</v>
      </c>
      <c r="EH111" s="28" t="n">
        <f aca="false">In_PPA_Price*(1+In_PPA_Esc)^(EH$7-YEAR(In_COD))</f>
        <v>117.738799030537</v>
      </c>
      <c r="EI111" s="28" t="n">
        <f aca="false">In_PPA_Price*(1+In_PPA_Esc)^(EI$7-YEAR(In_COD))</f>
        <v>117.738799030537</v>
      </c>
      <c r="EJ111" s="28" t="n">
        <f aca="false">In_PPA_Price*(1+In_PPA_Esc)^(EJ$7-YEAR(In_COD))</f>
        <v>118.916187020843</v>
      </c>
      <c r="EK111" s="28" t="n">
        <f aca="false">In_PPA_Price*(1+In_PPA_Esc)^(EK$7-YEAR(In_COD))</f>
        <v>118.916187020843</v>
      </c>
      <c r="EL111" s="28" t="n">
        <f aca="false">In_PPA_Price*(1+In_PPA_Esc)^(EL$7-YEAR(In_COD))</f>
        <v>118.916187020843</v>
      </c>
      <c r="EM111" s="28" t="n">
        <f aca="false">In_PPA_Price*(1+In_PPA_Esc)^(EM$7-YEAR(In_COD))</f>
        <v>118.916187020843</v>
      </c>
      <c r="EN111" s="28" t="n">
        <f aca="false">In_PPA_Price*(1+In_PPA_Esc)^(EN$7-YEAR(In_COD))</f>
        <v>120.105348891051</v>
      </c>
      <c r="EO111" s="28" t="n">
        <f aca="false">In_PPA_Price*(1+In_PPA_Esc)^(EO$7-YEAR(In_COD))</f>
        <v>120.105348891051</v>
      </c>
      <c r="EP111" s="28" t="n">
        <f aca="false">In_PPA_Price*(1+In_PPA_Esc)^(EP$7-YEAR(In_COD))</f>
        <v>120.105348891051</v>
      </c>
      <c r="EQ111" s="28" t="n">
        <f aca="false">In_PPA_Price*(1+In_PPA_Esc)^(EQ$7-YEAR(In_COD))</f>
        <v>120.105348891051</v>
      </c>
      <c r="ER111" s="28" t="n">
        <f aca="false">In_PPA_Price*(1+In_PPA_Esc)^(ER$7-YEAR(In_COD))</f>
        <v>121.306402379962</v>
      </c>
      <c r="ES111" s="28" t="n">
        <f aca="false">In_PPA_Price*(1+In_PPA_Esc)^(ES$7-YEAR(In_COD))</f>
        <v>121.306402379962</v>
      </c>
      <c r="ET111" s="28" t="n">
        <f aca="false">In_PPA_Price*(1+In_PPA_Esc)^(ET$7-YEAR(In_COD))</f>
        <v>121.306402379962</v>
      </c>
    </row>
    <row r="112" customFormat="false" ht="15" hidden="false" customHeight="false" outlineLevel="0" collapsed="false">
      <c r="C112" s="0" t="s">
        <v>565</v>
      </c>
      <c r="D112" s="11" t="s">
        <v>499</v>
      </c>
      <c r="I112" s="33" t="n">
        <f aca="false">SUM(J112:ET112)</f>
        <v>6931492.24461103</v>
      </c>
      <c r="J112" s="33" t="n">
        <f aca="false">$F24*In_P50_Hours*(1-In_Curtailment)*(1-$E27)*(1-In_Degradation)^(J109-1)*J15*J$6</f>
        <v>0</v>
      </c>
      <c r="K112" s="33" t="n">
        <f aca="false">$F24*In_P50_Hours*(1-In_Curtailment)*(1-$E27)*(1-In_Degradation)^(K109-1)*K15*K$6</f>
        <v>0</v>
      </c>
      <c r="L112" s="33" t="n">
        <f aca="false">$F24*In_P50_Hours*(1-In_Curtailment)*(1-$E27)*(1-In_Degradation)^(L109-1)*L15*L$6</f>
        <v>0</v>
      </c>
      <c r="M112" s="33" t="n">
        <f aca="false">$F24*In_P50_Hours*(1-In_Curtailment)*(1-$E27)*(1-In_Degradation)^(M109-1)*M15*M$6</f>
        <v>0</v>
      </c>
      <c r="N112" s="33" t="n">
        <f aca="false">$F24*In_P50_Hours*(1-In_Curtailment)*(1-$E27)*(1-In_Degradation)^(N109-1)*N15*N$6</f>
        <v>0</v>
      </c>
      <c r="O112" s="33" t="n">
        <f aca="false">$F24*In_P50_Hours*(1-In_Curtailment)*(1-$E27)*(1-In_Degradation)^(O109-1)*O15*O$6</f>
        <v>0</v>
      </c>
      <c r="P112" s="33" t="n">
        <f aca="false">$F24*In_P50_Hours*(1-In_Curtailment)*(1-$E27)*(1-In_Degradation)^(P109-1)*P15*P$6</f>
        <v>0</v>
      </c>
      <c r="Q112" s="33" t="n">
        <f aca="false">$F24*In_P50_Hours*(1-In_Curtailment)*(1-$E27)*(1-In_Degradation)^(Q109-1)*Q15*Q$6</f>
        <v>0</v>
      </c>
      <c r="R112" s="33" t="n">
        <f aca="false">$F24*In_P50_Hours*(1-In_Curtailment)*(1-$E27)*(1-In_Degradation)^(R109-1)*R15*R$6</f>
        <v>0</v>
      </c>
      <c r="S112" s="33" t="n">
        <f aca="false">$F24*In_P50_Hours*(1-In_Curtailment)*(1-$E27)*(1-In_Degradation)^(S109-1)*S15*S$6</f>
        <v>0</v>
      </c>
      <c r="T112" s="33" t="n">
        <f aca="false">$F24*In_P50_Hours*(1-In_Curtailment)*(1-$E27)*(1-In_Degradation)^(T109-1)*T15*T$6</f>
        <v>0</v>
      </c>
      <c r="U112" s="33" t="n">
        <f aca="false">$F24*In_P50_Hours*(1-In_Curtailment)*(1-$E27)*(1-In_Degradation)^(U109-1)*U15*U$6</f>
        <v>0</v>
      </c>
      <c r="V112" s="33" t="n">
        <f aca="false">$F24*In_P50_Hours*(1-In_Curtailment)*(1-$E27)*(1-In_Degradation)^(V109-1)*V15*V$6</f>
        <v>0</v>
      </c>
      <c r="W112" s="33" t="n">
        <f aca="false">$F24*In_P50_Hours*(1-In_Curtailment)*(1-$E27)*(1-In_Degradation)^(W109-1)*W15*W$6</f>
        <v>0</v>
      </c>
      <c r="X112" s="33" t="n">
        <f aca="false">$F24*In_P50_Hours*(1-In_Curtailment)*(1-$E27)*(1-In_Degradation)^(X109-1)*X15*X$6</f>
        <v>0</v>
      </c>
      <c r="Y112" s="33" t="n">
        <f aca="false">$F24*In_P50_Hours*(1-In_Curtailment)*(1-$E27)*(1-In_Degradation)^(Y109-1)*Y15*Y$6</f>
        <v>0</v>
      </c>
      <c r="Z112" s="33" t="n">
        <f aca="false">$F24*In_P50_Hours*(1-In_Curtailment)*(1-$E27)*(1-In_Degradation)^(Z109-1)*Z15*Z$6</f>
        <v>0</v>
      </c>
      <c r="AA112" s="33" t="n">
        <f aca="false">$F24*In_P50_Hours*(1-In_Curtailment)*(1-$E27)*(1-In_Degradation)^(AA109-1)*AA15*AA$6</f>
        <v>0</v>
      </c>
      <c r="AB112" s="33" t="n">
        <f aca="false">$F24*In_P50_Hours*(1-In_Curtailment)*(1-$E27)*(1-In_Degradation)^(AB109-1)*AB15*AB$6</f>
        <v>0</v>
      </c>
      <c r="AC112" s="33" t="n">
        <f aca="false">$F24*In_P50_Hours*(1-In_Curtailment)*(1-$E27)*(1-In_Degradation)^(AC109-1)*AC15*AC$6</f>
        <v>0</v>
      </c>
      <c r="AD112" s="33" t="n">
        <f aca="false">$F24*In_P50_Hours*(1-In_Curtailment)*(1-$E27)*(1-In_Degradation)^(AD109-1)*AD15*AD$6</f>
        <v>0</v>
      </c>
      <c r="AE112" s="33" t="n">
        <f aca="false">$F24*In_P50_Hours*(1-In_Curtailment)*(1-$E27)*(1-In_Degradation)^(AE109-1)*AE15*AE$6</f>
        <v>60765.3698630137</v>
      </c>
      <c r="AF112" s="33" t="n">
        <f aca="false">$F24*In_P50_Hours*(1-In_Curtailment)*(1-$E27)*(1-In_Degradation)^(AF109-1)*AF15*AF$6</f>
        <v>60104.8767123288</v>
      </c>
      <c r="AG112" s="33" t="n">
        <f aca="false">$F24*In_P50_Hours*(1-In_Curtailment)*(1-$E27)*(1-In_Degradation)^(AG109-1)*AG15*AG$6</f>
        <v>60104.8767123288</v>
      </c>
      <c r="AH112" s="33" t="n">
        <f aca="false">$F24*In_P50_Hours*(1-In_Curtailment)*(1-$E27)*(1-In_Degradation)^(AH109-1)*AH15*AH$6</f>
        <v>60765.3698630137</v>
      </c>
      <c r="AI112" s="33" t="n">
        <f aca="false">$F24*In_P50_Hours*(1-In_Curtailment)*(1-$E27)*(1-In_Degradation)^(AI109-1)*AI15*AI$6</f>
        <v>60583.0737534247</v>
      </c>
      <c r="AJ112" s="33" t="n">
        <f aca="false">$F24*In_P50_Hours*(1-In_Curtailment)*(1-$E27)*(1-In_Degradation)^(AJ109-1)*AJ15*AJ$6</f>
        <v>59266.0504109589</v>
      </c>
      <c r="AK112" s="33" t="n">
        <f aca="false">$F24*In_P50_Hours*(1-In_Curtailment)*(1-$E27)*(1-In_Degradation)^(AK109-1)*AK15*AK$6</f>
        <v>59924.5620821918</v>
      </c>
      <c r="AL112" s="33" t="n">
        <f aca="false">$F24*In_P50_Hours*(1-In_Curtailment)*(1-$E27)*(1-In_Degradation)^(AL109-1)*AL15*AL$6</f>
        <v>60583.0737534247</v>
      </c>
      <c r="AM112" s="33" t="n">
        <f aca="false">$F24*In_P50_Hours*(1-In_Curtailment)*(1-$E27)*(1-In_Degradation)^(AM109-1)*AM15*AM$6</f>
        <v>60401.3245321644</v>
      </c>
      <c r="AN112" s="33" t="n">
        <f aca="false">$F24*In_P50_Hours*(1-In_Curtailment)*(1-$E27)*(1-In_Degradation)^(AN109-1)*AN15*AN$6</f>
        <v>59088.252259726</v>
      </c>
      <c r="AO112" s="33" t="n">
        <f aca="false">$F24*In_P50_Hours*(1-In_Curtailment)*(1-$E27)*(1-In_Degradation)^(AO109-1)*AO15*AO$6</f>
        <v>59744.7883959452</v>
      </c>
      <c r="AP112" s="33" t="n">
        <f aca="false">$F24*In_P50_Hours*(1-In_Curtailment)*(1-$E27)*(1-In_Degradation)^(AP109-1)*AP15*AP$6</f>
        <v>60401.3245321644</v>
      </c>
      <c r="AQ112" s="33" t="n">
        <f aca="false">$F24*In_P50_Hours*(1-In_Curtailment)*(1-$E27)*(1-In_Degradation)^(AQ109-1)*AQ15*AQ$6</f>
        <v>60220.1205585679</v>
      </c>
      <c r="AR112" s="33" t="n">
        <f aca="false">$F24*In_P50_Hours*(1-In_Curtailment)*(1-$E27)*(1-In_Degradation)^(AR109-1)*AR15*AR$6</f>
        <v>58910.9875029468</v>
      </c>
      <c r="AS112" s="33" t="n">
        <f aca="false">$F24*In_P50_Hours*(1-In_Curtailment)*(1-$E27)*(1-In_Degradation)^(AS109-1)*AS15*AS$6</f>
        <v>59565.5540307574</v>
      </c>
      <c r="AT112" s="33" t="n">
        <f aca="false">$F24*In_P50_Hours*(1-In_Curtailment)*(1-$E27)*(1-In_Degradation)^(AT109-1)*AT15*AT$6</f>
        <v>60220.1205585679</v>
      </c>
      <c r="AU112" s="33" t="n">
        <f aca="false">$F24*In_P50_Hours*(1-In_Curtailment)*(1-$E27)*(1-In_Degradation)^(AU109-1)*AU15*AU$6</f>
        <v>60039.4601968922</v>
      </c>
      <c r="AV112" s="33" t="n">
        <f aca="false">$F24*In_P50_Hours*(1-In_Curtailment)*(1-$E27)*(1-In_Degradation)^(AV109-1)*AV15*AV$6</f>
        <v>59386.8573686651</v>
      </c>
      <c r="AW112" s="33" t="n">
        <f aca="false">$F24*In_P50_Hours*(1-In_Curtailment)*(1-$E27)*(1-In_Degradation)^(AW109-1)*AW15*AW$6</f>
        <v>59386.8573686651</v>
      </c>
      <c r="AX112" s="33" t="n">
        <f aca="false">$F24*In_P50_Hours*(1-In_Curtailment)*(1-$E27)*(1-In_Degradation)^(AX109-1)*AX15*AX$6</f>
        <v>60039.4601968922</v>
      </c>
      <c r="AY112" s="33" t="n">
        <f aca="false">$F24*In_P50_Hours*(1-In_Curtailment)*(1-$E27)*(1-In_Degradation)^(AY109-1)*AY15*AY$6</f>
        <v>59859.3418163015</v>
      </c>
      <c r="AZ112" s="33" t="n">
        <f aca="false">$F24*In_P50_Hours*(1-In_Curtailment)*(1-$E27)*(1-In_Degradation)^(AZ109-1)*AZ15*AZ$6</f>
        <v>58558.0517768167</v>
      </c>
      <c r="BA112" s="33" t="n">
        <f aca="false">$F24*In_P50_Hours*(1-In_Curtailment)*(1-$E27)*(1-In_Degradation)^(BA109-1)*BA15*BA$6</f>
        <v>59208.6967965591</v>
      </c>
      <c r="BB112" s="33" t="n">
        <f aca="false">$F24*In_P50_Hours*(1-In_Curtailment)*(1-$E27)*(1-In_Degradation)^(BB109-1)*BB15*BB$6</f>
        <v>59859.3418163015</v>
      </c>
      <c r="BC112" s="33" t="n">
        <f aca="false">$F24*In_P50_Hours*(1-In_Curtailment)*(1-$E27)*(1-In_Degradation)^(BC109-1)*BC15*BC$6</f>
        <v>59679.7637908526</v>
      </c>
      <c r="BD112" s="33" t="n">
        <f aca="false">$F24*In_P50_Hours*(1-In_Curtailment)*(1-$E27)*(1-In_Degradation)^(BD109-1)*BD15*BD$6</f>
        <v>58382.3776214862</v>
      </c>
      <c r="BE112" s="33" t="n">
        <f aca="false">$F24*In_P50_Hours*(1-In_Curtailment)*(1-$E27)*(1-In_Degradation)^(BE109-1)*BE15*BE$6</f>
        <v>59031.0707061694</v>
      </c>
      <c r="BF112" s="33" t="n">
        <f aca="false">$F24*In_P50_Hours*(1-In_Curtailment)*(1-$E27)*(1-In_Degradation)^(BF109-1)*BF15*BF$6</f>
        <v>59679.7637908526</v>
      </c>
      <c r="BG112" s="33" t="n">
        <f aca="false">$F24*In_P50_Hours*(1-In_Curtailment)*(1-$E27)*(1-In_Degradation)^(BG109-1)*BG15*BG$6</f>
        <v>59500.7244994801</v>
      </c>
      <c r="BH112" s="33" t="n">
        <f aca="false">$F24*In_P50_Hours*(1-In_Curtailment)*(1-$E27)*(1-In_Degradation)^(BH109-1)*BH15*BH$6</f>
        <v>58207.2304886218</v>
      </c>
      <c r="BI112" s="33" t="n">
        <f aca="false">$F24*In_P50_Hours*(1-In_Curtailment)*(1-$E27)*(1-In_Degradation)^(BI109-1)*BI15*BI$6</f>
        <v>58853.9774940509</v>
      </c>
      <c r="BJ112" s="33" t="n">
        <f aca="false">$F24*In_P50_Hours*(1-In_Curtailment)*(1-$E27)*(1-In_Degradation)^(BJ109-1)*BJ15*BJ$6</f>
        <v>59500.7244994801</v>
      </c>
      <c r="BK112" s="33" t="n">
        <f aca="false">$F24*In_P50_Hours*(1-In_Curtailment)*(1-$E27)*(1-In_Degradation)^(BK109-1)*BK15*BK$6</f>
        <v>59322.2223259816</v>
      </c>
      <c r="BL112" s="33" t="n">
        <f aca="false">$F24*In_P50_Hours*(1-In_Curtailment)*(1-$E27)*(1-In_Degradation)^(BL109-1)*BL15*BL$6</f>
        <v>58677.4155615688</v>
      </c>
      <c r="BM112" s="33" t="n">
        <f aca="false">$F24*In_P50_Hours*(1-In_Curtailment)*(1-$E27)*(1-In_Degradation)^(BM109-1)*BM15*BM$6</f>
        <v>58677.4155615688</v>
      </c>
      <c r="BN112" s="33" t="n">
        <f aca="false">$F24*In_P50_Hours*(1-In_Curtailment)*(1-$E27)*(1-In_Degradation)^(BN109-1)*BN15*BN$6</f>
        <v>59322.2223259816</v>
      </c>
      <c r="BO112" s="33" t="n">
        <f aca="false">$F24*In_P50_Hours*(1-In_Curtailment)*(1-$E27)*(1-In_Degradation)^(BO109-1)*BO15*BO$6</f>
        <v>59144.2556590037</v>
      </c>
      <c r="BP112" s="33" t="n">
        <f aca="false">$F24*In_P50_Hours*(1-In_Curtailment)*(1-$E27)*(1-In_Degradation)^(BP109-1)*BP15*BP$6</f>
        <v>57858.5109707644</v>
      </c>
      <c r="BQ112" s="33" t="n">
        <f aca="false">$F24*In_P50_Hours*(1-In_Curtailment)*(1-$E27)*(1-In_Degradation)^(BQ109-1)*BQ15*BQ$6</f>
        <v>58501.3833148841</v>
      </c>
      <c r="BR112" s="33" t="n">
        <f aca="false">$F24*In_P50_Hours*(1-In_Curtailment)*(1-$E27)*(1-In_Degradation)^(BR109-1)*BR15*BR$6</f>
        <v>59144.2556590037</v>
      </c>
      <c r="BS112" s="33" t="n">
        <f aca="false">$F24*In_P50_Hours*(1-In_Curtailment)*(1-$E27)*(1-In_Degradation)^(BS109-1)*BS15*BS$6</f>
        <v>58966.8228920267</v>
      </c>
      <c r="BT112" s="33" t="n">
        <f aca="false">$F24*In_P50_Hours*(1-In_Curtailment)*(1-$E27)*(1-In_Degradation)^(BT109-1)*BT15*BT$6</f>
        <v>57684.9354378522</v>
      </c>
      <c r="BU112" s="33" t="n">
        <f aca="false">$F24*In_P50_Hours*(1-In_Curtailment)*(1-$E27)*(1-In_Degradation)^(BU109-1)*BU15*BU$6</f>
        <v>58325.8791649394</v>
      </c>
      <c r="BV112" s="33" t="n">
        <f aca="false">$F24*In_P50_Hours*(1-In_Curtailment)*(1-$E27)*(1-In_Degradation)^(BV109-1)*BV15*BV$6</f>
        <v>58966.8228920267</v>
      </c>
      <c r="BW112" s="33" t="n">
        <f aca="false">$F24*In_P50_Hours*(1-In_Curtailment)*(1-$E27)*(1-In_Degradation)^(BW109-1)*BW15*BW$6</f>
        <v>58789.9224233506</v>
      </c>
      <c r="BX112" s="33" t="n">
        <f aca="false">$F24*In_P50_Hours*(1-In_Curtailment)*(1-$E27)*(1-In_Degradation)^(BX109-1)*BX15*BX$6</f>
        <v>57511.8806315386</v>
      </c>
      <c r="BY112" s="33" t="n">
        <f aca="false">$F24*In_P50_Hours*(1-In_Curtailment)*(1-$E27)*(1-In_Degradation)^(BY109-1)*BY15*BY$6</f>
        <v>58150.9015274446</v>
      </c>
      <c r="BZ112" s="33" t="n">
        <f aca="false">$F24*In_P50_Hours*(1-In_Curtailment)*(1-$E27)*(1-In_Degradation)^(BZ109-1)*BZ15*BZ$6</f>
        <v>58789.9224233506</v>
      </c>
      <c r="CA112" s="33" t="n">
        <f aca="false">$F24*In_P50_Hours*(1-In_Curtailment)*(1-$E27)*(1-In_Degradation)^(CA109-1)*CA15*CA$6</f>
        <v>58613.5526560805</v>
      </c>
      <c r="CB112" s="33" t="n">
        <f aca="false">$F24*In_P50_Hours*(1-In_Curtailment)*(1-$E27)*(1-In_Degradation)^(CB109-1)*CB15*CB$6</f>
        <v>57976.4488228623</v>
      </c>
      <c r="CC112" s="33" t="n">
        <f aca="false">$F24*In_P50_Hours*(1-In_Curtailment)*(1-$E27)*(1-In_Degradation)^(CC109-1)*CC15*CC$6</f>
        <v>57976.4488228623</v>
      </c>
      <c r="CD112" s="33" t="n">
        <f aca="false">$F24*In_P50_Hours*(1-In_Curtailment)*(1-$E27)*(1-In_Degradation)^(CD109-1)*CD15*CD$6</f>
        <v>58613.5526560805</v>
      </c>
      <c r="CE112" s="33" t="n">
        <f aca="false">$F24*In_P50_Hours*(1-In_Curtailment)*(1-$E27)*(1-In_Degradation)^(CE109-1)*CE15*CE$6</f>
        <v>58437.7119981123</v>
      </c>
      <c r="CF112" s="33" t="n">
        <f aca="false">$F24*In_P50_Hours*(1-In_Curtailment)*(1-$E27)*(1-In_Degradation)^(CF109-1)*CF15*CF$6</f>
        <v>57167.326954675</v>
      </c>
      <c r="CG112" s="33" t="n">
        <f aca="false">$F24*In_P50_Hours*(1-In_Curtailment)*(1-$E27)*(1-In_Degradation)^(CG109-1)*CG15*CG$6</f>
        <v>57802.5194763937</v>
      </c>
      <c r="CH112" s="33" t="n">
        <f aca="false">$F24*In_P50_Hours*(1-In_Curtailment)*(1-$E27)*(1-In_Degradation)^(CH109-1)*CH15*CH$6</f>
        <v>58437.7119981123</v>
      </c>
      <c r="CI112" s="33" t="n">
        <f aca="false">$F24*In_P50_Hours*(1-In_Curtailment)*(1-$E27)*(1-In_Degradation)^(CI109-1)*CI15*CI$6</f>
        <v>58262.398862118</v>
      </c>
      <c r="CJ112" s="33" t="n">
        <f aca="false">$F24*In_P50_Hours*(1-In_Curtailment)*(1-$E27)*(1-In_Degradation)^(CJ109-1)*CJ15*CJ$6</f>
        <v>56995.824973811</v>
      </c>
      <c r="CK112" s="33" t="n">
        <f aca="false">$F24*In_P50_Hours*(1-In_Curtailment)*(1-$E27)*(1-In_Degradation)^(CK109-1)*CK15*CK$6</f>
        <v>57629.1119179645</v>
      </c>
      <c r="CL112" s="33" t="n">
        <f aca="false">$F24*In_P50_Hours*(1-In_Curtailment)*(1-$E27)*(1-In_Degradation)^(CL109-1)*CL15*CL$6</f>
        <v>58262.398862118</v>
      </c>
      <c r="CM112" s="33" t="n">
        <f aca="false">$F24*In_P50_Hours*(1-In_Curtailment)*(1-$E27)*(1-In_Degradation)^(CM109-1)*CM15*CM$6</f>
        <v>58087.6116655316</v>
      </c>
      <c r="CN112" s="33" t="n">
        <f aca="false">$F24*In_P50_Hours*(1-In_Curtailment)*(1-$E27)*(1-In_Degradation)^(CN109-1)*CN15*CN$6</f>
        <v>56824.8374988896</v>
      </c>
      <c r="CO112" s="33" t="n">
        <f aca="false">$F24*In_P50_Hours*(1-In_Curtailment)*(1-$E27)*(1-In_Degradation)^(CO109-1)*CO15*CO$6</f>
        <v>57456.2245822106</v>
      </c>
      <c r="CP112" s="33" t="n">
        <f aca="false">$F24*In_P50_Hours*(1-In_Curtailment)*(1-$E27)*(1-In_Degradation)^(CP109-1)*CP15*CP$6</f>
        <v>58087.6116655316</v>
      </c>
      <c r="CQ112" s="33" t="n">
        <f aca="false">$F24*In_P50_Hours*(1-In_Curtailment)*(1-$E27)*(1-In_Degradation)^(CQ109-1)*CQ15*CQ$6</f>
        <v>57913.348830535</v>
      </c>
      <c r="CR112" s="33" t="n">
        <f aca="false">$F24*In_P50_Hours*(1-In_Curtailment)*(1-$E27)*(1-In_Degradation)^(CR109-1)*CR15*CR$6</f>
        <v>57283.855908464</v>
      </c>
      <c r="CS112" s="33" t="n">
        <f aca="false">$F24*In_P50_Hours*(1-In_Curtailment)*(1-$E27)*(1-In_Degradation)^(CS109-1)*CS15*CS$6</f>
        <v>57283.855908464</v>
      </c>
      <c r="CT112" s="33" t="n">
        <f aca="false">$F24*In_P50_Hours*(1-In_Curtailment)*(1-$E27)*(1-In_Degradation)^(CT109-1)*CT15*CT$6</f>
        <v>57913.348830535</v>
      </c>
      <c r="CU112" s="33" t="n">
        <f aca="false">$F24*In_P50_Hours*(1-In_Curtailment)*(1-$E27)*(1-In_Degradation)^(CU109-1)*CU15*CU$6</f>
        <v>57739.6087840434</v>
      </c>
      <c r="CV112" s="33" t="n">
        <f aca="false">$F24*In_P50_Hours*(1-In_Curtailment)*(1-$E27)*(1-In_Degradation)^(CV109-1)*CV15*CV$6</f>
        <v>56484.3998974337</v>
      </c>
      <c r="CW112" s="33" t="n">
        <f aca="false">$F24*In_P50_Hours*(1-In_Curtailment)*(1-$E27)*(1-In_Degradation)^(CW109-1)*CW15*CW$6</f>
        <v>57112.0043407386</v>
      </c>
      <c r="CX112" s="33" t="n">
        <f aca="false">$F24*In_P50_Hours*(1-In_Curtailment)*(1-$E27)*(1-In_Degradation)^(CX109-1)*CX15*CX$6</f>
        <v>57739.6087840434</v>
      </c>
      <c r="CY112" s="33" t="n">
        <f aca="false">$F24*In_P50_Hours*(1-In_Curtailment)*(1-$E27)*(1-In_Degradation)^(CY109-1)*CY15*CY$6</f>
        <v>57566.3899576913</v>
      </c>
      <c r="CZ112" s="33" t="n">
        <f aca="false">$F24*In_P50_Hours*(1-In_Curtailment)*(1-$E27)*(1-In_Degradation)^(CZ109-1)*CZ15*CZ$6</f>
        <v>56314.9466977414</v>
      </c>
      <c r="DA112" s="33" t="n">
        <f aca="false">$F24*In_P50_Hours*(1-In_Curtailment)*(1-$E27)*(1-In_Degradation)^(DA109-1)*DA15*DA$6</f>
        <v>56940.6683277164</v>
      </c>
      <c r="DB112" s="33" t="n">
        <f aca="false">$F24*In_P50_Hours*(1-In_Curtailment)*(1-$E27)*(1-In_Degradation)^(DB109-1)*DB15*DB$6</f>
        <v>57566.3899576913</v>
      </c>
      <c r="DC112" s="33" t="n">
        <f aca="false">$F24*In_P50_Hours*(1-In_Curtailment)*(1-$E27)*(1-In_Degradation)^(DC109-1)*DC15*DC$6</f>
        <v>57393.6907878182</v>
      </c>
      <c r="DD112" s="33" t="n">
        <f aca="false">$F24*In_P50_Hours*(1-In_Curtailment)*(1-$E27)*(1-In_Degradation)^(DD109-1)*DD15*DD$6</f>
        <v>56146.0018576482</v>
      </c>
      <c r="DE112" s="33" t="n">
        <f aca="false">$F24*In_P50_Hours*(1-In_Curtailment)*(1-$E27)*(1-In_Degradation)^(DE109-1)*DE15*DE$6</f>
        <v>56769.8463227332</v>
      </c>
      <c r="DF112" s="33" t="n">
        <f aca="false">$F24*In_P50_Hours*(1-In_Curtailment)*(1-$E27)*(1-In_Degradation)^(DF109-1)*DF15*DF$6</f>
        <v>57393.6907878182</v>
      </c>
      <c r="DG112" s="33" t="n">
        <f aca="false">$F24*In_P50_Hours*(1-In_Curtailment)*(1-$E27)*(1-In_Degradation)^(DG109-1)*DG15*DG$6</f>
        <v>57221.5097154547</v>
      </c>
      <c r="DH112" s="33" t="n">
        <f aca="false">$F24*In_P50_Hours*(1-In_Curtailment)*(1-$E27)*(1-In_Degradation)^(DH109-1)*DH15*DH$6</f>
        <v>56599.536783765</v>
      </c>
      <c r="DI112" s="33" t="n">
        <f aca="false">$F24*In_P50_Hours*(1-In_Curtailment)*(1-$E27)*(1-In_Degradation)^(DI109-1)*DI15*DI$6</f>
        <v>56599.536783765</v>
      </c>
      <c r="DJ112" s="33" t="n">
        <f aca="false">$F24*In_P50_Hours*(1-In_Curtailment)*(1-$E27)*(1-In_Degradation)^(DJ109-1)*DJ15*DJ$6</f>
        <v>57221.5097154547</v>
      </c>
      <c r="DK112" s="33" t="n">
        <f aca="false">$F24*In_P50_Hours*(1-In_Curtailment)*(1-$E27)*(1-In_Degradation)^(DK109-1)*DK15*DK$6</f>
        <v>57049.8451863084</v>
      </c>
      <c r="DL112" s="33" t="n">
        <f aca="false">$F24*In_P50_Hours*(1-In_Curtailment)*(1-$E27)*(1-In_Degradation)^(DL109-1)*DL15*DL$6</f>
        <v>55809.6311605191</v>
      </c>
      <c r="DM112" s="33" t="n">
        <f aca="false">$F24*In_P50_Hours*(1-In_Curtailment)*(1-$E27)*(1-In_Degradation)^(DM109-1)*DM15*DM$6</f>
        <v>56429.7381734137</v>
      </c>
      <c r="DN112" s="33" t="n">
        <f aca="false">$F24*In_P50_Hours*(1-In_Curtailment)*(1-$E27)*(1-In_Degradation)^(DN109-1)*DN15*DN$6</f>
        <v>57049.8451863084</v>
      </c>
      <c r="DO112" s="33" t="n">
        <f aca="false">$F24*In_P50_Hours*(1-In_Curtailment)*(1-$E27)*(1-In_Degradation)^(DO109-1)*DO15*DO$6</f>
        <v>56878.6956507494</v>
      </c>
      <c r="DP112" s="33" t="n">
        <f aca="false">$F24*In_P50_Hours*(1-In_Curtailment)*(1-$E27)*(1-In_Degradation)^(DP109-1)*DP15*DP$6</f>
        <v>55642.2022670375</v>
      </c>
      <c r="DQ112" s="33" t="n">
        <f aca="false">$F24*In_P50_Hours*(1-In_Curtailment)*(1-$E27)*(1-In_Degradation)^(DQ109-1)*DQ15*DQ$6</f>
        <v>56260.4489588935</v>
      </c>
      <c r="DR112" s="33" t="n">
        <f aca="false">$F24*In_P50_Hours*(1-In_Curtailment)*(1-$E27)*(1-In_Degradation)^(DR109-1)*DR15*DR$6</f>
        <v>56878.6956507494</v>
      </c>
      <c r="DS112" s="33" t="n">
        <f aca="false">$F24*In_P50_Hours*(1-In_Curtailment)*(1-$E27)*(1-In_Degradation)^(DS109-1)*DS15*DS$6</f>
        <v>56708.0595637972</v>
      </c>
      <c r="DT112" s="33" t="n">
        <f aca="false">$F24*In_P50_Hours*(1-In_Curtailment)*(1-$E27)*(1-In_Degradation)^(DT109-1)*DT15*DT$6</f>
        <v>55475.2756602364</v>
      </c>
      <c r="DU112" s="33" t="n">
        <f aca="false">$F24*In_P50_Hours*(1-In_Curtailment)*(1-$E27)*(1-In_Degradation)^(DU109-1)*DU15*DU$6</f>
        <v>56091.6676120168</v>
      </c>
      <c r="DV112" s="33" t="n">
        <f aca="false">$F24*In_P50_Hours*(1-In_Curtailment)*(1-$E27)*(1-In_Degradation)^(DV109-1)*DV15*DV$6</f>
        <v>56708.0595637972</v>
      </c>
      <c r="DW112" s="33" t="n">
        <f aca="false">$F24*In_P50_Hours*(1-In_Curtailment)*(1-$E27)*(1-In_Degradation)^(DW109-1)*DW15*DW$6</f>
        <v>56537.9353851058</v>
      </c>
      <c r="DX112" s="33" t="n">
        <f aca="false">$F24*In_P50_Hours*(1-In_Curtailment)*(1-$E27)*(1-In_Degradation)^(DX109-1)*DX15*DX$6</f>
        <v>55923.3926091807</v>
      </c>
      <c r="DY112" s="33" t="n">
        <f aca="false">$F24*In_P50_Hours*(1-In_Curtailment)*(1-$E27)*(1-In_Degradation)^(DY109-1)*DY15*DY$6</f>
        <v>55923.3926091807</v>
      </c>
      <c r="DZ112" s="33" t="n">
        <f aca="false">$F24*In_P50_Hours*(1-In_Curtailment)*(1-$E27)*(1-In_Degradation)^(DZ109-1)*DZ15*DZ$6</f>
        <v>56537.9353851058</v>
      </c>
      <c r="EA112" s="33" t="n">
        <f aca="false">$F24*In_P50_Hours*(1-In_Curtailment)*(1-$E27)*(1-In_Degradation)^(EA109-1)*EA15*EA$6</f>
        <v>56368.3215789505</v>
      </c>
      <c r="EB112" s="33" t="n">
        <f aca="false">$F24*In_P50_Hours*(1-In_Curtailment)*(1-$E27)*(1-In_Degradation)^(EB109-1)*EB15*EB$6</f>
        <v>55142.9232837559</v>
      </c>
      <c r="EC112" s="33" t="n">
        <f aca="false">$F24*In_P50_Hours*(1-In_Curtailment)*(1-$E27)*(1-In_Degradation)^(EC109-1)*EC15*EC$6</f>
        <v>55755.6224313532</v>
      </c>
      <c r="ED112" s="33" t="n">
        <f aca="false">$F24*In_P50_Hours*(1-In_Curtailment)*(1-$E27)*(1-In_Degradation)^(ED109-1)*ED15*ED$6</f>
        <v>56368.3215789505</v>
      </c>
      <c r="EE112" s="33" t="n">
        <f aca="false">$F24*In_P50_Hours*(1-In_Curtailment)*(1-$E27)*(1-In_Degradation)^(EE109-1)*EE15*EE$6</f>
        <v>56199.2166142136</v>
      </c>
      <c r="EF112" s="33" t="n">
        <f aca="false">$F24*In_P50_Hours*(1-In_Curtailment)*(1-$E27)*(1-In_Degradation)^(EF109-1)*EF15*EF$6</f>
        <v>54977.4945139046</v>
      </c>
      <c r="EG112" s="33" t="n">
        <f aca="false">$F24*In_P50_Hours*(1-In_Curtailment)*(1-$E27)*(1-In_Degradation)^(EG109-1)*EG15*EG$6</f>
        <v>55588.3555640591</v>
      </c>
      <c r="EH112" s="33" t="n">
        <f aca="false">$F24*In_P50_Hours*(1-In_Curtailment)*(1-$E27)*(1-In_Degradation)^(EH109-1)*EH15*EH$6</f>
        <v>56199.2166142136</v>
      </c>
      <c r="EI112" s="33" t="n">
        <f aca="false">$F24*In_P50_Hours*(1-In_Curtailment)*(1-$E27)*(1-In_Degradation)^(EI109-1)*EI15*EI$6</f>
        <v>56030.618964371</v>
      </c>
      <c r="EJ112" s="33" t="n">
        <f aca="false">$F24*In_P50_Hours*(1-In_Curtailment)*(1-$E27)*(1-In_Degradation)^(EJ109-1)*EJ15*EJ$6</f>
        <v>54812.5620303629</v>
      </c>
      <c r="EK112" s="33" t="n">
        <f aca="false">$F24*In_P50_Hours*(1-In_Curtailment)*(1-$E27)*(1-In_Degradation)^(EK109-1)*EK15*EK$6</f>
        <v>55421.590497367</v>
      </c>
      <c r="EL112" s="33" t="n">
        <f aca="false">$F24*In_P50_Hours*(1-In_Curtailment)*(1-$E27)*(1-In_Degradation)^(EL109-1)*EL15*EL$6</f>
        <v>56030.618964371</v>
      </c>
      <c r="EM112" s="33" t="n">
        <f aca="false">$F24*In_P50_Hours*(1-In_Curtailment)*(1-$E27)*(1-In_Degradation)^(EM109-1)*EM15*EM$6</f>
        <v>55862.5271074779</v>
      </c>
      <c r="EN112" s="33" t="n">
        <f aca="false">$F24*In_P50_Hours*(1-In_Curtailment)*(1-$E27)*(1-In_Degradation)^(EN109-1)*EN15*EN$6</f>
        <v>55255.3257258749</v>
      </c>
      <c r="EO112" s="33" t="n">
        <f aca="false">$F24*In_P50_Hours*(1-In_Curtailment)*(1-$E27)*(1-In_Degradation)^(EO109-1)*EO15*EO$6</f>
        <v>55255.3257258749</v>
      </c>
      <c r="EP112" s="33" t="n">
        <f aca="false">$F24*In_P50_Hours*(1-In_Curtailment)*(1-$E27)*(1-In_Degradation)^(EP109-1)*EP15*EP$6</f>
        <v>55862.5271074779</v>
      </c>
      <c r="EQ112" s="33" t="n">
        <f aca="false">$F24*In_P50_Hours*(1-In_Curtailment)*(1-$E27)*(1-In_Degradation)^(EQ109-1)*EQ15*EQ$6</f>
        <v>55694.9395261554</v>
      </c>
      <c r="ER112" s="33" t="n">
        <f aca="false">$F24*In_P50_Hours*(1-In_Curtailment)*(1-$E27)*(1-In_Degradation)^(ER109-1)*ER15*ER$6</f>
        <v>54484.179971239</v>
      </c>
      <c r="ES112" s="33" t="n">
        <f aca="false">$F24*In_P50_Hours*(1-In_Curtailment)*(1-$E27)*(1-In_Degradation)^(ES109-1)*ES15*ES$6</f>
        <v>55089.5597486972</v>
      </c>
      <c r="ET112" s="33" t="n">
        <f aca="false">$F24*In_P50_Hours*(1-In_Curtailment)*(1-$E27)*(1-In_Degradation)^(ET109-1)*ET15*ET$6</f>
        <v>55694.9395261554</v>
      </c>
    </row>
    <row r="113" customFormat="false" ht="15" hidden="false" customHeight="false" outlineLevel="0" collapsed="false">
      <c r="C113" s="0" t="s">
        <v>566</v>
      </c>
      <c r="D113" s="11" t="s">
        <v>253</v>
      </c>
      <c r="I113" s="33" t="n">
        <f aca="false">SUM(J113:ET113)</f>
        <v>727113.739439716</v>
      </c>
      <c r="J113" s="33" t="n">
        <f aca="false">J112*J111/Thousand</f>
        <v>0</v>
      </c>
      <c r="K113" s="33" t="n">
        <f aca="false">K112*K111/Thousand</f>
        <v>0</v>
      </c>
      <c r="L113" s="33" t="n">
        <f aca="false">L112*L111/Thousand</f>
        <v>0</v>
      </c>
      <c r="M113" s="33" t="n">
        <f aca="false">M112*M111/Thousand</f>
        <v>0</v>
      </c>
      <c r="N113" s="33" t="n">
        <f aca="false">N112*N111/Thousand</f>
        <v>0</v>
      </c>
      <c r="O113" s="33" t="n">
        <f aca="false">O112*O111/Thousand</f>
        <v>0</v>
      </c>
      <c r="P113" s="33" t="n">
        <f aca="false">P112*P111/Thousand</f>
        <v>0</v>
      </c>
      <c r="Q113" s="33" t="n">
        <f aca="false">Q112*Q111/Thousand</f>
        <v>0</v>
      </c>
      <c r="R113" s="33" t="n">
        <f aca="false">R112*R111/Thousand</f>
        <v>0</v>
      </c>
      <c r="S113" s="33" t="n">
        <f aca="false">S112*S111/Thousand</f>
        <v>0</v>
      </c>
      <c r="T113" s="33" t="n">
        <f aca="false">T112*T111/Thousand</f>
        <v>0</v>
      </c>
      <c r="U113" s="33" t="n">
        <f aca="false">U112*U111/Thousand</f>
        <v>0</v>
      </c>
      <c r="V113" s="33" t="n">
        <f aca="false">V112*V111/Thousand</f>
        <v>0</v>
      </c>
      <c r="W113" s="33" t="n">
        <f aca="false">W112*W111/Thousand</f>
        <v>0</v>
      </c>
      <c r="X113" s="33" t="n">
        <f aca="false">X112*X111/Thousand</f>
        <v>0</v>
      </c>
      <c r="Y113" s="33" t="n">
        <f aca="false">Y112*Y111/Thousand</f>
        <v>0</v>
      </c>
      <c r="Z113" s="33" t="n">
        <f aca="false">Z112*Z111/Thousand</f>
        <v>0</v>
      </c>
      <c r="AA113" s="33" t="n">
        <f aca="false">AA112*AA111/Thousand</f>
        <v>0</v>
      </c>
      <c r="AB113" s="33" t="n">
        <f aca="false">AB112*AB111/Thousand</f>
        <v>0</v>
      </c>
      <c r="AC113" s="33" t="n">
        <f aca="false">AC112*AC111/Thousand</f>
        <v>0</v>
      </c>
      <c r="AD113" s="33" t="n">
        <f aca="false">AD112*AD111/Thousand</f>
        <v>0</v>
      </c>
      <c r="AE113" s="33" t="n">
        <f aca="false">AE112*AE111/Thousand</f>
        <v>5468.88328767123</v>
      </c>
      <c r="AF113" s="33" t="n">
        <f aca="false">AF112*AF111/Thousand</f>
        <v>5463.53329315069</v>
      </c>
      <c r="AG113" s="33" t="n">
        <f aca="false">AG112*AG111/Thousand</f>
        <v>5463.53329315069</v>
      </c>
      <c r="AH113" s="33" t="n">
        <f aca="false">AH112*AH111/Thousand</f>
        <v>5523.57212054795</v>
      </c>
      <c r="AI113" s="33" t="n">
        <f aca="false">AI112*AI111/Thousand</f>
        <v>5507.0014041863</v>
      </c>
      <c r="AJ113" s="33" t="n">
        <f aca="false">AJ112*AJ111/Thousand</f>
        <v>5441.15682217973</v>
      </c>
      <c r="AK113" s="33" t="n">
        <f aca="false">AK112*AK111/Thousand</f>
        <v>5501.61412020395</v>
      </c>
      <c r="AL113" s="33" t="n">
        <f aca="false">AL112*AL111/Thousand</f>
        <v>5562.07141822817</v>
      </c>
      <c r="AM113" s="33" t="n">
        <f aca="false">AM112*AM111/Thousand</f>
        <v>5545.38520397348</v>
      </c>
      <c r="AN113" s="33" t="n">
        <f aca="false">AN112*AN111/Thousand</f>
        <v>5479.08168523032</v>
      </c>
      <c r="AO113" s="33" t="n">
        <f aca="false">AO112*AO111/Thousand</f>
        <v>5539.96037062177</v>
      </c>
      <c r="AP113" s="33" t="n">
        <f aca="false">AP112*AP111/Thousand</f>
        <v>5600.83905601322</v>
      </c>
      <c r="AQ113" s="33" t="n">
        <f aca="false">AQ112*AQ111/Thousand</f>
        <v>5584.03653884518</v>
      </c>
      <c r="AR113" s="33" t="n">
        <f aca="false">AR112*AR111/Thousand</f>
        <v>5517.27088457637</v>
      </c>
      <c r="AS113" s="33" t="n">
        <f aca="false">AS112*AS111/Thousand</f>
        <v>5578.573894405</v>
      </c>
      <c r="AT113" s="33" t="n">
        <f aca="false">AT112*AT111/Thousand</f>
        <v>5639.87690423363</v>
      </c>
      <c r="AU113" s="33" t="n">
        <f aca="false">AU112*AU111/Thousand</f>
        <v>5622.95727352093</v>
      </c>
      <c r="AV113" s="33" t="n">
        <f aca="false">AV112*AV111/Thousand</f>
        <v>5617.456554449</v>
      </c>
      <c r="AW113" s="33" t="n">
        <f aca="false">AW112*AW111/Thousand</f>
        <v>5617.456554449</v>
      </c>
      <c r="AX113" s="33" t="n">
        <f aca="false">AX112*AX111/Thousand</f>
        <v>5679.18684625614</v>
      </c>
      <c r="AY113" s="33" t="n">
        <f aca="false">AY112*AY111/Thousand</f>
        <v>5662.14928571737</v>
      </c>
      <c r="AZ113" s="33" t="n">
        <f aca="false">AZ112*AZ111/Thousand</f>
        <v>5594.44967469249</v>
      </c>
      <c r="BA113" s="33" t="n">
        <f aca="false">BA112*BA111/Thousand</f>
        <v>5656.61022663352</v>
      </c>
      <c r="BB113" s="33" t="n">
        <f aca="false">BB112*BB111/Thousand</f>
        <v>5718.77077857454</v>
      </c>
      <c r="BC113" s="33" t="n">
        <f aca="false">BC112*BC111/Thousand</f>
        <v>5701.61446623882</v>
      </c>
      <c r="BD113" s="33" t="n">
        <f aca="false">BD112*BD111/Thousand</f>
        <v>5633.44298892509</v>
      </c>
      <c r="BE113" s="33" t="n">
        <f aca="false">BE112*BE111/Thousand</f>
        <v>5696.03679991315</v>
      </c>
      <c r="BF113" s="33" t="n">
        <f aca="false">BF112*BF111/Thousand</f>
        <v>5758.63061090121</v>
      </c>
      <c r="BG113" s="33" t="n">
        <f aca="false">BG112*BG111/Thousand</f>
        <v>5741.3547190685</v>
      </c>
      <c r="BH113" s="33" t="n">
        <f aca="false">BH112*BH111/Thousand</f>
        <v>5672.7080865579</v>
      </c>
      <c r="BI113" s="33" t="n">
        <f aca="false">BI112*BI111/Thousand</f>
        <v>5735.73817640854</v>
      </c>
      <c r="BJ113" s="33" t="n">
        <f aca="false">BJ112*BJ111/Thousand</f>
        <v>5798.76826625919</v>
      </c>
      <c r="BK113" s="33" t="n">
        <f aca="false">BK112*BK111/Thousand</f>
        <v>5781.37196146041</v>
      </c>
      <c r="BL113" s="33" t="n">
        <f aca="false">BL112*BL111/Thousand</f>
        <v>5775.71627149811</v>
      </c>
      <c r="BM113" s="33" t="n">
        <f aca="false">BM112*BM111/Thousand</f>
        <v>5775.71627149811</v>
      </c>
      <c r="BN113" s="33" t="n">
        <f aca="false">BN112*BN111/Thousand</f>
        <v>5839.18568107501</v>
      </c>
      <c r="BO113" s="33" t="n">
        <f aca="false">BO112*BO111/Thousand</f>
        <v>5821.66812403179</v>
      </c>
      <c r="BP113" s="33" t="n">
        <f aca="false">BP112*BP111/Thousand</f>
        <v>5752.0612225488</v>
      </c>
      <c r="BQ113" s="33" t="n">
        <f aca="false">BQ112*BQ111/Thousand</f>
        <v>5815.97301391045</v>
      </c>
      <c r="BR113" s="33" t="n">
        <f aca="false">BR112*BR111/Thousand</f>
        <v>5879.88480527211</v>
      </c>
      <c r="BS113" s="33" t="n">
        <f aca="false">BS112*BS111/Thousand</f>
        <v>5862.24515085629</v>
      </c>
      <c r="BT113" s="33" t="n">
        <f aca="false">BT112*BT111/Thousand</f>
        <v>5792.15308926996</v>
      </c>
      <c r="BU113" s="33" t="n">
        <f aca="false">BU112*BU111/Thousand</f>
        <v>5856.51034581741</v>
      </c>
      <c r="BV113" s="33" t="n">
        <f aca="false">BV112*BV111/Thousand</f>
        <v>5920.86760236485</v>
      </c>
      <c r="BW113" s="33" t="n">
        <f aca="false">BW112*BW111/Thousand</f>
        <v>5903.10499955776</v>
      </c>
      <c r="BX113" s="33" t="n">
        <f aca="false">BX112*BX111/Thousand</f>
        <v>5832.52439630218</v>
      </c>
      <c r="BY113" s="33" t="n">
        <f aca="false">BY112*BY111/Thousand</f>
        <v>5897.33022292776</v>
      </c>
      <c r="BZ113" s="33" t="n">
        <f aca="false">BZ112*BZ111/Thousand</f>
        <v>5962.13604955334</v>
      </c>
      <c r="CA113" s="33" t="n">
        <f aca="false">CA112*CA111/Thousand</f>
        <v>5944.24964140468</v>
      </c>
      <c r="CB113" s="33" t="n">
        <f aca="false">CB112*CB111/Thousand</f>
        <v>5938.43461458156</v>
      </c>
      <c r="CC113" s="33" t="n">
        <f aca="false">CC112*CC111/Thousand</f>
        <v>5938.43461458156</v>
      </c>
      <c r="CD113" s="33" t="n">
        <f aca="false">CD112*CD111/Thousand</f>
        <v>6003.69213781872</v>
      </c>
      <c r="CE113" s="33" t="n">
        <f aca="false">CE112*CE111/Thousand</f>
        <v>5985.68106140527</v>
      </c>
      <c r="CF113" s="33" t="n">
        <f aca="false">CF112*CF111/Thousand</f>
        <v>5914.11313567107</v>
      </c>
      <c r="CG113" s="33" t="n">
        <f aca="false">CG112*CG111/Thousand</f>
        <v>5979.8255038452</v>
      </c>
      <c r="CH113" s="33" t="n">
        <f aca="false">CH112*CH111/Thousand</f>
        <v>6045.53787201932</v>
      </c>
      <c r="CI113" s="33" t="n">
        <f aca="false">CI112*CI111/Thousand</f>
        <v>6027.40125840326</v>
      </c>
      <c r="CJ113" s="33" t="n">
        <f aca="false">CJ112*CJ111/Thousand</f>
        <v>5955.3345042267</v>
      </c>
      <c r="CK113" s="33" t="n">
        <f aca="false">CK112*CK111/Thousand</f>
        <v>6021.504887607</v>
      </c>
      <c r="CL113" s="33" t="n">
        <f aca="false">CL112*CL111/Thousand</f>
        <v>6087.67527098729</v>
      </c>
      <c r="CM113" s="33" t="n">
        <f aca="false">CM112*CM111/Thousand</f>
        <v>6069.41224517433</v>
      </c>
      <c r="CN113" s="33" t="n">
        <f aca="false">CN112*CN111/Thousand</f>
        <v>5996.84318572116</v>
      </c>
      <c r="CO113" s="33" t="n">
        <f aca="false">CO112*CO111/Thousand</f>
        <v>6063.47477667362</v>
      </c>
      <c r="CP113" s="33" t="n">
        <f aca="false">CP112*CP111/Thousand</f>
        <v>6130.10636762608</v>
      </c>
      <c r="CQ113" s="33" t="n">
        <f aca="false">CQ112*CQ111/Thousand</f>
        <v>6111.7160485232</v>
      </c>
      <c r="CR113" s="33" t="n">
        <f aca="false">CR112*CR111/Thousand</f>
        <v>6105.73719586703</v>
      </c>
      <c r="CS113" s="33" t="n">
        <f aca="false">CS112*CS111/Thousand</f>
        <v>6105.73719586703</v>
      </c>
      <c r="CT113" s="33" t="n">
        <f aca="false">CT112*CT111/Thousand</f>
        <v>6172.83320900843</v>
      </c>
      <c r="CU113" s="33" t="n">
        <f aca="false">CU112*CU111/Thousand</f>
        <v>6154.3147093814</v>
      </c>
      <c r="CV113" s="33" t="n">
        <f aca="false">CV112*CV111/Thousand</f>
        <v>6080.73051176923</v>
      </c>
      <c r="CW113" s="33" t="n">
        <f aca="false">CW112*CW111/Thousand</f>
        <v>6148.29418412223</v>
      </c>
      <c r="CX113" s="33" t="n">
        <f aca="false">CX112*CX111/Thousand</f>
        <v>6215.85785647522</v>
      </c>
      <c r="CY113" s="33" t="n">
        <f aca="false">CY112*CY111/Thousand</f>
        <v>6197.21028290579</v>
      </c>
      <c r="CZ113" s="33" t="n">
        <f aca="false">CZ112*CZ111/Thousand</f>
        <v>6123.11320343627</v>
      </c>
      <c r="DA113" s="33" t="n">
        <f aca="false">DA112*DA111/Thousand</f>
        <v>6191.14779458556</v>
      </c>
      <c r="DB113" s="33" t="n">
        <f aca="false">DB112*DB111/Thousand</f>
        <v>6259.18238573485</v>
      </c>
      <c r="DC113" s="33" t="n">
        <f aca="false">DC112*DC111/Thousand</f>
        <v>6240.40483857765</v>
      </c>
      <c r="DD113" s="33" t="n">
        <f aca="false">DD112*DD111/Thousand</f>
        <v>6165.79130246422</v>
      </c>
      <c r="DE113" s="33" t="n">
        <f aca="false">DE112*DE111/Thousand</f>
        <v>6234.30009471382</v>
      </c>
      <c r="DF113" s="33" t="n">
        <f aca="false">DF112*DF111/Thousand</f>
        <v>6302.80888696342</v>
      </c>
      <c r="DG113" s="33" t="n">
        <f aca="false">DG112*DG111/Thousand</f>
        <v>6283.90046030253</v>
      </c>
      <c r="DH113" s="33" t="n">
        <f aca="false">DH112*DH111/Thousand</f>
        <v>6277.75316637398</v>
      </c>
      <c r="DI113" s="33" t="n">
        <f aca="false">DI112*DI111/Thousand</f>
        <v>6277.75316637398</v>
      </c>
      <c r="DJ113" s="33" t="n">
        <f aca="false">DJ112*DJ111/Thousand</f>
        <v>6346.73946490556</v>
      </c>
      <c r="DK113" s="33" t="n">
        <f aca="false">DK112*DK111/Thousand</f>
        <v>6327.69924651084</v>
      </c>
      <c r="DL113" s="33" t="n">
        <f aca="false">DL112*DL111/Thousand</f>
        <v>6252.04197291125</v>
      </c>
      <c r="DM113" s="33" t="n">
        <f aca="false">DM112*DM111/Thousand</f>
        <v>6321.5091059436</v>
      </c>
      <c r="DN113" s="33" t="n">
        <f aca="false">DN112*DN111/Thousand</f>
        <v>6390.97623897595</v>
      </c>
      <c r="DO113" s="33" t="n">
        <f aca="false">DO112*DO111/Thousand</f>
        <v>6371.80331025902</v>
      </c>
      <c r="DP113" s="33" t="n">
        <f aca="false">DP112*DP111/Thousand</f>
        <v>6295.61870546244</v>
      </c>
      <c r="DQ113" s="33" t="n">
        <f aca="false">DQ112*DQ111/Thousand</f>
        <v>6365.57002441203</v>
      </c>
      <c r="DR113" s="33" t="n">
        <f aca="false">DR112*DR111/Thousand</f>
        <v>6435.52134336161</v>
      </c>
      <c r="DS113" s="33" t="n">
        <f aca="false">DS112*DS111/Thousand</f>
        <v>6416.21477933153</v>
      </c>
      <c r="DT113" s="33" t="n">
        <f aca="false">DT112*DT111/Thousand</f>
        <v>6339.49916783952</v>
      </c>
      <c r="DU113" s="33" t="n">
        <f aca="false">DU112*DU111/Thousand</f>
        <v>6409.93804748218</v>
      </c>
      <c r="DV113" s="33" t="n">
        <f aca="false">DV112*DV111/Thousand</f>
        <v>6480.37692712484</v>
      </c>
      <c r="DW113" s="33" t="n">
        <f aca="false">DW112*DW111/Thousand</f>
        <v>6460.93579634347</v>
      </c>
      <c r="DX113" s="33" t="n">
        <f aca="false">DX112*DX111/Thousand</f>
        <v>6454.61531567313</v>
      </c>
      <c r="DY113" s="33" t="n">
        <f aca="false">DY112*DY111/Thousand</f>
        <v>6454.61531567313</v>
      </c>
      <c r="DZ113" s="33" t="n">
        <f aca="false">DZ112*DZ111/Thousand</f>
        <v>6525.5451543069</v>
      </c>
      <c r="EA113" s="33" t="n">
        <f aca="false">EA112*EA111/Thousand</f>
        <v>6505.96851884398</v>
      </c>
      <c r="EB113" s="33" t="n">
        <f aca="false">EB112*EB111/Thousand</f>
        <v>6428.17976481433</v>
      </c>
      <c r="EC113" s="33" t="n">
        <f aca="false">EC112*EC111/Thousand</f>
        <v>6499.60398442337</v>
      </c>
      <c r="ED113" s="33" t="n">
        <f aca="false">ED112*ED111/Thousand</f>
        <v>6571.02820403242</v>
      </c>
      <c r="EE113" s="33" t="n">
        <f aca="false">EE112*EE111/Thousand</f>
        <v>6551.31511942033</v>
      </c>
      <c r="EF113" s="33" t="n">
        <f aca="false">EF112*EF111/Thousand</f>
        <v>6472.98417777508</v>
      </c>
      <c r="EG113" s="33" t="n">
        <f aca="false">EG112*EG111/Thousand</f>
        <v>6544.90622419481</v>
      </c>
      <c r="EH113" s="33" t="n">
        <f aca="false">EH112*EH111/Thousand</f>
        <v>6616.82827061453</v>
      </c>
      <c r="EI113" s="33" t="n">
        <f aca="false">EI112*EI111/Thousand</f>
        <v>6596.97778580269</v>
      </c>
      <c r="EJ113" s="33" t="n">
        <f aca="false">EJ112*EJ111/Thousand</f>
        <v>6518.10087749417</v>
      </c>
      <c r="EK113" s="33" t="n">
        <f aca="false">EK112*EK111/Thousand</f>
        <v>6590.52422057744</v>
      </c>
      <c r="EL113" s="33" t="n">
        <f aca="false">EL112*EL111/Thousand</f>
        <v>6662.94756366071</v>
      </c>
      <c r="EM113" s="33" t="n">
        <f aca="false">EM112*EM111/Thousand</f>
        <v>6642.95872096973</v>
      </c>
      <c r="EN113" s="33" t="n">
        <f aca="false">EN112*EN111/Thousand</f>
        <v>6636.46017439487</v>
      </c>
      <c r="EO113" s="33" t="n">
        <f aca="false">EO112*EO111/Thousand</f>
        <v>6636.46017439487</v>
      </c>
      <c r="EP113" s="33" t="n">
        <f aca="false">EP112*EP111/Thousand</f>
        <v>6709.38830817943</v>
      </c>
      <c r="EQ113" s="33" t="n">
        <f aca="false">EQ112*EQ111/Thousand</f>
        <v>6689.26014325489</v>
      </c>
      <c r="ER113" s="33" t="n">
        <f aca="false">ER112*ER111/Thousand</f>
        <v>6609.27985893336</v>
      </c>
      <c r="ES113" s="33" t="n">
        <f aca="false">ES112*ES111/Thousand</f>
        <v>6682.7163018104</v>
      </c>
      <c r="ET113" s="33" t="n">
        <f aca="false">ET112*ET111/Thousand</f>
        <v>6756.15274468744</v>
      </c>
    </row>
    <row r="114" customFormat="false" ht="15" hidden="false" customHeight="false" outlineLevel="0" collapsed="false">
      <c r="C114" s="0" t="s">
        <v>567</v>
      </c>
      <c r="D114" s="11" t="s">
        <v>253</v>
      </c>
      <c r="I114" s="33" t="n">
        <f aca="false">SUM(J114:ET114)</f>
        <v>-51382.5373327149</v>
      </c>
      <c r="J114" s="33" t="n">
        <f aca="false">-In_Var_Opex*J112*J110/Thousand</f>
        <v>-0</v>
      </c>
      <c r="K114" s="33" t="n">
        <f aca="false">-In_Var_Opex*K112*K110/Thousand</f>
        <v>-0</v>
      </c>
      <c r="L114" s="33" t="n">
        <f aca="false">-In_Var_Opex*L112*L110/Thousand</f>
        <v>-0</v>
      </c>
      <c r="M114" s="33" t="n">
        <f aca="false">-In_Var_Opex*M112*M110/Thousand</f>
        <v>-0</v>
      </c>
      <c r="N114" s="33" t="n">
        <f aca="false">-In_Var_Opex*N112*N110/Thousand</f>
        <v>-0</v>
      </c>
      <c r="O114" s="33" t="n">
        <f aca="false">-In_Var_Opex*O112*O110/Thousand</f>
        <v>-0</v>
      </c>
      <c r="P114" s="33" t="n">
        <f aca="false">-In_Var_Opex*P112*P110/Thousand</f>
        <v>-0</v>
      </c>
      <c r="Q114" s="33" t="n">
        <f aca="false">-In_Var_Opex*Q112*Q110/Thousand</f>
        <v>-0</v>
      </c>
      <c r="R114" s="33" t="n">
        <f aca="false">-In_Var_Opex*R112*R110/Thousand</f>
        <v>-0</v>
      </c>
      <c r="S114" s="33" t="n">
        <f aca="false">-In_Var_Opex*S112*S110/Thousand</f>
        <v>-0</v>
      </c>
      <c r="T114" s="33" t="n">
        <f aca="false">-In_Var_Opex*T112*T110/Thousand</f>
        <v>-0</v>
      </c>
      <c r="U114" s="33" t="n">
        <f aca="false">-In_Var_Opex*U112*U110/Thousand</f>
        <v>-0</v>
      </c>
      <c r="V114" s="33" t="n">
        <f aca="false">-In_Var_Opex*V112*V110/Thousand</f>
        <v>-0</v>
      </c>
      <c r="W114" s="33" t="n">
        <f aca="false">-In_Var_Opex*W112*W110/Thousand</f>
        <v>-0</v>
      </c>
      <c r="X114" s="33" t="n">
        <f aca="false">-In_Var_Opex*X112*X110/Thousand</f>
        <v>-0</v>
      </c>
      <c r="Y114" s="33" t="n">
        <f aca="false">-In_Var_Opex*Y112*Y110/Thousand</f>
        <v>-0</v>
      </c>
      <c r="Z114" s="33" t="n">
        <f aca="false">-In_Var_Opex*Z112*Z110/Thousand</f>
        <v>-0</v>
      </c>
      <c r="AA114" s="33" t="n">
        <f aca="false">-In_Var_Opex*AA112*AA110/Thousand</f>
        <v>-0</v>
      </c>
      <c r="AB114" s="33" t="n">
        <f aca="false">-In_Var_Opex*AB112*AB110/Thousand</f>
        <v>-0</v>
      </c>
      <c r="AC114" s="33" t="n">
        <f aca="false">-In_Var_Opex*AC112*AC110/Thousand</f>
        <v>-0</v>
      </c>
      <c r="AD114" s="33" t="n">
        <f aca="false">-In_Var_Opex*AD112*AD110/Thousand</f>
        <v>-0</v>
      </c>
      <c r="AE114" s="33" t="n">
        <f aca="false">-In_Var_Opex*AE112*AE110/Thousand</f>
        <v>-303.826849315069</v>
      </c>
      <c r="AF114" s="33" t="n">
        <f aca="false">-In_Var_Opex*AF112*AF110/Thousand</f>
        <v>-308.037493150685</v>
      </c>
      <c r="AG114" s="33" t="n">
        <f aca="false">-In_Var_Opex*AG112*AG110/Thousand</f>
        <v>-308.037493150685</v>
      </c>
      <c r="AH114" s="33" t="n">
        <f aca="false">-In_Var_Opex*AH112*AH110/Thousand</f>
        <v>-311.422520547945</v>
      </c>
      <c r="AI114" s="33" t="n">
        <f aca="false">-In_Var_Opex*AI112*AI110/Thousand</f>
        <v>-310.488252986301</v>
      </c>
      <c r="AJ114" s="33" t="n">
        <f aca="false">-In_Var_Opex*AJ112*AJ110/Thousand</f>
        <v>-311.331971065068</v>
      </c>
      <c r="AK114" s="33" t="n">
        <f aca="false">-In_Var_Opex*AK112*AK110/Thousand</f>
        <v>-314.791215188014</v>
      </c>
      <c r="AL114" s="33" t="n">
        <f aca="false">-In_Var_Opex*AL112*AL110/Thousand</f>
        <v>-318.250459310959</v>
      </c>
      <c r="AM114" s="33" t="n">
        <f aca="false">-In_Var_Opex*AM112*AM110/Thousand</f>
        <v>-317.295707933026</v>
      </c>
      <c r="AN114" s="33" t="n">
        <f aca="false">-In_Var_Opex*AN112*AN110/Thousand</f>
        <v>-318.15792453067</v>
      </c>
      <c r="AO114" s="33" t="n">
        <f aca="false">-In_Var_Opex*AO112*AO110/Thousand</f>
        <v>-321.693012581011</v>
      </c>
      <c r="AP114" s="33" t="n">
        <f aca="false">-In_Var_Opex*AP112*AP110/Thousand</f>
        <v>-325.228100631352</v>
      </c>
      <c r="AQ114" s="33" t="n">
        <f aca="false">-In_Var_Opex*AQ112*AQ110/Thousand</f>
        <v>-324.252416329458</v>
      </c>
      <c r="AR114" s="33" t="n">
        <f aca="false">-In_Var_Opex*AR112*AR110/Thousand</f>
        <v>-325.133537026005</v>
      </c>
      <c r="AS114" s="33" t="n">
        <f aca="false">-In_Var_Opex*AS112*AS110/Thousand</f>
        <v>-328.746131881849</v>
      </c>
      <c r="AT114" s="33" t="n">
        <f aca="false">-In_Var_Opex*AT112*AT110/Thousand</f>
        <v>-332.358726737694</v>
      </c>
      <c r="AU114" s="33" t="n">
        <f aca="false">-In_Var_Opex*AU112*AU110/Thousand</f>
        <v>-331.361650557481</v>
      </c>
      <c r="AV114" s="33" t="n">
        <f aca="false">-In_Var_Opex*AV112*AV110/Thousand</f>
        <v>-335.953890823359</v>
      </c>
      <c r="AW114" s="33" t="n">
        <f aca="false">-In_Var_Opex*AW112*AW110/Thousand</f>
        <v>-335.953890823359</v>
      </c>
      <c r="AX114" s="33" t="n">
        <f aca="false">-In_Var_Opex*AX112*AX110/Thousand</f>
        <v>-339.645691821418</v>
      </c>
      <c r="AY114" s="33" t="n">
        <f aca="false">-In_Var_Opex*AY112*AY110/Thousand</f>
        <v>-338.626754745954</v>
      </c>
      <c r="AZ114" s="33" t="n">
        <f aca="false">-In_Var_Opex*AZ112*AZ110/Thousand</f>
        <v>-339.54693614472</v>
      </c>
      <c r="BA114" s="33" t="n">
        <f aca="false">-In_Var_Opex*BA112*BA110/Thousand</f>
        <v>-343.319679879661</v>
      </c>
      <c r="BB114" s="33" t="n">
        <f aca="false">-In_Var_Opex*BB112*BB110/Thousand</f>
        <v>-347.092423614602</v>
      </c>
      <c r="BC114" s="33" t="n">
        <f aca="false">-In_Var_Opex*BC112*BC110/Thousand</f>
        <v>-346.051146343759</v>
      </c>
      <c r="BD114" s="33" t="n">
        <f aca="false">-In_Var_Opex*BD112*BD110/Thousand</f>
        <v>-346.991502719693</v>
      </c>
      <c r="BE114" s="33" t="n">
        <f aca="false">-In_Var_Opex*BE112*BE110/Thousand</f>
        <v>-350.846963861023</v>
      </c>
      <c r="BF114" s="33" t="n">
        <f aca="false">-In_Var_Opex*BF112*BF110/Thousand</f>
        <v>-354.702425002353</v>
      </c>
      <c r="BG114" s="33" t="n">
        <f aca="false">-In_Var_Opex*BG112*BG110/Thousand</f>
        <v>-353.638317727346</v>
      </c>
      <c r="BH114" s="33" t="n">
        <f aca="false">-In_Var_Opex*BH112*BH110/Thousand</f>
        <v>-354.599291416822</v>
      </c>
      <c r="BI114" s="33" t="n">
        <f aca="false">-In_Var_Opex*BI112*BI110/Thousand</f>
        <v>-358.539283543675</v>
      </c>
      <c r="BJ114" s="33" t="n">
        <f aca="false">-In_Var_Opex*BJ112*BJ110/Thousand</f>
        <v>-362.479275670529</v>
      </c>
      <c r="BK114" s="33" t="n">
        <f aca="false">-In_Var_Opex*BK112*BK110/Thousand</f>
        <v>-361.391837843517</v>
      </c>
      <c r="BL114" s="33" t="n">
        <f aca="false">-In_Var_Opex*BL112*BL110/Thousand</f>
        <v>-366.400257335371</v>
      </c>
      <c r="BM114" s="33" t="n">
        <f aca="false">-In_Var_Opex*BM112*BM110/Thousand</f>
        <v>-366.400257335371</v>
      </c>
      <c r="BN114" s="33" t="n">
        <f aca="false">-In_Var_Opex*BN112*BN110/Thousand</f>
        <v>-370.426633789605</v>
      </c>
      <c r="BO114" s="33" t="n">
        <f aca="false">-In_Var_Opex*BO112*BO110/Thousand</f>
        <v>-369.315353888237</v>
      </c>
      <c r="BP114" s="33" t="n">
        <f aca="false">-In_Var_Opex*BP112*BP110/Thousand</f>
        <v>-370.318928219455</v>
      </c>
      <c r="BQ114" s="33" t="n">
        <f aca="false">-In_Var_Opex*BQ112*BQ110/Thousand</f>
        <v>-374.433582977449</v>
      </c>
      <c r="BR114" s="33" t="n">
        <f aca="false">-In_Var_Opex*BR112*BR110/Thousand</f>
        <v>-378.548237735442</v>
      </c>
      <c r="BS114" s="33" t="n">
        <f aca="false">-In_Var_Opex*BS112*BS110/Thousand</f>
        <v>-377.412593022236</v>
      </c>
      <c r="BT114" s="33" t="n">
        <f aca="false">-In_Var_Opex*BT112*BT110/Thousand</f>
        <v>-378.438170720666</v>
      </c>
      <c r="BU114" s="33" t="n">
        <f aca="false">-In_Var_Opex*BU112*BU110/Thousand</f>
        <v>-382.643039284229</v>
      </c>
      <c r="BV114" s="33" t="n">
        <f aca="false">-In_Var_Opex*BV112*BV110/Thousand</f>
        <v>-386.847907847792</v>
      </c>
      <c r="BW114" s="33" t="n">
        <f aca="false">-In_Var_Opex*BW112*BW110/Thousand</f>
        <v>-385.687364124249</v>
      </c>
      <c r="BX114" s="33" t="n">
        <f aca="false">-In_Var_Opex*BX112*BX110/Thousand</f>
        <v>-386.735427613717</v>
      </c>
      <c r="BY114" s="33" t="n">
        <f aca="false">-In_Var_Opex*BY112*BY110/Thousand</f>
        <v>-391.032487920536</v>
      </c>
      <c r="BZ114" s="33" t="n">
        <f aca="false">-In_Var_Opex*BZ112*BZ110/Thousand</f>
        <v>-395.329548227355</v>
      </c>
      <c r="CA114" s="33" t="n">
        <f aca="false">-In_Var_Opex*CA112*CA110/Thousand</f>
        <v>-394.143559582673</v>
      </c>
      <c r="CB114" s="33" t="n">
        <f aca="false">-In_Var_Opex*CB112*CB110/Thousand</f>
        <v>-399.605875218193</v>
      </c>
      <c r="CC114" s="33" t="n">
        <f aca="false">-In_Var_Opex*CC112*CC110/Thousand</f>
        <v>-399.605875218193</v>
      </c>
      <c r="CD114" s="33" t="n">
        <f aca="false">-In_Var_Opex*CD112*CD110/Thousand</f>
        <v>-403.99714857224</v>
      </c>
      <c r="CE114" s="33" t="n">
        <f aca="false">-In_Var_Opex*CE112*CE110/Thousand</f>
        <v>-402.785157126523</v>
      </c>
      <c r="CF114" s="33" t="n">
        <f aca="false">-In_Var_Opex*CF112*CF110/Thousand</f>
        <v>-403.879682010019</v>
      </c>
      <c r="CG114" s="33" t="n">
        <f aca="false">-In_Var_Opex*CG112*CG110/Thousand</f>
        <v>-408.367234032352</v>
      </c>
      <c r="CH114" s="33" t="n">
        <f aca="false">-In_Var_Opex*CH112*CH110/Thousand</f>
        <v>-412.854786054686</v>
      </c>
      <c r="CI114" s="33" t="n">
        <f aca="false">-In_Var_Opex*CI112*CI110/Thousand</f>
        <v>-411.616221696522</v>
      </c>
      <c r="CJ114" s="33" t="n">
        <f aca="false">-In_Var_Opex*CJ112*CJ110/Thousand</f>
        <v>-412.734744038088</v>
      </c>
      <c r="CK114" s="33" t="n">
        <f aca="false">-In_Var_Opex*CK112*CK110/Thousand</f>
        <v>-417.320685638512</v>
      </c>
      <c r="CL114" s="33" t="n">
        <f aca="false">-In_Var_Opex*CL112*CL110/Thousand</f>
        <v>-421.906627238935</v>
      </c>
      <c r="CM114" s="33" t="n">
        <f aca="false">-In_Var_Opex*CM112*CM110/Thousand</f>
        <v>-420.640907357218</v>
      </c>
      <c r="CN114" s="33" t="n">
        <f aca="false">-In_Var_Opex*CN112*CN110/Thousand</f>
        <v>-421.783953301123</v>
      </c>
      <c r="CO114" s="33" t="n">
        <f aca="false">-In_Var_Opex*CO112*CO110/Thousand</f>
        <v>-426.470441671136</v>
      </c>
      <c r="CP114" s="33" t="n">
        <f aca="false">-In_Var_Opex*CP112*CP110/Thousand</f>
        <v>-431.156930041149</v>
      </c>
      <c r="CQ114" s="33" t="n">
        <f aca="false">-In_Var_Opex*CQ112*CQ110/Thousand</f>
        <v>-429.863459251025</v>
      </c>
      <c r="CR114" s="33" t="n">
        <f aca="false">-In_Var_Opex*CR112*CR110/Thousand</f>
        <v>-435.820806104776</v>
      </c>
      <c r="CS114" s="33" t="n">
        <f aca="false">-In_Var_Opex*CS112*CS110/Thousand</f>
        <v>-435.820806104776</v>
      </c>
      <c r="CT114" s="33" t="n">
        <f aca="false">-In_Var_Opex*CT112*CT110/Thousand</f>
        <v>-440.610045732301</v>
      </c>
      <c r="CU114" s="33" t="n">
        <f aca="false">-In_Var_Opex*CU112*CU110/Thousand</f>
        <v>-439.288215595104</v>
      </c>
      <c r="CV114" s="33" t="n">
        <f aca="false">-In_Var_Opex*CV112*CV110/Thousand</f>
        <v>-440.481933572264</v>
      </c>
      <c r="CW114" s="33" t="n">
        <f aca="false">-In_Var_Opex*CW112*CW110/Thousand</f>
        <v>-445.376177278623</v>
      </c>
      <c r="CX114" s="33" t="n">
        <f aca="false">-In_Var_Opex*CX112*CX110/Thousand</f>
        <v>-450.270420984981</v>
      </c>
      <c r="CY114" s="33" t="n">
        <f aca="false">-In_Var_Opex*CY112*CY110/Thousand</f>
        <v>-448.919609722026</v>
      </c>
      <c r="CZ114" s="33" t="n">
        <f aca="false">-In_Var_Opex*CZ112*CZ110/Thousand</f>
        <v>-450.139499965836</v>
      </c>
      <c r="DA114" s="33" t="n">
        <f aca="false">-In_Var_Opex*DA112*DA110/Thousand</f>
        <v>-455.141049965457</v>
      </c>
      <c r="DB114" s="33" t="n">
        <f aca="false">-In_Var_Opex*DB112*DB110/Thousand</f>
        <v>-460.142599965077</v>
      </c>
      <c r="DC114" s="33" t="n">
        <f aca="false">-In_Var_Opex*DC112*DC110/Thousand</f>
        <v>-458.762172165182</v>
      </c>
      <c r="DD114" s="33" t="n">
        <f aca="false">-In_Var_Opex*DD112*DD110/Thousand</f>
        <v>-460.008808502587</v>
      </c>
      <c r="DE114" s="33" t="n">
        <f aca="false">-In_Var_Opex*DE112*DE110/Thousand</f>
        <v>-465.120017485949</v>
      </c>
      <c r="DF114" s="33" t="n">
        <f aca="false">-In_Var_Opex*DF112*DF110/Thousand</f>
        <v>-470.231226469311</v>
      </c>
      <c r="DG114" s="33" t="n">
        <f aca="false">-In_Var_Opex*DG112*DG110/Thousand</f>
        <v>-468.820532789903</v>
      </c>
      <c r="DH114" s="33" t="n">
        <f aca="false">-In_Var_Opex*DH112*DH110/Thousand</f>
        <v>-475.317773869328</v>
      </c>
      <c r="DI114" s="33" t="n">
        <f aca="false">-In_Var_Opex*DI112*DI110/Thousand</f>
        <v>-475.317773869328</v>
      </c>
      <c r="DJ114" s="33" t="n">
        <f aca="false">-In_Var_Opex*DJ112*DJ110/Thousand</f>
        <v>-480.541046109651</v>
      </c>
      <c r="DK114" s="33" t="n">
        <f aca="false">-In_Var_Opex*DK112*DK110/Thousand</f>
        <v>-479.099422971322</v>
      </c>
      <c r="DL114" s="33" t="n">
        <f aca="false">-In_Var_Opex*DL112*DL110/Thousand</f>
        <v>-480.401323577222</v>
      </c>
      <c r="DM114" s="33" t="n">
        <f aca="false">-In_Var_Opex*DM112*DM110/Thousand</f>
        <v>-485.739116061413</v>
      </c>
      <c r="DN114" s="33" t="n">
        <f aca="false">-In_Var_Opex*DN112*DN110/Thousand</f>
        <v>-491.076908545605</v>
      </c>
      <c r="DO114" s="33" t="n">
        <f aca="false">-In_Var_Opex*DO112*DO110/Thousand</f>
        <v>-489.603677819968</v>
      </c>
      <c r="DP114" s="33" t="n">
        <f aca="false">-In_Var_Opex*DP112*DP110/Thousand</f>
        <v>-490.934122596653</v>
      </c>
      <c r="DQ114" s="33" t="n">
        <f aca="false">-In_Var_Opex*DQ112*DQ110/Thousand</f>
        <v>-496.38894618106</v>
      </c>
      <c r="DR114" s="33" t="n">
        <f aca="false">-In_Var_Opex*DR112*DR110/Thousand</f>
        <v>-501.843769765467</v>
      </c>
      <c r="DS114" s="33" t="n">
        <f aca="false">-In_Var_Opex*DS112*DS110/Thousand</f>
        <v>-500.338238456171</v>
      </c>
      <c r="DT114" s="33" t="n">
        <f aca="false">-In_Var_Opex*DT112*DT110/Thousand</f>
        <v>-501.697853234584</v>
      </c>
      <c r="DU114" s="33" t="n">
        <f aca="false">-In_Var_Opex*DU112*DU110/Thousand</f>
        <v>-507.27227382608</v>
      </c>
      <c r="DV114" s="33" t="n">
        <f aca="false">-In_Var_Opex*DV112*DV110/Thousand</f>
        <v>-512.846694417575</v>
      </c>
      <c r="DW114" s="33" t="n">
        <f aca="false">-In_Var_Opex*DW112*DW110/Thousand</f>
        <v>-511.308154334322</v>
      </c>
      <c r="DX114" s="33" t="n">
        <f aca="false">-In_Var_Opex*DX112*DX110/Thousand</f>
        <v>-518.394218429716</v>
      </c>
      <c r="DY114" s="33" t="n">
        <f aca="false">-In_Var_Opex*DY112*DY110/Thousand</f>
        <v>-518.394218429716</v>
      </c>
      <c r="DZ114" s="33" t="n">
        <f aca="false">-In_Var_Opex*DZ112*DZ110/Thousand</f>
        <v>-524.09085819268</v>
      </c>
      <c r="EA114" s="33" t="n">
        <f aca="false">-In_Var_Opex*EA112*EA110/Thousand</f>
        <v>-522.518585618102</v>
      </c>
      <c r="EB114" s="33" t="n">
        <f aca="false">-In_Var_Opex*EB112*EB110/Thousand</f>
        <v>-523.938473079021</v>
      </c>
      <c r="EC114" s="33" t="n">
        <f aca="false">-In_Var_Opex*EC112*EC110/Thousand</f>
        <v>-529.760011668788</v>
      </c>
      <c r="ED114" s="33" t="n">
        <f aca="false">-In_Var_Opex*ED112*ED110/Thousand</f>
        <v>-535.581550258555</v>
      </c>
      <c r="EE114" s="33" t="n">
        <f aca="false">-In_Var_Opex*EE112*EE110/Thousand</f>
        <v>-533.974805607779</v>
      </c>
      <c r="EF114" s="33" t="n">
        <f aca="false">-In_Var_Opex*EF112*EF110/Thousand</f>
        <v>-535.425824101278</v>
      </c>
      <c r="EG114" s="33" t="n">
        <f aca="false">-In_Var_Opex*EG112*EG110/Thousand</f>
        <v>-541.374999924626</v>
      </c>
      <c r="EH114" s="33" t="n">
        <f aca="false">-In_Var_Opex*EH112*EH110/Thousand</f>
        <v>-547.324175747974</v>
      </c>
      <c r="EI114" s="33" t="n">
        <f aca="false">-In_Var_Opex*EI112*EI110/Thousand</f>
        <v>-545.68220322073</v>
      </c>
      <c r="EJ114" s="33" t="n">
        <f aca="false">-In_Var_Opex*EJ112*EJ110/Thousand</f>
        <v>-547.165035294699</v>
      </c>
      <c r="EK114" s="33" t="n">
        <f aca="false">-In_Var_Opex*EK112*EK110/Thousand</f>
        <v>-553.244646797973</v>
      </c>
      <c r="EL114" s="33" t="n">
        <f aca="false">-In_Var_Opex*EL112*EL110/Thousand</f>
        <v>-559.324258301248</v>
      </c>
      <c r="EM114" s="33" t="n">
        <f aca="false">-In_Var_Opex*EM112*EM110/Thousand</f>
        <v>-557.646285526344</v>
      </c>
      <c r="EN114" s="33" t="n">
        <f aca="false">-In_Var_Opex*EN112*EN110/Thousand</f>
        <v>-565.374535679019</v>
      </c>
      <c r="EO114" s="33" t="n">
        <f aca="false">-In_Var_Opex*EO112*EO110/Thousand</f>
        <v>-565.374535679019</v>
      </c>
      <c r="EP114" s="33" t="n">
        <f aca="false">-In_Var_Opex*EP112*EP110/Thousand</f>
        <v>-571.587442664503</v>
      </c>
      <c r="EQ114" s="33" t="n">
        <f aca="false">-In_Var_Opex*EQ112*EQ110/Thousand</f>
        <v>-569.872680336509</v>
      </c>
      <c r="ER114" s="33" t="n">
        <f aca="false">-In_Var_Opex*ER112*ER110/Thousand</f>
        <v>-571.421247402641</v>
      </c>
      <c r="ES114" s="33" t="n">
        <f aca="false">-In_Var_Opex*ES112*ES110/Thousand</f>
        <v>-577.770372373781</v>
      </c>
      <c r="ET114" s="33" t="n">
        <f aca="false">-In_Var_Opex*ET112*ET110/Thousand</f>
        <v>-584.119497344922</v>
      </c>
    </row>
    <row r="115" customFormat="false" ht="15" hidden="false" customHeight="false" outlineLevel="0" collapsed="false">
      <c r="C115" s="0" t="s">
        <v>568</v>
      </c>
      <c r="D115" s="11" t="s">
        <v>253</v>
      </c>
      <c r="I115" s="33" t="n">
        <f aca="false">SUM(J115:ET115)</f>
        <v>-105177.037405926</v>
      </c>
      <c r="J115" s="33" t="n">
        <f aca="false">-(In_Fixed_Opex*$F24+In_Admin)*J110*J15*J$6</f>
        <v>-0</v>
      </c>
      <c r="K115" s="33" t="n">
        <f aca="false">-(In_Fixed_Opex*$F24+In_Admin)*K110*K15*K$6</f>
        <v>-0</v>
      </c>
      <c r="L115" s="33" t="n">
        <f aca="false">-(In_Fixed_Opex*$F24+In_Admin)*L110*L15*L$6</f>
        <v>-0</v>
      </c>
      <c r="M115" s="33" t="n">
        <f aca="false">-(In_Fixed_Opex*$F24+In_Admin)*M110*M15*M$6</f>
        <v>-0</v>
      </c>
      <c r="N115" s="33" t="n">
        <f aca="false">-(In_Fixed_Opex*$F24+In_Admin)*N110*N15*N$6</f>
        <v>-0</v>
      </c>
      <c r="O115" s="33" t="n">
        <f aca="false">-(In_Fixed_Opex*$F24+In_Admin)*O110*O15*O$6</f>
        <v>-0</v>
      </c>
      <c r="P115" s="33" t="n">
        <f aca="false">-(In_Fixed_Opex*$F24+In_Admin)*P110*P15*P$6</f>
        <v>-0</v>
      </c>
      <c r="Q115" s="33" t="n">
        <f aca="false">-(In_Fixed_Opex*$F24+In_Admin)*Q110*Q15*Q$6</f>
        <v>-0</v>
      </c>
      <c r="R115" s="33" t="n">
        <f aca="false">-(In_Fixed_Opex*$F24+In_Admin)*R110*R15*R$6</f>
        <v>-0</v>
      </c>
      <c r="S115" s="33" t="n">
        <f aca="false">-(In_Fixed_Opex*$F24+In_Admin)*S110*S15*S$6</f>
        <v>-0</v>
      </c>
      <c r="T115" s="33" t="n">
        <f aca="false">-(In_Fixed_Opex*$F24+In_Admin)*T110*T15*T$6</f>
        <v>-0</v>
      </c>
      <c r="U115" s="33" t="n">
        <f aca="false">-(In_Fixed_Opex*$F24+In_Admin)*U110*U15*U$6</f>
        <v>-0</v>
      </c>
      <c r="V115" s="33" t="n">
        <f aca="false">-(In_Fixed_Opex*$F24+In_Admin)*V110*V15*V$6</f>
        <v>-0</v>
      </c>
      <c r="W115" s="33" t="n">
        <f aca="false">-(In_Fixed_Opex*$F24+In_Admin)*W110*W15*W$6</f>
        <v>-0</v>
      </c>
      <c r="X115" s="33" t="n">
        <f aca="false">-(In_Fixed_Opex*$F24+In_Admin)*X110*X15*X$6</f>
        <v>-0</v>
      </c>
      <c r="Y115" s="33" t="n">
        <f aca="false">-(In_Fixed_Opex*$F24+In_Admin)*Y110*Y15*Y$6</f>
        <v>-0</v>
      </c>
      <c r="Z115" s="33" t="n">
        <f aca="false">-(In_Fixed_Opex*$F24+In_Admin)*Z110*Z15*Z$6</f>
        <v>-0</v>
      </c>
      <c r="AA115" s="33" t="n">
        <f aca="false">-(In_Fixed_Opex*$F24+In_Admin)*AA110*AA15*AA$6</f>
        <v>-0</v>
      </c>
      <c r="AB115" s="33" t="n">
        <f aca="false">-(In_Fixed_Opex*$F24+In_Admin)*AB110*AB15*AB$6</f>
        <v>-0</v>
      </c>
      <c r="AC115" s="33" t="n">
        <f aca="false">-(In_Fixed_Opex*$F24+In_Admin)*AC110*AC15*AC$6</f>
        <v>-0</v>
      </c>
      <c r="AD115" s="33" t="n">
        <f aca="false">-(In_Fixed_Opex*$F24+In_Admin)*AD110*AD15*AD$6</f>
        <v>-0</v>
      </c>
      <c r="AE115" s="33" t="n">
        <f aca="false">-(In_Fixed_Opex*$F24+In_Admin)*AE110*AE15*AE$6</f>
        <v>-592.328767123288</v>
      </c>
      <c r="AF115" s="33" t="n">
        <f aca="false">-(In_Fixed_Opex*$F24+In_Admin)*AF110*AF15*AF$6</f>
        <v>-600.537671232877</v>
      </c>
      <c r="AG115" s="33" t="n">
        <f aca="false">-(In_Fixed_Opex*$F24+In_Admin)*AG110*AG15*AG$6</f>
        <v>-600.537671232877</v>
      </c>
      <c r="AH115" s="33" t="n">
        <f aca="false">-(In_Fixed_Opex*$F24+In_Admin)*AH110*AH15*AH$6</f>
        <v>-607.13698630137</v>
      </c>
      <c r="AI115" s="33" t="n">
        <f aca="false">-(In_Fixed_Opex*$F24+In_Admin)*AI110*AI15*AI$6</f>
        <v>-607.13698630137</v>
      </c>
      <c r="AJ115" s="33" t="n">
        <f aca="false">-(In_Fixed_Opex*$F24+In_Admin)*AJ110*AJ15*AJ$6</f>
        <v>-608.786815068493</v>
      </c>
      <c r="AK115" s="33" t="n">
        <f aca="false">-(In_Fixed_Opex*$F24+In_Admin)*AK110*AK15*AK$6</f>
        <v>-615.551113013699</v>
      </c>
      <c r="AL115" s="33" t="n">
        <f aca="false">-(In_Fixed_Opex*$F24+In_Admin)*AL110*AL15*AL$6</f>
        <v>-622.315410958904</v>
      </c>
      <c r="AM115" s="33" t="n">
        <f aca="false">-(In_Fixed_Opex*$F24+In_Admin)*AM110*AM15*AM$6</f>
        <v>-622.315410958904</v>
      </c>
      <c r="AN115" s="33" t="n">
        <f aca="false">-(In_Fixed_Opex*$F24+In_Admin)*AN110*AN15*AN$6</f>
        <v>-624.006485445205</v>
      </c>
      <c r="AO115" s="33" t="n">
        <f aca="false">-(In_Fixed_Opex*$F24+In_Admin)*AO110*AO15*AO$6</f>
        <v>-630.939890839041</v>
      </c>
      <c r="AP115" s="33" t="n">
        <f aca="false">-(In_Fixed_Opex*$F24+In_Admin)*AP110*AP15*AP$6</f>
        <v>-637.873296232877</v>
      </c>
      <c r="AQ115" s="33" t="n">
        <f aca="false">-(In_Fixed_Opex*$F24+In_Admin)*AQ110*AQ15*AQ$6</f>
        <v>-637.873296232877</v>
      </c>
      <c r="AR115" s="33" t="n">
        <f aca="false">-(In_Fixed_Opex*$F24+In_Admin)*AR110*AR15*AR$6</f>
        <v>-639.606647581335</v>
      </c>
      <c r="AS115" s="33" t="n">
        <f aca="false">-(In_Fixed_Opex*$F24+In_Admin)*AS110*AS15*AS$6</f>
        <v>-646.713388110017</v>
      </c>
      <c r="AT115" s="33" t="n">
        <f aca="false">-(In_Fixed_Opex*$F24+In_Admin)*AT110*AT15*AT$6</f>
        <v>-653.820128638698</v>
      </c>
      <c r="AU115" s="33" t="n">
        <f aca="false">-(In_Fixed_Opex*$F24+In_Admin)*AU110*AU15*AU$6</f>
        <v>-653.820128638698</v>
      </c>
      <c r="AV115" s="33" t="n">
        <f aca="false">-(In_Fixed_Opex*$F24+In_Admin)*AV110*AV15*AV$6</f>
        <v>-662.881222812767</v>
      </c>
      <c r="AW115" s="33" t="n">
        <f aca="false">-(In_Fixed_Opex*$F24+In_Admin)*AW110*AW15*AW$6</f>
        <v>-662.881222812767</v>
      </c>
      <c r="AX115" s="33" t="n">
        <f aca="false">-(In_Fixed_Opex*$F24+In_Admin)*AX110*AX15*AX$6</f>
        <v>-670.165631854666</v>
      </c>
      <c r="AY115" s="33" t="n">
        <f aca="false">-(In_Fixed_Opex*$F24+In_Admin)*AY110*AY15*AY$6</f>
        <v>-670.165631854666</v>
      </c>
      <c r="AZ115" s="33" t="n">
        <f aca="false">-(In_Fixed_Opex*$F24+In_Admin)*AZ110*AZ15*AZ$6</f>
        <v>-671.98673411514</v>
      </c>
      <c r="BA115" s="33" t="n">
        <f aca="false">-(In_Fixed_Opex*$F24+In_Admin)*BA110*BA15*BA$6</f>
        <v>-679.453253383086</v>
      </c>
      <c r="BB115" s="33" t="n">
        <f aca="false">-(In_Fixed_Opex*$F24+In_Admin)*BB110*BB15*BB$6</f>
        <v>-686.919772651032</v>
      </c>
      <c r="BC115" s="33" t="n">
        <f aca="false">-(In_Fixed_Opex*$F24+In_Admin)*BC110*BC15*BC$6</f>
        <v>-686.919772651032</v>
      </c>
      <c r="BD115" s="33" t="n">
        <f aca="false">-(In_Fixed_Opex*$F24+In_Admin)*BD110*BD15*BD$6</f>
        <v>-688.786402468019</v>
      </c>
      <c r="BE115" s="33" t="n">
        <f aca="false">-(In_Fixed_Opex*$F24+In_Admin)*BE110*BE15*BE$6</f>
        <v>-696.439584717664</v>
      </c>
      <c r="BF115" s="33" t="n">
        <f aca="false">-(In_Fixed_Opex*$F24+In_Admin)*BF110*BF15*BF$6</f>
        <v>-704.092766967308</v>
      </c>
      <c r="BG115" s="33" t="n">
        <f aca="false">-(In_Fixed_Opex*$F24+In_Admin)*BG110*BG15*BG$6</f>
        <v>-704.092766967308</v>
      </c>
      <c r="BH115" s="33" t="n">
        <f aca="false">-(In_Fixed_Opex*$F24+In_Admin)*BH110*BH15*BH$6</f>
        <v>-706.006062529719</v>
      </c>
      <c r="BI115" s="33" t="n">
        <f aca="false">-(In_Fixed_Opex*$F24+In_Admin)*BI110*BI15*BI$6</f>
        <v>-713.850574335605</v>
      </c>
      <c r="BJ115" s="33" t="n">
        <f aca="false">-(In_Fixed_Opex*$F24+In_Admin)*BJ110*BJ15*BJ$6</f>
        <v>-721.695086141491</v>
      </c>
      <c r="BK115" s="33" t="n">
        <f aca="false">-(In_Fixed_Opex*$F24+In_Admin)*BK110*BK15*BK$6</f>
        <v>-721.695086141491</v>
      </c>
      <c r="BL115" s="33" t="n">
        <f aca="false">-(In_Fixed_Opex*$F24+In_Admin)*BL110*BL15*BL$6</f>
        <v>-731.696838693995</v>
      </c>
      <c r="BM115" s="33" t="n">
        <f aca="false">-(In_Fixed_Opex*$F24+In_Admin)*BM110*BM15*BM$6</f>
        <v>-731.696838693995</v>
      </c>
      <c r="BN115" s="33" t="n">
        <f aca="false">-(In_Fixed_Opex*$F24+In_Admin)*BN110*BN15*BN$6</f>
        <v>-739.737463295028</v>
      </c>
      <c r="BO115" s="33" t="n">
        <f aca="false">-(In_Fixed_Opex*$F24+In_Admin)*BO110*BO15*BO$6</f>
        <v>-739.737463295028</v>
      </c>
      <c r="BP115" s="33" t="n">
        <f aca="false">-(In_Fixed_Opex*$F24+In_Admin)*BP110*BP15*BP$6</f>
        <v>-741.747619445286</v>
      </c>
      <c r="BQ115" s="33" t="n">
        <f aca="false">-(In_Fixed_Opex*$F24+In_Admin)*BQ110*BQ15*BQ$6</f>
        <v>-749.989259661345</v>
      </c>
      <c r="BR115" s="33" t="n">
        <f aca="false">-(In_Fixed_Opex*$F24+In_Admin)*BR110*BR15*BR$6</f>
        <v>-758.230899877404</v>
      </c>
      <c r="BS115" s="33" t="n">
        <f aca="false">-(In_Fixed_Opex*$F24+In_Admin)*BS110*BS15*BS$6</f>
        <v>-758.230899877404</v>
      </c>
      <c r="BT115" s="33" t="n">
        <f aca="false">-(In_Fixed_Opex*$F24+In_Admin)*BT110*BT15*BT$6</f>
        <v>-760.291309931418</v>
      </c>
      <c r="BU115" s="33" t="n">
        <f aca="false">-(In_Fixed_Opex*$F24+In_Admin)*BU110*BU15*BU$6</f>
        <v>-768.738991152879</v>
      </c>
      <c r="BV115" s="33" t="n">
        <f aca="false">-(In_Fixed_Opex*$F24+In_Admin)*BV110*BV15*BV$6</f>
        <v>-777.186672374339</v>
      </c>
      <c r="BW115" s="33" t="n">
        <f aca="false">-(In_Fixed_Opex*$F24+In_Admin)*BW110*BW15*BW$6</f>
        <v>-777.186672374339</v>
      </c>
      <c r="BX115" s="33" t="n">
        <f aca="false">-(In_Fixed_Opex*$F24+In_Admin)*BX110*BX15*BX$6</f>
        <v>-779.298592679704</v>
      </c>
      <c r="BY115" s="33" t="n">
        <f aca="false">-(In_Fixed_Opex*$F24+In_Admin)*BY110*BY15*BY$6</f>
        <v>-787.9574659317</v>
      </c>
      <c r="BZ115" s="33" t="n">
        <f aca="false">-(In_Fixed_Opex*$F24+In_Admin)*BZ110*BZ15*BZ$6</f>
        <v>-796.616339183697</v>
      </c>
      <c r="CA115" s="33" t="n">
        <f aca="false">-(In_Fixed_Opex*$F24+In_Admin)*CA110*CA15*CA$6</f>
        <v>-796.616339183697</v>
      </c>
      <c r="CB115" s="33" t="n">
        <f aca="false">-(In_Fixed_Opex*$F24+In_Admin)*CB110*CB15*CB$6</f>
        <v>-807.656402579993</v>
      </c>
      <c r="CC115" s="33" t="n">
        <f aca="false">-(In_Fixed_Opex*$F24+In_Admin)*CC110*CC15*CC$6</f>
        <v>-807.656402579993</v>
      </c>
      <c r="CD115" s="33" t="n">
        <f aca="false">-(In_Fixed_Opex*$F24+In_Admin)*CD110*CD15*CD$6</f>
        <v>-816.53174766329</v>
      </c>
      <c r="CE115" s="33" t="n">
        <f aca="false">-(In_Fixed_Opex*$F24+In_Admin)*CE110*CE15*CE$6</f>
        <v>-816.53174766329</v>
      </c>
      <c r="CF115" s="33" t="n">
        <f aca="false">-(In_Fixed_Opex*$F24+In_Admin)*CF110*CF15*CF$6</f>
        <v>-818.750583934114</v>
      </c>
      <c r="CG115" s="33" t="n">
        <f aca="false">-(In_Fixed_Opex*$F24+In_Admin)*CG110*CG15*CG$6</f>
        <v>-827.847812644493</v>
      </c>
      <c r="CH115" s="33" t="n">
        <f aca="false">-(In_Fixed_Opex*$F24+In_Admin)*CH110*CH15*CH$6</f>
        <v>-836.945041354872</v>
      </c>
      <c r="CI115" s="33" t="n">
        <f aca="false">-(In_Fixed_Opex*$F24+In_Admin)*CI110*CI15*CI$6</f>
        <v>-836.945041354872</v>
      </c>
      <c r="CJ115" s="33" t="n">
        <f aca="false">-(In_Fixed_Opex*$F24+In_Admin)*CJ110*CJ15*CJ$6</f>
        <v>-839.219348532466</v>
      </c>
      <c r="CK115" s="33" t="n">
        <f aca="false">-(In_Fixed_Opex*$F24+In_Admin)*CK110*CK15*CK$6</f>
        <v>-848.544007960605</v>
      </c>
      <c r="CL115" s="33" t="n">
        <f aca="false">-(In_Fixed_Opex*$F24+In_Admin)*CL110*CL15*CL$6</f>
        <v>-857.868667388743</v>
      </c>
      <c r="CM115" s="33" t="n">
        <f aca="false">-(In_Fixed_Opex*$F24+In_Admin)*CM110*CM15*CM$6</f>
        <v>-857.868667388743</v>
      </c>
      <c r="CN115" s="33" t="n">
        <f aca="false">-(In_Fixed_Opex*$F24+In_Admin)*CN110*CN15*CN$6</f>
        <v>-860.199832245778</v>
      </c>
      <c r="CO115" s="33" t="n">
        <f aca="false">-(In_Fixed_Opex*$F24+In_Admin)*CO110*CO15*CO$6</f>
        <v>-869.75760815962</v>
      </c>
      <c r="CP115" s="33" t="n">
        <f aca="false">-(In_Fixed_Opex*$F24+In_Admin)*CP110*CP15*CP$6</f>
        <v>-879.315384073462</v>
      </c>
      <c r="CQ115" s="33" t="n">
        <f aca="false">-(In_Fixed_Opex*$F24+In_Admin)*CQ110*CQ15*CQ$6</f>
        <v>-879.315384073462</v>
      </c>
      <c r="CR115" s="33" t="n">
        <f aca="false">-(In_Fixed_Opex*$F24+In_Admin)*CR110*CR15*CR$6</f>
        <v>-891.50154836361</v>
      </c>
      <c r="CS115" s="33" t="n">
        <f aca="false">-(In_Fixed_Opex*$F24+In_Admin)*CS110*CS15*CS$6</f>
        <v>-891.50154836361</v>
      </c>
      <c r="CT115" s="33" t="n">
        <f aca="false">-(In_Fixed_Opex*$F24+In_Admin)*CT110*CT15*CT$6</f>
        <v>-901.298268675298</v>
      </c>
      <c r="CU115" s="33" t="n">
        <f aca="false">-(In_Fixed_Opex*$F24+In_Admin)*CU110*CU15*CU$6</f>
        <v>-901.298268675298</v>
      </c>
      <c r="CV115" s="33" t="n">
        <f aca="false">-(In_Fixed_Opex*$F24+In_Admin)*CV110*CV15*CV$6</f>
        <v>-903.74744875322</v>
      </c>
      <c r="CW115" s="33" t="n">
        <f aca="false">-(In_Fixed_Opex*$F24+In_Admin)*CW110*CW15*CW$6</f>
        <v>-913.789087072701</v>
      </c>
      <c r="CX115" s="33" t="n">
        <f aca="false">-(In_Fixed_Opex*$F24+In_Admin)*CX110*CX15*CX$6</f>
        <v>-923.830725392181</v>
      </c>
      <c r="CY115" s="33" t="n">
        <f aca="false">-(In_Fixed_Opex*$F24+In_Admin)*CY110*CY15*CY$6</f>
        <v>-923.830725392181</v>
      </c>
      <c r="CZ115" s="33" t="n">
        <f aca="false">-(In_Fixed_Opex*$F24+In_Admin)*CZ110*CZ15*CZ$6</f>
        <v>-926.341134972051</v>
      </c>
      <c r="DA115" s="33" t="n">
        <f aca="false">-(In_Fixed_Opex*$F24+In_Admin)*DA110*DA15*DA$6</f>
        <v>-936.633814249518</v>
      </c>
      <c r="DB115" s="33" t="n">
        <f aca="false">-(In_Fixed_Opex*$F24+In_Admin)*DB110*DB15*DB$6</f>
        <v>-946.926493526985</v>
      </c>
      <c r="DC115" s="33" t="n">
        <f aca="false">-(In_Fixed_Opex*$F24+In_Admin)*DC110*DC15*DC$6</f>
        <v>-946.926493526985</v>
      </c>
      <c r="DD115" s="33" t="n">
        <f aca="false">-(In_Fixed_Opex*$F24+In_Admin)*DD110*DD15*DD$6</f>
        <v>-949.499663346352</v>
      </c>
      <c r="DE115" s="33" t="n">
        <f aca="false">-(In_Fixed_Opex*$F24+In_Admin)*DE110*DE15*DE$6</f>
        <v>-960.049659605756</v>
      </c>
      <c r="DF115" s="33" t="n">
        <f aca="false">-(In_Fixed_Opex*$F24+In_Admin)*DF110*DF15*DF$6</f>
        <v>-970.59965586516</v>
      </c>
      <c r="DG115" s="33" t="n">
        <f aca="false">-(In_Fixed_Opex*$F24+In_Admin)*DG110*DG15*DG$6</f>
        <v>-970.59965586516</v>
      </c>
      <c r="DH115" s="33" t="n">
        <f aca="false">-(In_Fixed_Opex*$F24+In_Admin)*DH110*DH15*DH$6</f>
        <v>-984.0509010959</v>
      </c>
      <c r="DI115" s="33" t="n">
        <f aca="false">-(In_Fixed_Opex*$F24+In_Admin)*DI110*DI15*DI$6</f>
        <v>-984.0509010959</v>
      </c>
      <c r="DJ115" s="33" t="n">
        <f aca="false">-(In_Fixed_Opex*$F24+In_Admin)*DJ110*DJ15*DJ$6</f>
        <v>-994.864647261789</v>
      </c>
      <c r="DK115" s="33" t="n">
        <f aca="false">-(In_Fixed_Opex*$F24+In_Admin)*DK110*DK15*DK$6</f>
        <v>-994.864647261789</v>
      </c>
      <c r="DL115" s="33" t="n">
        <f aca="false">-(In_Fixed_Opex*$F24+In_Admin)*DL110*DL15*DL$6</f>
        <v>-997.568083803261</v>
      </c>
      <c r="DM115" s="33" t="n">
        <f aca="false">-(In_Fixed_Opex*$F24+In_Admin)*DM110*DM15*DM$6</f>
        <v>-1008.6521736233</v>
      </c>
      <c r="DN115" s="33" t="n">
        <f aca="false">-(In_Fixed_Opex*$F24+In_Admin)*DN110*DN15*DN$6</f>
        <v>-1019.73626344333</v>
      </c>
      <c r="DO115" s="33" t="n">
        <f aca="false">-(In_Fixed_Opex*$F24+In_Admin)*DO110*DO15*DO$6</f>
        <v>-1019.73626344333</v>
      </c>
      <c r="DP115" s="33" t="n">
        <f aca="false">-(In_Fixed_Opex*$F24+In_Admin)*DP110*DP15*DP$6</f>
        <v>-1022.50728589834</v>
      </c>
      <c r="DQ115" s="33" t="n">
        <f aca="false">-(In_Fixed_Opex*$F24+In_Admin)*DQ110*DQ15*DQ$6</f>
        <v>-1033.86847796388</v>
      </c>
      <c r="DR115" s="33" t="n">
        <f aca="false">-(In_Fixed_Opex*$F24+In_Admin)*DR110*DR15*DR$6</f>
        <v>-1045.22967002942</v>
      </c>
      <c r="DS115" s="33" t="n">
        <f aca="false">-(In_Fixed_Opex*$F24+In_Admin)*DS110*DS15*DS$6</f>
        <v>-1045.22967002942</v>
      </c>
      <c r="DT115" s="33" t="n">
        <f aca="false">-(In_Fixed_Opex*$F24+In_Admin)*DT110*DT15*DT$6</f>
        <v>-1048.0699680458</v>
      </c>
      <c r="DU115" s="33" t="n">
        <f aca="false">-(In_Fixed_Opex*$F24+In_Admin)*DU110*DU15*DU$6</f>
        <v>-1059.71518991298</v>
      </c>
      <c r="DV115" s="33" t="n">
        <f aca="false">-(In_Fixed_Opex*$F24+In_Admin)*DV110*DV15*DV$6</f>
        <v>-1071.36041178015</v>
      </c>
      <c r="DW115" s="33" t="n">
        <f aca="false">-(In_Fixed_Opex*$F24+In_Admin)*DW110*DW15*DW$6</f>
        <v>-1071.36041178015</v>
      </c>
      <c r="DX115" s="33" t="n">
        <f aca="false">-(In_Fixed_Opex*$F24+In_Admin)*DX110*DX15*DX$6</f>
        <v>-1086.2080696608</v>
      </c>
      <c r="DY115" s="33" t="n">
        <f aca="false">-(In_Fixed_Opex*$F24+In_Admin)*DY110*DY15*DY$6</f>
        <v>-1086.2080696608</v>
      </c>
      <c r="DZ115" s="33" t="n">
        <f aca="false">-(In_Fixed_Opex*$F24+In_Admin)*DZ110*DZ15*DZ$6</f>
        <v>-1098.14442207466</v>
      </c>
      <c r="EA115" s="33" t="n">
        <f aca="false">-(In_Fixed_Opex*$F24+In_Admin)*EA110*EA15*EA$6</f>
        <v>-1098.14442207466</v>
      </c>
      <c r="EB115" s="33" t="n">
        <f aca="false">-(In_Fixed_Opex*$F24+In_Admin)*EB110*EB15*EB$6</f>
        <v>-1101.12851017812</v>
      </c>
      <c r="EC115" s="33" t="n">
        <f aca="false">-(In_Fixed_Opex*$F24+In_Admin)*EC110*EC15*EC$6</f>
        <v>-1113.36327140232</v>
      </c>
      <c r="ED115" s="33" t="n">
        <f aca="false">-(In_Fixed_Opex*$F24+In_Admin)*ED110*ED15*ED$6</f>
        <v>-1125.59803262652</v>
      </c>
      <c r="EE115" s="33" t="n">
        <f aca="false">-(In_Fixed_Opex*$F24+In_Admin)*EE110*EE15*EE$6</f>
        <v>-1125.59803262652</v>
      </c>
      <c r="EF115" s="33" t="n">
        <f aca="false">-(In_Fixed_Opex*$F24+In_Admin)*EF110*EF15*EF$6</f>
        <v>-1128.65672293257</v>
      </c>
      <c r="EG115" s="33" t="n">
        <f aca="false">-(In_Fixed_Opex*$F24+In_Admin)*EG110*EG15*EG$6</f>
        <v>-1141.19735318738</v>
      </c>
      <c r="EH115" s="33" t="n">
        <f aca="false">-(In_Fixed_Opex*$F24+In_Admin)*EH110*EH15*EH$6</f>
        <v>-1153.73798344218</v>
      </c>
      <c r="EI115" s="33" t="n">
        <f aca="false">-(In_Fixed_Opex*$F24+In_Admin)*EI110*EI15*EI$6</f>
        <v>-1153.73798344218</v>
      </c>
      <c r="EJ115" s="33" t="n">
        <f aca="false">-(In_Fixed_Opex*$F24+In_Admin)*EJ110*EJ15*EJ$6</f>
        <v>-1156.87314100589</v>
      </c>
      <c r="EK115" s="33" t="n">
        <f aca="false">-(In_Fixed_Opex*$F24+In_Admin)*EK110*EK15*EK$6</f>
        <v>-1169.72728701706</v>
      </c>
      <c r="EL115" s="33" t="n">
        <f aca="false">-(In_Fixed_Opex*$F24+In_Admin)*EL110*EL15*EL$6</f>
        <v>-1182.58143302824</v>
      </c>
      <c r="EM115" s="33" t="n">
        <f aca="false">-(In_Fixed_Opex*$F24+In_Admin)*EM110*EM15*EM$6</f>
        <v>-1182.58143302824</v>
      </c>
      <c r="EN115" s="33" t="n">
        <f aca="false">-(In_Fixed_Opex*$F24+In_Admin)*EN110*EN15*EN$6</f>
        <v>-1198.97046919249</v>
      </c>
      <c r="EO115" s="33" t="n">
        <f aca="false">-(In_Fixed_Opex*$F24+In_Admin)*EO110*EO15*EO$6</f>
        <v>-1198.97046919249</v>
      </c>
      <c r="EP115" s="33" t="n">
        <f aca="false">-(In_Fixed_Opex*$F24+In_Admin)*EP110*EP15*EP$6</f>
        <v>-1212.14596885395</v>
      </c>
      <c r="EQ115" s="33" t="n">
        <f aca="false">-(In_Fixed_Opex*$F24+In_Admin)*EQ110*EQ15*EQ$6</f>
        <v>-1212.14596885395</v>
      </c>
      <c r="ER115" s="33" t="n">
        <f aca="false">-(In_Fixed_Opex*$F24+In_Admin)*ER110*ER15*ER$6</f>
        <v>-1215.43984376931</v>
      </c>
      <c r="ES115" s="33" t="n">
        <f aca="false">-(In_Fixed_Opex*$F24+In_Admin)*ES110*ES15*ES$6</f>
        <v>-1228.9447309223</v>
      </c>
      <c r="ET115" s="33" t="n">
        <f aca="false">-(In_Fixed_Opex*$F24+In_Admin)*ET110*ET15*ET$6</f>
        <v>-1242.44961807529</v>
      </c>
    </row>
    <row r="116" customFormat="false" ht="15" hidden="false" customHeight="false" outlineLevel="0" collapsed="false">
      <c r="C116" s="0" t="s">
        <v>569</v>
      </c>
      <c r="D116" s="11" t="s">
        <v>253</v>
      </c>
      <c r="I116" s="33" t="n">
        <f aca="false">SUM(J116:ET116)</f>
        <v>-14015.8951421437</v>
      </c>
      <c r="J116" s="33" t="n">
        <f aca="false">-In_Lease*$F24*J110*J16*J$6</f>
        <v>-0</v>
      </c>
      <c r="K116" s="33" t="n">
        <f aca="false">-In_Lease*$F24*K110*K16*K$6</f>
        <v>-0</v>
      </c>
      <c r="L116" s="33" t="n">
        <f aca="false">-In_Lease*$F24*L110*L16*L$6</f>
        <v>-0</v>
      </c>
      <c r="M116" s="33" t="n">
        <f aca="false">-In_Lease*$F24*M110*M16*M$6</f>
        <v>-0</v>
      </c>
      <c r="N116" s="33" t="n">
        <f aca="false">-In_Lease*$F24*N110*N16*N$6</f>
        <v>-0</v>
      </c>
      <c r="O116" s="33" t="n">
        <f aca="false">-In_Lease*$F24*O110*O16*O$6</f>
        <v>-0</v>
      </c>
      <c r="P116" s="33" t="n">
        <f aca="false">-In_Lease*$F24*P110*P16*P$6</f>
        <v>-0</v>
      </c>
      <c r="Q116" s="33" t="n">
        <f aca="false">-In_Lease*$F24*Q110*Q16*Q$6</f>
        <v>-0</v>
      </c>
      <c r="R116" s="33" t="n">
        <f aca="false">-In_Lease*$F24*R110*R16*R$6</f>
        <v>-0</v>
      </c>
      <c r="S116" s="33" t="n">
        <f aca="false">-In_Lease*$F24*S110*S16*S$6</f>
        <v>-0</v>
      </c>
      <c r="T116" s="33" t="n">
        <f aca="false">-In_Lease*$F24*T110*T16*T$6</f>
        <v>-0</v>
      </c>
      <c r="U116" s="33" t="n">
        <f aca="false">-In_Lease*$F24*U110*U16*U$6</f>
        <v>-0</v>
      </c>
      <c r="V116" s="33" t="n">
        <f aca="false">-In_Lease*$F24*V110*V16*V$6</f>
        <v>-0</v>
      </c>
      <c r="W116" s="33" t="n">
        <f aca="false">-In_Lease*$F24*W110*W16*W$6</f>
        <v>-71.9728146162183</v>
      </c>
      <c r="X116" s="33" t="n">
        <f aca="false">-In_Lease*$F24*X110*X16*X$6</f>
        <v>-72.1683929168059</v>
      </c>
      <c r="Y116" s="33" t="n">
        <f aca="false">-In_Lease*$F24*Y110*Y16*Y$6</f>
        <v>-72.9702639492148</v>
      </c>
      <c r="Z116" s="33" t="n">
        <f aca="false">-In_Lease*$F24*Z110*Z16*Z$6</f>
        <v>-73.7721349816238</v>
      </c>
      <c r="AA116" s="33" t="n">
        <f aca="false">-In_Lease*$F24*AA110*AA16*AA$6</f>
        <v>-73.7721349816238</v>
      </c>
      <c r="AB116" s="33" t="n">
        <f aca="false">-In_Lease*$F24*AB110*AB16*AB$6</f>
        <v>-73.972602739726</v>
      </c>
      <c r="AC116" s="33" t="n">
        <f aca="false">-In_Lease*$F24*AC110*AC16*AC$6</f>
        <v>-74.7945205479452</v>
      </c>
      <c r="AD116" s="33" t="n">
        <f aca="false">-In_Lease*$F24*AD110*AD16*AD$6</f>
        <v>-75.6164383561644</v>
      </c>
      <c r="AE116" s="33" t="n">
        <f aca="false">-In_Lease*$F24*AE110*AE16*AE$6</f>
        <v>-75.6164383561644</v>
      </c>
      <c r="AF116" s="33" t="n">
        <f aca="false">-In_Lease*$F24*AF110*AF16*AF$6</f>
        <v>-76.6643835616438</v>
      </c>
      <c r="AG116" s="33" t="n">
        <f aca="false">-In_Lease*$F24*AG110*AG16*AG$6</f>
        <v>-76.6643835616438</v>
      </c>
      <c r="AH116" s="33" t="n">
        <f aca="false">-In_Lease*$F24*AH110*AH16*AH$6</f>
        <v>-77.5068493150685</v>
      </c>
      <c r="AI116" s="33" t="n">
        <f aca="false">-In_Lease*$F24*AI110*AI16*AI$6</f>
        <v>-77.5068493150685</v>
      </c>
      <c r="AJ116" s="33" t="n">
        <f aca="false">-In_Lease*$F24*AJ110*AJ16*AJ$6</f>
        <v>-77.7174657534247</v>
      </c>
      <c r="AK116" s="33" t="n">
        <f aca="false">-In_Lease*$F24*AK110*AK16*AK$6</f>
        <v>-78.5809931506849</v>
      </c>
      <c r="AL116" s="33" t="n">
        <f aca="false">-In_Lease*$F24*AL110*AL16*AL$6</f>
        <v>-79.4445205479452</v>
      </c>
      <c r="AM116" s="33" t="n">
        <f aca="false">-In_Lease*$F24*AM110*AM16*AM$6</f>
        <v>-79.4445205479452</v>
      </c>
      <c r="AN116" s="33" t="n">
        <f aca="false">-In_Lease*$F24*AN110*AN16*AN$6</f>
        <v>-79.6604023972602</v>
      </c>
      <c r="AO116" s="33" t="n">
        <f aca="false">-In_Lease*$F24*AO110*AO16*AO$6</f>
        <v>-80.545517979452</v>
      </c>
      <c r="AP116" s="33" t="n">
        <f aca="false">-In_Lease*$F24*AP110*AP16*AP$6</f>
        <v>-81.4306335616438</v>
      </c>
      <c r="AQ116" s="33" t="n">
        <f aca="false">-In_Lease*$F24*AQ110*AQ16*AQ$6</f>
        <v>-81.4306335616438</v>
      </c>
      <c r="AR116" s="33" t="n">
        <f aca="false">-In_Lease*$F24*AR110*AR16*AR$6</f>
        <v>-81.6519124571917</v>
      </c>
      <c r="AS116" s="33" t="n">
        <f aca="false">-In_Lease*$F24*AS110*AS16*AS$6</f>
        <v>-82.5591559289383</v>
      </c>
      <c r="AT116" s="33" t="n">
        <f aca="false">-In_Lease*$F24*AT110*AT16*AT$6</f>
        <v>-83.4663994006849</v>
      </c>
      <c r="AU116" s="33" t="n">
        <f aca="false">-In_Lease*$F24*AU110*AU16*AU$6</f>
        <v>-83.4663994006849</v>
      </c>
      <c r="AV116" s="33" t="n">
        <f aca="false">-In_Lease*$F24*AV110*AV16*AV$6</f>
        <v>-84.6231348271618</v>
      </c>
      <c r="AW116" s="33" t="n">
        <f aca="false">-In_Lease*$F24*AW110*AW16*AW$6</f>
        <v>-84.6231348271618</v>
      </c>
      <c r="AX116" s="33" t="n">
        <f aca="false">-In_Lease*$F24*AX110*AX16*AX$6</f>
        <v>-85.553059385702</v>
      </c>
      <c r="AY116" s="33" t="n">
        <f aca="false">-In_Lease*$F24*AY110*AY16*AY$6</f>
        <v>-85.553059385702</v>
      </c>
      <c r="AZ116" s="33" t="n">
        <f aca="false">-In_Lease*$F24*AZ110*AZ16*AZ$6</f>
        <v>-85.7855405253371</v>
      </c>
      <c r="BA116" s="33" t="n">
        <f aca="false">-In_Lease*$F24*BA110*BA16*BA$6</f>
        <v>-86.7387131978408</v>
      </c>
      <c r="BB116" s="33" t="n">
        <f aca="false">-In_Lease*$F24*BB110*BB16*BB$6</f>
        <v>-87.6918858703446</v>
      </c>
      <c r="BC116" s="33" t="n">
        <f aca="false">-In_Lease*$F24*BC110*BC16*BC$6</f>
        <v>-87.6918858703446</v>
      </c>
      <c r="BD116" s="33" t="n">
        <f aca="false">-In_Lease*$F24*BD110*BD16*BD$6</f>
        <v>-87.9301790384705</v>
      </c>
      <c r="BE116" s="33" t="n">
        <f aca="false">-In_Lease*$F24*BE110*BE16*BE$6</f>
        <v>-88.9071810277869</v>
      </c>
      <c r="BF116" s="33" t="n">
        <f aca="false">-In_Lease*$F24*BF110*BF16*BF$6</f>
        <v>-89.8841830171032</v>
      </c>
      <c r="BG116" s="33" t="n">
        <f aca="false">-In_Lease*$F24*BG110*BG16*BG$6</f>
        <v>-89.8841830171032</v>
      </c>
      <c r="BH116" s="33" t="n">
        <f aca="false">-In_Lease*$F24*BH110*BH16*BH$6</f>
        <v>-90.1284335144322</v>
      </c>
      <c r="BI116" s="33" t="n">
        <f aca="false">-In_Lease*$F24*BI110*BI16*BI$6</f>
        <v>-91.1298605534815</v>
      </c>
      <c r="BJ116" s="33" t="n">
        <f aca="false">-In_Lease*$F24*BJ110*BJ16*BJ$6</f>
        <v>-92.1312875925307</v>
      </c>
      <c r="BK116" s="33" t="n">
        <f aca="false">-In_Lease*$F24*BK110*BK16*BK$6</f>
        <v>-92.1312875925307</v>
      </c>
      <c r="BL116" s="33" t="n">
        <f aca="false">-In_Lease*$F24*BL110*BL16*BL$6</f>
        <v>-93.4081070673185</v>
      </c>
      <c r="BM116" s="33" t="n">
        <f aca="false">-In_Lease*$F24*BM110*BM16*BM$6</f>
        <v>-93.4081070673185</v>
      </c>
      <c r="BN116" s="33" t="n">
        <f aca="false">-In_Lease*$F24*BN110*BN16*BN$6</f>
        <v>-94.434569782344</v>
      </c>
      <c r="BO116" s="33" t="n">
        <f aca="false">-In_Lease*$F24*BO110*BO16*BO$6</f>
        <v>-94.434569782344</v>
      </c>
      <c r="BP116" s="33" t="n">
        <f aca="false">-In_Lease*$F24*BP110*BP16*BP$6</f>
        <v>-94.6911854611004</v>
      </c>
      <c r="BQ116" s="33" t="n">
        <f aca="false">-In_Lease*$F24*BQ110*BQ16*BQ$6</f>
        <v>-95.7433097440015</v>
      </c>
      <c r="BR116" s="33" t="n">
        <f aca="false">-In_Lease*$F24*BR110*BR16*BR$6</f>
        <v>-96.7954340269026</v>
      </c>
      <c r="BS116" s="33" t="n">
        <f aca="false">-In_Lease*$F24*BS110*BS16*BS$6</f>
        <v>-96.7954340269026</v>
      </c>
      <c r="BT116" s="33" t="n">
        <f aca="false">-In_Lease*$F24*BT110*BT16*BT$6</f>
        <v>-97.0584650976279</v>
      </c>
      <c r="BU116" s="33" t="n">
        <f aca="false">-In_Lease*$F24*BU110*BU16*BU$6</f>
        <v>-98.1368924876015</v>
      </c>
      <c r="BV116" s="33" t="n">
        <f aca="false">-In_Lease*$F24*BV110*BV16*BV$6</f>
        <v>-99.2153198775752</v>
      </c>
      <c r="BW116" s="33" t="n">
        <f aca="false">-In_Lease*$F24*BW110*BW16*BW$6</f>
        <v>-99.2153198775752</v>
      </c>
      <c r="BX116" s="33" t="n">
        <f aca="false">-In_Lease*$F24*BX110*BX16*BX$6</f>
        <v>-99.4849267250686</v>
      </c>
      <c r="BY116" s="33" t="n">
        <f aca="false">-In_Lease*$F24*BY110*BY16*BY$6</f>
        <v>-100.590314799792</v>
      </c>
      <c r="BZ116" s="33" t="n">
        <f aca="false">-In_Lease*$F24*BZ110*BZ16*BZ$6</f>
        <v>-101.695702874515</v>
      </c>
      <c r="CA116" s="33" t="n">
        <f aca="false">-In_Lease*$F24*CA110*CA16*CA$6</f>
        <v>-101.695702874515</v>
      </c>
      <c r="CB116" s="33" t="n">
        <f aca="false">-In_Lease*$F24*CB110*CB16*CB$6</f>
        <v>-103.105072669786</v>
      </c>
      <c r="CC116" s="33" t="n">
        <f aca="false">-In_Lease*$F24*CC110*CC16*CC$6</f>
        <v>-103.105072669786</v>
      </c>
      <c r="CD116" s="33" t="n">
        <f aca="false">-In_Lease*$F24*CD110*CD16*CD$6</f>
        <v>-104.238095446377</v>
      </c>
      <c r="CE116" s="33" t="n">
        <f aca="false">-In_Lease*$F24*CE110*CE16*CE$6</f>
        <v>-104.238095446377</v>
      </c>
      <c r="CF116" s="33" t="n">
        <f aca="false">-In_Lease*$F24*CF110*CF16*CF$6</f>
        <v>-104.521351140525</v>
      </c>
      <c r="CG116" s="33" t="n">
        <f aca="false">-In_Lease*$F24*CG110*CG16*CG$6</f>
        <v>-105.682699486531</v>
      </c>
      <c r="CH116" s="33" t="n">
        <f aca="false">-In_Lease*$F24*CH110*CH16*CH$6</f>
        <v>-106.844047832537</v>
      </c>
      <c r="CI116" s="33" t="n">
        <f aca="false">-In_Lease*$F24*CI110*CI16*CI$6</f>
        <v>-106.844047832537</v>
      </c>
      <c r="CJ116" s="33" t="n">
        <f aca="false">-In_Lease*$F24*CJ110*CJ16*CJ$6</f>
        <v>-107.134384919038</v>
      </c>
      <c r="CK116" s="33" t="n">
        <f aca="false">-In_Lease*$F24*CK110*CK16*CK$6</f>
        <v>-108.324766973694</v>
      </c>
      <c r="CL116" s="33" t="n">
        <f aca="false">-In_Lease*$F24*CL110*CL16*CL$6</f>
        <v>-109.51514902835</v>
      </c>
      <c r="CM116" s="33" t="n">
        <f aca="false">-In_Lease*$F24*CM110*CM16*CM$6</f>
        <v>-109.51514902835</v>
      </c>
      <c r="CN116" s="33" t="n">
        <f aca="false">-In_Lease*$F24*CN110*CN16*CN$6</f>
        <v>-109.812744542014</v>
      </c>
      <c r="CO116" s="33" t="n">
        <f aca="false">-In_Lease*$F24*CO110*CO16*CO$6</f>
        <v>-111.032886148037</v>
      </c>
      <c r="CP116" s="33" t="n">
        <f aca="false">-In_Lease*$F24*CP110*CP16*CP$6</f>
        <v>-112.253027754059</v>
      </c>
      <c r="CQ116" s="33" t="n">
        <f aca="false">-In_Lease*$F24*CQ110*CQ16*CQ$6</f>
        <v>-112.253027754059</v>
      </c>
      <c r="CR116" s="33" t="n">
        <f aca="false">-In_Lease*$F24*CR110*CR16*CR$6</f>
        <v>-113.808708301737</v>
      </c>
      <c r="CS116" s="33" t="n">
        <f aca="false">-In_Lease*$F24*CS110*CS16*CS$6</f>
        <v>-113.808708301737</v>
      </c>
      <c r="CT116" s="33" t="n">
        <f aca="false">-In_Lease*$F24*CT110*CT16*CT$6</f>
        <v>-115.05935344791</v>
      </c>
      <c r="CU116" s="33" t="n">
        <f aca="false">-In_Lease*$F24*CU110*CU16*CU$6</f>
        <v>-115.05935344791</v>
      </c>
      <c r="CV116" s="33" t="n">
        <f aca="false">-In_Lease*$F24*CV110*CV16*CV$6</f>
        <v>-115.372014734454</v>
      </c>
      <c r="CW116" s="33" t="n">
        <f aca="false">-In_Lease*$F24*CW110*CW16*CW$6</f>
        <v>-116.653926009281</v>
      </c>
      <c r="CX116" s="33" t="n">
        <f aca="false">-In_Lease*$F24*CX110*CX16*CX$6</f>
        <v>-117.935837284108</v>
      </c>
      <c r="CY116" s="33" t="n">
        <f aca="false">-In_Lease*$F24*CY110*CY16*CY$6</f>
        <v>-117.935837284108</v>
      </c>
      <c r="CZ116" s="33" t="n">
        <f aca="false">-In_Lease*$F24*CZ110*CZ16*CZ$6</f>
        <v>-118.256315102815</v>
      </c>
      <c r="DA116" s="33" t="n">
        <f aca="false">-In_Lease*$F24*DA110*DA16*DA$6</f>
        <v>-119.570274159513</v>
      </c>
      <c r="DB116" s="33" t="n">
        <f aca="false">-In_Lease*$F24*DB110*DB16*DB$6</f>
        <v>-120.884233216211</v>
      </c>
      <c r="DC116" s="33" t="n">
        <f aca="false">-In_Lease*$F24*DC110*DC16*DC$6</f>
        <v>-120.884233216211</v>
      </c>
      <c r="DD116" s="33" t="n">
        <f aca="false">-In_Lease*$F24*DD110*DD16*DD$6</f>
        <v>-121.212722980385</v>
      </c>
      <c r="DE116" s="33" t="n">
        <f aca="false">-In_Lease*$F24*DE110*DE16*DE$6</f>
        <v>-122.559531013501</v>
      </c>
      <c r="DF116" s="33" t="n">
        <f aca="false">-In_Lease*$F24*DF110*DF16*DF$6</f>
        <v>-123.906339046616</v>
      </c>
      <c r="DG116" s="33" t="n">
        <f aca="false">-In_Lease*$F24*DG110*DG16*DG$6</f>
        <v>-123.906339046616</v>
      </c>
      <c r="DH116" s="33" t="n">
        <f aca="false">-In_Lease*$F24*DH110*DH16*DH$6</f>
        <v>-125.623519288838</v>
      </c>
      <c r="DI116" s="33" t="n">
        <f aca="false">-In_Lease*$F24*DI110*DI16*DI$6</f>
        <v>-125.623519288838</v>
      </c>
      <c r="DJ116" s="33" t="n">
        <f aca="false">-In_Lease*$F24*DJ110*DJ16*DJ$6</f>
        <v>-127.003997522782</v>
      </c>
      <c r="DK116" s="33" t="n">
        <f aca="false">-In_Lease*$F24*DK110*DK16*DK$6</f>
        <v>-127.003997522782</v>
      </c>
      <c r="DL116" s="33" t="n">
        <f aca="false">-In_Lease*$F24*DL110*DL16*DL$6</f>
        <v>-127.349117081267</v>
      </c>
      <c r="DM116" s="33" t="n">
        <f aca="false">-In_Lease*$F24*DM110*DM16*DM$6</f>
        <v>-128.764107271059</v>
      </c>
      <c r="DN116" s="33" t="n">
        <f aca="false">-In_Lease*$F24*DN110*DN16*DN$6</f>
        <v>-130.179097460851</v>
      </c>
      <c r="DO116" s="33" t="n">
        <f aca="false">-In_Lease*$F24*DO110*DO16*DO$6</f>
        <v>-130.179097460851</v>
      </c>
      <c r="DP116" s="33" t="n">
        <f aca="false">-In_Lease*$F24*DP110*DP16*DP$6</f>
        <v>-130.532845008299</v>
      </c>
      <c r="DQ116" s="33" t="n">
        <f aca="false">-In_Lease*$F24*DQ110*DQ16*DQ$6</f>
        <v>-131.983209952836</v>
      </c>
      <c r="DR116" s="33" t="n">
        <f aca="false">-In_Lease*$F24*DR110*DR16*DR$6</f>
        <v>-133.433574897372</v>
      </c>
      <c r="DS116" s="33" t="n">
        <f aca="false">-In_Lease*$F24*DS110*DS16*DS$6</f>
        <v>-133.433574897372</v>
      </c>
      <c r="DT116" s="33" t="n">
        <f aca="false">-In_Lease*$F24*DT110*DT16*DT$6</f>
        <v>-133.796166133506</v>
      </c>
      <c r="DU116" s="33" t="n">
        <f aca="false">-In_Lease*$F24*DU110*DU16*DU$6</f>
        <v>-135.282790201657</v>
      </c>
      <c r="DV116" s="33" t="n">
        <f aca="false">-In_Lease*$F24*DV110*DV16*DV$6</f>
        <v>-136.769414269807</v>
      </c>
      <c r="DW116" s="33" t="n">
        <f aca="false">-In_Lease*$F24*DW110*DW16*DW$6</f>
        <v>-136.769414269807</v>
      </c>
      <c r="DX116" s="33" t="n">
        <f aca="false">-In_Lease*$F24*DX110*DX16*DX$6</f>
        <v>-138.664859956698</v>
      </c>
      <c r="DY116" s="33" t="n">
        <f aca="false">-In_Lease*$F24*DY110*DY16*DY$6</f>
        <v>-138.664859956698</v>
      </c>
      <c r="DZ116" s="33" t="n">
        <f aca="false">-In_Lease*$F24*DZ110*DZ16*DZ$6</f>
        <v>-140.188649626552</v>
      </c>
      <c r="EA116" s="33" t="n">
        <f aca="false">-In_Lease*$F24*EA110*EA16*EA$6</f>
        <v>-140.188649626552</v>
      </c>
      <c r="EB116" s="33" t="n">
        <f aca="false">-In_Lease*$F24*EB110*EB16*EB$6</f>
        <v>-140.569597044015</v>
      </c>
      <c r="EC116" s="33" t="n">
        <f aca="false">-In_Lease*$F24*EC110*EC16*EC$6</f>
        <v>-142.131481455615</v>
      </c>
      <c r="ED116" s="33" t="n">
        <f aca="false">-In_Lease*$F24*ED110*ED16*ED$6</f>
        <v>-143.693365867216</v>
      </c>
      <c r="EE116" s="33" t="n">
        <f aca="false">-In_Lease*$F24*EE110*EE16*EE$6</f>
        <v>-143.693365867216</v>
      </c>
      <c r="EF116" s="33" t="n">
        <f aca="false">-In_Lease*$F24*EF110*EF16*EF$6</f>
        <v>-144.083836970116</v>
      </c>
      <c r="EG116" s="33" t="n">
        <f aca="false">-In_Lease*$F24*EG110*EG16*EG$6</f>
        <v>-145.684768492006</v>
      </c>
      <c r="EH116" s="33" t="n">
        <f aca="false">-In_Lease*$F24*EH110*EH16*EH$6</f>
        <v>-147.285700013896</v>
      </c>
      <c r="EI116" s="33" t="n">
        <f aca="false">-In_Lease*$F24*EI110*EI16*EI$6</f>
        <v>-147.285700013896</v>
      </c>
      <c r="EJ116" s="33" t="n">
        <f aca="false">-In_Lease*$F24*EJ110*EJ16*EJ$6</f>
        <v>-147.685932894368</v>
      </c>
      <c r="EK116" s="33" t="n">
        <f aca="false">-In_Lease*$F24*EK110*EK16*EK$6</f>
        <v>-149.326887704306</v>
      </c>
      <c r="EL116" s="33" t="n">
        <f aca="false">-In_Lease*$F24*EL110*EL16*EL$6</f>
        <v>-150.967842514243</v>
      </c>
      <c r="EM116" s="33" t="n">
        <f aca="false">-In_Lease*$F24*EM110*EM16*EM$6</f>
        <v>-150.967842514243</v>
      </c>
      <c r="EN116" s="33" t="n">
        <f aca="false">-In_Lease*$F24*EN110*EN16*EN$6</f>
        <v>-153.060059896914</v>
      </c>
      <c r="EO116" s="33" t="n">
        <f aca="false">-In_Lease*$F24*EO110*EO16*EO$6</f>
        <v>-153.060059896914</v>
      </c>
      <c r="EP116" s="33" t="n">
        <f aca="false">-In_Lease*$F24*EP110*EP16*EP$6</f>
        <v>-154.742038577099</v>
      </c>
      <c r="EQ116" s="33" t="n">
        <f aca="false">-In_Lease*$F24*EQ110*EQ16*EQ$6</f>
        <v>-154.742038577099</v>
      </c>
      <c r="ER116" s="33" t="n">
        <f aca="false">-In_Lease*$F24*ER110*ER16*ER$6</f>
        <v>-155.162533247146</v>
      </c>
      <c r="ES116" s="33" t="n">
        <f aca="false">-In_Lease*$F24*ES110*ES16*ES$6</f>
        <v>-156.886561394336</v>
      </c>
      <c r="ET116" s="33" t="n">
        <f aca="false">-In_Lease*$F24*ET110*ET16*ET$6</f>
        <v>-158.610589541527</v>
      </c>
    </row>
    <row r="117" customFormat="false" ht="15" hidden="false" customHeight="false" outlineLevel="0" collapsed="false">
      <c r="C117" s="0" t="s">
        <v>570</v>
      </c>
      <c r="D117" s="11" t="s">
        <v>253</v>
      </c>
      <c r="I117" s="33" t="n">
        <f aca="false">SUM(J117:ET117)</f>
        <v>-15269.388528234</v>
      </c>
      <c r="J117" s="33" t="n">
        <f aca="false">-J113*(In_MEKH+In_HIPA)</f>
        <v>-0</v>
      </c>
      <c r="K117" s="33" t="n">
        <f aca="false">-K113*(In_MEKH+In_HIPA)</f>
        <v>-0</v>
      </c>
      <c r="L117" s="33" t="n">
        <f aca="false">-L113*(In_MEKH+In_HIPA)</f>
        <v>-0</v>
      </c>
      <c r="M117" s="33" t="n">
        <f aca="false">-M113*(In_MEKH+In_HIPA)</f>
        <v>-0</v>
      </c>
      <c r="N117" s="33" t="n">
        <f aca="false">-N113*(In_MEKH+In_HIPA)</f>
        <v>-0</v>
      </c>
      <c r="O117" s="33" t="n">
        <f aca="false">-O113*(In_MEKH+In_HIPA)</f>
        <v>-0</v>
      </c>
      <c r="P117" s="33" t="n">
        <f aca="false">-P113*(In_MEKH+In_HIPA)</f>
        <v>-0</v>
      </c>
      <c r="Q117" s="33" t="n">
        <f aca="false">-Q113*(In_MEKH+In_HIPA)</f>
        <v>-0</v>
      </c>
      <c r="R117" s="33" t="n">
        <f aca="false">-R113*(In_MEKH+In_HIPA)</f>
        <v>-0</v>
      </c>
      <c r="S117" s="33" t="n">
        <f aca="false">-S113*(In_MEKH+In_HIPA)</f>
        <v>-0</v>
      </c>
      <c r="T117" s="33" t="n">
        <f aca="false">-T113*(In_MEKH+In_HIPA)</f>
        <v>-0</v>
      </c>
      <c r="U117" s="33" t="n">
        <f aca="false">-U113*(In_MEKH+In_HIPA)</f>
        <v>-0</v>
      </c>
      <c r="V117" s="33" t="n">
        <f aca="false">-V113*(In_MEKH+In_HIPA)</f>
        <v>-0</v>
      </c>
      <c r="W117" s="33" t="n">
        <f aca="false">-W113*(In_MEKH+In_HIPA)</f>
        <v>-0</v>
      </c>
      <c r="X117" s="33" t="n">
        <f aca="false">-X113*(In_MEKH+In_HIPA)</f>
        <v>-0</v>
      </c>
      <c r="Y117" s="33" t="n">
        <f aca="false">-Y113*(In_MEKH+In_HIPA)</f>
        <v>-0</v>
      </c>
      <c r="Z117" s="33" t="n">
        <f aca="false">-Z113*(In_MEKH+In_HIPA)</f>
        <v>-0</v>
      </c>
      <c r="AA117" s="33" t="n">
        <f aca="false">-AA113*(In_MEKH+In_HIPA)</f>
        <v>-0</v>
      </c>
      <c r="AB117" s="33" t="n">
        <f aca="false">-AB113*(In_MEKH+In_HIPA)</f>
        <v>-0</v>
      </c>
      <c r="AC117" s="33" t="n">
        <f aca="false">-AC113*(In_MEKH+In_HIPA)</f>
        <v>-0</v>
      </c>
      <c r="AD117" s="33" t="n">
        <f aca="false">-AD113*(In_MEKH+In_HIPA)</f>
        <v>-0</v>
      </c>
      <c r="AE117" s="33" t="n">
        <f aca="false">-AE113*(In_MEKH+In_HIPA)</f>
        <v>-114.846549041096</v>
      </c>
      <c r="AF117" s="33" t="n">
        <f aca="false">-AF113*(In_MEKH+In_HIPA)</f>
        <v>-114.734199156164</v>
      </c>
      <c r="AG117" s="33" t="n">
        <f aca="false">-AG113*(In_MEKH+In_HIPA)</f>
        <v>-114.734199156164</v>
      </c>
      <c r="AH117" s="33" t="n">
        <f aca="false">-AH113*(In_MEKH+In_HIPA)</f>
        <v>-115.995014531507</v>
      </c>
      <c r="AI117" s="33" t="n">
        <f aca="false">-AI113*(In_MEKH+In_HIPA)</f>
        <v>-115.647029487912</v>
      </c>
      <c r="AJ117" s="33" t="n">
        <f aca="false">-AJ113*(In_MEKH+In_HIPA)</f>
        <v>-114.264293265774</v>
      </c>
      <c r="AK117" s="33" t="n">
        <f aca="false">-AK113*(In_MEKH+In_HIPA)</f>
        <v>-115.533896524283</v>
      </c>
      <c r="AL117" s="33" t="n">
        <f aca="false">-AL113*(In_MEKH+In_HIPA)</f>
        <v>-116.803499782791</v>
      </c>
      <c r="AM117" s="33" t="n">
        <f aca="false">-AM113*(In_MEKH+In_HIPA)</f>
        <v>-116.453089283443</v>
      </c>
      <c r="AN117" s="33" t="n">
        <f aca="false">-AN113*(In_MEKH+In_HIPA)</f>
        <v>-115.060715389837</v>
      </c>
      <c r="AO117" s="33" t="n">
        <f aca="false">-AO113*(In_MEKH+In_HIPA)</f>
        <v>-116.339167783057</v>
      </c>
      <c r="AP117" s="33" t="n">
        <f aca="false">-AP113*(In_MEKH+In_HIPA)</f>
        <v>-117.617620176278</v>
      </c>
      <c r="AQ117" s="33" t="n">
        <f aca="false">-AQ113*(In_MEKH+In_HIPA)</f>
        <v>-117.264767315749</v>
      </c>
      <c r="AR117" s="33" t="n">
        <f aca="false">-AR113*(In_MEKH+In_HIPA)</f>
        <v>-115.862688576104</v>
      </c>
      <c r="AS117" s="33" t="n">
        <f aca="false">-AS113*(In_MEKH+In_HIPA)</f>
        <v>-117.150051782505</v>
      </c>
      <c r="AT117" s="33" t="n">
        <f aca="false">-AT113*(In_MEKH+In_HIPA)</f>
        <v>-118.437414988906</v>
      </c>
      <c r="AU117" s="33" t="n">
        <f aca="false">-AU113*(In_MEKH+In_HIPA)</f>
        <v>-118.082102743939</v>
      </c>
      <c r="AV117" s="33" t="n">
        <f aca="false">-AV113*(In_MEKH+In_HIPA)</f>
        <v>-117.966587643429</v>
      </c>
      <c r="AW117" s="33" t="n">
        <f aca="false">-AW113*(In_MEKH+In_HIPA)</f>
        <v>-117.966587643429</v>
      </c>
      <c r="AX117" s="33" t="n">
        <f aca="false">-AX113*(In_MEKH+In_HIPA)</f>
        <v>-119.262923771379</v>
      </c>
      <c r="AY117" s="33" t="n">
        <f aca="false">-AY113*(In_MEKH+In_HIPA)</f>
        <v>-118.905135000065</v>
      </c>
      <c r="AZ117" s="33" t="n">
        <f aca="false">-AZ113*(In_MEKH+In_HIPA)</f>
        <v>-117.483443168542</v>
      </c>
      <c r="BA117" s="33" t="n">
        <f aca="false">-BA113*(In_MEKH+In_HIPA)</f>
        <v>-118.788814759304</v>
      </c>
      <c r="BB117" s="33" t="n">
        <f aca="false">-BB113*(In_MEKH+In_HIPA)</f>
        <v>-120.094186350065</v>
      </c>
      <c r="BC117" s="33" t="n">
        <f aca="false">-BC113*(In_MEKH+In_HIPA)</f>
        <v>-119.733903791015</v>
      </c>
      <c r="BD117" s="33" t="n">
        <f aca="false">-BD113*(In_MEKH+In_HIPA)</f>
        <v>-118.302302767427</v>
      </c>
      <c r="BE117" s="33" t="n">
        <f aca="false">-BE113*(In_MEKH+In_HIPA)</f>
        <v>-119.616772798176</v>
      </c>
      <c r="BF117" s="33" t="n">
        <f aca="false">-BF113*(In_MEKH+In_HIPA)</f>
        <v>-120.931242828925</v>
      </c>
      <c r="BG117" s="33" t="n">
        <f aca="false">-BG113*(In_MEKH+In_HIPA)</f>
        <v>-120.568449100439</v>
      </c>
      <c r="BH117" s="33" t="n">
        <f aca="false">-BH113*(In_MEKH+In_HIPA)</f>
        <v>-119.126869817716</v>
      </c>
      <c r="BI117" s="33" t="n">
        <f aca="false">-BI113*(In_MEKH+In_HIPA)</f>
        <v>-120.450501704579</v>
      </c>
      <c r="BJ117" s="33" t="n">
        <f aca="false">-BJ113*(In_MEKH+In_HIPA)</f>
        <v>-121.774133591443</v>
      </c>
      <c r="BK117" s="33" t="n">
        <f aca="false">-BK113*(In_MEKH+In_HIPA)</f>
        <v>-121.408811190669</v>
      </c>
      <c r="BL117" s="33" t="n">
        <f aca="false">-BL113*(In_MEKH+In_HIPA)</f>
        <v>-121.29004170146</v>
      </c>
      <c r="BM117" s="33" t="n">
        <f aca="false">-BM113*(In_MEKH+In_HIPA)</f>
        <v>-121.29004170146</v>
      </c>
      <c r="BN117" s="33" t="n">
        <f aca="false">-BN113*(In_MEKH+In_HIPA)</f>
        <v>-122.622899302575</v>
      </c>
      <c r="BO117" s="33" t="n">
        <f aca="false">-BO113*(In_MEKH+In_HIPA)</f>
        <v>-122.255030604668</v>
      </c>
      <c r="BP117" s="33" t="n">
        <f aca="false">-BP113*(In_MEKH+In_HIPA)</f>
        <v>-120.793285673525</v>
      </c>
      <c r="BQ117" s="33" t="n">
        <f aca="false">-BQ113*(In_MEKH+In_HIPA)</f>
        <v>-122.13543329212</v>
      </c>
      <c r="BR117" s="33" t="n">
        <f aca="false">-BR113*(In_MEKH+In_HIPA)</f>
        <v>-123.477580910714</v>
      </c>
      <c r="BS117" s="33" t="n">
        <f aca="false">-BS113*(In_MEKH+In_HIPA)</f>
        <v>-123.107148167982</v>
      </c>
      <c r="BT117" s="33" t="n">
        <f aca="false">-BT113*(In_MEKH+In_HIPA)</f>
        <v>-121.635214874669</v>
      </c>
      <c r="BU117" s="33" t="n">
        <f aca="false">-BU113*(In_MEKH+In_HIPA)</f>
        <v>-122.986717262166</v>
      </c>
      <c r="BV117" s="33" t="n">
        <f aca="false">-BV113*(In_MEKH+In_HIPA)</f>
        <v>-124.338219649662</v>
      </c>
      <c r="BW117" s="33" t="n">
        <f aca="false">-BW113*(In_MEKH+In_HIPA)</f>
        <v>-123.965204990713</v>
      </c>
      <c r="BX117" s="33" t="n">
        <f aca="false">-BX113*(In_MEKH+In_HIPA)</f>
        <v>-122.483012322346</v>
      </c>
      <c r="BY117" s="33" t="n">
        <f aca="false">-BY113*(In_MEKH+In_HIPA)</f>
        <v>-123.843934681483</v>
      </c>
      <c r="BZ117" s="33" t="n">
        <f aca="false">-BZ113*(In_MEKH+In_HIPA)</f>
        <v>-125.20485704062</v>
      </c>
      <c r="CA117" s="33" t="n">
        <f aca="false">-CA113*(In_MEKH+In_HIPA)</f>
        <v>-124.829242469498</v>
      </c>
      <c r="CB117" s="33" t="n">
        <f aca="false">-CB113*(In_MEKH+In_HIPA)</f>
        <v>-124.707126906213</v>
      </c>
      <c r="CC117" s="33" t="n">
        <f aca="false">-CC113*(In_MEKH+In_HIPA)</f>
        <v>-124.707126906213</v>
      </c>
      <c r="CD117" s="33" t="n">
        <f aca="false">-CD113*(In_MEKH+In_HIPA)</f>
        <v>-126.077534894193</v>
      </c>
      <c r="CE117" s="33" t="n">
        <f aca="false">-CE113*(In_MEKH+In_HIPA)</f>
        <v>-125.699302289511</v>
      </c>
      <c r="CF117" s="33" t="n">
        <f aca="false">-CF113*(In_MEKH+In_HIPA)</f>
        <v>-124.196375849093</v>
      </c>
      <c r="CG117" s="33" t="n">
        <f aca="false">-CG113*(In_MEKH+In_HIPA)</f>
        <v>-125.576335580749</v>
      </c>
      <c r="CH117" s="33" t="n">
        <f aca="false">-CH113*(In_MEKH+In_HIPA)</f>
        <v>-126.956295312406</v>
      </c>
      <c r="CI117" s="33" t="n">
        <f aca="false">-CI113*(In_MEKH+In_HIPA)</f>
        <v>-126.575426426469</v>
      </c>
      <c r="CJ117" s="33" t="n">
        <f aca="false">-CJ113*(In_MEKH+In_HIPA)</f>
        <v>-125.062024588761</v>
      </c>
      <c r="CK117" s="33" t="n">
        <f aca="false">-CK113*(In_MEKH+In_HIPA)</f>
        <v>-126.451602639747</v>
      </c>
      <c r="CL117" s="33" t="n">
        <f aca="false">-CL113*(In_MEKH+In_HIPA)</f>
        <v>-127.841180690733</v>
      </c>
      <c r="CM117" s="33" t="n">
        <f aca="false">-CM113*(In_MEKH+In_HIPA)</f>
        <v>-127.457657148661</v>
      </c>
      <c r="CN117" s="33" t="n">
        <f aca="false">-CN113*(In_MEKH+In_HIPA)</f>
        <v>-125.933706900144</v>
      </c>
      <c r="CO117" s="33" t="n">
        <f aca="false">-CO113*(In_MEKH+In_HIPA)</f>
        <v>-127.332970310146</v>
      </c>
      <c r="CP117" s="33" t="n">
        <f aca="false">-CP113*(In_MEKH+In_HIPA)</f>
        <v>-128.732233720148</v>
      </c>
      <c r="CQ117" s="33" t="n">
        <f aca="false">-CQ113*(In_MEKH+In_HIPA)</f>
        <v>-128.346037018987</v>
      </c>
      <c r="CR117" s="33" t="n">
        <f aca="false">-CR113*(In_MEKH+In_HIPA)</f>
        <v>-128.220481113208</v>
      </c>
      <c r="CS117" s="33" t="n">
        <f aca="false">-CS113*(In_MEKH+In_HIPA)</f>
        <v>-128.220481113208</v>
      </c>
      <c r="CT117" s="33" t="n">
        <f aca="false">-CT113*(In_MEKH+In_HIPA)</f>
        <v>-129.629497389177</v>
      </c>
      <c r="CU117" s="33" t="n">
        <f aca="false">-CU113*(In_MEKH+In_HIPA)</f>
        <v>-129.240608897009</v>
      </c>
      <c r="CV117" s="33" t="n">
        <f aca="false">-CV113*(In_MEKH+In_HIPA)</f>
        <v>-127.695340747154</v>
      </c>
      <c r="CW117" s="33" t="n">
        <f aca="false">-CW113*(In_MEKH+In_HIPA)</f>
        <v>-129.114177866567</v>
      </c>
      <c r="CX117" s="33" t="n">
        <f aca="false">-CX113*(In_MEKH+In_HIPA)</f>
        <v>-130.53301498598</v>
      </c>
      <c r="CY117" s="33" t="n">
        <f aca="false">-CY113*(In_MEKH+In_HIPA)</f>
        <v>-130.141415941022</v>
      </c>
      <c r="CZ117" s="33" t="n">
        <f aca="false">-CZ113*(In_MEKH+In_HIPA)</f>
        <v>-128.585377272162</v>
      </c>
      <c r="DA117" s="33" t="n">
        <f aca="false">-DA113*(In_MEKH+In_HIPA)</f>
        <v>-130.014103686297</v>
      </c>
      <c r="DB117" s="33" t="n">
        <f aca="false">-DB113*(In_MEKH+In_HIPA)</f>
        <v>-131.442830100432</v>
      </c>
      <c r="DC117" s="33" t="n">
        <f aca="false">-DC113*(In_MEKH+In_HIPA)</f>
        <v>-131.048501610131</v>
      </c>
      <c r="DD117" s="33" t="n">
        <f aca="false">-DD113*(In_MEKH+In_HIPA)</f>
        <v>-129.481617351749</v>
      </c>
      <c r="DE117" s="33" t="n">
        <f aca="false">-DE113*(In_MEKH+In_HIPA)</f>
        <v>-130.92030198899</v>
      </c>
      <c r="DF117" s="33" t="n">
        <f aca="false">-DF113*(In_MEKH+In_HIPA)</f>
        <v>-132.358986626232</v>
      </c>
      <c r="DG117" s="33" t="n">
        <f aca="false">-DG113*(In_MEKH+In_HIPA)</f>
        <v>-131.961909666353</v>
      </c>
      <c r="DH117" s="33" t="n">
        <f aca="false">-DH113*(In_MEKH+In_HIPA)</f>
        <v>-131.832816493854</v>
      </c>
      <c r="DI117" s="33" t="n">
        <f aca="false">-DI113*(In_MEKH+In_HIPA)</f>
        <v>-131.832816493854</v>
      </c>
      <c r="DJ117" s="33" t="n">
        <f aca="false">-DJ113*(In_MEKH+In_HIPA)</f>
        <v>-133.281528763017</v>
      </c>
      <c r="DK117" s="33" t="n">
        <f aca="false">-DK113*(In_MEKH+In_HIPA)</f>
        <v>-132.881684176728</v>
      </c>
      <c r="DL117" s="33" t="n">
        <f aca="false">-DL113*(In_MEKH+In_HIPA)</f>
        <v>-131.292881431136</v>
      </c>
      <c r="DM117" s="33" t="n">
        <f aca="false">-DM113*(In_MEKH+In_HIPA)</f>
        <v>-132.751691224816</v>
      </c>
      <c r="DN117" s="33" t="n">
        <f aca="false">-DN113*(In_MEKH+In_HIPA)</f>
        <v>-134.210501018495</v>
      </c>
      <c r="DO117" s="33" t="n">
        <f aca="false">-DO113*(In_MEKH+In_HIPA)</f>
        <v>-133.807869515439</v>
      </c>
      <c r="DP117" s="33" t="n">
        <f aca="false">-DP113*(In_MEKH+In_HIPA)</f>
        <v>-132.207992814711</v>
      </c>
      <c r="DQ117" s="33" t="n">
        <f aca="false">-DQ113*(In_MEKH+In_HIPA)</f>
        <v>-133.676970512653</v>
      </c>
      <c r="DR117" s="33" t="n">
        <f aca="false">-DR113*(In_MEKH+In_HIPA)</f>
        <v>-135.145948210594</v>
      </c>
      <c r="DS117" s="33" t="n">
        <f aca="false">-DS113*(In_MEKH+In_HIPA)</f>
        <v>-134.740510365962</v>
      </c>
      <c r="DT117" s="33" t="n">
        <f aca="false">-DT113*(In_MEKH+In_HIPA)</f>
        <v>-133.12948252463</v>
      </c>
      <c r="DU117" s="33" t="n">
        <f aca="false">-DU113*(In_MEKH+In_HIPA)</f>
        <v>-134.608698997126</v>
      </c>
      <c r="DV117" s="33" t="n">
        <f aca="false">-DV113*(In_MEKH+In_HIPA)</f>
        <v>-136.087915469622</v>
      </c>
      <c r="DW117" s="33" t="n">
        <f aca="false">-DW113*(In_MEKH+In_HIPA)</f>
        <v>-135.679651723213</v>
      </c>
      <c r="DX117" s="33" t="n">
        <f aca="false">-DX113*(In_MEKH+In_HIPA)</f>
        <v>-135.546921629136</v>
      </c>
      <c r="DY117" s="33" t="n">
        <f aca="false">-DY113*(In_MEKH+In_HIPA)</f>
        <v>-135.546921629136</v>
      </c>
      <c r="DZ117" s="33" t="n">
        <f aca="false">-DZ113*(In_MEKH+In_HIPA)</f>
        <v>-137.036448240445</v>
      </c>
      <c r="EA117" s="33" t="n">
        <f aca="false">-EA113*(In_MEKH+In_HIPA)</f>
        <v>-136.625338895724</v>
      </c>
      <c r="EB117" s="33" t="n">
        <f aca="false">-EB113*(In_MEKH+In_HIPA)</f>
        <v>-134.991775061101</v>
      </c>
      <c r="EC117" s="33" t="n">
        <f aca="false">-EC113*(In_MEKH+In_HIPA)</f>
        <v>-136.491683672891</v>
      </c>
      <c r="ED117" s="33" t="n">
        <f aca="false">-ED113*(In_MEKH+In_HIPA)</f>
        <v>-137.991592284681</v>
      </c>
      <c r="EE117" s="33" t="n">
        <f aca="false">-EE113*(In_MEKH+In_HIPA)</f>
        <v>-137.577617507827</v>
      </c>
      <c r="EF117" s="33" t="n">
        <f aca="false">-EF113*(In_MEKH+In_HIPA)</f>
        <v>-135.932667733277</v>
      </c>
      <c r="EG117" s="33" t="n">
        <f aca="false">-EG113*(In_MEKH+In_HIPA)</f>
        <v>-137.443030708091</v>
      </c>
      <c r="EH117" s="33" t="n">
        <f aca="false">-EH113*(In_MEKH+In_HIPA)</f>
        <v>-138.953393682905</v>
      </c>
      <c r="EI117" s="33" t="n">
        <f aca="false">-EI113*(In_MEKH+In_HIPA)</f>
        <v>-138.536533501856</v>
      </c>
      <c r="EJ117" s="33" t="n">
        <f aca="false">-EJ113*(In_MEKH+In_HIPA)</f>
        <v>-136.880118427378</v>
      </c>
      <c r="EK117" s="33" t="n">
        <f aca="false">-EK113*(In_MEKH+In_HIPA)</f>
        <v>-138.401008632126</v>
      </c>
      <c r="EL117" s="33" t="n">
        <f aca="false">-EL113*(In_MEKH+In_HIPA)</f>
        <v>-139.921898836875</v>
      </c>
      <c r="EM117" s="33" t="n">
        <f aca="false">-EM113*(In_MEKH+In_HIPA)</f>
        <v>-139.502133140364</v>
      </c>
      <c r="EN117" s="33" t="n">
        <f aca="false">-EN113*(In_MEKH+In_HIPA)</f>
        <v>-139.365663662292</v>
      </c>
      <c r="EO117" s="33" t="n">
        <f aca="false">-EO113*(In_MEKH+In_HIPA)</f>
        <v>-139.365663662292</v>
      </c>
      <c r="EP117" s="33" t="n">
        <f aca="false">-EP113*(In_MEKH+In_HIPA)</f>
        <v>-140.897154471768</v>
      </c>
      <c r="EQ117" s="33" t="n">
        <f aca="false">-EQ113*(In_MEKH+In_HIPA)</f>
        <v>-140.474463008353</v>
      </c>
      <c r="ER117" s="33" t="n">
        <f aca="false">-ER113*(In_MEKH+In_HIPA)</f>
        <v>-138.794877037601</v>
      </c>
      <c r="ES117" s="33" t="n">
        <f aca="false">-ES113*(In_MEKH+In_HIPA)</f>
        <v>-140.337042338018</v>
      </c>
      <c r="ET117" s="33" t="n">
        <f aca="false">-ET113*(In_MEKH+In_HIPA)</f>
        <v>-141.879207638436</v>
      </c>
    </row>
    <row r="118" customFormat="false" ht="15" hidden="false" customHeight="false" outlineLevel="0" collapsed="false">
      <c r="C118" s="0" t="s">
        <v>390</v>
      </c>
      <c r="D118" s="11" t="s">
        <v>253</v>
      </c>
      <c r="I118" s="33" t="n">
        <f aca="false">SUM(J118:ET118)</f>
        <v>-8565.12918101122</v>
      </c>
      <c r="J118" s="33" t="n">
        <f aca="false">In_Opex_Contingency*(J114+J115+J116-J113*In_MEKH)</f>
        <v>-0</v>
      </c>
      <c r="K118" s="33" t="n">
        <f aca="false">In_Opex_Contingency*(K114+K115+K116-K113*In_MEKH)</f>
        <v>-0</v>
      </c>
      <c r="L118" s="33" t="n">
        <f aca="false">In_Opex_Contingency*(L114+L115+L116-L113*In_MEKH)</f>
        <v>-0</v>
      </c>
      <c r="M118" s="33" t="n">
        <f aca="false">In_Opex_Contingency*(M114+M115+M116-M113*In_MEKH)</f>
        <v>-0</v>
      </c>
      <c r="N118" s="33" t="n">
        <f aca="false">In_Opex_Contingency*(N114+N115+N116-N113*In_MEKH)</f>
        <v>-0</v>
      </c>
      <c r="O118" s="33" t="n">
        <f aca="false">In_Opex_Contingency*(O114+O115+O116-O113*In_MEKH)</f>
        <v>-0</v>
      </c>
      <c r="P118" s="33" t="n">
        <f aca="false">In_Opex_Contingency*(P114+P115+P116-P113*In_MEKH)</f>
        <v>-0</v>
      </c>
      <c r="Q118" s="33" t="n">
        <f aca="false">In_Opex_Contingency*(Q114+Q115+Q116-Q113*In_MEKH)</f>
        <v>-0</v>
      </c>
      <c r="R118" s="33" t="n">
        <f aca="false">In_Opex_Contingency*(R114+R115+R116-R113*In_MEKH)</f>
        <v>-0</v>
      </c>
      <c r="S118" s="33" t="n">
        <f aca="false">In_Opex_Contingency*(S114+S115+S116-S113*In_MEKH)</f>
        <v>-0</v>
      </c>
      <c r="T118" s="33" t="n">
        <f aca="false">In_Opex_Contingency*(T114+T115+T116-T113*In_MEKH)</f>
        <v>-0</v>
      </c>
      <c r="U118" s="33" t="n">
        <f aca="false">In_Opex_Contingency*(U114+U115+U116-U113*In_MEKH)</f>
        <v>-0</v>
      </c>
      <c r="V118" s="33" t="n">
        <f aca="false">In_Opex_Contingency*(V114+V115+V116-V113*In_MEKH)</f>
        <v>-0</v>
      </c>
      <c r="W118" s="33" t="n">
        <f aca="false">In_Opex_Contingency*(W114+W115+W116-W113*In_MEKH)</f>
        <v>-3.59864073081092</v>
      </c>
      <c r="X118" s="33" t="n">
        <f aca="false">In_Opex_Contingency*(X114+X115+X116-X113*In_MEKH)</f>
        <v>-3.60841964584029</v>
      </c>
      <c r="Y118" s="33" t="n">
        <f aca="false">In_Opex_Contingency*(Y114+Y115+Y116-Y113*In_MEKH)</f>
        <v>-3.64851319746074</v>
      </c>
      <c r="Z118" s="33" t="n">
        <f aca="false">In_Opex_Contingency*(Z114+Z115+Z116-Z113*In_MEKH)</f>
        <v>-3.68860674908119</v>
      </c>
      <c r="AA118" s="33" t="n">
        <f aca="false">In_Opex_Contingency*(AA114+AA115+AA116-AA113*In_MEKH)</f>
        <v>-3.68860674908119</v>
      </c>
      <c r="AB118" s="33" t="n">
        <f aca="false">In_Opex_Contingency*(AB114+AB115+AB116-AB113*In_MEKH)</f>
        <v>-3.6986301369863</v>
      </c>
      <c r="AC118" s="33" t="n">
        <f aca="false">In_Opex_Contingency*(AC114+AC115+AC116-AC113*In_MEKH)</f>
        <v>-3.73972602739726</v>
      </c>
      <c r="AD118" s="33" t="n">
        <f aca="false">In_Opex_Contingency*(AD114+AD115+AD116-AD113*In_MEKH)</f>
        <v>-3.78082191780822</v>
      </c>
      <c r="AE118" s="33" t="n">
        <f aca="false">In_Opex_Contingency*(AE114+AE115+AE116-AE113*In_MEKH)</f>
        <v>-48.8620469041096</v>
      </c>
      <c r="AF118" s="33" t="n">
        <f aca="false">In_Opex_Contingency*(AF114+AF115+AF116-AF113*In_MEKH)</f>
        <v>-49.5351540619178</v>
      </c>
      <c r="AG118" s="33" t="n">
        <f aca="false">In_Opex_Contingency*(AG114+AG115+AG116-AG113*In_MEKH)</f>
        <v>-49.5351540619178</v>
      </c>
      <c r="AH118" s="33" t="n">
        <f aca="false">In_Opex_Contingency*(AH114+AH115+AH116-AH113*In_MEKH)</f>
        <v>-50.0794964142466</v>
      </c>
      <c r="AI118" s="33" t="n">
        <f aca="false">In_Opex_Contingency*(AI114+AI115+AI116-AI113*In_MEKH)</f>
        <v>-50.0319545003463</v>
      </c>
      <c r="AJ118" s="33" t="n">
        <f aca="false">In_Opex_Contingency*(AJ114+AJ115+AJ116-AJ113*In_MEKH)</f>
        <v>-50.1638704354583</v>
      </c>
      <c r="AK118" s="33" t="n">
        <f aca="false">In_Opex_Contingency*(AK114+AK115+AK116-AK113*In_MEKH)</f>
        <v>-50.7212467736301</v>
      </c>
      <c r="AL118" s="33" t="n">
        <f aca="false">In_Opex_Contingency*(AL114+AL115+AL116-AL113*In_MEKH)</f>
        <v>-51.2786231118018</v>
      </c>
      <c r="AM118" s="33" t="n">
        <f aca="false">In_Opex_Contingency*(AM114+AM115+AM116-AM113*In_MEKH)</f>
        <v>-51.2300512321924</v>
      </c>
      <c r="AN118" s="33" t="n">
        <f aca="false">In_Opex_Contingency*(AN114+AN115+AN116-AN113*In_MEKH)</f>
        <v>-51.3651947029183</v>
      </c>
      <c r="AO118" s="33" t="n">
        <f aca="false">In_Opex_Contingency*(AO114+AO115+AO116-AO113*In_MEKH)</f>
        <v>-51.9359190885063</v>
      </c>
      <c r="AP118" s="33" t="n">
        <f aca="false">In_Opex_Contingency*(AP114+AP115+AP116-AP113*In_MEKH)</f>
        <v>-52.5066434740943</v>
      </c>
      <c r="AQ118" s="33" t="n">
        <f aca="false">In_Opex_Contingency*(AQ114+AQ115+AQ116-AQ113*In_MEKH)</f>
        <v>-52.4570191331412</v>
      </c>
      <c r="AR118" s="33" t="n">
        <f aca="false">In_Opex_Contingency*(AR114+AR115+AR116-AR113*In_MEKH)</f>
        <v>-52.5954683974554</v>
      </c>
      <c r="AS118" s="33" t="n">
        <f aca="false">In_Opex_Contingency*(AS114+AS115+AS116-AS113*In_MEKH)</f>
        <v>-53.1798624907605</v>
      </c>
      <c r="AT118" s="33" t="n">
        <f aca="false">In_Opex_Contingency*(AT114+AT115+AT116-AT113*In_MEKH)</f>
        <v>-53.7642565840656</v>
      </c>
      <c r="AU118" s="33" t="n">
        <f aca="false">In_Opex_Contingency*(AU114+AU115+AU116-AU113*In_MEKH)</f>
        <v>-53.7135567935193</v>
      </c>
      <c r="AV118" s="33" t="n">
        <f aca="false">In_Opex_Contingency*(AV114+AV115+AV116-AV113*In_MEKH)</f>
        <v>-54.4537852508869</v>
      </c>
      <c r="AW118" s="33" t="n">
        <f aca="false">In_Opex_Contingency*(AW114+AW115+AW116-AW113*In_MEKH)</f>
        <v>-54.4537852508869</v>
      </c>
      <c r="AX118" s="33" t="n">
        <f aca="false">In_Opex_Contingency*(AX114+AX115+AX116-AX113*In_MEKH)</f>
        <v>-55.0521784954021</v>
      </c>
      <c r="AY118" s="33" t="n">
        <f aca="false">In_Opex_Contingency*(AY114+AY115+AY116-AY113*In_MEKH)</f>
        <v>-55.0003797636019</v>
      </c>
      <c r="AZ118" s="33" t="n">
        <f aca="false">In_Opex_Contingency*(AZ114+AZ115+AZ116-AZ113*In_MEKH)</f>
        <v>-55.1456830229945</v>
      </c>
      <c r="BA118" s="33" t="n">
        <f aca="false">In_Opex_Contingency*(BA114+BA115+BA116-BA113*In_MEKH)</f>
        <v>-55.7584128343611</v>
      </c>
      <c r="BB118" s="33" t="n">
        <f aca="false">In_Opex_Contingency*(BB114+BB115+BB116-BB113*In_MEKH)</f>
        <v>-56.3711426457277</v>
      </c>
      <c r="BC118" s="33" t="n">
        <f aca="false">In_Opex_Contingency*(BC114+BC115+BC116-BC113*In_MEKH)</f>
        <v>-56.3182209665687</v>
      </c>
      <c r="BD118" s="33" t="n">
        <f aca="false">In_Opex_Contingency*(BD114+BD115+BD116-BD113*In_MEKH)</f>
        <v>-56.4670763607554</v>
      </c>
      <c r="BE118" s="33" t="n">
        <f aca="false">In_Opex_Contingency*(BE114+BE115+BE116-BE113*In_MEKH)</f>
        <v>-57.0944883203193</v>
      </c>
      <c r="BF118" s="33" t="n">
        <f aca="false">In_Opex_Contingency*(BF114+BF115+BF116-BF113*In_MEKH)</f>
        <v>-57.7219002798833</v>
      </c>
      <c r="BG118" s="33" t="n">
        <f aca="false">In_Opex_Contingency*(BG114+BG115+BG116-BG113*In_MEKH)</f>
        <v>-57.6678311215413</v>
      </c>
      <c r="BH118" s="33" t="n">
        <f aca="false">In_Opex_Contingency*(BH114+BH115+BH116-BH113*In_MEKH)</f>
        <v>-57.8203247773766</v>
      </c>
      <c r="BI118" s="33" t="n">
        <f aca="false">In_Opex_Contingency*(BI114+BI115+BI116-BI113*In_MEKH)</f>
        <v>-58.4627728304585</v>
      </c>
      <c r="BJ118" s="33" t="n">
        <f aca="false">In_Opex_Contingency*(BJ114+BJ115+BJ116-BJ113*In_MEKH)</f>
        <v>-59.1052208835405</v>
      </c>
      <c r="BK118" s="33" t="n">
        <f aca="false">In_Opex_Contingency*(BK114+BK115+BK116-BK113*In_MEKH)</f>
        <v>-59.04997917695</v>
      </c>
      <c r="BL118" s="33" t="n">
        <f aca="false">In_Opex_Contingency*(BL114+BL115+BL116-BL113*In_MEKH)</f>
        <v>-59.8640459684091</v>
      </c>
      <c r="BM118" s="33" t="n">
        <f aca="false">In_Opex_Contingency*(BM114+BM115+BM116-BM113*In_MEKH)</f>
        <v>-59.8640459684091</v>
      </c>
      <c r="BN118" s="33" t="n">
        <f aca="false">In_Opex_Contingency*(BN114+BN115+BN116-BN113*In_MEKH)</f>
        <v>-60.5218926274026</v>
      </c>
      <c r="BO118" s="33" t="n">
        <f aca="false">In_Opex_Contingency*(BO114+BO115+BO116-BO113*In_MEKH)</f>
        <v>-60.465452754482</v>
      </c>
      <c r="BP118" s="33" t="n">
        <f aca="false">In_Opex_Contingency*(BP114+BP115+BP116-BP113*In_MEKH)</f>
        <v>-60.6254897174195</v>
      </c>
      <c r="BQ118" s="33" t="n">
        <f aca="false">In_Opex_Contingency*(BQ114+BQ115+BQ116-BQ113*In_MEKH)</f>
        <v>-61.2991062698353</v>
      </c>
      <c r="BR118" s="33" t="n">
        <f aca="false">In_Opex_Contingency*(BR114+BR115+BR116-BR113*In_MEKH)</f>
        <v>-61.972722822251</v>
      </c>
      <c r="BS118" s="33" t="n">
        <f aca="false">In_Opex_Contingency*(BS114+BS115+BS116-BS113*In_MEKH)</f>
        <v>-61.9150586038699</v>
      </c>
      <c r="BT118" s="33" t="n">
        <f aca="false">In_Opex_Contingency*(BT114+BT115+BT116-BT113*In_MEKH)</f>
        <v>-62.0790049419491</v>
      </c>
      <c r="BU118" s="33" t="n">
        <f aca="false">In_Opex_Contingency*(BU114+BU115+BU116-BU113*In_MEKH)</f>
        <v>-62.7687716635263</v>
      </c>
      <c r="BV118" s="33" t="n">
        <f aca="false">In_Opex_Contingency*(BV114+BV115+BV116-BV113*In_MEKH)</f>
        <v>-63.4585383851035</v>
      </c>
      <c r="BW118" s="33" t="n">
        <f aca="false">In_Opex_Contingency*(BW114+BW115+BW116-BW113*In_MEKH)</f>
        <v>-63.399623068786</v>
      </c>
      <c r="BX118" s="33" t="n">
        <f aca="false">In_Opex_Contingency*(BX114+BX115+BX116-BX113*In_MEKH)</f>
        <v>-63.5675735707396</v>
      </c>
      <c r="BY118" s="33" t="n">
        <f aca="false">In_Opex_Contingency*(BY114+BY115+BY116-BY113*In_MEKH)</f>
        <v>-64.2738799437478</v>
      </c>
      <c r="BZ118" s="33" t="n">
        <f aca="false">In_Opex_Contingency*(BZ114+BZ115+BZ116-BZ113*In_MEKH)</f>
        <v>-64.980186316756</v>
      </c>
      <c r="CA118" s="33" t="n">
        <f aca="false">In_Opex_Contingency*(CA114+CA115+CA116-CA113*In_MEKH)</f>
        <v>-64.9199925641145</v>
      </c>
      <c r="CB118" s="33" t="n">
        <f aca="false">In_Opex_Contingency*(CB114+CB115+CB116-CB113*In_MEKH)</f>
        <v>-65.8152892541277</v>
      </c>
      <c r="CC118" s="33" t="n">
        <f aca="false">In_Opex_Contingency*(CC114+CC115+CC116-CC113*In_MEKH)</f>
        <v>-65.8152892541277</v>
      </c>
      <c r="CD118" s="33" t="n">
        <f aca="false">In_Opex_Contingency*(CD114+CD115+CD116-CD113*In_MEKH)</f>
        <v>-66.5385341909863</v>
      </c>
      <c r="CE118" s="33" t="n">
        <f aca="false">In_Opex_Contingency*(CE114+CE115+CE116-CE113*In_MEKH)</f>
        <v>-66.4770340648798</v>
      </c>
      <c r="CF118" s="33" t="n">
        <f aca="false">In_Opex_Contingency*(CF114+CF115+CF116-CF113*In_MEKH)</f>
        <v>-66.6532865110164</v>
      </c>
      <c r="CG118" s="33" t="n">
        <f aca="false">In_Opex_Contingency*(CG114+CG115+CG116-CG113*In_MEKH)</f>
        <v>-67.3938785833611</v>
      </c>
      <c r="CH118" s="33" t="n">
        <f aca="false">In_Opex_Contingency*(CH114+CH115+CH116-CH113*In_MEKH)</f>
        <v>-68.1344706557057</v>
      </c>
      <c r="CI118" s="33" t="n">
        <f aca="false">In_Opex_Contingency*(CI114+CI115+CI116-CI113*In_MEKH)</f>
        <v>-68.0716356071167</v>
      </c>
      <c r="CJ118" s="33" t="n">
        <f aca="false">In_Opex_Contingency*(CJ114+CJ115+CJ116-CJ113*In_MEKH)</f>
        <v>-68.252190599691</v>
      </c>
      <c r="CK118" s="33" t="n">
        <f aca="false">In_Opex_Contingency*(CK114+CK115+CK116-CK113*In_MEKH)</f>
        <v>-69.0105482730209</v>
      </c>
      <c r="CL118" s="33" t="n">
        <f aca="false">In_Opex_Contingency*(CL114+CL115+CL116-CL113*In_MEKH)</f>
        <v>-69.7689059463508</v>
      </c>
      <c r="CM118" s="33" t="n">
        <f aca="false">In_Opex_Contingency*(CM114+CM115+CM116-CM113*In_MEKH)</f>
        <v>-69.7047068009743</v>
      </c>
      <c r="CN118" s="33" t="n">
        <f aca="false">In_Opex_Contingency*(CN114+CN115+CN116-CN113*In_MEKH)</f>
        <v>-69.8896686637318</v>
      </c>
      <c r="CO118" s="33" t="n">
        <f aca="false">In_Opex_Contingency*(CO114+CO115+CO116-CO113*In_MEKH)</f>
        <v>-70.6662205377733</v>
      </c>
      <c r="CP118" s="33" t="n">
        <f aca="false">In_Opex_Contingency*(CP114+CP115+CP116-CP113*In_MEKH)</f>
        <v>-71.4427724118148</v>
      </c>
      <c r="CQ118" s="33" t="n">
        <f aca="false">In_Opex_Contingency*(CQ114+CQ115+CQ116-CQ113*In_MEKH)</f>
        <v>-71.3771793563535</v>
      </c>
      <c r="CR118" s="33" t="n">
        <f aca="false">In_Opex_Contingency*(CR114+CR115+CR116-CR113*In_MEKH)</f>
        <v>-72.3618399982995</v>
      </c>
      <c r="CS118" s="33" t="n">
        <f aca="false">In_Opex_Contingency*(CS114+CS115+CS116-CS113*In_MEKH)</f>
        <v>-72.3618399982995</v>
      </c>
      <c r="CT118" s="33" t="n">
        <f aca="false">In_Opex_Contingency*(CT114+CT115+CT116-CT113*In_MEKH)</f>
        <v>-73.1570250532259</v>
      </c>
      <c r="CU118" s="33" t="n">
        <f aca="false">In_Opex_Contingency*(CU114+CU115+CU116-CU113*In_MEKH)</f>
        <v>-73.0900076213847</v>
      </c>
      <c r="CV118" s="33" t="n">
        <f aca="false">In_Opex_Contingency*(CV114+CV115+CV116-CV113*In_MEKH)</f>
        <v>-73.2841063785854</v>
      </c>
      <c r="CW118" s="33" t="n">
        <f aca="false">In_Opex_Contingency*(CW114+CW115+CW116-CW113*In_MEKH)</f>
        <v>-74.0983742272363</v>
      </c>
      <c r="CX118" s="33" t="n">
        <f aca="false">In_Opex_Contingency*(CX114+CX115+CX116-CX113*In_MEKH)</f>
        <v>-74.9126420758873</v>
      </c>
      <c r="CY118" s="33" t="n">
        <f aca="false">In_Opex_Contingency*(CY114+CY115+CY116-CY113*In_MEKH)</f>
        <v>-74.8441691340611</v>
      </c>
      <c r="CZ118" s="33" t="n">
        <f aca="false">In_Opex_Contingency*(CZ114+CZ115+CZ116-CZ113*In_MEKH)</f>
        <v>-75.0430031622069</v>
      </c>
      <c r="DA118" s="33" t="n">
        <f aca="false">In_Opex_Contingency*(DA114+DA115+DA116-DA113*In_MEKH)</f>
        <v>-75.8768143084537</v>
      </c>
      <c r="DB118" s="33" t="n">
        <f aca="false">In_Opex_Contingency*(DB114+DB115+DB116-DB113*In_MEKH)</f>
        <v>-76.7106254547004</v>
      </c>
      <c r="DC118" s="33" t="n">
        <f aca="false">In_Opex_Contingency*(DC114+DC115+DC116-DC113*In_MEKH)</f>
        <v>-76.6406651873478</v>
      </c>
      <c r="DD118" s="33" t="n">
        <f aca="false">In_Opex_Contingency*(DD114+DD115+DD116-DD113*In_MEKH)</f>
        <v>-76.8443493065894</v>
      </c>
      <c r="DE118" s="33" t="n">
        <f aca="false">In_Opex_Contingency*(DE114+DE115+DE116-DE113*In_MEKH)</f>
        <v>-77.698175409996</v>
      </c>
      <c r="DF118" s="33" t="n">
        <f aca="false">In_Opex_Contingency*(DF114+DF115+DF116-DF113*In_MEKH)</f>
        <v>-78.5520015134025</v>
      </c>
      <c r="DG118" s="33" t="n">
        <f aca="false">In_Opex_Contingency*(DG114+DG115+DG116-DG113*In_MEKH)</f>
        <v>-78.4805214080991</v>
      </c>
      <c r="DH118" s="33" t="n">
        <f aca="false">In_Opex_Contingency*(DH114+DH115+DH116-DH113*In_MEKH)</f>
        <v>-79.563497371022</v>
      </c>
      <c r="DI118" s="33" t="n">
        <f aca="false">In_Opex_Contingency*(DI114+DI115+DI116-DI113*In_MEKH)</f>
        <v>-79.563497371022</v>
      </c>
      <c r="DJ118" s="33" t="n">
        <f aca="false">In_Opex_Contingency*(DJ114+DJ115+DJ116-DJ113*In_MEKH)</f>
        <v>-80.4378215179563</v>
      </c>
      <c r="DK118" s="33" t="n">
        <f aca="false">In_Opex_Contingency*(DK114+DK115+DK116-DK113*In_MEKH)</f>
        <v>-80.3647883501201</v>
      </c>
      <c r="DL118" s="33" t="n">
        <f aca="false">In_Opex_Contingency*(DL114+DL115+DL116-DL113*In_MEKH)</f>
        <v>-80.5785283217331</v>
      </c>
      <c r="DM118" s="33" t="n">
        <f aca="false">In_Opex_Contingency*(DM114+DM115+DM116-DM113*In_MEKH)</f>
        <v>-81.4738453030857</v>
      </c>
      <c r="DN118" s="33" t="n">
        <f aca="false">In_Opex_Contingency*(DN114+DN115+DN116-DN113*In_MEKH)</f>
        <v>-82.3691622844383</v>
      </c>
      <c r="DO118" s="33" t="n">
        <f aca="false">In_Opex_Contingency*(DO114+DO115+DO116-DO113*In_MEKH)</f>
        <v>-82.2945421017206</v>
      </c>
      <c r="DP118" s="33" t="n">
        <f aca="false">In_Opex_Contingency*(DP114+DP115+DP116-DP113*In_MEKH)</f>
        <v>-82.5134936104378</v>
      </c>
      <c r="DQ118" s="33" t="n">
        <f aca="false">In_Opex_Contingency*(DQ114+DQ115+DQ116-DQ113*In_MEKH)</f>
        <v>-83.4303102061093</v>
      </c>
      <c r="DR118" s="33" t="n">
        <f aca="false">In_Opex_Contingency*(DR114+DR115+DR116-DR113*In_MEKH)</f>
        <v>-84.3471268017809</v>
      </c>
      <c r="DS118" s="33" t="n">
        <f aca="false">In_Opex_Contingency*(DS114+DS115+DS116-DS113*In_MEKH)</f>
        <v>-84.2708849081146</v>
      </c>
      <c r="DT118" s="33" t="n">
        <f aca="false">In_Opex_Contingency*(DT114+DT115+DT116-DT113*In_MEKH)</f>
        <v>-84.4951743290865</v>
      </c>
      <c r="DU118" s="33" t="n">
        <f aca="false">In_Opex_Contingency*(DU114+DU115+DU116-DU113*In_MEKH)</f>
        <v>-85.4340095994097</v>
      </c>
      <c r="DV118" s="33" t="n">
        <f aca="false">In_Opex_Contingency*(DV114+DV115+DV116-DV113*In_MEKH)</f>
        <v>-86.3728448697329</v>
      </c>
      <c r="DW118" s="33" t="n">
        <f aca="false">In_Opex_Contingency*(DW114+DW115+DW116-DW113*In_MEKH)</f>
        <v>-86.2949458090312</v>
      </c>
      <c r="DX118" s="33" t="n">
        <f aca="false">In_Opex_Contingency*(DX114+DX115+DX116-DX113*In_MEKH)</f>
        <v>-87.4860881681444</v>
      </c>
      <c r="DY118" s="33" t="n">
        <f aca="false">In_Opex_Contingency*(DY114+DY115+DY116-DY113*In_MEKH)</f>
        <v>-87.4860881681444</v>
      </c>
      <c r="DZ118" s="33" t="n">
        <f aca="false">In_Opex_Contingency*(DZ114+DZ115+DZ116-DZ113*In_MEKH)</f>
        <v>-88.4474737524097</v>
      </c>
      <c r="EA118" s="33" t="n">
        <f aca="false">In_Opex_Contingency*(EA114+EA115+EA116-EA113*In_MEKH)</f>
        <v>-88.3678812919077</v>
      </c>
      <c r="EB118" s="33" t="n">
        <f aca="false">In_Opex_Contingency*(EB114+EB115+EB116-EB113*In_MEKH)</f>
        <v>-88.6032380032985</v>
      </c>
      <c r="EC118" s="33" t="n">
        <f aca="false">In_Opex_Contingency*(EC114+EC115+EC116-EC113*In_MEKH)</f>
        <v>-89.5877184255573</v>
      </c>
      <c r="ED118" s="33" t="n">
        <f aca="false">In_Opex_Contingency*(ED114+ED115+ED116-ED113*In_MEKH)</f>
        <v>-90.5721988478162</v>
      </c>
      <c r="EE118" s="33" t="n">
        <f aca="false">In_Opex_Contingency*(EE114+EE115+EE116-EE113*In_MEKH)</f>
        <v>-90.4908759610468</v>
      </c>
      <c r="EF118" s="33" t="n">
        <f aca="false">In_Opex_Contingency*(EF114+EF115+EF116-EF113*In_MEKH)</f>
        <v>-90.731968409087</v>
      </c>
      <c r="EG118" s="33" t="n">
        <f aca="false">In_Opex_Contingency*(EG114+EG115+EG116-EG113*In_MEKH)</f>
        <v>-91.7401013914103</v>
      </c>
      <c r="EH118" s="33" t="n">
        <f aca="false">In_Opex_Contingency*(EH114+EH115+EH116-EH113*In_MEKH)</f>
        <v>-92.7482343737334</v>
      </c>
      <c r="EI118" s="33" t="n">
        <f aca="false">In_Opex_Contingency*(EI114+EI115+EI116-EI113*In_MEKH)</f>
        <v>-92.6651432231306</v>
      </c>
      <c r="EJ118" s="33" t="n">
        <f aca="false">In_Opex_Contingency*(EJ114+EJ115+EJ116-EJ113*In_MEKH)</f>
        <v>-92.9121105036224</v>
      </c>
      <c r="EK118" s="33" t="n">
        <f aca="false">In_Opex_Contingency*(EK114+EK115+EK116-EK113*In_MEKH)</f>
        <v>-93.944467286996</v>
      </c>
      <c r="EL118" s="33" t="n">
        <f aca="false">In_Opex_Contingency*(EL114+EL115+EL116-EL113*In_MEKH)</f>
        <v>-94.9768240703696</v>
      </c>
      <c r="EM118" s="33" t="n">
        <f aca="false">In_Opex_Contingency*(EM114+EM115+EM116-EM113*In_MEKH)</f>
        <v>-94.8919259894898</v>
      </c>
      <c r="EN118" s="33" t="n">
        <f aca="false">In_Opex_Contingency*(EN114+EN115+EN116-EN113*In_MEKH)</f>
        <v>-96.2020762471408</v>
      </c>
      <c r="EO118" s="33" t="n">
        <f aca="false">In_Opex_Contingency*(EO114+EO115+EO116-EO113*In_MEKH)</f>
        <v>-96.2020762471408</v>
      </c>
      <c r="EP118" s="33" t="n">
        <f aca="false">In_Opex_Contingency*(EP114+EP115+EP116-EP113*In_MEKH)</f>
        <v>-97.2592419201863</v>
      </c>
      <c r="EQ118" s="33" t="n">
        <f aca="false">In_Opex_Contingency*(EQ114+EQ115+EQ116-EQ113*In_MEKH)</f>
        <v>-97.1724973955404</v>
      </c>
      <c r="ER118" s="33" t="n">
        <f aca="false">In_Opex_Contingency*(ER114+ER115+ER116-ER113*In_MEKH)</f>
        <v>-97.4316452139015</v>
      </c>
      <c r="ES118" s="33" t="n">
        <f aca="false">In_Opex_Contingency*(ES114+ES115+ES116-ES113*In_MEKH)</f>
        <v>-98.5142190496114</v>
      </c>
      <c r="ET118" s="33" t="n">
        <f aca="false">In_Opex_Contingency*(ET114+ET115+ET116-ET113*In_MEKH)</f>
        <v>-99.5967928853215</v>
      </c>
    </row>
    <row r="119" customFormat="false" ht="15" hidden="false" customHeight="false" outlineLevel="0" collapsed="false">
      <c r="C119" s="0" t="s">
        <v>31</v>
      </c>
      <c r="D119" s="11" t="s">
        <v>253</v>
      </c>
      <c r="I119" s="33" t="n">
        <f aca="false">SUM(J119:ET119)</f>
        <v>-20794.4767338331</v>
      </c>
      <c r="J119" s="33" t="n">
        <f aca="false">-$E31*In_Delivered*J112/Thousand</f>
        <v>-0</v>
      </c>
      <c r="K119" s="33" t="n">
        <f aca="false">-$E31*In_Delivered*K112/Thousand</f>
        <v>-0</v>
      </c>
      <c r="L119" s="33" t="n">
        <f aca="false">-$E31*In_Delivered*L112/Thousand</f>
        <v>-0</v>
      </c>
      <c r="M119" s="33" t="n">
        <f aca="false">-$E31*In_Delivered*M112/Thousand</f>
        <v>-0</v>
      </c>
      <c r="N119" s="33" t="n">
        <f aca="false">-$E31*In_Delivered*N112/Thousand</f>
        <v>-0</v>
      </c>
      <c r="O119" s="33" t="n">
        <f aca="false">-$E31*In_Delivered*O112/Thousand</f>
        <v>-0</v>
      </c>
      <c r="P119" s="33" t="n">
        <f aca="false">-$E31*In_Delivered*P112/Thousand</f>
        <v>-0</v>
      </c>
      <c r="Q119" s="33" t="n">
        <f aca="false">-$E31*In_Delivered*Q112/Thousand</f>
        <v>-0</v>
      </c>
      <c r="R119" s="33" t="n">
        <f aca="false">-$E31*In_Delivered*R112/Thousand</f>
        <v>-0</v>
      </c>
      <c r="S119" s="33" t="n">
        <f aca="false">-$E31*In_Delivered*S112/Thousand</f>
        <v>-0</v>
      </c>
      <c r="T119" s="33" t="n">
        <f aca="false">-$E31*In_Delivered*T112/Thousand</f>
        <v>-0</v>
      </c>
      <c r="U119" s="33" t="n">
        <f aca="false">-$E31*In_Delivered*U112/Thousand</f>
        <v>-0</v>
      </c>
      <c r="V119" s="33" t="n">
        <f aca="false">-$E31*In_Delivered*V112/Thousand</f>
        <v>-0</v>
      </c>
      <c r="W119" s="33" t="n">
        <f aca="false">-$E31*In_Delivered*W112/Thousand</f>
        <v>-0</v>
      </c>
      <c r="X119" s="33" t="n">
        <f aca="false">-$E31*In_Delivered*X112/Thousand</f>
        <v>-0</v>
      </c>
      <c r="Y119" s="33" t="n">
        <f aca="false">-$E31*In_Delivered*Y112/Thousand</f>
        <v>-0</v>
      </c>
      <c r="Z119" s="33" t="n">
        <f aca="false">-$E31*In_Delivered*Z112/Thousand</f>
        <v>-0</v>
      </c>
      <c r="AA119" s="33" t="n">
        <f aca="false">-$E31*In_Delivered*AA112/Thousand</f>
        <v>-0</v>
      </c>
      <c r="AB119" s="33" t="n">
        <f aca="false">-$E31*In_Delivered*AB112/Thousand</f>
        <v>-0</v>
      </c>
      <c r="AC119" s="33" t="n">
        <f aca="false">-$E31*In_Delivered*AC112/Thousand</f>
        <v>-0</v>
      </c>
      <c r="AD119" s="33" t="n">
        <f aca="false">-$E31*In_Delivered*AD112/Thousand</f>
        <v>-0</v>
      </c>
      <c r="AE119" s="33" t="n">
        <f aca="false">-$E31*In_Delivered*AE112/Thousand</f>
        <v>-182.296109589041</v>
      </c>
      <c r="AF119" s="33" t="n">
        <f aca="false">-$E31*In_Delivered*AF112/Thousand</f>
        <v>-180.314630136986</v>
      </c>
      <c r="AG119" s="33" t="n">
        <f aca="false">-$E31*In_Delivered*AG112/Thousand</f>
        <v>-180.314630136986</v>
      </c>
      <c r="AH119" s="33" t="n">
        <f aca="false">-$E31*In_Delivered*AH112/Thousand</f>
        <v>-182.296109589041</v>
      </c>
      <c r="AI119" s="33" t="n">
        <f aca="false">-$E31*In_Delivered*AI112/Thousand</f>
        <v>-181.749221260274</v>
      </c>
      <c r="AJ119" s="33" t="n">
        <f aca="false">-$E31*In_Delivered*AJ112/Thousand</f>
        <v>-177.798151232877</v>
      </c>
      <c r="AK119" s="33" t="n">
        <f aca="false">-$E31*In_Delivered*AK112/Thousand</f>
        <v>-179.773686246575</v>
      </c>
      <c r="AL119" s="33" t="n">
        <f aca="false">-$E31*In_Delivered*AL112/Thousand</f>
        <v>-181.749221260274</v>
      </c>
      <c r="AM119" s="33" t="n">
        <f aca="false">-$E31*In_Delivered*AM112/Thousand</f>
        <v>-181.203973596493</v>
      </c>
      <c r="AN119" s="33" t="n">
        <f aca="false">-$E31*In_Delivered*AN112/Thousand</f>
        <v>-177.264756779178</v>
      </c>
      <c r="AO119" s="33" t="n">
        <f aca="false">-$E31*In_Delivered*AO112/Thousand</f>
        <v>-179.234365187836</v>
      </c>
      <c r="AP119" s="33" t="n">
        <f aca="false">-$E31*In_Delivered*AP112/Thousand</f>
        <v>-181.203973596493</v>
      </c>
      <c r="AQ119" s="33" t="n">
        <f aca="false">-$E31*In_Delivered*AQ112/Thousand</f>
        <v>-180.660361675704</v>
      </c>
      <c r="AR119" s="33" t="n">
        <f aca="false">-$E31*In_Delivered*AR112/Thousand</f>
        <v>-176.732962508841</v>
      </c>
      <c r="AS119" s="33" t="n">
        <f aca="false">-$E31*In_Delivered*AS112/Thousand</f>
        <v>-178.696662092272</v>
      </c>
      <c r="AT119" s="33" t="n">
        <f aca="false">-$E31*In_Delivered*AT112/Thousand</f>
        <v>-180.660361675704</v>
      </c>
      <c r="AU119" s="33" t="n">
        <f aca="false">-$E31*In_Delivered*AU112/Thousand</f>
        <v>-180.118380590677</v>
      </c>
      <c r="AV119" s="33" t="n">
        <f aca="false">-$E31*In_Delivered*AV112/Thousand</f>
        <v>-178.160572105995</v>
      </c>
      <c r="AW119" s="33" t="n">
        <f aca="false">-$E31*In_Delivered*AW112/Thousand</f>
        <v>-178.160572105995</v>
      </c>
      <c r="AX119" s="33" t="n">
        <f aca="false">-$E31*In_Delivered*AX112/Thousand</f>
        <v>-180.118380590677</v>
      </c>
      <c r="AY119" s="33" t="n">
        <f aca="false">-$E31*In_Delivered*AY112/Thousand</f>
        <v>-179.578025448905</v>
      </c>
      <c r="AZ119" s="33" t="n">
        <f aca="false">-$E31*In_Delivered*AZ112/Thousand</f>
        <v>-175.67415533045</v>
      </c>
      <c r="BA119" s="33" t="n">
        <f aca="false">-$E31*In_Delivered*BA112/Thousand</f>
        <v>-177.626090389677</v>
      </c>
      <c r="BB119" s="33" t="n">
        <f aca="false">-$E31*In_Delivered*BB112/Thousand</f>
        <v>-179.578025448905</v>
      </c>
      <c r="BC119" s="33" t="n">
        <f aca="false">-$E31*In_Delivered*BC112/Thousand</f>
        <v>-179.039291372558</v>
      </c>
      <c r="BD119" s="33" t="n">
        <f aca="false">-$E31*In_Delivered*BD112/Thousand</f>
        <v>-175.147132864459</v>
      </c>
      <c r="BE119" s="33" t="n">
        <f aca="false">-$E31*In_Delivered*BE112/Thousand</f>
        <v>-177.093212118508</v>
      </c>
      <c r="BF119" s="33" t="n">
        <f aca="false">-$E31*In_Delivered*BF112/Thousand</f>
        <v>-179.039291372558</v>
      </c>
      <c r="BG119" s="33" t="n">
        <f aca="false">-$E31*In_Delivered*BG112/Thousand</f>
        <v>-178.50217349844</v>
      </c>
      <c r="BH119" s="33" t="n">
        <f aca="false">-$E31*In_Delivered*BH112/Thousand</f>
        <v>-174.621691465865</v>
      </c>
      <c r="BI119" s="33" t="n">
        <f aca="false">-$E31*In_Delivered*BI112/Thousand</f>
        <v>-176.561932482153</v>
      </c>
      <c r="BJ119" s="33" t="n">
        <f aca="false">-$E31*In_Delivered*BJ112/Thousand</f>
        <v>-178.50217349844</v>
      </c>
      <c r="BK119" s="33" t="n">
        <f aca="false">-$E31*In_Delivered*BK112/Thousand</f>
        <v>-177.966666977945</v>
      </c>
      <c r="BL119" s="33" t="n">
        <f aca="false">-$E31*In_Delivered*BL112/Thousand</f>
        <v>-176.032246684706</v>
      </c>
      <c r="BM119" s="33" t="n">
        <f aca="false">-$E31*In_Delivered*BM112/Thousand</f>
        <v>-176.032246684706</v>
      </c>
      <c r="BN119" s="33" t="n">
        <f aca="false">-$E31*In_Delivered*BN112/Thousand</f>
        <v>-177.966666977945</v>
      </c>
      <c r="BO119" s="33" t="n">
        <f aca="false">-$E31*In_Delivered*BO112/Thousand</f>
        <v>-177.432766977011</v>
      </c>
      <c r="BP119" s="33" t="n">
        <f aca="false">-$E31*In_Delivered*BP112/Thousand</f>
        <v>-173.575532912293</v>
      </c>
      <c r="BQ119" s="33" t="n">
        <f aca="false">-$E31*In_Delivered*BQ112/Thousand</f>
        <v>-175.504149944652</v>
      </c>
      <c r="BR119" s="33" t="n">
        <f aca="false">-$E31*In_Delivered*BR112/Thousand</f>
        <v>-177.432766977011</v>
      </c>
      <c r="BS119" s="33" t="n">
        <f aca="false">-$E31*In_Delivered*BS112/Thousand</f>
        <v>-176.90046867608</v>
      </c>
      <c r="BT119" s="33" t="n">
        <f aca="false">-$E31*In_Delivered*BT112/Thousand</f>
        <v>-173.054806313556</v>
      </c>
      <c r="BU119" s="33" t="n">
        <f aca="false">-$E31*In_Delivered*BU112/Thousand</f>
        <v>-174.977637494818</v>
      </c>
      <c r="BV119" s="33" t="n">
        <f aca="false">-$E31*In_Delivered*BV112/Thousand</f>
        <v>-176.90046867608</v>
      </c>
      <c r="BW119" s="33" t="n">
        <f aca="false">-$E31*In_Delivered*BW112/Thousand</f>
        <v>-176.369767270052</v>
      </c>
      <c r="BX119" s="33" t="n">
        <f aca="false">-$E31*In_Delivered*BX112/Thousand</f>
        <v>-172.535641894616</v>
      </c>
      <c r="BY119" s="33" t="n">
        <f aca="false">-$E31*In_Delivered*BY112/Thousand</f>
        <v>-174.452704582334</v>
      </c>
      <c r="BZ119" s="33" t="n">
        <f aca="false">-$E31*In_Delivered*BZ112/Thousand</f>
        <v>-176.369767270052</v>
      </c>
      <c r="CA119" s="33" t="n">
        <f aca="false">-$E31*In_Delivered*CA112/Thousand</f>
        <v>-175.840657968242</v>
      </c>
      <c r="CB119" s="33" t="n">
        <f aca="false">-$E31*In_Delivered*CB112/Thousand</f>
        <v>-173.929346468587</v>
      </c>
      <c r="CC119" s="33" t="n">
        <f aca="false">-$E31*In_Delivered*CC112/Thousand</f>
        <v>-173.929346468587</v>
      </c>
      <c r="CD119" s="33" t="n">
        <f aca="false">-$E31*In_Delivered*CD112/Thousand</f>
        <v>-175.840657968242</v>
      </c>
      <c r="CE119" s="33" t="n">
        <f aca="false">-$E31*In_Delivered*CE112/Thousand</f>
        <v>-175.313135994337</v>
      </c>
      <c r="CF119" s="33" t="n">
        <f aca="false">-$E31*In_Delivered*CF112/Thousand</f>
        <v>-171.501980864025</v>
      </c>
      <c r="CG119" s="33" t="n">
        <f aca="false">-$E31*In_Delivered*CG112/Thousand</f>
        <v>-173.407558429181</v>
      </c>
      <c r="CH119" s="33" t="n">
        <f aca="false">-$E31*In_Delivered*CH112/Thousand</f>
        <v>-175.313135994337</v>
      </c>
      <c r="CI119" s="33" t="n">
        <f aca="false">-$E31*In_Delivered*CI112/Thousand</f>
        <v>-174.787196586354</v>
      </c>
      <c r="CJ119" s="33" t="n">
        <f aca="false">-$E31*In_Delivered*CJ112/Thousand</f>
        <v>-170.987474921433</v>
      </c>
      <c r="CK119" s="33" t="n">
        <f aca="false">-$E31*In_Delivered*CK112/Thousand</f>
        <v>-172.887335753893</v>
      </c>
      <c r="CL119" s="33" t="n">
        <f aca="false">-$E31*In_Delivered*CL112/Thousand</f>
        <v>-174.787196586354</v>
      </c>
      <c r="CM119" s="33" t="n">
        <f aca="false">-$E31*In_Delivered*CM112/Thousand</f>
        <v>-174.262834996595</v>
      </c>
      <c r="CN119" s="33" t="n">
        <f aca="false">-$E31*In_Delivered*CN112/Thousand</f>
        <v>-170.474512496669</v>
      </c>
      <c r="CO119" s="33" t="n">
        <f aca="false">-$E31*In_Delivered*CO112/Thousand</f>
        <v>-172.368673746632</v>
      </c>
      <c r="CP119" s="33" t="n">
        <f aca="false">-$E31*In_Delivered*CP112/Thousand</f>
        <v>-174.262834996595</v>
      </c>
      <c r="CQ119" s="33" t="n">
        <f aca="false">-$E31*In_Delivered*CQ112/Thousand</f>
        <v>-173.740046491605</v>
      </c>
      <c r="CR119" s="33" t="n">
        <f aca="false">-$E31*In_Delivered*CR112/Thousand</f>
        <v>-171.851567725392</v>
      </c>
      <c r="CS119" s="33" t="n">
        <f aca="false">-$E31*In_Delivered*CS112/Thousand</f>
        <v>-171.851567725392</v>
      </c>
      <c r="CT119" s="33" t="n">
        <f aca="false">-$E31*In_Delivered*CT112/Thousand</f>
        <v>-173.740046491605</v>
      </c>
      <c r="CU119" s="33" t="n">
        <f aca="false">-$E31*In_Delivered*CU112/Thousand</f>
        <v>-173.21882635213</v>
      </c>
      <c r="CV119" s="33" t="n">
        <f aca="false">-$E31*In_Delivered*CV112/Thousand</f>
        <v>-169.453199692301</v>
      </c>
      <c r="CW119" s="33" t="n">
        <f aca="false">-$E31*In_Delivered*CW112/Thousand</f>
        <v>-171.336013022216</v>
      </c>
      <c r="CX119" s="33" t="n">
        <f aca="false">-$E31*In_Delivered*CX112/Thousand</f>
        <v>-173.21882635213</v>
      </c>
      <c r="CY119" s="33" t="n">
        <f aca="false">-$E31*In_Delivered*CY112/Thousand</f>
        <v>-172.699169873074</v>
      </c>
      <c r="CZ119" s="33" t="n">
        <f aca="false">-$E31*In_Delivered*CZ112/Thousand</f>
        <v>-168.944840093224</v>
      </c>
      <c r="DA119" s="33" t="n">
        <f aca="false">-$E31*In_Delivered*DA112/Thousand</f>
        <v>-170.822004983149</v>
      </c>
      <c r="DB119" s="33" t="n">
        <f aca="false">-$E31*In_Delivered*DB112/Thousand</f>
        <v>-172.699169873074</v>
      </c>
      <c r="DC119" s="33" t="n">
        <f aca="false">-$E31*In_Delivered*DC112/Thousand</f>
        <v>-172.181072363455</v>
      </c>
      <c r="DD119" s="33" t="n">
        <f aca="false">-$E31*In_Delivered*DD112/Thousand</f>
        <v>-168.438005572945</v>
      </c>
      <c r="DE119" s="33" t="n">
        <f aca="false">-$E31*In_Delivered*DE112/Thousand</f>
        <v>-170.3095389682</v>
      </c>
      <c r="DF119" s="33" t="n">
        <f aca="false">-$E31*In_Delivered*DF112/Thousand</f>
        <v>-172.181072363455</v>
      </c>
      <c r="DG119" s="33" t="n">
        <f aca="false">-$E31*In_Delivered*DG112/Thousand</f>
        <v>-171.664529146364</v>
      </c>
      <c r="DH119" s="33" t="n">
        <f aca="false">-$E31*In_Delivered*DH112/Thousand</f>
        <v>-169.798610351295</v>
      </c>
      <c r="DI119" s="33" t="n">
        <f aca="false">-$E31*In_Delivered*DI112/Thousand</f>
        <v>-169.798610351295</v>
      </c>
      <c r="DJ119" s="33" t="n">
        <f aca="false">-$E31*In_Delivered*DJ112/Thousand</f>
        <v>-171.664529146364</v>
      </c>
      <c r="DK119" s="33" t="n">
        <f aca="false">-$E31*In_Delivered*DK112/Thousand</f>
        <v>-171.149535558925</v>
      </c>
      <c r="DL119" s="33" t="n">
        <f aca="false">-$E31*In_Delivered*DL112/Thousand</f>
        <v>-167.428893481557</v>
      </c>
      <c r="DM119" s="33" t="n">
        <f aca="false">-$E31*In_Delivered*DM112/Thousand</f>
        <v>-169.289214520241</v>
      </c>
      <c r="DN119" s="33" t="n">
        <f aca="false">-$E31*In_Delivered*DN112/Thousand</f>
        <v>-171.149535558925</v>
      </c>
      <c r="DO119" s="33" t="n">
        <f aca="false">-$E31*In_Delivered*DO112/Thousand</f>
        <v>-170.636086952248</v>
      </c>
      <c r="DP119" s="33" t="n">
        <f aca="false">-$E31*In_Delivered*DP112/Thousand</f>
        <v>-166.926606801112</v>
      </c>
      <c r="DQ119" s="33" t="n">
        <f aca="false">-$E31*In_Delivered*DQ112/Thousand</f>
        <v>-168.78134687668</v>
      </c>
      <c r="DR119" s="33" t="n">
        <f aca="false">-$E31*In_Delivered*DR112/Thousand</f>
        <v>-170.636086952248</v>
      </c>
      <c r="DS119" s="33" t="n">
        <f aca="false">-$E31*In_Delivered*DS112/Thousand</f>
        <v>-170.124178691392</v>
      </c>
      <c r="DT119" s="33" t="n">
        <f aca="false">-$E31*In_Delivered*DT112/Thousand</f>
        <v>-166.425826980709</v>
      </c>
      <c r="DU119" s="33" t="n">
        <f aca="false">-$E31*In_Delivered*DU112/Thousand</f>
        <v>-168.27500283605</v>
      </c>
      <c r="DV119" s="33" t="n">
        <f aca="false">-$E31*In_Delivered*DV112/Thousand</f>
        <v>-170.124178691392</v>
      </c>
      <c r="DW119" s="33" t="n">
        <f aca="false">-$E31*In_Delivered*DW112/Thousand</f>
        <v>-169.613806155317</v>
      </c>
      <c r="DX119" s="33" t="n">
        <f aca="false">-$E31*In_Delivered*DX112/Thousand</f>
        <v>-167.770177827542</v>
      </c>
      <c r="DY119" s="33" t="n">
        <f aca="false">-$E31*In_Delivered*DY112/Thousand</f>
        <v>-167.770177827542</v>
      </c>
      <c r="DZ119" s="33" t="n">
        <f aca="false">-$E31*In_Delivered*DZ112/Thousand</f>
        <v>-169.613806155317</v>
      </c>
      <c r="EA119" s="33" t="n">
        <f aca="false">-$E31*In_Delivered*EA112/Thousand</f>
        <v>-169.104964736851</v>
      </c>
      <c r="EB119" s="33" t="n">
        <f aca="false">-$E31*In_Delivered*EB112/Thousand</f>
        <v>-165.428769851268</v>
      </c>
      <c r="EC119" s="33" t="n">
        <f aca="false">-$E31*In_Delivered*EC112/Thousand</f>
        <v>-167.26686729406</v>
      </c>
      <c r="ED119" s="33" t="n">
        <f aca="false">-$E31*In_Delivered*ED112/Thousand</f>
        <v>-169.104964736851</v>
      </c>
      <c r="EE119" s="33" t="n">
        <f aca="false">-$E31*In_Delivered*EE112/Thousand</f>
        <v>-168.597649842641</v>
      </c>
      <c r="EF119" s="33" t="n">
        <f aca="false">-$E31*In_Delivered*EF112/Thousand</f>
        <v>-164.932483541714</v>
      </c>
      <c r="EG119" s="33" t="n">
        <f aca="false">-$E31*In_Delivered*EG112/Thousand</f>
        <v>-166.765066692177</v>
      </c>
      <c r="EH119" s="33" t="n">
        <f aca="false">-$E31*In_Delivered*EH112/Thousand</f>
        <v>-168.597649842641</v>
      </c>
      <c r="EI119" s="33" t="n">
        <f aca="false">-$E31*In_Delivered*EI112/Thousand</f>
        <v>-168.091856893113</v>
      </c>
      <c r="EJ119" s="33" t="n">
        <f aca="false">-$E31*In_Delivered*EJ112/Thousand</f>
        <v>-164.437686091089</v>
      </c>
      <c r="EK119" s="33" t="n">
        <f aca="false">-$E31*In_Delivered*EK112/Thousand</f>
        <v>-166.264771492101</v>
      </c>
      <c r="EL119" s="33" t="n">
        <f aca="false">-$E31*In_Delivered*EL112/Thousand</f>
        <v>-168.091856893113</v>
      </c>
      <c r="EM119" s="33" t="n">
        <f aca="false">-$E31*In_Delivered*EM112/Thousand</f>
        <v>-167.587581322434</v>
      </c>
      <c r="EN119" s="33" t="n">
        <f aca="false">-$E31*In_Delivered*EN112/Thousand</f>
        <v>-165.765977177625</v>
      </c>
      <c r="EO119" s="33" t="n">
        <f aca="false">-$E31*In_Delivered*EO112/Thousand</f>
        <v>-165.765977177625</v>
      </c>
      <c r="EP119" s="33" t="n">
        <f aca="false">-$E31*In_Delivered*EP112/Thousand</f>
        <v>-167.587581322434</v>
      </c>
      <c r="EQ119" s="33" t="n">
        <f aca="false">-$E31*In_Delivered*EQ112/Thousand</f>
        <v>-167.084818578466</v>
      </c>
      <c r="ER119" s="33" t="n">
        <f aca="false">-$E31*In_Delivered*ER112/Thousand</f>
        <v>-163.452539913717</v>
      </c>
      <c r="ES119" s="33" t="n">
        <f aca="false">-$E31*In_Delivered*ES112/Thousand</f>
        <v>-165.268679246092</v>
      </c>
      <c r="ET119" s="33" t="n">
        <f aca="false">-$E31*In_Delivered*ET112/Thousand</f>
        <v>-167.084818578466</v>
      </c>
    </row>
    <row r="120" customFormat="false" ht="15" hidden="false" customHeight="false" outlineLevel="0" collapsed="false">
      <c r="C120" s="30" t="s">
        <v>571</v>
      </c>
      <c r="D120" s="11" t="s">
        <v>253</v>
      </c>
      <c r="I120" s="35" t="n">
        <f aca="false">SUM(J120:ET120)</f>
        <v>511909.275115853</v>
      </c>
      <c r="J120" s="35" t="n">
        <f aca="false">SUM(J113:J119)</f>
        <v>0</v>
      </c>
      <c r="K120" s="35" t="n">
        <f aca="false">SUM(K113:K119)</f>
        <v>0</v>
      </c>
      <c r="L120" s="35" t="n">
        <f aca="false">SUM(L113:L119)</f>
        <v>0</v>
      </c>
      <c r="M120" s="35" t="n">
        <f aca="false">SUM(M113:M119)</f>
        <v>0</v>
      </c>
      <c r="N120" s="35" t="n">
        <f aca="false">SUM(N113:N119)</f>
        <v>0</v>
      </c>
      <c r="O120" s="35" t="n">
        <f aca="false">SUM(O113:O119)</f>
        <v>0</v>
      </c>
      <c r="P120" s="35" t="n">
        <f aca="false">SUM(P113:P119)</f>
        <v>0</v>
      </c>
      <c r="Q120" s="35" t="n">
        <f aca="false">SUM(Q113:Q119)</f>
        <v>0</v>
      </c>
      <c r="R120" s="35" t="n">
        <f aca="false">SUM(R113:R119)</f>
        <v>0</v>
      </c>
      <c r="S120" s="35" t="n">
        <f aca="false">SUM(S113:S119)</f>
        <v>0</v>
      </c>
      <c r="T120" s="35" t="n">
        <f aca="false">SUM(T113:T119)</f>
        <v>0</v>
      </c>
      <c r="U120" s="35" t="n">
        <f aca="false">SUM(U113:U119)</f>
        <v>0</v>
      </c>
      <c r="V120" s="35" t="n">
        <f aca="false">SUM(V113:V119)</f>
        <v>0</v>
      </c>
      <c r="W120" s="35" t="n">
        <f aca="false">SUM(W113:W119)</f>
        <v>-75.5714553470293</v>
      </c>
      <c r="X120" s="35" t="n">
        <f aca="false">SUM(X113:X119)</f>
        <v>-75.7768125626462</v>
      </c>
      <c r="Y120" s="35" t="n">
        <f aca="false">SUM(Y113:Y119)</f>
        <v>-76.6187771466756</v>
      </c>
      <c r="Z120" s="35" t="n">
        <f aca="false">SUM(Z113:Z119)</f>
        <v>-77.460741730705</v>
      </c>
      <c r="AA120" s="35" t="n">
        <f aca="false">SUM(AA113:AA119)</f>
        <v>-77.460741730705</v>
      </c>
      <c r="AB120" s="35" t="n">
        <f aca="false">SUM(AB113:AB119)</f>
        <v>-77.6712328767123</v>
      </c>
      <c r="AC120" s="35" t="n">
        <f aca="false">SUM(AC113:AC119)</f>
        <v>-78.5342465753425</v>
      </c>
      <c r="AD120" s="35" t="n">
        <f aca="false">SUM(AD113:AD119)</f>
        <v>-79.3972602739726</v>
      </c>
      <c r="AE120" s="35" t="n">
        <f aca="false">SUM(AE113:AE119)</f>
        <v>4151.10652734247</v>
      </c>
      <c r="AF120" s="35" t="n">
        <f aca="false">SUM(AF113:AF119)</f>
        <v>4133.70976185041</v>
      </c>
      <c r="AG120" s="35" t="n">
        <f aca="false">SUM(AG113:AG119)</f>
        <v>4133.70976185041</v>
      </c>
      <c r="AH120" s="35" t="n">
        <f aca="false">SUM(AH113:AH119)</f>
        <v>4179.13514384877</v>
      </c>
      <c r="AI120" s="35" t="n">
        <f aca="false">SUM(AI113:AI119)</f>
        <v>4164.44111033503</v>
      </c>
      <c r="AJ120" s="35" t="n">
        <f aca="false">SUM(AJ113:AJ119)</f>
        <v>4101.09425535863</v>
      </c>
      <c r="AK120" s="35" t="n">
        <f aca="false">SUM(AK113:AK119)</f>
        <v>4146.66196930706</v>
      </c>
      <c r="AL120" s="35" t="n">
        <f aca="false">SUM(AL113:AL119)</f>
        <v>4192.22968325549</v>
      </c>
      <c r="AM120" s="35" t="n">
        <f aca="false">SUM(AM113:AM119)</f>
        <v>4177.44245042148</v>
      </c>
      <c r="AN120" s="35" t="n">
        <f aca="false">SUM(AN113:AN119)</f>
        <v>4113.56620598525</v>
      </c>
      <c r="AO120" s="35" t="n">
        <f aca="false">SUM(AO113:AO119)</f>
        <v>4159.27249716287</v>
      </c>
      <c r="AP120" s="35" t="n">
        <f aca="false">SUM(AP113:AP119)</f>
        <v>4204.97878834048</v>
      </c>
      <c r="AQ120" s="35" t="n">
        <f aca="false">SUM(AQ113:AQ119)</f>
        <v>4190.09804459661</v>
      </c>
      <c r="AR120" s="35" t="n">
        <f aca="false">SUM(AR113:AR119)</f>
        <v>4125.68766802944</v>
      </c>
      <c r="AS120" s="35" t="n">
        <f aca="false">SUM(AS113:AS119)</f>
        <v>4171.52864211866</v>
      </c>
      <c r="AT120" s="35" t="n">
        <f aca="false">SUM(AT113:AT119)</f>
        <v>4217.36961620788</v>
      </c>
      <c r="AU120" s="35" t="n">
        <f aca="false">SUM(AU113:AU119)</f>
        <v>4202.39505479593</v>
      </c>
      <c r="AV120" s="35" t="n">
        <f aca="false">SUM(AV113:AV119)</f>
        <v>4183.41736098541</v>
      </c>
      <c r="AW120" s="35" t="n">
        <f aca="false">SUM(AW113:AW119)</f>
        <v>4183.41736098541</v>
      </c>
      <c r="AX120" s="35" t="n">
        <f aca="false">SUM(AX113:AX119)</f>
        <v>4229.38898033689</v>
      </c>
      <c r="AY120" s="35" t="n">
        <f aca="false">SUM(AY113:AY119)</f>
        <v>4214.32029951848</v>
      </c>
      <c r="AZ120" s="35" t="n">
        <f aca="false">SUM(AZ113:AZ119)</f>
        <v>4148.8271823853</v>
      </c>
      <c r="BA120" s="35" t="n">
        <f aca="false">SUM(BA113:BA119)</f>
        <v>4194.92526218958</v>
      </c>
      <c r="BB120" s="35" t="n">
        <f aca="false">SUM(BB113:BB119)</f>
        <v>4241.02334199387</v>
      </c>
      <c r="BC120" s="35" t="n">
        <f aca="false">SUM(BC113:BC119)</f>
        <v>4225.86024524354</v>
      </c>
      <c r="BD120" s="35" t="n">
        <f aca="false">SUM(BD113:BD119)</f>
        <v>4159.81839270627</v>
      </c>
      <c r="BE120" s="35" t="n">
        <f aca="false">SUM(BE113:BE119)</f>
        <v>4206.03859706967</v>
      </c>
      <c r="BF120" s="35" t="n">
        <f aca="false">SUM(BF113:BF119)</f>
        <v>4252.25880143308</v>
      </c>
      <c r="BG120" s="35" t="n">
        <f aca="false">SUM(BG113:BG119)</f>
        <v>4237.00099763633</v>
      </c>
      <c r="BH120" s="35" t="n">
        <f aca="false">SUM(BH113:BH119)</f>
        <v>4170.40541303597</v>
      </c>
      <c r="BI120" s="35" t="n">
        <f aca="false">SUM(BI113:BI119)</f>
        <v>4216.74325095859</v>
      </c>
      <c r="BJ120" s="35" t="n">
        <f aca="false">SUM(BJ113:BJ119)</f>
        <v>4263.08108888121</v>
      </c>
      <c r="BK120" s="35" t="n">
        <f aca="false">SUM(BK113:BK119)</f>
        <v>4247.72829253731</v>
      </c>
      <c r="BL120" s="35" t="n">
        <f aca="false">SUM(BL113:BL119)</f>
        <v>4227.02473404685</v>
      </c>
      <c r="BM120" s="35" t="n">
        <f aca="false">SUM(BM113:BM119)</f>
        <v>4227.02473404685</v>
      </c>
      <c r="BN120" s="35" t="n">
        <f aca="false">SUM(BN113:BN119)</f>
        <v>4273.47555530011</v>
      </c>
      <c r="BO120" s="35" t="n">
        <f aca="false">SUM(BO113:BO119)</f>
        <v>4258.02748673002</v>
      </c>
      <c r="BP120" s="35" t="n">
        <f aca="false">SUM(BP113:BP119)</f>
        <v>4190.30918111972</v>
      </c>
      <c r="BQ120" s="35" t="n">
        <f aca="false">SUM(BQ113:BQ119)</f>
        <v>4236.86817202105</v>
      </c>
      <c r="BR120" s="35" t="n">
        <f aca="false">SUM(BR113:BR119)</f>
        <v>4283.42716292238</v>
      </c>
      <c r="BS120" s="35" t="n">
        <f aca="false">SUM(BS113:BS119)</f>
        <v>4267.88354848182</v>
      </c>
      <c r="BT120" s="35" t="n">
        <f aca="false">SUM(BT113:BT119)</f>
        <v>4199.59611739008</v>
      </c>
      <c r="BU120" s="35" t="n">
        <f aca="false">SUM(BU113:BU119)</f>
        <v>4246.25829647219</v>
      </c>
      <c r="BV120" s="35" t="n">
        <f aca="false">SUM(BV113:BV119)</f>
        <v>4292.9204755543</v>
      </c>
      <c r="BW120" s="35" t="n">
        <f aca="false">SUM(BW113:BW119)</f>
        <v>4277.28104785204</v>
      </c>
      <c r="BX120" s="35" t="n">
        <f aca="false">SUM(BX113:BX119)</f>
        <v>4208.41922149599</v>
      </c>
      <c r="BY120" s="35" t="n">
        <f aca="false">SUM(BY113:BY119)</f>
        <v>4255.17943506817</v>
      </c>
      <c r="BZ120" s="35" t="n">
        <f aca="false">SUM(BZ113:BZ119)</f>
        <v>4301.93964864034</v>
      </c>
      <c r="CA120" s="35" t="n">
        <f aca="false">SUM(CA113:CA119)</f>
        <v>4286.20414676194</v>
      </c>
      <c r="CB120" s="35" t="n">
        <f aca="false">SUM(CB113:CB119)</f>
        <v>4263.61550148466</v>
      </c>
      <c r="CC120" s="35" t="n">
        <f aca="false">SUM(CC113:CC119)</f>
        <v>4263.61550148466</v>
      </c>
      <c r="CD120" s="35" t="n">
        <f aca="false">SUM(CD113:CD119)</f>
        <v>4310.4684190834</v>
      </c>
      <c r="CE120" s="35" t="n">
        <f aca="false">SUM(CE113:CE119)</f>
        <v>4294.63658882035</v>
      </c>
      <c r="CF120" s="35" t="n">
        <f aca="false">SUM(CF113:CF119)</f>
        <v>4224.60987536228</v>
      </c>
      <c r="CG120" s="35" t="n">
        <f aca="false">SUM(CG113:CG119)</f>
        <v>4271.54998508853</v>
      </c>
      <c r="CH120" s="35" t="n">
        <f aca="false">SUM(CH113:CH119)</f>
        <v>4318.49009481478</v>
      </c>
      <c r="CI120" s="35" t="n">
        <f aca="false">SUM(CI113:CI119)</f>
        <v>4302.56168889939</v>
      </c>
      <c r="CJ120" s="35" t="n">
        <f aca="false">SUM(CJ113:CJ119)</f>
        <v>4231.94433662722</v>
      </c>
      <c r="CK120" s="35" t="n">
        <f aca="false">SUM(CK113:CK119)</f>
        <v>4278.96594036753</v>
      </c>
      <c r="CL120" s="35" t="n">
        <f aca="false">SUM(CL113:CL119)</f>
        <v>4325.98754410783</v>
      </c>
      <c r="CM120" s="35" t="n">
        <f aca="false">SUM(CM113:CM119)</f>
        <v>4309.96232245379</v>
      </c>
      <c r="CN120" s="35" t="n">
        <f aca="false">SUM(CN113:CN119)</f>
        <v>4238.7487675717</v>
      </c>
      <c r="CO120" s="35" t="n">
        <f aca="false">SUM(CO113:CO119)</f>
        <v>4285.84597610028</v>
      </c>
      <c r="CP120" s="35" t="n">
        <f aca="false">SUM(CP113:CP119)</f>
        <v>4332.94318462885</v>
      </c>
      <c r="CQ120" s="35" t="n">
        <f aca="false">SUM(CQ113:CQ119)</f>
        <v>4316.82091457771</v>
      </c>
      <c r="CR120" s="35" t="n">
        <f aca="false">SUM(CR113:CR119)</f>
        <v>4292.17224426001</v>
      </c>
      <c r="CS120" s="35" t="n">
        <f aca="false">SUM(CS113:CS119)</f>
        <v>4292.17224426001</v>
      </c>
      <c r="CT120" s="35" t="n">
        <f aca="false">SUM(CT113:CT119)</f>
        <v>4339.33897221891</v>
      </c>
      <c r="CU120" s="35" t="n">
        <f aca="false">SUM(CU113:CU119)</f>
        <v>4323.11942879257</v>
      </c>
      <c r="CV120" s="35" t="n">
        <f aca="false">SUM(CV113:CV119)</f>
        <v>4250.69646789126</v>
      </c>
      <c r="CW120" s="35" t="n">
        <f aca="false">SUM(CW113:CW119)</f>
        <v>4297.9264286456</v>
      </c>
      <c r="CX120" s="35" t="n">
        <f aca="false">SUM(CX113:CX119)</f>
        <v>4345.15638939995</v>
      </c>
      <c r="CY120" s="35" t="n">
        <f aca="false">SUM(CY113:CY119)</f>
        <v>4328.83935555932</v>
      </c>
      <c r="CZ120" s="35" t="n">
        <f aca="false">SUM(CZ113:CZ119)</f>
        <v>4255.80303286797</v>
      </c>
      <c r="DA120" s="35" t="n">
        <f aca="false">SUM(DA113:DA119)</f>
        <v>4303.08973323317</v>
      </c>
      <c r="DB120" s="35" t="n">
        <f aca="false">SUM(DB113:DB119)</f>
        <v>4350.37643359837</v>
      </c>
      <c r="DC120" s="35" t="n">
        <f aca="false">SUM(DC113:DC119)</f>
        <v>4333.96170050834</v>
      </c>
      <c r="DD120" s="35" t="n">
        <f aca="false">SUM(DD113:DD119)</f>
        <v>4260.30613540361</v>
      </c>
      <c r="DE120" s="35" t="n">
        <f aca="false">SUM(DE113:DE119)</f>
        <v>4307.64287024143</v>
      </c>
      <c r="DF120" s="35" t="n">
        <f aca="false">SUM(DF113:DF119)</f>
        <v>4354.97960507925</v>
      </c>
      <c r="DG120" s="35" t="n">
        <f aca="false">SUM(DG113:DG119)</f>
        <v>4338.46697238004</v>
      </c>
      <c r="DH120" s="35" t="n">
        <f aca="false">SUM(DH113:DH119)</f>
        <v>4311.56604790374</v>
      </c>
      <c r="DI120" s="35" t="n">
        <f aca="false">SUM(DI113:DI119)</f>
        <v>4311.56604790374</v>
      </c>
      <c r="DJ120" s="35" t="n">
        <f aca="false">SUM(DJ113:DJ119)</f>
        <v>4358.945894584</v>
      </c>
      <c r="DK120" s="35" t="n">
        <f aca="false">SUM(DK113:DK119)</f>
        <v>4342.33517066918</v>
      </c>
      <c r="DL120" s="35" t="n">
        <f aca="false">SUM(DL113:DL119)</f>
        <v>4267.42314521508</v>
      </c>
      <c r="DM120" s="35" t="n">
        <f aca="false">SUM(DM113:DM119)</f>
        <v>4314.83895793969</v>
      </c>
      <c r="DN120" s="35" t="n">
        <f aca="false">SUM(DN113:DN119)</f>
        <v>4362.2547706643</v>
      </c>
      <c r="DO120" s="35" t="n">
        <f aca="false">SUM(DO113:DO119)</f>
        <v>4345.54577296546</v>
      </c>
      <c r="DP120" s="35" t="n">
        <f aca="false">SUM(DP113:DP119)</f>
        <v>4269.99635873289</v>
      </c>
      <c r="DQ120" s="35" t="n">
        <f aca="false">SUM(DQ113:DQ119)</f>
        <v>4317.44076271881</v>
      </c>
      <c r="DR120" s="35" t="n">
        <f aca="false">SUM(DR113:DR119)</f>
        <v>4364.88516670473</v>
      </c>
      <c r="DS120" s="35" t="n">
        <f aca="false">SUM(DS113:DS119)</f>
        <v>4348.0777219831</v>
      </c>
      <c r="DT120" s="35" t="n">
        <f aca="false">SUM(DT113:DT119)</f>
        <v>4271.8846965912</v>
      </c>
      <c r="DU120" s="35" t="n">
        <f aca="false">SUM(DU113:DU119)</f>
        <v>4319.35008210888</v>
      </c>
      <c r="DV120" s="35" t="n">
        <f aca="false">SUM(DV113:DV119)</f>
        <v>4366.81546762656</v>
      </c>
      <c r="DW120" s="35" t="n">
        <f aca="false">SUM(DW113:DW119)</f>
        <v>4349.90941227163</v>
      </c>
      <c r="DX120" s="35" t="n">
        <f aca="false">SUM(DX113:DX119)</f>
        <v>4320.54498000109</v>
      </c>
      <c r="DY120" s="35" t="n">
        <f aca="false">SUM(DY113:DY119)</f>
        <v>4320.54498000109</v>
      </c>
      <c r="DZ120" s="35" t="n">
        <f aca="false">SUM(DZ113:DZ119)</f>
        <v>4368.02349626484</v>
      </c>
      <c r="EA120" s="35" t="n">
        <f aca="false">SUM(EA113:EA119)</f>
        <v>4351.01867660019</v>
      </c>
      <c r="EB120" s="35" t="n">
        <f aca="false">SUM(EB113:EB119)</f>
        <v>4273.5194015975</v>
      </c>
      <c r="EC120" s="35" t="n">
        <f aca="false">SUM(EC113:EC119)</f>
        <v>4321.00295050414</v>
      </c>
      <c r="ED120" s="35" t="n">
        <f aca="false">SUM(ED113:ED119)</f>
        <v>4368.48649941078</v>
      </c>
      <c r="EE120" s="35" t="n">
        <f aca="false">SUM(EE113:EE119)</f>
        <v>4351.38277200729</v>
      </c>
      <c r="EF120" s="35" t="n">
        <f aca="false">SUM(EF113:EF119)</f>
        <v>4273.22067408704</v>
      </c>
      <c r="EG120" s="35" t="n">
        <f aca="false">SUM(EG113:EG119)</f>
        <v>4320.70090379912</v>
      </c>
      <c r="EH120" s="35" t="n">
        <f aca="false">SUM(EH113:EH119)</f>
        <v>4368.1811335112</v>
      </c>
      <c r="EI120" s="35" t="n">
        <f aca="false">SUM(EI113:EI119)</f>
        <v>4350.97836550777</v>
      </c>
      <c r="EJ120" s="35" t="n">
        <f aca="false">SUM(EJ113:EJ119)</f>
        <v>4272.14685327713</v>
      </c>
      <c r="EK120" s="35" t="n">
        <f aca="false">SUM(EK113:EK119)</f>
        <v>4319.61515164688</v>
      </c>
      <c r="EL120" s="35" t="n">
        <f aca="false">SUM(EL113:EL119)</f>
        <v>4367.08345001662</v>
      </c>
      <c r="EM120" s="35" t="n">
        <f aca="false">SUM(EM113:EM119)</f>
        <v>4349.78151944861</v>
      </c>
      <c r="EN120" s="35" t="n">
        <f aca="false">SUM(EN113:EN119)</f>
        <v>4317.72139253939</v>
      </c>
      <c r="EO120" s="35" t="n">
        <f aca="false">SUM(EO113:EO119)</f>
        <v>4317.72139253939</v>
      </c>
      <c r="EP120" s="35" t="n">
        <f aca="false">SUM(EP113:EP119)</f>
        <v>4365.16888036949</v>
      </c>
      <c r="EQ120" s="35" t="n">
        <f aca="false">SUM(EQ113:EQ119)</f>
        <v>4347.76767650498</v>
      </c>
      <c r="ER120" s="35" t="n">
        <f aca="false">SUM(ER113:ER119)</f>
        <v>4267.57717234905</v>
      </c>
      <c r="ES120" s="35" t="n">
        <f aca="false">SUM(ES113:ES119)</f>
        <v>4314.99469648626</v>
      </c>
      <c r="ET120" s="35" t="n">
        <f aca="false">SUM(ET113:ET119)</f>
        <v>4362.41222062347</v>
      </c>
    </row>
    <row r="122" customFormat="false" ht="15" hidden="false" customHeight="false" outlineLevel="0" collapsed="false">
      <c r="A122" s="9" t="s">
        <v>13</v>
      </c>
      <c r="B122" s="9"/>
      <c r="C122" s="9" t="s">
        <v>572</v>
      </c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L122" s="9"/>
      <c r="CM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  <c r="DO122" s="9"/>
      <c r="DP122" s="9"/>
      <c r="DQ122" s="9"/>
      <c r="DR122" s="9"/>
      <c r="DS122" s="9"/>
      <c r="DT122" s="9"/>
      <c r="DU122" s="9"/>
      <c r="DV122" s="9"/>
      <c r="DW122" s="9"/>
      <c r="DX122" s="9"/>
      <c r="DY122" s="9"/>
      <c r="DZ122" s="9"/>
      <c r="EA122" s="9"/>
      <c r="EB122" s="9"/>
      <c r="EC122" s="9"/>
      <c r="ED122" s="9"/>
      <c r="EE122" s="9"/>
      <c r="EF122" s="9"/>
      <c r="EG122" s="9"/>
      <c r="EH122" s="9"/>
      <c r="EI122" s="9"/>
      <c r="EJ122" s="9"/>
      <c r="EK122" s="9"/>
      <c r="EL122" s="9"/>
      <c r="EM122" s="9"/>
      <c r="EN122" s="9"/>
      <c r="EO122" s="9"/>
      <c r="EP122" s="9"/>
      <c r="EQ122" s="9"/>
      <c r="ER122" s="9"/>
      <c r="ES122" s="9"/>
      <c r="ET122" s="9"/>
    </row>
    <row r="123" customFormat="false" ht="15" hidden="false" customHeight="false" outlineLevel="0" collapsed="false">
      <c r="C123" s="0" t="s">
        <v>573</v>
      </c>
      <c r="D123" s="11" t="s">
        <v>253</v>
      </c>
      <c r="E123" s="33" t="n">
        <f aca="false">$I100-($I95+$I53+$I96+$I50)</f>
        <v>163950.691310322</v>
      </c>
      <c r="I123" s="33" t="n">
        <f aca="false">SUM(J123:ET123)</f>
        <v>-163950.691310322</v>
      </c>
      <c r="J123" s="33" t="n">
        <f aca="false">-$E123*J18</f>
        <v>-0</v>
      </c>
      <c r="K123" s="33" t="n">
        <f aca="false">-$E123*K18</f>
        <v>-0</v>
      </c>
      <c r="L123" s="33" t="n">
        <f aca="false">-$E123*L18</f>
        <v>-0</v>
      </c>
      <c r="M123" s="33" t="n">
        <f aca="false">-$E123*M18</f>
        <v>-0</v>
      </c>
      <c r="N123" s="33" t="n">
        <f aca="false">-$E123*N18</f>
        <v>-0</v>
      </c>
      <c r="O123" s="33" t="n">
        <f aca="false">-$E123*O18</f>
        <v>-0</v>
      </c>
      <c r="P123" s="33" t="n">
        <f aca="false">-$E123*P18</f>
        <v>-0</v>
      </c>
      <c r="Q123" s="33" t="n">
        <f aca="false">-$E123*Q18</f>
        <v>-0</v>
      </c>
      <c r="R123" s="33" t="n">
        <f aca="false">-$E123*R18</f>
        <v>-0</v>
      </c>
      <c r="S123" s="33" t="n">
        <f aca="false">-$E123*S18</f>
        <v>-0</v>
      </c>
      <c r="T123" s="33" t="n">
        <f aca="false">-$E123*T18</f>
        <v>-0</v>
      </c>
      <c r="U123" s="33" t="n">
        <f aca="false">-$E123*U18</f>
        <v>-0</v>
      </c>
      <c r="V123" s="33" t="n">
        <f aca="false">-$E123*V18</f>
        <v>-0</v>
      </c>
      <c r="W123" s="33" t="n">
        <f aca="false">-$E123*W18</f>
        <v>-0</v>
      </c>
      <c r="X123" s="33" t="n">
        <f aca="false">-$E123*X18</f>
        <v>-0</v>
      </c>
      <c r="Y123" s="33" t="n">
        <f aca="false">-$E123*Y18</f>
        <v>-0</v>
      </c>
      <c r="Z123" s="33" t="n">
        <f aca="false">-$E123*Z18</f>
        <v>-0</v>
      </c>
      <c r="AA123" s="33" t="n">
        <f aca="false">-$E123*AA18</f>
        <v>-0</v>
      </c>
      <c r="AB123" s="33" t="n">
        <f aca="false">-$E123*AB18</f>
        <v>-0</v>
      </c>
      <c r="AC123" s="33" t="n">
        <f aca="false">-$E123*AC18</f>
        <v>-0</v>
      </c>
      <c r="AD123" s="33" t="n">
        <f aca="false">-$E123*AD18</f>
        <v>-0</v>
      </c>
      <c r="AE123" s="33" t="n">
        <f aca="false">-$E123*AE18</f>
        <v>-2064.81363457216</v>
      </c>
      <c r="AF123" s="33" t="n">
        <f aca="false">-$E123*AF18</f>
        <v>-2042.37000810942</v>
      </c>
      <c r="AG123" s="33" t="n">
        <f aca="false">-$E123*AG18</f>
        <v>-2042.37000810942</v>
      </c>
      <c r="AH123" s="33" t="n">
        <f aca="false">-$E123*AH18</f>
        <v>-2064.81363457216</v>
      </c>
      <c r="AI123" s="33" t="n">
        <f aca="false">-$E123*AI18</f>
        <v>-2064.81363457216</v>
      </c>
      <c r="AJ123" s="33" t="n">
        <f aca="false">-$E123*AJ18</f>
        <v>-2019.92638164668</v>
      </c>
      <c r="AK123" s="33" t="n">
        <f aca="false">-$E123*AK18</f>
        <v>-2042.37000810942</v>
      </c>
      <c r="AL123" s="33" t="n">
        <f aca="false">-$E123*AL18</f>
        <v>-2064.81363457216</v>
      </c>
      <c r="AM123" s="33" t="n">
        <f aca="false">-$E123*AM18</f>
        <v>-2064.81363457216</v>
      </c>
      <c r="AN123" s="33" t="n">
        <f aca="false">-$E123*AN18</f>
        <v>-2019.92638164668</v>
      </c>
      <c r="AO123" s="33" t="n">
        <f aca="false">-$E123*AO18</f>
        <v>-2042.37000810942</v>
      </c>
      <c r="AP123" s="33" t="n">
        <f aca="false">-$E123*AP18</f>
        <v>-2064.81363457216</v>
      </c>
      <c r="AQ123" s="33" t="n">
        <f aca="false">-$E123*AQ18</f>
        <v>-2064.81363457216</v>
      </c>
      <c r="AR123" s="33" t="n">
        <f aca="false">-$E123*AR18</f>
        <v>-2019.92638164668</v>
      </c>
      <c r="AS123" s="33" t="n">
        <f aca="false">-$E123*AS18</f>
        <v>-2042.37000810942</v>
      </c>
      <c r="AT123" s="33" t="n">
        <f aca="false">-$E123*AT18</f>
        <v>-2064.81363457216</v>
      </c>
      <c r="AU123" s="33" t="n">
        <f aca="false">-$E123*AU18</f>
        <v>-2064.81363457216</v>
      </c>
      <c r="AV123" s="33" t="n">
        <f aca="false">-$E123*AV18</f>
        <v>-2042.37000810942</v>
      </c>
      <c r="AW123" s="33" t="n">
        <f aca="false">-$E123*AW18</f>
        <v>-2042.37000810942</v>
      </c>
      <c r="AX123" s="33" t="n">
        <f aca="false">-$E123*AX18</f>
        <v>-2064.81363457216</v>
      </c>
      <c r="AY123" s="33" t="n">
        <f aca="false">-$E123*AY18</f>
        <v>-2064.81363457216</v>
      </c>
      <c r="AZ123" s="33" t="n">
        <f aca="false">-$E123*AZ18</f>
        <v>-2019.92638164668</v>
      </c>
      <c r="BA123" s="33" t="n">
        <f aca="false">-$E123*BA18</f>
        <v>-2042.37000810942</v>
      </c>
      <c r="BB123" s="33" t="n">
        <f aca="false">-$E123*BB18</f>
        <v>-2064.81363457216</v>
      </c>
      <c r="BC123" s="33" t="n">
        <f aca="false">-$E123*BC18</f>
        <v>-2064.81363457216</v>
      </c>
      <c r="BD123" s="33" t="n">
        <f aca="false">-$E123*BD18</f>
        <v>-2019.92638164668</v>
      </c>
      <c r="BE123" s="33" t="n">
        <f aca="false">-$E123*BE18</f>
        <v>-2042.37000810942</v>
      </c>
      <c r="BF123" s="33" t="n">
        <f aca="false">-$E123*BF18</f>
        <v>-2064.81363457216</v>
      </c>
      <c r="BG123" s="33" t="n">
        <f aca="false">-$E123*BG18</f>
        <v>-2064.81363457216</v>
      </c>
      <c r="BH123" s="33" t="n">
        <f aca="false">-$E123*BH18</f>
        <v>-2019.92638164668</v>
      </c>
      <c r="BI123" s="33" t="n">
        <f aca="false">-$E123*BI18</f>
        <v>-2042.37000810942</v>
      </c>
      <c r="BJ123" s="33" t="n">
        <f aca="false">-$E123*BJ18</f>
        <v>-2064.81363457216</v>
      </c>
      <c r="BK123" s="33" t="n">
        <f aca="false">-$E123*BK18</f>
        <v>-2064.81363457216</v>
      </c>
      <c r="BL123" s="33" t="n">
        <f aca="false">-$E123*BL18</f>
        <v>-2042.37000810942</v>
      </c>
      <c r="BM123" s="33" t="n">
        <f aca="false">-$E123*BM18</f>
        <v>-2042.37000810942</v>
      </c>
      <c r="BN123" s="33" t="n">
        <f aca="false">-$E123*BN18</f>
        <v>-2064.81363457216</v>
      </c>
      <c r="BO123" s="33" t="n">
        <f aca="false">-$E123*BO18</f>
        <v>-2064.81363457216</v>
      </c>
      <c r="BP123" s="33" t="n">
        <f aca="false">-$E123*BP18</f>
        <v>-2019.92638164668</v>
      </c>
      <c r="BQ123" s="33" t="n">
        <f aca="false">-$E123*BQ18</f>
        <v>-2042.37000810942</v>
      </c>
      <c r="BR123" s="33" t="n">
        <f aca="false">-$E123*BR18</f>
        <v>-2064.81363457216</v>
      </c>
      <c r="BS123" s="33" t="n">
        <f aca="false">-$E123*BS18</f>
        <v>-2064.81363457216</v>
      </c>
      <c r="BT123" s="33" t="n">
        <f aca="false">-$E123*BT18</f>
        <v>-2019.92638164668</v>
      </c>
      <c r="BU123" s="33" t="n">
        <f aca="false">-$E123*BU18</f>
        <v>-2042.37000810942</v>
      </c>
      <c r="BV123" s="33" t="n">
        <f aca="false">-$E123*BV18</f>
        <v>-2064.81363457216</v>
      </c>
      <c r="BW123" s="33" t="n">
        <f aca="false">-$E123*BW18</f>
        <v>-2064.81363457216</v>
      </c>
      <c r="BX123" s="33" t="n">
        <f aca="false">-$E123*BX18</f>
        <v>-2019.92638164668</v>
      </c>
      <c r="BY123" s="33" t="n">
        <f aca="false">-$E123*BY18</f>
        <v>-2042.37000810942</v>
      </c>
      <c r="BZ123" s="33" t="n">
        <f aca="false">-$E123*BZ18</f>
        <v>-2064.81363457216</v>
      </c>
      <c r="CA123" s="33" t="n">
        <f aca="false">-$E123*CA18</f>
        <v>-2064.81363457216</v>
      </c>
      <c r="CB123" s="33" t="n">
        <f aca="false">-$E123*CB18</f>
        <v>-2042.37000810942</v>
      </c>
      <c r="CC123" s="33" t="n">
        <f aca="false">-$E123*CC18</f>
        <v>-2042.37000810942</v>
      </c>
      <c r="CD123" s="33" t="n">
        <f aca="false">-$E123*CD18</f>
        <v>-2064.81363457216</v>
      </c>
      <c r="CE123" s="33" t="n">
        <f aca="false">-$E123*CE18</f>
        <v>-2064.81363457216</v>
      </c>
      <c r="CF123" s="33" t="n">
        <f aca="false">-$E123*CF18</f>
        <v>-2019.92638164668</v>
      </c>
      <c r="CG123" s="33" t="n">
        <f aca="false">-$E123*CG18</f>
        <v>-2042.37000810942</v>
      </c>
      <c r="CH123" s="33" t="n">
        <f aca="false">-$E123*CH18</f>
        <v>-2064.81363457216</v>
      </c>
      <c r="CI123" s="33" t="n">
        <f aca="false">-$E123*CI18</f>
        <v>-2064.81363457216</v>
      </c>
      <c r="CJ123" s="33" t="n">
        <f aca="false">-$E123*CJ18</f>
        <v>-2019.92638164668</v>
      </c>
      <c r="CK123" s="33" t="n">
        <f aca="false">-$E123*CK18</f>
        <v>-2042.37000810942</v>
      </c>
      <c r="CL123" s="33" t="n">
        <f aca="false">-$E123*CL18</f>
        <v>-2064.81363457216</v>
      </c>
      <c r="CM123" s="33" t="n">
        <f aca="false">-$E123*CM18</f>
        <v>-2064.81363457216</v>
      </c>
      <c r="CN123" s="33" t="n">
        <f aca="false">-$E123*CN18</f>
        <v>-2019.92638164668</v>
      </c>
      <c r="CO123" s="33" t="n">
        <f aca="false">-$E123*CO18</f>
        <v>-2042.37000810942</v>
      </c>
      <c r="CP123" s="33" t="n">
        <f aca="false">-$E123*CP18</f>
        <v>-2064.81363457216</v>
      </c>
      <c r="CQ123" s="33" t="n">
        <f aca="false">-$E123*CQ18</f>
        <v>-2064.81363457216</v>
      </c>
      <c r="CR123" s="33" t="n">
        <f aca="false">-$E123*CR18</f>
        <v>-2042.37000810942</v>
      </c>
      <c r="CS123" s="33" t="n">
        <f aca="false">-$E123*CS18</f>
        <v>-2042.37000810942</v>
      </c>
      <c r="CT123" s="33" t="n">
        <f aca="false">-$E123*CT18</f>
        <v>-2064.81363457216</v>
      </c>
      <c r="CU123" s="33" t="n">
        <f aca="false">-$E123*CU18</f>
        <v>-2064.81363457216</v>
      </c>
      <c r="CV123" s="33" t="n">
        <f aca="false">-$E123*CV18</f>
        <v>-2019.92638164668</v>
      </c>
      <c r="CW123" s="33" t="n">
        <f aca="false">-$E123*CW18</f>
        <v>-2042.37000810942</v>
      </c>
      <c r="CX123" s="33" t="n">
        <f aca="false">-$E123*CX18</f>
        <v>-2064.81363457216</v>
      </c>
      <c r="CY123" s="33" t="n">
        <f aca="false">-$E123*CY18</f>
        <v>-2064.81363457216</v>
      </c>
      <c r="CZ123" s="33" t="n">
        <f aca="false">-$E123*CZ18</f>
        <v>-2019.92638164668</v>
      </c>
      <c r="DA123" s="33" t="n">
        <f aca="false">-$E123*DA18</f>
        <v>-2042.37000810942</v>
      </c>
      <c r="DB123" s="33" t="n">
        <f aca="false">-$E123*DB18</f>
        <v>-2064.81363457216</v>
      </c>
      <c r="DC123" s="33" t="n">
        <f aca="false">-$E123*DC18</f>
        <v>-2064.81363457216</v>
      </c>
      <c r="DD123" s="33" t="n">
        <f aca="false">-$E123*DD18</f>
        <v>-2019.92638164668</v>
      </c>
      <c r="DE123" s="33" t="n">
        <f aca="false">-$E123*DE18</f>
        <v>-2042.37000810942</v>
      </c>
      <c r="DF123" s="33" t="n">
        <f aca="false">-$E123*DF18</f>
        <v>-2064.81363457216</v>
      </c>
      <c r="DG123" s="33" t="n">
        <f aca="false">-$E123*DG18</f>
        <v>-0</v>
      </c>
      <c r="DH123" s="33" t="n">
        <f aca="false">-$E123*DH18</f>
        <v>-0</v>
      </c>
      <c r="DI123" s="33" t="n">
        <f aca="false">-$E123*DI18</f>
        <v>-0</v>
      </c>
      <c r="DJ123" s="33" t="n">
        <f aca="false">-$E123*DJ18</f>
        <v>-0</v>
      </c>
      <c r="DK123" s="33" t="n">
        <f aca="false">-$E123*DK18</f>
        <v>-0</v>
      </c>
      <c r="DL123" s="33" t="n">
        <f aca="false">-$E123*DL18</f>
        <v>-0</v>
      </c>
      <c r="DM123" s="33" t="n">
        <f aca="false">-$E123*DM18</f>
        <v>-0</v>
      </c>
      <c r="DN123" s="33" t="n">
        <f aca="false">-$E123*DN18</f>
        <v>-0</v>
      </c>
      <c r="DO123" s="33" t="n">
        <f aca="false">-$E123*DO18</f>
        <v>-0</v>
      </c>
      <c r="DP123" s="33" t="n">
        <f aca="false">-$E123*DP18</f>
        <v>-0</v>
      </c>
      <c r="DQ123" s="33" t="n">
        <f aca="false">-$E123*DQ18</f>
        <v>-0</v>
      </c>
      <c r="DR123" s="33" t="n">
        <f aca="false">-$E123*DR18</f>
        <v>-0</v>
      </c>
      <c r="DS123" s="33" t="n">
        <f aca="false">-$E123*DS18</f>
        <v>-0</v>
      </c>
      <c r="DT123" s="33" t="n">
        <f aca="false">-$E123*DT18</f>
        <v>-0</v>
      </c>
      <c r="DU123" s="33" t="n">
        <f aca="false">-$E123*DU18</f>
        <v>-0</v>
      </c>
      <c r="DV123" s="33" t="n">
        <f aca="false">-$E123*DV18</f>
        <v>-0</v>
      </c>
      <c r="DW123" s="33" t="n">
        <f aca="false">-$E123*DW18</f>
        <v>-0</v>
      </c>
      <c r="DX123" s="33" t="n">
        <f aca="false">-$E123*DX18</f>
        <v>-0</v>
      </c>
      <c r="DY123" s="33" t="n">
        <f aca="false">-$E123*DY18</f>
        <v>-0</v>
      </c>
      <c r="DZ123" s="33" t="n">
        <f aca="false">-$E123*DZ18</f>
        <v>-0</v>
      </c>
      <c r="EA123" s="33" t="n">
        <f aca="false">-$E123*EA18</f>
        <v>-0</v>
      </c>
      <c r="EB123" s="33" t="n">
        <f aca="false">-$E123*EB18</f>
        <v>-0</v>
      </c>
      <c r="EC123" s="33" t="n">
        <f aca="false">-$E123*EC18</f>
        <v>-0</v>
      </c>
      <c r="ED123" s="33" t="n">
        <f aca="false">-$E123*ED18</f>
        <v>-0</v>
      </c>
      <c r="EE123" s="33" t="n">
        <f aca="false">-$E123*EE18</f>
        <v>-0</v>
      </c>
      <c r="EF123" s="33" t="n">
        <f aca="false">-$E123*EF18</f>
        <v>-0</v>
      </c>
      <c r="EG123" s="33" t="n">
        <f aca="false">-$E123*EG18</f>
        <v>-0</v>
      </c>
      <c r="EH123" s="33" t="n">
        <f aca="false">-$E123*EH18</f>
        <v>-0</v>
      </c>
      <c r="EI123" s="33" t="n">
        <f aca="false">-$E123*EI18</f>
        <v>-0</v>
      </c>
      <c r="EJ123" s="33" t="n">
        <f aca="false">-$E123*EJ18</f>
        <v>-0</v>
      </c>
      <c r="EK123" s="33" t="n">
        <f aca="false">-$E123*EK18</f>
        <v>-0</v>
      </c>
      <c r="EL123" s="33" t="n">
        <f aca="false">-$E123*EL18</f>
        <v>-0</v>
      </c>
      <c r="EM123" s="33" t="n">
        <f aca="false">-$E123*EM18</f>
        <v>-0</v>
      </c>
      <c r="EN123" s="33" t="n">
        <f aca="false">-$E123*EN18</f>
        <v>-0</v>
      </c>
      <c r="EO123" s="33" t="n">
        <f aca="false">-$E123*EO18</f>
        <v>-0</v>
      </c>
      <c r="EP123" s="33" t="n">
        <f aca="false">-$E123*EP18</f>
        <v>-0</v>
      </c>
      <c r="EQ123" s="33" t="n">
        <f aca="false">-$E123*EQ18</f>
        <v>-0</v>
      </c>
      <c r="ER123" s="33" t="n">
        <f aca="false">-$E123*ER18</f>
        <v>-0</v>
      </c>
      <c r="ES123" s="33" t="n">
        <f aca="false">-$E123*ES18</f>
        <v>-0</v>
      </c>
      <c r="ET123" s="33" t="n">
        <f aca="false">-$E123*ET18</f>
        <v>-0</v>
      </c>
    </row>
    <row r="124" customFormat="false" ht="15" hidden="false" customHeight="false" outlineLevel="0" collapsed="false">
      <c r="C124" s="0" t="s">
        <v>574</v>
      </c>
      <c r="D124" s="11" t="s">
        <v>253</v>
      </c>
      <c r="I124" s="33" t="n">
        <f aca="false">SUM(J124:ET124)</f>
        <v>314710.729599994</v>
      </c>
      <c r="J124" s="33" t="n">
        <f aca="false">J120+J123+J103+J104+J105+J57</f>
        <v>0</v>
      </c>
      <c r="K124" s="33" t="n">
        <f aca="false">K120+K123+K103+K104+K105+K57</f>
        <v>-178.520547945205</v>
      </c>
      <c r="L124" s="33" t="n">
        <f aca="false">L120+L123+L103+L104+L105+L57</f>
        <v>-588.444520547945</v>
      </c>
      <c r="M124" s="33" t="n">
        <f aca="false">M120+M123+M103+M104+M105+M57</f>
        <v>-43.8356164383562</v>
      </c>
      <c r="N124" s="33" t="n">
        <f aca="false">N120+N123+N103+N104+N105+N57</f>
        <v>-43.8356164383562</v>
      </c>
      <c r="O124" s="33" t="n">
        <f aca="false">O120+O123+O103+O104+O105+O57</f>
        <v>-184.361643835616</v>
      </c>
      <c r="P124" s="33" t="n">
        <f aca="false">P120+P123+P103+P104+P105+P57</f>
        <v>-1290.04179480011</v>
      </c>
      <c r="Q124" s="33" t="n">
        <f aca="false">Q120+Q123+Q103+Q104+Q105+Q57</f>
        <v>-4.60958904109589</v>
      </c>
      <c r="R124" s="33" t="n">
        <f aca="false">R120+R123+R103+R104+R105+R57</f>
        <v>-164.091509980431</v>
      </c>
      <c r="S124" s="33" t="n">
        <f aca="false">S120+S123+S103+S104+S105+S57</f>
        <v>-317.226138697232</v>
      </c>
      <c r="T124" s="33" t="n">
        <f aca="false">T120+T123+T103+T104+T105+T57</f>
        <v>-304.657534246575</v>
      </c>
      <c r="U124" s="33" t="n">
        <f aca="false">U120+U123+U103+U104+U105+U57</f>
        <v>0</v>
      </c>
      <c r="V124" s="33" t="n">
        <f aca="false">V120+V123+V103+V104+V105+V57</f>
        <v>0</v>
      </c>
      <c r="W124" s="33" t="n">
        <f aca="false">W120+W123+W103+W104+W105+W57</f>
        <v>-1955.01413865224</v>
      </c>
      <c r="X124" s="33" t="n">
        <f aca="false">X120+X123+X103+X104+X105+X57</f>
        <v>-260.170263472354</v>
      </c>
      <c r="Y124" s="33" t="n">
        <f aca="false">Y120+Y123+Y103+Y104+Y105+Y57</f>
        <v>-236.760410897378</v>
      </c>
      <c r="Z124" s="33" t="n">
        <f aca="false">Z120+Z123+Z103+Z104+Z105+Z57</f>
        <v>-212.477081856929</v>
      </c>
      <c r="AA124" s="33" t="n">
        <f aca="false">AA120+AA123+AA103+AA104+AA105+AA57</f>
        <v>-185.296549490162</v>
      </c>
      <c r="AB124" s="33" t="n">
        <f aca="false">AB120+AB123+AB103+AB104+AB105+AB57</f>
        <v>-156.573132717387</v>
      </c>
      <c r="AC124" s="33" t="n">
        <f aca="false">AC120+AC123+AC103+AC104+AC105+AC57</f>
        <v>-132.0122009118</v>
      </c>
      <c r="AD124" s="33" t="n">
        <f aca="false">AD120+AD123+AD103+AD104+AD105+AD57</f>
        <v>-106.57779264074</v>
      </c>
      <c r="AE124" s="33" t="n">
        <f aca="false">AE120+AE123+AE103+AE104+AE105+AE57</f>
        <v>844.592147336478</v>
      </c>
      <c r="AF124" s="33" t="n">
        <f aca="false">AF120+AF123+AF103+AF104+AF105+AF57</f>
        <v>873.754592434829</v>
      </c>
      <c r="AG124" s="33" t="n">
        <f aca="false">AG120+AG123+AG103+AG104+AG105+AG57</f>
        <v>898.171621364089</v>
      </c>
      <c r="AH124" s="33" t="n">
        <f aca="false">AH120+AH123+AH103+AH104+AH105+AH57</f>
        <v>945.875618690579</v>
      </c>
      <c r="AI124" s="33" t="n">
        <f aca="false">AI120+AI123+AI103+AI104+AI105+AI57</f>
        <v>956.212854990103</v>
      </c>
      <c r="AJ124" s="33" t="n">
        <f aca="false">AJ120+AJ123+AJ103+AJ104+AJ105+AJ57</f>
        <v>963.097413625111</v>
      </c>
      <c r="AK124" s="33" t="n">
        <f aca="false">AK120+AK123+AK103+AK104+AK105+AK57</f>
        <v>1011.8824638053</v>
      </c>
      <c r="AL124" s="33" t="n">
        <f aca="false">AL120+AL123+AL103+AL104+AL105+AL57</f>
        <v>1060.98827601917</v>
      </c>
      <c r="AM124" s="33" t="n">
        <f aca="false">AM120+AM123+AM103+AM104+AM105+AM57</f>
        <v>1072.50753947244</v>
      </c>
      <c r="AN124" s="33" t="n">
        <f aca="false">AN120+AN123+AN103+AN104+AN105+AN57</f>
        <v>1080.15387545258</v>
      </c>
      <c r="AO124" s="33" t="n">
        <f aca="false">AO120+AO123+AO103+AO104+AO105+AO57</f>
        <v>1130.38480925196</v>
      </c>
      <c r="AP124" s="33" t="n">
        <f aca="false">AP120+AP123+AP103+AP104+AP105+AP57</f>
        <v>1180.9528464149</v>
      </c>
      <c r="AQ124" s="33" t="n">
        <f aca="false">AQ120+AQ123+AQ103+AQ104+AQ105+AQ57</f>
        <v>1193.7187922747</v>
      </c>
      <c r="AR124" s="33" t="n">
        <f aca="false">AR120+AR123+AR103+AR104+AR105+AR57</f>
        <v>1202.18794185673</v>
      </c>
      <c r="AS124" s="33" t="n">
        <f aca="false">AS120+AS123+AS103+AS104+AS105+AS57</f>
        <v>1253.92746612221</v>
      </c>
      <c r="AT124" s="33" t="n">
        <f aca="false">AT120+AT123+AT103+AT104+AT105+AT57</f>
        <v>1306.02126759569</v>
      </c>
      <c r="AU124" s="33" t="n">
        <f aca="false">AU120+AU123+AU103+AU104+AU105+AU57</f>
        <v>1320.10186570383</v>
      </c>
      <c r="AV124" s="33" t="n">
        <f aca="false">AV120+AV123+AV103+AV104+AV105+AV57</f>
        <v>1352.98614737013</v>
      </c>
      <c r="AW124" s="33" t="n">
        <f aca="false">AW120+AW123+AW103+AW104+AW105+AW57</f>
        <v>1382.7722257469</v>
      </c>
      <c r="AX124" s="33" t="n">
        <f aca="false">AX120+AX123+AX103+AX104+AX105+AX57</f>
        <v>1436.45862299212</v>
      </c>
      <c r="AY124" s="33" t="n">
        <f aca="false">AY120+AY123+AY103+AY104+AY105+AY57</f>
        <v>1451.92532658463</v>
      </c>
      <c r="AZ124" s="33" t="n">
        <f aca="false">AZ120+AZ123+AZ103+AZ104+AZ105+AZ57</f>
        <v>1462.236539093</v>
      </c>
      <c r="BA124" s="33" t="n">
        <f aca="false">BA120+BA123+BA103+BA104+BA105+BA57</f>
        <v>1517.19453260956</v>
      </c>
      <c r="BB124" s="33" t="n">
        <f aca="false">BB120+BB123+BB103+BB104+BB105+BB57</f>
        <v>1572.5438203783</v>
      </c>
      <c r="BC124" s="33" t="n">
        <f aca="false">BC120+BC123+BC103+BC104+BC105+BC57</f>
        <v>1589.47174348552</v>
      </c>
      <c r="BD124" s="33" t="n">
        <f aca="false">BD120+BD123+BD103+BD104+BD105+BD57</f>
        <v>1600.8093014795</v>
      </c>
      <c r="BE124" s="33" t="n">
        <f aca="false">BE120+BE123+BE103+BE104+BE105+BE57</f>
        <v>1657.484188956</v>
      </c>
      <c r="BF124" s="33" t="n">
        <f aca="false">BF120+BF123+BF103+BF104+BF105+BF57</f>
        <v>1714.57030530219</v>
      </c>
      <c r="BG124" s="33" t="n">
        <f aca="false">BG120+BG123+BG103+BG104+BG105+BG57</f>
        <v>1733.03840918154</v>
      </c>
      <c r="BH124" s="33" t="n">
        <f aca="false">BH120+BH123+BH103+BH104+BH105+BH57</f>
        <v>1745.47755902872</v>
      </c>
      <c r="BI124" s="33" t="n">
        <f aca="false">BI120+BI123+BI103+BI104+BI105+BI57</f>
        <v>1803.94609552968</v>
      </c>
      <c r="BJ124" s="33" t="n">
        <f aca="false">BJ120+BJ123+BJ103+BJ104+BJ105+BJ57</f>
        <v>1862.84681109366</v>
      </c>
      <c r="BK124" s="33" t="n">
        <f aca="false">BK120+BK123+BK103+BK104+BK105+BK57</f>
        <v>1882.93810015514</v>
      </c>
      <c r="BL124" s="33" t="n">
        <f aca="false">BL120+BL123+BL103+BL104+BL105+BL57</f>
        <v>1920.56530460039</v>
      </c>
      <c r="BM124" s="33" t="n">
        <f aca="false">BM120+BM123+BM103+BM104+BM105+BM57</f>
        <v>1956.90103027926</v>
      </c>
      <c r="BN124" s="33" t="n">
        <f aca="false">BN120+BN123+BN103+BN104+BN105+BN57</f>
        <v>2017.69814731964</v>
      </c>
      <c r="BO124" s="33" t="n">
        <f aca="false">BO120+BO123+BO103+BO104+BO105+BO57</f>
        <v>2039.49987502753</v>
      </c>
      <c r="BP124" s="33" t="n">
        <f aca="false">BP120+BP123+BP103+BP104+BP105+BP57</f>
        <v>2054.38424107417</v>
      </c>
      <c r="BQ124" s="33" t="n">
        <f aca="false">BQ120+BQ123+BQ103+BQ104+BQ105+BQ57</f>
        <v>2116.68646697836</v>
      </c>
      <c r="BR124" s="33" t="n">
        <f aca="false">BR120+BR123+BR103+BR104+BR105+BR57</f>
        <v>2179.46602865087</v>
      </c>
      <c r="BS124" s="33" t="n">
        <f aca="false">BS120+BS123+BS103+BS104+BS105+BS57</f>
        <v>2203.06991390965</v>
      </c>
      <c r="BT124" s="33" t="n">
        <f aca="false">BT120+BT123+BT103+BT104+BT105+BT57</f>
        <v>2179.6697357434</v>
      </c>
      <c r="BU124" s="33" t="n">
        <f aca="false">BU120+BU123+BU103+BU104+BU105+BU57</f>
        <v>2203.88828836277</v>
      </c>
      <c r="BV124" s="33" t="n">
        <f aca="false">BV120+BV123+BV103+BV104+BV105+BV57</f>
        <v>2228.10684098214</v>
      </c>
      <c r="BW124" s="33" t="n">
        <f aca="false">BW120+BW123+BW103+BW104+BW105+BW57</f>
        <v>2212.46741327988</v>
      </c>
      <c r="BX124" s="33" t="n">
        <f aca="false">BX120+BX123+BX103+BX104+BX105+BX57</f>
        <v>2188.49283984931</v>
      </c>
      <c r="BY124" s="33" t="n">
        <f aca="false">BY120+BY123+BY103+BY104+BY105+BY57</f>
        <v>2212.80942695874</v>
      </c>
      <c r="BZ124" s="33" t="n">
        <f aca="false">BZ120+BZ123+BZ103+BZ104+BZ105+BZ57</f>
        <v>2237.12601406818</v>
      </c>
      <c r="CA124" s="33" t="n">
        <f aca="false">CA120+CA123+CA103+CA104+CA105+CA57</f>
        <v>2221.39051218978</v>
      </c>
      <c r="CB124" s="33" t="n">
        <f aca="false">CB120+CB123+CB103+CB104+CB105+CB57</f>
        <v>2221.24549337524</v>
      </c>
      <c r="CC124" s="33" t="n">
        <f aca="false">CC120+CC123+CC103+CC104+CC105+CC57</f>
        <v>2221.24549337524</v>
      </c>
      <c r="CD124" s="33" t="n">
        <f aca="false">CD120+CD123+CD103+CD104+CD105+CD57</f>
        <v>2245.65478451123</v>
      </c>
      <c r="CE124" s="33" t="n">
        <f aca="false">CE120+CE123+CE103+CE104+CE105+CE57</f>
        <v>2229.82295424819</v>
      </c>
      <c r="CF124" s="33" t="n">
        <f aca="false">CF120+CF123+CF103+CF104+CF105+CF57</f>
        <v>2204.6834937156</v>
      </c>
      <c r="CG124" s="33" t="n">
        <f aca="false">CG120+CG123+CG103+CG104+CG105+CG57</f>
        <v>2229.17997697911</v>
      </c>
      <c r="CH124" s="33" t="n">
        <f aca="false">CH120+CH123+CH103+CH104+CH105+CH57</f>
        <v>2253.67646024261</v>
      </c>
      <c r="CI124" s="33" t="n">
        <f aca="false">CI120+CI123+CI103+CI104+CI105+CI57</f>
        <v>2237.74805432723</v>
      </c>
      <c r="CJ124" s="33" t="n">
        <f aca="false">CJ120+CJ123+CJ103+CJ104+CJ105+CJ57</f>
        <v>2212.01795498054</v>
      </c>
      <c r="CK124" s="33" t="n">
        <f aca="false">CK120+CK123+CK103+CK104+CK105+CK57</f>
        <v>2236.5959322581</v>
      </c>
      <c r="CL124" s="33" t="n">
        <f aca="false">CL120+CL123+CL103+CL104+CL105+CL57</f>
        <v>2261.17390953566</v>
      </c>
      <c r="CM124" s="33" t="n">
        <f aca="false">CM120+CM123+CM103+CM104+CM105+CM57</f>
        <v>2245.14868788163</v>
      </c>
      <c r="CN124" s="33" t="n">
        <f aca="false">CN120+CN123+CN103+CN104+CN105+CN57</f>
        <v>2218.82238592502</v>
      </c>
      <c r="CO124" s="33" t="n">
        <f aca="false">CO120+CO123+CO103+CO104+CO105+CO57</f>
        <v>2243.47596799085</v>
      </c>
      <c r="CP124" s="33" t="n">
        <f aca="false">CP120+CP123+CP103+CP104+CP105+CP57</f>
        <v>2268.12955005669</v>
      </c>
      <c r="CQ124" s="33" t="n">
        <f aca="false">CQ120+CQ123+CQ103+CQ104+CQ105+CQ57</f>
        <v>2252.00728000554</v>
      </c>
      <c r="CR124" s="33" t="n">
        <f aca="false">CR120+CR123+CR103+CR104+CR105+CR57</f>
        <v>2249.80223615059</v>
      </c>
      <c r="CS124" s="33" t="n">
        <f aca="false">CS120+CS123+CS103+CS104+CS105+CS57</f>
        <v>2249.80223615059</v>
      </c>
      <c r="CT124" s="33" t="n">
        <f aca="false">CT120+CT123+CT103+CT104+CT105+CT57</f>
        <v>2274.52533764675</v>
      </c>
      <c r="CU124" s="33" t="n">
        <f aca="false">CU120+CU123+CU103+CU104+CU105+CU57</f>
        <v>2258.3057942204</v>
      </c>
      <c r="CV124" s="33" t="n">
        <f aca="false">CV120+CV123+CV103+CV104+CV105+CV57</f>
        <v>2230.77008624457</v>
      </c>
      <c r="CW124" s="33" t="n">
        <f aca="false">CW120+CW123+CW103+CW104+CW105+CW57</f>
        <v>2255.55642053618</v>
      </c>
      <c r="CX124" s="33" t="n">
        <f aca="false">CX120+CX123+CX103+CX104+CX105+CX57</f>
        <v>2280.34275482779</v>
      </c>
      <c r="CY124" s="33" t="n">
        <f aca="false">CY120+CY123+CY103+CY104+CY105+CY57</f>
        <v>2264.02572098716</v>
      </c>
      <c r="CZ124" s="33" t="n">
        <f aca="false">CZ120+CZ123+CZ103+CZ104+CZ105+CZ57</f>
        <v>2235.87665122129</v>
      </c>
      <c r="DA124" s="33" t="n">
        <f aca="false">DA120+DA123+DA103+DA104+DA105+DA57</f>
        <v>2260.71972512375</v>
      </c>
      <c r="DB124" s="33" t="n">
        <f aca="false">DB120+DB123+DB103+DB104+DB105+DB57</f>
        <v>2285.56279902621</v>
      </c>
      <c r="DC124" s="33" t="n">
        <f aca="false">DC120+DC123+DC103+DC104+DC105+DC57</f>
        <v>2269.14806593617</v>
      </c>
      <c r="DD124" s="33" t="n">
        <f aca="false">DD120+DD123+DD103+DD104+DD105+DD57</f>
        <v>2240.37975375693</v>
      </c>
      <c r="DE124" s="33" t="n">
        <f aca="false">DE120+DE123+DE103+DE104+DE105+DE57</f>
        <v>2265.27286213201</v>
      </c>
      <c r="DF124" s="33" t="n">
        <f aca="false">DF120+DF123+DF103+DF104+DF105+DF57</f>
        <v>2290.16597050708</v>
      </c>
      <c r="DG124" s="33" t="n">
        <f aca="false">DG120+DG123+DG103+DG104+DG105+DG57</f>
        <v>4338.46697238004</v>
      </c>
      <c r="DH124" s="33" t="n">
        <f aca="false">DH120+DH123+DH103+DH104+DH105+DH57</f>
        <v>4311.56604790374</v>
      </c>
      <c r="DI124" s="33" t="n">
        <f aca="false">DI120+DI123+DI103+DI104+DI105+DI57</f>
        <v>4311.56604790374</v>
      </c>
      <c r="DJ124" s="33" t="n">
        <f aca="false">DJ120+DJ123+DJ103+DJ104+DJ105+DJ57</f>
        <v>4358.945894584</v>
      </c>
      <c r="DK124" s="33" t="n">
        <f aca="false">DK120+DK123+DK103+DK104+DK105+DK57</f>
        <v>4342.33517066918</v>
      </c>
      <c r="DL124" s="33" t="n">
        <f aca="false">DL120+DL123+DL103+DL104+DL105+DL57</f>
        <v>4267.42314521508</v>
      </c>
      <c r="DM124" s="33" t="n">
        <f aca="false">DM120+DM123+DM103+DM104+DM105+DM57</f>
        <v>4314.83895793969</v>
      </c>
      <c r="DN124" s="33" t="n">
        <f aca="false">DN120+DN123+DN103+DN104+DN105+DN57</f>
        <v>4362.2547706643</v>
      </c>
      <c r="DO124" s="33" t="n">
        <f aca="false">DO120+DO123+DO103+DO104+DO105+DO57</f>
        <v>4345.54577296546</v>
      </c>
      <c r="DP124" s="33" t="n">
        <f aca="false">DP120+DP123+DP103+DP104+DP105+DP57</f>
        <v>4269.99635873289</v>
      </c>
      <c r="DQ124" s="33" t="n">
        <f aca="false">DQ120+DQ123+DQ103+DQ104+DQ105+DQ57</f>
        <v>4317.44076271881</v>
      </c>
      <c r="DR124" s="33" t="n">
        <f aca="false">DR120+DR123+DR103+DR104+DR105+DR57</f>
        <v>4364.88516670473</v>
      </c>
      <c r="DS124" s="33" t="n">
        <f aca="false">DS120+DS123+DS103+DS104+DS105+DS57</f>
        <v>4348.0777219831</v>
      </c>
      <c r="DT124" s="33" t="n">
        <f aca="false">DT120+DT123+DT103+DT104+DT105+DT57</f>
        <v>4271.8846965912</v>
      </c>
      <c r="DU124" s="33" t="n">
        <f aca="false">DU120+DU123+DU103+DU104+DU105+DU57</f>
        <v>4319.35008210888</v>
      </c>
      <c r="DV124" s="33" t="n">
        <f aca="false">DV120+DV123+DV103+DV104+DV105+DV57</f>
        <v>4366.81546762656</v>
      </c>
      <c r="DW124" s="33" t="n">
        <f aca="false">DW120+DW123+DW103+DW104+DW105+DW57</f>
        <v>4349.90941227163</v>
      </c>
      <c r="DX124" s="33" t="n">
        <f aca="false">DX120+DX123+DX103+DX104+DX105+DX57</f>
        <v>4320.54498000109</v>
      </c>
      <c r="DY124" s="33" t="n">
        <f aca="false">DY120+DY123+DY103+DY104+DY105+DY57</f>
        <v>4320.54498000109</v>
      </c>
      <c r="DZ124" s="33" t="n">
        <f aca="false">DZ120+DZ123+DZ103+DZ104+DZ105+DZ57</f>
        <v>4368.02349626484</v>
      </c>
      <c r="EA124" s="33" t="n">
        <f aca="false">EA120+EA123+EA103+EA104+EA105+EA57</f>
        <v>4351.01867660019</v>
      </c>
      <c r="EB124" s="33" t="n">
        <f aca="false">EB120+EB123+EB103+EB104+EB105+EB57</f>
        <v>4273.5194015975</v>
      </c>
      <c r="EC124" s="33" t="n">
        <f aca="false">EC120+EC123+EC103+EC104+EC105+EC57</f>
        <v>4321.00295050414</v>
      </c>
      <c r="ED124" s="33" t="n">
        <f aca="false">ED120+ED123+ED103+ED104+ED105+ED57</f>
        <v>4368.48649941078</v>
      </c>
      <c r="EE124" s="33" t="n">
        <f aca="false">EE120+EE123+EE103+EE104+EE105+EE57</f>
        <v>4351.38277200729</v>
      </c>
      <c r="EF124" s="33" t="n">
        <f aca="false">EF120+EF123+EF103+EF104+EF105+EF57</f>
        <v>4273.22067408704</v>
      </c>
      <c r="EG124" s="33" t="n">
        <f aca="false">EG120+EG123+EG103+EG104+EG105+EG57</f>
        <v>4320.70090379912</v>
      </c>
      <c r="EH124" s="33" t="n">
        <f aca="false">EH120+EH123+EH103+EH104+EH105+EH57</f>
        <v>4368.1811335112</v>
      </c>
      <c r="EI124" s="33" t="n">
        <f aca="false">EI120+EI123+EI103+EI104+EI105+EI57</f>
        <v>4350.97836550777</v>
      </c>
      <c r="EJ124" s="33" t="n">
        <f aca="false">EJ120+EJ123+EJ103+EJ104+EJ105+EJ57</f>
        <v>4272.14685327713</v>
      </c>
      <c r="EK124" s="33" t="n">
        <f aca="false">EK120+EK123+EK103+EK104+EK105+EK57</f>
        <v>4319.61515164688</v>
      </c>
      <c r="EL124" s="33" t="n">
        <f aca="false">EL120+EL123+EL103+EL104+EL105+EL57</f>
        <v>4367.08345001662</v>
      </c>
      <c r="EM124" s="33" t="n">
        <f aca="false">EM120+EM123+EM103+EM104+EM105+EM57</f>
        <v>4349.78151944861</v>
      </c>
      <c r="EN124" s="33" t="n">
        <f aca="false">EN120+EN123+EN103+EN104+EN105+EN57</f>
        <v>4317.72139253939</v>
      </c>
      <c r="EO124" s="33" t="n">
        <f aca="false">EO120+EO123+EO103+EO104+EO105+EO57</f>
        <v>4317.72139253939</v>
      </c>
      <c r="EP124" s="33" t="n">
        <f aca="false">EP120+EP123+EP103+EP104+EP105+EP57</f>
        <v>4365.16888036949</v>
      </c>
      <c r="EQ124" s="33" t="n">
        <f aca="false">EQ120+EQ123+EQ103+EQ104+EQ105+EQ57</f>
        <v>4347.76767650498</v>
      </c>
      <c r="ER124" s="33" t="n">
        <f aca="false">ER120+ER123+ER103+ER104+ER105+ER57</f>
        <v>4267.57717234905</v>
      </c>
      <c r="ES124" s="33" t="n">
        <f aca="false">ES120+ES123+ES103+ES104+ES105+ES57</f>
        <v>4314.99469648626</v>
      </c>
      <c r="ET124" s="33" t="n">
        <f aca="false">ET120+ET123+ET103+ET104+ET105+ET57</f>
        <v>4362.41222062347</v>
      </c>
    </row>
    <row r="125" customFormat="false" ht="15" hidden="false" customHeight="false" outlineLevel="0" collapsed="false">
      <c r="C125" s="0" t="s">
        <v>575</v>
      </c>
      <c r="D125" s="11" t="s">
        <v>253</v>
      </c>
      <c r="J125" s="22" t="n">
        <f aca="false">I128</f>
        <v>0</v>
      </c>
      <c r="K125" s="22" t="n">
        <f aca="false">J128</f>
        <v>0</v>
      </c>
      <c r="L125" s="22" t="n">
        <f aca="false">K128</f>
        <v>178.520547945205</v>
      </c>
      <c r="M125" s="22" t="n">
        <f aca="false">L128</f>
        <v>766.965068493151</v>
      </c>
      <c r="N125" s="22" t="n">
        <f aca="false">M128</f>
        <v>810.800684931507</v>
      </c>
      <c r="O125" s="22" t="n">
        <f aca="false">N128</f>
        <v>854.636301369863</v>
      </c>
      <c r="P125" s="22" t="n">
        <f aca="false">O128</f>
        <v>1038.99794520548</v>
      </c>
      <c r="Q125" s="22" t="n">
        <f aca="false">P128</f>
        <v>2329.03974000559</v>
      </c>
      <c r="R125" s="22" t="n">
        <f aca="false">Q128</f>
        <v>2333.64932904669</v>
      </c>
      <c r="S125" s="22" t="n">
        <f aca="false">R128</f>
        <v>2497.74083902712</v>
      </c>
      <c r="T125" s="22" t="n">
        <f aca="false">S128</f>
        <v>2814.96697772435</v>
      </c>
      <c r="U125" s="22" t="n">
        <f aca="false">T128</f>
        <v>3119.62451197093</v>
      </c>
      <c r="V125" s="22" t="n">
        <f aca="false">U128</f>
        <v>3119.62451197093</v>
      </c>
      <c r="W125" s="22" t="n">
        <f aca="false">V128</f>
        <v>3119.62451197093</v>
      </c>
      <c r="X125" s="22" t="n">
        <f aca="false">W128</f>
        <v>5074.63865062317</v>
      </c>
      <c r="Y125" s="22" t="n">
        <f aca="false">X128</f>
        <v>5334.80891409552</v>
      </c>
      <c r="Z125" s="22" t="n">
        <f aca="false">Y128</f>
        <v>5571.5693249929</v>
      </c>
      <c r="AA125" s="22" t="n">
        <f aca="false">Z128</f>
        <v>5784.04640684983</v>
      </c>
      <c r="AB125" s="22" t="n">
        <f aca="false">AA128</f>
        <v>5969.34295633999</v>
      </c>
      <c r="AC125" s="22" t="n">
        <f aca="false">AB128</f>
        <v>6125.91608905738</v>
      </c>
      <c r="AD125" s="22" t="n">
        <f aca="false">AC128</f>
        <v>6257.92828996918</v>
      </c>
      <c r="AE125" s="22" t="n">
        <f aca="false">AD128</f>
        <v>6364.50608260992</v>
      </c>
      <c r="AF125" s="22" t="n">
        <f aca="false">AE128</f>
        <v>5519.91393527344</v>
      </c>
      <c r="AG125" s="22" t="n">
        <f aca="false">AF128</f>
        <v>4646.15934283861</v>
      </c>
      <c r="AH125" s="22" t="n">
        <f aca="false">AG128</f>
        <v>3747.98772147452</v>
      </c>
      <c r="AI125" s="22" t="n">
        <f aca="false">AH128</f>
        <v>2802.11210278394</v>
      </c>
      <c r="AJ125" s="22" t="n">
        <f aca="false">AI128</f>
        <v>1845.89924779384</v>
      </c>
      <c r="AK125" s="22" t="n">
        <f aca="false">AJ128</f>
        <v>882.801834168731</v>
      </c>
      <c r="AL125" s="22" t="n">
        <f aca="false">AK128</f>
        <v>0</v>
      </c>
      <c r="AM125" s="22" t="n">
        <f aca="false">AL128</f>
        <v>0</v>
      </c>
      <c r="AN125" s="22" t="n">
        <f aca="false">AM128</f>
        <v>0</v>
      </c>
      <c r="AO125" s="22" t="n">
        <f aca="false">AN128</f>
        <v>0</v>
      </c>
      <c r="AP125" s="22" t="n">
        <f aca="false">AO128</f>
        <v>0</v>
      </c>
      <c r="AQ125" s="22" t="n">
        <f aca="false">AP128</f>
        <v>0</v>
      </c>
      <c r="AR125" s="22" t="n">
        <f aca="false">AQ128</f>
        <v>0</v>
      </c>
      <c r="AS125" s="22" t="n">
        <f aca="false">AR128</f>
        <v>0</v>
      </c>
      <c r="AT125" s="22" t="n">
        <f aca="false">AS128</f>
        <v>0</v>
      </c>
      <c r="AU125" s="22" t="n">
        <f aca="false">AT128</f>
        <v>0</v>
      </c>
      <c r="AV125" s="22" t="n">
        <f aca="false">AU128</f>
        <v>0</v>
      </c>
      <c r="AW125" s="22" t="n">
        <f aca="false">AV128</f>
        <v>0</v>
      </c>
      <c r="AX125" s="22" t="n">
        <f aca="false">AW128</f>
        <v>0</v>
      </c>
      <c r="AY125" s="22" t="n">
        <f aca="false">AX128</f>
        <v>0</v>
      </c>
      <c r="AZ125" s="22" t="n">
        <f aca="false">AY128</f>
        <v>0</v>
      </c>
      <c r="BA125" s="22" t="n">
        <f aca="false">AZ128</f>
        <v>0</v>
      </c>
      <c r="BB125" s="22" t="n">
        <f aca="false">BA128</f>
        <v>0</v>
      </c>
      <c r="BC125" s="22" t="n">
        <f aca="false">BB128</f>
        <v>0</v>
      </c>
      <c r="BD125" s="22" t="n">
        <f aca="false">BC128</f>
        <v>0</v>
      </c>
      <c r="BE125" s="22" t="n">
        <f aca="false">BD128</f>
        <v>0</v>
      </c>
      <c r="BF125" s="22" t="n">
        <f aca="false">BE128</f>
        <v>0</v>
      </c>
      <c r="BG125" s="22" t="n">
        <f aca="false">BF128</f>
        <v>0</v>
      </c>
      <c r="BH125" s="22" t="n">
        <f aca="false">BG128</f>
        <v>0</v>
      </c>
      <c r="BI125" s="22" t="n">
        <f aca="false">BH128</f>
        <v>0</v>
      </c>
      <c r="BJ125" s="22" t="n">
        <f aca="false">BI128</f>
        <v>0</v>
      </c>
      <c r="BK125" s="22" t="n">
        <f aca="false">BJ128</f>
        <v>0</v>
      </c>
      <c r="BL125" s="22" t="n">
        <f aca="false">BK128</f>
        <v>0</v>
      </c>
      <c r="BM125" s="22" t="n">
        <f aca="false">BL128</f>
        <v>0</v>
      </c>
      <c r="BN125" s="22" t="n">
        <f aca="false">BM128</f>
        <v>0</v>
      </c>
      <c r="BO125" s="22" t="n">
        <f aca="false">BN128</f>
        <v>0</v>
      </c>
      <c r="BP125" s="22" t="n">
        <f aca="false">BO128</f>
        <v>0</v>
      </c>
      <c r="BQ125" s="22" t="n">
        <f aca="false">BP128</f>
        <v>0</v>
      </c>
      <c r="BR125" s="22" t="n">
        <f aca="false">BQ128</f>
        <v>0</v>
      </c>
      <c r="BS125" s="22" t="n">
        <f aca="false">BR128</f>
        <v>0</v>
      </c>
      <c r="BT125" s="22" t="n">
        <f aca="false">BS128</f>
        <v>0</v>
      </c>
      <c r="BU125" s="22" t="n">
        <f aca="false">BT128</f>
        <v>0</v>
      </c>
      <c r="BV125" s="22" t="n">
        <f aca="false">BU128</f>
        <v>0</v>
      </c>
      <c r="BW125" s="22" t="n">
        <f aca="false">BV128</f>
        <v>0</v>
      </c>
      <c r="BX125" s="22" t="n">
        <f aca="false">BW128</f>
        <v>0</v>
      </c>
      <c r="BY125" s="22" t="n">
        <f aca="false">BX128</f>
        <v>0</v>
      </c>
      <c r="BZ125" s="22" t="n">
        <f aca="false">BY128</f>
        <v>0</v>
      </c>
      <c r="CA125" s="22" t="n">
        <f aca="false">BZ128</f>
        <v>0</v>
      </c>
      <c r="CB125" s="22" t="n">
        <f aca="false">CA128</f>
        <v>0</v>
      </c>
      <c r="CC125" s="22" t="n">
        <f aca="false">CB128</f>
        <v>0</v>
      </c>
      <c r="CD125" s="22" t="n">
        <f aca="false">CC128</f>
        <v>0</v>
      </c>
      <c r="CE125" s="22" t="n">
        <f aca="false">CD128</f>
        <v>0</v>
      </c>
      <c r="CF125" s="22" t="n">
        <f aca="false">CE128</f>
        <v>0</v>
      </c>
      <c r="CG125" s="22" t="n">
        <f aca="false">CF128</f>
        <v>0</v>
      </c>
      <c r="CH125" s="22" t="n">
        <f aca="false">CG128</f>
        <v>0</v>
      </c>
      <c r="CI125" s="22" t="n">
        <f aca="false">CH128</f>
        <v>0</v>
      </c>
      <c r="CJ125" s="22" t="n">
        <f aca="false">CI128</f>
        <v>0</v>
      </c>
      <c r="CK125" s="22" t="n">
        <f aca="false">CJ128</f>
        <v>0</v>
      </c>
      <c r="CL125" s="22" t="n">
        <f aca="false">CK128</f>
        <v>0</v>
      </c>
      <c r="CM125" s="22" t="n">
        <f aca="false">CL128</f>
        <v>0</v>
      </c>
      <c r="CN125" s="22" t="n">
        <f aca="false">CM128</f>
        <v>0</v>
      </c>
      <c r="CO125" s="22" t="n">
        <f aca="false">CN128</f>
        <v>0</v>
      </c>
      <c r="CP125" s="22" t="n">
        <f aca="false">CO128</f>
        <v>0</v>
      </c>
      <c r="CQ125" s="22" t="n">
        <f aca="false">CP128</f>
        <v>0</v>
      </c>
      <c r="CR125" s="22" t="n">
        <f aca="false">CQ128</f>
        <v>0</v>
      </c>
      <c r="CS125" s="22" t="n">
        <f aca="false">CR128</f>
        <v>0</v>
      </c>
      <c r="CT125" s="22" t="n">
        <f aca="false">CS128</f>
        <v>0</v>
      </c>
      <c r="CU125" s="22" t="n">
        <f aca="false">CT128</f>
        <v>0</v>
      </c>
      <c r="CV125" s="22" t="n">
        <f aca="false">CU128</f>
        <v>0</v>
      </c>
      <c r="CW125" s="22" t="n">
        <f aca="false">CV128</f>
        <v>0</v>
      </c>
      <c r="CX125" s="22" t="n">
        <f aca="false">CW128</f>
        <v>0</v>
      </c>
      <c r="CY125" s="22" t="n">
        <f aca="false">CX128</f>
        <v>0</v>
      </c>
      <c r="CZ125" s="22" t="n">
        <f aca="false">CY128</f>
        <v>0</v>
      </c>
      <c r="DA125" s="22" t="n">
        <f aca="false">CZ128</f>
        <v>0</v>
      </c>
      <c r="DB125" s="22" t="n">
        <f aca="false">DA128</f>
        <v>0</v>
      </c>
      <c r="DC125" s="22" t="n">
        <f aca="false">DB128</f>
        <v>0</v>
      </c>
      <c r="DD125" s="22" t="n">
        <f aca="false">DC128</f>
        <v>0</v>
      </c>
      <c r="DE125" s="22" t="n">
        <f aca="false">DD128</f>
        <v>0</v>
      </c>
      <c r="DF125" s="22" t="n">
        <f aca="false">DE128</f>
        <v>0</v>
      </c>
      <c r="DG125" s="22" t="n">
        <f aca="false">DF128</f>
        <v>0</v>
      </c>
      <c r="DH125" s="22" t="n">
        <f aca="false">DG128</f>
        <v>0</v>
      </c>
      <c r="DI125" s="22" t="n">
        <f aca="false">DH128</f>
        <v>0</v>
      </c>
      <c r="DJ125" s="22" t="n">
        <f aca="false">DI128</f>
        <v>0</v>
      </c>
      <c r="DK125" s="22" t="n">
        <f aca="false">DJ128</f>
        <v>0</v>
      </c>
      <c r="DL125" s="22" t="n">
        <f aca="false">DK128</f>
        <v>0</v>
      </c>
      <c r="DM125" s="22" t="n">
        <f aca="false">DL128</f>
        <v>0</v>
      </c>
      <c r="DN125" s="22" t="n">
        <f aca="false">DM128</f>
        <v>0</v>
      </c>
      <c r="DO125" s="22" t="n">
        <f aca="false">DN128</f>
        <v>0</v>
      </c>
      <c r="DP125" s="22" t="n">
        <f aca="false">DO128</f>
        <v>0</v>
      </c>
      <c r="DQ125" s="22" t="n">
        <f aca="false">DP128</f>
        <v>0</v>
      </c>
      <c r="DR125" s="22" t="n">
        <f aca="false">DQ128</f>
        <v>0</v>
      </c>
      <c r="DS125" s="22" t="n">
        <f aca="false">DR128</f>
        <v>0</v>
      </c>
      <c r="DT125" s="22" t="n">
        <f aca="false">DS128</f>
        <v>0</v>
      </c>
      <c r="DU125" s="22" t="n">
        <f aca="false">DT128</f>
        <v>0</v>
      </c>
      <c r="DV125" s="22" t="n">
        <f aca="false">DU128</f>
        <v>0</v>
      </c>
      <c r="DW125" s="22" t="n">
        <f aca="false">DV128</f>
        <v>0</v>
      </c>
      <c r="DX125" s="22" t="n">
        <f aca="false">DW128</f>
        <v>0</v>
      </c>
      <c r="DY125" s="22" t="n">
        <f aca="false">DX128</f>
        <v>0</v>
      </c>
      <c r="DZ125" s="22" t="n">
        <f aca="false">DY128</f>
        <v>0</v>
      </c>
      <c r="EA125" s="22" t="n">
        <f aca="false">DZ128</f>
        <v>0</v>
      </c>
      <c r="EB125" s="22" t="n">
        <f aca="false">EA128</f>
        <v>0</v>
      </c>
      <c r="EC125" s="22" t="n">
        <f aca="false">EB128</f>
        <v>0</v>
      </c>
      <c r="ED125" s="22" t="n">
        <f aca="false">EC128</f>
        <v>0</v>
      </c>
      <c r="EE125" s="22" t="n">
        <f aca="false">ED128</f>
        <v>0</v>
      </c>
      <c r="EF125" s="22" t="n">
        <f aca="false">EE128</f>
        <v>0</v>
      </c>
      <c r="EG125" s="22" t="n">
        <f aca="false">EF128</f>
        <v>0</v>
      </c>
      <c r="EH125" s="22" t="n">
        <f aca="false">EG128</f>
        <v>0</v>
      </c>
      <c r="EI125" s="22" t="n">
        <f aca="false">EH128</f>
        <v>0</v>
      </c>
      <c r="EJ125" s="22" t="n">
        <f aca="false">EI128</f>
        <v>0</v>
      </c>
      <c r="EK125" s="22" t="n">
        <f aca="false">EJ128</f>
        <v>0</v>
      </c>
      <c r="EL125" s="22" t="n">
        <f aca="false">EK128</f>
        <v>0</v>
      </c>
      <c r="EM125" s="22" t="n">
        <f aca="false">EL128</f>
        <v>0</v>
      </c>
      <c r="EN125" s="22" t="n">
        <f aca="false">EM128</f>
        <v>0</v>
      </c>
      <c r="EO125" s="22" t="n">
        <f aca="false">EN128</f>
        <v>0</v>
      </c>
      <c r="EP125" s="22" t="n">
        <f aca="false">EO128</f>
        <v>0</v>
      </c>
      <c r="EQ125" s="22" t="n">
        <f aca="false">EP128</f>
        <v>0</v>
      </c>
      <c r="ER125" s="22" t="n">
        <f aca="false">EQ128</f>
        <v>0</v>
      </c>
      <c r="ES125" s="22" t="n">
        <f aca="false">ER128</f>
        <v>0</v>
      </c>
      <c r="ET125" s="22" t="n">
        <f aca="false">ES128</f>
        <v>0</v>
      </c>
    </row>
    <row r="126" customFormat="false" ht="15" hidden="false" customHeight="false" outlineLevel="0" collapsed="false">
      <c r="C126" s="0" t="s">
        <v>576</v>
      </c>
      <c r="D126" s="11" t="s">
        <v>253</v>
      </c>
      <c r="I126" s="33" t="n">
        <f aca="false">SUM(J126:ET126)</f>
        <v>6364.50608260992</v>
      </c>
      <c r="J126" s="33" t="n">
        <f aca="false">MAX(0,-J124)</f>
        <v>-0</v>
      </c>
      <c r="K126" s="33" t="n">
        <f aca="false">MAX(0,-K124)</f>
        <v>178.520547945205</v>
      </c>
      <c r="L126" s="33" t="n">
        <f aca="false">MAX(0,-L124)</f>
        <v>588.444520547945</v>
      </c>
      <c r="M126" s="33" t="n">
        <f aca="false">MAX(0,-M124)</f>
        <v>43.8356164383562</v>
      </c>
      <c r="N126" s="33" t="n">
        <f aca="false">MAX(0,-N124)</f>
        <v>43.8356164383562</v>
      </c>
      <c r="O126" s="33" t="n">
        <f aca="false">MAX(0,-O124)</f>
        <v>184.361643835616</v>
      </c>
      <c r="P126" s="33" t="n">
        <f aca="false">MAX(0,-P124)</f>
        <v>1290.04179480011</v>
      </c>
      <c r="Q126" s="33" t="n">
        <f aca="false">MAX(0,-Q124)</f>
        <v>4.60958904109589</v>
      </c>
      <c r="R126" s="33" t="n">
        <f aca="false">MAX(0,-R124)</f>
        <v>164.091509980431</v>
      </c>
      <c r="S126" s="33" t="n">
        <f aca="false">MAX(0,-S124)</f>
        <v>317.226138697232</v>
      </c>
      <c r="T126" s="33" t="n">
        <f aca="false">MAX(0,-T124)</f>
        <v>304.657534246575</v>
      </c>
      <c r="U126" s="33" t="n">
        <f aca="false">MAX(0,-U124)</f>
        <v>-0</v>
      </c>
      <c r="V126" s="33" t="n">
        <f aca="false">MAX(0,-V124)</f>
        <v>-0</v>
      </c>
      <c r="W126" s="33" t="n">
        <f aca="false">MAX(0,-W124)</f>
        <v>1955.01413865224</v>
      </c>
      <c r="X126" s="33" t="n">
        <f aca="false">MAX(0,-X124)</f>
        <v>260.170263472354</v>
      </c>
      <c r="Y126" s="33" t="n">
        <f aca="false">MAX(0,-Y124)</f>
        <v>236.760410897378</v>
      </c>
      <c r="Z126" s="33" t="n">
        <f aca="false">MAX(0,-Z124)</f>
        <v>212.477081856929</v>
      </c>
      <c r="AA126" s="33" t="n">
        <f aca="false">MAX(0,-AA124)</f>
        <v>185.296549490162</v>
      </c>
      <c r="AB126" s="33" t="n">
        <f aca="false">MAX(0,-AB124)</f>
        <v>156.573132717387</v>
      </c>
      <c r="AC126" s="33" t="n">
        <f aca="false">MAX(0,-AC124)</f>
        <v>132.0122009118</v>
      </c>
      <c r="AD126" s="33" t="n">
        <f aca="false">MAX(0,-AD124)</f>
        <v>106.57779264074</v>
      </c>
      <c r="AE126" s="33" t="n">
        <f aca="false">MAX(0,-AE124)</f>
        <v>0</v>
      </c>
      <c r="AF126" s="33" t="n">
        <f aca="false">MAX(0,-AF124)</f>
        <v>0</v>
      </c>
      <c r="AG126" s="33" t="n">
        <f aca="false">MAX(0,-AG124)</f>
        <v>0</v>
      </c>
      <c r="AH126" s="33" t="n">
        <f aca="false">MAX(0,-AH124)</f>
        <v>0</v>
      </c>
      <c r="AI126" s="33" t="n">
        <f aca="false">MAX(0,-AI124)</f>
        <v>0</v>
      </c>
      <c r="AJ126" s="33" t="n">
        <f aca="false">MAX(0,-AJ124)</f>
        <v>0</v>
      </c>
      <c r="AK126" s="33" t="n">
        <f aca="false">MAX(0,-AK124)</f>
        <v>0</v>
      </c>
      <c r="AL126" s="33" t="n">
        <f aca="false">MAX(0,-AL124)</f>
        <v>0</v>
      </c>
      <c r="AM126" s="33" t="n">
        <f aca="false">MAX(0,-AM124)</f>
        <v>0</v>
      </c>
      <c r="AN126" s="33" t="n">
        <f aca="false">MAX(0,-AN124)</f>
        <v>0</v>
      </c>
      <c r="AO126" s="33" t="n">
        <f aca="false">MAX(0,-AO124)</f>
        <v>0</v>
      </c>
      <c r="AP126" s="33" t="n">
        <f aca="false">MAX(0,-AP124)</f>
        <v>0</v>
      </c>
      <c r="AQ126" s="33" t="n">
        <f aca="false">MAX(0,-AQ124)</f>
        <v>0</v>
      </c>
      <c r="AR126" s="33" t="n">
        <f aca="false">MAX(0,-AR124)</f>
        <v>0</v>
      </c>
      <c r="AS126" s="33" t="n">
        <f aca="false">MAX(0,-AS124)</f>
        <v>0</v>
      </c>
      <c r="AT126" s="33" t="n">
        <f aca="false">MAX(0,-AT124)</f>
        <v>0</v>
      </c>
      <c r="AU126" s="33" t="n">
        <f aca="false">MAX(0,-AU124)</f>
        <v>0</v>
      </c>
      <c r="AV126" s="33" t="n">
        <f aca="false">MAX(0,-AV124)</f>
        <v>0</v>
      </c>
      <c r="AW126" s="33" t="n">
        <f aca="false">MAX(0,-AW124)</f>
        <v>0</v>
      </c>
      <c r="AX126" s="33" t="n">
        <f aca="false">MAX(0,-AX124)</f>
        <v>0</v>
      </c>
      <c r="AY126" s="33" t="n">
        <f aca="false">MAX(0,-AY124)</f>
        <v>0</v>
      </c>
      <c r="AZ126" s="33" t="n">
        <f aca="false">MAX(0,-AZ124)</f>
        <v>0</v>
      </c>
      <c r="BA126" s="33" t="n">
        <f aca="false">MAX(0,-BA124)</f>
        <v>0</v>
      </c>
      <c r="BB126" s="33" t="n">
        <f aca="false">MAX(0,-BB124)</f>
        <v>0</v>
      </c>
      <c r="BC126" s="33" t="n">
        <f aca="false">MAX(0,-BC124)</f>
        <v>0</v>
      </c>
      <c r="BD126" s="33" t="n">
        <f aca="false">MAX(0,-BD124)</f>
        <v>0</v>
      </c>
      <c r="BE126" s="33" t="n">
        <f aca="false">MAX(0,-BE124)</f>
        <v>0</v>
      </c>
      <c r="BF126" s="33" t="n">
        <f aca="false">MAX(0,-BF124)</f>
        <v>0</v>
      </c>
      <c r="BG126" s="33" t="n">
        <f aca="false">MAX(0,-BG124)</f>
        <v>0</v>
      </c>
      <c r="BH126" s="33" t="n">
        <f aca="false">MAX(0,-BH124)</f>
        <v>0</v>
      </c>
      <c r="BI126" s="33" t="n">
        <f aca="false">MAX(0,-BI124)</f>
        <v>0</v>
      </c>
      <c r="BJ126" s="33" t="n">
        <f aca="false">MAX(0,-BJ124)</f>
        <v>0</v>
      </c>
      <c r="BK126" s="33" t="n">
        <f aca="false">MAX(0,-BK124)</f>
        <v>0</v>
      </c>
      <c r="BL126" s="33" t="n">
        <f aca="false">MAX(0,-BL124)</f>
        <v>0</v>
      </c>
      <c r="BM126" s="33" t="n">
        <f aca="false">MAX(0,-BM124)</f>
        <v>0</v>
      </c>
      <c r="BN126" s="33" t="n">
        <f aca="false">MAX(0,-BN124)</f>
        <v>0</v>
      </c>
      <c r="BO126" s="33" t="n">
        <f aca="false">MAX(0,-BO124)</f>
        <v>0</v>
      </c>
      <c r="BP126" s="33" t="n">
        <f aca="false">MAX(0,-BP124)</f>
        <v>0</v>
      </c>
      <c r="BQ126" s="33" t="n">
        <f aca="false">MAX(0,-BQ124)</f>
        <v>0</v>
      </c>
      <c r="BR126" s="33" t="n">
        <f aca="false">MAX(0,-BR124)</f>
        <v>0</v>
      </c>
      <c r="BS126" s="33" t="n">
        <f aca="false">MAX(0,-BS124)</f>
        <v>0</v>
      </c>
      <c r="BT126" s="33" t="n">
        <f aca="false">MAX(0,-BT124)</f>
        <v>0</v>
      </c>
      <c r="BU126" s="33" t="n">
        <f aca="false">MAX(0,-BU124)</f>
        <v>0</v>
      </c>
      <c r="BV126" s="33" t="n">
        <f aca="false">MAX(0,-BV124)</f>
        <v>0</v>
      </c>
      <c r="BW126" s="33" t="n">
        <f aca="false">MAX(0,-BW124)</f>
        <v>0</v>
      </c>
      <c r="BX126" s="33" t="n">
        <f aca="false">MAX(0,-BX124)</f>
        <v>0</v>
      </c>
      <c r="BY126" s="33" t="n">
        <f aca="false">MAX(0,-BY124)</f>
        <v>0</v>
      </c>
      <c r="BZ126" s="33" t="n">
        <f aca="false">MAX(0,-BZ124)</f>
        <v>0</v>
      </c>
      <c r="CA126" s="33" t="n">
        <f aca="false">MAX(0,-CA124)</f>
        <v>0</v>
      </c>
      <c r="CB126" s="33" t="n">
        <f aca="false">MAX(0,-CB124)</f>
        <v>0</v>
      </c>
      <c r="CC126" s="33" t="n">
        <f aca="false">MAX(0,-CC124)</f>
        <v>0</v>
      </c>
      <c r="CD126" s="33" t="n">
        <f aca="false">MAX(0,-CD124)</f>
        <v>0</v>
      </c>
      <c r="CE126" s="33" t="n">
        <f aca="false">MAX(0,-CE124)</f>
        <v>0</v>
      </c>
      <c r="CF126" s="33" t="n">
        <f aca="false">MAX(0,-CF124)</f>
        <v>0</v>
      </c>
      <c r="CG126" s="33" t="n">
        <f aca="false">MAX(0,-CG124)</f>
        <v>0</v>
      </c>
      <c r="CH126" s="33" t="n">
        <f aca="false">MAX(0,-CH124)</f>
        <v>0</v>
      </c>
      <c r="CI126" s="33" t="n">
        <f aca="false">MAX(0,-CI124)</f>
        <v>0</v>
      </c>
      <c r="CJ126" s="33" t="n">
        <f aca="false">MAX(0,-CJ124)</f>
        <v>0</v>
      </c>
      <c r="CK126" s="33" t="n">
        <f aca="false">MAX(0,-CK124)</f>
        <v>0</v>
      </c>
      <c r="CL126" s="33" t="n">
        <f aca="false">MAX(0,-CL124)</f>
        <v>0</v>
      </c>
      <c r="CM126" s="33" t="n">
        <f aca="false">MAX(0,-CM124)</f>
        <v>0</v>
      </c>
      <c r="CN126" s="33" t="n">
        <f aca="false">MAX(0,-CN124)</f>
        <v>0</v>
      </c>
      <c r="CO126" s="33" t="n">
        <f aca="false">MAX(0,-CO124)</f>
        <v>0</v>
      </c>
      <c r="CP126" s="33" t="n">
        <f aca="false">MAX(0,-CP124)</f>
        <v>0</v>
      </c>
      <c r="CQ126" s="33" t="n">
        <f aca="false">MAX(0,-CQ124)</f>
        <v>0</v>
      </c>
      <c r="CR126" s="33" t="n">
        <f aca="false">MAX(0,-CR124)</f>
        <v>0</v>
      </c>
      <c r="CS126" s="33" t="n">
        <f aca="false">MAX(0,-CS124)</f>
        <v>0</v>
      </c>
      <c r="CT126" s="33" t="n">
        <f aca="false">MAX(0,-CT124)</f>
        <v>0</v>
      </c>
      <c r="CU126" s="33" t="n">
        <f aca="false">MAX(0,-CU124)</f>
        <v>0</v>
      </c>
      <c r="CV126" s="33" t="n">
        <f aca="false">MAX(0,-CV124)</f>
        <v>0</v>
      </c>
      <c r="CW126" s="33" t="n">
        <f aca="false">MAX(0,-CW124)</f>
        <v>0</v>
      </c>
      <c r="CX126" s="33" t="n">
        <f aca="false">MAX(0,-CX124)</f>
        <v>0</v>
      </c>
      <c r="CY126" s="33" t="n">
        <f aca="false">MAX(0,-CY124)</f>
        <v>0</v>
      </c>
      <c r="CZ126" s="33" t="n">
        <f aca="false">MAX(0,-CZ124)</f>
        <v>0</v>
      </c>
      <c r="DA126" s="33" t="n">
        <f aca="false">MAX(0,-DA124)</f>
        <v>0</v>
      </c>
      <c r="DB126" s="33" t="n">
        <f aca="false">MAX(0,-DB124)</f>
        <v>0</v>
      </c>
      <c r="DC126" s="33" t="n">
        <f aca="false">MAX(0,-DC124)</f>
        <v>0</v>
      </c>
      <c r="DD126" s="33" t="n">
        <f aca="false">MAX(0,-DD124)</f>
        <v>0</v>
      </c>
      <c r="DE126" s="33" t="n">
        <f aca="false">MAX(0,-DE124)</f>
        <v>0</v>
      </c>
      <c r="DF126" s="33" t="n">
        <f aca="false">MAX(0,-DF124)</f>
        <v>0</v>
      </c>
      <c r="DG126" s="33" t="n">
        <f aca="false">MAX(0,-DG124)</f>
        <v>0</v>
      </c>
      <c r="DH126" s="33" t="n">
        <f aca="false">MAX(0,-DH124)</f>
        <v>0</v>
      </c>
      <c r="DI126" s="33" t="n">
        <f aca="false">MAX(0,-DI124)</f>
        <v>0</v>
      </c>
      <c r="DJ126" s="33" t="n">
        <f aca="false">MAX(0,-DJ124)</f>
        <v>0</v>
      </c>
      <c r="DK126" s="33" t="n">
        <f aca="false">MAX(0,-DK124)</f>
        <v>0</v>
      </c>
      <c r="DL126" s="33" t="n">
        <f aca="false">MAX(0,-DL124)</f>
        <v>0</v>
      </c>
      <c r="DM126" s="33" t="n">
        <f aca="false">MAX(0,-DM124)</f>
        <v>0</v>
      </c>
      <c r="DN126" s="33" t="n">
        <f aca="false">MAX(0,-DN124)</f>
        <v>0</v>
      </c>
      <c r="DO126" s="33" t="n">
        <f aca="false">MAX(0,-DO124)</f>
        <v>0</v>
      </c>
      <c r="DP126" s="33" t="n">
        <f aca="false">MAX(0,-DP124)</f>
        <v>0</v>
      </c>
      <c r="DQ126" s="33" t="n">
        <f aca="false">MAX(0,-DQ124)</f>
        <v>0</v>
      </c>
      <c r="DR126" s="33" t="n">
        <f aca="false">MAX(0,-DR124)</f>
        <v>0</v>
      </c>
      <c r="DS126" s="33" t="n">
        <f aca="false">MAX(0,-DS124)</f>
        <v>0</v>
      </c>
      <c r="DT126" s="33" t="n">
        <f aca="false">MAX(0,-DT124)</f>
        <v>0</v>
      </c>
      <c r="DU126" s="33" t="n">
        <f aca="false">MAX(0,-DU124)</f>
        <v>0</v>
      </c>
      <c r="DV126" s="33" t="n">
        <f aca="false">MAX(0,-DV124)</f>
        <v>0</v>
      </c>
      <c r="DW126" s="33" t="n">
        <f aca="false">MAX(0,-DW124)</f>
        <v>0</v>
      </c>
      <c r="DX126" s="33" t="n">
        <f aca="false">MAX(0,-DX124)</f>
        <v>0</v>
      </c>
      <c r="DY126" s="33" t="n">
        <f aca="false">MAX(0,-DY124)</f>
        <v>0</v>
      </c>
      <c r="DZ126" s="33" t="n">
        <f aca="false">MAX(0,-DZ124)</f>
        <v>0</v>
      </c>
      <c r="EA126" s="33" t="n">
        <f aca="false">MAX(0,-EA124)</f>
        <v>0</v>
      </c>
      <c r="EB126" s="33" t="n">
        <f aca="false">MAX(0,-EB124)</f>
        <v>0</v>
      </c>
      <c r="EC126" s="33" t="n">
        <f aca="false">MAX(0,-EC124)</f>
        <v>0</v>
      </c>
      <c r="ED126" s="33" t="n">
        <f aca="false">MAX(0,-ED124)</f>
        <v>0</v>
      </c>
      <c r="EE126" s="33" t="n">
        <f aca="false">MAX(0,-EE124)</f>
        <v>0</v>
      </c>
      <c r="EF126" s="33" t="n">
        <f aca="false">MAX(0,-EF124)</f>
        <v>0</v>
      </c>
      <c r="EG126" s="33" t="n">
        <f aca="false">MAX(0,-EG124)</f>
        <v>0</v>
      </c>
      <c r="EH126" s="33" t="n">
        <f aca="false">MAX(0,-EH124)</f>
        <v>0</v>
      </c>
      <c r="EI126" s="33" t="n">
        <f aca="false">MAX(0,-EI124)</f>
        <v>0</v>
      </c>
      <c r="EJ126" s="33" t="n">
        <f aca="false">MAX(0,-EJ124)</f>
        <v>0</v>
      </c>
      <c r="EK126" s="33" t="n">
        <f aca="false">MAX(0,-EK124)</f>
        <v>0</v>
      </c>
      <c r="EL126" s="33" t="n">
        <f aca="false">MAX(0,-EL124)</f>
        <v>0</v>
      </c>
      <c r="EM126" s="33" t="n">
        <f aca="false">MAX(0,-EM124)</f>
        <v>0</v>
      </c>
      <c r="EN126" s="33" t="n">
        <f aca="false">MAX(0,-EN124)</f>
        <v>0</v>
      </c>
      <c r="EO126" s="33" t="n">
        <f aca="false">MAX(0,-EO124)</f>
        <v>0</v>
      </c>
      <c r="EP126" s="33" t="n">
        <f aca="false">MAX(0,-EP124)</f>
        <v>0</v>
      </c>
      <c r="EQ126" s="33" t="n">
        <f aca="false">MAX(0,-EQ124)</f>
        <v>0</v>
      </c>
      <c r="ER126" s="33" t="n">
        <f aca="false">MAX(0,-ER124)</f>
        <v>0</v>
      </c>
      <c r="ES126" s="33" t="n">
        <f aca="false">MAX(0,-ES124)</f>
        <v>0</v>
      </c>
      <c r="ET126" s="33" t="n">
        <f aca="false">MAX(0,-ET124)</f>
        <v>0</v>
      </c>
    </row>
    <row r="127" customFormat="false" ht="15" hidden="false" customHeight="false" outlineLevel="0" collapsed="false">
      <c r="C127" s="0" t="s">
        <v>577</v>
      </c>
      <c r="D127" s="11" t="s">
        <v>253</v>
      </c>
      <c r="I127" s="33" t="n">
        <f aca="false">SUM(J127:ET127)</f>
        <v>-6364.50608260992</v>
      </c>
      <c r="J127" s="33" t="n">
        <f aca="false">-MIN(J125,MAX(0,J124))</f>
        <v>-0</v>
      </c>
      <c r="K127" s="33" t="n">
        <f aca="false">-MIN(K125,MAX(0,K124))</f>
        <v>-0</v>
      </c>
      <c r="L127" s="33" t="n">
        <f aca="false">-MIN(L125,MAX(0,L124))</f>
        <v>-0</v>
      </c>
      <c r="M127" s="33" t="n">
        <f aca="false">-MIN(M125,MAX(0,M124))</f>
        <v>-0</v>
      </c>
      <c r="N127" s="33" t="n">
        <f aca="false">-MIN(N125,MAX(0,N124))</f>
        <v>-0</v>
      </c>
      <c r="O127" s="33" t="n">
        <f aca="false">-MIN(O125,MAX(0,O124))</f>
        <v>-0</v>
      </c>
      <c r="P127" s="33" t="n">
        <f aca="false">-MIN(P125,MAX(0,P124))</f>
        <v>-0</v>
      </c>
      <c r="Q127" s="33" t="n">
        <f aca="false">-MIN(Q125,MAX(0,Q124))</f>
        <v>-0</v>
      </c>
      <c r="R127" s="33" t="n">
        <f aca="false">-MIN(R125,MAX(0,R124))</f>
        <v>-0</v>
      </c>
      <c r="S127" s="33" t="n">
        <f aca="false">-MIN(S125,MAX(0,S124))</f>
        <v>-0</v>
      </c>
      <c r="T127" s="33" t="n">
        <f aca="false">-MIN(T125,MAX(0,T124))</f>
        <v>-0</v>
      </c>
      <c r="U127" s="33" t="n">
        <f aca="false">-MIN(U125,MAX(0,U124))</f>
        <v>-0</v>
      </c>
      <c r="V127" s="33" t="n">
        <f aca="false">-MIN(V125,MAX(0,V124))</f>
        <v>-0</v>
      </c>
      <c r="W127" s="33" t="n">
        <f aca="false">-MIN(W125,MAX(0,W124))</f>
        <v>-0</v>
      </c>
      <c r="X127" s="33" t="n">
        <f aca="false">-MIN(X125,MAX(0,X124))</f>
        <v>-0</v>
      </c>
      <c r="Y127" s="33" t="n">
        <f aca="false">-MIN(Y125,MAX(0,Y124))</f>
        <v>-0</v>
      </c>
      <c r="Z127" s="33" t="n">
        <f aca="false">-MIN(Z125,MAX(0,Z124))</f>
        <v>-0</v>
      </c>
      <c r="AA127" s="33" t="n">
        <f aca="false">-MIN(AA125,MAX(0,AA124))</f>
        <v>-0</v>
      </c>
      <c r="AB127" s="33" t="n">
        <f aca="false">-MIN(AB125,MAX(0,AB124))</f>
        <v>-0</v>
      </c>
      <c r="AC127" s="33" t="n">
        <f aca="false">-MIN(AC125,MAX(0,AC124))</f>
        <v>-0</v>
      </c>
      <c r="AD127" s="33" t="n">
        <f aca="false">-MIN(AD125,MAX(0,AD124))</f>
        <v>-0</v>
      </c>
      <c r="AE127" s="33" t="n">
        <f aca="false">-MIN(AE125,MAX(0,AE124))</f>
        <v>-844.592147336478</v>
      </c>
      <c r="AF127" s="33" t="n">
        <f aca="false">-MIN(AF125,MAX(0,AF124))</f>
        <v>-873.754592434829</v>
      </c>
      <c r="AG127" s="33" t="n">
        <f aca="false">-MIN(AG125,MAX(0,AG124))</f>
        <v>-898.171621364089</v>
      </c>
      <c r="AH127" s="33" t="n">
        <f aca="false">-MIN(AH125,MAX(0,AH124))</f>
        <v>-945.875618690579</v>
      </c>
      <c r="AI127" s="33" t="n">
        <f aca="false">-MIN(AI125,MAX(0,AI124))</f>
        <v>-956.212854990103</v>
      </c>
      <c r="AJ127" s="33" t="n">
        <f aca="false">-MIN(AJ125,MAX(0,AJ124))</f>
        <v>-963.097413625111</v>
      </c>
      <c r="AK127" s="33" t="n">
        <f aca="false">-MIN(AK125,MAX(0,AK124))</f>
        <v>-882.801834168731</v>
      </c>
      <c r="AL127" s="33" t="n">
        <f aca="false">-MIN(AL125,MAX(0,AL124))</f>
        <v>-0</v>
      </c>
      <c r="AM127" s="33" t="n">
        <f aca="false">-MIN(AM125,MAX(0,AM124))</f>
        <v>-0</v>
      </c>
      <c r="AN127" s="33" t="n">
        <f aca="false">-MIN(AN125,MAX(0,AN124))</f>
        <v>-0</v>
      </c>
      <c r="AO127" s="33" t="n">
        <f aca="false">-MIN(AO125,MAX(0,AO124))</f>
        <v>-0</v>
      </c>
      <c r="AP127" s="33" t="n">
        <f aca="false">-MIN(AP125,MAX(0,AP124))</f>
        <v>-0</v>
      </c>
      <c r="AQ127" s="33" t="n">
        <f aca="false">-MIN(AQ125,MAX(0,AQ124))</f>
        <v>-0</v>
      </c>
      <c r="AR127" s="33" t="n">
        <f aca="false">-MIN(AR125,MAX(0,AR124))</f>
        <v>-0</v>
      </c>
      <c r="AS127" s="33" t="n">
        <f aca="false">-MIN(AS125,MAX(0,AS124))</f>
        <v>-0</v>
      </c>
      <c r="AT127" s="33" t="n">
        <f aca="false">-MIN(AT125,MAX(0,AT124))</f>
        <v>-0</v>
      </c>
      <c r="AU127" s="33" t="n">
        <f aca="false">-MIN(AU125,MAX(0,AU124))</f>
        <v>-0</v>
      </c>
      <c r="AV127" s="33" t="n">
        <f aca="false">-MIN(AV125,MAX(0,AV124))</f>
        <v>-0</v>
      </c>
      <c r="AW127" s="33" t="n">
        <f aca="false">-MIN(AW125,MAX(0,AW124))</f>
        <v>-0</v>
      </c>
      <c r="AX127" s="33" t="n">
        <f aca="false">-MIN(AX125,MAX(0,AX124))</f>
        <v>-0</v>
      </c>
      <c r="AY127" s="33" t="n">
        <f aca="false">-MIN(AY125,MAX(0,AY124))</f>
        <v>-0</v>
      </c>
      <c r="AZ127" s="33" t="n">
        <f aca="false">-MIN(AZ125,MAX(0,AZ124))</f>
        <v>-0</v>
      </c>
      <c r="BA127" s="33" t="n">
        <f aca="false">-MIN(BA125,MAX(0,BA124))</f>
        <v>-0</v>
      </c>
      <c r="BB127" s="33" t="n">
        <f aca="false">-MIN(BB125,MAX(0,BB124))</f>
        <v>-0</v>
      </c>
      <c r="BC127" s="33" t="n">
        <f aca="false">-MIN(BC125,MAX(0,BC124))</f>
        <v>-0</v>
      </c>
      <c r="BD127" s="33" t="n">
        <f aca="false">-MIN(BD125,MAX(0,BD124))</f>
        <v>-0</v>
      </c>
      <c r="BE127" s="33" t="n">
        <f aca="false">-MIN(BE125,MAX(0,BE124))</f>
        <v>-0</v>
      </c>
      <c r="BF127" s="33" t="n">
        <f aca="false">-MIN(BF125,MAX(0,BF124))</f>
        <v>-0</v>
      </c>
      <c r="BG127" s="33" t="n">
        <f aca="false">-MIN(BG125,MAX(0,BG124))</f>
        <v>-0</v>
      </c>
      <c r="BH127" s="33" t="n">
        <f aca="false">-MIN(BH125,MAX(0,BH124))</f>
        <v>-0</v>
      </c>
      <c r="BI127" s="33" t="n">
        <f aca="false">-MIN(BI125,MAX(0,BI124))</f>
        <v>-0</v>
      </c>
      <c r="BJ127" s="33" t="n">
        <f aca="false">-MIN(BJ125,MAX(0,BJ124))</f>
        <v>-0</v>
      </c>
      <c r="BK127" s="33" t="n">
        <f aca="false">-MIN(BK125,MAX(0,BK124))</f>
        <v>-0</v>
      </c>
      <c r="BL127" s="33" t="n">
        <f aca="false">-MIN(BL125,MAX(0,BL124))</f>
        <v>-0</v>
      </c>
      <c r="BM127" s="33" t="n">
        <f aca="false">-MIN(BM125,MAX(0,BM124))</f>
        <v>-0</v>
      </c>
      <c r="BN127" s="33" t="n">
        <f aca="false">-MIN(BN125,MAX(0,BN124))</f>
        <v>-0</v>
      </c>
      <c r="BO127" s="33" t="n">
        <f aca="false">-MIN(BO125,MAX(0,BO124))</f>
        <v>-0</v>
      </c>
      <c r="BP127" s="33" t="n">
        <f aca="false">-MIN(BP125,MAX(0,BP124))</f>
        <v>-0</v>
      </c>
      <c r="BQ127" s="33" t="n">
        <f aca="false">-MIN(BQ125,MAX(0,BQ124))</f>
        <v>-0</v>
      </c>
      <c r="BR127" s="33" t="n">
        <f aca="false">-MIN(BR125,MAX(0,BR124))</f>
        <v>-0</v>
      </c>
      <c r="BS127" s="33" t="n">
        <f aca="false">-MIN(BS125,MAX(0,BS124))</f>
        <v>-0</v>
      </c>
      <c r="BT127" s="33" t="n">
        <f aca="false">-MIN(BT125,MAX(0,BT124))</f>
        <v>-0</v>
      </c>
      <c r="BU127" s="33" t="n">
        <f aca="false">-MIN(BU125,MAX(0,BU124))</f>
        <v>-0</v>
      </c>
      <c r="BV127" s="33" t="n">
        <f aca="false">-MIN(BV125,MAX(0,BV124))</f>
        <v>-0</v>
      </c>
      <c r="BW127" s="33" t="n">
        <f aca="false">-MIN(BW125,MAX(0,BW124))</f>
        <v>-0</v>
      </c>
      <c r="BX127" s="33" t="n">
        <f aca="false">-MIN(BX125,MAX(0,BX124))</f>
        <v>-0</v>
      </c>
      <c r="BY127" s="33" t="n">
        <f aca="false">-MIN(BY125,MAX(0,BY124))</f>
        <v>-0</v>
      </c>
      <c r="BZ127" s="33" t="n">
        <f aca="false">-MIN(BZ125,MAX(0,BZ124))</f>
        <v>-0</v>
      </c>
      <c r="CA127" s="33" t="n">
        <f aca="false">-MIN(CA125,MAX(0,CA124))</f>
        <v>-0</v>
      </c>
      <c r="CB127" s="33" t="n">
        <f aca="false">-MIN(CB125,MAX(0,CB124))</f>
        <v>-0</v>
      </c>
      <c r="CC127" s="33" t="n">
        <f aca="false">-MIN(CC125,MAX(0,CC124))</f>
        <v>-0</v>
      </c>
      <c r="CD127" s="33" t="n">
        <f aca="false">-MIN(CD125,MAX(0,CD124))</f>
        <v>-0</v>
      </c>
      <c r="CE127" s="33" t="n">
        <f aca="false">-MIN(CE125,MAX(0,CE124))</f>
        <v>-0</v>
      </c>
      <c r="CF127" s="33" t="n">
        <f aca="false">-MIN(CF125,MAX(0,CF124))</f>
        <v>-0</v>
      </c>
      <c r="CG127" s="33" t="n">
        <f aca="false">-MIN(CG125,MAX(0,CG124))</f>
        <v>-0</v>
      </c>
      <c r="CH127" s="33" t="n">
        <f aca="false">-MIN(CH125,MAX(0,CH124))</f>
        <v>-0</v>
      </c>
      <c r="CI127" s="33" t="n">
        <f aca="false">-MIN(CI125,MAX(0,CI124))</f>
        <v>-0</v>
      </c>
      <c r="CJ127" s="33" t="n">
        <f aca="false">-MIN(CJ125,MAX(0,CJ124))</f>
        <v>-0</v>
      </c>
      <c r="CK127" s="33" t="n">
        <f aca="false">-MIN(CK125,MAX(0,CK124))</f>
        <v>-0</v>
      </c>
      <c r="CL127" s="33" t="n">
        <f aca="false">-MIN(CL125,MAX(0,CL124))</f>
        <v>-0</v>
      </c>
      <c r="CM127" s="33" t="n">
        <f aca="false">-MIN(CM125,MAX(0,CM124))</f>
        <v>-0</v>
      </c>
      <c r="CN127" s="33" t="n">
        <f aca="false">-MIN(CN125,MAX(0,CN124))</f>
        <v>-0</v>
      </c>
      <c r="CO127" s="33" t="n">
        <f aca="false">-MIN(CO125,MAX(0,CO124))</f>
        <v>-0</v>
      </c>
      <c r="CP127" s="33" t="n">
        <f aca="false">-MIN(CP125,MAX(0,CP124))</f>
        <v>-0</v>
      </c>
      <c r="CQ127" s="33" t="n">
        <f aca="false">-MIN(CQ125,MAX(0,CQ124))</f>
        <v>-0</v>
      </c>
      <c r="CR127" s="33" t="n">
        <f aca="false">-MIN(CR125,MAX(0,CR124))</f>
        <v>-0</v>
      </c>
      <c r="CS127" s="33" t="n">
        <f aca="false">-MIN(CS125,MAX(0,CS124))</f>
        <v>-0</v>
      </c>
      <c r="CT127" s="33" t="n">
        <f aca="false">-MIN(CT125,MAX(0,CT124))</f>
        <v>-0</v>
      </c>
      <c r="CU127" s="33" t="n">
        <f aca="false">-MIN(CU125,MAX(0,CU124))</f>
        <v>-0</v>
      </c>
      <c r="CV127" s="33" t="n">
        <f aca="false">-MIN(CV125,MAX(0,CV124))</f>
        <v>-0</v>
      </c>
      <c r="CW127" s="33" t="n">
        <f aca="false">-MIN(CW125,MAX(0,CW124))</f>
        <v>-0</v>
      </c>
      <c r="CX127" s="33" t="n">
        <f aca="false">-MIN(CX125,MAX(0,CX124))</f>
        <v>-0</v>
      </c>
      <c r="CY127" s="33" t="n">
        <f aca="false">-MIN(CY125,MAX(0,CY124))</f>
        <v>-0</v>
      </c>
      <c r="CZ127" s="33" t="n">
        <f aca="false">-MIN(CZ125,MAX(0,CZ124))</f>
        <v>-0</v>
      </c>
      <c r="DA127" s="33" t="n">
        <f aca="false">-MIN(DA125,MAX(0,DA124))</f>
        <v>-0</v>
      </c>
      <c r="DB127" s="33" t="n">
        <f aca="false">-MIN(DB125,MAX(0,DB124))</f>
        <v>-0</v>
      </c>
      <c r="DC127" s="33" t="n">
        <f aca="false">-MIN(DC125,MAX(0,DC124))</f>
        <v>-0</v>
      </c>
      <c r="DD127" s="33" t="n">
        <f aca="false">-MIN(DD125,MAX(0,DD124))</f>
        <v>-0</v>
      </c>
      <c r="DE127" s="33" t="n">
        <f aca="false">-MIN(DE125,MAX(0,DE124))</f>
        <v>-0</v>
      </c>
      <c r="DF127" s="33" t="n">
        <f aca="false">-MIN(DF125,MAX(0,DF124))</f>
        <v>-0</v>
      </c>
      <c r="DG127" s="33" t="n">
        <f aca="false">-MIN(DG125,MAX(0,DG124))</f>
        <v>-0</v>
      </c>
      <c r="DH127" s="33" t="n">
        <f aca="false">-MIN(DH125,MAX(0,DH124))</f>
        <v>-0</v>
      </c>
      <c r="DI127" s="33" t="n">
        <f aca="false">-MIN(DI125,MAX(0,DI124))</f>
        <v>-0</v>
      </c>
      <c r="DJ127" s="33" t="n">
        <f aca="false">-MIN(DJ125,MAX(0,DJ124))</f>
        <v>-0</v>
      </c>
      <c r="DK127" s="33" t="n">
        <f aca="false">-MIN(DK125,MAX(0,DK124))</f>
        <v>-0</v>
      </c>
      <c r="DL127" s="33" t="n">
        <f aca="false">-MIN(DL125,MAX(0,DL124))</f>
        <v>-0</v>
      </c>
      <c r="DM127" s="33" t="n">
        <f aca="false">-MIN(DM125,MAX(0,DM124))</f>
        <v>-0</v>
      </c>
      <c r="DN127" s="33" t="n">
        <f aca="false">-MIN(DN125,MAX(0,DN124))</f>
        <v>-0</v>
      </c>
      <c r="DO127" s="33" t="n">
        <f aca="false">-MIN(DO125,MAX(0,DO124))</f>
        <v>-0</v>
      </c>
      <c r="DP127" s="33" t="n">
        <f aca="false">-MIN(DP125,MAX(0,DP124))</f>
        <v>-0</v>
      </c>
      <c r="DQ127" s="33" t="n">
        <f aca="false">-MIN(DQ125,MAX(0,DQ124))</f>
        <v>-0</v>
      </c>
      <c r="DR127" s="33" t="n">
        <f aca="false">-MIN(DR125,MAX(0,DR124))</f>
        <v>-0</v>
      </c>
      <c r="DS127" s="33" t="n">
        <f aca="false">-MIN(DS125,MAX(0,DS124))</f>
        <v>-0</v>
      </c>
      <c r="DT127" s="33" t="n">
        <f aca="false">-MIN(DT125,MAX(0,DT124))</f>
        <v>-0</v>
      </c>
      <c r="DU127" s="33" t="n">
        <f aca="false">-MIN(DU125,MAX(0,DU124))</f>
        <v>-0</v>
      </c>
      <c r="DV127" s="33" t="n">
        <f aca="false">-MIN(DV125,MAX(0,DV124))</f>
        <v>-0</v>
      </c>
      <c r="DW127" s="33" t="n">
        <f aca="false">-MIN(DW125,MAX(0,DW124))</f>
        <v>-0</v>
      </c>
      <c r="DX127" s="33" t="n">
        <f aca="false">-MIN(DX125,MAX(0,DX124))</f>
        <v>-0</v>
      </c>
      <c r="DY127" s="33" t="n">
        <f aca="false">-MIN(DY125,MAX(0,DY124))</f>
        <v>-0</v>
      </c>
      <c r="DZ127" s="33" t="n">
        <f aca="false">-MIN(DZ125,MAX(0,DZ124))</f>
        <v>-0</v>
      </c>
      <c r="EA127" s="33" t="n">
        <f aca="false">-MIN(EA125,MAX(0,EA124))</f>
        <v>-0</v>
      </c>
      <c r="EB127" s="33" t="n">
        <f aca="false">-MIN(EB125,MAX(0,EB124))</f>
        <v>-0</v>
      </c>
      <c r="EC127" s="33" t="n">
        <f aca="false">-MIN(EC125,MAX(0,EC124))</f>
        <v>-0</v>
      </c>
      <c r="ED127" s="33" t="n">
        <f aca="false">-MIN(ED125,MAX(0,ED124))</f>
        <v>-0</v>
      </c>
      <c r="EE127" s="33" t="n">
        <f aca="false">-MIN(EE125,MAX(0,EE124))</f>
        <v>-0</v>
      </c>
      <c r="EF127" s="33" t="n">
        <f aca="false">-MIN(EF125,MAX(0,EF124))</f>
        <v>-0</v>
      </c>
      <c r="EG127" s="33" t="n">
        <f aca="false">-MIN(EG125,MAX(0,EG124))</f>
        <v>-0</v>
      </c>
      <c r="EH127" s="33" t="n">
        <f aca="false">-MIN(EH125,MAX(0,EH124))</f>
        <v>-0</v>
      </c>
      <c r="EI127" s="33" t="n">
        <f aca="false">-MIN(EI125,MAX(0,EI124))</f>
        <v>-0</v>
      </c>
      <c r="EJ127" s="33" t="n">
        <f aca="false">-MIN(EJ125,MAX(0,EJ124))</f>
        <v>-0</v>
      </c>
      <c r="EK127" s="33" t="n">
        <f aca="false">-MIN(EK125,MAX(0,EK124))</f>
        <v>-0</v>
      </c>
      <c r="EL127" s="33" t="n">
        <f aca="false">-MIN(EL125,MAX(0,EL124))</f>
        <v>-0</v>
      </c>
      <c r="EM127" s="33" t="n">
        <f aca="false">-MIN(EM125,MAX(0,EM124))</f>
        <v>-0</v>
      </c>
      <c r="EN127" s="33" t="n">
        <f aca="false">-MIN(EN125,MAX(0,EN124))</f>
        <v>-0</v>
      </c>
      <c r="EO127" s="33" t="n">
        <f aca="false">-MIN(EO125,MAX(0,EO124))</f>
        <v>-0</v>
      </c>
      <c r="EP127" s="33" t="n">
        <f aca="false">-MIN(EP125,MAX(0,EP124))</f>
        <v>-0</v>
      </c>
      <c r="EQ127" s="33" t="n">
        <f aca="false">-MIN(EQ125,MAX(0,EQ124))</f>
        <v>-0</v>
      </c>
      <c r="ER127" s="33" t="n">
        <f aca="false">-MIN(ER125,MAX(0,ER124))</f>
        <v>-0</v>
      </c>
      <c r="ES127" s="33" t="n">
        <f aca="false">-MIN(ES125,MAX(0,ES124))</f>
        <v>-0</v>
      </c>
      <c r="ET127" s="33" t="n">
        <f aca="false">-MIN(ET125,MAX(0,ET124))</f>
        <v>-0</v>
      </c>
    </row>
    <row r="128" customFormat="false" ht="15" hidden="false" customHeight="false" outlineLevel="0" collapsed="false">
      <c r="C128" s="0" t="s">
        <v>578</v>
      </c>
      <c r="D128" s="11" t="s">
        <v>253</v>
      </c>
      <c r="I128" s="54"/>
      <c r="J128" s="33" t="n">
        <f aca="false">SUM(J125:J127)</f>
        <v>0</v>
      </c>
      <c r="K128" s="33" t="n">
        <f aca="false">SUM(K125:K127)</f>
        <v>178.520547945205</v>
      </c>
      <c r="L128" s="33" t="n">
        <f aca="false">SUM(L125:L127)</f>
        <v>766.965068493151</v>
      </c>
      <c r="M128" s="33" t="n">
        <f aca="false">SUM(M125:M127)</f>
        <v>810.800684931507</v>
      </c>
      <c r="N128" s="33" t="n">
        <f aca="false">SUM(N125:N127)</f>
        <v>854.636301369863</v>
      </c>
      <c r="O128" s="33" t="n">
        <f aca="false">SUM(O125:O127)</f>
        <v>1038.99794520548</v>
      </c>
      <c r="P128" s="33" t="n">
        <f aca="false">SUM(P125:P127)</f>
        <v>2329.03974000559</v>
      </c>
      <c r="Q128" s="33" t="n">
        <f aca="false">SUM(Q125:Q127)</f>
        <v>2333.64932904669</v>
      </c>
      <c r="R128" s="33" t="n">
        <f aca="false">SUM(R125:R127)</f>
        <v>2497.74083902712</v>
      </c>
      <c r="S128" s="33" t="n">
        <f aca="false">SUM(S125:S127)</f>
        <v>2814.96697772435</v>
      </c>
      <c r="T128" s="33" t="n">
        <f aca="false">SUM(T125:T127)</f>
        <v>3119.62451197093</v>
      </c>
      <c r="U128" s="33" t="n">
        <f aca="false">SUM(U125:U127)</f>
        <v>3119.62451197093</v>
      </c>
      <c r="V128" s="33" t="n">
        <f aca="false">SUM(V125:V127)</f>
        <v>3119.62451197093</v>
      </c>
      <c r="W128" s="33" t="n">
        <f aca="false">SUM(W125:W127)</f>
        <v>5074.63865062317</v>
      </c>
      <c r="X128" s="33" t="n">
        <f aca="false">SUM(X125:X127)</f>
        <v>5334.80891409552</v>
      </c>
      <c r="Y128" s="33" t="n">
        <f aca="false">SUM(Y125:Y127)</f>
        <v>5571.5693249929</v>
      </c>
      <c r="Z128" s="33" t="n">
        <f aca="false">SUM(Z125:Z127)</f>
        <v>5784.04640684983</v>
      </c>
      <c r="AA128" s="33" t="n">
        <f aca="false">SUM(AA125:AA127)</f>
        <v>5969.34295633999</v>
      </c>
      <c r="AB128" s="33" t="n">
        <f aca="false">SUM(AB125:AB127)</f>
        <v>6125.91608905738</v>
      </c>
      <c r="AC128" s="33" t="n">
        <f aca="false">SUM(AC125:AC127)</f>
        <v>6257.92828996918</v>
      </c>
      <c r="AD128" s="33" t="n">
        <f aca="false">SUM(AD125:AD127)</f>
        <v>6364.50608260992</v>
      </c>
      <c r="AE128" s="33" t="n">
        <f aca="false">SUM(AE125:AE127)</f>
        <v>5519.91393527344</v>
      </c>
      <c r="AF128" s="33" t="n">
        <f aca="false">SUM(AF125:AF127)</f>
        <v>4646.15934283861</v>
      </c>
      <c r="AG128" s="33" t="n">
        <f aca="false">SUM(AG125:AG127)</f>
        <v>3747.98772147452</v>
      </c>
      <c r="AH128" s="33" t="n">
        <f aca="false">SUM(AH125:AH127)</f>
        <v>2802.11210278394</v>
      </c>
      <c r="AI128" s="33" t="n">
        <f aca="false">SUM(AI125:AI127)</f>
        <v>1845.89924779384</v>
      </c>
      <c r="AJ128" s="33" t="n">
        <f aca="false">SUM(AJ125:AJ127)</f>
        <v>882.801834168731</v>
      </c>
      <c r="AK128" s="33" t="n">
        <f aca="false">SUM(AK125:AK127)</f>
        <v>0</v>
      </c>
      <c r="AL128" s="33" t="n">
        <f aca="false">SUM(AL125:AL127)</f>
        <v>0</v>
      </c>
      <c r="AM128" s="33" t="n">
        <f aca="false">SUM(AM125:AM127)</f>
        <v>0</v>
      </c>
      <c r="AN128" s="33" t="n">
        <f aca="false">SUM(AN125:AN127)</f>
        <v>0</v>
      </c>
      <c r="AO128" s="33" t="n">
        <f aca="false">SUM(AO125:AO127)</f>
        <v>0</v>
      </c>
      <c r="AP128" s="33" t="n">
        <f aca="false">SUM(AP125:AP127)</f>
        <v>0</v>
      </c>
      <c r="AQ128" s="33" t="n">
        <f aca="false">SUM(AQ125:AQ127)</f>
        <v>0</v>
      </c>
      <c r="AR128" s="33" t="n">
        <f aca="false">SUM(AR125:AR127)</f>
        <v>0</v>
      </c>
      <c r="AS128" s="33" t="n">
        <f aca="false">SUM(AS125:AS127)</f>
        <v>0</v>
      </c>
      <c r="AT128" s="33" t="n">
        <f aca="false">SUM(AT125:AT127)</f>
        <v>0</v>
      </c>
      <c r="AU128" s="33" t="n">
        <f aca="false">SUM(AU125:AU127)</f>
        <v>0</v>
      </c>
      <c r="AV128" s="33" t="n">
        <f aca="false">SUM(AV125:AV127)</f>
        <v>0</v>
      </c>
      <c r="AW128" s="33" t="n">
        <f aca="false">SUM(AW125:AW127)</f>
        <v>0</v>
      </c>
      <c r="AX128" s="33" t="n">
        <f aca="false">SUM(AX125:AX127)</f>
        <v>0</v>
      </c>
      <c r="AY128" s="33" t="n">
        <f aca="false">SUM(AY125:AY127)</f>
        <v>0</v>
      </c>
      <c r="AZ128" s="33" t="n">
        <f aca="false">SUM(AZ125:AZ127)</f>
        <v>0</v>
      </c>
      <c r="BA128" s="33" t="n">
        <f aca="false">SUM(BA125:BA127)</f>
        <v>0</v>
      </c>
      <c r="BB128" s="33" t="n">
        <f aca="false">SUM(BB125:BB127)</f>
        <v>0</v>
      </c>
      <c r="BC128" s="33" t="n">
        <f aca="false">SUM(BC125:BC127)</f>
        <v>0</v>
      </c>
      <c r="BD128" s="33" t="n">
        <f aca="false">SUM(BD125:BD127)</f>
        <v>0</v>
      </c>
      <c r="BE128" s="33" t="n">
        <f aca="false">SUM(BE125:BE127)</f>
        <v>0</v>
      </c>
      <c r="BF128" s="33" t="n">
        <f aca="false">SUM(BF125:BF127)</f>
        <v>0</v>
      </c>
      <c r="BG128" s="33" t="n">
        <f aca="false">SUM(BG125:BG127)</f>
        <v>0</v>
      </c>
      <c r="BH128" s="33" t="n">
        <f aca="false">SUM(BH125:BH127)</f>
        <v>0</v>
      </c>
      <c r="BI128" s="33" t="n">
        <f aca="false">SUM(BI125:BI127)</f>
        <v>0</v>
      </c>
      <c r="BJ128" s="33" t="n">
        <f aca="false">SUM(BJ125:BJ127)</f>
        <v>0</v>
      </c>
      <c r="BK128" s="33" t="n">
        <f aca="false">SUM(BK125:BK127)</f>
        <v>0</v>
      </c>
      <c r="BL128" s="33" t="n">
        <f aca="false">SUM(BL125:BL127)</f>
        <v>0</v>
      </c>
      <c r="BM128" s="33" t="n">
        <f aca="false">SUM(BM125:BM127)</f>
        <v>0</v>
      </c>
      <c r="BN128" s="33" t="n">
        <f aca="false">SUM(BN125:BN127)</f>
        <v>0</v>
      </c>
      <c r="BO128" s="33" t="n">
        <f aca="false">SUM(BO125:BO127)</f>
        <v>0</v>
      </c>
      <c r="BP128" s="33" t="n">
        <f aca="false">SUM(BP125:BP127)</f>
        <v>0</v>
      </c>
      <c r="BQ128" s="33" t="n">
        <f aca="false">SUM(BQ125:BQ127)</f>
        <v>0</v>
      </c>
      <c r="BR128" s="33" t="n">
        <f aca="false">SUM(BR125:BR127)</f>
        <v>0</v>
      </c>
      <c r="BS128" s="33" t="n">
        <f aca="false">SUM(BS125:BS127)</f>
        <v>0</v>
      </c>
      <c r="BT128" s="33" t="n">
        <f aca="false">SUM(BT125:BT127)</f>
        <v>0</v>
      </c>
      <c r="BU128" s="33" t="n">
        <f aca="false">SUM(BU125:BU127)</f>
        <v>0</v>
      </c>
      <c r="BV128" s="33" t="n">
        <f aca="false">SUM(BV125:BV127)</f>
        <v>0</v>
      </c>
      <c r="BW128" s="33" t="n">
        <f aca="false">SUM(BW125:BW127)</f>
        <v>0</v>
      </c>
      <c r="BX128" s="33" t="n">
        <f aca="false">SUM(BX125:BX127)</f>
        <v>0</v>
      </c>
      <c r="BY128" s="33" t="n">
        <f aca="false">SUM(BY125:BY127)</f>
        <v>0</v>
      </c>
      <c r="BZ128" s="33" t="n">
        <f aca="false">SUM(BZ125:BZ127)</f>
        <v>0</v>
      </c>
      <c r="CA128" s="33" t="n">
        <f aca="false">SUM(CA125:CA127)</f>
        <v>0</v>
      </c>
      <c r="CB128" s="33" t="n">
        <f aca="false">SUM(CB125:CB127)</f>
        <v>0</v>
      </c>
      <c r="CC128" s="33" t="n">
        <f aca="false">SUM(CC125:CC127)</f>
        <v>0</v>
      </c>
      <c r="CD128" s="33" t="n">
        <f aca="false">SUM(CD125:CD127)</f>
        <v>0</v>
      </c>
      <c r="CE128" s="33" t="n">
        <f aca="false">SUM(CE125:CE127)</f>
        <v>0</v>
      </c>
      <c r="CF128" s="33" t="n">
        <f aca="false">SUM(CF125:CF127)</f>
        <v>0</v>
      </c>
      <c r="CG128" s="33" t="n">
        <f aca="false">SUM(CG125:CG127)</f>
        <v>0</v>
      </c>
      <c r="CH128" s="33" t="n">
        <f aca="false">SUM(CH125:CH127)</f>
        <v>0</v>
      </c>
      <c r="CI128" s="33" t="n">
        <f aca="false">SUM(CI125:CI127)</f>
        <v>0</v>
      </c>
      <c r="CJ128" s="33" t="n">
        <f aca="false">SUM(CJ125:CJ127)</f>
        <v>0</v>
      </c>
      <c r="CK128" s="33" t="n">
        <f aca="false">SUM(CK125:CK127)</f>
        <v>0</v>
      </c>
      <c r="CL128" s="33" t="n">
        <f aca="false">SUM(CL125:CL127)</f>
        <v>0</v>
      </c>
      <c r="CM128" s="33" t="n">
        <f aca="false">SUM(CM125:CM127)</f>
        <v>0</v>
      </c>
      <c r="CN128" s="33" t="n">
        <f aca="false">SUM(CN125:CN127)</f>
        <v>0</v>
      </c>
      <c r="CO128" s="33" t="n">
        <f aca="false">SUM(CO125:CO127)</f>
        <v>0</v>
      </c>
      <c r="CP128" s="33" t="n">
        <f aca="false">SUM(CP125:CP127)</f>
        <v>0</v>
      </c>
      <c r="CQ128" s="33" t="n">
        <f aca="false">SUM(CQ125:CQ127)</f>
        <v>0</v>
      </c>
      <c r="CR128" s="33" t="n">
        <f aca="false">SUM(CR125:CR127)</f>
        <v>0</v>
      </c>
      <c r="CS128" s="33" t="n">
        <f aca="false">SUM(CS125:CS127)</f>
        <v>0</v>
      </c>
      <c r="CT128" s="33" t="n">
        <f aca="false">SUM(CT125:CT127)</f>
        <v>0</v>
      </c>
      <c r="CU128" s="33" t="n">
        <f aca="false">SUM(CU125:CU127)</f>
        <v>0</v>
      </c>
      <c r="CV128" s="33" t="n">
        <f aca="false">SUM(CV125:CV127)</f>
        <v>0</v>
      </c>
      <c r="CW128" s="33" t="n">
        <f aca="false">SUM(CW125:CW127)</f>
        <v>0</v>
      </c>
      <c r="CX128" s="33" t="n">
        <f aca="false">SUM(CX125:CX127)</f>
        <v>0</v>
      </c>
      <c r="CY128" s="33" t="n">
        <f aca="false">SUM(CY125:CY127)</f>
        <v>0</v>
      </c>
      <c r="CZ128" s="33" t="n">
        <f aca="false">SUM(CZ125:CZ127)</f>
        <v>0</v>
      </c>
      <c r="DA128" s="33" t="n">
        <f aca="false">SUM(DA125:DA127)</f>
        <v>0</v>
      </c>
      <c r="DB128" s="33" t="n">
        <f aca="false">SUM(DB125:DB127)</f>
        <v>0</v>
      </c>
      <c r="DC128" s="33" t="n">
        <f aca="false">SUM(DC125:DC127)</f>
        <v>0</v>
      </c>
      <c r="DD128" s="33" t="n">
        <f aca="false">SUM(DD125:DD127)</f>
        <v>0</v>
      </c>
      <c r="DE128" s="33" t="n">
        <f aca="false">SUM(DE125:DE127)</f>
        <v>0</v>
      </c>
      <c r="DF128" s="33" t="n">
        <f aca="false">SUM(DF125:DF127)</f>
        <v>0</v>
      </c>
      <c r="DG128" s="33" t="n">
        <f aca="false">SUM(DG125:DG127)</f>
        <v>0</v>
      </c>
      <c r="DH128" s="33" t="n">
        <f aca="false">SUM(DH125:DH127)</f>
        <v>0</v>
      </c>
      <c r="DI128" s="33" t="n">
        <f aca="false">SUM(DI125:DI127)</f>
        <v>0</v>
      </c>
      <c r="DJ128" s="33" t="n">
        <f aca="false">SUM(DJ125:DJ127)</f>
        <v>0</v>
      </c>
      <c r="DK128" s="33" t="n">
        <f aca="false">SUM(DK125:DK127)</f>
        <v>0</v>
      </c>
      <c r="DL128" s="33" t="n">
        <f aca="false">SUM(DL125:DL127)</f>
        <v>0</v>
      </c>
      <c r="DM128" s="33" t="n">
        <f aca="false">SUM(DM125:DM127)</f>
        <v>0</v>
      </c>
      <c r="DN128" s="33" t="n">
        <f aca="false">SUM(DN125:DN127)</f>
        <v>0</v>
      </c>
      <c r="DO128" s="33" t="n">
        <f aca="false">SUM(DO125:DO127)</f>
        <v>0</v>
      </c>
      <c r="DP128" s="33" t="n">
        <f aca="false">SUM(DP125:DP127)</f>
        <v>0</v>
      </c>
      <c r="DQ128" s="33" t="n">
        <f aca="false">SUM(DQ125:DQ127)</f>
        <v>0</v>
      </c>
      <c r="DR128" s="33" t="n">
        <f aca="false">SUM(DR125:DR127)</f>
        <v>0</v>
      </c>
      <c r="DS128" s="33" t="n">
        <f aca="false">SUM(DS125:DS127)</f>
        <v>0</v>
      </c>
      <c r="DT128" s="33" t="n">
        <f aca="false">SUM(DT125:DT127)</f>
        <v>0</v>
      </c>
      <c r="DU128" s="33" t="n">
        <f aca="false">SUM(DU125:DU127)</f>
        <v>0</v>
      </c>
      <c r="DV128" s="33" t="n">
        <f aca="false">SUM(DV125:DV127)</f>
        <v>0</v>
      </c>
      <c r="DW128" s="33" t="n">
        <f aca="false">SUM(DW125:DW127)</f>
        <v>0</v>
      </c>
      <c r="DX128" s="33" t="n">
        <f aca="false">SUM(DX125:DX127)</f>
        <v>0</v>
      </c>
      <c r="DY128" s="33" t="n">
        <f aca="false">SUM(DY125:DY127)</f>
        <v>0</v>
      </c>
      <c r="DZ128" s="33" t="n">
        <f aca="false">SUM(DZ125:DZ127)</f>
        <v>0</v>
      </c>
      <c r="EA128" s="33" t="n">
        <f aca="false">SUM(EA125:EA127)</f>
        <v>0</v>
      </c>
      <c r="EB128" s="33" t="n">
        <f aca="false">SUM(EB125:EB127)</f>
        <v>0</v>
      </c>
      <c r="EC128" s="33" t="n">
        <f aca="false">SUM(EC125:EC127)</f>
        <v>0</v>
      </c>
      <c r="ED128" s="33" t="n">
        <f aca="false">SUM(ED125:ED127)</f>
        <v>0</v>
      </c>
      <c r="EE128" s="33" t="n">
        <f aca="false">SUM(EE125:EE127)</f>
        <v>0</v>
      </c>
      <c r="EF128" s="33" t="n">
        <f aca="false">SUM(EF125:EF127)</f>
        <v>0</v>
      </c>
      <c r="EG128" s="33" t="n">
        <f aca="false">SUM(EG125:EG127)</f>
        <v>0</v>
      </c>
      <c r="EH128" s="33" t="n">
        <f aca="false">SUM(EH125:EH127)</f>
        <v>0</v>
      </c>
      <c r="EI128" s="33" t="n">
        <f aca="false">SUM(EI125:EI127)</f>
        <v>0</v>
      </c>
      <c r="EJ128" s="33" t="n">
        <f aca="false">SUM(EJ125:EJ127)</f>
        <v>0</v>
      </c>
      <c r="EK128" s="33" t="n">
        <f aca="false">SUM(EK125:EK127)</f>
        <v>0</v>
      </c>
      <c r="EL128" s="33" t="n">
        <f aca="false">SUM(EL125:EL127)</f>
        <v>0</v>
      </c>
      <c r="EM128" s="33" t="n">
        <f aca="false">SUM(EM125:EM127)</f>
        <v>0</v>
      </c>
      <c r="EN128" s="33" t="n">
        <f aca="false">SUM(EN125:EN127)</f>
        <v>0</v>
      </c>
      <c r="EO128" s="33" t="n">
        <f aca="false">SUM(EO125:EO127)</f>
        <v>0</v>
      </c>
      <c r="EP128" s="33" t="n">
        <f aca="false">SUM(EP125:EP127)</f>
        <v>0</v>
      </c>
      <c r="EQ128" s="33" t="n">
        <f aca="false">SUM(EQ125:EQ127)</f>
        <v>0</v>
      </c>
      <c r="ER128" s="33" t="n">
        <f aca="false">SUM(ER125:ER127)</f>
        <v>0</v>
      </c>
      <c r="ES128" s="33" t="n">
        <f aca="false">SUM(ES125:ES127)</f>
        <v>0</v>
      </c>
      <c r="ET128" s="33" t="n">
        <f aca="false">SUM(ET125:ET127)</f>
        <v>0</v>
      </c>
    </row>
    <row r="129" customFormat="false" ht="15" hidden="false" customHeight="false" outlineLevel="0" collapsed="false">
      <c r="C129" s="30" t="s">
        <v>250</v>
      </c>
      <c r="D129" s="11" t="s">
        <v>253</v>
      </c>
      <c r="I129" s="35" t="n">
        <f aca="false">SUM(J129:ET129)</f>
        <v>-28323.9656639994</v>
      </c>
      <c r="J129" s="35" t="n">
        <f aca="false">-In_CIT*(MAX(0,J124)+J127)</f>
        <v>-0</v>
      </c>
      <c r="K129" s="35" t="n">
        <f aca="false">-In_CIT*(MAX(0,K124)+K127)</f>
        <v>-0</v>
      </c>
      <c r="L129" s="35" t="n">
        <f aca="false">-In_CIT*(MAX(0,L124)+L127)</f>
        <v>-0</v>
      </c>
      <c r="M129" s="35" t="n">
        <f aca="false">-In_CIT*(MAX(0,M124)+M127)</f>
        <v>-0</v>
      </c>
      <c r="N129" s="35" t="n">
        <f aca="false">-In_CIT*(MAX(0,N124)+N127)</f>
        <v>-0</v>
      </c>
      <c r="O129" s="35" t="n">
        <f aca="false">-In_CIT*(MAX(0,O124)+O127)</f>
        <v>-0</v>
      </c>
      <c r="P129" s="35" t="n">
        <f aca="false">-In_CIT*(MAX(0,P124)+P127)</f>
        <v>-0</v>
      </c>
      <c r="Q129" s="35" t="n">
        <f aca="false">-In_CIT*(MAX(0,Q124)+Q127)</f>
        <v>-0</v>
      </c>
      <c r="R129" s="35" t="n">
        <f aca="false">-In_CIT*(MAX(0,R124)+R127)</f>
        <v>-0</v>
      </c>
      <c r="S129" s="35" t="n">
        <f aca="false">-In_CIT*(MAX(0,S124)+S127)</f>
        <v>-0</v>
      </c>
      <c r="T129" s="35" t="n">
        <f aca="false">-In_CIT*(MAX(0,T124)+T127)</f>
        <v>-0</v>
      </c>
      <c r="U129" s="35" t="n">
        <f aca="false">-In_CIT*(MAX(0,U124)+U127)</f>
        <v>-0</v>
      </c>
      <c r="V129" s="35" t="n">
        <f aca="false">-In_CIT*(MAX(0,V124)+V127)</f>
        <v>-0</v>
      </c>
      <c r="W129" s="35" t="n">
        <f aca="false">-In_CIT*(MAX(0,W124)+W127)</f>
        <v>-0</v>
      </c>
      <c r="X129" s="35" t="n">
        <f aca="false">-In_CIT*(MAX(0,X124)+X127)</f>
        <v>-0</v>
      </c>
      <c r="Y129" s="35" t="n">
        <f aca="false">-In_CIT*(MAX(0,Y124)+Y127)</f>
        <v>-0</v>
      </c>
      <c r="Z129" s="35" t="n">
        <f aca="false">-In_CIT*(MAX(0,Z124)+Z127)</f>
        <v>-0</v>
      </c>
      <c r="AA129" s="35" t="n">
        <f aca="false">-In_CIT*(MAX(0,AA124)+AA127)</f>
        <v>-0</v>
      </c>
      <c r="AB129" s="35" t="n">
        <f aca="false">-In_CIT*(MAX(0,AB124)+AB127)</f>
        <v>-0</v>
      </c>
      <c r="AC129" s="35" t="n">
        <f aca="false">-In_CIT*(MAX(0,AC124)+AC127)</f>
        <v>-0</v>
      </c>
      <c r="AD129" s="35" t="n">
        <f aca="false">-In_CIT*(MAX(0,AD124)+AD127)</f>
        <v>-0</v>
      </c>
      <c r="AE129" s="35" t="n">
        <f aca="false">-In_CIT*(MAX(0,AE124)+AE127)</f>
        <v>-0</v>
      </c>
      <c r="AF129" s="35" t="n">
        <f aca="false">-In_CIT*(MAX(0,AF124)+AF127)</f>
        <v>-0</v>
      </c>
      <c r="AG129" s="35" t="n">
        <f aca="false">-In_CIT*(MAX(0,AG124)+AG127)</f>
        <v>-0</v>
      </c>
      <c r="AH129" s="35" t="n">
        <f aca="false">-In_CIT*(MAX(0,AH124)+AH127)</f>
        <v>-0</v>
      </c>
      <c r="AI129" s="35" t="n">
        <f aca="false">-In_CIT*(MAX(0,AI124)+AI127)</f>
        <v>-0</v>
      </c>
      <c r="AJ129" s="35" t="n">
        <f aca="false">-In_CIT*(MAX(0,AJ124)+AJ127)</f>
        <v>-0</v>
      </c>
      <c r="AK129" s="35" t="n">
        <f aca="false">-In_CIT*(MAX(0,AK124)+AK127)</f>
        <v>-11.6172566672914</v>
      </c>
      <c r="AL129" s="35" t="n">
        <f aca="false">-In_CIT*(MAX(0,AL124)+AL127)</f>
        <v>-95.4889448417256</v>
      </c>
      <c r="AM129" s="35" t="n">
        <f aca="false">-In_CIT*(MAX(0,AM124)+AM127)</f>
        <v>-96.5256785525198</v>
      </c>
      <c r="AN129" s="35" t="n">
        <f aca="false">-In_CIT*(MAX(0,AN124)+AN127)</f>
        <v>-97.2138487907318</v>
      </c>
      <c r="AO129" s="35" t="n">
        <f aca="false">-In_CIT*(MAX(0,AO124)+AO127)</f>
        <v>-101.734632832676</v>
      </c>
      <c r="AP129" s="35" t="n">
        <f aca="false">-In_CIT*(MAX(0,AP124)+AP127)</f>
        <v>-106.285756177341</v>
      </c>
      <c r="AQ129" s="35" t="n">
        <f aca="false">-In_CIT*(MAX(0,AQ124)+AQ127)</f>
        <v>-107.434691304723</v>
      </c>
      <c r="AR129" s="35" t="n">
        <f aca="false">-In_CIT*(MAX(0,AR124)+AR127)</f>
        <v>-108.196914767106</v>
      </c>
      <c r="AS129" s="35" t="n">
        <f aca="false">-In_CIT*(MAX(0,AS124)+AS127)</f>
        <v>-112.853471950999</v>
      </c>
      <c r="AT129" s="35" t="n">
        <f aca="false">-In_CIT*(MAX(0,AT124)+AT127)</f>
        <v>-117.541914083612</v>
      </c>
      <c r="AU129" s="35" t="n">
        <f aca="false">-In_CIT*(MAX(0,AU124)+AU127)</f>
        <v>-118.809167913345</v>
      </c>
      <c r="AV129" s="35" t="n">
        <f aca="false">-In_CIT*(MAX(0,AV124)+AV127)</f>
        <v>-121.768753263312</v>
      </c>
      <c r="AW129" s="35" t="n">
        <f aca="false">-In_CIT*(MAX(0,AW124)+AW127)</f>
        <v>-124.449500317221</v>
      </c>
      <c r="AX129" s="35" t="n">
        <f aca="false">-In_CIT*(MAX(0,AX124)+AX127)</f>
        <v>-129.281276069291</v>
      </c>
      <c r="AY129" s="35" t="n">
        <f aca="false">-In_CIT*(MAX(0,AY124)+AY127)</f>
        <v>-130.673279392617</v>
      </c>
      <c r="AZ129" s="35" t="n">
        <f aca="false">-In_CIT*(MAX(0,AZ124)+AZ127)</f>
        <v>-131.60128851837</v>
      </c>
      <c r="BA129" s="35" t="n">
        <f aca="false">-In_CIT*(MAX(0,BA124)+BA127)</f>
        <v>-136.54750793486</v>
      </c>
      <c r="BB129" s="35" t="n">
        <f aca="false">-In_CIT*(MAX(0,BB124)+BB127)</f>
        <v>-141.528943834047</v>
      </c>
      <c r="BC129" s="35" t="n">
        <f aca="false">-In_CIT*(MAX(0,BC124)+BC127)</f>
        <v>-143.052456913697</v>
      </c>
      <c r="BD129" s="35" t="n">
        <f aca="false">-In_CIT*(MAX(0,BD124)+BD127)</f>
        <v>-144.072837133155</v>
      </c>
      <c r="BE129" s="35" t="n">
        <f aca="false">-In_CIT*(MAX(0,BE124)+BE127)</f>
        <v>-149.17357700604</v>
      </c>
      <c r="BF129" s="35" t="n">
        <f aca="false">-In_CIT*(MAX(0,BF124)+BF127)</f>
        <v>-154.311327477197</v>
      </c>
      <c r="BG129" s="35" t="n">
        <f aca="false">-In_CIT*(MAX(0,BG124)+BG127)</f>
        <v>-155.973456826339</v>
      </c>
      <c r="BH129" s="35" t="n">
        <f aca="false">-In_CIT*(MAX(0,BH124)+BH127)</f>
        <v>-157.092980312585</v>
      </c>
      <c r="BI129" s="35" t="n">
        <f aca="false">-In_CIT*(MAX(0,BI124)+BI127)</f>
        <v>-162.355148597671</v>
      </c>
      <c r="BJ129" s="35" t="n">
        <f aca="false">-In_CIT*(MAX(0,BJ124)+BJ127)</f>
        <v>-167.656212998429</v>
      </c>
      <c r="BK129" s="35" t="n">
        <f aca="false">-In_CIT*(MAX(0,BK124)+BK127)</f>
        <v>-169.464429013963</v>
      </c>
      <c r="BL129" s="35" t="n">
        <f aca="false">-In_CIT*(MAX(0,BL124)+BL127)</f>
        <v>-172.850877414035</v>
      </c>
      <c r="BM129" s="35" t="n">
        <f aca="false">-In_CIT*(MAX(0,BM124)+BM127)</f>
        <v>-176.121092725134</v>
      </c>
      <c r="BN129" s="35" t="n">
        <f aca="false">-In_CIT*(MAX(0,BN124)+BN127)</f>
        <v>-181.592833258768</v>
      </c>
      <c r="BO129" s="35" t="n">
        <f aca="false">-In_CIT*(MAX(0,BO124)+BO127)</f>
        <v>-183.554988752478</v>
      </c>
      <c r="BP129" s="35" t="n">
        <f aca="false">-In_CIT*(MAX(0,BP124)+BP127)</f>
        <v>-184.894581696676</v>
      </c>
      <c r="BQ129" s="35" t="n">
        <f aca="false">-In_CIT*(MAX(0,BQ124)+BQ127)</f>
        <v>-190.501782028053</v>
      </c>
      <c r="BR129" s="35" t="n">
        <f aca="false">-In_CIT*(MAX(0,BR124)+BR127)</f>
        <v>-196.151942578579</v>
      </c>
      <c r="BS129" s="35" t="n">
        <f aca="false">-In_CIT*(MAX(0,BS124)+BS127)</f>
        <v>-198.276292251869</v>
      </c>
      <c r="BT129" s="35" t="n">
        <f aca="false">-In_CIT*(MAX(0,BT124)+BT127)</f>
        <v>-196.170276216906</v>
      </c>
      <c r="BU129" s="35" t="n">
        <f aca="false">-In_CIT*(MAX(0,BU124)+BU127)</f>
        <v>-198.349945952649</v>
      </c>
      <c r="BV129" s="35" t="n">
        <f aca="false">-In_CIT*(MAX(0,BV124)+BV127)</f>
        <v>-200.529615688392</v>
      </c>
      <c r="BW129" s="35" t="n">
        <f aca="false">-In_CIT*(MAX(0,BW124)+BW127)</f>
        <v>-199.122067195189</v>
      </c>
      <c r="BX129" s="35" t="n">
        <f aca="false">-In_CIT*(MAX(0,BX124)+BX127)</f>
        <v>-196.964355586438</v>
      </c>
      <c r="BY129" s="35" t="n">
        <f aca="false">-In_CIT*(MAX(0,BY124)+BY127)</f>
        <v>-199.152848426287</v>
      </c>
      <c r="BZ129" s="35" t="n">
        <f aca="false">-In_CIT*(MAX(0,BZ124)+BZ127)</f>
        <v>-201.341341266136</v>
      </c>
      <c r="CA129" s="35" t="n">
        <f aca="false">-In_CIT*(MAX(0,CA124)+CA127)</f>
        <v>-199.92514609708</v>
      </c>
      <c r="CB129" s="35" t="n">
        <f aca="false">-In_CIT*(MAX(0,CB124)+CB127)</f>
        <v>-199.912094403772</v>
      </c>
      <c r="CC129" s="35" t="n">
        <f aca="false">-In_CIT*(MAX(0,CC124)+CC127)</f>
        <v>-199.912094403772</v>
      </c>
      <c r="CD129" s="35" t="n">
        <f aca="false">-In_CIT*(MAX(0,CD124)+CD127)</f>
        <v>-202.108930606011</v>
      </c>
      <c r="CE129" s="35" t="n">
        <f aca="false">-In_CIT*(MAX(0,CE124)+CE127)</f>
        <v>-200.684065882337</v>
      </c>
      <c r="CF129" s="35" t="n">
        <f aca="false">-In_CIT*(MAX(0,CF124)+CF127)</f>
        <v>-198.421514434404</v>
      </c>
      <c r="CG129" s="35" t="n">
        <f aca="false">-In_CIT*(MAX(0,CG124)+CG127)</f>
        <v>-200.62619792812</v>
      </c>
      <c r="CH129" s="35" t="n">
        <f aca="false">-In_CIT*(MAX(0,CH124)+CH127)</f>
        <v>-202.830881421835</v>
      </c>
      <c r="CI129" s="35" t="n">
        <f aca="false">-In_CIT*(MAX(0,CI124)+CI127)</f>
        <v>-201.397324889451</v>
      </c>
      <c r="CJ129" s="35" t="n">
        <f aca="false">-In_CIT*(MAX(0,CJ124)+CJ127)</f>
        <v>-199.081615948249</v>
      </c>
      <c r="CK129" s="35" t="n">
        <f aca="false">-In_CIT*(MAX(0,CK124)+CK127)</f>
        <v>-201.293633903229</v>
      </c>
      <c r="CL129" s="35" t="n">
        <f aca="false">-In_CIT*(MAX(0,CL124)+CL127)</f>
        <v>-203.50565185821</v>
      </c>
      <c r="CM129" s="35" t="n">
        <f aca="false">-In_CIT*(MAX(0,CM124)+CM127)</f>
        <v>-202.063381909346</v>
      </c>
      <c r="CN129" s="35" t="n">
        <f aca="false">-In_CIT*(MAX(0,CN124)+CN127)</f>
        <v>-199.694014733252</v>
      </c>
      <c r="CO129" s="35" t="n">
        <f aca="false">-In_CIT*(MAX(0,CO124)+CO127)</f>
        <v>-201.912837119177</v>
      </c>
      <c r="CP129" s="35" t="n">
        <f aca="false">-In_CIT*(MAX(0,CP124)+CP127)</f>
        <v>-204.131659505102</v>
      </c>
      <c r="CQ129" s="35" t="n">
        <f aca="false">-In_CIT*(MAX(0,CQ124)+CQ127)</f>
        <v>-202.680655200499</v>
      </c>
      <c r="CR129" s="35" t="n">
        <f aca="false">-In_CIT*(MAX(0,CR124)+CR127)</f>
        <v>-202.482201253553</v>
      </c>
      <c r="CS129" s="35" t="n">
        <f aca="false">-In_CIT*(MAX(0,CS124)+CS127)</f>
        <v>-202.482201253553</v>
      </c>
      <c r="CT129" s="35" t="n">
        <f aca="false">-In_CIT*(MAX(0,CT124)+CT127)</f>
        <v>-204.707280388207</v>
      </c>
      <c r="CU129" s="35" t="n">
        <f aca="false">-In_CIT*(MAX(0,CU124)+CU127)</f>
        <v>-203.247521479836</v>
      </c>
      <c r="CV129" s="35" t="n">
        <f aca="false">-In_CIT*(MAX(0,CV124)+CV127)</f>
        <v>-200.769307762012</v>
      </c>
      <c r="CW129" s="35" t="n">
        <f aca="false">-In_CIT*(MAX(0,CW124)+CW127)</f>
        <v>-203.000077848256</v>
      </c>
      <c r="CX129" s="35" t="n">
        <f aca="false">-In_CIT*(MAX(0,CX124)+CX127)</f>
        <v>-205.230847934501</v>
      </c>
      <c r="CY129" s="35" t="n">
        <f aca="false">-In_CIT*(MAX(0,CY124)+CY127)</f>
        <v>-203.762314888844</v>
      </c>
      <c r="CZ129" s="35" t="n">
        <f aca="false">-In_CIT*(MAX(0,CZ124)+CZ127)</f>
        <v>-201.228898609916</v>
      </c>
      <c r="DA129" s="35" t="n">
        <f aca="false">-In_CIT*(MAX(0,DA124)+DA127)</f>
        <v>-203.464775261138</v>
      </c>
      <c r="DB129" s="35" t="n">
        <f aca="false">-In_CIT*(MAX(0,DB124)+DB127)</f>
        <v>-205.700651912359</v>
      </c>
      <c r="DC129" s="35" t="n">
        <f aca="false">-In_CIT*(MAX(0,DC124)+DC127)</f>
        <v>-204.223325934256</v>
      </c>
      <c r="DD129" s="35" t="n">
        <f aca="false">-In_CIT*(MAX(0,DD124)+DD127)</f>
        <v>-201.634177838124</v>
      </c>
      <c r="DE129" s="35" t="n">
        <f aca="false">-In_CIT*(MAX(0,DE124)+DE127)</f>
        <v>-203.874557591881</v>
      </c>
      <c r="DF129" s="35" t="n">
        <f aca="false">-In_CIT*(MAX(0,DF124)+DF127)</f>
        <v>-206.114937345638</v>
      </c>
      <c r="DG129" s="35" t="n">
        <f aca="false">-In_CIT*(MAX(0,DG124)+DG127)</f>
        <v>-390.462027514203</v>
      </c>
      <c r="DH129" s="35" t="n">
        <f aca="false">-In_CIT*(MAX(0,DH124)+DH127)</f>
        <v>-388.040944311337</v>
      </c>
      <c r="DI129" s="35" t="n">
        <f aca="false">-In_CIT*(MAX(0,DI124)+DI127)</f>
        <v>-388.040944311337</v>
      </c>
      <c r="DJ129" s="35" t="n">
        <f aca="false">-In_CIT*(MAX(0,DJ124)+DJ127)</f>
        <v>-392.30513051256</v>
      </c>
      <c r="DK129" s="35" t="n">
        <f aca="false">-In_CIT*(MAX(0,DK124)+DK127)</f>
        <v>-390.810165360226</v>
      </c>
      <c r="DL129" s="35" t="n">
        <f aca="false">-In_CIT*(MAX(0,DL124)+DL127)</f>
        <v>-384.068083069357</v>
      </c>
      <c r="DM129" s="35" t="n">
        <f aca="false">-In_CIT*(MAX(0,DM124)+DM127)</f>
        <v>-388.335506214572</v>
      </c>
      <c r="DN129" s="35" t="n">
        <f aca="false">-In_CIT*(MAX(0,DN124)+DN127)</f>
        <v>-392.602929359787</v>
      </c>
      <c r="DO129" s="35" t="n">
        <f aca="false">-In_CIT*(MAX(0,DO124)+DO127)</f>
        <v>-391.099119566891</v>
      </c>
      <c r="DP129" s="35" t="n">
        <f aca="false">-In_CIT*(MAX(0,DP124)+DP127)</f>
        <v>-384.29967228596</v>
      </c>
      <c r="DQ129" s="35" t="n">
        <f aca="false">-In_CIT*(MAX(0,DQ124)+DQ127)</f>
        <v>-388.569668644693</v>
      </c>
      <c r="DR129" s="35" t="n">
        <f aca="false">-In_CIT*(MAX(0,DR124)+DR127)</f>
        <v>-392.839665003426</v>
      </c>
      <c r="DS129" s="35" t="n">
        <f aca="false">-In_CIT*(MAX(0,DS124)+DS127)</f>
        <v>-391.326994978479</v>
      </c>
      <c r="DT129" s="35" t="n">
        <f aca="false">-In_CIT*(MAX(0,DT124)+DT127)</f>
        <v>-384.469622693208</v>
      </c>
      <c r="DU129" s="35" t="n">
        <f aca="false">-In_CIT*(MAX(0,DU124)+DU127)</f>
        <v>-388.741507389799</v>
      </c>
      <c r="DV129" s="35" t="n">
        <f aca="false">-In_CIT*(MAX(0,DV124)+DV127)</f>
        <v>-393.013392086391</v>
      </c>
      <c r="DW129" s="35" t="n">
        <f aca="false">-In_CIT*(MAX(0,DW124)+DW127)</f>
        <v>-391.491847104446</v>
      </c>
      <c r="DX129" s="35" t="n">
        <f aca="false">-In_CIT*(MAX(0,DX124)+DX127)</f>
        <v>-388.849048200098</v>
      </c>
      <c r="DY129" s="35" t="n">
        <f aca="false">-In_CIT*(MAX(0,DY124)+DY127)</f>
        <v>-388.849048200098</v>
      </c>
      <c r="DZ129" s="35" t="n">
        <f aca="false">-In_CIT*(MAX(0,DZ124)+DZ127)</f>
        <v>-393.122114663836</v>
      </c>
      <c r="EA129" s="35" t="n">
        <f aca="false">-In_CIT*(MAX(0,EA124)+EA127)</f>
        <v>-391.591680894017</v>
      </c>
      <c r="EB129" s="35" t="n">
        <f aca="false">-In_CIT*(MAX(0,EB124)+EB127)</f>
        <v>-384.616746143775</v>
      </c>
      <c r="EC129" s="35" t="n">
        <f aca="false">-In_CIT*(MAX(0,EC124)+EC127)</f>
        <v>-388.890265545373</v>
      </c>
      <c r="ED129" s="35" t="n">
        <f aca="false">-In_CIT*(MAX(0,ED124)+ED127)</f>
        <v>-393.16378494697</v>
      </c>
      <c r="EE129" s="35" t="n">
        <f aca="false">-In_CIT*(MAX(0,EE124)+EE127)</f>
        <v>-391.624449480656</v>
      </c>
      <c r="EF129" s="35" t="n">
        <f aca="false">-In_CIT*(MAX(0,EF124)+EF127)</f>
        <v>-384.589860667834</v>
      </c>
      <c r="EG129" s="35" t="n">
        <f aca="false">-In_CIT*(MAX(0,EG124)+EG127)</f>
        <v>-388.86308134192</v>
      </c>
      <c r="EH129" s="35" t="n">
        <f aca="false">-In_CIT*(MAX(0,EH124)+EH127)</f>
        <v>-393.136302016008</v>
      </c>
      <c r="EI129" s="35" t="n">
        <f aca="false">-In_CIT*(MAX(0,EI124)+EI127)</f>
        <v>-391.5880528957</v>
      </c>
      <c r="EJ129" s="35" t="n">
        <f aca="false">-In_CIT*(MAX(0,EJ124)+EJ127)</f>
        <v>-384.493216794942</v>
      </c>
      <c r="EK129" s="35" t="n">
        <f aca="false">-In_CIT*(MAX(0,EK124)+EK127)</f>
        <v>-388.765363648219</v>
      </c>
      <c r="EL129" s="35" t="n">
        <f aca="false">-In_CIT*(MAX(0,EL124)+EL127)</f>
        <v>-393.037510501496</v>
      </c>
      <c r="EM129" s="35" t="n">
        <f aca="false">-In_CIT*(MAX(0,EM124)+EM127)</f>
        <v>-391.480336750375</v>
      </c>
      <c r="EN129" s="35" t="n">
        <f aca="false">-In_CIT*(MAX(0,EN124)+EN127)</f>
        <v>-388.594925328545</v>
      </c>
      <c r="EO129" s="35" t="n">
        <f aca="false">-In_CIT*(MAX(0,EO124)+EO127)</f>
        <v>-388.594925328545</v>
      </c>
      <c r="EP129" s="35" t="n">
        <f aca="false">-In_CIT*(MAX(0,EP124)+EP127)</f>
        <v>-392.865199233254</v>
      </c>
      <c r="EQ129" s="35" t="n">
        <f aca="false">-In_CIT*(MAX(0,EQ124)+EQ127)</f>
        <v>-391.299090885448</v>
      </c>
      <c r="ER129" s="35" t="n">
        <f aca="false">-In_CIT*(MAX(0,ER124)+ER127)</f>
        <v>-384.081945511414</v>
      </c>
      <c r="ES129" s="35" t="n">
        <f aca="false">-In_CIT*(MAX(0,ES124)+ES127)</f>
        <v>-388.349522683763</v>
      </c>
      <c r="ET129" s="35" t="n">
        <f aca="false">-In_CIT*(MAX(0,ET124)+ET127)</f>
        <v>-392.617099856112</v>
      </c>
    </row>
    <row r="131" customFormat="false" ht="15" hidden="false" customHeight="false" outlineLevel="0" collapsed="false">
      <c r="A131" s="9" t="s">
        <v>13</v>
      </c>
      <c r="B131" s="9"/>
      <c r="C131" s="9" t="s">
        <v>487</v>
      </c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  <c r="CJ131" s="9"/>
      <c r="CK131" s="9"/>
      <c r="CL131" s="9"/>
      <c r="CM131" s="9"/>
      <c r="CN131" s="9"/>
      <c r="CO131" s="9"/>
      <c r="CP131" s="9"/>
      <c r="CQ131" s="9"/>
      <c r="CR131" s="9"/>
      <c r="CS131" s="9"/>
      <c r="CT131" s="9"/>
      <c r="CU131" s="9"/>
      <c r="CV131" s="9"/>
      <c r="CW131" s="9"/>
      <c r="CX131" s="9"/>
      <c r="CY131" s="9"/>
      <c r="CZ131" s="9"/>
      <c r="DA131" s="9"/>
      <c r="DB131" s="9"/>
      <c r="DC131" s="9"/>
      <c r="DD131" s="9"/>
      <c r="DE131" s="9"/>
      <c r="DF131" s="9"/>
      <c r="DG131" s="9"/>
      <c r="DH131" s="9"/>
      <c r="DI131" s="9"/>
      <c r="DJ131" s="9"/>
      <c r="DK131" s="9"/>
      <c r="DL131" s="9"/>
      <c r="DM131" s="9"/>
      <c r="DN131" s="9"/>
      <c r="DO131" s="9"/>
      <c r="DP131" s="9"/>
      <c r="DQ131" s="9"/>
      <c r="DR131" s="9"/>
      <c r="DS131" s="9"/>
      <c r="DT131" s="9"/>
      <c r="DU131" s="9"/>
      <c r="DV131" s="9"/>
      <c r="DW131" s="9"/>
      <c r="DX131" s="9"/>
      <c r="DY131" s="9"/>
      <c r="DZ131" s="9"/>
      <c r="EA131" s="9"/>
      <c r="EB131" s="9"/>
      <c r="EC131" s="9"/>
      <c r="ED131" s="9"/>
      <c r="EE131" s="9"/>
      <c r="EF131" s="9"/>
      <c r="EG131" s="9"/>
      <c r="EH131" s="9"/>
      <c r="EI131" s="9"/>
      <c r="EJ131" s="9"/>
      <c r="EK131" s="9"/>
      <c r="EL131" s="9"/>
      <c r="EM131" s="9"/>
      <c r="EN131" s="9"/>
      <c r="EO131" s="9"/>
      <c r="EP131" s="9"/>
      <c r="EQ131" s="9"/>
      <c r="ER131" s="9"/>
      <c r="ES131" s="9"/>
      <c r="ET131" s="9"/>
    </row>
    <row r="132" customFormat="false" ht="15" hidden="false" customHeight="false" outlineLevel="0" collapsed="false">
      <c r="C132" s="30" t="s">
        <v>45</v>
      </c>
      <c r="D132" s="11" t="s">
        <v>253</v>
      </c>
      <c r="E132" s="35" t="n">
        <f aca="false">In_RtB_Premium*In_MVA</f>
        <v>15000</v>
      </c>
    </row>
    <row r="133" customFormat="false" ht="15" hidden="false" customHeight="false" outlineLevel="0" collapsed="false">
      <c r="A133" s="55"/>
      <c r="B133" s="55"/>
      <c r="C133" s="55" t="s">
        <v>579</v>
      </c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55"/>
      <c r="W133" s="55"/>
      <c r="X133" s="55"/>
      <c r="Y133" s="55"/>
      <c r="Z133" s="55"/>
      <c r="AA133" s="55"/>
      <c r="AB133" s="55"/>
      <c r="AC133" s="55"/>
      <c r="AD133" s="55"/>
      <c r="AE133" s="55"/>
      <c r="AF133" s="55"/>
      <c r="AG133" s="55"/>
      <c r="AH133" s="55"/>
      <c r="AI133" s="55"/>
      <c r="AJ133" s="55"/>
      <c r="AK133" s="55"/>
      <c r="AL133" s="55"/>
      <c r="AM133" s="55"/>
      <c r="AN133" s="55"/>
      <c r="AO133" s="55"/>
      <c r="AP133" s="55"/>
      <c r="AQ133" s="55"/>
      <c r="AR133" s="55"/>
      <c r="AS133" s="55"/>
      <c r="AT133" s="55"/>
      <c r="AU133" s="55"/>
      <c r="AV133" s="55"/>
      <c r="AW133" s="55"/>
      <c r="AX133" s="55"/>
      <c r="AY133" s="55"/>
      <c r="AZ133" s="55"/>
      <c r="BA133" s="55"/>
      <c r="BB133" s="55"/>
      <c r="BC133" s="55"/>
      <c r="BD133" s="55"/>
      <c r="BE133" s="55"/>
      <c r="BF133" s="55"/>
      <c r="BG133" s="55"/>
      <c r="BH133" s="55"/>
      <c r="BI133" s="55"/>
      <c r="BJ133" s="55"/>
      <c r="BK133" s="55"/>
      <c r="BL133" s="55"/>
      <c r="BM133" s="55"/>
      <c r="BN133" s="55"/>
      <c r="BO133" s="55"/>
      <c r="BP133" s="55"/>
      <c r="BQ133" s="55"/>
      <c r="BR133" s="55"/>
      <c r="BS133" s="55"/>
      <c r="BT133" s="55"/>
      <c r="BU133" s="55"/>
      <c r="BV133" s="55"/>
      <c r="BW133" s="55"/>
      <c r="BX133" s="55"/>
      <c r="BY133" s="55"/>
      <c r="BZ133" s="55"/>
      <c r="CA133" s="55"/>
      <c r="CB133" s="55"/>
      <c r="CC133" s="55"/>
      <c r="CD133" s="55"/>
      <c r="CE133" s="55"/>
      <c r="CF133" s="55"/>
      <c r="CG133" s="55"/>
      <c r="CH133" s="55"/>
      <c r="CI133" s="55"/>
      <c r="CJ133" s="55"/>
      <c r="CK133" s="55"/>
      <c r="CL133" s="55"/>
      <c r="CM133" s="55"/>
      <c r="CN133" s="55"/>
      <c r="CO133" s="55"/>
      <c r="CP133" s="55"/>
      <c r="CQ133" s="55"/>
      <c r="CR133" s="55"/>
      <c r="CS133" s="55"/>
      <c r="CT133" s="55"/>
      <c r="CU133" s="55"/>
      <c r="CV133" s="55"/>
      <c r="CW133" s="55"/>
      <c r="CX133" s="55"/>
      <c r="CY133" s="55"/>
      <c r="CZ133" s="55"/>
      <c r="DA133" s="55"/>
      <c r="DB133" s="55"/>
      <c r="DC133" s="55"/>
      <c r="DD133" s="55"/>
      <c r="DE133" s="55"/>
      <c r="DF133" s="55"/>
      <c r="DG133" s="55"/>
      <c r="DH133" s="55"/>
      <c r="DI133" s="55"/>
      <c r="DJ133" s="55"/>
      <c r="DK133" s="55"/>
      <c r="DL133" s="55"/>
      <c r="DM133" s="55"/>
      <c r="DN133" s="55"/>
      <c r="DO133" s="55"/>
      <c r="DP133" s="55"/>
      <c r="DQ133" s="55"/>
      <c r="DR133" s="55"/>
      <c r="DS133" s="55"/>
      <c r="DT133" s="55"/>
      <c r="DU133" s="55"/>
      <c r="DV133" s="55"/>
      <c r="DW133" s="55"/>
      <c r="DX133" s="55"/>
      <c r="DY133" s="55"/>
      <c r="DZ133" s="55"/>
      <c r="EA133" s="55"/>
      <c r="EB133" s="55"/>
      <c r="EC133" s="55"/>
      <c r="ED133" s="55"/>
      <c r="EE133" s="55"/>
      <c r="EF133" s="55"/>
      <c r="EG133" s="55"/>
      <c r="EH133" s="55"/>
      <c r="EI133" s="55"/>
      <c r="EJ133" s="55"/>
      <c r="EK133" s="55"/>
      <c r="EL133" s="55"/>
      <c r="EM133" s="55"/>
      <c r="EN133" s="55"/>
      <c r="EO133" s="55"/>
      <c r="EP133" s="55"/>
      <c r="EQ133" s="55"/>
      <c r="ER133" s="55"/>
      <c r="ES133" s="55"/>
      <c r="ET133" s="55"/>
    </row>
    <row r="134" customFormat="false" ht="15" hidden="false" customHeight="false" outlineLevel="0" collapsed="false">
      <c r="C134" s="0" t="s">
        <v>580</v>
      </c>
      <c r="D134" s="11" t="s">
        <v>253</v>
      </c>
      <c r="E134" s="33" t="n">
        <f aca="false">$E65+$E55</f>
        <v>21842.7086410959</v>
      </c>
      <c r="F134" s="33" t="n">
        <f aca="false">MAX(0,$E132+$E134)</f>
        <v>36842.7086410959</v>
      </c>
    </row>
    <row r="135" customFormat="false" ht="15" hidden="false" customHeight="false" outlineLevel="0" collapsed="false">
      <c r="C135" s="0" t="s">
        <v>581</v>
      </c>
      <c r="D135" s="11" t="s">
        <v>253</v>
      </c>
      <c r="E135" s="22" t="n">
        <f aca="false">In_Sale_Costs</f>
        <v>500</v>
      </c>
      <c r="F135" s="33" t="n">
        <f aca="false">MIN($E135,$F134)</f>
        <v>500</v>
      </c>
    </row>
    <row r="136" customFormat="false" ht="15" hidden="false" customHeight="false" outlineLevel="0" collapsed="false">
      <c r="C136" s="0" t="s">
        <v>582</v>
      </c>
      <c r="D136" s="11" t="s">
        <v>253</v>
      </c>
      <c r="E136" s="33" t="n">
        <f aca="false">$E65</f>
        <v>21412.2641205479</v>
      </c>
      <c r="F136" s="33" t="n">
        <f aca="false">MIN($E136,$F134-SUM($F135:$F135))</f>
        <v>21412.2641205479</v>
      </c>
    </row>
    <row r="137" customFormat="false" ht="15" hidden="false" customHeight="false" outlineLevel="0" collapsed="false">
      <c r="C137" s="0" t="s">
        <v>583</v>
      </c>
      <c r="D137" s="11" t="s">
        <v>253</v>
      </c>
      <c r="E137" s="33" t="n">
        <f aca="false">$E68</f>
        <v>1564.53664418093</v>
      </c>
      <c r="F137" s="33" t="n">
        <f aca="false">MIN($E137,$F134-SUM($F135:$F136))</f>
        <v>1564.53664418093</v>
      </c>
    </row>
    <row r="138" customFormat="false" ht="15" hidden="false" customHeight="false" outlineLevel="0" collapsed="false">
      <c r="C138" s="0" t="s">
        <v>584</v>
      </c>
      <c r="D138" s="11" t="s">
        <v>253</v>
      </c>
      <c r="E138" s="33" t="n">
        <f aca="false">$E55</f>
        <v>430.444520547945</v>
      </c>
      <c r="F138" s="33" t="n">
        <f aca="false">MIN($E138,$F134-SUM($F135:$F137))</f>
        <v>430.444520547945</v>
      </c>
    </row>
    <row r="139" customFormat="false" ht="15" hidden="false" customHeight="false" outlineLevel="0" collapsed="false">
      <c r="C139" s="0" t="s">
        <v>585</v>
      </c>
      <c r="D139" s="11" t="s">
        <v>253</v>
      </c>
      <c r="E139" s="33" t="n">
        <f aca="false">$E79</f>
        <v>3119.62451197093</v>
      </c>
      <c r="F139" s="33" t="n">
        <f aca="false">MIN($E139,$F134-SUM($F135:$F138))</f>
        <v>3119.62451197093</v>
      </c>
    </row>
    <row r="140" customFormat="false" ht="15" hidden="false" customHeight="false" outlineLevel="0" collapsed="false">
      <c r="C140" s="0" t="s">
        <v>586</v>
      </c>
      <c r="D140" s="11" t="s">
        <v>253</v>
      </c>
      <c r="E140" s="33" t="n">
        <f aca="false">$E73</f>
        <v>1120.48016110676</v>
      </c>
      <c r="F140" s="33" t="n">
        <f aca="false">MIN($E140,$F134-SUM($F135:$F139))</f>
        <v>1120.48016110676</v>
      </c>
    </row>
    <row r="141" customFormat="false" ht="15" hidden="false" customHeight="false" outlineLevel="0" collapsed="false">
      <c r="C141" s="0" t="s">
        <v>587</v>
      </c>
      <c r="D141" s="11" t="s">
        <v>253</v>
      </c>
      <c r="E141" s="33" t="n">
        <f aca="false">MIN(In_DSA_Cap,In_DSA_Rate*YEARFRAC(In_Signing_Date,$E12,0))*$E24</f>
        <v>1200.65972222222</v>
      </c>
      <c r="F141" s="33" t="n">
        <f aca="false">MIN($E141,$F134-SUM($F135:$F140))</f>
        <v>1200.65972222222</v>
      </c>
    </row>
    <row r="142" customFormat="false" ht="15" hidden="false" customHeight="false" outlineLevel="0" collapsed="false">
      <c r="C142" s="30" t="s">
        <v>162</v>
      </c>
      <c r="D142" s="11" t="s">
        <v>253</v>
      </c>
      <c r="F142" s="35" t="n">
        <f aca="false">MAX(0,$F134-SUM($E135:$E141))</f>
        <v>7494.69896051916</v>
      </c>
    </row>
    <row r="143" customFormat="false" ht="15" hidden="false" customHeight="false" outlineLevel="0" collapsed="false">
      <c r="C143" s="30" t="s">
        <v>588</v>
      </c>
      <c r="D143" s="11" t="s">
        <v>253</v>
      </c>
      <c r="F143" s="35" t="n">
        <f aca="false">SUM($F136:$F140)+In_FEP_Share*$F142</f>
        <v>32893.6392307179</v>
      </c>
    </row>
    <row r="144" customFormat="false" ht="15" hidden="false" customHeight="false" outlineLevel="0" collapsed="false">
      <c r="C144" s="0" t="s">
        <v>589</v>
      </c>
      <c r="D144" s="11" t="s">
        <v>253</v>
      </c>
      <c r="F144" s="33" t="n">
        <f aca="false">$F141+(1-In_FEP_Share)*$F142</f>
        <v>3449.06941037797</v>
      </c>
    </row>
    <row r="145" customFormat="false" ht="15" hidden="false" customHeight="false" outlineLevel="0" collapsed="false">
      <c r="A145" s="55"/>
      <c r="B145" s="55"/>
      <c r="C145" s="55" t="s">
        <v>590</v>
      </c>
      <c r="D145" s="55"/>
      <c r="E145" s="55"/>
      <c r="F145" s="55"/>
      <c r="G145" s="55"/>
      <c r="H145" s="55"/>
      <c r="I145" s="55"/>
      <c r="J145" s="55"/>
      <c r="K145" s="55"/>
      <c r="L145" s="55"/>
      <c r="M145" s="55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55"/>
      <c r="Z145" s="55"/>
      <c r="AA145" s="55"/>
      <c r="AB145" s="55"/>
      <c r="AC145" s="55"/>
      <c r="AD145" s="55"/>
      <c r="AE145" s="55"/>
      <c r="AF145" s="55"/>
      <c r="AG145" s="55"/>
      <c r="AH145" s="55"/>
      <c r="AI145" s="55"/>
      <c r="AJ145" s="55"/>
      <c r="AK145" s="55"/>
      <c r="AL145" s="55"/>
      <c r="AM145" s="55"/>
      <c r="AN145" s="55"/>
      <c r="AO145" s="55"/>
      <c r="AP145" s="55"/>
      <c r="AQ145" s="55"/>
      <c r="AR145" s="55"/>
      <c r="AS145" s="55"/>
      <c r="AT145" s="55"/>
      <c r="AU145" s="55"/>
      <c r="AV145" s="55"/>
      <c r="AW145" s="55"/>
      <c r="AX145" s="55"/>
      <c r="AY145" s="55"/>
      <c r="AZ145" s="55"/>
      <c r="BA145" s="55"/>
      <c r="BB145" s="55"/>
      <c r="BC145" s="55"/>
      <c r="BD145" s="55"/>
      <c r="BE145" s="55"/>
      <c r="BF145" s="55"/>
      <c r="BG145" s="55"/>
      <c r="BH145" s="55"/>
      <c r="BI145" s="55"/>
      <c r="BJ145" s="55"/>
      <c r="BK145" s="55"/>
      <c r="BL145" s="55"/>
      <c r="BM145" s="55"/>
      <c r="BN145" s="55"/>
      <c r="BO145" s="55"/>
      <c r="BP145" s="55"/>
      <c r="BQ145" s="55"/>
      <c r="BR145" s="55"/>
      <c r="BS145" s="55"/>
      <c r="BT145" s="55"/>
      <c r="BU145" s="55"/>
      <c r="BV145" s="55"/>
      <c r="BW145" s="55"/>
      <c r="BX145" s="55"/>
      <c r="BY145" s="55"/>
      <c r="BZ145" s="55"/>
      <c r="CA145" s="55"/>
      <c r="CB145" s="55"/>
      <c r="CC145" s="55"/>
      <c r="CD145" s="55"/>
      <c r="CE145" s="55"/>
      <c r="CF145" s="55"/>
      <c r="CG145" s="55"/>
      <c r="CH145" s="55"/>
      <c r="CI145" s="55"/>
      <c r="CJ145" s="55"/>
      <c r="CK145" s="55"/>
      <c r="CL145" s="55"/>
      <c r="CM145" s="55"/>
      <c r="CN145" s="55"/>
      <c r="CO145" s="55"/>
      <c r="CP145" s="55"/>
      <c r="CQ145" s="55"/>
      <c r="CR145" s="55"/>
      <c r="CS145" s="55"/>
      <c r="CT145" s="55"/>
      <c r="CU145" s="55"/>
      <c r="CV145" s="55"/>
      <c r="CW145" s="55"/>
      <c r="CX145" s="55"/>
      <c r="CY145" s="55"/>
      <c r="CZ145" s="55"/>
      <c r="DA145" s="55"/>
      <c r="DB145" s="55"/>
      <c r="DC145" s="55"/>
      <c r="DD145" s="55"/>
      <c r="DE145" s="55"/>
      <c r="DF145" s="55"/>
      <c r="DG145" s="55"/>
      <c r="DH145" s="55"/>
      <c r="DI145" s="55"/>
      <c r="DJ145" s="55"/>
      <c r="DK145" s="55"/>
      <c r="DL145" s="55"/>
      <c r="DM145" s="55"/>
      <c r="DN145" s="55"/>
      <c r="DO145" s="55"/>
      <c r="DP145" s="55"/>
      <c r="DQ145" s="55"/>
      <c r="DR145" s="55"/>
      <c r="DS145" s="55"/>
      <c r="DT145" s="55"/>
      <c r="DU145" s="55"/>
      <c r="DV145" s="55"/>
      <c r="DW145" s="55"/>
      <c r="DX145" s="55"/>
      <c r="DY145" s="55"/>
      <c r="DZ145" s="55"/>
      <c r="EA145" s="55"/>
      <c r="EB145" s="55"/>
      <c r="EC145" s="55"/>
      <c r="ED145" s="55"/>
      <c r="EE145" s="55"/>
      <c r="EF145" s="55"/>
      <c r="EG145" s="55"/>
      <c r="EH145" s="55"/>
      <c r="EI145" s="55"/>
      <c r="EJ145" s="55"/>
      <c r="EK145" s="55"/>
      <c r="EL145" s="55"/>
      <c r="EM145" s="55"/>
      <c r="EN145" s="55"/>
      <c r="EO145" s="55"/>
      <c r="EP145" s="55"/>
      <c r="EQ145" s="55"/>
      <c r="ER145" s="55"/>
      <c r="ES145" s="55"/>
      <c r="ET145" s="55"/>
    </row>
    <row r="146" customFormat="false" ht="15" hidden="false" customHeight="false" outlineLevel="0" collapsed="false">
      <c r="C146" s="0" t="s">
        <v>591</v>
      </c>
      <c r="D146" s="11" t="s">
        <v>253</v>
      </c>
      <c r="E146" s="33" t="n">
        <f aca="false">$F136+$F138</f>
        <v>21842.7086410959</v>
      </c>
      <c r="F146" s="33" t="n">
        <f aca="false">In_FEP_Share*$F142</f>
        <v>5246.28927236341</v>
      </c>
    </row>
    <row r="147" customFormat="false" ht="15" hidden="false" customHeight="false" outlineLevel="0" collapsed="false">
      <c r="C147" s="0" t="s">
        <v>592</v>
      </c>
      <c r="D147" s="11" t="s">
        <v>253</v>
      </c>
      <c r="E147" s="33" t="n">
        <f aca="false">$E55-$E57-$E47</f>
        <v>-2697.39916950517</v>
      </c>
    </row>
    <row r="148" customFormat="false" ht="15" hidden="false" customHeight="false" outlineLevel="0" collapsed="false">
      <c r="C148" s="30" t="s">
        <v>593</v>
      </c>
      <c r="D148" s="11" t="s">
        <v>253</v>
      </c>
      <c r="E148" s="35" t="n">
        <f aca="false">$F137+$F139+$F140</f>
        <v>5804.64131725861</v>
      </c>
      <c r="F148" s="35" t="n">
        <f aca="false">$E148+$F146+$E147</f>
        <v>8353.53142011685</v>
      </c>
    </row>
    <row r="149" customFormat="false" ht="15" hidden="false" customHeight="false" outlineLevel="0" collapsed="false">
      <c r="C149" s="0" t="s">
        <v>594</v>
      </c>
      <c r="D149" s="11" t="s">
        <v>253</v>
      </c>
      <c r="E149" s="33" t="n">
        <f aca="false">(1-In_FEP_Share)*$F142</f>
        <v>2248.40968815575</v>
      </c>
    </row>
    <row r="150" customFormat="false" ht="15" hidden="false" customHeight="false" outlineLevel="0" collapsed="false">
      <c r="C150" s="0" t="s">
        <v>595</v>
      </c>
      <c r="D150" s="11" t="s">
        <v>27</v>
      </c>
      <c r="E150" s="32" t="n">
        <f aca="false">$F148/$E24</f>
        <v>55.3214001332242</v>
      </c>
      <c r="F150" s="32" t="n">
        <f aca="false">$F144/$E24</f>
        <v>22.8415192740263</v>
      </c>
    </row>
    <row r="151" customFormat="false" ht="15" hidden="false" customHeight="false" outlineLevel="0" collapsed="false">
      <c r="A151" s="55"/>
      <c r="B151" s="55"/>
      <c r="C151" s="55" t="s">
        <v>596</v>
      </c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55"/>
      <c r="Z151" s="55"/>
      <c r="AA151" s="55"/>
      <c r="AB151" s="55"/>
      <c r="AC151" s="55"/>
      <c r="AD151" s="55"/>
      <c r="AE151" s="55"/>
      <c r="AF151" s="55"/>
      <c r="AG151" s="55"/>
      <c r="AH151" s="55"/>
      <c r="AI151" s="55"/>
      <c r="AJ151" s="55"/>
      <c r="AK151" s="55"/>
      <c r="AL151" s="55"/>
      <c r="AM151" s="55"/>
      <c r="AN151" s="55"/>
      <c r="AO151" s="55"/>
      <c r="AP151" s="55"/>
      <c r="AQ151" s="55"/>
      <c r="AR151" s="55"/>
      <c r="AS151" s="55"/>
      <c r="AT151" s="55"/>
      <c r="AU151" s="55"/>
      <c r="AV151" s="55"/>
      <c r="AW151" s="55"/>
      <c r="AX151" s="55"/>
      <c r="AY151" s="55"/>
      <c r="AZ151" s="55"/>
      <c r="BA151" s="55"/>
      <c r="BB151" s="55"/>
      <c r="BC151" s="55"/>
      <c r="BD151" s="55"/>
      <c r="BE151" s="55"/>
      <c r="BF151" s="55"/>
      <c r="BG151" s="55"/>
      <c r="BH151" s="55"/>
      <c r="BI151" s="55"/>
      <c r="BJ151" s="55"/>
      <c r="BK151" s="55"/>
      <c r="BL151" s="55"/>
      <c r="BM151" s="55"/>
      <c r="BN151" s="55"/>
      <c r="BO151" s="55"/>
      <c r="BP151" s="55"/>
      <c r="BQ151" s="55"/>
      <c r="BR151" s="55"/>
      <c r="BS151" s="55"/>
      <c r="BT151" s="55"/>
      <c r="BU151" s="55"/>
      <c r="BV151" s="55"/>
      <c r="BW151" s="55"/>
      <c r="BX151" s="55"/>
      <c r="BY151" s="55"/>
      <c r="BZ151" s="55"/>
      <c r="CA151" s="55"/>
      <c r="CB151" s="55"/>
      <c r="CC151" s="55"/>
      <c r="CD151" s="55"/>
      <c r="CE151" s="55"/>
      <c r="CF151" s="55"/>
      <c r="CG151" s="55"/>
      <c r="CH151" s="55"/>
      <c r="CI151" s="55"/>
      <c r="CJ151" s="55"/>
      <c r="CK151" s="55"/>
      <c r="CL151" s="55"/>
      <c r="CM151" s="55"/>
      <c r="CN151" s="55"/>
      <c r="CO151" s="55"/>
      <c r="CP151" s="55"/>
      <c r="CQ151" s="55"/>
      <c r="CR151" s="55"/>
      <c r="CS151" s="55"/>
      <c r="CT151" s="55"/>
      <c r="CU151" s="55"/>
      <c r="CV151" s="55"/>
      <c r="CW151" s="55"/>
      <c r="CX151" s="55"/>
      <c r="CY151" s="55"/>
      <c r="CZ151" s="55"/>
      <c r="DA151" s="55"/>
      <c r="DB151" s="55"/>
      <c r="DC151" s="55"/>
      <c r="DD151" s="55"/>
      <c r="DE151" s="55"/>
      <c r="DF151" s="55"/>
      <c r="DG151" s="55"/>
      <c r="DH151" s="55"/>
      <c r="DI151" s="55"/>
      <c r="DJ151" s="55"/>
      <c r="DK151" s="55"/>
      <c r="DL151" s="55"/>
      <c r="DM151" s="55"/>
      <c r="DN151" s="55"/>
      <c r="DO151" s="55"/>
      <c r="DP151" s="55"/>
      <c r="DQ151" s="55"/>
      <c r="DR151" s="55"/>
      <c r="DS151" s="55"/>
      <c r="DT151" s="55"/>
      <c r="DU151" s="55"/>
      <c r="DV151" s="55"/>
      <c r="DW151" s="55"/>
      <c r="DX151" s="55"/>
      <c r="DY151" s="55"/>
      <c r="DZ151" s="55"/>
      <c r="EA151" s="55"/>
      <c r="EB151" s="55"/>
      <c r="EC151" s="55"/>
      <c r="ED151" s="55"/>
      <c r="EE151" s="55"/>
      <c r="EF151" s="55"/>
      <c r="EG151" s="55"/>
      <c r="EH151" s="55"/>
      <c r="EI151" s="55"/>
      <c r="EJ151" s="55"/>
      <c r="EK151" s="55"/>
      <c r="EL151" s="55"/>
      <c r="EM151" s="55"/>
      <c r="EN151" s="55"/>
      <c r="EO151" s="55"/>
      <c r="EP151" s="55"/>
      <c r="EQ151" s="55"/>
      <c r="ER151" s="55"/>
      <c r="ES151" s="55"/>
      <c r="ET151" s="55"/>
    </row>
    <row r="152" customFormat="false" ht="15" hidden="false" customHeight="false" outlineLevel="0" collapsed="false">
      <c r="C152" s="0" t="s">
        <v>597</v>
      </c>
      <c r="D152" s="11" t="s">
        <v>253</v>
      </c>
      <c r="E152" s="33" t="n">
        <f aca="false">-In_CIT*MAX(0,$I152-In_FEP_Share*$F142)</f>
        <v>-128.61785929143</v>
      </c>
      <c r="I152" s="33" t="n">
        <f aca="false">SUM(J152:ET152)</f>
        <v>6675.37659782375</v>
      </c>
      <c r="J152" s="33" t="n">
        <f aca="false">(J60+J53)*(J$4&lt;=$E12)+$F143*J12</f>
        <v>-400</v>
      </c>
      <c r="K152" s="33" t="n">
        <f aca="false">(K60+K53)*(K$4&lt;=$E12)+$F143*K12</f>
        <v>-1437.78053818728</v>
      </c>
      <c r="L152" s="33" t="n">
        <f aca="false">(L60+L53)*(L$4&lt;=$E12)+$F143*L12</f>
        <v>-691.910911990993</v>
      </c>
      <c r="M152" s="33" t="n">
        <f aca="false">(M60+M53)*(M$4&lt;=$E12)+$F143*M12</f>
        <v>-148.451634452993</v>
      </c>
      <c r="N152" s="33" t="n">
        <f aca="false">(N60+N53)*(N$4&lt;=$E12)+$F143*N12</f>
        <v>-149.601261024582</v>
      </c>
      <c r="O152" s="33" t="n">
        <f aca="false">(O60+O53)*(O$4&lt;=$E12)+$F143*O12</f>
        <v>-290.127288421843</v>
      </c>
      <c r="P152" s="33" t="n">
        <f aca="false">(P60+P53)*(P$4&lt;=$E12)+$F143*P12</f>
        <v>-1394.65781281475</v>
      </c>
      <c r="Q152" s="33" t="n">
        <f aca="false">(Q60+Q53)*(Q$4&lt;=$E12)+$F143*Q12</f>
        <v>-109.225607055733</v>
      </c>
      <c r="R152" s="33" t="n">
        <f aca="false">(R60+R53)*(R$4&lt;=$E12)+$F143*R12</f>
        <v>-269.857154566657</v>
      </c>
      <c r="S152" s="33" t="n">
        <f aca="false">(S60+S53)*(S$4&lt;=$E12)+$F143*S12</f>
        <v>-422.991783283459</v>
      </c>
      <c r="T152" s="33" t="n">
        <f aca="false">(T60+T53)*(T$4&lt;=$E12)+$F143*T12</f>
        <v>-20587.5113339088</v>
      </c>
      <c r="U152" s="33" t="n">
        <f aca="false">(U60+U53)*(U$4&lt;=$E12)+$F143*U12</f>
        <v>-104.616018014637</v>
      </c>
      <c r="V152" s="33" t="n">
        <f aca="false">(V60+V53)*(V$4&lt;=$E12)+$F143*V12</f>
        <v>-105.765644586226</v>
      </c>
      <c r="W152" s="33" t="n">
        <f aca="false">(W60+W53)*(W$4&lt;=$E12)+$F143*W12</f>
        <v>32787.8735861317</v>
      </c>
      <c r="X152" s="33" t="n">
        <f aca="false">(X60+X53)*(X$4&lt;=$E12)+$F143*X12</f>
        <v>0</v>
      </c>
      <c r="Y152" s="33" t="n">
        <f aca="false">(Y60+Y53)*(Y$4&lt;=$E12)+$F143*Y12</f>
        <v>0</v>
      </c>
      <c r="Z152" s="33" t="n">
        <f aca="false">(Z60+Z53)*(Z$4&lt;=$E12)+$F143*Z12</f>
        <v>0</v>
      </c>
      <c r="AA152" s="33" t="n">
        <f aca="false">(AA60+AA53)*(AA$4&lt;=$E12)+$F143*AA12</f>
        <v>0</v>
      </c>
      <c r="AB152" s="33" t="n">
        <f aca="false">(AB60+AB53)*(AB$4&lt;=$E12)+$F143*AB12</f>
        <v>0</v>
      </c>
      <c r="AC152" s="33" t="n">
        <f aca="false">(AC60+AC53)*(AC$4&lt;=$E12)+$F143*AC12</f>
        <v>0</v>
      </c>
      <c r="AD152" s="33" t="n">
        <f aca="false">(AD60+AD53)*(AD$4&lt;=$E12)+$F143*AD12</f>
        <v>0</v>
      </c>
      <c r="AE152" s="33" t="n">
        <f aca="false">(AE60+AE53)*(AE$4&lt;=$E12)+$F143*AE12</f>
        <v>0</v>
      </c>
      <c r="AF152" s="33" t="n">
        <f aca="false">(AF60+AF53)*(AF$4&lt;=$E12)+$F143*AF12</f>
        <v>0</v>
      </c>
      <c r="AG152" s="33" t="n">
        <f aca="false">(AG60+AG53)*(AG$4&lt;=$E12)+$F143*AG12</f>
        <v>0</v>
      </c>
      <c r="AH152" s="33" t="n">
        <f aca="false">(AH60+AH53)*(AH$4&lt;=$E12)+$F143*AH12</f>
        <v>0</v>
      </c>
      <c r="AI152" s="33" t="n">
        <f aca="false">(AI60+AI53)*(AI$4&lt;=$E12)+$F143*AI12</f>
        <v>0</v>
      </c>
      <c r="AJ152" s="33" t="n">
        <f aca="false">(AJ60+AJ53)*(AJ$4&lt;=$E12)+$F143*AJ12</f>
        <v>0</v>
      </c>
      <c r="AK152" s="33" t="n">
        <f aca="false">(AK60+AK53)*(AK$4&lt;=$E12)+$F143*AK12</f>
        <v>0</v>
      </c>
      <c r="AL152" s="33" t="n">
        <f aca="false">(AL60+AL53)*(AL$4&lt;=$E12)+$F143*AL12</f>
        <v>0</v>
      </c>
      <c r="AM152" s="33" t="n">
        <f aca="false">(AM60+AM53)*(AM$4&lt;=$E12)+$F143*AM12</f>
        <v>0</v>
      </c>
      <c r="AN152" s="33" t="n">
        <f aca="false">(AN60+AN53)*(AN$4&lt;=$E12)+$F143*AN12</f>
        <v>0</v>
      </c>
      <c r="AO152" s="33" t="n">
        <f aca="false">(AO60+AO53)*(AO$4&lt;=$E12)+$F143*AO12</f>
        <v>0</v>
      </c>
      <c r="AP152" s="33" t="n">
        <f aca="false">(AP60+AP53)*(AP$4&lt;=$E12)+$F143*AP12</f>
        <v>0</v>
      </c>
      <c r="AQ152" s="33" t="n">
        <f aca="false">(AQ60+AQ53)*(AQ$4&lt;=$E12)+$F143*AQ12</f>
        <v>0</v>
      </c>
      <c r="AR152" s="33" t="n">
        <f aca="false">(AR60+AR53)*(AR$4&lt;=$E12)+$F143*AR12</f>
        <v>0</v>
      </c>
      <c r="AS152" s="33" t="n">
        <f aca="false">(AS60+AS53)*(AS$4&lt;=$E12)+$F143*AS12</f>
        <v>0</v>
      </c>
      <c r="AT152" s="33" t="n">
        <f aca="false">(AT60+AT53)*(AT$4&lt;=$E12)+$F143*AT12</f>
        <v>0</v>
      </c>
      <c r="AU152" s="33" t="n">
        <f aca="false">(AU60+AU53)*(AU$4&lt;=$E12)+$F143*AU12</f>
        <v>0</v>
      </c>
      <c r="AV152" s="33" t="n">
        <f aca="false">(AV60+AV53)*(AV$4&lt;=$E12)+$F143*AV12</f>
        <v>0</v>
      </c>
      <c r="AW152" s="33" t="n">
        <f aca="false">(AW60+AW53)*(AW$4&lt;=$E12)+$F143*AW12</f>
        <v>0</v>
      </c>
      <c r="AX152" s="33" t="n">
        <f aca="false">(AX60+AX53)*(AX$4&lt;=$E12)+$F143*AX12</f>
        <v>0</v>
      </c>
      <c r="AY152" s="33" t="n">
        <f aca="false">(AY60+AY53)*(AY$4&lt;=$E12)+$F143*AY12</f>
        <v>0</v>
      </c>
      <c r="AZ152" s="33" t="n">
        <f aca="false">(AZ60+AZ53)*(AZ$4&lt;=$E12)+$F143*AZ12</f>
        <v>0</v>
      </c>
      <c r="BA152" s="33" t="n">
        <f aca="false">(BA60+BA53)*(BA$4&lt;=$E12)+$F143*BA12</f>
        <v>0</v>
      </c>
      <c r="BB152" s="33" t="n">
        <f aca="false">(BB60+BB53)*(BB$4&lt;=$E12)+$F143*BB12</f>
        <v>0</v>
      </c>
      <c r="BC152" s="33" t="n">
        <f aca="false">(BC60+BC53)*(BC$4&lt;=$E12)+$F143*BC12</f>
        <v>0</v>
      </c>
      <c r="BD152" s="33" t="n">
        <f aca="false">(BD60+BD53)*(BD$4&lt;=$E12)+$F143*BD12</f>
        <v>0</v>
      </c>
      <c r="BE152" s="33" t="n">
        <f aca="false">(BE60+BE53)*(BE$4&lt;=$E12)+$F143*BE12</f>
        <v>0</v>
      </c>
      <c r="BF152" s="33" t="n">
        <f aca="false">(BF60+BF53)*(BF$4&lt;=$E12)+$F143*BF12</f>
        <v>0</v>
      </c>
      <c r="BG152" s="33" t="n">
        <f aca="false">(BG60+BG53)*(BG$4&lt;=$E12)+$F143*BG12</f>
        <v>0</v>
      </c>
      <c r="BH152" s="33" t="n">
        <f aca="false">(BH60+BH53)*(BH$4&lt;=$E12)+$F143*BH12</f>
        <v>0</v>
      </c>
      <c r="BI152" s="33" t="n">
        <f aca="false">(BI60+BI53)*(BI$4&lt;=$E12)+$F143*BI12</f>
        <v>0</v>
      </c>
      <c r="BJ152" s="33" t="n">
        <f aca="false">(BJ60+BJ53)*(BJ$4&lt;=$E12)+$F143*BJ12</f>
        <v>0</v>
      </c>
      <c r="BK152" s="33" t="n">
        <f aca="false">(BK60+BK53)*(BK$4&lt;=$E12)+$F143*BK12</f>
        <v>0</v>
      </c>
      <c r="BL152" s="33" t="n">
        <f aca="false">(BL60+BL53)*(BL$4&lt;=$E12)+$F143*BL12</f>
        <v>0</v>
      </c>
      <c r="BM152" s="33" t="n">
        <f aca="false">(BM60+BM53)*(BM$4&lt;=$E12)+$F143*BM12</f>
        <v>0</v>
      </c>
      <c r="BN152" s="33" t="n">
        <f aca="false">(BN60+BN53)*(BN$4&lt;=$E12)+$F143*BN12</f>
        <v>0</v>
      </c>
      <c r="BO152" s="33" t="n">
        <f aca="false">(BO60+BO53)*(BO$4&lt;=$E12)+$F143*BO12</f>
        <v>0</v>
      </c>
      <c r="BP152" s="33" t="n">
        <f aca="false">(BP60+BP53)*(BP$4&lt;=$E12)+$F143*BP12</f>
        <v>0</v>
      </c>
      <c r="BQ152" s="33" t="n">
        <f aca="false">(BQ60+BQ53)*(BQ$4&lt;=$E12)+$F143*BQ12</f>
        <v>0</v>
      </c>
      <c r="BR152" s="33" t="n">
        <f aca="false">(BR60+BR53)*(BR$4&lt;=$E12)+$F143*BR12</f>
        <v>0</v>
      </c>
      <c r="BS152" s="33" t="n">
        <f aca="false">(BS60+BS53)*(BS$4&lt;=$E12)+$F143*BS12</f>
        <v>0</v>
      </c>
      <c r="BT152" s="33" t="n">
        <f aca="false">(BT60+BT53)*(BT$4&lt;=$E12)+$F143*BT12</f>
        <v>0</v>
      </c>
      <c r="BU152" s="33" t="n">
        <f aca="false">(BU60+BU53)*(BU$4&lt;=$E12)+$F143*BU12</f>
        <v>0</v>
      </c>
      <c r="BV152" s="33" t="n">
        <f aca="false">(BV60+BV53)*(BV$4&lt;=$E12)+$F143*BV12</f>
        <v>0</v>
      </c>
      <c r="BW152" s="33" t="n">
        <f aca="false">(BW60+BW53)*(BW$4&lt;=$E12)+$F143*BW12</f>
        <v>0</v>
      </c>
      <c r="BX152" s="33" t="n">
        <f aca="false">(BX60+BX53)*(BX$4&lt;=$E12)+$F143*BX12</f>
        <v>0</v>
      </c>
      <c r="BY152" s="33" t="n">
        <f aca="false">(BY60+BY53)*(BY$4&lt;=$E12)+$F143*BY12</f>
        <v>0</v>
      </c>
      <c r="BZ152" s="33" t="n">
        <f aca="false">(BZ60+BZ53)*(BZ$4&lt;=$E12)+$F143*BZ12</f>
        <v>0</v>
      </c>
      <c r="CA152" s="33" t="n">
        <f aca="false">(CA60+CA53)*(CA$4&lt;=$E12)+$F143*CA12</f>
        <v>0</v>
      </c>
      <c r="CB152" s="33" t="n">
        <f aca="false">(CB60+CB53)*(CB$4&lt;=$E12)+$F143*CB12</f>
        <v>0</v>
      </c>
      <c r="CC152" s="33" t="n">
        <f aca="false">(CC60+CC53)*(CC$4&lt;=$E12)+$F143*CC12</f>
        <v>0</v>
      </c>
      <c r="CD152" s="33" t="n">
        <f aca="false">(CD60+CD53)*(CD$4&lt;=$E12)+$F143*CD12</f>
        <v>0</v>
      </c>
      <c r="CE152" s="33" t="n">
        <f aca="false">(CE60+CE53)*(CE$4&lt;=$E12)+$F143*CE12</f>
        <v>0</v>
      </c>
      <c r="CF152" s="33" t="n">
        <f aca="false">(CF60+CF53)*(CF$4&lt;=$E12)+$F143*CF12</f>
        <v>0</v>
      </c>
      <c r="CG152" s="33" t="n">
        <f aca="false">(CG60+CG53)*(CG$4&lt;=$E12)+$F143*CG12</f>
        <v>0</v>
      </c>
      <c r="CH152" s="33" t="n">
        <f aca="false">(CH60+CH53)*(CH$4&lt;=$E12)+$F143*CH12</f>
        <v>0</v>
      </c>
      <c r="CI152" s="33" t="n">
        <f aca="false">(CI60+CI53)*(CI$4&lt;=$E12)+$F143*CI12</f>
        <v>0</v>
      </c>
      <c r="CJ152" s="33" t="n">
        <f aca="false">(CJ60+CJ53)*(CJ$4&lt;=$E12)+$F143*CJ12</f>
        <v>0</v>
      </c>
      <c r="CK152" s="33" t="n">
        <f aca="false">(CK60+CK53)*(CK$4&lt;=$E12)+$F143*CK12</f>
        <v>0</v>
      </c>
      <c r="CL152" s="33" t="n">
        <f aca="false">(CL60+CL53)*(CL$4&lt;=$E12)+$F143*CL12</f>
        <v>0</v>
      </c>
      <c r="CM152" s="33" t="n">
        <f aca="false">(CM60+CM53)*(CM$4&lt;=$E12)+$F143*CM12</f>
        <v>0</v>
      </c>
      <c r="CN152" s="33" t="n">
        <f aca="false">(CN60+CN53)*(CN$4&lt;=$E12)+$F143*CN12</f>
        <v>0</v>
      </c>
      <c r="CO152" s="33" t="n">
        <f aca="false">(CO60+CO53)*(CO$4&lt;=$E12)+$F143*CO12</f>
        <v>0</v>
      </c>
      <c r="CP152" s="33" t="n">
        <f aca="false">(CP60+CP53)*(CP$4&lt;=$E12)+$F143*CP12</f>
        <v>0</v>
      </c>
      <c r="CQ152" s="33" t="n">
        <f aca="false">(CQ60+CQ53)*(CQ$4&lt;=$E12)+$F143*CQ12</f>
        <v>0</v>
      </c>
      <c r="CR152" s="33" t="n">
        <f aca="false">(CR60+CR53)*(CR$4&lt;=$E12)+$F143*CR12</f>
        <v>0</v>
      </c>
      <c r="CS152" s="33" t="n">
        <f aca="false">(CS60+CS53)*(CS$4&lt;=$E12)+$F143*CS12</f>
        <v>0</v>
      </c>
      <c r="CT152" s="33" t="n">
        <f aca="false">(CT60+CT53)*(CT$4&lt;=$E12)+$F143*CT12</f>
        <v>0</v>
      </c>
      <c r="CU152" s="33" t="n">
        <f aca="false">(CU60+CU53)*(CU$4&lt;=$E12)+$F143*CU12</f>
        <v>0</v>
      </c>
      <c r="CV152" s="33" t="n">
        <f aca="false">(CV60+CV53)*(CV$4&lt;=$E12)+$F143*CV12</f>
        <v>0</v>
      </c>
      <c r="CW152" s="33" t="n">
        <f aca="false">(CW60+CW53)*(CW$4&lt;=$E12)+$F143*CW12</f>
        <v>0</v>
      </c>
      <c r="CX152" s="33" t="n">
        <f aca="false">(CX60+CX53)*(CX$4&lt;=$E12)+$F143*CX12</f>
        <v>0</v>
      </c>
      <c r="CY152" s="33" t="n">
        <f aca="false">(CY60+CY53)*(CY$4&lt;=$E12)+$F143*CY12</f>
        <v>0</v>
      </c>
      <c r="CZ152" s="33" t="n">
        <f aca="false">(CZ60+CZ53)*(CZ$4&lt;=$E12)+$F143*CZ12</f>
        <v>0</v>
      </c>
      <c r="DA152" s="33" t="n">
        <f aca="false">(DA60+DA53)*(DA$4&lt;=$E12)+$F143*DA12</f>
        <v>0</v>
      </c>
      <c r="DB152" s="33" t="n">
        <f aca="false">(DB60+DB53)*(DB$4&lt;=$E12)+$F143*DB12</f>
        <v>0</v>
      </c>
      <c r="DC152" s="33" t="n">
        <f aca="false">(DC60+DC53)*(DC$4&lt;=$E12)+$F143*DC12</f>
        <v>0</v>
      </c>
      <c r="DD152" s="33" t="n">
        <f aca="false">(DD60+DD53)*(DD$4&lt;=$E12)+$F143*DD12</f>
        <v>0</v>
      </c>
      <c r="DE152" s="33" t="n">
        <f aca="false">(DE60+DE53)*(DE$4&lt;=$E12)+$F143*DE12</f>
        <v>0</v>
      </c>
      <c r="DF152" s="33" t="n">
        <f aca="false">(DF60+DF53)*(DF$4&lt;=$E12)+$F143*DF12</f>
        <v>0</v>
      </c>
      <c r="DG152" s="33" t="n">
        <f aca="false">(DG60+DG53)*(DG$4&lt;=$E12)+$F143*DG12</f>
        <v>0</v>
      </c>
      <c r="DH152" s="33" t="n">
        <f aca="false">(DH60+DH53)*(DH$4&lt;=$E12)+$F143*DH12</f>
        <v>0</v>
      </c>
      <c r="DI152" s="33" t="n">
        <f aca="false">(DI60+DI53)*(DI$4&lt;=$E12)+$F143*DI12</f>
        <v>0</v>
      </c>
      <c r="DJ152" s="33" t="n">
        <f aca="false">(DJ60+DJ53)*(DJ$4&lt;=$E12)+$F143*DJ12</f>
        <v>0</v>
      </c>
      <c r="DK152" s="33" t="n">
        <f aca="false">(DK60+DK53)*(DK$4&lt;=$E12)+$F143*DK12</f>
        <v>0</v>
      </c>
      <c r="DL152" s="33" t="n">
        <f aca="false">(DL60+DL53)*(DL$4&lt;=$E12)+$F143*DL12</f>
        <v>0</v>
      </c>
      <c r="DM152" s="33" t="n">
        <f aca="false">(DM60+DM53)*(DM$4&lt;=$E12)+$F143*DM12</f>
        <v>0</v>
      </c>
      <c r="DN152" s="33" t="n">
        <f aca="false">(DN60+DN53)*(DN$4&lt;=$E12)+$F143*DN12</f>
        <v>0</v>
      </c>
      <c r="DO152" s="33" t="n">
        <f aca="false">(DO60+DO53)*(DO$4&lt;=$E12)+$F143*DO12</f>
        <v>0</v>
      </c>
      <c r="DP152" s="33" t="n">
        <f aca="false">(DP60+DP53)*(DP$4&lt;=$E12)+$F143*DP12</f>
        <v>0</v>
      </c>
      <c r="DQ152" s="33" t="n">
        <f aca="false">(DQ60+DQ53)*(DQ$4&lt;=$E12)+$F143*DQ12</f>
        <v>0</v>
      </c>
      <c r="DR152" s="33" t="n">
        <f aca="false">(DR60+DR53)*(DR$4&lt;=$E12)+$F143*DR12</f>
        <v>0</v>
      </c>
      <c r="DS152" s="33" t="n">
        <f aca="false">(DS60+DS53)*(DS$4&lt;=$E12)+$F143*DS12</f>
        <v>0</v>
      </c>
      <c r="DT152" s="33" t="n">
        <f aca="false">(DT60+DT53)*(DT$4&lt;=$E12)+$F143*DT12</f>
        <v>0</v>
      </c>
      <c r="DU152" s="33" t="n">
        <f aca="false">(DU60+DU53)*(DU$4&lt;=$E12)+$F143*DU12</f>
        <v>0</v>
      </c>
      <c r="DV152" s="33" t="n">
        <f aca="false">(DV60+DV53)*(DV$4&lt;=$E12)+$F143*DV12</f>
        <v>0</v>
      </c>
      <c r="DW152" s="33" t="n">
        <f aca="false">(DW60+DW53)*(DW$4&lt;=$E12)+$F143*DW12</f>
        <v>0</v>
      </c>
      <c r="DX152" s="33" t="n">
        <f aca="false">(DX60+DX53)*(DX$4&lt;=$E12)+$F143*DX12</f>
        <v>0</v>
      </c>
      <c r="DY152" s="33" t="n">
        <f aca="false">(DY60+DY53)*(DY$4&lt;=$E12)+$F143*DY12</f>
        <v>0</v>
      </c>
      <c r="DZ152" s="33" t="n">
        <f aca="false">(DZ60+DZ53)*(DZ$4&lt;=$E12)+$F143*DZ12</f>
        <v>0</v>
      </c>
      <c r="EA152" s="33" t="n">
        <f aca="false">(EA60+EA53)*(EA$4&lt;=$E12)+$F143*EA12</f>
        <v>0</v>
      </c>
      <c r="EB152" s="33" t="n">
        <f aca="false">(EB60+EB53)*(EB$4&lt;=$E12)+$F143*EB12</f>
        <v>0</v>
      </c>
      <c r="EC152" s="33" t="n">
        <f aca="false">(EC60+EC53)*(EC$4&lt;=$E12)+$F143*EC12</f>
        <v>0</v>
      </c>
      <c r="ED152" s="33" t="n">
        <f aca="false">(ED60+ED53)*(ED$4&lt;=$E12)+$F143*ED12</f>
        <v>0</v>
      </c>
      <c r="EE152" s="33" t="n">
        <f aca="false">(EE60+EE53)*(EE$4&lt;=$E12)+$F143*EE12</f>
        <v>0</v>
      </c>
      <c r="EF152" s="33" t="n">
        <f aca="false">(EF60+EF53)*(EF$4&lt;=$E12)+$F143*EF12</f>
        <v>0</v>
      </c>
      <c r="EG152" s="33" t="n">
        <f aca="false">(EG60+EG53)*(EG$4&lt;=$E12)+$F143*EG12</f>
        <v>0</v>
      </c>
      <c r="EH152" s="33" t="n">
        <f aca="false">(EH60+EH53)*(EH$4&lt;=$E12)+$F143*EH12</f>
        <v>0</v>
      </c>
      <c r="EI152" s="33" t="n">
        <f aca="false">(EI60+EI53)*(EI$4&lt;=$E12)+$F143*EI12</f>
        <v>0</v>
      </c>
      <c r="EJ152" s="33" t="n">
        <f aca="false">(EJ60+EJ53)*(EJ$4&lt;=$E12)+$F143*EJ12</f>
        <v>0</v>
      </c>
      <c r="EK152" s="33" t="n">
        <f aca="false">(EK60+EK53)*(EK$4&lt;=$E12)+$F143*EK12</f>
        <v>0</v>
      </c>
      <c r="EL152" s="33" t="n">
        <f aca="false">(EL60+EL53)*(EL$4&lt;=$E12)+$F143*EL12</f>
        <v>0</v>
      </c>
      <c r="EM152" s="33" t="n">
        <f aca="false">(EM60+EM53)*(EM$4&lt;=$E12)+$F143*EM12</f>
        <v>0</v>
      </c>
      <c r="EN152" s="33" t="n">
        <f aca="false">(EN60+EN53)*(EN$4&lt;=$E12)+$F143*EN12</f>
        <v>0</v>
      </c>
      <c r="EO152" s="33" t="n">
        <f aca="false">(EO60+EO53)*(EO$4&lt;=$E12)+$F143*EO12</f>
        <v>0</v>
      </c>
      <c r="EP152" s="33" t="n">
        <f aca="false">(EP60+EP53)*(EP$4&lt;=$E12)+$F143*EP12</f>
        <v>0</v>
      </c>
      <c r="EQ152" s="33" t="n">
        <f aca="false">(EQ60+EQ53)*(EQ$4&lt;=$E12)+$F143*EQ12</f>
        <v>0</v>
      </c>
      <c r="ER152" s="33" t="n">
        <f aca="false">(ER60+ER53)*(ER$4&lt;=$E12)+$F143*ER12</f>
        <v>0</v>
      </c>
      <c r="ES152" s="33" t="n">
        <f aca="false">(ES60+ES53)*(ES$4&lt;=$E12)+$F143*ES12</f>
        <v>0</v>
      </c>
      <c r="ET152" s="33" t="n">
        <f aca="false">(ET60+ET53)*(ET$4&lt;=$E12)+$F143*ET12</f>
        <v>0</v>
      </c>
    </row>
    <row r="153" customFormat="false" ht="15" hidden="false" customHeight="false" outlineLevel="0" collapsed="false">
      <c r="C153" s="30" t="s">
        <v>598</v>
      </c>
      <c r="D153" s="11" t="s">
        <v>253</v>
      </c>
      <c r="I153" s="35" t="n">
        <f aca="false">SUM(J153:ET153)</f>
        <v>6546.75873853232</v>
      </c>
      <c r="J153" s="35" t="n">
        <f aca="false">J152+$E152*J12</f>
        <v>-400</v>
      </c>
      <c r="K153" s="35" t="n">
        <f aca="false">K152+$E152*K12</f>
        <v>-1437.78053818728</v>
      </c>
      <c r="L153" s="35" t="n">
        <f aca="false">L152+$E152*L12</f>
        <v>-691.910911990993</v>
      </c>
      <c r="M153" s="35" t="n">
        <f aca="false">M152+$E152*M12</f>
        <v>-148.451634452993</v>
      </c>
      <c r="N153" s="35" t="n">
        <f aca="false">N152+$E152*N12</f>
        <v>-149.601261024582</v>
      </c>
      <c r="O153" s="35" t="n">
        <f aca="false">O152+$E152*O12</f>
        <v>-290.127288421843</v>
      </c>
      <c r="P153" s="35" t="n">
        <f aca="false">P152+$E152*P12</f>
        <v>-1394.65781281475</v>
      </c>
      <c r="Q153" s="35" t="n">
        <f aca="false">Q152+$E152*Q12</f>
        <v>-109.225607055733</v>
      </c>
      <c r="R153" s="35" t="n">
        <f aca="false">R152+$E152*R12</f>
        <v>-269.857154566657</v>
      </c>
      <c r="S153" s="35" t="n">
        <f aca="false">S152+$E152*S12</f>
        <v>-422.991783283459</v>
      </c>
      <c r="T153" s="35" t="n">
        <f aca="false">T152+$E152*T12</f>
        <v>-20587.5113339088</v>
      </c>
      <c r="U153" s="35" t="n">
        <f aca="false">U152+$E152*U12</f>
        <v>-104.616018014637</v>
      </c>
      <c r="V153" s="35" t="n">
        <f aca="false">V152+$E152*V12</f>
        <v>-105.765644586226</v>
      </c>
      <c r="W153" s="35" t="n">
        <f aca="false">W152+$E152*W12</f>
        <v>32659.2557268403</v>
      </c>
      <c r="X153" s="35" t="n">
        <f aca="false">X152+$E152*X12</f>
        <v>0</v>
      </c>
      <c r="Y153" s="35" t="n">
        <f aca="false">Y152+$E152*Y12</f>
        <v>0</v>
      </c>
      <c r="Z153" s="35" t="n">
        <f aca="false">Z152+$E152*Z12</f>
        <v>0</v>
      </c>
      <c r="AA153" s="35" t="n">
        <f aca="false">AA152+$E152*AA12</f>
        <v>0</v>
      </c>
      <c r="AB153" s="35" t="n">
        <f aca="false">AB152+$E152*AB12</f>
        <v>0</v>
      </c>
      <c r="AC153" s="35" t="n">
        <f aca="false">AC152+$E152*AC12</f>
        <v>0</v>
      </c>
      <c r="AD153" s="35" t="n">
        <f aca="false">AD152+$E152*AD12</f>
        <v>0</v>
      </c>
      <c r="AE153" s="35" t="n">
        <f aca="false">AE152+$E152*AE12</f>
        <v>0</v>
      </c>
      <c r="AF153" s="35" t="n">
        <f aca="false">AF152+$E152*AF12</f>
        <v>0</v>
      </c>
      <c r="AG153" s="35" t="n">
        <f aca="false">AG152+$E152*AG12</f>
        <v>0</v>
      </c>
      <c r="AH153" s="35" t="n">
        <f aca="false">AH152+$E152*AH12</f>
        <v>0</v>
      </c>
      <c r="AI153" s="35" t="n">
        <f aca="false">AI152+$E152*AI12</f>
        <v>0</v>
      </c>
      <c r="AJ153" s="35" t="n">
        <f aca="false">AJ152+$E152*AJ12</f>
        <v>0</v>
      </c>
      <c r="AK153" s="35" t="n">
        <f aca="false">AK152+$E152*AK12</f>
        <v>0</v>
      </c>
      <c r="AL153" s="35" t="n">
        <f aca="false">AL152+$E152*AL12</f>
        <v>0</v>
      </c>
      <c r="AM153" s="35" t="n">
        <f aca="false">AM152+$E152*AM12</f>
        <v>0</v>
      </c>
      <c r="AN153" s="35" t="n">
        <f aca="false">AN152+$E152*AN12</f>
        <v>0</v>
      </c>
      <c r="AO153" s="35" t="n">
        <f aca="false">AO152+$E152*AO12</f>
        <v>0</v>
      </c>
      <c r="AP153" s="35" t="n">
        <f aca="false">AP152+$E152*AP12</f>
        <v>0</v>
      </c>
      <c r="AQ153" s="35" t="n">
        <f aca="false">AQ152+$E152*AQ12</f>
        <v>0</v>
      </c>
      <c r="AR153" s="35" t="n">
        <f aca="false">AR152+$E152*AR12</f>
        <v>0</v>
      </c>
      <c r="AS153" s="35" t="n">
        <f aca="false">AS152+$E152*AS12</f>
        <v>0</v>
      </c>
      <c r="AT153" s="35" t="n">
        <f aca="false">AT152+$E152*AT12</f>
        <v>0</v>
      </c>
      <c r="AU153" s="35" t="n">
        <f aca="false">AU152+$E152*AU12</f>
        <v>0</v>
      </c>
      <c r="AV153" s="35" t="n">
        <f aca="false">AV152+$E152*AV12</f>
        <v>0</v>
      </c>
      <c r="AW153" s="35" t="n">
        <f aca="false">AW152+$E152*AW12</f>
        <v>0</v>
      </c>
      <c r="AX153" s="35" t="n">
        <f aca="false">AX152+$E152*AX12</f>
        <v>0</v>
      </c>
      <c r="AY153" s="35" t="n">
        <f aca="false">AY152+$E152*AY12</f>
        <v>0</v>
      </c>
      <c r="AZ153" s="35" t="n">
        <f aca="false">AZ152+$E152*AZ12</f>
        <v>0</v>
      </c>
      <c r="BA153" s="35" t="n">
        <f aca="false">BA152+$E152*BA12</f>
        <v>0</v>
      </c>
      <c r="BB153" s="35" t="n">
        <f aca="false">BB152+$E152*BB12</f>
        <v>0</v>
      </c>
      <c r="BC153" s="35" t="n">
        <f aca="false">BC152+$E152*BC12</f>
        <v>0</v>
      </c>
      <c r="BD153" s="35" t="n">
        <f aca="false">BD152+$E152*BD12</f>
        <v>0</v>
      </c>
      <c r="BE153" s="35" t="n">
        <f aca="false">BE152+$E152*BE12</f>
        <v>0</v>
      </c>
      <c r="BF153" s="35" t="n">
        <f aca="false">BF152+$E152*BF12</f>
        <v>0</v>
      </c>
      <c r="BG153" s="35" t="n">
        <f aca="false">BG152+$E152*BG12</f>
        <v>0</v>
      </c>
      <c r="BH153" s="35" t="n">
        <f aca="false">BH152+$E152*BH12</f>
        <v>0</v>
      </c>
      <c r="BI153" s="35" t="n">
        <f aca="false">BI152+$E152*BI12</f>
        <v>0</v>
      </c>
      <c r="BJ153" s="35" t="n">
        <f aca="false">BJ152+$E152*BJ12</f>
        <v>0</v>
      </c>
      <c r="BK153" s="35" t="n">
        <f aca="false">BK152+$E152*BK12</f>
        <v>0</v>
      </c>
      <c r="BL153" s="35" t="n">
        <f aca="false">BL152+$E152*BL12</f>
        <v>0</v>
      </c>
      <c r="BM153" s="35" t="n">
        <f aca="false">BM152+$E152*BM12</f>
        <v>0</v>
      </c>
      <c r="BN153" s="35" t="n">
        <f aca="false">BN152+$E152*BN12</f>
        <v>0</v>
      </c>
      <c r="BO153" s="35" t="n">
        <f aca="false">BO152+$E152*BO12</f>
        <v>0</v>
      </c>
      <c r="BP153" s="35" t="n">
        <f aca="false">BP152+$E152*BP12</f>
        <v>0</v>
      </c>
      <c r="BQ153" s="35" t="n">
        <f aca="false">BQ152+$E152*BQ12</f>
        <v>0</v>
      </c>
      <c r="BR153" s="35" t="n">
        <f aca="false">BR152+$E152*BR12</f>
        <v>0</v>
      </c>
      <c r="BS153" s="35" t="n">
        <f aca="false">BS152+$E152*BS12</f>
        <v>0</v>
      </c>
      <c r="BT153" s="35" t="n">
        <f aca="false">BT152+$E152*BT12</f>
        <v>0</v>
      </c>
      <c r="BU153" s="35" t="n">
        <f aca="false">BU152+$E152*BU12</f>
        <v>0</v>
      </c>
      <c r="BV153" s="35" t="n">
        <f aca="false">BV152+$E152*BV12</f>
        <v>0</v>
      </c>
      <c r="BW153" s="35" t="n">
        <f aca="false">BW152+$E152*BW12</f>
        <v>0</v>
      </c>
      <c r="BX153" s="35" t="n">
        <f aca="false">BX152+$E152*BX12</f>
        <v>0</v>
      </c>
      <c r="BY153" s="35" t="n">
        <f aca="false">BY152+$E152*BY12</f>
        <v>0</v>
      </c>
      <c r="BZ153" s="35" t="n">
        <f aca="false">BZ152+$E152*BZ12</f>
        <v>0</v>
      </c>
      <c r="CA153" s="35" t="n">
        <f aca="false">CA152+$E152*CA12</f>
        <v>0</v>
      </c>
      <c r="CB153" s="35" t="n">
        <f aca="false">CB152+$E152*CB12</f>
        <v>0</v>
      </c>
      <c r="CC153" s="35" t="n">
        <f aca="false">CC152+$E152*CC12</f>
        <v>0</v>
      </c>
      <c r="CD153" s="35" t="n">
        <f aca="false">CD152+$E152*CD12</f>
        <v>0</v>
      </c>
      <c r="CE153" s="35" t="n">
        <f aca="false">CE152+$E152*CE12</f>
        <v>0</v>
      </c>
      <c r="CF153" s="35" t="n">
        <f aca="false">CF152+$E152*CF12</f>
        <v>0</v>
      </c>
      <c r="CG153" s="35" t="n">
        <f aca="false">CG152+$E152*CG12</f>
        <v>0</v>
      </c>
      <c r="CH153" s="35" t="n">
        <f aca="false">CH152+$E152*CH12</f>
        <v>0</v>
      </c>
      <c r="CI153" s="35" t="n">
        <f aca="false">CI152+$E152*CI12</f>
        <v>0</v>
      </c>
      <c r="CJ153" s="35" t="n">
        <f aca="false">CJ152+$E152*CJ12</f>
        <v>0</v>
      </c>
      <c r="CK153" s="35" t="n">
        <f aca="false">CK152+$E152*CK12</f>
        <v>0</v>
      </c>
      <c r="CL153" s="35" t="n">
        <f aca="false">CL152+$E152*CL12</f>
        <v>0</v>
      </c>
      <c r="CM153" s="35" t="n">
        <f aca="false">CM152+$E152*CM12</f>
        <v>0</v>
      </c>
      <c r="CN153" s="35" t="n">
        <f aca="false">CN152+$E152*CN12</f>
        <v>0</v>
      </c>
      <c r="CO153" s="35" t="n">
        <f aca="false">CO152+$E152*CO12</f>
        <v>0</v>
      </c>
      <c r="CP153" s="35" t="n">
        <f aca="false">CP152+$E152*CP12</f>
        <v>0</v>
      </c>
      <c r="CQ153" s="35" t="n">
        <f aca="false">CQ152+$E152*CQ12</f>
        <v>0</v>
      </c>
      <c r="CR153" s="35" t="n">
        <f aca="false">CR152+$E152*CR12</f>
        <v>0</v>
      </c>
      <c r="CS153" s="35" t="n">
        <f aca="false">CS152+$E152*CS12</f>
        <v>0</v>
      </c>
      <c r="CT153" s="35" t="n">
        <f aca="false">CT152+$E152*CT12</f>
        <v>0</v>
      </c>
      <c r="CU153" s="35" t="n">
        <f aca="false">CU152+$E152*CU12</f>
        <v>0</v>
      </c>
      <c r="CV153" s="35" t="n">
        <f aca="false">CV152+$E152*CV12</f>
        <v>0</v>
      </c>
      <c r="CW153" s="35" t="n">
        <f aca="false">CW152+$E152*CW12</f>
        <v>0</v>
      </c>
      <c r="CX153" s="35" t="n">
        <f aca="false">CX152+$E152*CX12</f>
        <v>0</v>
      </c>
      <c r="CY153" s="35" t="n">
        <f aca="false">CY152+$E152*CY12</f>
        <v>0</v>
      </c>
      <c r="CZ153" s="35" t="n">
        <f aca="false">CZ152+$E152*CZ12</f>
        <v>0</v>
      </c>
      <c r="DA153" s="35" t="n">
        <f aca="false">DA152+$E152*DA12</f>
        <v>0</v>
      </c>
      <c r="DB153" s="35" t="n">
        <f aca="false">DB152+$E152*DB12</f>
        <v>0</v>
      </c>
      <c r="DC153" s="35" t="n">
        <f aca="false">DC152+$E152*DC12</f>
        <v>0</v>
      </c>
      <c r="DD153" s="35" t="n">
        <f aca="false">DD152+$E152*DD12</f>
        <v>0</v>
      </c>
      <c r="DE153" s="35" t="n">
        <f aca="false">DE152+$E152*DE12</f>
        <v>0</v>
      </c>
      <c r="DF153" s="35" t="n">
        <f aca="false">DF152+$E152*DF12</f>
        <v>0</v>
      </c>
      <c r="DG153" s="35" t="n">
        <f aca="false">DG152+$E152*DG12</f>
        <v>0</v>
      </c>
      <c r="DH153" s="35" t="n">
        <f aca="false">DH152+$E152*DH12</f>
        <v>0</v>
      </c>
      <c r="DI153" s="35" t="n">
        <f aca="false">DI152+$E152*DI12</f>
        <v>0</v>
      </c>
      <c r="DJ153" s="35" t="n">
        <f aca="false">DJ152+$E152*DJ12</f>
        <v>0</v>
      </c>
      <c r="DK153" s="35" t="n">
        <f aca="false">DK152+$E152*DK12</f>
        <v>0</v>
      </c>
      <c r="DL153" s="35" t="n">
        <f aca="false">DL152+$E152*DL12</f>
        <v>0</v>
      </c>
      <c r="DM153" s="35" t="n">
        <f aca="false">DM152+$E152*DM12</f>
        <v>0</v>
      </c>
      <c r="DN153" s="35" t="n">
        <f aca="false">DN152+$E152*DN12</f>
        <v>0</v>
      </c>
      <c r="DO153" s="35" t="n">
        <f aca="false">DO152+$E152*DO12</f>
        <v>0</v>
      </c>
      <c r="DP153" s="35" t="n">
        <f aca="false">DP152+$E152*DP12</f>
        <v>0</v>
      </c>
      <c r="DQ153" s="35" t="n">
        <f aca="false">DQ152+$E152*DQ12</f>
        <v>0</v>
      </c>
      <c r="DR153" s="35" t="n">
        <f aca="false">DR152+$E152*DR12</f>
        <v>0</v>
      </c>
      <c r="DS153" s="35" t="n">
        <f aca="false">DS152+$E152*DS12</f>
        <v>0</v>
      </c>
      <c r="DT153" s="35" t="n">
        <f aca="false">DT152+$E152*DT12</f>
        <v>0</v>
      </c>
      <c r="DU153" s="35" t="n">
        <f aca="false">DU152+$E152*DU12</f>
        <v>0</v>
      </c>
      <c r="DV153" s="35" t="n">
        <f aca="false">DV152+$E152*DV12</f>
        <v>0</v>
      </c>
      <c r="DW153" s="35" t="n">
        <f aca="false">DW152+$E152*DW12</f>
        <v>0</v>
      </c>
      <c r="DX153" s="35" t="n">
        <f aca="false">DX152+$E152*DX12</f>
        <v>0</v>
      </c>
      <c r="DY153" s="35" t="n">
        <f aca="false">DY152+$E152*DY12</f>
        <v>0</v>
      </c>
      <c r="DZ153" s="35" t="n">
        <f aca="false">DZ152+$E152*DZ12</f>
        <v>0</v>
      </c>
      <c r="EA153" s="35" t="n">
        <f aca="false">EA152+$E152*EA12</f>
        <v>0</v>
      </c>
      <c r="EB153" s="35" t="n">
        <f aca="false">EB152+$E152*EB12</f>
        <v>0</v>
      </c>
      <c r="EC153" s="35" t="n">
        <f aca="false">EC152+$E152*EC12</f>
        <v>0</v>
      </c>
      <c r="ED153" s="35" t="n">
        <f aca="false">ED152+$E152*ED12</f>
        <v>0</v>
      </c>
      <c r="EE153" s="35" t="n">
        <f aca="false">EE152+$E152*EE12</f>
        <v>0</v>
      </c>
      <c r="EF153" s="35" t="n">
        <f aca="false">EF152+$E152*EF12</f>
        <v>0</v>
      </c>
      <c r="EG153" s="35" t="n">
        <f aca="false">EG152+$E152*EG12</f>
        <v>0</v>
      </c>
      <c r="EH153" s="35" t="n">
        <f aca="false">EH152+$E152*EH12</f>
        <v>0</v>
      </c>
      <c r="EI153" s="35" t="n">
        <f aca="false">EI152+$E152*EI12</f>
        <v>0</v>
      </c>
      <c r="EJ153" s="35" t="n">
        <f aca="false">EJ152+$E152*EJ12</f>
        <v>0</v>
      </c>
      <c r="EK153" s="35" t="n">
        <f aca="false">EK152+$E152*EK12</f>
        <v>0</v>
      </c>
      <c r="EL153" s="35" t="n">
        <f aca="false">EL152+$E152*EL12</f>
        <v>0</v>
      </c>
      <c r="EM153" s="35" t="n">
        <f aca="false">EM152+$E152*EM12</f>
        <v>0</v>
      </c>
      <c r="EN153" s="35" t="n">
        <f aca="false">EN152+$E152*EN12</f>
        <v>0</v>
      </c>
      <c r="EO153" s="35" t="n">
        <f aca="false">EO152+$E152*EO12</f>
        <v>0</v>
      </c>
      <c r="EP153" s="35" t="n">
        <f aca="false">EP152+$E152*EP12</f>
        <v>0</v>
      </c>
      <c r="EQ153" s="35" t="n">
        <f aca="false">EQ152+$E152*EQ12</f>
        <v>0</v>
      </c>
      <c r="ER153" s="35" t="n">
        <f aca="false">ER152+$E152*ER12</f>
        <v>0</v>
      </c>
      <c r="ES153" s="35" t="n">
        <f aca="false">ES152+$E152*ES12</f>
        <v>0</v>
      </c>
      <c r="ET153" s="35" t="n">
        <f aca="false">ET152+$E152*ET12</f>
        <v>0</v>
      </c>
    </row>
    <row r="154" customFormat="false" ht="15" hidden="false" customHeight="false" outlineLevel="0" collapsed="false">
      <c r="C154" s="0" t="s">
        <v>168</v>
      </c>
      <c r="D154" s="11" t="s">
        <v>253</v>
      </c>
      <c r="E154" s="33" t="n">
        <f aca="false">$E59+$I46+$E152</f>
        <v>-1806.77268158454</v>
      </c>
    </row>
    <row r="155" customFormat="false" ht="15" hidden="false" customHeight="false" outlineLevel="0" collapsed="false">
      <c r="C155" s="30" t="s">
        <v>75</v>
      </c>
      <c r="D155" s="11" t="s">
        <v>35</v>
      </c>
      <c r="E155" s="57" t="n">
        <f aca="false">IFERROR(XIRR($J153:$ET153,$J$4:$ET$4),"n/a")</f>
        <v>0.221510760619134</v>
      </c>
    </row>
    <row r="156" customFormat="false" ht="15" hidden="false" customHeight="false" outlineLevel="0" collapsed="false">
      <c r="C156" s="30" t="s">
        <v>599</v>
      </c>
      <c r="D156" s="11" t="s">
        <v>13</v>
      </c>
      <c r="E156" s="58" t="n">
        <f aca="false">($F143+$E152)/($F143-$I152)</f>
        <v>1.24970223352323</v>
      </c>
    </row>
    <row r="157" customFormat="false" ht="15" hidden="false" customHeight="false" outlineLevel="0" collapsed="false">
      <c r="C157" s="30" t="s">
        <v>170</v>
      </c>
      <c r="D157" s="11" t="s">
        <v>253</v>
      </c>
      <c r="E157" s="35" t="n">
        <f aca="false">XNPV(In_Discount_Rate,$J153:$ET153,$J$4:$ET$4)</f>
        <v>3328.54248477583</v>
      </c>
    </row>
    <row r="159" customFormat="false" ht="15" hidden="false" customHeight="false" outlineLevel="0" collapsed="false">
      <c r="A159" s="9" t="s">
        <v>13</v>
      </c>
      <c r="B159" s="9"/>
      <c r="C159" s="9" t="s">
        <v>171</v>
      </c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  <c r="BQ159" s="9"/>
      <c r="BR159" s="9"/>
      <c r="BS159" s="9"/>
      <c r="BT159" s="9"/>
      <c r="BU159" s="9"/>
      <c r="BV159" s="9"/>
      <c r="BW159" s="9"/>
      <c r="BX159" s="9"/>
      <c r="BY159" s="9"/>
      <c r="BZ159" s="9"/>
      <c r="CA159" s="9"/>
      <c r="CB159" s="9"/>
      <c r="CC159" s="9"/>
      <c r="CD159" s="9"/>
      <c r="CE159" s="9"/>
      <c r="CF159" s="9"/>
      <c r="CG159" s="9"/>
      <c r="CH159" s="9"/>
      <c r="CI159" s="9"/>
      <c r="CJ159" s="9"/>
      <c r="CK159" s="9"/>
      <c r="CL159" s="9"/>
      <c r="CM159" s="9"/>
      <c r="CN159" s="9"/>
      <c r="CO159" s="9"/>
      <c r="CP159" s="9"/>
      <c r="CQ159" s="9"/>
      <c r="CR159" s="9"/>
      <c r="CS159" s="9"/>
      <c r="CT159" s="9"/>
      <c r="CU159" s="9"/>
      <c r="CV159" s="9"/>
      <c r="CW159" s="9"/>
      <c r="CX159" s="9"/>
      <c r="CY159" s="9"/>
      <c r="CZ159" s="9"/>
      <c r="DA159" s="9"/>
      <c r="DB159" s="9"/>
      <c r="DC159" s="9"/>
      <c r="DD159" s="9"/>
      <c r="DE159" s="9"/>
      <c r="DF159" s="9"/>
      <c r="DG159" s="9"/>
      <c r="DH159" s="9"/>
      <c r="DI159" s="9"/>
      <c r="DJ159" s="9"/>
      <c r="DK159" s="9"/>
      <c r="DL159" s="9"/>
      <c r="DM159" s="9"/>
      <c r="DN159" s="9"/>
      <c r="DO159" s="9"/>
      <c r="DP159" s="9"/>
      <c r="DQ159" s="9"/>
      <c r="DR159" s="9"/>
      <c r="DS159" s="9"/>
      <c r="DT159" s="9"/>
      <c r="DU159" s="9"/>
      <c r="DV159" s="9"/>
      <c r="DW159" s="9"/>
      <c r="DX159" s="9"/>
      <c r="DY159" s="9"/>
      <c r="DZ159" s="9"/>
      <c r="EA159" s="9"/>
      <c r="EB159" s="9"/>
      <c r="EC159" s="9"/>
      <c r="ED159" s="9"/>
      <c r="EE159" s="9"/>
      <c r="EF159" s="9"/>
      <c r="EG159" s="9"/>
      <c r="EH159" s="9"/>
      <c r="EI159" s="9"/>
      <c r="EJ159" s="9"/>
      <c r="EK159" s="9"/>
      <c r="EL159" s="9"/>
      <c r="EM159" s="9"/>
      <c r="EN159" s="9"/>
      <c r="EO159" s="9"/>
      <c r="EP159" s="9"/>
      <c r="EQ159" s="9"/>
      <c r="ER159" s="9"/>
      <c r="ES159" s="9"/>
      <c r="ET159" s="9"/>
    </row>
    <row r="160" customFormat="false" ht="15" hidden="false" customHeight="false" outlineLevel="0" collapsed="false">
      <c r="C160" s="0" t="s">
        <v>600</v>
      </c>
      <c r="D160" s="11" t="s">
        <v>253</v>
      </c>
      <c r="I160" s="33" t="n">
        <f aca="false">SUM(J160:ET160)</f>
        <v>-73398.9735112757</v>
      </c>
      <c r="J160" s="33" t="n">
        <f aca="false">(J60+J106+J99+J120)*(J$4&lt;=In_COD)</f>
        <v>-400</v>
      </c>
      <c r="K160" s="33" t="n">
        <f aca="false">(K60+K106+K99+K120)*(K$4&lt;=In_COD)</f>
        <v>-1437.78053818728</v>
      </c>
      <c r="L160" s="33" t="n">
        <f aca="false">(L60+L106+L99+L120)*(L$4&lt;=In_COD)</f>
        <v>-691.910911990993</v>
      </c>
      <c r="M160" s="33" t="n">
        <f aca="false">(M60+M106+M99+M120)*(M$4&lt;=In_COD)</f>
        <v>-148.451634452993</v>
      </c>
      <c r="N160" s="33" t="n">
        <f aca="false">(N60+N106+N99+N120)*(N$4&lt;=In_COD)</f>
        <v>-149.601261024582</v>
      </c>
      <c r="O160" s="33" t="n">
        <f aca="false">(O60+O106+O99+O120)*(O$4&lt;=In_COD)</f>
        <v>-290.127288421843</v>
      </c>
      <c r="P160" s="33" t="n">
        <f aca="false">(P60+P106+P99+P120)*(P$4&lt;=In_COD)</f>
        <v>-1394.65781281475</v>
      </c>
      <c r="Q160" s="33" t="n">
        <f aca="false">(Q60+Q106+Q99+Q120)*(Q$4&lt;=In_COD)</f>
        <v>-109.225607055733</v>
      </c>
      <c r="R160" s="33" t="n">
        <f aca="false">(R60+R106+R99+R120)*(R$4&lt;=In_COD)</f>
        <v>-269.857154566657</v>
      </c>
      <c r="S160" s="33" t="n">
        <f aca="false">(S60+S106+S99+S120)*(S$4&lt;=In_COD)</f>
        <v>-422.991783283459</v>
      </c>
      <c r="T160" s="33" t="n">
        <f aca="false">(T60+T106+T99+T120)*(T$4&lt;=In_COD)</f>
        <v>-20587.5113339088</v>
      </c>
      <c r="U160" s="33" t="n">
        <f aca="false">(U60+U106+U99+U120)*(U$4&lt;=In_COD)</f>
        <v>-104.616018014637</v>
      </c>
      <c r="V160" s="33" t="n">
        <f aca="false">(V60+V106+V99+V120)*(V$4&lt;=In_COD)</f>
        <v>-105.765644586226</v>
      </c>
      <c r="W160" s="33" t="n">
        <f aca="false">(W60+W106+W99+W120)*(W$4&lt;=In_COD)</f>
        <v>-6875.32473538409</v>
      </c>
      <c r="X160" s="33" t="n">
        <f aca="false">(X60+X106+X99+X120)*(X$4&lt;=In_COD)</f>
        <v>-5073.5175863622</v>
      </c>
      <c r="Y160" s="33" t="n">
        <f aca="false">(Y60+Y106+Y99+Y120)*(Y$4&lt;=In_COD)</f>
        <v>-5103.58937070822</v>
      </c>
      <c r="Z160" s="33" t="n">
        <f aca="false">(Z60+Z106+Z99+Z120)*(Z$4&lt;=In_COD)</f>
        <v>-5132.78767858878</v>
      </c>
      <c r="AA160" s="33" t="n">
        <f aca="false">(AA60+AA106+AA99+AA120)*(AA$4&lt;=In_COD)</f>
        <v>-5105.60714622201</v>
      </c>
      <c r="AB160" s="33" t="n">
        <f aca="false">(AB60+AB106+AB99+AB120)*(AB$4&lt;=In_COD)</f>
        <v>-4969.92045560723</v>
      </c>
      <c r="AC160" s="33" t="n">
        <f aca="false">(AC60+AC106+AC99+AC120)*(AC$4&lt;=In_COD)</f>
        <v>-4998.84116072264</v>
      </c>
      <c r="AD160" s="33" t="n">
        <f aca="false">(AD60+AD106+AD99+AD120)*(AD$4&lt;=In_COD)</f>
        <v>-10026.8883893726</v>
      </c>
      <c r="AE160" s="33" t="n">
        <f aca="false">(AE60+AE106+AE99+AE120)*(AE$4&lt;=In_COD)</f>
        <v>0</v>
      </c>
      <c r="AF160" s="33" t="n">
        <f aca="false">(AF60+AF106+AF99+AF120)*(AF$4&lt;=In_COD)</f>
        <v>0</v>
      </c>
      <c r="AG160" s="33" t="n">
        <f aca="false">(AG60+AG106+AG99+AG120)*(AG$4&lt;=In_COD)</f>
        <v>0</v>
      </c>
      <c r="AH160" s="33" t="n">
        <f aca="false">(AH60+AH106+AH99+AH120)*(AH$4&lt;=In_COD)</f>
        <v>0</v>
      </c>
      <c r="AI160" s="33" t="n">
        <f aca="false">(AI60+AI106+AI99+AI120)*(AI$4&lt;=In_COD)</f>
        <v>0</v>
      </c>
      <c r="AJ160" s="33" t="n">
        <f aca="false">(AJ60+AJ106+AJ99+AJ120)*(AJ$4&lt;=In_COD)</f>
        <v>0</v>
      </c>
      <c r="AK160" s="33" t="n">
        <f aca="false">(AK60+AK106+AK99+AK120)*(AK$4&lt;=In_COD)</f>
        <v>0</v>
      </c>
      <c r="AL160" s="33" t="n">
        <f aca="false">(AL60+AL106+AL99+AL120)*(AL$4&lt;=In_COD)</f>
        <v>0</v>
      </c>
      <c r="AM160" s="33" t="n">
        <f aca="false">(AM60+AM106+AM99+AM120)*(AM$4&lt;=In_COD)</f>
        <v>0</v>
      </c>
      <c r="AN160" s="33" t="n">
        <f aca="false">(AN60+AN106+AN99+AN120)*(AN$4&lt;=In_COD)</f>
        <v>0</v>
      </c>
      <c r="AO160" s="33" t="n">
        <f aca="false">(AO60+AO106+AO99+AO120)*(AO$4&lt;=In_COD)</f>
        <v>0</v>
      </c>
      <c r="AP160" s="33" t="n">
        <f aca="false">(AP60+AP106+AP99+AP120)*(AP$4&lt;=In_COD)</f>
        <v>0</v>
      </c>
      <c r="AQ160" s="33" t="n">
        <f aca="false">(AQ60+AQ106+AQ99+AQ120)*(AQ$4&lt;=In_COD)</f>
        <v>0</v>
      </c>
      <c r="AR160" s="33" t="n">
        <f aca="false">(AR60+AR106+AR99+AR120)*(AR$4&lt;=In_COD)</f>
        <v>0</v>
      </c>
      <c r="AS160" s="33" t="n">
        <f aca="false">(AS60+AS106+AS99+AS120)*(AS$4&lt;=In_COD)</f>
        <v>0</v>
      </c>
      <c r="AT160" s="33" t="n">
        <f aca="false">(AT60+AT106+AT99+AT120)*(AT$4&lt;=In_COD)</f>
        <v>0</v>
      </c>
      <c r="AU160" s="33" t="n">
        <f aca="false">(AU60+AU106+AU99+AU120)*(AU$4&lt;=In_COD)</f>
        <v>0</v>
      </c>
      <c r="AV160" s="33" t="n">
        <f aca="false">(AV60+AV106+AV99+AV120)*(AV$4&lt;=In_COD)</f>
        <v>0</v>
      </c>
      <c r="AW160" s="33" t="n">
        <f aca="false">(AW60+AW106+AW99+AW120)*(AW$4&lt;=In_COD)</f>
        <v>0</v>
      </c>
      <c r="AX160" s="33" t="n">
        <f aca="false">(AX60+AX106+AX99+AX120)*(AX$4&lt;=In_COD)</f>
        <v>0</v>
      </c>
      <c r="AY160" s="33" t="n">
        <f aca="false">(AY60+AY106+AY99+AY120)*(AY$4&lt;=In_COD)</f>
        <v>0</v>
      </c>
      <c r="AZ160" s="33" t="n">
        <f aca="false">(AZ60+AZ106+AZ99+AZ120)*(AZ$4&lt;=In_COD)</f>
        <v>0</v>
      </c>
      <c r="BA160" s="33" t="n">
        <f aca="false">(BA60+BA106+BA99+BA120)*(BA$4&lt;=In_COD)</f>
        <v>0</v>
      </c>
      <c r="BB160" s="33" t="n">
        <f aca="false">(BB60+BB106+BB99+BB120)*(BB$4&lt;=In_COD)</f>
        <v>0</v>
      </c>
      <c r="BC160" s="33" t="n">
        <f aca="false">(BC60+BC106+BC99+BC120)*(BC$4&lt;=In_COD)</f>
        <v>0</v>
      </c>
      <c r="BD160" s="33" t="n">
        <f aca="false">(BD60+BD106+BD99+BD120)*(BD$4&lt;=In_COD)</f>
        <v>0</v>
      </c>
      <c r="BE160" s="33" t="n">
        <f aca="false">(BE60+BE106+BE99+BE120)*(BE$4&lt;=In_COD)</f>
        <v>0</v>
      </c>
      <c r="BF160" s="33" t="n">
        <f aca="false">(BF60+BF106+BF99+BF120)*(BF$4&lt;=In_COD)</f>
        <v>0</v>
      </c>
      <c r="BG160" s="33" t="n">
        <f aca="false">(BG60+BG106+BG99+BG120)*(BG$4&lt;=In_COD)</f>
        <v>0</v>
      </c>
      <c r="BH160" s="33" t="n">
        <f aca="false">(BH60+BH106+BH99+BH120)*(BH$4&lt;=In_COD)</f>
        <v>0</v>
      </c>
      <c r="BI160" s="33" t="n">
        <f aca="false">(BI60+BI106+BI99+BI120)*(BI$4&lt;=In_COD)</f>
        <v>0</v>
      </c>
      <c r="BJ160" s="33" t="n">
        <f aca="false">(BJ60+BJ106+BJ99+BJ120)*(BJ$4&lt;=In_COD)</f>
        <v>0</v>
      </c>
      <c r="BK160" s="33" t="n">
        <f aca="false">(BK60+BK106+BK99+BK120)*(BK$4&lt;=In_COD)</f>
        <v>0</v>
      </c>
      <c r="BL160" s="33" t="n">
        <f aca="false">(BL60+BL106+BL99+BL120)*(BL$4&lt;=In_COD)</f>
        <v>0</v>
      </c>
      <c r="BM160" s="33" t="n">
        <f aca="false">(BM60+BM106+BM99+BM120)*(BM$4&lt;=In_COD)</f>
        <v>0</v>
      </c>
      <c r="BN160" s="33" t="n">
        <f aca="false">(BN60+BN106+BN99+BN120)*(BN$4&lt;=In_COD)</f>
        <v>0</v>
      </c>
      <c r="BO160" s="33" t="n">
        <f aca="false">(BO60+BO106+BO99+BO120)*(BO$4&lt;=In_COD)</f>
        <v>0</v>
      </c>
      <c r="BP160" s="33" t="n">
        <f aca="false">(BP60+BP106+BP99+BP120)*(BP$4&lt;=In_COD)</f>
        <v>0</v>
      </c>
      <c r="BQ160" s="33" t="n">
        <f aca="false">(BQ60+BQ106+BQ99+BQ120)*(BQ$4&lt;=In_COD)</f>
        <v>0</v>
      </c>
      <c r="BR160" s="33" t="n">
        <f aca="false">(BR60+BR106+BR99+BR120)*(BR$4&lt;=In_COD)</f>
        <v>0</v>
      </c>
      <c r="BS160" s="33" t="n">
        <f aca="false">(BS60+BS106+BS99+BS120)*(BS$4&lt;=In_COD)</f>
        <v>0</v>
      </c>
      <c r="BT160" s="33" t="n">
        <f aca="false">(BT60+BT106+BT99+BT120)*(BT$4&lt;=In_COD)</f>
        <v>0</v>
      </c>
      <c r="BU160" s="33" t="n">
        <f aca="false">(BU60+BU106+BU99+BU120)*(BU$4&lt;=In_COD)</f>
        <v>0</v>
      </c>
      <c r="BV160" s="33" t="n">
        <f aca="false">(BV60+BV106+BV99+BV120)*(BV$4&lt;=In_COD)</f>
        <v>0</v>
      </c>
      <c r="BW160" s="33" t="n">
        <f aca="false">(BW60+BW106+BW99+BW120)*(BW$4&lt;=In_COD)</f>
        <v>0</v>
      </c>
      <c r="BX160" s="33" t="n">
        <f aca="false">(BX60+BX106+BX99+BX120)*(BX$4&lt;=In_COD)</f>
        <v>0</v>
      </c>
      <c r="BY160" s="33" t="n">
        <f aca="false">(BY60+BY106+BY99+BY120)*(BY$4&lt;=In_COD)</f>
        <v>0</v>
      </c>
      <c r="BZ160" s="33" t="n">
        <f aca="false">(BZ60+BZ106+BZ99+BZ120)*(BZ$4&lt;=In_COD)</f>
        <v>0</v>
      </c>
      <c r="CA160" s="33" t="n">
        <f aca="false">(CA60+CA106+CA99+CA120)*(CA$4&lt;=In_COD)</f>
        <v>0</v>
      </c>
      <c r="CB160" s="33" t="n">
        <f aca="false">(CB60+CB106+CB99+CB120)*(CB$4&lt;=In_COD)</f>
        <v>0</v>
      </c>
      <c r="CC160" s="33" t="n">
        <f aca="false">(CC60+CC106+CC99+CC120)*(CC$4&lt;=In_COD)</f>
        <v>0</v>
      </c>
      <c r="CD160" s="33" t="n">
        <f aca="false">(CD60+CD106+CD99+CD120)*(CD$4&lt;=In_COD)</f>
        <v>0</v>
      </c>
      <c r="CE160" s="33" t="n">
        <f aca="false">(CE60+CE106+CE99+CE120)*(CE$4&lt;=In_COD)</f>
        <v>0</v>
      </c>
      <c r="CF160" s="33" t="n">
        <f aca="false">(CF60+CF106+CF99+CF120)*(CF$4&lt;=In_COD)</f>
        <v>0</v>
      </c>
      <c r="CG160" s="33" t="n">
        <f aca="false">(CG60+CG106+CG99+CG120)*(CG$4&lt;=In_COD)</f>
        <v>0</v>
      </c>
      <c r="CH160" s="33" t="n">
        <f aca="false">(CH60+CH106+CH99+CH120)*(CH$4&lt;=In_COD)</f>
        <v>0</v>
      </c>
      <c r="CI160" s="33" t="n">
        <f aca="false">(CI60+CI106+CI99+CI120)*(CI$4&lt;=In_COD)</f>
        <v>0</v>
      </c>
      <c r="CJ160" s="33" t="n">
        <f aca="false">(CJ60+CJ106+CJ99+CJ120)*(CJ$4&lt;=In_COD)</f>
        <v>0</v>
      </c>
      <c r="CK160" s="33" t="n">
        <f aca="false">(CK60+CK106+CK99+CK120)*(CK$4&lt;=In_COD)</f>
        <v>0</v>
      </c>
      <c r="CL160" s="33" t="n">
        <f aca="false">(CL60+CL106+CL99+CL120)*(CL$4&lt;=In_COD)</f>
        <v>0</v>
      </c>
      <c r="CM160" s="33" t="n">
        <f aca="false">(CM60+CM106+CM99+CM120)*(CM$4&lt;=In_COD)</f>
        <v>0</v>
      </c>
      <c r="CN160" s="33" t="n">
        <f aca="false">(CN60+CN106+CN99+CN120)*(CN$4&lt;=In_COD)</f>
        <v>0</v>
      </c>
      <c r="CO160" s="33" t="n">
        <f aca="false">(CO60+CO106+CO99+CO120)*(CO$4&lt;=In_COD)</f>
        <v>0</v>
      </c>
      <c r="CP160" s="33" t="n">
        <f aca="false">(CP60+CP106+CP99+CP120)*(CP$4&lt;=In_COD)</f>
        <v>0</v>
      </c>
      <c r="CQ160" s="33" t="n">
        <f aca="false">(CQ60+CQ106+CQ99+CQ120)*(CQ$4&lt;=In_COD)</f>
        <v>0</v>
      </c>
      <c r="CR160" s="33" t="n">
        <f aca="false">(CR60+CR106+CR99+CR120)*(CR$4&lt;=In_COD)</f>
        <v>0</v>
      </c>
      <c r="CS160" s="33" t="n">
        <f aca="false">(CS60+CS106+CS99+CS120)*(CS$4&lt;=In_COD)</f>
        <v>0</v>
      </c>
      <c r="CT160" s="33" t="n">
        <f aca="false">(CT60+CT106+CT99+CT120)*(CT$4&lt;=In_COD)</f>
        <v>0</v>
      </c>
      <c r="CU160" s="33" t="n">
        <f aca="false">(CU60+CU106+CU99+CU120)*(CU$4&lt;=In_COD)</f>
        <v>0</v>
      </c>
      <c r="CV160" s="33" t="n">
        <f aca="false">(CV60+CV106+CV99+CV120)*(CV$4&lt;=In_COD)</f>
        <v>0</v>
      </c>
      <c r="CW160" s="33" t="n">
        <f aca="false">(CW60+CW106+CW99+CW120)*(CW$4&lt;=In_COD)</f>
        <v>0</v>
      </c>
      <c r="CX160" s="33" t="n">
        <f aca="false">(CX60+CX106+CX99+CX120)*(CX$4&lt;=In_COD)</f>
        <v>0</v>
      </c>
      <c r="CY160" s="33" t="n">
        <f aca="false">(CY60+CY106+CY99+CY120)*(CY$4&lt;=In_COD)</f>
        <v>0</v>
      </c>
      <c r="CZ160" s="33" t="n">
        <f aca="false">(CZ60+CZ106+CZ99+CZ120)*(CZ$4&lt;=In_COD)</f>
        <v>0</v>
      </c>
      <c r="DA160" s="33" t="n">
        <f aca="false">(DA60+DA106+DA99+DA120)*(DA$4&lt;=In_COD)</f>
        <v>0</v>
      </c>
      <c r="DB160" s="33" t="n">
        <f aca="false">(DB60+DB106+DB99+DB120)*(DB$4&lt;=In_COD)</f>
        <v>0</v>
      </c>
      <c r="DC160" s="33" t="n">
        <f aca="false">(DC60+DC106+DC99+DC120)*(DC$4&lt;=In_COD)</f>
        <v>0</v>
      </c>
      <c r="DD160" s="33" t="n">
        <f aca="false">(DD60+DD106+DD99+DD120)*(DD$4&lt;=In_COD)</f>
        <v>0</v>
      </c>
      <c r="DE160" s="33" t="n">
        <f aca="false">(DE60+DE106+DE99+DE120)*(DE$4&lt;=In_COD)</f>
        <v>0</v>
      </c>
      <c r="DF160" s="33" t="n">
        <f aca="false">(DF60+DF106+DF99+DF120)*(DF$4&lt;=In_COD)</f>
        <v>0</v>
      </c>
      <c r="DG160" s="33" t="n">
        <f aca="false">(DG60+DG106+DG99+DG120)*(DG$4&lt;=In_COD)</f>
        <v>0</v>
      </c>
      <c r="DH160" s="33" t="n">
        <f aca="false">(DH60+DH106+DH99+DH120)*(DH$4&lt;=In_COD)</f>
        <v>0</v>
      </c>
      <c r="DI160" s="33" t="n">
        <f aca="false">(DI60+DI106+DI99+DI120)*(DI$4&lt;=In_COD)</f>
        <v>0</v>
      </c>
      <c r="DJ160" s="33" t="n">
        <f aca="false">(DJ60+DJ106+DJ99+DJ120)*(DJ$4&lt;=In_COD)</f>
        <v>0</v>
      </c>
      <c r="DK160" s="33" t="n">
        <f aca="false">(DK60+DK106+DK99+DK120)*(DK$4&lt;=In_COD)</f>
        <v>0</v>
      </c>
      <c r="DL160" s="33" t="n">
        <f aca="false">(DL60+DL106+DL99+DL120)*(DL$4&lt;=In_COD)</f>
        <v>0</v>
      </c>
      <c r="DM160" s="33" t="n">
        <f aca="false">(DM60+DM106+DM99+DM120)*(DM$4&lt;=In_COD)</f>
        <v>0</v>
      </c>
      <c r="DN160" s="33" t="n">
        <f aca="false">(DN60+DN106+DN99+DN120)*(DN$4&lt;=In_COD)</f>
        <v>0</v>
      </c>
      <c r="DO160" s="33" t="n">
        <f aca="false">(DO60+DO106+DO99+DO120)*(DO$4&lt;=In_COD)</f>
        <v>0</v>
      </c>
      <c r="DP160" s="33" t="n">
        <f aca="false">(DP60+DP106+DP99+DP120)*(DP$4&lt;=In_COD)</f>
        <v>0</v>
      </c>
      <c r="DQ160" s="33" t="n">
        <f aca="false">(DQ60+DQ106+DQ99+DQ120)*(DQ$4&lt;=In_COD)</f>
        <v>0</v>
      </c>
      <c r="DR160" s="33" t="n">
        <f aca="false">(DR60+DR106+DR99+DR120)*(DR$4&lt;=In_COD)</f>
        <v>0</v>
      </c>
      <c r="DS160" s="33" t="n">
        <f aca="false">(DS60+DS106+DS99+DS120)*(DS$4&lt;=In_COD)</f>
        <v>0</v>
      </c>
      <c r="DT160" s="33" t="n">
        <f aca="false">(DT60+DT106+DT99+DT120)*(DT$4&lt;=In_COD)</f>
        <v>0</v>
      </c>
      <c r="DU160" s="33" t="n">
        <f aca="false">(DU60+DU106+DU99+DU120)*(DU$4&lt;=In_COD)</f>
        <v>0</v>
      </c>
      <c r="DV160" s="33" t="n">
        <f aca="false">(DV60+DV106+DV99+DV120)*(DV$4&lt;=In_COD)</f>
        <v>0</v>
      </c>
      <c r="DW160" s="33" t="n">
        <f aca="false">(DW60+DW106+DW99+DW120)*(DW$4&lt;=In_COD)</f>
        <v>0</v>
      </c>
      <c r="DX160" s="33" t="n">
        <f aca="false">(DX60+DX106+DX99+DX120)*(DX$4&lt;=In_COD)</f>
        <v>0</v>
      </c>
      <c r="DY160" s="33" t="n">
        <f aca="false">(DY60+DY106+DY99+DY120)*(DY$4&lt;=In_COD)</f>
        <v>0</v>
      </c>
      <c r="DZ160" s="33" t="n">
        <f aca="false">(DZ60+DZ106+DZ99+DZ120)*(DZ$4&lt;=In_COD)</f>
        <v>0</v>
      </c>
      <c r="EA160" s="33" t="n">
        <f aca="false">(EA60+EA106+EA99+EA120)*(EA$4&lt;=In_COD)</f>
        <v>0</v>
      </c>
      <c r="EB160" s="33" t="n">
        <f aca="false">(EB60+EB106+EB99+EB120)*(EB$4&lt;=In_COD)</f>
        <v>0</v>
      </c>
      <c r="EC160" s="33" t="n">
        <f aca="false">(EC60+EC106+EC99+EC120)*(EC$4&lt;=In_COD)</f>
        <v>0</v>
      </c>
      <c r="ED160" s="33" t="n">
        <f aca="false">(ED60+ED106+ED99+ED120)*(ED$4&lt;=In_COD)</f>
        <v>0</v>
      </c>
      <c r="EE160" s="33" t="n">
        <f aca="false">(EE60+EE106+EE99+EE120)*(EE$4&lt;=In_COD)</f>
        <v>0</v>
      </c>
      <c r="EF160" s="33" t="n">
        <f aca="false">(EF60+EF106+EF99+EF120)*(EF$4&lt;=In_COD)</f>
        <v>0</v>
      </c>
      <c r="EG160" s="33" t="n">
        <f aca="false">(EG60+EG106+EG99+EG120)*(EG$4&lt;=In_COD)</f>
        <v>0</v>
      </c>
      <c r="EH160" s="33" t="n">
        <f aca="false">(EH60+EH106+EH99+EH120)*(EH$4&lt;=In_COD)</f>
        <v>0</v>
      </c>
      <c r="EI160" s="33" t="n">
        <f aca="false">(EI60+EI106+EI99+EI120)*(EI$4&lt;=In_COD)</f>
        <v>0</v>
      </c>
      <c r="EJ160" s="33" t="n">
        <f aca="false">(EJ60+EJ106+EJ99+EJ120)*(EJ$4&lt;=In_COD)</f>
        <v>0</v>
      </c>
      <c r="EK160" s="33" t="n">
        <f aca="false">(EK60+EK106+EK99+EK120)*(EK$4&lt;=In_COD)</f>
        <v>0</v>
      </c>
      <c r="EL160" s="33" t="n">
        <f aca="false">(EL60+EL106+EL99+EL120)*(EL$4&lt;=In_COD)</f>
        <v>0</v>
      </c>
      <c r="EM160" s="33" t="n">
        <f aca="false">(EM60+EM106+EM99+EM120)*(EM$4&lt;=In_COD)</f>
        <v>0</v>
      </c>
      <c r="EN160" s="33" t="n">
        <f aca="false">(EN60+EN106+EN99+EN120)*(EN$4&lt;=In_COD)</f>
        <v>0</v>
      </c>
      <c r="EO160" s="33" t="n">
        <f aca="false">(EO60+EO106+EO99+EO120)*(EO$4&lt;=In_COD)</f>
        <v>0</v>
      </c>
      <c r="EP160" s="33" t="n">
        <f aca="false">(EP60+EP106+EP99+EP120)*(EP$4&lt;=In_COD)</f>
        <v>0</v>
      </c>
      <c r="EQ160" s="33" t="n">
        <f aca="false">(EQ60+EQ106+EQ99+EQ120)*(EQ$4&lt;=In_COD)</f>
        <v>0</v>
      </c>
      <c r="ER160" s="33" t="n">
        <f aca="false">(ER60+ER106+ER99+ER120)*(ER$4&lt;=In_COD)</f>
        <v>0</v>
      </c>
      <c r="ES160" s="33" t="n">
        <f aca="false">(ES60+ES106+ES99+ES120)*(ES$4&lt;=In_COD)</f>
        <v>0</v>
      </c>
      <c r="ET160" s="33" t="n">
        <f aca="false">(ET60+ET106+ET99+ET120)*(ET$4&lt;=In_COD)</f>
        <v>0</v>
      </c>
    </row>
    <row r="161" customFormat="false" ht="15" hidden="false" customHeight="false" outlineLevel="0" collapsed="false">
      <c r="C161" s="0" t="s">
        <v>601</v>
      </c>
      <c r="D161" s="11" t="s">
        <v>253</v>
      </c>
      <c r="E161" s="33" t="n">
        <f aca="false">SUMPRODUCT($J161:$ET161,$J21:$ET21)</f>
        <v>-2474.54304721128</v>
      </c>
      <c r="I161" s="33" t="n">
        <f aca="false">SUM(J161:ET161)</f>
        <v>-6307.65794259604</v>
      </c>
      <c r="J161" s="33" t="n">
        <f aca="false">-($E31*In_Delivered-In_Ref_Community)*J112*(1-In_CIT)/Thousand</f>
        <v>-0</v>
      </c>
      <c r="K161" s="33" t="n">
        <f aca="false">-($E31*In_Delivered-In_Ref_Community)*K112*(1-In_CIT)/Thousand</f>
        <v>-0</v>
      </c>
      <c r="L161" s="33" t="n">
        <f aca="false">-($E31*In_Delivered-In_Ref_Community)*L112*(1-In_CIT)/Thousand</f>
        <v>-0</v>
      </c>
      <c r="M161" s="33" t="n">
        <f aca="false">-($E31*In_Delivered-In_Ref_Community)*M112*(1-In_CIT)/Thousand</f>
        <v>-0</v>
      </c>
      <c r="N161" s="33" t="n">
        <f aca="false">-($E31*In_Delivered-In_Ref_Community)*N112*(1-In_CIT)/Thousand</f>
        <v>-0</v>
      </c>
      <c r="O161" s="33" t="n">
        <f aca="false">-($E31*In_Delivered-In_Ref_Community)*O112*(1-In_CIT)/Thousand</f>
        <v>-0</v>
      </c>
      <c r="P161" s="33" t="n">
        <f aca="false">-($E31*In_Delivered-In_Ref_Community)*P112*(1-In_CIT)/Thousand</f>
        <v>-0</v>
      </c>
      <c r="Q161" s="33" t="n">
        <f aca="false">-($E31*In_Delivered-In_Ref_Community)*Q112*(1-In_CIT)/Thousand</f>
        <v>-0</v>
      </c>
      <c r="R161" s="33" t="n">
        <f aca="false">-($E31*In_Delivered-In_Ref_Community)*R112*(1-In_CIT)/Thousand</f>
        <v>-0</v>
      </c>
      <c r="S161" s="33" t="n">
        <f aca="false">-($E31*In_Delivered-In_Ref_Community)*S112*(1-In_CIT)/Thousand</f>
        <v>-0</v>
      </c>
      <c r="T161" s="33" t="n">
        <f aca="false">-($E31*In_Delivered-In_Ref_Community)*T112*(1-In_CIT)/Thousand</f>
        <v>-0</v>
      </c>
      <c r="U161" s="33" t="n">
        <f aca="false">-($E31*In_Delivered-In_Ref_Community)*U112*(1-In_CIT)/Thousand</f>
        <v>-0</v>
      </c>
      <c r="V161" s="33" t="n">
        <f aca="false">-($E31*In_Delivered-In_Ref_Community)*V112*(1-In_CIT)/Thousand</f>
        <v>-0</v>
      </c>
      <c r="W161" s="33" t="n">
        <f aca="false">-($E31*In_Delivered-In_Ref_Community)*W112*(1-In_CIT)/Thousand</f>
        <v>-0</v>
      </c>
      <c r="X161" s="33" t="n">
        <f aca="false">-($E31*In_Delivered-In_Ref_Community)*X112*(1-In_CIT)/Thousand</f>
        <v>-0</v>
      </c>
      <c r="Y161" s="33" t="n">
        <f aca="false">-($E31*In_Delivered-In_Ref_Community)*Y112*(1-In_CIT)/Thousand</f>
        <v>-0</v>
      </c>
      <c r="Z161" s="33" t="n">
        <f aca="false">-($E31*In_Delivered-In_Ref_Community)*Z112*(1-In_CIT)/Thousand</f>
        <v>-0</v>
      </c>
      <c r="AA161" s="33" t="n">
        <f aca="false">-($E31*In_Delivered-In_Ref_Community)*AA112*(1-In_CIT)/Thousand</f>
        <v>-0</v>
      </c>
      <c r="AB161" s="33" t="n">
        <f aca="false">-($E31*In_Delivered-In_Ref_Community)*AB112*(1-In_CIT)/Thousand</f>
        <v>-0</v>
      </c>
      <c r="AC161" s="33" t="n">
        <f aca="false">-($E31*In_Delivered-In_Ref_Community)*AC112*(1-In_CIT)/Thousand</f>
        <v>-0</v>
      </c>
      <c r="AD161" s="33" t="n">
        <f aca="false">-($E31*In_Delivered-In_Ref_Community)*AD112*(1-In_CIT)/Thousand</f>
        <v>-0</v>
      </c>
      <c r="AE161" s="33" t="n">
        <f aca="false">-($E31*In_Delivered-In_Ref_Community)*AE112*(1-In_CIT)/Thousand</f>
        <v>-55.2964865753425</v>
      </c>
      <c r="AF161" s="33" t="n">
        <f aca="false">-($E31*In_Delivered-In_Ref_Community)*AF112*(1-In_CIT)/Thousand</f>
        <v>-54.6954378082192</v>
      </c>
      <c r="AG161" s="33" t="n">
        <f aca="false">-($E31*In_Delivered-In_Ref_Community)*AG112*(1-In_CIT)/Thousand</f>
        <v>-54.6954378082192</v>
      </c>
      <c r="AH161" s="33" t="n">
        <f aca="false">-($E31*In_Delivered-In_Ref_Community)*AH112*(1-In_CIT)/Thousand</f>
        <v>-55.2964865753425</v>
      </c>
      <c r="AI161" s="33" t="n">
        <f aca="false">-($E31*In_Delivered-In_Ref_Community)*AI112*(1-In_CIT)/Thousand</f>
        <v>-55.1305971156164</v>
      </c>
      <c r="AJ161" s="33" t="n">
        <f aca="false">-($E31*In_Delivered-In_Ref_Community)*AJ112*(1-In_CIT)/Thousand</f>
        <v>-53.9321058739726</v>
      </c>
      <c r="AK161" s="33" t="n">
        <f aca="false">-($E31*In_Delivered-In_Ref_Community)*AK112*(1-In_CIT)/Thousand</f>
        <v>-54.5313514947945</v>
      </c>
      <c r="AL161" s="33" t="n">
        <f aca="false">-($E31*In_Delivered-In_Ref_Community)*AL112*(1-In_CIT)/Thousand</f>
        <v>-55.1305971156164</v>
      </c>
      <c r="AM161" s="33" t="n">
        <f aca="false">-($E31*In_Delivered-In_Ref_Community)*AM112*(1-In_CIT)/Thousand</f>
        <v>-54.9652053242696</v>
      </c>
      <c r="AN161" s="33" t="n">
        <f aca="false">-($E31*In_Delivered-In_Ref_Community)*AN112*(1-In_CIT)/Thousand</f>
        <v>-53.7703095563507</v>
      </c>
      <c r="AO161" s="33" t="n">
        <f aca="false">-($E31*In_Delivered-In_Ref_Community)*AO112*(1-In_CIT)/Thousand</f>
        <v>-54.3677574403101</v>
      </c>
      <c r="AP161" s="33" t="n">
        <f aca="false">-($E31*In_Delivered-In_Ref_Community)*AP112*(1-In_CIT)/Thousand</f>
        <v>-54.9652053242696</v>
      </c>
      <c r="AQ161" s="33" t="n">
        <f aca="false">-($E31*In_Delivered-In_Ref_Community)*AQ112*(1-In_CIT)/Thousand</f>
        <v>-54.8003097082968</v>
      </c>
      <c r="AR161" s="33" t="n">
        <f aca="false">-($E31*In_Delivered-In_Ref_Community)*AR112*(1-In_CIT)/Thousand</f>
        <v>-53.6089986276816</v>
      </c>
      <c r="AS161" s="33" t="n">
        <f aca="false">-($E31*In_Delivered-In_Ref_Community)*AS112*(1-In_CIT)/Thousand</f>
        <v>-54.2046541679892</v>
      </c>
      <c r="AT161" s="33" t="n">
        <f aca="false">-($E31*In_Delivered-In_Ref_Community)*AT112*(1-In_CIT)/Thousand</f>
        <v>-54.8003097082968</v>
      </c>
      <c r="AU161" s="33" t="n">
        <f aca="false">-($E31*In_Delivered-In_Ref_Community)*AU112*(1-In_CIT)/Thousand</f>
        <v>-54.6359087791719</v>
      </c>
      <c r="AV161" s="33" t="n">
        <f aca="false">-($E31*In_Delivered-In_Ref_Community)*AV112*(1-In_CIT)/Thousand</f>
        <v>-54.0420402054852</v>
      </c>
      <c r="AW161" s="33" t="n">
        <f aca="false">-($E31*In_Delivered-In_Ref_Community)*AW112*(1-In_CIT)/Thousand</f>
        <v>-54.0420402054852</v>
      </c>
      <c r="AX161" s="33" t="n">
        <f aca="false">-($E31*In_Delivered-In_Ref_Community)*AX112*(1-In_CIT)/Thousand</f>
        <v>-54.6359087791719</v>
      </c>
      <c r="AY161" s="33" t="n">
        <f aca="false">-($E31*In_Delivered-In_Ref_Community)*AY112*(1-In_CIT)/Thousand</f>
        <v>-54.4720010528344</v>
      </c>
      <c r="AZ161" s="33" t="n">
        <f aca="false">-($E31*In_Delivered-In_Ref_Community)*AZ112*(1-In_CIT)/Thousand</f>
        <v>-53.2878271169032</v>
      </c>
      <c r="BA161" s="33" t="n">
        <f aca="false">-($E31*In_Delivered-In_Ref_Community)*BA112*(1-In_CIT)/Thousand</f>
        <v>-53.8799140848688</v>
      </c>
      <c r="BB161" s="33" t="n">
        <f aca="false">-($E31*In_Delivered-In_Ref_Community)*BB112*(1-In_CIT)/Thousand</f>
        <v>-54.4720010528344</v>
      </c>
      <c r="BC161" s="33" t="n">
        <f aca="false">-($E31*In_Delivered-In_Ref_Community)*BC112*(1-In_CIT)/Thousand</f>
        <v>-54.3085850496759</v>
      </c>
      <c r="BD161" s="33" t="n">
        <f aca="false">-($E31*In_Delivered-In_Ref_Community)*BD112*(1-In_CIT)/Thousand</f>
        <v>-53.1279636355525</v>
      </c>
      <c r="BE161" s="33" t="n">
        <f aca="false">-($E31*In_Delivered-In_Ref_Community)*BE112*(1-In_CIT)/Thousand</f>
        <v>-53.7182743426142</v>
      </c>
      <c r="BF161" s="33" t="n">
        <f aca="false">-($E31*In_Delivered-In_Ref_Community)*BF112*(1-In_CIT)/Thousand</f>
        <v>-54.3085850496759</v>
      </c>
      <c r="BG161" s="33" t="n">
        <f aca="false">-($E31*In_Delivered-In_Ref_Community)*BG112*(1-In_CIT)/Thousand</f>
        <v>-54.1456592945269</v>
      </c>
      <c r="BH161" s="33" t="n">
        <f aca="false">-($E31*In_Delivered-In_Ref_Community)*BH112*(1-In_CIT)/Thousand</f>
        <v>-52.9685797446458</v>
      </c>
      <c r="BI161" s="33" t="n">
        <f aca="false">-($E31*In_Delivered-In_Ref_Community)*BI112*(1-In_CIT)/Thousand</f>
        <v>-53.5571195195863</v>
      </c>
      <c r="BJ161" s="33" t="n">
        <f aca="false">-($E31*In_Delivered-In_Ref_Community)*BJ112*(1-In_CIT)/Thousand</f>
        <v>-54.1456592945269</v>
      </c>
      <c r="BK161" s="33" t="n">
        <f aca="false">-($E31*In_Delivered-In_Ref_Community)*BK112*(1-In_CIT)/Thousand</f>
        <v>-53.9832223166433</v>
      </c>
      <c r="BL161" s="33" t="n">
        <f aca="false">-($E31*In_Delivered-In_Ref_Community)*BL112*(1-In_CIT)/Thousand</f>
        <v>-53.3964481610276</v>
      </c>
      <c r="BM161" s="33" t="n">
        <f aca="false">-($E31*In_Delivered-In_Ref_Community)*BM112*(1-In_CIT)/Thousand</f>
        <v>-53.3964481610276</v>
      </c>
      <c r="BN161" s="33" t="n">
        <f aca="false">-($E31*In_Delivered-In_Ref_Community)*BN112*(1-In_CIT)/Thousand</f>
        <v>-53.9832223166433</v>
      </c>
      <c r="BO161" s="33" t="n">
        <f aca="false">-($E31*In_Delivered-In_Ref_Community)*BO112*(1-In_CIT)/Thousand</f>
        <v>-53.8212726496933</v>
      </c>
      <c r="BP161" s="33" t="n">
        <f aca="false">-($E31*In_Delivered-In_Ref_Community)*BP112*(1-In_CIT)/Thousand</f>
        <v>-52.6512449833957</v>
      </c>
      <c r="BQ161" s="33" t="n">
        <f aca="false">-($E31*In_Delivered-In_Ref_Community)*BQ112*(1-In_CIT)/Thousand</f>
        <v>-53.2362588165445</v>
      </c>
      <c r="BR161" s="33" t="n">
        <f aca="false">-($E31*In_Delivered-In_Ref_Community)*BR112*(1-In_CIT)/Thousand</f>
        <v>-53.8212726496933</v>
      </c>
      <c r="BS161" s="33" t="n">
        <f aca="false">-($E31*In_Delivered-In_Ref_Community)*BS112*(1-In_CIT)/Thousand</f>
        <v>-53.6598088317443</v>
      </c>
      <c r="BT161" s="33" t="n">
        <f aca="false">-($E31*In_Delivered-In_Ref_Community)*BT112*(1-In_CIT)/Thousand</f>
        <v>-52.4932912484455</v>
      </c>
      <c r="BU161" s="33" t="n">
        <f aca="false">-($E31*In_Delivered-In_Ref_Community)*BU112*(1-In_CIT)/Thousand</f>
        <v>-53.0765500400949</v>
      </c>
      <c r="BV161" s="33" t="n">
        <f aca="false">-($E31*In_Delivered-In_Ref_Community)*BV112*(1-In_CIT)/Thousand</f>
        <v>-53.6598088317443</v>
      </c>
      <c r="BW161" s="33" t="n">
        <f aca="false">-($E31*In_Delivered-In_Ref_Community)*BW112*(1-In_CIT)/Thousand</f>
        <v>-53.498829405249</v>
      </c>
      <c r="BX161" s="33" t="n">
        <f aca="false">-($E31*In_Delivered-In_Ref_Community)*BX112*(1-In_CIT)/Thousand</f>
        <v>-52.3358113747001</v>
      </c>
      <c r="BY161" s="33" t="n">
        <f aca="false">-($E31*In_Delivered-In_Ref_Community)*BY112*(1-In_CIT)/Thousand</f>
        <v>-52.9173203899746</v>
      </c>
      <c r="BZ161" s="33" t="n">
        <f aca="false">-($E31*In_Delivered-In_Ref_Community)*BZ112*(1-In_CIT)/Thousand</f>
        <v>-53.498829405249</v>
      </c>
      <c r="CA161" s="33" t="n">
        <f aca="false">-($E31*In_Delivered-In_Ref_Community)*CA112*(1-In_CIT)/Thousand</f>
        <v>-53.3383329170333</v>
      </c>
      <c r="CB161" s="33" t="n">
        <f aca="false">-($E31*In_Delivered-In_Ref_Community)*CB112*(1-In_CIT)/Thousand</f>
        <v>-52.7585684288047</v>
      </c>
      <c r="CC161" s="33" t="n">
        <f aca="false">-($E31*In_Delivered-In_Ref_Community)*CC112*(1-In_CIT)/Thousand</f>
        <v>-52.7585684288047</v>
      </c>
      <c r="CD161" s="33" t="n">
        <f aca="false">-($E31*In_Delivered-In_Ref_Community)*CD112*(1-In_CIT)/Thousand</f>
        <v>-53.3383329170333</v>
      </c>
      <c r="CE161" s="33" t="n">
        <f aca="false">-($E31*In_Delivered-In_Ref_Community)*CE112*(1-In_CIT)/Thousand</f>
        <v>-53.1783179182822</v>
      </c>
      <c r="CF161" s="33" t="n">
        <f aca="false">-($E31*In_Delivered-In_Ref_Community)*CF112*(1-In_CIT)/Thousand</f>
        <v>-52.0222675287543</v>
      </c>
      <c r="CG161" s="33" t="n">
        <f aca="false">-($E31*In_Delivered-In_Ref_Community)*CG112*(1-In_CIT)/Thousand</f>
        <v>-52.6002927235182</v>
      </c>
      <c r="CH161" s="33" t="n">
        <f aca="false">-($E31*In_Delivered-In_Ref_Community)*CH112*(1-In_CIT)/Thousand</f>
        <v>-53.1783179182822</v>
      </c>
      <c r="CI161" s="33" t="n">
        <f aca="false">-($E31*In_Delivered-In_Ref_Community)*CI112*(1-In_CIT)/Thousand</f>
        <v>-53.0187829645273</v>
      </c>
      <c r="CJ161" s="33" t="n">
        <f aca="false">-($E31*In_Delivered-In_Ref_Community)*CJ112*(1-In_CIT)/Thousand</f>
        <v>-51.866200726168</v>
      </c>
      <c r="CK161" s="33" t="n">
        <f aca="false">-($E31*In_Delivered-In_Ref_Community)*CK112*(1-In_CIT)/Thousand</f>
        <v>-52.4424918453477</v>
      </c>
      <c r="CL161" s="33" t="n">
        <f aca="false">-($E31*In_Delivered-In_Ref_Community)*CL112*(1-In_CIT)/Thousand</f>
        <v>-53.0187829645273</v>
      </c>
      <c r="CM161" s="33" t="n">
        <f aca="false">-($E31*In_Delivered-In_Ref_Community)*CM112*(1-In_CIT)/Thousand</f>
        <v>-52.8597266156338</v>
      </c>
      <c r="CN161" s="33" t="n">
        <f aca="false">-($E31*In_Delivered-In_Ref_Community)*CN112*(1-In_CIT)/Thousand</f>
        <v>-51.7106021239895</v>
      </c>
      <c r="CO161" s="33" t="n">
        <f aca="false">-($E31*In_Delivered-In_Ref_Community)*CO112*(1-In_CIT)/Thousand</f>
        <v>-52.2851643698116</v>
      </c>
      <c r="CP161" s="33" t="n">
        <f aca="false">-($E31*In_Delivered-In_Ref_Community)*CP112*(1-In_CIT)/Thousand</f>
        <v>-52.8597266156338</v>
      </c>
      <c r="CQ161" s="33" t="n">
        <f aca="false">-($E31*In_Delivered-In_Ref_Community)*CQ112*(1-In_CIT)/Thousand</f>
        <v>-52.7011474357869</v>
      </c>
      <c r="CR161" s="33" t="n">
        <f aca="false">-($E31*In_Delivered-In_Ref_Community)*CR112*(1-In_CIT)/Thousand</f>
        <v>-52.1283088767022</v>
      </c>
      <c r="CS161" s="33" t="n">
        <f aca="false">-($E31*In_Delivered-In_Ref_Community)*CS112*(1-In_CIT)/Thousand</f>
        <v>-52.1283088767022</v>
      </c>
      <c r="CT161" s="33" t="n">
        <f aca="false">-($E31*In_Delivered-In_Ref_Community)*CT112*(1-In_CIT)/Thousand</f>
        <v>-52.7011474357869</v>
      </c>
      <c r="CU161" s="33" t="n">
        <f aca="false">-($E31*In_Delivered-In_Ref_Community)*CU112*(1-In_CIT)/Thousand</f>
        <v>-52.5430439934795</v>
      </c>
      <c r="CV161" s="33" t="n">
        <f aca="false">-($E31*In_Delivered-In_Ref_Community)*CV112*(1-In_CIT)/Thousand</f>
        <v>-51.4008039066647</v>
      </c>
      <c r="CW161" s="33" t="n">
        <f aca="false">-($E31*In_Delivered-In_Ref_Community)*CW112*(1-In_CIT)/Thousand</f>
        <v>-51.9719239500721</v>
      </c>
      <c r="CX161" s="33" t="n">
        <f aca="false">-($E31*In_Delivered-In_Ref_Community)*CX112*(1-In_CIT)/Thousand</f>
        <v>-52.5430439934795</v>
      </c>
      <c r="CY161" s="33" t="n">
        <f aca="false">-($E31*In_Delivered-In_Ref_Community)*CY112*(1-In_CIT)/Thousand</f>
        <v>-52.3854148614991</v>
      </c>
      <c r="CZ161" s="33" t="n">
        <f aca="false">-($E31*In_Delivered-In_Ref_Community)*CZ112*(1-In_CIT)/Thousand</f>
        <v>-51.2466014949447</v>
      </c>
      <c r="DA161" s="33" t="n">
        <f aca="false">-($E31*In_Delivered-In_Ref_Community)*DA112*(1-In_CIT)/Thousand</f>
        <v>-51.8160081782219</v>
      </c>
      <c r="DB161" s="33" t="n">
        <f aca="false">-($E31*In_Delivered-In_Ref_Community)*DB112*(1-In_CIT)/Thousand</f>
        <v>-52.3854148614991</v>
      </c>
      <c r="DC161" s="33" t="n">
        <f aca="false">-($E31*In_Delivered-In_Ref_Community)*DC112*(1-In_CIT)/Thousand</f>
        <v>-52.2282586169146</v>
      </c>
      <c r="DD161" s="33" t="n">
        <f aca="false">-($E31*In_Delivered-In_Ref_Community)*DD112*(1-In_CIT)/Thousand</f>
        <v>-51.0928616904599</v>
      </c>
      <c r="DE161" s="33" t="n">
        <f aca="false">-($E31*In_Delivered-In_Ref_Community)*DE112*(1-In_CIT)/Thousand</f>
        <v>-51.6605601536872</v>
      </c>
      <c r="DF161" s="33" t="n">
        <f aca="false">-($E31*In_Delivered-In_Ref_Community)*DF112*(1-In_CIT)/Thousand</f>
        <v>-52.2282586169146</v>
      </c>
      <c r="DG161" s="33" t="n">
        <f aca="false">-($E31*In_Delivered-In_Ref_Community)*DG112*(1-In_CIT)/Thousand</f>
        <v>-52.0715738410638</v>
      </c>
      <c r="DH161" s="33" t="n">
        <f aca="false">-($E31*In_Delivered-In_Ref_Community)*DH112*(1-In_CIT)/Thousand</f>
        <v>-51.5055784732262</v>
      </c>
      <c r="DI161" s="33" t="n">
        <f aca="false">-($E31*In_Delivered-In_Ref_Community)*DI112*(1-In_CIT)/Thousand</f>
        <v>-51.5055784732262</v>
      </c>
      <c r="DJ161" s="33" t="n">
        <f aca="false">-($E31*In_Delivered-In_Ref_Community)*DJ112*(1-In_CIT)/Thousand</f>
        <v>-52.0715738410638</v>
      </c>
      <c r="DK161" s="33" t="n">
        <f aca="false">-($E31*In_Delivered-In_Ref_Community)*DK112*(1-In_CIT)/Thousand</f>
        <v>-51.9153591195406</v>
      </c>
      <c r="DL161" s="33" t="n">
        <f aca="false">-($E31*In_Delivered-In_Ref_Community)*DL112*(1-In_CIT)/Thousand</f>
        <v>-50.7867643560723</v>
      </c>
      <c r="DM161" s="33" t="n">
        <f aca="false">-($E31*In_Delivered-In_Ref_Community)*DM112*(1-In_CIT)/Thousand</f>
        <v>-51.3510617378065</v>
      </c>
      <c r="DN161" s="33" t="n">
        <f aca="false">-($E31*In_Delivered-In_Ref_Community)*DN112*(1-In_CIT)/Thousand</f>
        <v>-51.9153591195406</v>
      </c>
      <c r="DO161" s="33" t="n">
        <f aca="false">-($E31*In_Delivered-In_Ref_Community)*DO112*(1-In_CIT)/Thousand</f>
        <v>-51.759613042182</v>
      </c>
      <c r="DP161" s="33" t="n">
        <f aca="false">-($E31*In_Delivered-In_Ref_Community)*DP112*(1-In_CIT)/Thousand</f>
        <v>-50.6344040630041</v>
      </c>
      <c r="DQ161" s="33" t="n">
        <f aca="false">-($E31*In_Delivered-In_Ref_Community)*DQ112*(1-In_CIT)/Thousand</f>
        <v>-51.1970085525931</v>
      </c>
      <c r="DR161" s="33" t="n">
        <f aca="false">-($E31*In_Delivered-In_Ref_Community)*DR112*(1-In_CIT)/Thousand</f>
        <v>-51.759613042182</v>
      </c>
      <c r="DS161" s="33" t="n">
        <f aca="false">-($E31*In_Delivered-In_Ref_Community)*DS112*(1-In_CIT)/Thousand</f>
        <v>-51.6043342030555</v>
      </c>
      <c r="DT161" s="33" t="n">
        <f aca="false">-($E31*In_Delivered-In_Ref_Community)*DT112*(1-In_CIT)/Thousand</f>
        <v>-50.4825008508151</v>
      </c>
      <c r="DU161" s="33" t="n">
        <f aca="false">-($E31*In_Delivered-In_Ref_Community)*DU112*(1-In_CIT)/Thousand</f>
        <v>-51.0434175269353</v>
      </c>
      <c r="DV161" s="33" t="n">
        <f aca="false">-($E31*In_Delivered-In_Ref_Community)*DV112*(1-In_CIT)/Thousand</f>
        <v>-51.6043342030555</v>
      </c>
      <c r="DW161" s="33" t="n">
        <f aca="false">-($E31*In_Delivered-In_Ref_Community)*DW112*(1-In_CIT)/Thousand</f>
        <v>-51.4495212004463</v>
      </c>
      <c r="DX161" s="33" t="n">
        <f aca="false">-($E31*In_Delivered-In_Ref_Community)*DX112*(1-In_CIT)/Thousand</f>
        <v>-50.8902872743545</v>
      </c>
      <c r="DY161" s="33" t="n">
        <f aca="false">-($E31*In_Delivered-In_Ref_Community)*DY112*(1-In_CIT)/Thousand</f>
        <v>-50.8902872743545</v>
      </c>
      <c r="DZ161" s="33" t="n">
        <f aca="false">-($E31*In_Delivered-In_Ref_Community)*DZ112*(1-In_CIT)/Thousand</f>
        <v>-51.4495212004463</v>
      </c>
      <c r="EA161" s="33" t="n">
        <f aca="false">-($E31*In_Delivered-In_Ref_Community)*EA112*(1-In_CIT)/Thousand</f>
        <v>-51.2951726368449</v>
      </c>
      <c r="EB161" s="33" t="n">
        <f aca="false">-($E31*In_Delivered-In_Ref_Community)*EB112*(1-In_CIT)/Thousand</f>
        <v>-50.1800601882179</v>
      </c>
      <c r="EC161" s="33" t="n">
        <f aca="false">-($E31*In_Delivered-In_Ref_Community)*EC112*(1-In_CIT)/Thousand</f>
        <v>-50.7376164125314</v>
      </c>
      <c r="ED161" s="33" t="n">
        <f aca="false">-($E31*In_Delivered-In_Ref_Community)*ED112*(1-In_CIT)/Thousand</f>
        <v>-51.2951726368449</v>
      </c>
      <c r="EE161" s="33" t="n">
        <f aca="false">-($E31*In_Delivered-In_Ref_Community)*EE112*(1-In_CIT)/Thousand</f>
        <v>-51.1412871189344</v>
      </c>
      <c r="EF161" s="33" t="n">
        <f aca="false">-($E31*In_Delivered-In_Ref_Community)*EF112*(1-In_CIT)/Thousand</f>
        <v>-50.0295200076532</v>
      </c>
      <c r="EG161" s="33" t="n">
        <f aca="false">-($E31*In_Delivered-In_Ref_Community)*EG112*(1-In_CIT)/Thousand</f>
        <v>-50.5854035632938</v>
      </c>
      <c r="EH161" s="33" t="n">
        <f aca="false">-($E31*In_Delivered-In_Ref_Community)*EH112*(1-In_CIT)/Thousand</f>
        <v>-51.1412871189344</v>
      </c>
      <c r="EI161" s="33" t="n">
        <f aca="false">-($E31*In_Delivered-In_Ref_Community)*EI112*(1-In_CIT)/Thousand</f>
        <v>-50.9878632575776</v>
      </c>
      <c r="EJ161" s="33" t="n">
        <f aca="false">-($E31*In_Delivered-In_Ref_Community)*EJ112*(1-In_CIT)/Thousand</f>
        <v>-49.8794314476303</v>
      </c>
      <c r="EK161" s="33" t="n">
        <f aca="false">-($E31*In_Delivered-In_Ref_Community)*EK112*(1-In_CIT)/Thousand</f>
        <v>-50.4336473526039</v>
      </c>
      <c r="EL161" s="33" t="n">
        <f aca="false">-($E31*In_Delivered-In_Ref_Community)*EL112*(1-In_CIT)/Thousand</f>
        <v>-50.9878632575776</v>
      </c>
      <c r="EM161" s="33" t="n">
        <f aca="false">-($E31*In_Delivered-In_Ref_Community)*EM112*(1-In_CIT)/Thousand</f>
        <v>-50.8348996678049</v>
      </c>
      <c r="EN161" s="33" t="n">
        <f aca="false">-($E31*In_Delivered-In_Ref_Community)*EN112*(1-In_CIT)/Thousand</f>
        <v>-50.2823464105461</v>
      </c>
      <c r="EO161" s="33" t="n">
        <f aca="false">-($E31*In_Delivered-In_Ref_Community)*EO112*(1-In_CIT)/Thousand</f>
        <v>-50.2823464105461</v>
      </c>
      <c r="EP161" s="33" t="n">
        <f aca="false">-($E31*In_Delivered-In_Ref_Community)*EP112*(1-In_CIT)/Thousand</f>
        <v>-50.8348996678049</v>
      </c>
      <c r="EQ161" s="33" t="n">
        <f aca="false">-($E31*In_Delivered-In_Ref_Community)*EQ112*(1-In_CIT)/Thousand</f>
        <v>-50.6823949688015</v>
      </c>
      <c r="ER161" s="33" t="n">
        <f aca="false">-($E31*In_Delivered-In_Ref_Community)*ER112*(1-In_CIT)/Thousand</f>
        <v>-49.5806037738275</v>
      </c>
      <c r="ES161" s="33" t="n">
        <f aca="false">-($E31*In_Delivered-In_Ref_Community)*ES112*(1-In_CIT)/Thousand</f>
        <v>-50.1314993713145</v>
      </c>
      <c r="ET161" s="33" t="n">
        <f aca="false">-($E31*In_Delivered-In_Ref_Community)*ET112*(1-In_CIT)/Thousand</f>
        <v>-50.6823949688015</v>
      </c>
    </row>
    <row r="162" customFormat="false" ht="15" hidden="false" customHeight="false" outlineLevel="0" collapsed="false">
      <c r="C162" s="0" t="s">
        <v>602</v>
      </c>
      <c r="D162" s="11" t="s">
        <v>253</v>
      </c>
      <c r="E162" s="33" t="n">
        <f aca="false">IF(In_CN_Turbine=1,In_COD_Price_CN,In_COD_Price)*$F24*(1-$E27)</f>
        <v>245000</v>
      </c>
      <c r="F162" s="33" t="n">
        <f aca="false">In_Pass_Through*($E161+SUMPRODUCT($J87:$ET87,$J21:$ET21))</f>
        <v>-3839.08122210466</v>
      </c>
    </row>
    <row r="163" customFormat="false" ht="15" hidden="false" customHeight="false" outlineLevel="0" collapsed="false">
      <c r="A163" s="55"/>
      <c r="B163" s="55"/>
      <c r="C163" s="55" t="s">
        <v>603</v>
      </c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  <c r="BI163" s="55"/>
      <c r="BJ163" s="55"/>
      <c r="BK163" s="55"/>
      <c r="BL163" s="55"/>
      <c r="BM163" s="55"/>
      <c r="BN163" s="55"/>
      <c r="BO163" s="55"/>
      <c r="BP163" s="55"/>
      <c r="BQ163" s="55"/>
      <c r="BR163" s="55"/>
      <c r="BS163" s="55"/>
      <c r="BT163" s="55"/>
      <c r="BU163" s="55"/>
      <c r="BV163" s="55"/>
      <c r="BW163" s="55"/>
      <c r="BX163" s="55"/>
      <c r="BY163" s="55"/>
      <c r="BZ163" s="55"/>
      <c r="CA163" s="55"/>
      <c r="CB163" s="55"/>
      <c r="CC163" s="55"/>
      <c r="CD163" s="55"/>
      <c r="CE163" s="55"/>
      <c r="CF163" s="55"/>
      <c r="CG163" s="55"/>
      <c r="CH163" s="55"/>
      <c r="CI163" s="55"/>
      <c r="CJ163" s="55"/>
      <c r="CK163" s="55"/>
      <c r="CL163" s="55"/>
      <c r="CM163" s="55"/>
      <c r="CN163" s="55"/>
      <c r="CO163" s="55"/>
      <c r="CP163" s="55"/>
      <c r="CQ163" s="55"/>
      <c r="CR163" s="55"/>
      <c r="CS163" s="55"/>
      <c r="CT163" s="55"/>
      <c r="CU163" s="55"/>
      <c r="CV163" s="55"/>
      <c r="CW163" s="55"/>
      <c r="CX163" s="55"/>
      <c r="CY163" s="55"/>
      <c r="CZ163" s="55"/>
      <c r="DA163" s="55"/>
      <c r="DB163" s="55"/>
      <c r="DC163" s="55"/>
      <c r="DD163" s="55"/>
      <c r="DE163" s="55"/>
      <c r="DF163" s="55"/>
      <c r="DG163" s="55"/>
      <c r="DH163" s="55"/>
      <c r="DI163" s="55"/>
      <c r="DJ163" s="55"/>
      <c r="DK163" s="55"/>
      <c r="DL163" s="55"/>
      <c r="DM163" s="55"/>
      <c r="DN163" s="55"/>
      <c r="DO163" s="55"/>
      <c r="DP163" s="55"/>
      <c r="DQ163" s="55"/>
      <c r="DR163" s="55"/>
      <c r="DS163" s="55"/>
      <c r="DT163" s="55"/>
      <c r="DU163" s="55"/>
      <c r="DV163" s="55"/>
      <c r="DW163" s="55"/>
      <c r="DX163" s="55"/>
      <c r="DY163" s="55"/>
      <c r="DZ163" s="55"/>
      <c r="EA163" s="55"/>
      <c r="EB163" s="55"/>
      <c r="EC163" s="55"/>
      <c r="ED163" s="55"/>
      <c r="EE163" s="55"/>
      <c r="EF163" s="55"/>
      <c r="EG163" s="55"/>
      <c r="EH163" s="55"/>
      <c r="EI163" s="55"/>
      <c r="EJ163" s="55"/>
      <c r="EK163" s="55"/>
      <c r="EL163" s="55"/>
      <c r="EM163" s="55"/>
      <c r="EN163" s="55"/>
      <c r="EO163" s="55"/>
      <c r="EP163" s="55"/>
      <c r="EQ163" s="55"/>
      <c r="ER163" s="55"/>
      <c r="ES163" s="55"/>
      <c r="ET163" s="55"/>
    </row>
    <row r="164" customFormat="false" ht="15" hidden="false" customHeight="false" outlineLevel="0" collapsed="false">
      <c r="C164" s="0" t="s">
        <v>604</v>
      </c>
      <c r="D164" s="11" t="s">
        <v>253</v>
      </c>
      <c r="E164" s="33" t="n">
        <f aca="false">$I99+$I100</f>
        <v>99336.0596347059</v>
      </c>
      <c r="F164" s="33" t="n">
        <f aca="false">MAX(0,$E162+$F162-$E164)</f>
        <v>141824.859143189</v>
      </c>
    </row>
    <row r="165" customFormat="false" ht="15" hidden="false" customHeight="false" outlineLevel="0" collapsed="false">
      <c r="C165" s="0" t="s">
        <v>581</v>
      </c>
      <c r="D165" s="11" t="s">
        <v>253</v>
      </c>
      <c r="E165" s="22" t="n">
        <f aca="false">In_Sale_Costs</f>
        <v>500</v>
      </c>
      <c r="F165" s="33" t="n">
        <f aca="false">MIN($E165,$F164)</f>
        <v>500</v>
      </c>
    </row>
    <row r="166" customFormat="false" ht="15" hidden="false" customHeight="false" outlineLevel="0" collapsed="false">
      <c r="C166" s="0" t="s">
        <v>605</v>
      </c>
      <c r="D166" s="11" t="s">
        <v>253</v>
      </c>
      <c r="E166" s="33" t="n">
        <f aca="false">-$I160+$I46+$I54+$I56+$I47+$F59</f>
        <v>68289.9577668034</v>
      </c>
      <c r="F166" s="33" t="n">
        <f aca="false">MIN($E166,$F164-SUM($F165:$F165))</f>
        <v>68289.9577668034</v>
      </c>
    </row>
    <row r="167" customFormat="false" ht="15" hidden="false" customHeight="false" outlineLevel="0" collapsed="false">
      <c r="C167" s="0" t="s">
        <v>606</v>
      </c>
      <c r="D167" s="11" t="s">
        <v>253</v>
      </c>
      <c r="E167" s="33" t="n">
        <f aca="false">$F68+$F73+$F79</f>
        <v>11746.2079961624</v>
      </c>
      <c r="F167" s="33" t="n">
        <f aca="false">MIN($E167,$F164-SUM($F165:$F166))</f>
        <v>11746.2079961624</v>
      </c>
    </row>
    <row r="168" customFormat="false" ht="15" hidden="false" customHeight="false" outlineLevel="0" collapsed="false">
      <c r="C168" s="0" t="s">
        <v>587</v>
      </c>
      <c r="D168" s="11" t="s">
        <v>253</v>
      </c>
      <c r="E168" s="33" t="n">
        <f aca="false">MIN(In_DSA_Cap,In_DSA_Rate*YEARFRAC(In_Signing_Date,In_COD,0))*$E24</f>
        <v>1510</v>
      </c>
      <c r="F168" s="33" t="n">
        <f aca="false">MIN($E168,$F164-SUM($F165:$F167))</f>
        <v>1510</v>
      </c>
    </row>
    <row r="169" customFormat="false" ht="15" hidden="false" customHeight="false" outlineLevel="0" collapsed="false">
      <c r="C169" s="30" t="s">
        <v>162</v>
      </c>
      <c r="D169" s="11" t="s">
        <v>253</v>
      </c>
      <c r="F169" s="35" t="n">
        <f aca="false">MAX(0,$F164-SUM($E165:$E168))</f>
        <v>59778.6933802236</v>
      </c>
    </row>
    <row r="170" customFormat="false" ht="15" hidden="false" customHeight="false" outlineLevel="0" collapsed="false">
      <c r="C170" s="30" t="s">
        <v>175</v>
      </c>
      <c r="D170" s="11" t="s">
        <v>253</v>
      </c>
      <c r="F170" s="35" t="n">
        <f aca="false">$F166+$F167+In_FEP_Share*$F169</f>
        <v>121881.251129122</v>
      </c>
    </row>
    <row r="171" customFormat="false" ht="15" hidden="false" customHeight="false" outlineLevel="0" collapsed="false">
      <c r="C171" s="30" t="s">
        <v>607</v>
      </c>
      <c r="D171" s="11" t="s">
        <v>253</v>
      </c>
      <c r="I171" s="35" t="n">
        <f aca="false">SUM(J171:ET171)</f>
        <v>48482.2776178466</v>
      </c>
      <c r="J171" s="35" t="n">
        <f aca="false">J160+$F170*J14</f>
        <v>-400</v>
      </c>
      <c r="K171" s="35" t="n">
        <f aca="false">K160+$F170*K14</f>
        <v>-1437.78053818728</v>
      </c>
      <c r="L171" s="35" t="n">
        <f aca="false">L160+$F170*L14</f>
        <v>-691.910911990993</v>
      </c>
      <c r="M171" s="35" t="n">
        <f aca="false">M160+$F170*M14</f>
        <v>-148.451634452993</v>
      </c>
      <c r="N171" s="35" t="n">
        <f aca="false">N160+$F170*N14</f>
        <v>-149.601261024582</v>
      </c>
      <c r="O171" s="35" t="n">
        <f aca="false">O160+$F170*O14</f>
        <v>-290.127288421843</v>
      </c>
      <c r="P171" s="35" t="n">
        <f aca="false">P160+$F170*P14</f>
        <v>-1394.65781281475</v>
      </c>
      <c r="Q171" s="35" t="n">
        <f aca="false">Q160+$F170*Q14</f>
        <v>-109.225607055733</v>
      </c>
      <c r="R171" s="35" t="n">
        <f aca="false">R160+$F170*R14</f>
        <v>-269.857154566657</v>
      </c>
      <c r="S171" s="35" t="n">
        <f aca="false">S160+$F170*S14</f>
        <v>-422.991783283459</v>
      </c>
      <c r="T171" s="35" t="n">
        <f aca="false">T160+$F170*T14</f>
        <v>-20587.5113339088</v>
      </c>
      <c r="U171" s="35" t="n">
        <f aca="false">U160+$F170*U14</f>
        <v>-104.616018014637</v>
      </c>
      <c r="V171" s="35" t="n">
        <f aca="false">V160+$F170*V14</f>
        <v>-105.765644586226</v>
      </c>
      <c r="W171" s="35" t="n">
        <f aca="false">W160+$F170*W14</f>
        <v>-6875.32473538409</v>
      </c>
      <c r="X171" s="35" t="n">
        <f aca="false">X160+$F170*X14</f>
        <v>-5073.5175863622</v>
      </c>
      <c r="Y171" s="35" t="n">
        <f aca="false">Y160+$F170*Y14</f>
        <v>-5103.58937070822</v>
      </c>
      <c r="Z171" s="35" t="n">
        <f aca="false">Z160+$F170*Z14</f>
        <v>-5132.78767858878</v>
      </c>
      <c r="AA171" s="35" t="n">
        <f aca="false">AA160+$F170*AA14</f>
        <v>-5105.60714622201</v>
      </c>
      <c r="AB171" s="35" t="n">
        <f aca="false">AB160+$F170*AB14</f>
        <v>-4969.92045560723</v>
      </c>
      <c r="AC171" s="35" t="n">
        <f aca="false">AC160+$F170*AC14</f>
        <v>-4998.84116072264</v>
      </c>
      <c r="AD171" s="35" t="n">
        <f aca="false">AD160+$F170*AD14</f>
        <v>111854.36273975</v>
      </c>
      <c r="AE171" s="35" t="n">
        <f aca="false">AE160+$F170*AE14</f>
        <v>0</v>
      </c>
      <c r="AF171" s="35" t="n">
        <f aca="false">AF160+$F170*AF14</f>
        <v>0</v>
      </c>
      <c r="AG171" s="35" t="n">
        <f aca="false">AG160+$F170*AG14</f>
        <v>0</v>
      </c>
      <c r="AH171" s="35" t="n">
        <f aca="false">AH160+$F170*AH14</f>
        <v>0</v>
      </c>
      <c r="AI171" s="35" t="n">
        <f aca="false">AI160+$F170*AI14</f>
        <v>0</v>
      </c>
      <c r="AJ171" s="35" t="n">
        <f aca="false">AJ160+$F170*AJ14</f>
        <v>0</v>
      </c>
      <c r="AK171" s="35" t="n">
        <f aca="false">AK160+$F170*AK14</f>
        <v>0</v>
      </c>
      <c r="AL171" s="35" t="n">
        <f aca="false">AL160+$F170*AL14</f>
        <v>0</v>
      </c>
      <c r="AM171" s="35" t="n">
        <f aca="false">AM160+$F170*AM14</f>
        <v>0</v>
      </c>
      <c r="AN171" s="35" t="n">
        <f aca="false">AN160+$F170*AN14</f>
        <v>0</v>
      </c>
      <c r="AO171" s="35" t="n">
        <f aca="false">AO160+$F170*AO14</f>
        <v>0</v>
      </c>
      <c r="AP171" s="35" t="n">
        <f aca="false">AP160+$F170*AP14</f>
        <v>0</v>
      </c>
      <c r="AQ171" s="35" t="n">
        <f aca="false">AQ160+$F170*AQ14</f>
        <v>0</v>
      </c>
      <c r="AR171" s="35" t="n">
        <f aca="false">AR160+$F170*AR14</f>
        <v>0</v>
      </c>
      <c r="AS171" s="35" t="n">
        <f aca="false">AS160+$F170*AS14</f>
        <v>0</v>
      </c>
      <c r="AT171" s="35" t="n">
        <f aca="false">AT160+$F170*AT14</f>
        <v>0</v>
      </c>
      <c r="AU171" s="35" t="n">
        <f aca="false">AU160+$F170*AU14</f>
        <v>0</v>
      </c>
      <c r="AV171" s="35" t="n">
        <f aca="false">AV160+$F170*AV14</f>
        <v>0</v>
      </c>
      <c r="AW171" s="35" t="n">
        <f aca="false">AW160+$F170*AW14</f>
        <v>0</v>
      </c>
      <c r="AX171" s="35" t="n">
        <f aca="false">AX160+$F170*AX14</f>
        <v>0</v>
      </c>
      <c r="AY171" s="35" t="n">
        <f aca="false">AY160+$F170*AY14</f>
        <v>0</v>
      </c>
      <c r="AZ171" s="35" t="n">
        <f aca="false">AZ160+$F170*AZ14</f>
        <v>0</v>
      </c>
      <c r="BA171" s="35" t="n">
        <f aca="false">BA160+$F170*BA14</f>
        <v>0</v>
      </c>
      <c r="BB171" s="35" t="n">
        <f aca="false">BB160+$F170*BB14</f>
        <v>0</v>
      </c>
      <c r="BC171" s="35" t="n">
        <f aca="false">BC160+$F170*BC14</f>
        <v>0</v>
      </c>
      <c r="BD171" s="35" t="n">
        <f aca="false">BD160+$F170*BD14</f>
        <v>0</v>
      </c>
      <c r="BE171" s="35" t="n">
        <f aca="false">BE160+$F170*BE14</f>
        <v>0</v>
      </c>
      <c r="BF171" s="35" t="n">
        <f aca="false">BF160+$F170*BF14</f>
        <v>0</v>
      </c>
      <c r="BG171" s="35" t="n">
        <f aca="false">BG160+$F170*BG14</f>
        <v>0</v>
      </c>
      <c r="BH171" s="35" t="n">
        <f aca="false">BH160+$F170*BH14</f>
        <v>0</v>
      </c>
      <c r="BI171" s="35" t="n">
        <f aca="false">BI160+$F170*BI14</f>
        <v>0</v>
      </c>
      <c r="BJ171" s="35" t="n">
        <f aca="false">BJ160+$F170*BJ14</f>
        <v>0</v>
      </c>
      <c r="BK171" s="35" t="n">
        <f aca="false">BK160+$F170*BK14</f>
        <v>0</v>
      </c>
      <c r="BL171" s="35" t="n">
        <f aca="false">BL160+$F170*BL14</f>
        <v>0</v>
      </c>
      <c r="BM171" s="35" t="n">
        <f aca="false">BM160+$F170*BM14</f>
        <v>0</v>
      </c>
      <c r="BN171" s="35" t="n">
        <f aca="false">BN160+$F170*BN14</f>
        <v>0</v>
      </c>
      <c r="BO171" s="35" t="n">
        <f aca="false">BO160+$F170*BO14</f>
        <v>0</v>
      </c>
      <c r="BP171" s="35" t="n">
        <f aca="false">BP160+$F170*BP14</f>
        <v>0</v>
      </c>
      <c r="BQ171" s="35" t="n">
        <f aca="false">BQ160+$F170*BQ14</f>
        <v>0</v>
      </c>
      <c r="BR171" s="35" t="n">
        <f aca="false">BR160+$F170*BR14</f>
        <v>0</v>
      </c>
      <c r="BS171" s="35" t="n">
        <f aca="false">BS160+$F170*BS14</f>
        <v>0</v>
      </c>
      <c r="BT171" s="35" t="n">
        <f aca="false">BT160+$F170*BT14</f>
        <v>0</v>
      </c>
      <c r="BU171" s="35" t="n">
        <f aca="false">BU160+$F170*BU14</f>
        <v>0</v>
      </c>
      <c r="BV171" s="35" t="n">
        <f aca="false">BV160+$F170*BV14</f>
        <v>0</v>
      </c>
      <c r="BW171" s="35" t="n">
        <f aca="false">BW160+$F170*BW14</f>
        <v>0</v>
      </c>
      <c r="BX171" s="35" t="n">
        <f aca="false">BX160+$F170*BX14</f>
        <v>0</v>
      </c>
      <c r="BY171" s="35" t="n">
        <f aca="false">BY160+$F170*BY14</f>
        <v>0</v>
      </c>
      <c r="BZ171" s="35" t="n">
        <f aca="false">BZ160+$F170*BZ14</f>
        <v>0</v>
      </c>
      <c r="CA171" s="35" t="n">
        <f aca="false">CA160+$F170*CA14</f>
        <v>0</v>
      </c>
      <c r="CB171" s="35" t="n">
        <f aca="false">CB160+$F170*CB14</f>
        <v>0</v>
      </c>
      <c r="CC171" s="35" t="n">
        <f aca="false">CC160+$F170*CC14</f>
        <v>0</v>
      </c>
      <c r="CD171" s="35" t="n">
        <f aca="false">CD160+$F170*CD14</f>
        <v>0</v>
      </c>
      <c r="CE171" s="35" t="n">
        <f aca="false">CE160+$F170*CE14</f>
        <v>0</v>
      </c>
      <c r="CF171" s="35" t="n">
        <f aca="false">CF160+$F170*CF14</f>
        <v>0</v>
      </c>
      <c r="CG171" s="35" t="n">
        <f aca="false">CG160+$F170*CG14</f>
        <v>0</v>
      </c>
      <c r="CH171" s="35" t="n">
        <f aca="false">CH160+$F170*CH14</f>
        <v>0</v>
      </c>
      <c r="CI171" s="35" t="n">
        <f aca="false">CI160+$F170*CI14</f>
        <v>0</v>
      </c>
      <c r="CJ171" s="35" t="n">
        <f aca="false">CJ160+$F170*CJ14</f>
        <v>0</v>
      </c>
      <c r="CK171" s="35" t="n">
        <f aca="false">CK160+$F170*CK14</f>
        <v>0</v>
      </c>
      <c r="CL171" s="35" t="n">
        <f aca="false">CL160+$F170*CL14</f>
        <v>0</v>
      </c>
      <c r="CM171" s="35" t="n">
        <f aca="false">CM160+$F170*CM14</f>
        <v>0</v>
      </c>
      <c r="CN171" s="35" t="n">
        <f aca="false">CN160+$F170*CN14</f>
        <v>0</v>
      </c>
      <c r="CO171" s="35" t="n">
        <f aca="false">CO160+$F170*CO14</f>
        <v>0</v>
      </c>
      <c r="CP171" s="35" t="n">
        <f aca="false">CP160+$F170*CP14</f>
        <v>0</v>
      </c>
      <c r="CQ171" s="35" t="n">
        <f aca="false">CQ160+$F170*CQ14</f>
        <v>0</v>
      </c>
      <c r="CR171" s="35" t="n">
        <f aca="false">CR160+$F170*CR14</f>
        <v>0</v>
      </c>
      <c r="CS171" s="35" t="n">
        <f aca="false">CS160+$F170*CS14</f>
        <v>0</v>
      </c>
      <c r="CT171" s="35" t="n">
        <f aca="false">CT160+$F170*CT14</f>
        <v>0</v>
      </c>
      <c r="CU171" s="35" t="n">
        <f aca="false">CU160+$F170*CU14</f>
        <v>0</v>
      </c>
      <c r="CV171" s="35" t="n">
        <f aca="false">CV160+$F170*CV14</f>
        <v>0</v>
      </c>
      <c r="CW171" s="35" t="n">
        <f aca="false">CW160+$F170*CW14</f>
        <v>0</v>
      </c>
      <c r="CX171" s="35" t="n">
        <f aca="false">CX160+$F170*CX14</f>
        <v>0</v>
      </c>
      <c r="CY171" s="35" t="n">
        <f aca="false">CY160+$F170*CY14</f>
        <v>0</v>
      </c>
      <c r="CZ171" s="35" t="n">
        <f aca="false">CZ160+$F170*CZ14</f>
        <v>0</v>
      </c>
      <c r="DA171" s="35" t="n">
        <f aca="false">DA160+$F170*DA14</f>
        <v>0</v>
      </c>
      <c r="DB171" s="35" t="n">
        <f aca="false">DB160+$F170*DB14</f>
        <v>0</v>
      </c>
      <c r="DC171" s="35" t="n">
        <f aca="false">DC160+$F170*DC14</f>
        <v>0</v>
      </c>
      <c r="DD171" s="35" t="n">
        <f aca="false">DD160+$F170*DD14</f>
        <v>0</v>
      </c>
      <c r="DE171" s="35" t="n">
        <f aca="false">DE160+$F170*DE14</f>
        <v>0</v>
      </c>
      <c r="DF171" s="35" t="n">
        <f aca="false">DF160+$F170*DF14</f>
        <v>0</v>
      </c>
      <c r="DG171" s="35" t="n">
        <f aca="false">DG160+$F170*DG14</f>
        <v>0</v>
      </c>
      <c r="DH171" s="35" t="n">
        <f aca="false">DH160+$F170*DH14</f>
        <v>0</v>
      </c>
      <c r="DI171" s="35" t="n">
        <f aca="false">DI160+$F170*DI14</f>
        <v>0</v>
      </c>
      <c r="DJ171" s="35" t="n">
        <f aca="false">DJ160+$F170*DJ14</f>
        <v>0</v>
      </c>
      <c r="DK171" s="35" t="n">
        <f aca="false">DK160+$F170*DK14</f>
        <v>0</v>
      </c>
      <c r="DL171" s="35" t="n">
        <f aca="false">DL160+$F170*DL14</f>
        <v>0</v>
      </c>
      <c r="DM171" s="35" t="n">
        <f aca="false">DM160+$F170*DM14</f>
        <v>0</v>
      </c>
      <c r="DN171" s="35" t="n">
        <f aca="false">DN160+$F170*DN14</f>
        <v>0</v>
      </c>
      <c r="DO171" s="35" t="n">
        <f aca="false">DO160+$F170*DO14</f>
        <v>0</v>
      </c>
      <c r="DP171" s="35" t="n">
        <f aca="false">DP160+$F170*DP14</f>
        <v>0</v>
      </c>
      <c r="DQ171" s="35" t="n">
        <f aca="false">DQ160+$F170*DQ14</f>
        <v>0</v>
      </c>
      <c r="DR171" s="35" t="n">
        <f aca="false">DR160+$F170*DR14</f>
        <v>0</v>
      </c>
      <c r="DS171" s="35" t="n">
        <f aca="false">DS160+$F170*DS14</f>
        <v>0</v>
      </c>
      <c r="DT171" s="35" t="n">
        <f aca="false">DT160+$F170*DT14</f>
        <v>0</v>
      </c>
      <c r="DU171" s="35" t="n">
        <f aca="false">DU160+$F170*DU14</f>
        <v>0</v>
      </c>
      <c r="DV171" s="35" t="n">
        <f aca="false">DV160+$F170*DV14</f>
        <v>0</v>
      </c>
      <c r="DW171" s="35" t="n">
        <f aca="false">DW160+$F170*DW14</f>
        <v>0</v>
      </c>
      <c r="DX171" s="35" t="n">
        <f aca="false">DX160+$F170*DX14</f>
        <v>0</v>
      </c>
      <c r="DY171" s="35" t="n">
        <f aca="false">DY160+$F170*DY14</f>
        <v>0</v>
      </c>
      <c r="DZ171" s="35" t="n">
        <f aca="false">DZ160+$F170*DZ14</f>
        <v>0</v>
      </c>
      <c r="EA171" s="35" t="n">
        <f aca="false">EA160+$F170*EA14</f>
        <v>0</v>
      </c>
      <c r="EB171" s="35" t="n">
        <f aca="false">EB160+$F170*EB14</f>
        <v>0</v>
      </c>
      <c r="EC171" s="35" t="n">
        <f aca="false">EC160+$F170*EC14</f>
        <v>0</v>
      </c>
      <c r="ED171" s="35" t="n">
        <f aca="false">ED160+$F170*ED14</f>
        <v>0</v>
      </c>
      <c r="EE171" s="35" t="n">
        <f aca="false">EE160+$F170*EE14</f>
        <v>0</v>
      </c>
      <c r="EF171" s="35" t="n">
        <f aca="false">EF160+$F170*EF14</f>
        <v>0</v>
      </c>
      <c r="EG171" s="35" t="n">
        <f aca="false">EG160+$F170*EG14</f>
        <v>0</v>
      </c>
      <c r="EH171" s="35" t="n">
        <f aca="false">EH160+$F170*EH14</f>
        <v>0</v>
      </c>
      <c r="EI171" s="35" t="n">
        <f aca="false">EI160+$F170*EI14</f>
        <v>0</v>
      </c>
      <c r="EJ171" s="35" t="n">
        <f aca="false">EJ160+$F170*EJ14</f>
        <v>0</v>
      </c>
      <c r="EK171" s="35" t="n">
        <f aca="false">EK160+$F170*EK14</f>
        <v>0</v>
      </c>
      <c r="EL171" s="35" t="n">
        <f aca="false">EL160+$F170*EL14</f>
        <v>0</v>
      </c>
      <c r="EM171" s="35" t="n">
        <f aca="false">EM160+$F170*EM14</f>
        <v>0</v>
      </c>
      <c r="EN171" s="35" t="n">
        <f aca="false">EN160+$F170*EN14</f>
        <v>0</v>
      </c>
      <c r="EO171" s="35" t="n">
        <f aca="false">EO160+$F170*EO14</f>
        <v>0</v>
      </c>
      <c r="EP171" s="35" t="n">
        <f aca="false">EP160+$F170*EP14</f>
        <v>0</v>
      </c>
      <c r="EQ171" s="35" t="n">
        <f aca="false">EQ160+$F170*EQ14</f>
        <v>0</v>
      </c>
      <c r="ER171" s="35" t="n">
        <f aca="false">ER160+$F170*ER14</f>
        <v>0</v>
      </c>
      <c r="ES171" s="35" t="n">
        <f aca="false">ES160+$F170*ES14</f>
        <v>0</v>
      </c>
      <c r="ET171" s="35" t="n">
        <f aca="false">ET160+$F170*ET14</f>
        <v>0</v>
      </c>
    </row>
    <row r="172" customFormat="false" ht="15" hidden="false" customHeight="false" outlineLevel="0" collapsed="false">
      <c r="C172" s="30" t="s">
        <v>77</v>
      </c>
      <c r="D172" s="11" t="s">
        <v>35</v>
      </c>
      <c r="E172" s="57" t="n">
        <f aca="false">XIRR($J171:$ET171,$J$4:$ET$4)</f>
        <v>0.339207407992561</v>
      </c>
    </row>
    <row r="173" customFormat="false" ht="15" hidden="false" customHeight="false" outlineLevel="0" collapsed="false">
      <c r="C173" s="30" t="s">
        <v>608</v>
      </c>
      <c r="D173" s="11" t="s">
        <v>13</v>
      </c>
      <c r="E173" s="58" t="n">
        <f aca="false">$F170/-$I160</f>
        <v>1.66053073086095</v>
      </c>
    </row>
    <row r="174" customFormat="false" ht="15" hidden="false" customHeight="false" outlineLevel="0" collapsed="false">
      <c r="C174" s="30" t="s">
        <v>79</v>
      </c>
      <c r="D174" s="11" t="s">
        <v>253</v>
      </c>
      <c r="E174" s="35" t="n">
        <f aca="false">XNPV(In_Discount_Rate,$J171:$ET171,$J$4:$ET$4)</f>
        <v>26530.583975982</v>
      </c>
    </row>
    <row r="175" customFormat="false" ht="15" hidden="false" customHeight="false" outlineLevel="0" collapsed="false">
      <c r="A175" s="55"/>
      <c r="B175" s="55"/>
      <c r="C175" s="55" t="s">
        <v>609</v>
      </c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  <c r="BI175" s="55"/>
      <c r="BJ175" s="55"/>
      <c r="BK175" s="55"/>
      <c r="BL175" s="55"/>
      <c r="BM175" s="55"/>
      <c r="BN175" s="55"/>
      <c r="BO175" s="55"/>
      <c r="BP175" s="55"/>
      <c r="BQ175" s="55"/>
      <c r="BR175" s="55"/>
      <c r="BS175" s="55"/>
      <c r="BT175" s="55"/>
      <c r="BU175" s="55"/>
      <c r="BV175" s="55"/>
      <c r="BW175" s="55"/>
      <c r="BX175" s="55"/>
      <c r="BY175" s="55"/>
      <c r="BZ175" s="55"/>
      <c r="CA175" s="55"/>
      <c r="CB175" s="55"/>
      <c r="CC175" s="55"/>
      <c r="CD175" s="55"/>
      <c r="CE175" s="55"/>
      <c r="CF175" s="55"/>
      <c r="CG175" s="55"/>
      <c r="CH175" s="55"/>
      <c r="CI175" s="55"/>
      <c r="CJ175" s="55"/>
      <c r="CK175" s="55"/>
      <c r="CL175" s="55"/>
      <c r="CM175" s="55"/>
      <c r="CN175" s="55"/>
      <c r="CO175" s="55"/>
      <c r="CP175" s="55"/>
      <c r="CQ175" s="55"/>
      <c r="CR175" s="55"/>
      <c r="CS175" s="55"/>
      <c r="CT175" s="55"/>
      <c r="CU175" s="55"/>
      <c r="CV175" s="55"/>
      <c r="CW175" s="55"/>
      <c r="CX175" s="55"/>
      <c r="CY175" s="55"/>
      <c r="CZ175" s="55"/>
      <c r="DA175" s="55"/>
      <c r="DB175" s="55"/>
      <c r="DC175" s="55"/>
      <c r="DD175" s="55"/>
      <c r="DE175" s="55"/>
      <c r="DF175" s="55"/>
      <c r="DG175" s="55"/>
      <c r="DH175" s="55"/>
      <c r="DI175" s="55"/>
      <c r="DJ175" s="55"/>
      <c r="DK175" s="55"/>
      <c r="DL175" s="55"/>
      <c r="DM175" s="55"/>
      <c r="DN175" s="55"/>
      <c r="DO175" s="55"/>
      <c r="DP175" s="55"/>
      <c r="DQ175" s="55"/>
      <c r="DR175" s="55"/>
      <c r="DS175" s="55"/>
      <c r="DT175" s="55"/>
      <c r="DU175" s="55"/>
      <c r="DV175" s="55"/>
      <c r="DW175" s="55"/>
      <c r="DX175" s="55"/>
      <c r="DY175" s="55"/>
      <c r="DZ175" s="55"/>
      <c r="EA175" s="55"/>
      <c r="EB175" s="55"/>
      <c r="EC175" s="55"/>
      <c r="ED175" s="55"/>
      <c r="EE175" s="55"/>
      <c r="EF175" s="55"/>
      <c r="EG175" s="55"/>
      <c r="EH175" s="55"/>
      <c r="EI175" s="55"/>
      <c r="EJ175" s="55"/>
      <c r="EK175" s="55"/>
      <c r="EL175" s="55"/>
      <c r="EM175" s="55"/>
      <c r="EN175" s="55"/>
      <c r="EO175" s="55"/>
      <c r="EP175" s="55"/>
      <c r="EQ175" s="55"/>
      <c r="ER175" s="55"/>
      <c r="ES175" s="55"/>
      <c r="ET175" s="55"/>
    </row>
    <row r="176" customFormat="false" ht="15" hidden="false" customHeight="false" outlineLevel="0" collapsed="false">
      <c r="C176" s="0" t="s">
        <v>610</v>
      </c>
      <c r="D176" s="11" t="s">
        <v>253</v>
      </c>
      <c r="E176" s="33" t="n">
        <f aca="false">$E93*$F24</f>
        <v>60000</v>
      </c>
      <c r="F176" s="33" t="n">
        <f aca="false">In_Installation*$F24</f>
        <v>8000</v>
      </c>
    </row>
    <row r="177" customFormat="false" ht="15" hidden="false" customHeight="false" outlineLevel="0" collapsed="false">
      <c r="C177" s="0" t="s">
        <v>611</v>
      </c>
      <c r="D177" s="11" t="s">
        <v>253</v>
      </c>
      <c r="E177" s="33" t="n">
        <f aca="false">In_Foundations*$F24</f>
        <v>9000</v>
      </c>
      <c r="F177" s="33" t="n">
        <f aca="false">In_BoP*$F24</f>
        <v>13000</v>
      </c>
    </row>
    <row r="178" customFormat="false" ht="15" hidden="false" customHeight="false" outlineLevel="0" collapsed="false">
      <c r="C178" s="0" t="s">
        <v>612</v>
      </c>
      <c r="D178" s="11" t="s">
        <v>253</v>
      </c>
      <c r="E178" s="33" t="n">
        <f aca="false">In_Owner*$F24</f>
        <v>4000</v>
      </c>
      <c r="F178" s="33" t="n">
        <f aca="false">In_Easements*$F24-SUMIF($J$4:$ET$4,"&lt;="&amp;In_COD,$J120:$ET120)</f>
        <v>2118.49126824379</v>
      </c>
    </row>
    <row r="179" customFormat="false" ht="15" hidden="false" customHeight="false" outlineLevel="0" collapsed="false">
      <c r="C179" s="0" t="s">
        <v>613</v>
      </c>
      <c r="D179" s="11" t="s">
        <v>253</v>
      </c>
      <c r="E179" s="33" t="n">
        <f aca="false">In_Capex_Contingency*(($E93+$F93)*$F24+$E94)</f>
        <v>5375</v>
      </c>
      <c r="F179" s="33" t="n">
        <f aca="false">$E94</f>
        <v>12000</v>
      </c>
    </row>
    <row r="180" customFormat="false" ht="15" hidden="false" customHeight="false" outlineLevel="0" collapsed="false">
      <c r="C180" s="0" t="s">
        <v>614</v>
      </c>
      <c r="D180" s="11" t="s">
        <v>253</v>
      </c>
      <c r="E180" s="33" t="n">
        <f aca="false">In_BESS_Capex*$F26</f>
        <v>20400</v>
      </c>
      <c r="F180" s="33" t="n">
        <f aca="false">-$I53</f>
        <v>20179.3874082192</v>
      </c>
    </row>
    <row r="181" customFormat="false" ht="15" hidden="false" customHeight="false" outlineLevel="0" collapsed="false">
      <c r="C181" s="0" t="s">
        <v>615</v>
      </c>
      <c r="D181" s="11" t="s">
        <v>253</v>
      </c>
      <c r="E181" s="33" t="n">
        <f aca="false">-$I96</f>
        <v>5000</v>
      </c>
      <c r="F181" s="33" t="n">
        <f aca="false">-($I57+$I46+$I47+$I50)</f>
        <v>4760.72040238188</v>
      </c>
    </row>
    <row r="182" customFormat="false" ht="15" hidden="false" customHeight="false" outlineLevel="0" collapsed="false">
      <c r="C182" s="0" t="s">
        <v>119</v>
      </c>
      <c r="D182" s="11" t="s">
        <v>253</v>
      </c>
      <c r="E182" s="33" t="n">
        <f aca="false">$I100-$I104-$I105-$F59</f>
        <v>8901.43406713672</v>
      </c>
    </row>
    <row r="183" customFormat="false" ht="15" hidden="false" customHeight="false" outlineLevel="0" collapsed="false">
      <c r="C183" s="30" t="s">
        <v>616</v>
      </c>
      <c r="D183" s="11" t="s">
        <v>253</v>
      </c>
      <c r="E183" s="35" t="n">
        <f aca="false">SUM($E176:$F182)</f>
        <v>172735.033145982</v>
      </c>
      <c r="F183" s="35" t="n">
        <f aca="false">$I99+$I100-$I160</f>
        <v>172735.033145982</v>
      </c>
    </row>
    <row r="184" customFormat="false" ht="15" hidden="false" customHeight="false" outlineLevel="0" collapsed="false">
      <c r="C184" s="0" t="s">
        <v>617</v>
      </c>
      <c r="D184" s="11" t="s">
        <v>253</v>
      </c>
      <c r="E184" s="33" t="n">
        <f aca="false">-($I95+$I99)-SUMIF($J$4:$ET$4,"&lt;="&amp;In_COD,$J120:$ET120)</f>
        <v>38820.8588233123</v>
      </c>
      <c r="F184" s="33" t="n">
        <f aca="false">-($I104+$I105)</f>
        <v>2626.3903023952</v>
      </c>
    </row>
    <row r="185" customFormat="false" ht="15" hidden="false" customHeight="false" outlineLevel="0" collapsed="false">
      <c r="A185" s="55"/>
      <c r="B185" s="55"/>
      <c r="C185" s="55" t="s">
        <v>618</v>
      </c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55"/>
      <c r="W185" s="55"/>
      <c r="X185" s="55"/>
      <c r="Y185" s="55"/>
      <c r="Z185" s="55"/>
      <c r="AA185" s="55"/>
      <c r="AB185" s="55"/>
      <c r="AC185" s="55"/>
      <c r="AD185" s="55"/>
      <c r="AE185" s="55"/>
      <c r="AF185" s="55"/>
      <c r="AG185" s="55"/>
      <c r="AH185" s="55"/>
      <c r="AI185" s="55"/>
      <c r="AJ185" s="55"/>
      <c r="AK185" s="55"/>
      <c r="AL185" s="55"/>
      <c r="AM185" s="55"/>
      <c r="AN185" s="55"/>
      <c r="AO185" s="55"/>
      <c r="AP185" s="55"/>
      <c r="AQ185" s="55"/>
      <c r="AR185" s="55"/>
      <c r="AS185" s="55"/>
      <c r="AT185" s="55"/>
      <c r="AU185" s="55"/>
      <c r="AV185" s="55"/>
      <c r="AW185" s="55"/>
      <c r="AX185" s="55"/>
      <c r="AY185" s="55"/>
      <c r="AZ185" s="55"/>
      <c r="BA185" s="55"/>
      <c r="BB185" s="55"/>
      <c r="BC185" s="55"/>
      <c r="BD185" s="55"/>
      <c r="BE185" s="55"/>
      <c r="BF185" s="55"/>
      <c r="BG185" s="55"/>
      <c r="BH185" s="55"/>
      <c r="BI185" s="55"/>
      <c r="BJ185" s="55"/>
      <c r="BK185" s="55"/>
      <c r="BL185" s="55"/>
      <c r="BM185" s="55"/>
      <c r="BN185" s="55"/>
      <c r="BO185" s="55"/>
      <c r="BP185" s="55"/>
      <c r="BQ185" s="55"/>
      <c r="BR185" s="55"/>
      <c r="BS185" s="55"/>
      <c r="BT185" s="55"/>
      <c r="BU185" s="55"/>
      <c r="BV185" s="55"/>
      <c r="BW185" s="55"/>
      <c r="BX185" s="55"/>
      <c r="BY185" s="55"/>
      <c r="BZ185" s="55"/>
      <c r="CA185" s="55"/>
      <c r="CB185" s="55"/>
      <c r="CC185" s="55"/>
      <c r="CD185" s="55"/>
      <c r="CE185" s="55"/>
      <c r="CF185" s="55"/>
      <c r="CG185" s="55"/>
      <c r="CH185" s="55"/>
      <c r="CI185" s="55"/>
      <c r="CJ185" s="55"/>
      <c r="CK185" s="55"/>
      <c r="CL185" s="55"/>
      <c r="CM185" s="55"/>
      <c r="CN185" s="55"/>
      <c r="CO185" s="55"/>
      <c r="CP185" s="55"/>
      <c r="CQ185" s="55"/>
      <c r="CR185" s="55"/>
      <c r="CS185" s="55"/>
      <c r="CT185" s="55"/>
      <c r="CU185" s="55"/>
      <c r="CV185" s="55"/>
      <c r="CW185" s="55"/>
      <c r="CX185" s="55"/>
      <c r="CY185" s="55"/>
      <c r="CZ185" s="55"/>
      <c r="DA185" s="55"/>
      <c r="DB185" s="55"/>
      <c r="DC185" s="55"/>
      <c r="DD185" s="55"/>
      <c r="DE185" s="55"/>
      <c r="DF185" s="55"/>
      <c r="DG185" s="55"/>
      <c r="DH185" s="55"/>
      <c r="DI185" s="55"/>
      <c r="DJ185" s="55"/>
      <c r="DK185" s="55"/>
      <c r="DL185" s="55"/>
      <c r="DM185" s="55"/>
      <c r="DN185" s="55"/>
      <c r="DO185" s="55"/>
      <c r="DP185" s="55"/>
      <c r="DQ185" s="55"/>
      <c r="DR185" s="55"/>
      <c r="DS185" s="55"/>
      <c r="DT185" s="55"/>
      <c r="DU185" s="55"/>
      <c r="DV185" s="55"/>
      <c r="DW185" s="55"/>
      <c r="DX185" s="55"/>
      <c r="DY185" s="55"/>
      <c r="DZ185" s="55"/>
      <c r="EA185" s="55"/>
      <c r="EB185" s="55"/>
      <c r="EC185" s="55"/>
      <c r="ED185" s="55"/>
      <c r="EE185" s="55"/>
      <c r="EF185" s="55"/>
      <c r="EG185" s="55"/>
      <c r="EH185" s="55"/>
      <c r="EI185" s="55"/>
      <c r="EJ185" s="55"/>
      <c r="EK185" s="55"/>
      <c r="EL185" s="55"/>
      <c r="EM185" s="55"/>
      <c r="EN185" s="55"/>
      <c r="EO185" s="55"/>
      <c r="EP185" s="55"/>
      <c r="EQ185" s="55"/>
      <c r="ER185" s="55"/>
      <c r="ES185" s="55"/>
      <c r="ET185" s="55"/>
    </row>
    <row r="186" customFormat="false" ht="15" hidden="false" customHeight="false" outlineLevel="0" collapsed="false">
      <c r="C186" s="0" t="s">
        <v>143</v>
      </c>
      <c r="D186" s="11" t="s">
        <v>253</v>
      </c>
      <c r="E186" s="33" t="n">
        <f aca="false">$E49-$I47-$I50</f>
        <v>8234.65753424658</v>
      </c>
    </row>
    <row r="187" customFormat="false" ht="15" hidden="false" customHeight="false" outlineLevel="0" collapsed="false">
      <c r="C187" s="30" t="s">
        <v>619</v>
      </c>
      <c r="D187" s="11" t="s">
        <v>253</v>
      </c>
      <c r="E187" s="35" t="n">
        <f aca="false">$E183+$E49</f>
        <v>179728.594789817</v>
      </c>
    </row>
    <row r="188" customFormat="false" ht="15" hidden="false" customHeight="false" outlineLevel="0" collapsed="false">
      <c r="C188" s="0" t="s">
        <v>620</v>
      </c>
      <c r="D188" s="11" t="s">
        <v>253</v>
      </c>
      <c r="E188" s="33" t="n">
        <f aca="false">-$I87</f>
        <v>1418.21917808219</v>
      </c>
      <c r="F188" s="33" t="n">
        <f aca="false">$F86</f>
        <v>6993.56164383562</v>
      </c>
    </row>
    <row r="190" customFormat="false" ht="15" hidden="false" customHeight="false" outlineLevel="0" collapsed="false">
      <c r="A190" s="9" t="s">
        <v>13</v>
      </c>
      <c r="B190" s="9"/>
      <c r="C190" s="9" t="s">
        <v>178</v>
      </c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  <c r="BP190" s="9"/>
      <c r="BQ190" s="9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9"/>
      <c r="CE190" s="9"/>
      <c r="CF190" s="9"/>
      <c r="CG190" s="9"/>
      <c r="CH190" s="9"/>
      <c r="CI190" s="9"/>
      <c r="CJ190" s="9"/>
      <c r="CK190" s="9"/>
      <c r="CL190" s="9"/>
      <c r="CM190" s="9"/>
      <c r="CN190" s="9"/>
      <c r="CO190" s="9"/>
      <c r="CP190" s="9"/>
      <c r="CQ190" s="9"/>
      <c r="CR190" s="9"/>
      <c r="CS190" s="9"/>
      <c r="CT190" s="9"/>
      <c r="CU190" s="9"/>
      <c r="CV190" s="9"/>
      <c r="CW190" s="9"/>
      <c r="CX190" s="9"/>
      <c r="CY190" s="9"/>
      <c r="CZ190" s="9"/>
      <c r="DA190" s="9"/>
      <c r="DB190" s="9"/>
      <c r="DC190" s="9"/>
      <c r="DD190" s="9"/>
      <c r="DE190" s="9"/>
      <c r="DF190" s="9"/>
      <c r="DG190" s="9"/>
      <c r="DH190" s="9"/>
      <c r="DI190" s="9"/>
      <c r="DJ190" s="9"/>
      <c r="DK190" s="9"/>
      <c r="DL190" s="9"/>
      <c r="DM190" s="9"/>
      <c r="DN190" s="9"/>
      <c r="DO190" s="9"/>
      <c r="DP190" s="9"/>
      <c r="DQ190" s="9"/>
      <c r="DR190" s="9"/>
      <c r="DS190" s="9"/>
      <c r="DT190" s="9"/>
      <c r="DU190" s="9"/>
      <c r="DV190" s="9"/>
      <c r="DW190" s="9"/>
      <c r="DX190" s="9"/>
      <c r="DY190" s="9"/>
      <c r="DZ190" s="9"/>
      <c r="EA190" s="9"/>
      <c r="EB190" s="9"/>
      <c r="EC190" s="9"/>
      <c r="ED190" s="9"/>
      <c r="EE190" s="9"/>
      <c r="EF190" s="9"/>
      <c r="EG190" s="9"/>
      <c r="EH190" s="9"/>
      <c r="EI190" s="9"/>
      <c r="EJ190" s="9"/>
      <c r="EK190" s="9"/>
      <c r="EL190" s="9"/>
      <c r="EM190" s="9"/>
      <c r="EN190" s="9"/>
      <c r="EO190" s="9"/>
      <c r="EP190" s="9"/>
      <c r="EQ190" s="9"/>
      <c r="ER190" s="9"/>
      <c r="ES190" s="9"/>
      <c r="ET190" s="9"/>
    </row>
    <row r="191" customFormat="false" ht="15" hidden="false" customHeight="false" outlineLevel="0" collapsed="false">
      <c r="C191" s="30" t="s">
        <v>621</v>
      </c>
      <c r="D191" s="11" t="s">
        <v>253</v>
      </c>
      <c r="I191" s="35" t="n">
        <f aca="false">SUM(J191:ET191)</f>
        <v>278469.644233254</v>
      </c>
      <c r="J191" s="35" t="n">
        <f aca="false">J60+J106+J99+J120+J103+J101+J129+J87-$F144*J12</f>
        <v>-400</v>
      </c>
      <c r="K191" s="35" t="n">
        <f aca="false">K60+K106+K99+K120+K103+K101+K129+K87-$F144*K12</f>
        <v>-1437.78053818728</v>
      </c>
      <c r="L191" s="35" t="n">
        <f aca="false">L60+L106+L99+L120+L103+L101+L129+L87-$F144*L12</f>
        <v>-691.910911990993</v>
      </c>
      <c r="M191" s="35" t="n">
        <f aca="false">M60+M106+M99+M120+M103+M101+M129+M87-$F144*M12</f>
        <v>-148.451634452993</v>
      </c>
      <c r="N191" s="35" t="n">
        <f aca="false">N60+N106+N99+N120+N103+N101+N129+N87-$F144*N12</f>
        <v>-149.601261024582</v>
      </c>
      <c r="O191" s="35" t="n">
        <f aca="false">O60+O106+O99+O120+O103+O101+O129+O87-$F144*O12</f>
        <v>-290.127288421843</v>
      </c>
      <c r="P191" s="35" t="n">
        <f aca="false">P60+P106+P99+P120+P103+P101+P129+P87-$F144*P12</f>
        <v>-1394.65781281475</v>
      </c>
      <c r="Q191" s="35" t="n">
        <f aca="false">Q60+Q106+Q99+Q120+Q103+Q101+Q129+Q87-$F144*Q12</f>
        <v>-109.225607055733</v>
      </c>
      <c r="R191" s="35" t="n">
        <f aca="false">R60+R106+R99+R120+R103+R101+R129+R87-$F144*R12</f>
        <v>-269.857154566657</v>
      </c>
      <c r="S191" s="35" t="n">
        <f aca="false">S60+S106+S99+S120+S103+S101+S129+S87-$F144*S12</f>
        <v>-422.991783283459</v>
      </c>
      <c r="T191" s="35" t="n">
        <f aca="false">T60+T106+T99+T120+T103+T101+T129+T87-$F144*T12</f>
        <v>-20587.5113339088</v>
      </c>
      <c r="U191" s="35" t="n">
        <f aca="false">U60+U106+U99+U120+U103+U101+U129+U87-$F144*U12</f>
        <v>-104.616018014637</v>
      </c>
      <c r="V191" s="35" t="n">
        <f aca="false">V60+V106+V99+V120+V103+V101+V129+V87-$F144*V12</f>
        <v>-105.765644586226</v>
      </c>
      <c r="W191" s="35" t="n">
        <f aca="false">W60+W106+W99+W120+W103+W101+W129+W87-$F144*W12</f>
        <v>-10324.3941457621</v>
      </c>
      <c r="X191" s="35" t="n">
        <f aca="false">X60+X106+X99+X120+X103+X101+X129+X87-$F144*X12</f>
        <v>-5073.5175863622</v>
      </c>
      <c r="Y191" s="35" t="n">
        <f aca="false">Y60+Y106+Y99+Y120+Y103+Y101+Y129+Y87-$F144*Y12</f>
        <v>-5103.58937070822</v>
      </c>
      <c r="Z191" s="35" t="n">
        <f aca="false">Z60+Z106+Z99+Z120+Z103+Z101+Z129+Z87-$F144*Z12</f>
        <v>-5132.78767858878</v>
      </c>
      <c r="AA191" s="35" t="n">
        <f aca="false">AA60+AA106+AA99+AA120+AA103+AA101+AA129+AA87-$F144*AA12</f>
        <v>-5105.60714622201</v>
      </c>
      <c r="AB191" s="35" t="n">
        <f aca="false">AB60+AB106+AB99+AB120+AB103+AB101+AB129+AB87-$F144*AB12</f>
        <v>-4969.92045560723</v>
      </c>
      <c r="AC191" s="35" t="n">
        <f aca="false">AC60+AC106+AC99+AC120+AC103+AC101+AC129+AC87-$F144*AC12</f>
        <v>-4998.84116072264</v>
      </c>
      <c r="AD191" s="35" t="n">
        <f aca="false">AD60+AD106+AD99+AD120+AD103+AD101+AD129+AD87-$F144*AD12</f>
        <v>-10026.8883893726</v>
      </c>
      <c r="AE191" s="35" t="n">
        <f aca="false">AE60+AE106+AE99+AE120+AE103+AE101+AE129+AE87-$F144*AE12</f>
        <v>874.393407109325</v>
      </c>
      <c r="AF191" s="35" t="n">
        <f aca="false">AF60+AF106+AF99+AF120+AF103+AF101+AF129+AF87-$F144*AF12</f>
        <v>-560.072909893331</v>
      </c>
      <c r="AG191" s="35" t="n">
        <f aca="false">AG60+AG106+AG99+AG120+AG103+AG101+AG129+AG87-$F144*AG12</f>
        <v>858.146268188861</v>
      </c>
      <c r="AH191" s="35" t="n">
        <f aca="false">AH60+AH106+AH99+AH120+AH103+AH101+AH129+AH87-$F144*AH12</f>
        <v>902.422023615627</v>
      </c>
      <c r="AI191" s="35" t="n">
        <f aca="false">AI60+AI106+AI99+AI120+AI103+AI101+AI129+AI87-$F144*AI12</f>
        <v>887.727990101891</v>
      </c>
      <c r="AJ191" s="35" t="n">
        <f aca="false">AJ60+AJ106+AJ99+AJ120+AJ103+AJ101+AJ129+AJ87-$F144*AJ12</f>
        <v>826.680388268668</v>
      </c>
      <c r="AK191" s="35" t="n">
        <f aca="false">AK60+AK106+AK99+AK120+AK103+AK101+AK129+AK87-$F144*AK12</f>
        <v>964.097236992855</v>
      </c>
      <c r="AL191" s="35" t="n">
        <f aca="false">AL60+AL106+AL99+AL120+AL103+AL101+AL129+AL87-$F144*AL12</f>
        <v>925.793262766851</v>
      </c>
      <c r="AM191" s="35" t="n">
        <f aca="false">AM60+AM106+AM99+AM120+AM103+AM101+AM129+AM87-$F144*AM12</f>
        <v>909.969296222041</v>
      </c>
      <c r="AN191" s="35" t="n">
        <f aca="false">AN60+AN106+AN99+AN120+AN103+AN101+AN129+AN87-$F144*AN12</f>
        <v>845.404881547606</v>
      </c>
      <c r="AO191" s="35" t="n">
        <f aca="false">AO60+AO106+AO99+AO120+AO103+AO101+AO129+AO87-$F144*AO12</f>
        <v>886.590388683276</v>
      </c>
      <c r="AP191" s="35" t="n">
        <f aca="false">AP60+AP106+AP99+AP120+AP103+AP101+AP129+AP87-$F144*AP12</f>
        <v>927.745556516224</v>
      </c>
      <c r="AQ191" s="35" t="n">
        <f aca="false">AQ60+AQ106+AQ99+AQ120+AQ103+AQ101+AQ129+AQ87-$F144*AQ12</f>
        <v>911.715877644968</v>
      </c>
      <c r="AR191" s="35" t="n">
        <f aca="false">AR60+AR106+AR99+AR120+AR103+AR101+AR129+AR87-$F144*AR12</f>
        <v>846.543277615423</v>
      </c>
      <c r="AS191" s="35" t="n">
        <f aca="false">AS60+AS106+AS99+AS120+AS103+AS101+AS129+AS87-$F144*AS12</f>
        <v>887.727694520745</v>
      </c>
      <c r="AT191" s="35" t="n">
        <f aca="false">AT60+AT106+AT99+AT120+AT103+AT101+AT129+AT87-$F144*AT12</f>
        <v>928.88022647735</v>
      </c>
      <c r="AU191" s="35" t="n">
        <f aca="false">AU60+AU106+AU99+AU120+AU103+AU101+AU129+AU87-$F144*AU12</f>
        <v>912.638411235669</v>
      </c>
      <c r="AV191" s="35" t="n">
        <f aca="false">AV60+AV106+AV99+AV120+AV103+AV101+AV129+AV87-$F144*AV12</f>
        <v>890.70113207518</v>
      </c>
      <c r="AW191" s="35" t="n">
        <f aca="false">AW60+AW106+AW99+AW120+AW103+AW101+AW129+AW87-$F144*AW12</f>
        <v>888.020385021271</v>
      </c>
      <c r="AX191" s="35" t="n">
        <f aca="false">AX60+AX106+AX99+AX120+AX103+AX101+AX129+AX87-$F144*AX12</f>
        <v>929.16022862069</v>
      </c>
      <c r="AY191" s="35" t="n">
        <f aca="false">AY60+AY106+AY99+AY120+AY103+AY101+AY129+AY87-$F144*AY12</f>
        <v>912.699544478946</v>
      </c>
      <c r="AZ191" s="35" t="n">
        <f aca="false">AZ60+AZ106+AZ99+AZ120+AZ103+AZ101+AZ129+AZ87-$F144*AZ12</f>
        <v>846.278418220016</v>
      </c>
      <c r="BA191" s="35" t="n">
        <f aca="false">BA60+BA106+BA99+BA120+BA103+BA101+BA129+BA87-$F144*BA12</f>
        <v>887.43027860781</v>
      </c>
      <c r="BB191" s="35" t="n">
        <f aca="false">BB60+BB106+BB99+BB120+BB103+BB101+BB129+BB87-$F144*BB12</f>
        <v>928.546922512905</v>
      </c>
      <c r="BC191" s="35" t="n">
        <f aca="false">BC60+BC106+BC99+BC120+BC103+BC101+BC129+BC87-$F144*BC12</f>
        <v>911.86031268293</v>
      </c>
      <c r="BD191" s="35" t="n">
        <f aca="false">BD60+BD106+BD99+BD120+BD103+BD101+BD129+BD87-$F144*BD12</f>
        <v>844.798079926203</v>
      </c>
      <c r="BE191" s="35" t="n">
        <f aca="false">BE60+BE106+BE99+BE120+BE103+BE101+BE129+BE87-$F144*BE12</f>
        <v>885.917544416721</v>
      </c>
      <c r="BF191" s="35" t="n">
        <f aca="false">BF60+BF106+BF99+BF120+BF103+BF101+BF129+BF87-$F144*BF12</f>
        <v>926.999998308965</v>
      </c>
      <c r="BG191" s="35" t="n">
        <f aca="false">BG60+BG106+BG99+BG120+BG103+BG101+BG129+BG87-$F144*BG12</f>
        <v>910.080065163074</v>
      </c>
      <c r="BH191" s="35" t="n">
        <f aca="false">BH60+BH106+BH99+BH120+BH103+BH101+BH129+BH87-$F144*BH12</f>
        <v>842.36495707647</v>
      </c>
      <c r="BI191" s="35" t="n">
        <f aca="false">BI60+BI106+BI99+BI120+BI103+BI101+BI129+BI87-$F144*BI12</f>
        <v>883.440626714007</v>
      </c>
      <c r="BJ191" s="35" t="n">
        <f aca="false">BJ60+BJ106+BJ99+BJ120+BJ103+BJ101+BJ129+BJ87-$F144*BJ12</f>
        <v>924.477400235871</v>
      </c>
      <c r="BK191" s="35" t="n">
        <f aca="false">BK60+BK106+BK99+BK120+BK103+BK101+BK129+BK87-$F144*BK12</f>
        <v>907.316387876432</v>
      </c>
      <c r="BL191" s="35" t="n">
        <f aca="false">BL60+BL106+BL99+BL120+BL103+BL101+BL129+BL87-$F144*BL12</f>
        <v>883.226380985904</v>
      </c>
      <c r="BM191" s="35" t="n">
        <f aca="false">BM60+BM106+BM99+BM120+BM103+BM101+BM129+BM87-$F144*BM12</f>
        <v>879.956165674805</v>
      </c>
      <c r="BN191" s="35" t="n">
        <f aca="false">BN60+BN106+BN99+BN120+BN103+BN101+BN129+BN87-$F144*BN12</f>
        <v>920.935246394432</v>
      </c>
      <c r="BO191" s="35" t="n">
        <f aca="false">BO60+BO106+BO99+BO120+BO103+BO101+BO129+BO87-$F144*BO12</f>
        <v>903.525022330628</v>
      </c>
      <c r="BP191" s="35" t="n">
        <f aca="false">BP60+BP106+BP99+BP120+BP103+BP101+BP129+BP87-$F144*BP12</f>
        <v>834.467123776132</v>
      </c>
      <c r="BQ191" s="35" t="n">
        <f aca="false">BQ60+BQ106+BQ99+BQ120+BQ103+BQ101+BQ129+BQ87-$F144*BQ12</f>
        <v>875.418914346086</v>
      </c>
      <c r="BR191" s="35" t="n">
        <f aca="false">BR60+BR106+BR99+BR120+BR103+BR101+BR129+BR87-$F144*BR12</f>
        <v>916.32774469689</v>
      </c>
      <c r="BS191" s="35" t="n">
        <f aca="false">BS60+BS106+BS99+BS120+BS103+BS101+BS129+BS87-$F144*BS12</f>
        <v>4069.60725622995</v>
      </c>
      <c r="BT191" s="35" t="n">
        <f aca="false">BT60+BT106+BT99+BT120+BT103+BT101+BT129+BT87-$F144*BT12</f>
        <v>4003.42584117317</v>
      </c>
      <c r="BU191" s="35" t="n">
        <f aca="false">BU60+BU106+BU99+BU120+BU103+BU101+BU129+BU87-$F144*BU12</f>
        <v>4047.90835051954</v>
      </c>
      <c r="BV191" s="35" t="n">
        <f aca="false">BV60+BV106+BV99+BV120+BV103+BV101+BV129+BV87-$F144*BV12</f>
        <v>4092.39085986591</v>
      </c>
      <c r="BW191" s="35" t="n">
        <f aca="false">BW60+BW106+BW99+BW120+BW103+BW101+BW129+BW87-$F144*BW12</f>
        <v>4078.15898065686</v>
      </c>
      <c r="BX191" s="35" t="n">
        <f aca="false">BX60+BX106+BX99+BX120+BX103+BX101+BX129+BX87-$F144*BX12</f>
        <v>4011.45486590955</v>
      </c>
      <c r="BY191" s="35" t="n">
        <f aca="false">BY60+BY106+BY99+BY120+BY103+BY101+BY129+BY87-$F144*BY12</f>
        <v>4056.02658664188</v>
      </c>
      <c r="BZ191" s="35" t="n">
        <f aca="false">BZ60+BZ106+BZ99+BZ120+BZ103+BZ101+BZ129+BZ87-$F144*BZ12</f>
        <v>4100.59830737421</v>
      </c>
      <c r="CA191" s="35" t="n">
        <f aca="false">CA60+CA106+CA99+CA120+CA103+CA101+CA129+CA87-$F144*CA12</f>
        <v>4086.27900066486</v>
      </c>
      <c r="CB191" s="35" t="n">
        <f aca="false">CB60+CB106+CB99+CB120+CB103+CB101+CB129+CB87-$F144*CB12</f>
        <v>4063.70340708089</v>
      </c>
      <c r="CC191" s="35" t="n">
        <f aca="false">CC60+CC106+CC99+CC120+CC103+CC101+CC129+CC87-$F144*CC12</f>
        <v>4063.70340708089</v>
      </c>
      <c r="CD191" s="35" t="n">
        <f aca="false">CD60+CD106+CD99+CD120+CD103+CD101+CD129+CD87-$F144*CD12</f>
        <v>4108.35948847738</v>
      </c>
      <c r="CE191" s="35" t="n">
        <f aca="false">CE60+CE106+CE99+CE120+CE103+CE101+CE129+CE87-$F144*CE12</f>
        <v>4093.95252293801</v>
      </c>
      <c r="CF191" s="35" t="n">
        <f aca="false">CF60+CF106+CF99+CF120+CF103+CF101+CF129+CF87-$F144*CF12</f>
        <v>4026.18836092788</v>
      </c>
      <c r="CG191" s="35" t="n">
        <f aca="false">CG60+CG106+CG99+CG120+CG103+CG101+CG129+CG87-$F144*CG12</f>
        <v>4070.92378716041</v>
      </c>
      <c r="CH191" s="35" t="n">
        <f aca="false">CH60+CH106+CH99+CH120+CH103+CH101+CH129+CH87-$F144*CH12</f>
        <v>4115.65921339294</v>
      </c>
      <c r="CI191" s="35" t="n">
        <f aca="false">CI60+CI106+CI99+CI120+CI103+CI101+CI129+CI87-$F144*CI12</f>
        <v>4101.16436400994</v>
      </c>
      <c r="CJ191" s="35" t="n">
        <f aca="false">CJ60+CJ106+CJ99+CJ120+CJ103+CJ101+CJ129+CJ87-$F144*CJ12</f>
        <v>4032.86272067897</v>
      </c>
      <c r="CK191" s="35" t="n">
        <f aca="false">CK60+CK106+CK99+CK120+CK103+CK101+CK129+CK87-$F144*CK12</f>
        <v>4077.6723064643</v>
      </c>
      <c r="CL191" s="35" t="n">
        <f aca="false">CL60+CL106+CL99+CL120+CL103+CL101+CL129+CL87-$F144*CL12</f>
        <v>4122.48189224962</v>
      </c>
      <c r="CM191" s="35" t="n">
        <f aca="false">CM60+CM106+CM99+CM120+CM103+CM101+CM129+CM87-$F144*CM12</f>
        <v>4107.89894054444</v>
      </c>
      <c r="CN191" s="35" t="n">
        <f aca="false">CN60+CN106+CN99+CN120+CN103+CN101+CN129+CN87-$F144*CN12</f>
        <v>4039.05475283845</v>
      </c>
      <c r="CO191" s="35" t="n">
        <f aca="false">CO60+CO106+CO99+CO120+CO103+CO101+CO129+CO87-$F144*CO12</f>
        <v>4083.9331389811</v>
      </c>
      <c r="CP191" s="35" t="n">
        <f aca="false">CP60+CP106+CP99+CP120+CP103+CP101+CP129+CP87-$F144*CP12</f>
        <v>4128.81152512375</v>
      </c>
      <c r="CQ191" s="35" t="n">
        <f aca="false">CQ60+CQ106+CQ99+CQ120+CQ103+CQ101+CQ129+CQ87-$F144*CQ12</f>
        <v>4114.14025937721</v>
      </c>
      <c r="CR191" s="35" t="n">
        <f aca="false">CR60+CR106+CR99+CR120+CR103+CR101+CR129+CR87-$F144*CR12</f>
        <v>4089.69004300646</v>
      </c>
      <c r="CS191" s="35" t="n">
        <f aca="false">CS60+CS106+CS99+CS120+CS103+CS101+CS129+CS87-$F144*CS12</f>
        <v>4089.69004300646</v>
      </c>
      <c r="CT191" s="35" t="n">
        <f aca="false">CT60+CT106+CT99+CT120+CT103+CT101+CT129+CT87-$F144*CT12</f>
        <v>4134.63169183071</v>
      </c>
      <c r="CU191" s="35" t="n">
        <f aca="false">CU60+CU106+CU99+CU120+CU103+CU101+CU129+CU87-$F144*CU12</f>
        <v>4119.87190731273</v>
      </c>
      <c r="CV191" s="35" t="n">
        <f aca="false">CV60+CV106+CV99+CV120+CV103+CV101+CV129+CV87-$F144*CV12</f>
        <v>4049.92716012924</v>
      </c>
      <c r="CW191" s="35" t="n">
        <f aca="false">CW60+CW106+CW99+CW120+CW103+CW101+CW129+CW87-$F144*CW12</f>
        <v>4094.92635079735</v>
      </c>
      <c r="CX191" s="35" t="n">
        <f aca="false">CX60+CX106+CX99+CX120+CX103+CX101+CX129+CX87-$F144*CX12</f>
        <v>4139.92554146545</v>
      </c>
      <c r="CY191" s="35" t="n">
        <f aca="false">CY60+CY106+CY99+CY120+CY103+CY101+CY129+CY87-$F144*CY12</f>
        <v>4125.07704067048</v>
      </c>
      <c r="CZ191" s="35" t="n">
        <f aca="false">CZ60+CZ106+CZ99+CZ120+CZ103+CZ101+CZ129+CZ87-$F144*CZ12</f>
        <v>4054.57413425806</v>
      </c>
      <c r="DA191" s="35" t="n">
        <f aca="false">DA60+DA106+DA99+DA120+DA103+DA101+DA129+DA87-$F144*DA12</f>
        <v>4099.62495797204</v>
      </c>
      <c r="DB191" s="35" t="n">
        <f aca="false">DB60+DB106+DB99+DB120+DB103+DB101+DB129+DB87-$F144*DB12</f>
        <v>4144.67578168601</v>
      </c>
      <c r="DC191" s="35" t="n">
        <f aca="false">DC60+DC106+DC99+DC120+DC103+DC101+DC129+DC87-$F144*DC12</f>
        <v>4129.73837457408</v>
      </c>
      <c r="DD191" s="35" t="n">
        <f aca="false">DD60+DD106+DD99+DD120+DD103+DD101+DD129+DD87-$F144*DD12</f>
        <v>4058.67195756549</v>
      </c>
      <c r="DE191" s="35" t="n">
        <f aca="false">DE60+DE106+DE99+DE120+DE103+DE101+DE129+DE87-$F144*DE12</f>
        <v>4103.76831264955</v>
      </c>
      <c r="DF191" s="35" t="n">
        <f aca="false">DF60+DF106+DF99+DF120+DF103+DF101+DF129+DF87-$F144*DF12</f>
        <v>4148.86466773361</v>
      </c>
      <c r="DG191" s="35" t="n">
        <f aca="false">DG60+DG106+DG99+DG120+DG103+DG101+DG129+DG87-$F144*DG12</f>
        <v>3948.00494486583</v>
      </c>
      <c r="DH191" s="35" t="n">
        <f aca="false">DH60+DH106+DH99+DH120+DH103+DH101+DH129+DH87-$F144*DH12</f>
        <v>3923.5251035924</v>
      </c>
      <c r="DI191" s="35" t="n">
        <f aca="false">DI60+DI106+DI99+DI120+DI103+DI101+DI129+DI87-$F144*DI12</f>
        <v>3923.5251035924</v>
      </c>
      <c r="DJ191" s="35" t="n">
        <f aca="false">DJ60+DJ106+DJ99+DJ120+DJ103+DJ101+DJ129+DJ87-$F144*DJ12</f>
        <v>3966.64076407144</v>
      </c>
      <c r="DK191" s="35" t="n">
        <f aca="false">DK60+DK106+DK99+DK120+DK103+DK101+DK129+DK87-$F144*DK12</f>
        <v>3951.52500530895</v>
      </c>
      <c r="DL191" s="35" t="n">
        <f aca="false">DL60+DL106+DL99+DL120+DL103+DL101+DL129+DL87-$F144*DL12</f>
        <v>3883.35506214572</v>
      </c>
      <c r="DM191" s="35" t="n">
        <f aca="false">DM60+DM106+DM99+DM120+DM103+DM101+DM129+DM87-$F144*DM12</f>
        <v>3926.50345172512</v>
      </c>
      <c r="DN191" s="35" t="n">
        <f aca="false">DN60+DN106+DN99+DN120+DN103+DN101+DN129+DN87-$F144*DN12</f>
        <v>3969.65184130451</v>
      </c>
      <c r="DO191" s="35" t="n">
        <f aca="false">DO60+DO106+DO99+DO120+DO103+DO101+DO129+DO87-$F144*DO12</f>
        <v>3954.44665339857</v>
      </c>
      <c r="DP191" s="35" t="n">
        <f aca="false">DP60+DP106+DP99+DP120+DP103+DP101+DP129+DP87-$F144*DP12</f>
        <v>3885.69668644693</v>
      </c>
      <c r="DQ191" s="35" t="n">
        <f aca="false">DQ60+DQ106+DQ99+DQ120+DQ103+DQ101+DQ129+DQ87-$F144*DQ12</f>
        <v>3928.87109407412</v>
      </c>
      <c r="DR191" s="35" t="n">
        <f aca="false">DR60+DR106+DR99+DR120+DR103+DR101+DR129+DR87-$F144*DR12</f>
        <v>3972.04550170131</v>
      </c>
      <c r="DS191" s="35" t="n">
        <f aca="false">DS60+DS106+DS99+DS120+DS103+DS101+DS129+DS87-$F144*DS12</f>
        <v>3956.75072700462</v>
      </c>
      <c r="DT191" s="35" t="n">
        <f aca="false">DT60+DT106+DT99+DT120+DT103+DT101+DT129+DT87-$F144*DT12</f>
        <v>3887.415073898</v>
      </c>
      <c r="DU191" s="35" t="n">
        <f aca="false">DU60+DU106+DU99+DU120+DU103+DU101+DU129+DU87-$F144*DU12</f>
        <v>3930.60857471908</v>
      </c>
      <c r="DV191" s="35" t="n">
        <f aca="false">DV60+DV106+DV99+DV120+DV103+DV101+DV129+DV87-$F144*DV12</f>
        <v>3973.80207554017</v>
      </c>
      <c r="DW191" s="35" t="n">
        <f aca="false">DW60+DW106+DW99+DW120+DW103+DW101+DW129+DW87-$F144*DW12</f>
        <v>3958.41756516718</v>
      </c>
      <c r="DX191" s="35" t="n">
        <f aca="false">DX60+DX106+DX99+DX120+DX103+DX101+DX129+DX87-$F144*DX12</f>
        <v>3931.695931801</v>
      </c>
      <c r="DY191" s="35" t="n">
        <f aca="false">DY60+DY106+DY99+DY120+DY103+DY101+DY129+DY87-$F144*DY12</f>
        <v>3931.695931801</v>
      </c>
      <c r="DZ191" s="35" t="n">
        <f aca="false">DZ60+DZ106+DZ99+DZ120+DZ103+DZ101+DZ129+DZ87-$F144*DZ12</f>
        <v>3974.90138160101</v>
      </c>
      <c r="EA191" s="35" t="n">
        <f aca="false">EA60+EA106+EA99+EA120+EA103+EA101+EA129+EA87-$F144*EA12</f>
        <v>3959.42699570617</v>
      </c>
      <c r="EB191" s="35" t="n">
        <f aca="false">EB60+EB106+EB99+EB120+EB103+EB101+EB129+EB87-$F144*EB12</f>
        <v>3888.90265545373</v>
      </c>
      <c r="EC191" s="35" t="n">
        <f aca="false">EC60+EC106+EC99+EC120+EC103+EC101+EC129+EC87-$F144*EC12</f>
        <v>3932.11268495877</v>
      </c>
      <c r="ED191" s="35" t="n">
        <f aca="false">ED60+ED106+ED99+ED120+ED103+ED101+ED129+ED87-$F144*ED12</f>
        <v>3975.32271446381</v>
      </c>
      <c r="EE191" s="35" t="n">
        <f aca="false">EE60+EE106+EE99+EE120+EE103+EE101+EE129+EE87-$F144*EE12</f>
        <v>3959.75832252664</v>
      </c>
      <c r="EF191" s="35" t="n">
        <f aca="false">EF60+EF106+EF99+EF120+EF103+EF101+EF129+EF87-$F144*EF12</f>
        <v>3888.63081341921</v>
      </c>
      <c r="EG191" s="35" t="n">
        <f aca="false">EG60+EG106+EG99+EG120+EG103+EG101+EG129+EG87-$F144*EG12</f>
        <v>3931.8378224572</v>
      </c>
      <c r="EH191" s="35" t="n">
        <f aca="false">EH60+EH106+EH99+EH120+EH103+EH101+EH129+EH87-$F144*EH12</f>
        <v>3975.04483149519</v>
      </c>
      <c r="EI191" s="35" t="n">
        <f aca="false">EI60+EI106+EI99+EI120+EI103+EI101+EI129+EI87-$F144*EI12</f>
        <v>3959.39031261208</v>
      </c>
      <c r="EJ191" s="35" t="n">
        <f aca="false">EJ60+EJ106+EJ99+EJ120+EJ103+EJ101+EJ129+EJ87-$F144*EJ12</f>
        <v>3887.65363648219</v>
      </c>
      <c r="EK191" s="35" t="n">
        <f aca="false">EK60+EK106+EK99+EK120+EK103+EK101+EK129+EK87-$F144*EK12</f>
        <v>3930.84978799866</v>
      </c>
      <c r="EL191" s="35" t="n">
        <f aca="false">EL60+EL106+EL99+EL120+EL103+EL101+EL129+EL87-$F144*EL12</f>
        <v>3974.04593951513</v>
      </c>
      <c r="EM191" s="35" t="n">
        <f aca="false">EM60+EM106+EM99+EM120+EM103+EM101+EM129+EM87-$F144*EM12</f>
        <v>3958.30118269824</v>
      </c>
      <c r="EN191" s="35" t="n">
        <f aca="false">EN60+EN106+EN99+EN120+EN103+EN101+EN129+EN87-$F144*EN12</f>
        <v>3929.12646721084</v>
      </c>
      <c r="EO191" s="35" t="n">
        <f aca="false">EO60+EO106+EO99+EO120+EO103+EO101+EO129+EO87-$F144*EO12</f>
        <v>3929.12646721084</v>
      </c>
      <c r="EP191" s="35" t="n">
        <f aca="false">EP60+EP106+EP99+EP120+EP103+EP101+EP129+EP87-$F144*EP12</f>
        <v>3972.30368113624</v>
      </c>
      <c r="EQ191" s="35" t="n">
        <f aca="false">EQ60+EQ106+EQ99+EQ120+EQ103+EQ101+EQ129+EQ87-$F144*EQ12</f>
        <v>3956.46858561953</v>
      </c>
      <c r="ER191" s="35" t="n">
        <f aca="false">ER60+ER106+ER99+ER120+ER103+ER101+ER129+ER87-$F144*ER12</f>
        <v>3883.49522683763</v>
      </c>
      <c r="ES191" s="35" t="n">
        <f aca="false">ES60+ES106+ES99+ES120+ES103+ES101+ES129+ES87-$F144*ES12</f>
        <v>3926.6451738025</v>
      </c>
      <c r="ET191" s="35" t="n">
        <f aca="false">ET60+ET106+ET99+ET120+ET103+ET101+ET129+ET87-$F144*ET12</f>
        <v>3969.79512076736</v>
      </c>
    </row>
    <row r="192" customFormat="false" ht="15" hidden="false" customHeight="false" outlineLevel="0" collapsed="false">
      <c r="C192" s="30" t="s">
        <v>81</v>
      </c>
      <c r="D192" s="11" t="s">
        <v>35</v>
      </c>
      <c r="E192" s="57" t="n">
        <f aca="false">XIRR($J191:$ET191,$J$4:$ET$4)</f>
        <v>0.0887506658196496</v>
      </c>
    </row>
    <row r="193" customFormat="false" ht="15" hidden="false" customHeight="false" outlineLevel="0" collapsed="false">
      <c r="C193" s="30" t="s">
        <v>179</v>
      </c>
      <c r="D193" s="11" t="s">
        <v>13</v>
      </c>
      <c r="E193" s="58" t="n">
        <f aca="false">SUMIF($J191:$ET191,"&gt;0")/-SUMIF($J191:$ET191,"&lt;0")</f>
        <v>4.59742181090224</v>
      </c>
    </row>
    <row r="194" customFormat="false" ht="15" hidden="false" customHeight="false" outlineLevel="0" collapsed="false">
      <c r="C194" s="30" t="s">
        <v>83</v>
      </c>
      <c r="D194" s="11" t="s">
        <v>253</v>
      </c>
      <c r="E194" s="35" t="n">
        <f aca="false">XNPV(In_Discount_Rate,$J191:$ET191,$J$4:$ET$4)</f>
        <v>8141.80305533397</v>
      </c>
    </row>
    <row r="195" customFormat="false" ht="15" hidden="false" customHeight="false" outlineLevel="0" collapsed="false">
      <c r="C195" s="0" t="s">
        <v>622</v>
      </c>
      <c r="D195" s="11" t="s">
        <v>13</v>
      </c>
      <c r="E195" s="50" t="n">
        <f aca="false">MIN($J195:$ET195)</f>
        <v>1.26316018482958</v>
      </c>
      <c r="J195" s="50" t="str">
        <f aca="false">IF(J103+J101&lt;0,(J120+J129)/-(J103+J101),"")</f>
        <v/>
      </c>
      <c r="K195" s="50" t="str">
        <f aca="false">IF(K103+K101&lt;0,(K120+K129)/-(K103+K101),"")</f>
        <v/>
      </c>
      <c r="L195" s="50" t="str">
        <f aca="false">IF(L103+L101&lt;0,(L120+L129)/-(L103+L101),"")</f>
        <v/>
      </c>
      <c r="M195" s="50" t="str">
        <f aca="false">IF(M103+M101&lt;0,(M120+M129)/-(M103+M101),"")</f>
        <v/>
      </c>
      <c r="N195" s="50" t="str">
        <f aca="false">IF(N103+N101&lt;0,(N120+N129)/-(N103+N101),"")</f>
        <v/>
      </c>
      <c r="O195" s="50" t="str">
        <f aca="false">IF(O103+O101&lt;0,(O120+O129)/-(O103+O101),"")</f>
        <v/>
      </c>
      <c r="P195" s="50" t="str">
        <f aca="false">IF(P103+P101&lt;0,(P120+P129)/-(P103+P101),"")</f>
        <v/>
      </c>
      <c r="Q195" s="50" t="str">
        <f aca="false">IF(Q103+Q101&lt;0,(Q120+Q129)/-(Q103+Q101),"")</f>
        <v/>
      </c>
      <c r="R195" s="50" t="str">
        <f aca="false">IF(R103+R101&lt;0,(R120+R129)/-(R103+R101),"")</f>
        <v/>
      </c>
      <c r="S195" s="50" t="str">
        <f aca="false">IF(S103+S101&lt;0,(S120+S129)/-(S103+S101),"")</f>
        <v/>
      </c>
      <c r="T195" s="50" t="str">
        <f aca="false">IF(T103+T101&lt;0,(T120+T129)/-(T103+T101),"")</f>
        <v/>
      </c>
      <c r="U195" s="50" t="str">
        <f aca="false">IF(U103+U101&lt;0,(U120+U129)/-(U103+U101),"")</f>
        <v/>
      </c>
      <c r="V195" s="50" t="str">
        <f aca="false">IF(V103+V101&lt;0,(V120+V129)/-(V103+V101),"")</f>
        <v/>
      </c>
      <c r="W195" s="50" t="str">
        <f aca="false">IF(W103+W101&lt;0,(W120+W129)/-(W103+W101),"")</f>
        <v/>
      </c>
      <c r="X195" s="50" t="str">
        <f aca="false">IF(X103+X101&lt;0,(X120+X129)/-(X103+X101),"")</f>
        <v/>
      </c>
      <c r="Y195" s="50" t="str">
        <f aca="false">IF(Y103+Y101&lt;0,(Y120+Y129)/-(Y103+Y101),"")</f>
        <v/>
      </c>
      <c r="Z195" s="50" t="str">
        <f aca="false">IF(Z103+Z101&lt;0,(Z120+Z129)/-(Z103+Z101),"")</f>
        <v/>
      </c>
      <c r="AA195" s="50" t="str">
        <f aca="false">IF(AA103+AA101&lt;0,(AA120+AA129)/-(AA103+AA101),"")</f>
        <v/>
      </c>
      <c r="AB195" s="50" t="str">
        <f aca="false">IF(AB103+AB101&lt;0,(AB120+AB129)/-(AB103+AB101),"")</f>
        <v/>
      </c>
      <c r="AC195" s="50" t="str">
        <f aca="false">IF(AC103+AC101&lt;0,(AC120+AC129)/-(AC103+AC101),"")</f>
        <v/>
      </c>
      <c r="AD195" s="50" t="str">
        <f aca="false">IF(AD103+AD101&lt;0,(AD120+AD129)/-(AD103+AD101),"")</f>
        <v/>
      </c>
      <c r="AE195" s="50" t="n">
        <f aca="false">IF(AE103+AE101&lt;0,(AE120+AE129)/-(AE103+AE101),"")</f>
        <v>1.30910605086437</v>
      </c>
      <c r="AF195" s="50" t="n">
        <f aca="false">IF(AF103+AF101&lt;0,(AF120+AF129)/-(AF103+AF101),"")</f>
        <v>1.30361975201342</v>
      </c>
      <c r="AG195" s="50" t="n">
        <f aca="false">IF(AG103+AG101&lt;0,(AG120+AG129)/-(AG103+AG101),"")</f>
        <v>1.30361975201342</v>
      </c>
      <c r="AH195" s="50" t="n">
        <f aca="false">IF(AH103+AH101&lt;0,(AH120+AH129)/-(AH103+AH101),"")</f>
        <v>1.31794524379379</v>
      </c>
      <c r="AI195" s="50" t="n">
        <f aca="false">IF(AI103+AI101&lt;0,(AI120+AI129)/-(AI103+AI101),"")</f>
        <v>1.31331128702642</v>
      </c>
      <c r="AJ195" s="50" t="n">
        <f aca="false">IF(AJ103+AJ101&lt;0,(AJ120+AJ129)/-(AJ103+AJ101),"")</f>
        <v>1.29333402298692</v>
      </c>
      <c r="AK195" s="50" t="n">
        <f aca="false">IF(AK103+AK101&lt;0,(AK120+AK129)/-(AK103+AK101),"")</f>
        <v>1.30404074630601</v>
      </c>
      <c r="AL195" s="50" t="n">
        <f aca="false">IF(AL103+AL101&lt;0,(AL120+AL129)/-(AL103+AL101),"")</f>
        <v>1.29196108414819</v>
      </c>
      <c r="AM195" s="50" t="n">
        <f aca="false">IF(AM103+AM101&lt;0,(AM120+AM129)/-(AM103+AM101),"")</f>
        <v>1.2869707881353</v>
      </c>
      <c r="AN195" s="50" t="n">
        <f aca="false">IF(AN103+AN101&lt;0,(AN120+AN129)/-(AN103+AN101),"")</f>
        <v>1.26660955062812</v>
      </c>
      <c r="AO195" s="50" t="n">
        <f aca="false">IF(AO103+AO101&lt;0,(AO120+AO129)/-(AO103+AO101),"")</f>
        <v>1.27959794209534</v>
      </c>
      <c r="AP195" s="50" t="n">
        <f aca="false">IF(AP103+AP101&lt;0,(AP120+AP129)/-(AP103+AP101),"")</f>
        <v>1.29257676566432</v>
      </c>
      <c r="AQ195" s="50" t="n">
        <f aca="false">IF(AQ103+AQ101&lt;0,(AQ120+AQ129)/-(AQ103+AQ101),"")</f>
        <v>1.28752159556316</v>
      </c>
      <c r="AR195" s="50" t="n">
        <f aca="false">IF(AR103+AR101&lt;0,(AR120+AR129)/-(AR103+AR101),"")</f>
        <v>1.26696855880362</v>
      </c>
      <c r="AS195" s="50" t="n">
        <f aca="false">IF(AS103+AS101&lt;0,(AS120+AS129)/-(AS103+AS101),"")</f>
        <v>1.27995660645235</v>
      </c>
      <c r="AT195" s="50" t="n">
        <f aca="false">IF(AT103+AT101&lt;0,(AT120+AT129)/-(AT103+AT101),"")</f>
        <v>1.29293459876306</v>
      </c>
      <c r="AU195" s="50" t="n">
        <f aca="false">IF(AU103+AU101&lt;0,(AU120+AU129)/-(AU103+AU101),"")</f>
        <v>1.28781252866684</v>
      </c>
      <c r="AV195" s="50" t="n">
        <f aca="false">IF(AV103+AV101&lt;0,(AV120+AV129)/-(AV103+AV101),"")</f>
        <v>1.28089431910047</v>
      </c>
      <c r="AW195" s="50" t="n">
        <f aca="false">IF(AW103+AW101&lt;0,(AW120+AW129)/-(AW103+AW101),"")</f>
        <v>1.28004891025201</v>
      </c>
      <c r="AX195" s="50" t="n">
        <f aca="false">IF(AX103+AX101&lt;0,(AX120+AX129)/-(AX103+AX101),"")</f>
        <v>1.29302290112236</v>
      </c>
      <c r="AY195" s="50" t="n">
        <f aca="false">IF(AY103+AY101&lt;0,(AY120+AY129)/-(AY103+AY101),"")</f>
        <v>1.28783180783931</v>
      </c>
      <c r="AZ195" s="50" t="n">
        <f aca="false">IF(AZ103+AZ101&lt;0,(AZ120+AZ129)/-(AZ103+AZ101),"")</f>
        <v>1.26688503190907</v>
      </c>
      <c r="BA195" s="50" t="n">
        <f aca="false">IF(BA103+BA101&lt;0,(BA120+BA129)/-(BA103+BA101),"")</f>
        <v>1.27986281243172</v>
      </c>
      <c r="BB195" s="50" t="n">
        <f aca="false">IF(BB103+BB101&lt;0,(BB120+BB129)/-(BB103+BB101),"")</f>
        <v>1.29282948697328</v>
      </c>
      <c r="BC195" s="50" t="n">
        <f aca="false">IF(BC103+BC101&lt;0,(BC120+BC129)/-(BC103+BC101),"")</f>
        <v>1.28756714505241</v>
      </c>
      <c r="BD195" s="50" t="n">
        <f aca="false">IF(BD103+BD101&lt;0,(BD120+BD129)/-(BD103+BD101),"")</f>
        <v>1.26641818775439</v>
      </c>
      <c r="BE195" s="50" t="n">
        <f aca="false">IF(BE103+BE101&lt;0,(BE120+BE129)/-(BE103+BE101),"")</f>
        <v>1.27938575180467</v>
      </c>
      <c r="BF195" s="50" t="n">
        <f aca="false">IF(BF103+BF101&lt;0,(BF120+BF129)/-(BF103+BF101),"")</f>
        <v>1.29234164407591</v>
      </c>
      <c r="BG195" s="50" t="n">
        <f aca="false">IF(BG103+BG101&lt;0,(BG120+BG129)/-(BG103+BG101),"")</f>
        <v>1.28700572057801</v>
      </c>
      <c r="BH195" s="50" t="n">
        <f aca="false">IF(BH103+BH101&lt;0,(BH120+BH129)/-(BH103+BH101),"")</f>
        <v>1.26565087045619</v>
      </c>
      <c r="BI195" s="50" t="n">
        <f aca="false">IF(BI103+BI101&lt;0,(BI120+BI129)/-(BI103+BI101),"")</f>
        <v>1.27860462322347</v>
      </c>
      <c r="BJ195" s="50" t="n">
        <f aca="false">IF(BJ103+BJ101&lt;0,(BJ120+BJ129)/-(BJ103+BJ101),"")</f>
        <v>1.29154610958899</v>
      </c>
      <c r="BK195" s="50" t="n">
        <f aca="false">IF(BK103+BK101&lt;0,(BK120+BK129)/-(BK103+BK101),"")</f>
        <v>1.28613415858972</v>
      </c>
      <c r="BL195" s="50" t="n">
        <f aca="false">IF(BL103+BL101&lt;0,(BL120+BL129)/-(BL103+BL101),"")</f>
        <v>1.27853705801472</v>
      </c>
      <c r="BM195" s="50" t="n">
        <f aca="false">IF(BM103+BM101&lt;0,(BM120+BM129)/-(BM103+BM101),"")</f>
        <v>1.27750575259695</v>
      </c>
      <c r="BN195" s="50" t="n">
        <f aca="false">IF(BN103+BN101&lt;0,(BN120+BN129)/-(BN103+BN101),"")</f>
        <v>1.29042904477834</v>
      </c>
      <c r="BO195" s="50" t="n">
        <f aca="false">IF(BO103+BO101&lt;0,(BO120+BO129)/-(BO103+BO101),"")</f>
        <v>1.28493850158975</v>
      </c>
      <c r="BP195" s="50" t="n">
        <f aca="false">IF(BP103+BP101&lt;0,(BP120+BP129)/-(BP103+BP101),"")</f>
        <v>1.26316018482958</v>
      </c>
      <c r="BQ195" s="50" t="n">
        <f aca="false">IF(BQ103+BQ101&lt;0,(BQ120+BQ129)/-(BQ103+BQ101),"")</f>
        <v>1.27607487070327</v>
      </c>
      <c r="BR195" s="50" t="n">
        <f aca="false">IF(BR103+BR101&lt;0,(BR120+BR129)/-(BR103+BR101),"")</f>
        <v>1.28897600850672</v>
      </c>
      <c r="BS195" s="50" t="str">
        <f aca="false">IF(BS103+BS101&lt;0,(BS120+BS129)/-(BS103+BS101),"")</f>
        <v/>
      </c>
      <c r="BT195" s="50" t="str">
        <f aca="false">IF(BT103+BT101&lt;0,(BT120+BT129)/-(BT103+BT101),"")</f>
        <v/>
      </c>
      <c r="BU195" s="50" t="str">
        <f aca="false">IF(BU103+BU101&lt;0,(BU120+BU129)/-(BU103+BU101),"")</f>
        <v/>
      </c>
      <c r="BV195" s="50" t="str">
        <f aca="false">IF(BV103+BV101&lt;0,(BV120+BV129)/-(BV103+BV101),"")</f>
        <v/>
      </c>
      <c r="BW195" s="50" t="str">
        <f aca="false">IF(BW103+BW101&lt;0,(BW120+BW129)/-(BW103+BW101),"")</f>
        <v/>
      </c>
      <c r="BX195" s="50" t="str">
        <f aca="false">IF(BX103+BX101&lt;0,(BX120+BX129)/-(BX103+BX101),"")</f>
        <v/>
      </c>
      <c r="BY195" s="50" t="str">
        <f aca="false">IF(BY103+BY101&lt;0,(BY120+BY129)/-(BY103+BY101),"")</f>
        <v/>
      </c>
      <c r="BZ195" s="50" t="str">
        <f aca="false">IF(BZ103+BZ101&lt;0,(BZ120+BZ129)/-(BZ103+BZ101),"")</f>
        <v/>
      </c>
      <c r="CA195" s="50" t="str">
        <f aca="false">IF(CA103+CA101&lt;0,(CA120+CA129)/-(CA103+CA101),"")</f>
        <v/>
      </c>
      <c r="CB195" s="50" t="str">
        <f aca="false">IF(CB103+CB101&lt;0,(CB120+CB129)/-(CB103+CB101),"")</f>
        <v/>
      </c>
      <c r="CC195" s="50" t="str">
        <f aca="false">IF(CC103+CC101&lt;0,(CC120+CC129)/-(CC103+CC101),"")</f>
        <v/>
      </c>
      <c r="CD195" s="50" t="str">
        <f aca="false">IF(CD103+CD101&lt;0,(CD120+CD129)/-(CD103+CD101),"")</f>
        <v/>
      </c>
      <c r="CE195" s="50" t="str">
        <f aca="false">IF(CE103+CE101&lt;0,(CE120+CE129)/-(CE103+CE101),"")</f>
        <v/>
      </c>
      <c r="CF195" s="50" t="str">
        <f aca="false">IF(CF103+CF101&lt;0,(CF120+CF129)/-(CF103+CF101),"")</f>
        <v/>
      </c>
      <c r="CG195" s="50" t="str">
        <f aca="false">IF(CG103+CG101&lt;0,(CG120+CG129)/-(CG103+CG101),"")</f>
        <v/>
      </c>
      <c r="CH195" s="50" t="str">
        <f aca="false">IF(CH103+CH101&lt;0,(CH120+CH129)/-(CH103+CH101),"")</f>
        <v/>
      </c>
      <c r="CI195" s="50" t="str">
        <f aca="false">IF(CI103+CI101&lt;0,(CI120+CI129)/-(CI103+CI101),"")</f>
        <v/>
      </c>
      <c r="CJ195" s="50" t="str">
        <f aca="false">IF(CJ103+CJ101&lt;0,(CJ120+CJ129)/-(CJ103+CJ101),"")</f>
        <v/>
      </c>
      <c r="CK195" s="50" t="str">
        <f aca="false">IF(CK103+CK101&lt;0,(CK120+CK129)/-(CK103+CK101),"")</f>
        <v/>
      </c>
      <c r="CL195" s="50" t="str">
        <f aca="false">IF(CL103+CL101&lt;0,(CL120+CL129)/-(CL103+CL101),"")</f>
        <v/>
      </c>
      <c r="CM195" s="50" t="str">
        <f aca="false">IF(CM103+CM101&lt;0,(CM120+CM129)/-(CM103+CM101),"")</f>
        <v/>
      </c>
      <c r="CN195" s="50" t="str">
        <f aca="false">IF(CN103+CN101&lt;0,(CN120+CN129)/-(CN103+CN101),"")</f>
        <v/>
      </c>
      <c r="CO195" s="50" t="str">
        <f aca="false">IF(CO103+CO101&lt;0,(CO120+CO129)/-(CO103+CO101),"")</f>
        <v/>
      </c>
      <c r="CP195" s="50" t="str">
        <f aca="false">IF(CP103+CP101&lt;0,(CP120+CP129)/-(CP103+CP101),"")</f>
        <v/>
      </c>
      <c r="CQ195" s="50" t="str">
        <f aca="false">IF(CQ103+CQ101&lt;0,(CQ120+CQ129)/-(CQ103+CQ101),"")</f>
        <v/>
      </c>
      <c r="CR195" s="50" t="str">
        <f aca="false">IF(CR103+CR101&lt;0,(CR120+CR129)/-(CR103+CR101),"")</f>
        <v/>
      </c>
      <c r="CS195" s="50" t="str">
        <f aca="false">IF(CS103+CS101&lt;0,(CS120+CS129)/-(CS103+CS101),"")</f>
        <v/>
      </c>
      <c r="CT195" s="50" t="str">
        <f aca="false">IF(CT103+CT101&lt;0,(CT120+CT129)/-(CT103+CT101),"")</f>
        <v/>
      </c>
      <c r="CU195" s="50" t="str">
        <f aca="false">IF(CU103+CU101&lt;0,(CU120+CU129)/-(CU103+CU101),"")</f>
        <v/>
      </c>
      <c r="CV195" s="50" t="str">
        <f aca="false">IF(CV103+CV101&lt;0,(CV120+CV129)/-(CV103+CV101),"")</f>
        <v/>
      </c>
      <c r="CW195" s="50" t="str">
        <f aca="false">IF(CW103+CW101&lt;0,(CW120+CW129)/-(CW103+CW101),"")</f>
        <v/>
      </c>
      <c r="CX195" s="50" t="str">
        <f aca="false">IF(CX103+CX101&lt;0,(CX120+CX129)/-(CX103+CX101),"")</f>
        <v/>
      </c>
      <c r="CY195" s="50" t="str">
        <f aca="false">IF(CY103+CY101&lt;0,(CY120+CY129)/-(CY103+CY101),"")</f>
        <v/>
      </c>
      <c r="CZ195" s="50" t="str">
        <f aca="false">IF(CZ103+CZ101&lt;0,(CZ120+CZ129)/-(CZ103+CZ101),"")</f>
        <v/>
      </c>
      <c r="DA195" s="50" t="str">
        <f aca="false">IF(DA103+DA101&lt;0,(DA120+DA129)/-(DA103+DA101),"")</f>
        <v/>
      </c>
      <c r="DB195" s="50" t="str">
        <f aca="false">IF(DB103+DB101&lt;0,(DB120+DB129)/-(DB103+DB101),"")</f>
        <v/>
      </c>
      <c r="DC195" s="50" t="str">
        <f aca="false">IF(DC103+DC101&lt;0,(DC120+DC129)/-(DC103+DC101),"")</f>
        <v/>
      </c>
      <c r="DD195" s="50" t="str">
        <f aca="false">IF(DD103+DD101&lt;0,(DD120+DD129)/-(DD103+DD101),"")</f>
        <v/>
      </c>
      <c r="DE195" s="50" t="str">
        <f aca="false">IF(DE103+DE101&lt;0,(DE120+DE129)/-(DE103+DE101),"")</f>
        <v/>
      </c>
      <c r="DF195" s="50" t="str">
        <f aca="false">IF(DF103+DF101&lt;0,(DF120+DF129)/-(DF103+DF101),"")</f>
        <v/>
      </c>
      <c r="DG195" s="50" t="str">
        <f aca="false">IF(DG103+DG101&lt;0,(DG120+DG129)/-(DG103+DG101),"")</f>
        <v/>
      </c>
      <c r="DH195" s="50" t="str">
        <f aca="false">IF(DH103+DH101&lt;0,(DH120+DH129)/-(DH103+DH101),"")</f>
        <v/>
      </c>
      <c r="DI195" s="50" t="str">
        <f aca="false">IF(DI103+DI101&lt;0,(DI120+DI129)/-(DI103+DI101),"")</f>
        <v/>
      </c>
      <c r="DJ195" s="50" t="str">
        <f aca="false">IF(DJ103+DJ101&lt;0,(DJ120+DJ129)/-(DJ103+DJ101),"")</f>
        <v/>
      </c>
      <c r="DK195" s="50" t="str">
        <f aca="false">IF(DK103+DK101&lt;0,(DK120+DK129)/-(DK103+DK101),"")</f>
        <v/>
      </c>
      <c r="DL195" s="50" t="str">
        <f aca="false">IF(DL103+DL101&lt;0,(DL120+DL129)/-(DL103+DL101),"")</f>
        <v/>
      </c>
      <c r="DM195" s="50" t="str">
        <f aca="false">IF(DM103+DM101&lt;0,(DM120+DM129)/-(DM103+DM101),"")</f>
        <v/>
      </c>
      <c r="DN195" s="50" t="str">
        <f aca="false">IF(DN103+DN101&lt;0,(DN120+DN129)/-(DN103+DN101),"")</f>
        <v/>
      </c>
      <c r="DO195" s="50" t="str">
        <f aca="false">IF(DO103+DO101&lt;0,(DO120+DO129)/-(DO103+DO101),"")</f>
        <v/>
      </c>
      <c r="DP195" s="50" t="str">
        <f aca="false">IF(DP103+DP101&lt;0,(DP120+DP129)/-(DP103+DP101),"")</f>
        <v/>
      </c>
      <c r="DQ195" s="50" t="str">
        <f aca="false">IF(DQ103+DQ101&lt;0,(DQ120+DQ129)/-(DQ103+DQ101),"")</f>
        <v/>
      </c>
      <c r="DR195" s="50" t="str">
        <f aca="false">IF(DR103+DR101&lt;0,(DR120+DR129)/-(DR103+DR101),"")</f>
        <v/>
      </c>
      <c r="DS195" s="50" t="str">
        <f aca="false">IF(DS103+DS101&lt;0,(DS120+DS129)/-(DS103+DS101),"")</f>
        <v/>
      </c>
      <c r="DT195" s="50" t="str">
        <f aca="false">IF(DT103+DT101&lt;0,(DT120+DT129)/-(DT103+DT101),"")</f>
        <v/>
      </c>
      <c r="DU195" s="50" t="str">
        <f aca="false">IF(DU103+DU101&lt;0,(DU120+DU129)/-(DU103+DU101),"")</f>
        <v/>
      </c>
      <c r="DV195" s="50" t="str">
        <f aca="false">IF(DV103+DV101&lt;0,(DV120+DV129)/-(DV103+DV101),"")</f>
        <v/>
      </c>
      <c r="DW195" s="50" t="str">
        <f aca="false">IF(DW103+DW101&lt;0,(DW120+DW129)/-(DW103+DW101),"")</f>
        <v/>
      </c>
      <c r="DX195" s="50" t="str">
        <f aca="false">IF(DX103+DX101&lt;0,(DX120+DX129)/-(DX103+DX101),"")</f>
        <v/>
      </c>
      <c r="DY195" s="50" t="str">
        <f aca="false">IF(DY103+DY101&lt;0,(DY120+DY129)/-(DY103+DY101),"")</f>
        <v/>
      </c>
      <c r="DZ195" s="50" t="str">
        <f aca="false">IF(DZ103+DZ101&lt;0,(DZ120+DZ129)/-(DZ103+DZ101),"")</f>
        <v/>
      </c>
      <c r="EA195" s="50" t="str">
        <f aca="false">IF(EA103+EA101&lt;0,(EA120+EA129)/-(EA103+EA101),"")</f>
        <v/>
      </c>
      <c r="EB195" s="50" t="str">
        <f aca="false">IF(EB103+EB101&lt;0,(EB120+EB129)/-(EB103+EB101),"")</f>
        <v/>
      </c>
      <c r="EC195" s="50" t="str">
        <f aca="false">IF(EC103+EC101&lt;0,(EC120+EC129)/-(EC103+EC101),"")</f>
        <v/>
      </c>
      <c r="ED195" s="50" t="str">
        <f aca="false">IF(ED103+ED101&lt;0,(ED120+ED129)/-(ED103+ED101),"")</f>
        <v/>
      </c>
      <c r="EE195" s="50" t="str">
        <f aca="false">IF(EE103+EE101&lt;0,(EE120+EE129)/-(EE103+EE101),"")</f>
        <v/>
      </c>
      <c r="EF195" s="50" t="str">
        <f aca="false">IF(EF103+EF101&lt;0,(EF120+EF129)/-(EF103+EF101),"")</f>
        <v/>
      </c>
      <c r="EG195" s="50" t="str">
        <f aca="false">IF(EG103+EG101&lt;0,(EG120+EG129)/-(EG103+EG101),"")</f>
        <v/>
      </c>
      <c r="EH195" s="50" t="str">
        <f aca="false">IF(EH103+EH101&lt;0,(EH120+EH129)/-(EH103+EH101),"")</f>
        <v/>
      </c>
      <c r="EI195" s="50" t="str">
        <f aca="false">IF(EI103+EI101&lt;0,(EI120+EI129)/-(EI103+EI101),"")</f>
        <v/>
      </c>
      <c r="EJ195" s="50" t="str">
        <f aca="false">IF(EJ103+EJ101&lt;0,(EJ120+EJ129)/-(EJ103+EJ101),"")</f>
        <v/>
      </c>
      <c r="EK195" s="50" t="str">
        <f aca="false">IF(EK103+EK101&lt;0,(EK120+EK129)/-(EK103+EK101),"")</f>
        <v/>
      </c>
      <c r="EL195" s="50" t="str">
        <f aca="false">IF(EL103+EL101&lt;0,(EL120+EL129)/-(EL103+EL101),"")</f>
        <v/>
      </c>
      <c r="EM195" s="50" t="str">
        <f aca="false">IF(EM103+EM101&lt;0,(EM120+EM129)/-(EM103+EM101),"")</f>
        <v/>
      </c>
      <c r="EN195" s="50" t="str">
        <f aca="false">IF(EN103+EN101&lt;0,(EN120+EN129)/-(EN103+EN101),"")</f>
        <v/>
      </c>
      <c r="EO195" s="50" t="str">
        <f aca="false">IF(EO103+EO101&lt;0,(EO120+EO129)/-(EO103+EO101),"")</f>
        <v/>
      </c>
      <c r="EP195" s="50" t="str">
        <f aca="false">IF(EP103+EP101&lt;0,(EP120+EP129)/-(EP103+EP101),"")</f>
        <v/>
      </c>
      <c r="EQ195" s="50" t="str">
        <f aca="false">IF(EQ103+EQ101&lt;0,(EQ120+EQ129)/-(EQ103+EQ101),"")</f>
        <v/>
      </c>
      <c r="ER195" s="50" t="str">
        <f aca="false">IF(ER103+ER101&lt;0,(ER120+ER129)/-(ER103+ER101),"")</f>
        <v/>
      </c>
      <c r="ES195" s="50" t="str">
        <f aca="false">IF(ES103+ES101&lt;0,(ES120+ES129)/-(ES103+ES101),"")</f>
        <v/>
      </c>
      <c r="ET195" s="50" t="str">
        <f aca="false">IF(ET103+ET101&lt;0,(ET120+ET129)/-(ET103+ET101),"")</f>
        <v/>
      </c>
    </row>
    <row r="197" customFormat="false" ht="15" hidden="false" customHeight="false" outlineLevel="0" collapsed="false">
      <c r="C197" s="40" t="s">
        <v>198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T4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50" min="10" style="0" width="11"/>
    <col collapsed="false" customWidth="false" hidden="true" outlineLevel="1" max="16384" min="151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Bora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</row>
    <row r="3" customFormat="false" ht="19.7" hidden="false" customHeight="false" outlineLevel="0" collapsed="false"/>
    <row r="4" customFormat="false" ht="15" hidden="false" customHeight="false" outlineLevel="0" collapsed="false">
      <c r="C4" s="0" t="s">
        <v>479</v>
      </c>
      <c r="J4" s="27" t="n">
        <f aca="false">Calc_1!J$4</f>
        <v>46295</v>
      </c>
      <c r="K4" s="27" t="n">
        <f aca="false">Calc_1!K$4</f>
        <v>46387</v>
      </c>
      <c r="L4" s="27" t="n">
        <f aca="false">Calc_1!L$4</f>
        <v>46477</v>
      </c>
      <c r="M4" s="27" t="n">
        <f aca="false">Calc_1!M$4</f>
        <v>46568</v>
      </c>
      <c r="N4" s="27" t="n">
        <f aca="false">Calc_1!N$4</f>
        <v>46660</v>
      </c>
      <c r="O4" s="27" t="n">
        <f aca="false">Calc_1!O$4</f>
        <v>46752</v>
      </c>
      <c r="P4" s="27" t="n">
        <f aca="false">Calc_1!P$4</f>
        <v>46843</v>
      </c>
      <c r="Q4" s="27" t="n">
        <f aca="false">Calc_1!Q$4</f>
        <v>46934</v>
      </c>
      <c r="R4" s="27" t="n">
        <f aca="false">Calc_1!R$4</f>
        <v>47026</v>
      </c>
      <c r="S4" s="27" t="n">
        <f aca="false">Calc_1!S$4</f>
        <v>47118</v>
      </c>
      <c r="T4" s="27" t="n">
        <f aca="false">Calc_1!T$4</f>
        <v>47208</v>
      </c>
      <c r="U4" s="27" t="n">
        <f aca="false">Calc_1!U$4</f>
        <v>47299</v>
      </c>
      <c r="V4" s="27" t="n">
        <f aca="false">Calc_1!V$4</f>
        <v>47391</v>
      </c>
      <c r="W4" s="27" t="n">
        <f aca="false">Calc_1!W$4</f>
        <v>47483</v>
      </c>
      <c r="X4" s="27" t="n">
        <f aca="false">Calc_1!X$4</f>
        <v>47573</v>
      </c>
      <c r="Y4" s="27" t="n">
        <f aca="false">Calc_1!Y$4</f>
        <v>47664</v>
      </c>
      <c r="Z4" s="27" t="n">
        <f aca="false">Calc_1!Z$4</f>
        <v>47756</v>
      </c>
      <c r="AA4" s="27" t="n">
        <f aca="false">Calc_1!AA$4</f>
        <v>47848</v>
      </c>
      <c r="AB4" s="27" t="n">
        <f aca="false">Calc_1!AB$4</f>
        <v>47938</v>
      </c>
      <c r="AC4" s="27" t="n">
        <f aca="false">Calc_1!AC$4</f>
        <v>48029</v>
      </c>
      <c r="AD4" s="27" t="n">
        <f aca="false">Calc_1!AD$4</f>
        <v>48121</v>
      </c>
      <c r="AE4" s="27" t="n">
        <f aca="false">Calc_1!AE$4</f>
        <v>48213</v>
      </c>
      <c r="AF4" s="27" t="n">
        <f aca="false">Calc_1!AF$4</f>
        <v>48304</v>
      </c>
      <c r="AG4" s="27" t="n">
        <f aca="false">Calc_1!AG$4</f>
        <v>48395</v>
      </c>
      <c r="AH4" s="27" t="n">
        <f aca="false">Calc_1!AH$4</f>
        <v>48487</v>
      </c>
      <c r="AI4" s="27" t="n">
        <f aca="false">Calc_1!AI$4</f>
        <v>48579</v>
      </c>
      <c r="AJ4" s="27" t="n">
        <f aca="false">Calc_1!AJ$4</f>
        <v>48669</v>
      </c>
      <c r="AK4" s="27" t="n">
        <f aca="false">Calc_1!AK$4</f>
        <v>48760</v>
      </c>
      <c r="AL4" s="27" t="n">
        <f aca="false">Calc_1!AL$4</f>
        <v>48852</v>
      </c>
      <c r="AM4" s="27" t="n">
        <f aca="false">Calc_1!AM$4</f>
        <v>48944</v>
      </c>
      <c r="AN4" s="27" t="n">
        <f aca="false">Calc_1!AN$4</f>
        <v>49034</v>
      </c>
      <c r="AO4" s="27" t="n">
        <f aca="false">Calc_1!AO$4</f>
        <v>49125</v>
      </c>
      <c r="AP4" s="27" t="n">
        <f aca="false">Calc_1!AP$4</f>
        <v>49217</v>
      </c>
      <c r="AQ4" s="27" t="n">
        <f aca="false">Calc_1!AQ$4</f>
        <v>49309</v>
      </c>
      <c r="AR4" s="27" t="n">
        <f aca="false">Calc_1!AR$4</f>
        <v>49399</v>
      </c>
      <c r="AS4" s="27" t="n">
        <f aca="false">Calc_1!AS$4</f>
        <v>49490</v>
      </c>
      <c r="AT4" s="27" t="n">
        <f aca="false">Calc_1!AT$4</f>
        <v>49582</v>
      </c>
      <c r="AU4" s="27" t="n">
        <f aca="false">Calc_1!AU$4</f>
        <v>49674</v>
      </c>
      <c r="AV4" s="27" t="n">
        <f aca="false">Calc_1!AV$4</f>
        <v>49765</v>
      </c>
      <c r="AW4" s="27" t="n">
        <f aca="false">Calc_1!AW$4</f>
        <v>49856</v>
      </c>
      <c r="AX4" s="27" t="n">
        <f aca="false">Calc_1!AX$4</f>
        <v>49948</v>
      </c>
      <c r="AY4" s="27" t="n">
        <f aca="false">Calc_1!AY$4</f>
        <v>50040</v>
      </c>
      <c r="AZ4" s="27" t="n">
        <f aca="false">Calc_1!AZ$4</f>
        <v>50130</v>
      </c>
      <c r="BA4" s="27" t="n">
        <f aca="false">Calc_1!BA$4</f>
        <v>50221</v>
      </c>
      <c r="BB4" s="27" t="n">
        <f aca="false">Calc_1!BB$4</f>
        <v>50313</v>
      </c>
      <c r="BC4" s="27" t="n">
        <f aca="false">Calc_1!BC$4</f>
        <v>50405</v>
      </c>
      <c r="BD4" s="27" t="n">
        <f aca="false">Calc_1!BD$4</f>
        <v>50495</v>
      </c>
      <c r="BE4" s="27" t="n">
        <f aca="false">Calc_1!BE$4</f>
        <v>50586</v>
      </c>
      <c r="BF4" s="27" t="n">
        <f aca="false">Calc_1!BF$4</f>
        <v>50678</v>
      </c>
      <c r="BG4" s="27" t="n">
        <f aca="false">Calc_1!BG$4</f>
        <v>50770</v>
      </c>
      <c r="BH4" s="27" t="n">
        <f aca="false">Calc_1!BH$4</f>
        <v>50860</v>
      </c>
      <c r="BI4" s="27" t="n">
        <f aca="false">Calc_1!BI$4</f>
        <v>50951</v>
      </c>
      <c r="BJ4" s="27" t="n">
        <f aca="false">Calc_1!BJ$4</f>
        <v>51043</v>
      </c>
      <c r="BK4" s="27" t="n">
        <f aca="false">Calc_1!BK$4</f>
        <v>51135</v>
      </c>
      <c r="BL4" s="27" t="n">
        <f aca="false">Calc_1!BL$4</f>
        <v>51226</v>
      </c>
      <c r="BM4" s="27" t="n">
        <f aca="false">Calc_1!BM$4</f>
        <v>51317</v>
      </c>
      <c r="BN4" s="27" t="n">
        <f aca="false">Calc_1!BN$4</f>
        <v>51409</v>
      </c>
      <c r="BO4" s="27" t="n">
        <f aca="false">Calc_1!BO$4</f>
        <v>51501</v>
      </c>
      <c r="BP4" s="27" t="n">
        <f aca="false">Calc_1!BP$4</f>
        <v>51591</v>
      </c>
      <c r="BQ4" s="27" t="n">
        <f aca="false">Calc_1!BQ$4</f>
        <v>51682</v>
      </c>
      <c r="BR4" s="27" t="n">
        <f aca="false">Calc_1!BR$4</f>
        <v>51774</v>
      </c>
      <c r="BS4" s="27" t="n">
        <f aca="false">Calc_1!BS$4</f>
        <v>51866</v>
      </c>
      <c r="BT4" s="27" t="n">
        <f aca="false">Calc_1!BT$4</f>
        <v>51956</v>
      </c>
      <c r="BU4" s="27" t="n">
        <f aca="false">Calc_1!BU$4</f>
        <v>52047</v>
      </c>
      <c r="BV4" s="27" t="n">
        <f aca="false">Calc_1!BV$4</f>
        <v>52139</v>
      </c>
      <c r="BW4" s="27" t="n">
        <f aca="false">Calc_1!BW$4</f>
        <v>52231</v>
      </c>
      <c r="BX4" s="27" t="n">
        <f aca="false">Calc_1!BX$4</f>
        <v>52321</v>
      </c>
      <c r="BY4" s="27" t="n">
        <f aca="false">Calc_1!BY$4</f>
        <v>52412</v>
      </c>
      <c r="BZ4" s="27" t="n">
        <f aca="false">Calc_1!BZ$4</f>
        <v>52504</v>
      </c>
      <c r="CA4" s="27" t="n">
        <f aca="false">Calc_1!CA$4</f>
        <v>52596</v>
      </c>
      <c r="CB4" s="27" t="n">
        <f aca="false">Calc_1!CB$4</f>
        <v>52687</v>
      </c>
      <c r="CC4" s="27" t="n">
        <f aca="false">Calc_1!CC$4</f>
        <v>52778</v>
      </c>
      <c r="CD4" s="27" t="n">
        <f aca="false">Calc_1!CD$4</f>
        <v>52870</v>
      </c>
      <c r="CE4" s="27" t="n">
        <f aca="false">Calc_1!CE$4</f>
        <v>52962</v>
      </c>
      <c r="CF4" s="27" t="n">
        <f aca="false">Calc_1!CF$4</f>
        <v>53052</v>
      </c>
      <c r="CG4" s="27" t="n">
        <f aca="false">Calc_1!CG$4</f>
        <v>53143</v>
      </c>
      <c r="CH4" s="27" t="n">
        <f aca="false">Calc_1!CH$4</f>
        <v>53235</v>
      </c>
      <c r="CI4" s="27" t="n">
        <f aca="false">Calc_1!CI$4</f>
        <v>53327</v>
      </c>
      <c r="CJ4" s="27" t="n">
        <f aca="false">Calc_1!CJ$4</f>
        <v>53417</v>
      </c>
      <c r="CK4" s="27" t="n">
        <f aca="false">Calc_1!CK$4</f>
        <v>53508</v>
      </c>
      <c r="CL4" s="27" t="n">
        <f aca="false">Calc_1!CL$4</f>
        <v>53600</v>
      </c>
      <c r="CM4" s="27" t="n">
        <f aca="false">Calc_1!CM$4</f>
        <v>53692</v>
      </c>
      <c r="CN4" s="27" t="n">
        <f aca="false">Calc_1!CN$4</f>
        <v>53782</v>
      </c>
      <c r="CO4" s="27" t="n">
        <f aca="false">Calc_1!CO$4</f>
        <v>53873</v>
      </c>
      <c r="CP4" s="27" t="n">
        <f aca="false">Calc_1!CP$4</f>
        <v>53965</v>
      </c>
      <c r="CQ4" s="27" t="n">
        <f aca="false">Calc_1!CQ$4</f>
        <v>54057</v>
      </c>
      <c r="CR4" s="27" t="n">
        <f aca="false">Calc_1!CR$4</f>
        <v>54148</v>
      </c>
      <c r="CS4" s="27" t="n">
        <f aca="false">Calc_1!CS$4</f>
        <v>54239</v>
      </c>
      <c r="CT4" s="27" t="n">
        <f aca="false">Calc_1!CT$4</f>
        <v>54331</v>
      </c>
      <c r="CU4" s="27" t="n">
        <f aca="false">Calc_1!CU$4</f>
        <v>54423</v>
      </c>
      <c r="CV4" s="27" t="n">
        <f aca="false">Calc_1!CV$4</f>
        <v>54513</v>
      </c>
      <c r="CW4" s="27" t="n">
        <f aca="false">Calc_1!CW$4</f>
        <v>54604</v>
      </c>
      <c r="CX4" s="27" t="n">
        <f aca="false">Calc_1!CX$4</f>
        <v>54696</v>
      </c>
      <c r="CY4" s="27" t="n">
        <f aca="false">Calc_1!CY$4</f>
        <v>54788</v>
      </c>
      <c r="CZ4" s="27" t="n">
        <f aca="false">Calc_1!CZ$4</f>
        <v>54878</v>
      </c>
      <c r="DA4" s="27" t="n">
        <f aca="false">Calc_1!DA$4</f>
        <v>54969</v>
      </c>
      <c r="DB4" s="27" t="n">
        <f aca="false">Calc_1!DB$4</f>
        <v>55061</v>
      </c>
      <c r="DC4" s="27" t="n">
        <f aca="false">Calc_1!DC$4</f>
        <v>55153</v>
      </c>
      <c r="DD4" s="27" t="n">
        <f aca="false">Calc_1!DD$4</f>
        <v>55243</v>
      </c>
      <c r="DE4" s="27" t="n">
        <f aca="false">Calc_1!DE$4</f>
        <v>55334</v>
      </c>
      <c r="DF4" s="27" t="n">
        <f aca="false">Calc_1!DF$4</f>
        <v>55426</v>
      </c>
      <c r="DG4" s="27" t="n">
        <f aca="false">Calc_1!DG$4</f>
        <v>55518</v>
      </c>
      <c r="DH4" s="27" t="n">
        <f aca="false">Calc_1!DH$4</f>
        <v>55609</v>
      </c>
      <c r="DI4" s="27" t="n">
        <f aca="false">Calc_1!DI$4</f>
        <v>55700</v>
      </c>
      <c r="DJ4" s="27" t="n">
        <f aca="false">Calc_1!DJ$4</f>
        <v>55792</v>
      </c>
      <c r="DK4" s="27" t="n">
        <f aca="false">Calc_1!DK$4</f>
        <v>55884</v>
      </c>
      <c r="DL4" s="27" t="n">
        <f aca="false">Calc_1!DL$4</f>
        <v>55974</v>
      </c>
      <c r="DM4" s="27" t="n">
        <f aca="false">Calc_1!DM$4</f>
        <v>56065</v>
      </c>
      <c r="DN4" s="27" t="n">
        <f aca="false">Calc_1!DN$4</f>
        <v>56157</v>
      </c>
      <c r="DO4" s="27" t="n">
        <f aca="false">Calc_1!DO$4</f>
        <v>56249</v>
      </c>
      <c r="DP4" s="27" t="n">
        <f aca="false">Calc_1!DP$4</f>
        <v>56339</v>
      </c>
      <c r="DQ4" s="27" t="n">
        <f aca="false">Calc_1!DQ$4</f>
        <v>56430</v>
      </c>
      <c r="DR4" s="27" t="n">
        <f aca="false">Calc_1!DR$4</f>
        <v>56522</v>
      </c>
      <c r="DS4" s="27" t="n">
        <f aca="false">Calc_1!DS$4</f>
        <v>56614</v>
      </c>
      <c r="DT4" s="27" t="n">
        <f aca="false">Calc_1!DT$4</f>
        <v>56704</v>
      </c>
      <c r="DU4" s="27" t="n">
        <f aca="false">Calc_1!DU$4</f>
        <v>56795</v>
      </c>
      <c r="DV4" s="27" t="n">
        <f aca="false">Calc_1!DV$4</f>
        <v>56887</v>
      </c>
      <c r="DW4" s="27" t="n">
        <f aca="false">Calc_1!DW$4</f>
        <v>56979</v>
      </c>
      <c r="DX4" s="27" t="n">
        <f aca="false">Calc_1!DX$4</f>
        <v>57070</v>
      </c>
      <c r="DY4" s="27" t="n">
        <f aca="false">Calc_1!DY$4</f>
        <v>57161</v>
      </c>
      <c r="DZ4" s="27" t="n">
        <f aca="false">Calc_1!DZ$4</f>
        <v>57253</v>
      </c>
      <c r="EA4" s="27" t="n">
        <f aca="false">Calc_1!EA$4</f>
        <v>57345</v>
      </c>
      <c r="EB4" s="27" t="n">
        <f aca="false">Calc_1!EB$4</f>
        <v>57435</v>
      </c>
      <c r="EC4" s="27" t="n">
        <f aca="false">Calc_1!EC$4</f>
        <v>57526</v>
      </c>
      <c r="ED4" s="27" t="n">
        <f aca="false">Calc_1!ED$4</f>
        <v>57618</v>
      </c>
      <c r="EE4" s="27" t="n">
        <f aca="false">Calc_1!EE$4</f>
        <v>57710</v>
      </c>
      <c r="EF4" s="27" t="n">
        <f aca="false">Calc_1!EF$4</f>
        <v>57800</v>
      </c>
      <c r="EG4" s="27" t="n">
        <f aca="false">Calc_1!EG$4</f>
        <v>57891</v>
      </c>
      <c r="EH4" s="27" t="n">
        <f aca="false">Calc_1!EH$4</f>
        <v>57983</v>
      </c>
      <c r="EI4" s="27" t="n">
        <f aca="false">Calc_1!EI$4</f>
        <v>58075</v>
      </c>
      <c r="EJ4" s="27" t="n">
        <f aca="false">Calc_1!EJ$4</f>
        <v>58165</v>
      </c>
      <c r="EK4" s="27" t="n">
        <f aca="false">Calc_1!EK$4</f>
        <v>58256</v>
      </c>
      <c r="EL4" s="27" t="n">
        <f aca="false">Calc_1!EL$4</f>
        <v>58348</v>
      </c>
      <c r="EM4" s="27" t="n">
        <f aca="false">Calc_1!EM$4</f>
        <v>58440</v>
      </c>
      <c r="EN4" s="27" t="n">
        <f aca="false">Calc_1!EN$4</f>
        <v>58531</v>
      </c>
      <c r="EO4" s="27" t="n">
        <f aca="false">Calc_1!EO$4</f>
        <v>58622</v>
      </c>
      <c r="EP4" s="27" t="n">
        <f aca="false">Calc_1!EP$4</f>
        <v>58714</v>
      </c>
      <c r="EQ4" s="27" t="n">
        <f aca="false">Calc_1!EQ$4</f>
        <v>58806</v>
      </c>
      <c r="ER4" s="27" t="n">
        <f aca="false">Calc_1!ER$4</f>
        <v>58896</v>
      </c>
      <c r="ES4" s="27" t="n">
        <f aca="false">Calc_1!ES$4</f>
        <v>58987</v>
      </c>
      <c r="ET4" s="27" t="n">
        <f aca="false">Calc_1!ET$4</f>
        <v>59079</v>
      </c>
    </row>
    <row r="9" customFormat="false" ht="15" hidden="false" customHeight="false" outlineLevel="0" collapsed="false">
      <c r="E9" s="8" t="s">
        <v>623</v>
      </c>
      <c r="F9" s="8" t="s">
        <v>624</v>
      </c>
    </row>
    <row r="11" customFormat="false" ht="15" hidden="false" customHeight="false" outlineLevel="0" collapsed="false">
      <c r="A11" s="9" t="s">
        <v>13</v>
      </c>
      <c r="B11" s="9"/>
      <c r="C11" s="9" t="s">
        <v>625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</row>
    <row r="12" customFormat="false" ht="15" hidden="false" customHeight="false" outlineLevel="0" collapsed="false">
      <c r="C12" s="0" t="s">
        <v>626</v>
      </c>
      <c r="D12" s="11" t="s">
        <v>41</v>
      </c>
      <c r="E12" s="36" t="str">
        <f aca="false">IF(F12=0,"OK","CHECK")</f>
        <v>OK</v>
      </c>
      <c r="F12" s="46" t="n">
        <f aca="false">N(Calc_1!$E42+Calc_1!$F42&gt;0)</f>
        <v>0</v>
      </c>
    </row>
    <row r="13" customFormat="false" ht="15" hidden="false" customHeight="false" outlineLevel="0" collapsed="false">
      <c r="C13" s="0" t="s">
        <v>627</v>
      </c>
      <c r="D13" s="11" t="s">
        <v>41</v>
      </c>
      <c r="E13" s="36" t="str">
        <f aca="false">IF(F13=0,"OK","CHECK")</f>
        <v>OK</v>
      </c>
      <c r="F13" s="46" t="n">
        <f aca="false">N(Calc_2!$E42+Calc_2!$F42&gt;0)</f>
        <v>0</v>
      </c>
    </row>
    <row r="14" customFormat="false" ht="15" hidden="false" customHeight="false" outlineLevel="0" collapsed="false">
      <c r="C14" s="0" t="s">
        <v>628</v>
      </c>
      <c r="D14" s="11" t="s">
        <v>41</v>
      </c>
      <c r="E14" s="36" t="str">
        <f aca="false">IF(F14=0,"OK","CHECK")</f>
        <v>OK</v>
      </c>
      <c r="F14" s="46" t="n">
        <f aca="false">N(COUNTIF(Calc_1!$J$4:$ET$4,Calc_1!$E12)=0)+N(COUNTIF(Calc_1!$J$4:$ET$4,In_COD)=0)</f>
        <v>0</v>
      </c>
    </row>
    <row r="15" customFormat="false" ht="15" hidden="false" customHeight="false" outlineLevel="0" collapsed="false">
      <c r="C15" s="0" t="s">
        <v>629</v>
      </c>
      <c r="D15" s="11" t="s">
        <v>41</v>
      </c>
      <c r="E15" s="36" t="str">
        <f aca="false">IF(F15=0,"OK","CHECK")</f>
        <v>OK</v>
      </c>
      <c r="F15" s="46" t="n">
        <f aca="false">N(COUNTIF(Calc_2!$J$4:$ET$4,Calc_2!$E12)=0)+N(COUNTIF(Calc_2!$J$4:$ET$4,In_COD)=0)</f>
        <v>0</v>
      </c>
    </row>
    <row r="16" customFormat="false" ht="15" hidden="false" customHeight="false" outlineLevel="0" collapsed="false">
      <c r="C16" s="0" t="s">
        <v>630</v>
      </c>
      <c r="D16" s="11" t="s">
        <v>41</v>
      </c>
      <c r="E16" s="36" t="str">
        <f aca="false">IF(F16=0,"OK","CHECK")</f>
        <v>OK</v>
      </c>
      <c r="F16" s="46" t="n">
        <f aca="false">N(ABS(Calc_1!$E61-Calc_1!$E134-Calc_1!$E47)&gt;Tolerance)</f>
        <v>0</v>
      </c>
    </row>
    <row r="17" customFormat="false" ht="15" hidden="false" customHeight="false" outlineLevel="0" collapsed="false">
      <c r="C17" s="0" t="s">
        <v>631</v>
      </c>
      <c r="D17" s="11" t="s">
        <v>41</v>
      </c>
      <c r="E17" s="36" t="str">
        <f aca="false">IF(F17=0,"OK","CHECK")</f>
        <v>OK</v>
      </c>
      <c r="F17" s="46" t="n">
        <f aca="false">N(ABS(Calc_2!$E61-Calc_2!$E134-Calc_2!$E47)&gt;Tolerance)</f>
        <v>0</v>
      </c>
    </row>
    <row r="18" customFormat="false" ht="15" hidden="false" customHeight="false" outlineLevel="0" collapsed="false">
      <c r="C18" s="0" t="s">
        <v>632</v>
      </c>
      <c r="D18" s="11" t="s">
        <v>41</v>
      </c>
      <c r="E18" s="36" t="str">
        <f aca="false">IF(F18=0,"OK","CHECK")</f>
        <v>OK</v>
      </c>
      <c r="F18" s="46" t="n">
        <f aca="false">N(ABS(Calc_1!$F143+Calc_1!$F144+Calc_1!$F135-Calc_1!$F134)&gt;Tolerance)</f>
        <v>0</v>
      </c>
    </row>
    <row r="19" customFormat="false" ht="15" hidden="false" customHeight="false" outlineLevel="0" collapsed="false">
      <c r="C19" s="0" t="s">
        <v>633</v>
      </c>
      <c r="D19" s="11" t="s">
        <v>41</v>
      </c>
      <c r="E19" s="36" t="str">
        <f aca="false">IF(F19=0,"OK","CHECK")</f>
        <v>OK</v>
      </c>
      <c r="F19" s="46" t="n">
        <f aca="false">N(ABS(Calc_2!$F143+Calc_2!$F144+Calc_2!$F135-Calc_2!$F134)&gt;Tolerance)</f>
        <v>0</v>
      </c>
    </row>
    <row r="20" customFormat="false" ht="15" hidden="false" customHeight="false" outlineLevel="0" collapsed="false">
      <c r="C20" s="0" t="s">
        <v>634</v>
      </c>
      <c r="D20" s="11" t="s">
        <v>41</v>
      </c>
      <c r="E20" s="36" t="str">
        <f aca="false">IF(F20=0,"OK","CHECK")</f>
        <v>OK</v>
      </c>
      <c r="F20" s="46" t="n">
        <f aca="false">N(ABS(Calc_1!$F148+Calc_1!$E154-Calc_1!$I153)&gt;Tolerance)</f>
        <v>0</v>
      </c>
    </row>
    <row r="21" customFormat="false" ht="15" hidden="false" customHeight="false" outlineLevel="0" collapsed="false">
      <c r="C21" s="0" t="s">
        <v>635</v>
      </c>
      <c r="D21" s="11" t="s">
        <v>41</v>
      </c>
      <c r="E21" s="36" t="str">
        <f aca="false">IF(F21=0,"OK","CHECK")</f>
        <v>OK</v>
      </c>
      <c r="F21" s="46" t="n">
        <f aca="false">N(ABS(Calc_2!$F148+Calc_2!$E154-Calc_2!$I153)&gt;Tolerance)</f>
        <v>0</v>
      </c>
    </row>
    <row r="22" customFormat="false" ht="15" hidden="false" customHeight="false" outlineLevel="0" collapsed="false">
      <c r="C22" s="0" t="s">
        <v>636</v>
      </c>
      <c r="D22" s="11" t="s">
        <v>41</v>
      </c>
      <c r="E22" s="36" t="str">
        <f aca="false">IF(F22=0,"OK","CHECK")</f>
        <v>OK</v>
      </c>
      <c r="F22" s="46" t="n">
        <f aca="false">N(SUMPRODUCT(--(Calc_1!$F135:$F141&gt;Calc_1!$E135:$E141+Tolerance))&gt;0)</f>
        <v>0</v>
      </c>
    </row>
    <row r="23" customFormat="false" ht="15" hidden="false" customHeight="false" outlineLevel="0" collapsed="false">
      <c r="C23" s="0" t="s">
        <v>637</v>
      </c>
      <c r="D23" s="11" t="s">
        <v>41</v>
      </c>
      <c r="E23" s="36" t="str">
        <f aca="false">IF(F23=0,"OK","CHECK")</f>
        <v>OK</v>
      </c>
      <c r="F23" s="46" t="n">
        <f aca="false">N(SUMPRODUCT(--(Calc_2!$F135:$F141&gt;Calc_2!$E135:$E141+Tolerance))&gt;0)</f>
        <v>0</v>
      </c>
    </row>
    <row r="24" customFormat="false" ht="15" hidden="false" customHeight="false" outlineLevel="0" collapsed="false">
      <c r="C24" s="0" t="s">
        <v>638</v>
      </c>
      <c r="D24" s="11" t="s">
        <v>41</v>
      </c>
      <c r="E24" s="36" t="str">
        <f aca="false">IF(F24=0,"OK","CHECK")</f>
        <v>OK</v>
      </c>
      <c r="F24" s="46" t="n">
        <f aca="false">N(Calc_1!$F169&lt;-Tolerance)+N(SUM(Calc_1!$F165:$F168)&gt;Calc_1!$F164+Tolerance)</f>
        <v>0</v>
      </c>
    </row>
    <row r="25" customFormat="false" ht="15" hidden="false" customHeight="false" outlineLevel="0" collapsed="false">
      <c r="C25" s="0" t="s">
        <v>639</v>
      </c>
      <c r="D25" s="11" t="s">
        <v>41</v>
      </c>
      <c r="E25" s="36" t="str">
        <f aca="false">IF(F25=0,"OK","CHECK")</f>
        <v>OK</v>
      </c>
      <c r="F25" s="46" t="n">
        <f aca="false">N(Calc_2!$F169&lt;-Tolerance)+N(SUM(Calc_2!$F165:$F168)&gt;Calc_2!$F164+Tolerance)</f>
        <v>0</v>
      </c>
    </row>
    <row r="26" customFormat="false" ht="15" hidden="false" customHeight="false" outlineLevel="0" collapsed="false">
      <c r="C26" s="0" t="s">
        <v>640</v>
      </c>
      <c r="D26" s="11" t="s">
        <v>41</v>
      </c>
      <c r="E26" s="36" t="str">
        <f aca="false">IF(F26=0,"OK","CHECK")</f>
        <v>OK</v>
      </c>
      <c r="F26" s="46" t="n">
        <f aca="false">N(ABS(Calc_1!$E183-Calc_1!$F183)&gt;Tolerance)</f>
        <v>0</v>
      </c>
    </row>
    <row r="27" customFormat="false" ht="15" hidden="false" customHeight="false" outlineLevel="0" collapsed="false">
      <c r="C27" s="0" t="s">
        <v>641</v>
      </c>
      <c r="D27" s="11" t="s">
        <v>41</v>
      </c>
      <c r="E27" s="36" t="str">
        <f aca="false">IF(F27=0,"OK","CHECK")</f>
        <v>OK</v>
      </c>
      <c r="F27" s="46" t="n">
        <f aca="false">N(ABS(Calc_2!$E183-Calc_2!$F183)&gt;Tolerance)</f>
        <v>0</v>
      </c>
    </row>
    <row r="28" customFormat="false" ht="15" hidden="false" customHeight="false" outlineLevel="0" collapsed="false">
      <c r="C28" s="0" t="s">
        <v>642</v>
      </c>
      <c r="D28" s="11" t="s">
        <v>41</v>
      </c>
      <c r="E28" s="36" t="str">
        <f aca="false">IF(F28=0,"OK","CHECK")</f>
        <v>OK</v>
      </c>
      <c r="F28" s="46" t="n">
        <f aca="false">N(ABS(Funding_Cum_Last-Out_Funding_Equity_To_COD)&gt;Tolerance)</f>
        <v>0</v>
      </c>
    </row>
    <row r="29" customFormat="false" ht="15" hidden="false" customHeight="false" outlineLevel="0" collapsed="false">
      <c r="C29" s="0" t="s">
        <v>643</v>
      </c>
      <c r="D29" s="11" t="s">
        <v>41</v>
      </c>
      <c r="E29" s="36" t="str">
        <f aca="false">IF(F29=0,"OK","CHECK")</f>
        <v>OK</v>
      </c>
      <c r="F29" s="46" t="n">
        <f aca="false">N(SUM(Capex_Items)-Out_Capex_Total&gt;Tolerance)+N(Out_Capex_Total-SUM(Capex_Items)&gt;Tolerance)</f>
        <v>0</v>
      </c>
    </row>
    <row r="30" customFormat="false" ht="15" hidden="false" customHeight="false" outlineLevel="0" collapsed="false">
      <c r="C30" s="0" t="s">
        <v>644</v>
      </c>
      <c r="D30" s="11" t="s">
        <v>41</v>
      </c>
      <c r="E30" s="36" t="str">
        <f aca="false">IF(F30=0,"OK","CHECK")</f>
        <v>OK</v>
      </c>
      <c r="F30" s="46" t="n">
        <f aca="false">SUM(J30:ET30)</f>
        <v>0</v>
      </c>
      <c r="J30" s="46" t="n">
        <f aca="false">N((Calc_1!J$4&gt;=Calc_1!$F17)*ABS(Calc_1!J102)&gt;Tolerance)</f>
        <v>0</v>
      </c>
      <c r="K30" s="46" t="n">
        <f aca="false">N((Calc_1!K$4&gt;=Calc_1!$F17)*ABS(Calc_1!K102)&gt;Tolerance)</f>
        <v>0</v>
      </c>
      <c r="L30" s="46" t="n">
        <f aca="false">N((Calc_1!L$4&gt;=Calc_1!$F17)*ABS(Calc_1!L102)&gt;Tolerance)</f>
        <v>0</v>
      </c>
      <c r="M30" s="46" t="n">
        <f aca="false">N((Calc_1!M$4&gt;=Calc_1!$F17)*ABS(Calc_1!M102)&gt;Tolerance)</f>
        <v>0</v>
      </c>
      <c r="N30" s="46" t="n">
        <f aca="false">N((Calc_1!N$4&gt;=Calc_1!$F17)*ABS(Calc_1!N102)&gt;Tolerance)</f>
        <v>0</v>
      </c>
      <c r="O30" s="46" t="n">
        <f aca="false">N((Calc_1!O$4&gt;=Calc_1!$F17)*ABS(Calc_1!O102)&gt;Tolerance)</f>
        <v>0</v>
      </c>
      <c r="P30" s="46" t="n">
        <f aca="false">N((Calc_1!P$4&gt;=Calc_1!$F17)*ABS(Calc_1!P102)&gt;Tolerance)</f>
        <v>0</v>
      </c>
      <c r="Q30" s="46" t="n">
        <f aca="false">N((Calc_1!Q$4&gt;=Calc_1!$F17)*ABS(Calc_1!Q102)&gt;Tolerance)</f>
        <v>0</v>
      </c>
      <c r="R30" s="46" t="n">
        <f aca="false">N((Calc_1!R$4&gt;=Calc_1!$F17)*ABS(Calc_1!R102)&gt;Tolerance)</f>
        <v>0</v>
      </c>
      <c r="S30" s="46" t="n">
        <f aca="false">N((Calc_1!S$4&gt;=Calc_1!$F17)*ABS(Calc_1!S102)&gt;Tolerance)</f>
        <v>0</v>
      </c>
      <c r="T30" s="46" t="n">
        <f aca="false">N((Calc_1!T$4&gt;=Calc_1!$F17)*ABS(Calc_1!T102)&gt;Tolerance)</f>
        <v>0</v>
      </c>
      <c r="U30" s="46" t="n">
        <f aca="false">N((Calc_1!U$4&gt;=Calc_1!$F17)*ABS(Calc_1!U102)&gt;Tolerance)</f>
        <v>0</v>
      </c>
      <c r="V30" s="46" t="n">
        <f aca="false">N((Calc_1!V$4&gt;=Calc_1!$F17)*ABS(Calc_1!V102)&gt;Tolerance)</f>
        <v>0</v>
      </c>
      <c r="W30" s="46" t="n">
        <f aca="false">N((Calc_1!W$4&gt;=Calc_1!$F17)*ABS(Calc_1!W102)&gt;Tolerance)</f>
        <v>0</v>
      </c>
      <c r="X30" s="46" t="n">
        <f aca="false">N((Calc_1!X$4&gt;=Calc_1!$F17)*ABS(Calc_1!X102)&gt;Tolerance)</f>
        <v>0</v>
      </c>
      <c r="Y30" s="46" t="n">
        <f aca="false">N((Calc_1!Y$4&gt;=Calc_1!$F17)*ABS(Calc_1!Y102)&gt;Tolerance)</f>
        <v>0</v>
      </c>
      <c r="Z30" s="46" t="n">
        <f aca="false">N((Calc_1!Z$4&gt;=Calc_1!$F17)*ABS(Calc_1!Z102)&gt;Tolerance)</f>
        <v>0</v>
      </c>
      <c r="AA30" s="46" t="n">
        <f aca="false">N((Calc_1!AA$4&gt;=Calc_1!$F17)*ABS(Calc_1!AA102)&gt;Tolerance)</f>
        <v>0</v>
      </c>
      <c r="AB30" s="46" t="n">
        <f aca="false">N((Calc_1!AB$4&gt;=Calc_1!$F17)*ABS(Calc_1!AB102)&gt;Tolerance)</f>
        <v>0</v>
      </c>
      <c r="AC30" s="46" t="n">
        <f aca="false">N((Calc_1!AC$4&gt;=Calc_1!$F17)*ABS(Calc_1!AC102)&gt;Tolerance)</f>
        <v>0</v>
      </c>
      <c r="AD30" s="46" t="n">
        <f aca="false">N((Calc_1!AD$4&gt;=Calc_1!$F17)*ABS(Calc_1!AD102)&gt;Tolerance)</f>
        <v>0</v>
      </c>
      <c r="AE30" s="46" t="n">
        <f aca="false">N((Calc_1!AE$4&gt;=Calc_1!$F17)*ABS(Calc_1!AE102)&gt;Tolerance)</f>
        <v>0</v>
      </c>
      <c r="AF30" s="46" t="n">
        <f aca="false">N((Calc_1!AF$4&gt;=Calc_1!$F17)*ABS(Calc_1!AF102)&gt;Tolerance)</f>
        <v>0</v>
      </c>
      <c r="AG30" s="46" t="n">
        <f aca="false">N((Calc_1!AG$4&gt;=Calc_1!$F17)*ABS(Calc_1!AG102)&gt;Tolerance)</f>
        <v>0</v>
      </c>
      <c r="AH30" s="46" t="n">
        <f aca="false">N((Calc_1!AH$4&gt;=Calc_1!$F17)*ABS(Calc_1!AH102)&gt;Tolerance)</f>
        <v>0</v>
      </c>
      <c r="AI30" s="46" t="n">
        <f aca="false">N((Calc_1!AI$4&gt;=Calc_1!$F17)*ABS(Calc_1!AI102)&gt;Tolerance)</f>
        <v>0</v>
      </c>
      <c r="AJ30" s="46" t="n">
        <f aca="false">N((Calc_1!AJ$4&gt;=Calc_1!$F17)*ABS(Calc_1!AJ102)&gt;Tolerance)</f>
        <v>0</v>
      </c>
      <c r="AK30" s="46" t="n">
        <f aca="false">N((Calc_1!AK$4&gt;=Calc_1!$F17)*ABS(Calc_1!AK102)&gt;Tolerance)</f>
        <v>0</v>
      </c>
      <c r="AL30" s="46" t="n">
        <f aca="false">N((Calc_1!AL$4&gt;=Calc_1!$F17)*ABS(Calc_1!AL102)&gt;Tolerance)</f>
        <v>0</v>
      </c>
      <c r="AM30" s="46" t="n">
        <f aca="false">N((Calc_1!AM$4&gt;=Calc_1!$F17)*ABS(Calc_1!AM102)&gt;Tolerance)</f>
        <v>0</v>
      </c>
      <c r="AN30" s="46" t="n">
        <f aca="false">N((Calc_1!AN$4&gt;=Calc_1!$F17)*ABS(Calc_1!AN102)&gt;Tolerance)</f>
        <v>0</v>
      </c>
      <c r="AO30" s="46" t="n">
        <f aca="false">N((Calc_1!AO$4&gt;=Calc_1!$F17)*ABS(Calc_1!AO102)&gt;Tolerance)</f>
        <v>0</v>
      </c>
      <c r="AP30" s="46" t="n">
        <f aca="false">N((Calc_1!AP$4&gt;=Calc_1!$F17)*ABS(Calc_1!AP102)&gt;Tolerance)</f>
        <v>0</v>
      </c>
      <c r="AQ30" s="46" t="n">
        <f aca="false">N((Calc_1!AQ$4&gt;=Calc_1!$F17)*ABS(Calc_1!AQ102)&gt;Tolerance)</f>
        <v>0</v>
      </c>
      <c r="AR30" s="46" t="n">
        <f aca="false">N((Calc_1!AR$4&gt;=Calc_1!$F17)*ABS(Calc_1!AR102)&gt;Tolerance)</f>
        <v>0</v>
      </c>
      <c r="AS30" s="46" t="n">
        <f aca="false">N((Calc_1!AS$4&gt;=Calc_1!$F17)*ABS(Calc_1!AS102)&gt;Tolerance)</f>
        <v>0</v>
      </c>
      <c r="AT30" s="46" t="n">
        <f aca="false">N((Calc_1!AT$4&gt;=Calc_1!$F17)*ABS(Calc_1!AT102)&gt;Tolerance)</f>
        <v>0</v>
      </c>
      <c r="AU30" s="46" t="n">
        <f aca="false">N((Calc_1!AU$4&gt;=Calc_1!$F17)*ABS(Calc_1!AU102)&gt;Tolerance)</f>
        <v>0</v>
      </c>
      <c r="AV30" s="46" t="n">
        <f aca="false">N((Calc_1!AV$4&gt;=Calc_1!$F17)*ABS(Calc_1!AV102)&gt;Tolerance)</f>
        <v>0</v>
      </c>
      <c r="AW30" s="46" t="n">
        <f aca="false">N((Calc_1!AW$4&gt;=Calc_1!$F17)*ABS(Calc_1!AW102)&gt;Tolerance)</f>
        <v>0</v>
      </c>
      <c r="AX30" s="46" t="n">
        <f aca="false">N((Calc_1!AX$4&gt;=Calc_1!$F17)*ABS(Calc_1!AX102)&gt;Tolerance)</f>
        <v>0</v>
      </c>
      <c r="AY30" s="46" t="n">
        <f aca="false">N((Calc_1!AY$4&gt;=Calc_1!$F17)*ABS(Calc_1!AY102)&gt;Tolerance)</f>
        <v>0</v>
      </c>
      <c r="AZ30" s="46" t="n">
        <f aca="false">N((Calc_1!AZ$4&gt;=Calc_1!$F17)*ABS(Calc_1!AZ102)&gt;Tolerance)</f>
        <v>0</v>
      </c>
      <c r="BA30" s="46" t="n">
        <f aca="false">N((Calc_1!BA$4&gt;=Calc_1!$F17)*ABS(Calc_1!BA102)&gt;Tolerance)</f>
        <v>0</v>
      </c>
      <c r="BB30" s="46" t="n">
        <f aca="false">N((Calc_1!BB$4&gt;=Calc_1!$F17)*ABS(Calc_1!BB102)&gt;Tolerance)</f>
        <v>0</v>
      </c>
      <c r="BC30" s="46" t="n">
        <f aca="false">N((Calc_1!BC$4&gt;=Calc_1!$F17)*ABS(Calc_1!BC102)&gt;Tolerance)</f>
        <v>0</v>
      </c>
      <c r="BD30" s="46" t="n">
        <f aca="false">N((Calc_1!BD$4&gt;=Calc_1!$F17)*ABS(Calc_1!BD102)&gt;Tolerance)</f>
        <v>0</v>
      </c>
      <c r="BE30" s="46" t="n">
        <f aca="false">N((Calc_1!BE$4&gt;=Calc_1!$F17)*ABS(Calc_1!BE102)&gt;Tolerance)</f>
        <v>0</v>
      </c>
      <c r="BF30" s="46" t="n">
        <f aca="false">N((Calc_1!BF$4&gt;=Calc_1!$F17)*ABS(Calc_1!BF102)&gt;Tolerance)</f>
        <v>0</v>
      </c>
      <c r="BG30" s="46" t="n">
        <f aca="false">N((Calc_1!BG$4&gt;=Calc_1!$F17)*ABS(Calc_1!BG102)&gt;Tolerance)</f>
        <v>0</v>
      </c>
      <c r="BH30" s="46" t="n">
        <f aca="false">N((Calc_1!BH$4&gt;=Calc_1!$F17)*ABS(Calc_1!BH102)&gt;Tolerance)</f>
        <v>0</v>
      </c>
      <c r="BI30" s="46" t="n">
        <f aca="false">N((Calc_1!BI$4&gt;=Calc_1!$F17)*ABS(Calc_1!BI102)&gt;Tolerance)</f>
        <v>0</v>
      </c>
      <c r="BJ30" s="46" t="n">
        <f aca="false">N((Calc_1!BJ$4&gt;=Calc_1!$F17)*ABS(Calc_1!BJ102)&gt;Tolerance)</f>
        <v>0</v>
      </c>
      <c r="BK30" s="46" t="n">
        <f aca="false">N((Calc_1!BK$4&gt;=Calc_1!$F17)*ABS(Calc_1!BK102)&gt;Tolerance)</f>
        <v>0</v>
      </c>
      <c r="BL30" s="46" t="n">
        <f aca="false">N((Calc_1!BL$4&gt;=Calc_1!$F17)*ABS(Calc_1!BL102)&gt;Tolerance)</f>
        <v>0</v>
      </c>
      <c r="BM30" s="46" t="n">
        <f aca="false">N((Calc_1!BM$4&gt;=Calc_1!$F17)*ABS(Calc_1!BM102)&gt;Tolerance)</f>
        <v>0</v>
      </c>
      <c r="BN30" s="46" t="n">
        <f aca="false">N((Calc_1!BN$4&gt;=Calc_1!$F17)*ABS(Calc_1!BN102)&gt;Tolerance)</f>
        <v>0</v>
      </c>
      <c r="BO30" s="46" t="n">
        <f aca="false">N((Calc_1!BO$4&gt;=Calc_1!$F17)*ABS(Calc_1!BO102)&gt;Tolerance)</f>
        <v>0</v>
      </c>
      <c r="BP30" s="46" t="n">
        <f aca="false">N((Calc_1!BP$4&gt;=Calc_1!$F17)*ABS(Calc_1!BP102)&gt;Tolerance)</f>
        <v>0</v>
      </c>
      <c r="BQ30" s="46" t="n">
        <f aca="false">N((Calc_1!BQ$4&gt;=Calc_1!$F17)*ABS(Calc_1!BQ102)&gt;Tolerance)</f>
        <v>0</v>
      </c>
      <c r="BR30" s="46" t="n">
        <f aca="false">N((Calc_1!BR$4&gt;=Calc_1!$F17)*ABS(Calc_1!BR102)&gt;Tolerance)</f>
        <v>0</v>
      </c>
      <c r="BS30" s="46" t="n">
        <f aca="false">N((Calc_1!BS$4&gt;=Calc_1!$F17)*ABS(Calc_1!BS102)&gt;Tolerance)</f>
        <v>0</v>
      </c>
      <c r="BT30" s="46" t="n">
        <f aca="false">N((Calc_1!BT$4&gt;=Calc_1!$F17)*ABS(Calc_1!BT102)&gt;Tolerance)</f>
        <v>0</v>
      </c>
      <c r="BU30" s="46" t="n">
        <f aca="false">N((Calc_1!BU$4&gt;=Calc_1!$F17)*ABS(Calc_1!BU102)&gt;Tolerance)</f>
        <v>0</v>
      </c>
      <c r="BV30" s="46" t="n">
        <f aca="false">N((Calc_1!BV$4&gt;=Calc_1!$F17)*ABS(Calc_1!BV102)&gt;Tolerance)</f>
        <v>0</v>
      </c>
      <c r="BW30" s="46" t="n">
        <f aca="false">N((Calc_1!BW$4&gt;=Calc_1!$F17)*ABS(Calc_1!BW102)&gt;Tolerance)</f>
        <v>0</v>
      </c>
      <c r="BX30" s="46" t="n">
        <f aca="false">N((Calc_1!BX$4&gt;=Calc_1!$F17)*ABS(Calc_1!BX102)&gt;Tolerance)</f>
        <v>0</v>
      </c>
      <c r="BY30" s="46" t="n">
        <f aca="false">N((Calc_1!BY$4&gt;=Calc_1!$F17)*ABS(Calc_1!BY102)&gt;Tolerance)</f>
        <v>0</v>
      </c>
      <c r="BZ30" s="46" t="n">
        <f aca="false">N((Calc_1!BZ$4&gt;=Calc_1!$F17)*ABS(Calc_1!BZ102)&gt;Tolerance)</f>
        <v>0</v>
      </c>
      <c r="CA30" s="46" t="n">
        <f aca="false">N((Calc_1!CA$4&gt;=Calc_1!$F17)*ABS(Calc_1!CA102)&gt;Tolerance)</f>
        <v>0</v>
      </c>
      <c r="CB30" s="46" t="n">
        <f aca="false">N((Calc_1!CB$4&gt;=Calc_1!$F17)*ABS(Calc_1!CB102)&gt;Tolerance)</f>
        <v>0</v>
      </c>
      <c r="CC30" s="46" t="n">
        <f aca="false">N((Calc_1!CC$4&gt;=Calc_1!$F17)*ABS(Calc_1!CC102)&gt;Tolerance)</f>
        <v>0</v>
      </c>
      <c r="CD30" s="46" t="n">
        <f aca="false">N((Calc_1!CD$4&gt;=Calc_1!$F17)*ABS(Calc_1!CD102)&gt;Tolerance)</f>
        <v>0</v>
      </c>
      <c r="CE30" s="46" t="n">
        <f aca="false">N((Calc_1!CE$4&gt;=Calc_1!$F17)*ABS(Calc_1!CE102)&gt;Tolerance)</f>
        <v>0</v>
      </c>
      <c r="CF30" s="46" t="n">
        <f aca="false">N((Calc_1!CF$4&gt;=Calc_1!$F17)*ABS(Calc_1!CF102)&gt;Tolerance)</f>
        <v>0</v>
      </c>
      <c r="CG30" s="46" t="n">
        <f aca="false">N((Calc_1!CG$4&gt;=Calc_1!$F17)*ABS(Calc_1!CG102)&gt;Tolerance)</f>
        <v>0</v>
      </c>
      <c r="CH30" s="46" t="n">
        <f aca="false">N((Calc_1!CH$4&gt;=Calc_1!$F17)*ABS(Calc_1!CH102)&gt;Tolerance)</f>
        <v>0</v>
      </c>
      <c r="CI30" s="46" t="n">
        <f aca="false">N((Calc_1!CI$4&gt;=Calc_1!$F17)*ABS(Calc_1!CI102)&gt;Tolerance)</f>
        <v>0</v>
      </c>
      <c r="CJ30" s="46" t="n">
        <f aca="false">N((Calc_1!CJ$4&gt;=Calc_1!$F17)*ABS(Calc_1!CJ102)&gt;Tolerance)</f>
        <v>0</v>
      </c>
      <c r="CK30" s="46" t="n">
        <f aca="false">N((Calc_1!CK$4&gt;=Calc_1!$F17)*ABS(Calc_1!CK102)&gt;Tolerance)</f>
        <v>0</v>
      </c>
      <c r="CL30" s="46" t="n">
        <f aca="false">N((Calc_1!CL$4&gt;=Calc_1!$F17)*ABS(Calc_1!CL102)&gt;Tolerance)</f>
        <v>0</v>
      </c>
      <c r="CM30" s="46" t="n">
        <f aca="false">N((Calc_1!CM$4&gt;=Calc_1!$F17)*ABS(Calc_1!CM102)&gt;Tolerance)</f>
        <v>0</v>
      </c>
      <c r="CN30" s="46" t="n">
        <f aca="false">N((Calc_1!CN$4&gt;=Calc_1!$F17)*ABS(Calc_1!CN102)&gt;Tolerance)</f>
        <v>0</v>
      </c>
      <c r="CO30" s="46" t="n">
        <f aca="false">N((Calc_1!CO$4&gt;=Calc_1!$F17)*ABS(Calc_1!CO102)&gt;Tolerance)</f>
        <v>0</v>
      </c>
      <c r="CP30" s="46" t="n">
        <f aca="false">N((Calc_1!CP$4&gt;=Calc_1!$F17)*ABS(Calc_1!CP102)&gt;Tolerance)</f>
        <v>0</v>
      </c>
      <c r="CQ30" s="46" t="n">
        <f aca="false">N((Calc_1!CQ$4&gt;=Calc_1!$F17)*ABS(Calc_1!CQ102)&gt;Tolerance)</f>
        <v>0</v>
      </c>
      <c r="CR30" s="46" t="n">
        <f aca="false">N((Calc_1!CR$4&gt;=Calc_1!$F17)*ABS(Calc_1!CR102)&gt;Tolerance)</f>
        <v>0</v>
      </c>
      <c r="CS30" s="46" t="n">
        <f aca="false">N((Calc_1!CS$4&gt;=Calc_1!$F17)*ABS(Calc_1!CS102)&gt;Tolerance)</f>
        <v>0</v>
      </c>
      <c r="CT30" s="46" t="n">
        <f aca="false">N((Calc_1!CT$4&gt;=Calc_1!$F17)*ABS(Calc_1!CT102)&gt;Tolerance)</f>
        <v>0</v>
      </c>
      <c r="CU30" s="46" t="n">
        <f aca="false">N((Calc_1!CU$4&gt;=Calc_1!$F17)*ABS(Calc_1!CU102)&gt;Tolerance)</f>
        <v>0</v>
      </c>
      <c r="CV30" s="46" t="n">
        <f aca="false">N((Calc_1!CV$4&gt;=Calc_1!$F17)*ABS(Calc_1!CV102)&gt;Tolerance)</f>
        <v>0</v>
      </c>
      <c r="CW30" s="46" t="n">
        <f aca="false">N((Calc_1!CW$4&gt;=Calc_1!$F17)*ABS(Calc_1!CW102)&gt;Tolerance)</f>
        <v>0</v>
      </c>
      <c r="CX30" s="46" t="n">
        <f aca="false">N((Calc_1!CX$4&gt;=Calc_1!$F17)*ABS(Calc_1!CX102)&gt;Tolerance)</f>
        <v>0</v>
      </c>
      <c r="CY30" s="46" t="n">
        <f aca="false">N((Calc_1!CY$4&gt;=Calc_1!$F17)*ABS(Calc_1!CY102)&gt;Tolerance)</f>
        <v>0</v>
      </c>
      <c r="CZ30" s="46" t="n">
        <f aca="false">N((Calc_1!CZ$4&gt;=Calc_1!$F17)*ABS(Calc_1!CZ102)&gt;Tolerance)</f>
        <v>0</v>
      </c>
      <c r="DA30" s="46" t="n">
        <f aca="false">N((Calc_1!DA$4&gt;=Calc_1!$F17)*ABS(Calc_1!DA102)&gt;Tolerance)</f>
        <v>0</v>
      </c>
      <c r="DB30" s="46" t="n">
        <f aca="false">N((Calc_1!DB$4&gt;=Calc_1!$F17)*ABS(Calc_1!DB102)&gt;Tolerance)</f>
        <v>0</v>
      </c>
      <c r="DC30" s="46" t="n">
        <f aca="false">N((Calc_1!DC$4&gt;=Calc_1!$F17)*ABS(Calc_1!DC102)&gt;Tolerance)</f>
        <v>0</v>
      </c>
      <c r="DD30" s="46" t="n">
        <f aca="false">N((Calc_1!DD$4&gt;=Calc_1!$F17)*ABS(Calc_1!DD102)&gt;Tolerance)</f>
        <v>0</v>
      </c>
      <c r="DE30" s="46" t="n">
        <f aca="false">N((Calc_1!DE$4&gt;=Calc_1!$F17)*ABS(Calc_1!DE102)&gt;Tolerance)</f>
        <v>0</v>
      </c>
      <c r="DF30" s="46" t="n">
        <f aca="false">N((Calc_1!DF$4&gt;=Calc_1!$F17)*ABS(Calc_1!DF102)&gt;Tolerance)</f>
        <v>0</v>
      </c>
      <c r="DG30" s="46" t="n">
        <f aca="false">N((Calc_1!DG$4&gt;=Calc_1!$F17)*ABS(Calc_1!DG102)&gt;Tolerance)</f>
        <v>0</v>
      </c>
      <c r="DH30" s="46" t="n">
        <f aca="false">N((Calc_1!DH$4&gt;=Calc_1!$F17)*ABS(Calc_1!DH102)&gt;Tolerance)</f>
        <v>0</v>
      </c>
      <c r="DI30" s="46" t="n">
        <f aca="false">N((Calc_1!DI$4&gt;=Calc_1!$F17)*ABS(Calc_1!DI102)&gt;Tolerance)</f>
        <v>0</v>
      </c>
      <c r="DJ30" s="46" t="n">
        <f aca="false">N((Calc_1!DJ$4&gt;=Calc_1!$F17)*ABS(Calc_1!DJ102)&gt;Tolerance)</f>
        <v>0</v>
      </c>
      <c r="DK30" s="46" t="n">
        <f aca="false">N((Calc_1!DK$4&gt;=Calc_1!$F17)*ABS(Calc_1!DK102)&gt;Tolerance)</f>
        <v>0</v>
      </c>
      <c r="DL30" s="46" t="n">
        <f aca="false">N((Calc_1!DL$4&gt;=Calc_1!$F17)*ABS(Calc_1!DL102)&gt;Tolerance)</f>
        <v>0</v>
      </c>
      <c r="DM30" s="46" t="n">
        <f aca="false">N((Calc_1!DM$4&gt;=Calc_1!$F17)*ABS(Calc_1!DM102)&gt;Tolerance)</f>
        <v>0</v>
      </c>
      <c r="DN30" s="46" t="n">
        <f aca="false">N((Calc_1!DN$4&gt;=Calc_1!$F17)*ABS(Calc_1!DN102)&gt;Tolerance)</f>
        <v>0</v>
      </c>
      <c r="DO30" s="46" t="n">
        <f aca="false">N((Calc_1!DO$4&gt;=Calc_1!$F17)*ABS(Calc_1!DO102)&gt;Tolerance)</f>
        <v>0</v>
      </c>
      <c r="DP30" s="46" t="n">
        <f aca="false">N((Calc_1!DP$4&gt;=Calc_1!$F17)*ABS(Calc_1!DP102)&gt;Tolerance)</f>
        <v>0</v>
      </c>
      <c r="DQ30" s="46" t="n">
        <f aca="false">N((Calc_1!DQ$4&gt;=Calc_1!$F17)*ABS(Calc_1!DQ102)&gt;Tolerance)</f>
        <v>0</v>
      </c>
      <c r="DR30" s="46" t="n">
        <f aca="false">N((Calc_1!DR$4&gt;=Calc_1!$F17)*ABS(Calc_1!DR102)&gt;Tolerance)</f>
        <v>0</v>
      </c>
      <c r="DS30" s="46" t="n">
        <f aca="false">N((Calc_1!DS$4&gt;=Calc_1!$F17)*ABS(Calc_1!DS102)&gt;Tolerance)</f>
        <v>0</v>
      </c>
      <c r="DT30" s="46" t="n">
        <f aca="false">N((Calc_1!DT$4&gt;=Calc_1!$F17)*ABS(Calc_1!DT102)&gt;Tolerance)</f>
        <v>0</v>
      </c>
      <c r="DU30" s="46" t="n">
        <f aca="false">N((Calc_1!DU$4&gt;=Calc_1!$F17)*ABS(Calc_1!DU102)&gt;Tolerance)</f>
        <v>0</v>
      </c>
      <c r="DV30" s="46" t="n">
        <f aca="false">N((Calc_1!DV$4&gt;=Calc_1!$F17)*ABS(Calc_1!DV102)&gt;Tolerance)</f>
        <v>0</v>
      </c>
      <c r="DW30" s="46" t="n">
        <f aca="false">N((Calc_1!DW$4&gt;=Calc_1!$F17)*ABS(Calc_1!DW102)&gt;Tolerance)</f>
        <v>0</v>
      </c>
      <c r="DX30" s="46" t="n">
        <f aca="false">N((Calc_1!DX$4&gt;=Calc_1!$F17)*ABS(Calc_1!DX102)&gt;Tolerance)</f>
        <v>0</v>
      </c>
      <c r="DY30" s="46" t="n">
        <f aca="false">N((Calc_1!DY$4&gt;=Calc_1!$F17)*ABS(Calc_1!DY102)&gt;Tolerance)</f>
        <v>0</v>
      </c>
      <c r="DZ30" s="46" t="n">
        <f aca="false">N((Calc_1!DZ$4&gt;=Calc_1!$F17)*ABS(Calc_1!DZ102)&gt;Tolerance)</f>
        <v>0</v>
      </c>
      <c r="EA30" s="46" t="n">
        <f aca="false">N((Calc_1!EA$4&gt;=Calc_1!$F17)*ABS(Calc_1!EA102)&gt;Tolerance)</f>
        <v>0</v>
      </c>
      <c r="EB30" s="46" t="n">
        <f aca="false">N((Calc_1!EB$4&gt;=Calc_1!$F17)*ABS(Calc_1!EB102)&gt;Tolerance)</f>
        <v>0</v>
      </c>
      <c r="EC30" s="46" t="n">
        <f aca="false">N((Calc_1!EC$4&gt;=Calc_1!$F17)*ABS(Calc_1!EC102)&gt;Tolerance)</f>
        <v>0</v>
      </c>
      <c r="ED30" s="46" t="n">
        <f aca="false">N((Calc_1!ED$4&gt;=Calc_1!$F17)*ABS(Calc_1!ED102)&gt;Tolerance)</f>
        <v>0</v>
      </c>
      <c r="EE30" s="46" t="n">
        <f aca="false">N((Calc_1!EE$4&gt;=Calc_1!$F17)*ABS(Calc_1!EE102)&gt;Tolerance)</f>
        <v>0</v>
      </c>
      <c r="EF30" s="46" t="n">
        <f aca="false">N((Calc_1!EF$4&gt;=Calc_1!$F17)*ABS(Calc_1!EF102)&gt;Tolerance)</f>
        <v>0</v>
      </c>
      <c r="EG30" s="46" t="n">
        <f aca="false">N((Calc_1!EG$4&gt;=Calc_1!$F17)*ABS(Calc_1!EG102)&gt;Tolerance)</f>
        <v>0</v>
      </c>
      <c r="EH30" s="46" t="n">
        <f aca="false">N((Calc_1!EH$4&gt;=Calc_1!$F17)*ABS(Calc_1!EH102)&gt;Tolerance)</f>
        <v>0</v>
      </c>
      <c r="EI30" s="46" t="n">
        <f aca="false">N((Calc_1!EI$4&gt;=Calc_1!$F17)*ABS(Calc_1!EI102)&gt;Tolerance)</f>
        <v>0</v>
      </c>
      <c r="EJ30" s="46" t="n">
        <f aca="false">N((Calc_1!EJ$4&gt;=Calc_1!$F17)*ABS(Calc_1!EJ102)&gt;Tolerance)</f>
        <v>0</v>
      </c>
      <c r="EK30" s="46" t="n">
        <f aca="false">N((Calc_1!EK$4&gt;=Calc_1!$F17)*ABS(Calc_1!EK102)&gt;Tolerance)</f>
        <v>0</v>
      </c>
      <c r="EL30" s="46" t="n">
        <f aca="false">N((Calc_1!EL$4&gt;=Calc_1!$F17)*ABS(Calc_1!EL102)&gt;Tolerance)</f>
        <v>0</v>
      </c>
      <c r="EM30" s="46" t="n">
        <f aca="false">N((Calc_1!EM$4&gt;=Calc_1!$F17)*ABS(Calc_1!EM102)&gt;Tolerance)</f>
        <v>0</v>
      </c>
      <c r="EN30" s="46" t="n">
        <f aca="false">N((Calc_1!EN$4&gt;=Calc_1!$F17)*ABS(Calc_1!EN102)&gt;Tolerance)</f>
        <v>0</v>
      </c>
      <c r="EO30" s="46" t="n">
        <f aca="false">N((Calc_1!EO$4&gt;=Calc_1!$F17)*ABS(Calc_1!EO102)&gt;Tolerance)</f>
        <v>0</v>
      </c>
      <c r="EP30" s="46" t="n">
        <f aca="false">N((Calc_1!EP$4&gt;=Calc_1!$F17)*ABS(Calc_1!EP102)&gt;Tolerance)</f>
        <v>0</v>
      </c>
      <c r="EQ30" s="46" t="n">
        <f aca="false">N((Calc_1!EQ$4&gt;=Calc_1!$F17)*ABS(Calc_1!EQ102)&gt;Tolerance)</f>
        <v>0</v>
      </c>
      <c r="ER30" s="46" t="n">
        <f aca="false">N((Calc_1!ER$4&gt;=Calc_1!$F17)*ABS(Calc_1!ER102)&gt;Tolerance)</f>
        <v>0</v>
      </c>
      <c r="ES30" s="46" t="n">
        <f aca="false">N((Calc_1!ES$4&gt;=Calc_1!$F17)*ABS(Calc_1!ES102)&gt;Tolerance)</f>
        <v>0</v>
      </c>
      <c r="ET30" s="46" t="n">
        <f aca="false">N((Calc_1!ET$4&gt;=Calc_1!$F17)*ABS(Calc_1!ET102)&gt;Tolerance)</f>
        <v>0</v>
      </c>
    </row>
    <row r="31" customFormat="false" ht="15" hidden="false" customHeight="false" outlineLevel="0" collapsed="false">
      <c r="C31" s="0" t="s">
        <v>645</v>
      </c>
      <c r="D31" s="11" t="s">
        <v>41</v>
      </c>
      <c r="E31" s="36" t="str">
        <f aca="false">IF(F31=0,"OK","CHECK")</f>
        <v>OK</v>
      </c>
      <c r="F31" s="46" t="n">
        <f aca="false">SUM(J31:ET31)</f>
        <v>0</v>
      </c>
      <c r="J31" s="46" t="n">
        <f aca="false">N((Calc_2!J$4&gt;=Calc_2!$F17)*ABS(Calc_2!J102)&gt;Tolerance)</f>
        <v>0</v>
      </c>
      <c r="K31" s="46" t="n">
        <f aca="false">N((Calc_2!K$4&gt;=Calc_2!$F17)*ABS(Calc_2!K102)&gt;Tolerance)</f>
        <v>0</v>
      </c>
      <c r="L31" s="46" t="n">
        <f aca="false">N((Calc_2!L$4&gt;=Calc_2!$F17)*ABS(Calc_2!L102)&gt;Tolerance)</f>
        <v>0</v>
      </c>
      <c r="M31" s="46" t="n">
        <f aca="false">N((Calc_2!M$4&gt;=Calc_2!$F17)*ABS(Calc_2!M102)&gt;Tolerance)</f>
        <v>0</v>
      </c>
      <c r="N31" s="46" t="n">
        <f aca="false">N((Calc_2!N$4&gt;=Calc_2!$F17)*ABS(Calc_2!N102)&gt;Tolerance)</f>
        <v>0</v>
      </c>
      <c r="O31" s="46" t="n">
        <f aca="false">N((Calc_2!O$4&gt;=Calc_2!$F17)*ABS(Calc_2!O102)&gt;Tolerance)</f>
        <v>0</v>
      </c>
      <c r="P31" s="46" t="n">
        <f aca="false">N((Calc_2!P$4&gt;=Calc_2!$F17)*ABS(Calc_2!P102)&gt;Tolerance)</f>
        <v>0</v>
      </c>
      <c r="Q31" s="46" t="n">
        <f aca="false">N((Calc_2!Q$4&gt;=Calc_2!$F17)*ABS(Calc_2!Q102)&gt;Tolerance)</f>
        <v>0</v>
      </c>
      <c r="R31" s="46" t="n">
        <f aca="false">N((Calc_2!R$4&gt;=Calc_2!$F17)*ABS(Calc_2!R102)&gt;Tolerance)</f>
        <v>0</v>
      </c>
      <c r="S31" s="46" t="n">
        <f aca="false">N((Calc_2!S$4&gt;=Calc_2!$F17)*ABS(Calc_2!S102)&gt;Tolerance)</f>
        <v>0</v>
      </c>
      <c r="T31" s="46" t="n">
        <f aca="false">N((Calc_2!T$4&gt;=Calc_2!$F17)*ABS(Calc_2!T102)&gt;Tolerance)</f>
        <v>0</v>
      </c>
      <c r="U31" s="46" t="n">
        <f aca="false">N((Calc_2!U$4&gt;=Calc_2!$F17)*ABS(Calc_2!U102)&gt;Tolerance)</f>
        <v>0</v>
      </c>
      <c r="V31" s="46" t="n">
        <f aca="false">N((Calc_2!V$4&gt;=Calc_2!$F17)*ABS(Calc_2!V102)&gt;Tolerance)</f>
        <v>0</v>
      </c>
      <c r="W31" s="46" t="n">
        <f aca="false">N((Calc_2!W$4&gt;=Calc_2!$F17)*ABS(Calc_2!W102)&gt;Tolerance)</f>
        <v>0</v>
      </c>
      <c r="X31" s="46" t="n">
        <f aca="false">N((Calc_2!X$4&gt;=Calc_2!$F17)*ABS(Calc_2!X102)&gt;Tolerance)</f>
        <v>0</v>
      </c>
      <c r="Y31" s="46" t="n">
        <f aca="false">N((Calc_2!Y$4&gt;=Calc_2!$F17)*ABS(Calc_2!Y102)&gt;Tolerance)</f>
        <v>0</v>
      </c>
      <c r="Z31" s="46" t="n">
        <f aca="false">N((Calc_2!Z$4&gt;=Calc_2!$F17)*ABS(Calc_2!Z102)&gt;Tolerance)</f>
        <v>0</v>
      </c>
      <c r="AA31" s="46" t="n">
        <f aca="false">N((Calc_2!AA$4&gt;=Calc_2!$F17)*ABS(Calc_2!AA102)&gt;Tolerance)</f>
        <v>0</v>
      </c>
      <c r="AB31" s="46" t="n">
        <f aca="false">N((Calc_2!AB$4&gt;=Calc_2!$F17)*ABS(Calc_2!AB102)&gt;Tolerance)</f>
        <v>0</v>
      </c>
      <c r="AC31" s="46" t="n">
        <f aca="false">N((Calc_2!AC$4&gt;=Calc_2!$F17)*ABS(Calc_2!AC102)&gt;Tolerance)</f>
        <v>0</v>
      </c>
      <c r="AD31" s="46" t="n">
        <f aca="false">N((Calc_2!AD$4&gt;=Calc_2!$F17)*ABS(Calc_2!AD102)&gt;Tolerance)</f>
        <v>0</v>
      </c>
      <c r="AE31" s="46" t="n">
        <f aca="false">N((Calc_2!AE$4&gt;=Calc_2!$F17)*ABS(Calc_2!AE102)&gt;Tolerance)</f>
        <v>0</v>
      </c>
      <c r="AF31" s="46" t="n">
        <f aca="false">N((Calc_2!AF$4&gt;=Calc_2!$F17)*ABS(Calc_2!AF102)&gt;Tolerance)</f>
        <v>0</v>
      </c>
      <c r="AG31" s="46" t="n">
        <f aca="false">N((Calc_2!AG$4&gt;=Calc_2!$F17)*ABS(Calc_2!AG102)&gt;Tolerance)</f>
        <v>0</v>
      </c>
      <c r="AH31" s="46" t="n">
        <f aca="false">N((Calc_2!AH$4&gt;=Calc_2!$F17)*ABS(Calc_2!AH102)&gt;Tolerance)</f>
        <v>0</v>
      </c>
      <c r="AI31" s="46" t="n">
        <f aca="false">N((Calc_2!AI$4&gt;=Calc_2!$F17)*ABS(Calc_2!AI102)&gt;Tolerance)</f>
        <v>0</v>
      </c>
      <c r="AJ31" s="46" t="n">
        <f aca="false">N((Calc_2!AJ$4&gt;=Calc_2!$F17)*ABS(Calc_2!AJ102)&gt;Tolerance)</f>
        <v>0</v>
      </c>
      <c r="AK31" s="46" t="n">
        <f aca="false">N((Calc_2!AK$4&gt;=Calc_2!$F17)*ABS(Calc_2!AK102)&gt;Tolerance)</f>
        <v>0</v>
      </c>
      <c r="AL31" s="46" t="n">
        <f aca="false">N((Calc_2!AL$4&gt;=Calc_2!$F17)*ABS(Calc_2!AL102)&gt;Tolerance)</f>
        <v>0</v>
      </c>
      <c r="AM31" s="46" t="n">
        <f aca="false">N((Calc_2!AM$4&gt;=Calc_2!$F17)*ABS(Calc_2!AM102)&gt;Tolerance)</f>
        <v>0</v>
      </c>
      <c r="AN31" s="46" t="n">
        <f aca="false">N((Calc_2!AN$4&gt;=Calc_2!$F17)*ABS(Calc_2!AN102)&gt;Tolerance)</f>
        <v>0</v>
      </c>
      <c r="AO31" s="46" t="n">
        <f aca="false">N((Calc_2!AO$4&gt;=Calc_2!$F17)*ABS(Calc_2!AO102)&gt;Tolerance)</f>
        <v>0</v>
      </c>
      <c r="AP31" s="46" t="n">
        <f aca="false">N((Calc_2!AP$4&gt;=Calc_2!$F17)*ABS(Calc_2!AP102)&gt;Tolerance)</f>
        <v>0</v>
      </c>
      <c r="AQ31" s="46" t="n">
        <f aca="false">N((Calc_2!AQ$4&gt;=Calc_2!$F17)*ABS(Calc_2!AQ102)&gt;Tolerance)</f>
        <v>0</v>
      </c>
      <c r="AR31" s="46" t="n">
        <f aca="false">N((Calc_2!AR$4&gt;=Calc_2!$F17)*ABS(Calc_2!AR102)&gt;Tolerance)</f>
        <v>0</v>
      </c>
      <c r="AS31" s="46" t="n">
        <f aca="false">N((Calc_2!AS$4&gt;=Calc_2!$F17)*ABS(Calc_2!AS102)&gt;Tolerance)</f>
        <v>0</v>
      </c>
      <c r="AT31" s="46" t="n">
        <f aca="false">N((Calc_2!AT$4&gt;=Calc_2!$F17)*ABS(Calc_2!AT102)&gt;Tolerance)</f>
        <v>0</v>
      </c>
      <c r="AU31" s="46" t="n">
        <f aca="false">N((Calc_2!AU$4&gt;=Calc_2!$F17)*ABS(Calc_2!AU102)&gt;Tolerance)</f>
        <v>0</v>
      </c>
      <c r="AV31" s="46" t="n">
        <f aca="false">N((Calc_2!AV$4&gt;=Calc_2!$F17)*ABS(Calc_2!AV102)&gt;Tolerance)</f>
        <v>0</v>
      </c>
      <c r="AW31" s="46" t="n">
        <f aca="false">N((Calc_2!AW$4&gt;=Calc_2!$F17)*ABS(Calc_2!AW102)&gt;Tolerance)</f>
        <v>0</v>
      </c>
      <c r="AX31" s="46" t="n">
        <f aca="false">N((Calc_2!AX$4&gt;=Calc_2!$F17)*ABS(Calc_2!AX102)&gt;Tolerance)</f>
        <v>0</v>
      </c>
      <c r="AY31" s="46" t="n">
        <f aca="false">N((Calc_2!AY$4&gt;=Calc_2!$F17)*ABS(Calc_2!AY102)&gt;Tolerance)</f>
        <v>0</v>
      </c>
      <c r="AZ31" s="46" t="n">
        <f aca="false">N((Calc_2!AZ$4&gt;=Calc_2!$F17)*ABS(Calc_2!AZ102)&gt;Tolerance)</f>
        <v>0</v>
      </c>
      <c r="BA31" s="46" t="n">
        <f aca="false">N((Calc_2!BA$4&gt;=Calc_2!$F17)*ABS(Calc_2!BA102)&gt;Tolerance)</f>
        <v>0</v>
      </c>
      <c r="BB31" s="46" t="n">
        <f aca="false">N((Calc_2!BB$4&gt;=Calc_2!$F17)*ABS(Calc_2!BB102)&gt;Tolerance)</f>
        <v>0</v>
      </c>
      <c r="BC31" s="46" t="n">
        <f aca="false">N((Calc_2!BC$4&gt;=Calc_2!$F17)*ABS(Calc_2!BC102)&gt;Tolerance)</f>
        <v>0</v>
      </c>
      <c r="BD31" s="46" t="n">
        <f aca="false">N((Calc_2!BD$4&gt;=Calc_2!$F17)*ABS(Calc_2!BD102)&gt;Tolerance)</f>
        <v>0</v>
      </c>
      <c r="BE31" s="46" t="n">
        <f aca="false">N((Calc_2!BE$4&gt;=Calc_2!$F17)*ABS(Calc_2!BE102)&gt;Tolerance)</f>
        <v>0</v>
      </c>
      <c r="BF31" s="46" t="n">
        <f aca="false">N((Calc_2!BF$4&gt;=Calc_2!$F17)*ABS(Calc_2!BF102)&gt;Tolerance)</f>
        <v>0</v>
      </c>
      <c r="BG31" s="46" t="n">
        <f aca="false">N((Calc_2!BG$4&gt;=Calc_2!$F17)*ABS(Calc_2!BG102)&gt;Tolerance)</f>
        <v>0</v>
      </c>
      <c r="BH31" s="46" t="n">
        <f aca="false">N((Calc_2!BH$4&gt;=Calc_2!$F17)*ABS(Calc_2!BH102)&gt;Tolerance)</f>
        <v>0</v>
      </c>
      <c r="BI31" s="46" t="n">
        <f aca="false">N((Calc_2!BI$4&gt;=Calc_2!$F17)*ABS(Calc_2!BI102)&gt;Tolerance)</f>
        <v>0</v>
      </c>
      <c r="BJ31" s="46" t="n">
        <f aca="false">N((Calc_2!BJ$4&gt;=Calc_2!$F17)*ABS(Calc_2!BJ102)&gt;Tolerance)</f>
        <v>0</v>
      </c>
      <c r="BK31" s="46" t="n">
        <f aca="false">N((Calc_2!BK$4&gt;=Calc_2!$F17)*ABS(Calc_2!BK102)&gt;Tolerance)</f>
        <v>0</v>
      </c>
      <c r="BL31" s="46" t="n">
        <f aca="false">N((Calc_2!BL$4&gt;=Calc_2!$F17)*ABS(Calc_2!BL102)&gt;Tolerance)</f>
        <v>0</v>
      </c>
      <c r="BM31" s="46" t="n">
        <f aca="false">N((Calc_2!BM$4&gt;=Calc_2!$F17)*ABS(Calc_2!BM102)&gt;Tolerance)</f>
        <v>0</v>
      </c>
      <c r="BN31" s="46" t="n">
        <f aca="false">N((Calc_2!BN$4&gt;=Calc_2!$F17)*ABS(Calc_2!BN102)&gt;Tolerance)</f>
        <v>0</v>
      </c>
      <c r="BO31" s="46" t="n">
        <f aca="false">N((Calc_2!BO$4&gt;=Calc_2!$F17)*ABS(Calc_2!BO102)&gt;Tolerance)</f>
        <v>0</v>
      </c>
      <c r="BP31" s="46" t="n">
        <f aca="false">N((Calc_2!BP$4&gt;=Calc_2!$F17)*ABS(Calc_2!BP102)&gt;Tolerance)</f>
        <v>0</v>
      </c>
      <c r="BQ31" s="46" t="n">
        <f aca="false">N((Calc_2!BQ$4&gt;=Calc_2!$F17)*ABS(Calc_2!BQ102)&gt;Tolerance)</f>
        <v>0</v>
      </c>
      <c r="BR31" s="46" t="n">
        <f aca="false">N((Calc_2!BR$4&gt;=Calc_2!$F17)*ABS(Calc_2!BR102)&gt;Tolerance)</f>
        <v>0</v>
      </c>
      <c r="BS31" s="46" t="n">
        <f aca="false">N((Calc_2!BS$4&gt;=Calc_2!$F17)*ABS(Calc_2!BS102)&gt;Tolerance)</f>
        <v>0</v>
      </c>
      <c r="BT31" s="46" t="n">
        <f aca="false">N((Calc_2!BT$4&gt;=Calc_2!$F17)*ABS(Calc_2!BT102)&gt;Tolerance)</f>
        <v>0</v>
      </c>
      <c r="BU31" s="46" t="n">
        <f aca="false">N((Calc_2!BU$4&gt;=Calc_2!$F17)*ABS(Calc_2!BU102)&gt;Tolerance)</f>
        <v>0</v>
      </c>
      <c r="BV31" s="46" t="n">
        <f aca="false">N((Calc_2!BV$4&gt;=Calc_2!$F17)*ABS(Calc_2!BV102)&gt;Tolerance)</f>
        <v>0</v>
      </c>
      <c r="BW31" s="46" t="n">
        <f aca="false">N((Calc_2!BW$4&gt;=Calc_2!$F17)*ABS(Calc_2!BW102)&gt;Tolerance)</f>
        <v>0</v>
      </c>
      <c r="BX31" s="46" t="n">
        <f aca="false">N((Calc_2!BX$4&gt;=Calc_2!$F17)*ABS(Calc_2!BX102)&gt;Tolerance)</f>
        <v>0</v>
      </c>
      <c r="BY31" s="46" t="n">
        <f aca="false">N((Calc_2!BY$4&gt;=Calc_2!$F17)*ABS(Calc_2!BY102)&gt;Tolerance)</f>
        <v>0</v>
      </c>
      <c r="BZ31" s="46" t="n">
        <f aca="false">N((Calc_2!BZ$4&gt;=Calc_2!$F17)*ABS(Calc_2!BZ102)&gt;Tolerance)</f>
        <v>0</v>
      </c>
      <c r="CA31" s="46" t="n">
        <f aca="false">N((Calc_2!CA$4&gt;=Calc_2!$F17)*ABS(Calc_2!CA102)&gt;Tolerance)</f>
        <v>0</v>
      </c>
      <c r="CB31" s="46" t="n">
        <f aca="false">N((Calc_2!CB$4&gt;=Calc_2!$F17)*ABS(Calc_2!CB102)&gt;Tolerance)</f>
        <v>0</v>
      </c>
      <c r="CC31" s="46" t="n">
        <f aca="false">N((Calc_2!CC$4&gt;=Calc_2!$F17)*ABS(Calc_2!CC102)&gt;Tolerance)</f>
        <v>0</v>
      </c>
      <c r="CD31" s="46" t="n">
        <f aca="false">N((Calc_2!CD$4&gt;=Calc_2!$F17)*ABS(Calc_2!CD102)&gt;Tolerance)</f>
        <v>0</v>
      </c>
      <c r="CE31" s="46" t="n">
        <f aca="false">N((Calc_2!CE$4&gt;=Calc_2!$F17)*ABS(Calc_2!CE102)&gt;Tolerance)</f>
        <v>0</v>
      </c>
      <c r="CF31" s="46" t="n">
        <f aca="false">N((Calc_2!CF$4&gt;=Calc_2!$F17)*ABS(Calc_2!CF102)&gt;Tolerance)</f>
        <v>0</v>
      </c>
      <c r="CG31" s="46" t="n">
        <f aca="false">N((Calc_2!CG$4&gt;=Calc_2!$F17)*ABS(Calc_2!CG102)&gt;Tolerance)</f>
        <v>0</v>
      </c>
      <c r="CH31" s="46" t="n">
        <f aca="false">N((Calc_2!CH$4&gt;=Calc_2!$F17)*ABS(Calc_2!CH102)&gt;Tolerance)</f>
        <v>0</v>
      </c>
      <c r="CI31" s="46" t="n">
        <f aca="false">N((Calc_2!CI$4&gt;=Calc_2!$F17)*ABS(Calc_2!CI102)&gt;Tolerance)</f>
        <v>0</v>
      </c>
      <c r="CJ31" s="46" t="n">
        <f aca="false">N((Calc_2!CJ$4&gt;=Calc_2!$F17)*ABS(Calc_2!CJ102)&gt;Tolerance)</f>
        <v>0</v>
      </c>
      <c r="CK31" s="46" t="n">
        <f aca="false">N((Calc_2!CK$4&gt;=Calc_2!$F17)*ABS(Calc_2!CK102)&gt;Tolerance)</f>
        <v>0</v>
      </c>
      <c r="CL31" s="46" t="n">
        <f aca="false">N((Calc_2!CL$4&gt;=Calc_2!$F17)*ABS(Calc_2!CL102)&gt;Tolerance)</f>
        <v>0</v>
      </c>
      <c r="CM31" s="46" t="n">
        <f aca="false">N((Calc_2!CM$4&gt;=Calc_2!$F17)*ABS(Calc_2!CM102)&gt;Tolerance)</f>
        <v>0</v>
      </c>
      <c r="CN31" s="46" t="n">
        <f aca="false">N((Calc_2!CN$4&gt;=Calc_2!$F17)*ABS(Calc_2!CN102)&gt;Tolerance)</f>
        <v>0</v>
      </c>
      <c r="CO31" s="46" t="n">
        <f aca="false">N((Calc_2!CO$4&gt;=Calc_2!$F17)*ABS(Calc_2!CO102)&gt;Tolerance)</f>
        <v>0</v>
      </c>
      <c r="CP31" s="46" t="n">
        <f aca="false">N((Calc_2!CP$4&gt;=Calc_2!$F17)*ABS(Calc_2!CP102)&gt;Tolerance)</f>
        <v>0</v>
      </c>
      <c r="CQ31" s="46" t="n">
        <f aca="false">N((Calc_2!CQ$4&gt;=Calc_2!$F17)*ABS(Calc_2!CQ102)&gt;Tolerance)</f>
        <v>0</v>
      </c>
      <c r="CR31" s="46" t="n">
        <f aca="false">N((Calc_2!CR$4&gt;=Calc_2!$F17)*ABS(Calc_2!CR102)&gt;Tolerance)</f>
        <v>0</v>
      </c>
      <c r="CS31" s="46" t="n">
        <f aca="false">N((Calc_2!CS$4&gt;=Calc_2!$F17)*ABS(Calc_2!CS102)&gt;Tolerance)</f>
        <v>0</v>
      </c>
      <c r="CT31" s="46" t="n">
        <f aca="false">N((Calc_2!CT$4&gt;=Calc_2!$F17)*ABS(Calc_2!CT102)&gt;Tolerance)</f>
        <v>0</v>
      </c>
      <c r="CU31" s="46" t="n">
        <f aca="false">N((Calc_2!CU$4&gt;=Calc_2!$F17)*ABS(Calc_2!CU102)&gt;Tolerance)</f>
        <v>0</v>
      </c>
      <c r="CV31" s="46" t="n">
        <f aca="false">N((Calc_2!CV$4&gt;=Calc_2!$F17)*ABS(Calc_2!CV102)&gt;Tolerance)</f>
        <v>0</v>
      </c>
      <c r="CW31" s="46" t="n">
        <f aca="false">N((Calc_2!CW$4&gt;=Calc_2!$F17)*ABS(Calc_2!CW102)&gt;Tolerance)</f>
        <v>0</v>
      </c>
      <c r="CX31" s="46" t="n">
        <f aca="false">N((Calc_2!CX$4&gt;=Calc_2!$F17)*ABS(Calc_2!CX102)&gt;Tolerance)</f>
        <v>0</v>
      </c>
      <c r="CY31" s="46" t="n">
        <f aca="false">N((Calc_2!CY$4&gt;=Calc_2!$F17)*ABS(Calc_2!CY102)&gt;Tolerance)</f>
        <v>0</v>
      </c>
      <c r="CZ31" s="46" t="n">
        <f aca="false">N((Calc_2!CZ$4&gt;=Calc_2!$F17)*ABS(Calc_2!CZ102)&gt;Tolerance)</f>
        <v>0</v>
      </c>
      <c r="DA31" s="46" t="n">
        <f aca="false">N((Calc_2!DA$4&gt;=Calc_2!$F17)*ABS(Calc_2!DA102)&gt;Tolerance)</f>
        <v>0</v>
      </c>
      <c r="DB31" s="46" t="n">
        <f aca="false">N((Calc_2!DB$4&gt;=Calc_2!$F17)*ABS(Calc_2!DB102)&gt;Tolerance)</f>
        <v>0</v>
      </c>
      <c r="DC31" s="46" t="n">
        <f aca="false">N((Calc_2!DC$4&gt;=Calc_2!$F17)*ABS(Calc_2!DC102)&gt;Tolerance)</f>
        <v>0</v>
      </c>
      <c r="DD31" s="46" t="n">
        <f aca="false">N((Calc_2!DD$4&gt;=Calc_2!$F17)*ABS(Calc_2!DD102)&gt;Tolerance)</f>
        <v>0</v>
      </c>
      <c r="DE31" s="46" t="n">
        <f aca="false">N((Calc_2!DE$4&gt;=Calc_2!$F17)*ABS(Calc_2!DE102)&gt;Tolerance)</f>
        <v>0</v>
      </c>
      <c r="DF31" s="46" t="n">
        <f aca="false">N((Calc_2!DF$4&gt;=Calc_2!$F17)*ABS(Calc_2!DF102)&gt;Tolerance)</f>
        <v>0</v>
      </c>
      <c r="DG31" s="46" t="n">
        <f aca="false">N((Calc_2!DG$4&gt;=Calc_2!$F17)*ABS(Calc_2!DG102)&gt;Tolerance)</f>
        <v>0</v>
      </c>
      <c r="DH31" s="46" t="n">
        <f aca="false">N((Calc_2!DH$4&gt;=Calc_2!$F17)*ABS(Calc_2!DH102)&gt;Tolerance)</f>
        <v>0</v>
      </c>
      <c r="DI31" s="46" t="n">
        <f aca="false">N((Calc_2!DI$4&gt;=Calc_2!$F17)*ABS(Calc_2!DI102)&gt;Tolerance)</f>
        <v>0</v>
      </c>
      <c r="DJ31" s="46" t="n">
        <f aca="false">N((Calc_2!DJ$4&gt;=Calc_2!$F17)*ABS(Calc_2!DJ102)&gt;Tolerance)</f>
        <v>0</v>
      </c>
      <c r="DK31" s="46" t="n">
        <f aca="false">N((Calc_2!DK$4&gt;=Calc_2!$F17)*ABS(Calc_2!DK102)&gt;Tolerance)</f>
        <v>0</v>
      </c>
      <c r="DL31" s="46" t="n">
        <f aca="false">N((Calc_2!DL$4&gt;=Calc_2!$F17)*ABS(Calc_2!DL102)&gt;Tolerance)</f>
        <v>0</v>
      </c>
      <c r="DM31" s="46" t="n">
        <f aca="false">N((Calc_2!DM$4&gt;=Calc_2!$F17)*ABS(Calc_2!DM102)&gt;Tolerance)</f>
        <v>0</v>
      </c>
      <c r="DN31" s="46" t="n">
        <f aca="false">N((Calc_2!DN$4&gt;=Calc_2!$F17)*ABS(Calc_2!DN102)&gt;Tolerance)</f>
        <v>0</v>
      </c>
      <c r="DO31" s="46" t="n">
        <f aca="false">N((Calc_2!DO$4&gt;=Calc_2!$F17)*ABS(Calc_2!DO102)&gt;Tolerance)</f>
        <v>0</v>
      </c>
      <c r="DP31" s="46" t="n">
        <f aca="false">N((Calc_2!DP$4&gt;=Calc_2!$F17)*ABS(Calc_2!DP102)&gt;Tolerance)</f>
        <v>0</v>
      </c>
      <c r="DQ31" s="46" t="n">
        <f aca="false">N((Calc_2!DQ$4&gt;=Calc_2!$F17)*ABS(Calc_2!DQ102)&gt;Tolerance)</f>
        <v>0</v>
      </c>
      <c r="DR31" s="46" t="n">
        <f aca="false">N((Calc_2!DR$4&gt;=Calc_2!$F17)*ABS(Calc_2!DR102)&gt;Tolerance)</f>
        <v>0</v>
      </c>
      <c r="DS31" s="46" t="n">
        <f aca="false">N((Calc_2!DS$4&gt;=Calc_2!$F17)*ABS(Calc_2!DS102)&gt;Tolerance)</f>
        <v>0</v>
      </c>
      <c r="DT31" s="46" t="n">
        <f aca="false">N((Calc_2!DT$4&gt;=Calc_2!$F17)*ABS(Calc_2!DT102)&gt;Tolerance)</f>
        <v>0</v>
      </c>
      <c r="DU31" s="46" t="n">
        <f aca="false">N((Calc_2!DU$4&gt;=Calc_2!$F17)*ABS(Calc_2!DU102)&gt;Tolerance)</f>
        <v>0</v>
      </c>
      <c r="DV31" s="46" t="n">
        <f aca="false">N((Calc_2!DV$4&gt;=Calc_2!$F17)*ABS(Calc_2!DV102)&gt;Tolerance)</f>
        <v>0</v>
      </c>
      <c r="DW31" s="46" t="n">
        <f aca="false">N((Calc_2!DW$4&gt;=Calc_2!$F17)*ABS(Calc_2!DW102)&gt;Tolerance)</f>
        <v>0</v>
      </c>
      <c r="DX31" s="46" t="n">
        <f aca="false">N((Calc_2!DX$4&gt;=Calc_2!$F17)*ABS(Calc_2!DX102)&gt;Tolerance)</f>
        <v>0</v>
      </c>
      <c r="DY31" s="46" t="n">
        <f aca="false">N((Calc_2!DY$4&gt;=Calc_2!$F17)*ABS(Calc_2!DY102)&gt;Tolerance)</f>
        <v>0</v>
      </c>
      <c r="DZ31" s="46" t="n">
        <f aca="false">N((Calc_2!DZ$4&gt;=Calc_2!$F17)*ABS(Calc_2!DZ102)&gt;Tolerance)</f>
        <v>0</v>
      </c>
      <c r="EA31" s="46" t="n">
        <f aca="false">N((Calc_2!EA$4&gt;=Calc_2!$F17)*ABS(Calc_2!EA102)&gt;Tolerance)</f>
        <v>0</v>
      </c>
      <c r="EB31" s="46" t="n">
        <f aca="false">N((Calc_2!EB$4&gt;=Calc_2!$F17)*ABS(Calc_2!EB102)&gt;Tolerance)</f>
        <v>0</v>
      </c>
      <c r="EC31" s="46" t="n">
        <f aca="false">N((Calc_2!EC$4&gt;=Calc_2!$F17)*ABS(Calc_2!EC102)&gt;Tolerance)</f>
        <v>0</v>
      </c>
      <c r="ED31" s="46" t="n">
        <f aca="false">N((Calc_2!ED$4&gt;=Calc_2!$F17)*ABS(Calc_2!ED102)&gt;Tolerance)</f>
        <v>0</v>
      </c>
      <c r="EE31" s="46" t="n">
        <f aca="false">N((Calc_2!EE$4&gt;=Calc_2!$F17)*ABS(Calc_2!EE102)&gt;Tolerance)</f>
        <v>0</v>
      </c>
      <c r="EF31" s="46" t="n">
        <f aca="false">N((Calc_2!EF$4&gt;=Calc_2!$F17)*ABS(Calc_2!EF102)&gt;Tolerance)</f>
        <v>0</v>
      </c>
      <c r="EG31" s="46" t="n">
        <f aca="false">N((Calc_2!EG$4&gt;=Calc_2!$F17)*ABS(Calc_2!EG102)&gt;Tolerance)</f>
        <v>0</v>
      </c>
      <c r="EH31" s="46" t="n">
        <f aca="false">N((Calc_2!EH$4&gt;=Calc_2!$F17)*ABS(Calc_2!EH102)&gt;Tolerance)</f>
        <v>0</v>
      </c>
      <c r="EI31" s="46" t="n">
        <f aca="false">N((Calc_2!EI$4&gt;=Calc_2!$F17)*ABS(Calc_2!EI102)&gt;Tolerance)</f>
        <v>0</v>
      </c>
      <c r="EJ31" s="46" t="n">
        <f aca="false">N((Calc_2!EJ$4&gt;=Calc_2!$F17)*ABS(Calc_2!EJ102)&gt;Tolerance)</f>
        <v>0</v>
      </c>
      <c r="EK31" s="46" t="n">
        <f aca="false">N((Calc_2!EK$4&gt;=Calc_2!$F17)*ABS(Calc_2!EK102)&gt;Tolerance)</f>
        <v>0</v>
      </c>
      <c r="EL31" s="46" t="n">
        <f aca="false">N((Calc_2!EL$4&gt;=Calc_2!$F17)*ABS(Calc_2!EL102)&gt;Tolerance)</f>
        <v>0</v>
      </c>
      <c r="EM31" s="46" t="n">
        <f aca="false">N((Calc_2!EM$4&gt;=Calc_2!$F17)*ABS(Calc_2!EM102)&gt;Tolerance)</f>
        <v>0</v>
      </c>
      <c r="EN31" s="46" t="n">
        <f aca="false">N((Calc_2!EN$4&gt;=Calc_2!$F17)*ABS(Calc_2!EN102)&gt;Tolerance)</f>
        <v>0</v>
      </c>
      <c r="EO31" s="46" t="n">
        <f aca="false">N((Calc_2!EO$4&gt;=Calc_2!$F17)*ABS(Calc_2!EO102)&gt;Tolerance)</f>
        <v>0</v>
      </c>
      <c r="EP31" s="46" t="n">
        <f aca="false">N((Calc_2!EP$4&gt;=Calc_2!$F17)*ABS(Calc_2!EP102)&gt;Tolerance)</f>
        <v>0</v>
      </c>
      <c r="EQ31" s="46" t="n">
        <f aca="false">N((Calc_2!EQ$4&gt;=Calc_2!$F17)*ABS(Calc_2!EQ102)&gt;Tolerance)</f>
        <v>0</v>
      </c>
      <c r="ER31" s="46" t="n">
        <f aca="false">N((Calc_2!ER$4&gt;=Calc_2!$F17)*ABS(Calc_2!ER102)&gt;Tolerance)</f>
        <v>0</v>
      </c>
      <c r="ES31" s="46" t="n">
        <f aca="false">N((Calc_2!ES$4&gt;=Calc_2!$F17)*ABS(Calc_2!ES102)&gt;Tolerance)</f>
        <v>0</v>
      </c>
      <c r="ET31" s="46" t="n">
        <f aca="false">N((Calc_2!ET$4&gt;=Calc_2!$F17)*ABS(Calc_2!ET102)&gt;Tolerance)</f>
        <v>0</v>
      </c>
    </row>
    <row r="32" customFormat="false" ht="15" hidden="false" customHeight="false" outlineLevel="0" collapsed="false">
      <c r="C32" s="0" t="s">
        <v>646</v>
      </c>
      <c r="D32" s="11" t="s">
        <v>41</v>
      </c>
      <c r="E32" s="36" t="str">
        <f aca="false">IF(F32=0,"OK","CHECK")</f>
        <v>OK</v>
      </c>
      <c r="F32" s="46" t="n">
        <f aca="false">N(ISTEXT(Calc_1!$E155))+N(ISERROR(Calc_1!$E192))+N(ISERROR(Calc_1!$E172))</f>
        <v>0</v>
      </c>
    </row>
    <row r="33" customFormat="false" ht="15" hidden="false" customHeight="false" outlineLevel="0" collapsed="false">
      <c r="C33" s="0" t="s">
        <v>647</v>
      </c>
      <c r="D33" s="11" t="s">
        <v>41</v>
      </c>
      <c r="E33" s="36" t="str">
        <f aca="false">IF(F33=0,"OK","CHECK")</f>
        <v>OK</v>
      </c>
      <c r="F33" s="46" t="n">
        <f aca="false">N(ISTEXT(Calc_2!$E155))+N(ISERROR(Calc_2!$E192))+N(ISERROR(Calc_2!$E172))</f>
        <v>0</v>
      </c>
    </row>
    <row r="34" customFormat="false" ht="15" hidden="false" customHeight="false" outlineLevel="0" collapsed="false">
      <c r="C34" s="0" t="s">
        <v>648</v>
      </c>
      <c r="D34" s="11" t="s">
        <v>41</v>
      </c>
      <c r="E34" s="36" t="str">
        <f aca="false">IF(F34=0,"OK","CHECK")</f>
        <v>OK</v>
      </c>
      <c r="F34" s="46" t="n">
        <f aca="false">(Scenario_Selected=1)*(SUMPRODUCT(ABS(ZB_Live_1-ZB_Zero_Stored-ZB_Delta_1_Stored))&gt;Tolerance)</f>
        <v>0</v>
      </c>
    </row>
    <row r="35" customFormat="false" ht="15" hidden="false" customHeight="false" outlineLevel="0" collapsed="false">
      <c r="C35" s="0" t="s">
        <v>649</v>
      </c>
      <c r="D35" s="11" t="s">
        <v>41</v>
      </c>
      <c r="E35" s="36" t="str">
        <f aca="false">IF(F35=0,"OK","CHECK")</f>
        <v>OK</v>
      </c>
      <c r="F35" s="46" t="n">
        <f aca="false">(Scenario_Selected=1)*(SUMPRODUCT(ABS(ZB_Live_2-ZB_Zero_Stored-ZB_Delta_2_Stored))&gt;Tolerance)</f>
        <v>0</v>
      </c>
    </row>
    <row r="36" customFormat="false" ht="15" hidden="false" customHeight="false" outlineLevel="0" collapsed="false">
      <c r="C36" s="0" t="s">
        <v>650</v>
      </c>
      <c r="D36" s="11" t="s">
        <v>41</v>
      </c>
      <c r="E36" s="36" t="str">
        <f aca="false">IF(F36=0,"OK","CHECK")</f>
        <v>OK</v>
      </c>
      <c r="F36" s="46" t="n">
        <f aca="false">--(SUMPRODUCT(ABS(Stored_Results-Live_Results)*(Scenario_Names=Scenario_Name))&gt;Tolerance)</f>
        <v>0</v>
      </c>
    </row>
    <row r="38" customFormat="false" ht="15" hidden="false" customHeight="false" outlineLevel="0" collapsed="false">
      <c r="C38" s="30" t="s">
        <v>6</v>
      </c>
      <c r="E38" s="59" t="str">
        <f aca="false">IF(F38=0,"OK","CHECK")</f>
        <v>OK</v>
      </c>
      <c r="F38" s="60" t="n">
        <f aca="false">SUMPRODUCT(ABS(F12:F36))</f>
        <v>0</v>
      </c>
    </row>
    <row r="40" customFormat="false" ht="15" hidden="false" customHeight="false" outlineLevel="0" collapsed="false">
      <c r="C40" s="40" t="s">
        <v>198</v>
      </c>
    </row>
  </sheetData>
  <conditionalFormatting sqref="E12:E38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2026-10-15T08:10:30Z</dcterms:created>
  <dc:creator>openpyxl</dc:creator>
  <dc:description/>
  <dc:language>en-US</dc:language>
  <cp:lastModifiedBy/>
  <dcterms:modified xsi:type="dcterms:W3CDTF">2026-10-15T08:10:41Z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